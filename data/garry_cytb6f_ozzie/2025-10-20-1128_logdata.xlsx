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<sst xmlns="http://schemas.openxmlformats.org/spreadsheetml/2006/main" count="5812" uniqueCount="876">
  <si>
    <t>File opened</t>
  </si>
  <si>
    <t>2025-10-20 11:28:26</t>
  </si>
  <si>
    <t>Console s/n</t>
  </si>
  <si>
    <t>68C-901364</t>
  </si>
  <si>
    <t>Console ver</t>
  </si>
  <si>
    <t>Bluestem v.2.1.11</t>
  </si>
  <si>
    <t>Scripts ver</t>
  </si>
  <si>
    <t>2023.02  2.1.11, Jun 2023</t>
  </si>
  <si>
    <t>Head s/n</t>
  </si>
  <si>
    <t>68H-581364</t>
  </si>
  <si>
    <t>Head ver</t>
  </si>
  <si>
    <t>1.4.23</t>
  </si>
  <si>
    <t>Head cal</t>
  </si>
  <si>
    <t>{"co2bspanconc1": "2473", "tbzero": "0.339216", "h2obspan2": "0", "co2bspan2a": "0.300636", "h2obzero": "1.10982", "h2oaspan2b": "0.0649319", "co2aspanconc2": "301.4", "co2aspan2b": "0.297984", "h2obspanconc2": "0", "h2obspan1": "1.01187", "h2oaspan2a": "0.0642495", "flowazero": "0.29401", "co2bspan2b": "0.297586", "co2bspan2": "-0.0354637", "h2obspan2a": "0.0647193", "co2aspanconc1": "2473", "flowbzero": "0.28105", "co2bspanconc2": "301.4", "co2bspan1": "1.00051", "flowmeterzero": "2.49091", "h2oazero": "1.10043", "h2oaspanconc2": "0", "h2obspan2b": "0.0654872", "tazero": "0.20418", "chamberpressurezero": "2.62959", "co2bzero": "0.901409", "co2aspan1": "1.00063", "oxygen": "21", "co2azero": "0.900515", "ssb_ref": "50169", "h2oaspan1": "1.01062", "h2obspanconc1": "11.69", "co2aspan2": "-0.0352407", "co2aspan2a": "0.300986", "ssa_ref": "45138", "h2oaspanconc1": "11.69", "h2oaspan2": "0"}</t>
  </si>
  <si>
    <t>Factory cal date</t>
  </si>
  <si>
    <t>19 Oct 2023</t>
  </si>
  <si>
    <t>CO2 rangematch</t>
  </si>
  <si>
    <t>Sun Oct 19 11:29</t>
  </si>
  <si>
    <t>H2O rangematch</t>
  </si>
  <si>
    <t>Sun Oct 19 11:36</t>
  </si>
  <si>
    <t>Chamber type</t>
  </si>
  <si>
    <t>6800-01A</t>
  </si>
  <si>
    <t>Chamber s/n</t>
  </si>
  <si>
    <t>MPF-282120</t>
  </si>
  <si>
    <t>Chamber rev</t>
  </si>
  <si>
    <t>0</t>
  </si>
  <si>
    <t>Chamber cal</t>
  </si>
  <si>
    <t>Fluorometer</t>
  </si>
  <si>
    <t>Flr. Version</t>
  </si>
  <si>
    <t>11:28:26</t>
  </si>
  <si>
    <t>Stability Definition:	ΔCO2 (Meas2): Slp&lt;0.5 Per=20	ΔH2O (Meas2): Slp&lt;0.1 Per=20	F (FlrLS): Per=20</t>
  </si>
  <si>
    <t>SysConst</t>
  </si>
  <si>
    <t>AvgTime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</si>
  <si>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</si>
  <si>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</si>
  <si>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</si>
  <si>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</si>
  <si>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</si>
  <si>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</si>
  <si>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</si>
  <si>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</si>
  <si>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</si>
  <si>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</si>
  <si>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</si>
  <si>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</si>
  <si>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</si>
  <si>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</si>
  <si>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</si>
  <si>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</si>
  <si>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</si>
  <si>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</si>
  <si>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</si>
  <si>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</si>
  <si>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</si>
  <si>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</si>
  <si>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Fluorescent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</si>
  <si>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</si>
  <si>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</si>
  <si>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</si>
  <si>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</si>
  <si>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</si>
  <si>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</si>
  <si>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</si>
  <si>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</si>
  <si>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</si>
  <si>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</si>
  <si>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</si>
  <si>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</si>
  <si>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</si>
  <si>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</si>
  <si>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</si>
  <si>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</si>
  <si>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</si>
  <si>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</si>
  <si>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</si>
  <si>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</si>
  <si>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</si>
  <si>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</si>
  <si>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</si>
  <si>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</si>
  <si>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</si>
  <si>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</si>
  <si>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4.36502 183.965 351.746 633.587 862.18 1070.86 1222.07 1375.85</t>
  </si>
  <si>
    <t>Fs_true</t>
  </si>
  <si>
    <t>-0.349942 213.173 376.993 619.556 800.061 1008.89 1201.32 1401.37</t>
  </si>
  <si>
    <t>leak_wt</t>
  </si>
  <si>
    <t>SysObs</t>
  </si>
  <si>
    <t>UserDefCon</t>
  </si>
  <si>
    <t>GasEx</t>
  </si>
  <si>
    <t>Dynamic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</si>
  <si>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</si>
  <si>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</si>
  <si>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</si>
  <si>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</si>
  <si>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</si>
  <si>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</si>
  <si>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</si>
  <si>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</si>
  <si>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</si>
  <si>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</si>
  <si>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</si>
  <si>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</si>
  <si>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</si>
  <si>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</si>
  <si>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</si>
  <si>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</si>
  <si>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</si>
  <si>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</si>
  <si>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</si>
  <si>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</si>
  <si>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</si>
  <si>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</si>
  <si>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</si>
  <si>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</si>
  <si>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</si>
  <si>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machine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</si>
  <si>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</si>
  <si>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</si>
  <si>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</si>
  <si>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</si>
  <si>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</si>
  <si>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</si>
  <si>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</si>
  <si>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</si>
  <si>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</si>
  <si>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</si>
  <si>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</si>
  <si>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</si>
  <si>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</si>
  <si>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</si>
  <si>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</si>
  <si>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</si>
  <si>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</si>
  <si>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</si>
  <si>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</si>
  <si>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</si>
  <si>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</si>
  <si>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</si>
  <si>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</si>
  <si>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</si>
  <si>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</si>
  <si>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</si>
  <si>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</si>
  <si>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</si>
  <si>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</si>
  <si>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</si>
  <si>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</si>
  <si>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</si>
  <si>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</si>
  <si>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</si>
  <si>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</si>
  <si>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</si>
  <si>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</si>
  <si>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</si>
  <si>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</si>
  <si>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</si>
  <si>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</si>
  <si>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</si>
  <si>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</si>
  <si>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</si>
  <si>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</si>
  <si>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</si>
  <si>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</si>
  <si>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</si>
  <si>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</si>
  <si>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</si>
  <si>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</si>
  <si>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</si>
  <si>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</si>
  <si>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</si>
  <si>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</si>
  <si>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</si>
  <si>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</si>
  <si>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</si>
  <si>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</si>
  <si>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</si>
  <si>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</si>
  <si>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</si>
  <si>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</si>
  <si>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</si>
  <si>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</si>
  <si>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</si>
  <si>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</si>
  <si>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</si>
  <si>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</si>
  <si>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</si>
  <si>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</si>
  <si>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</si>
  <si>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</si>
  <si>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</si>
  <si>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</si>
  <si>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</si>
  <si>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</si>
  <si>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</si>
  <si>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</si>
  <si>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</si>
  <si>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</si>
  <si>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</si>
  <si>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</si>
  <si>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</si>
  <si>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</si>
  <si>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</si>
  <si>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</si>
  <si>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</si>
  <si>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</si>
  <si>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</si>
  <si>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</si>
  <si>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</si>
  <si>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</si>
  <si>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</si>
  <si>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</si>
  <si>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</si>
  <si>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</si>
  <si>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</si>
  <si>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</si>
  <si>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</si>
  <si>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</si>
  <si>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</si>
  <si>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</si>
  <si>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</si>
  <si>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</si>
  <si>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</si>
  <si>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</si>
  <si>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</si>
  <si>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</si>
  <si>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</si>
  <si>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</si>
  <si>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</si>
  <si>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</si>
  <si>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</si>
  <si>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</si>
  <si>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</si>
  <si>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</si>
  <si>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</si>
  <si>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</si>
  <si>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</si>
  <si>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</si>
  <si>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</si>
  <si>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</si>
  <si>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</si>
  <si>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</si>
  <si>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</si>
  <si>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</si>
  <si>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</si>
  <si>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</si>
  <si>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</si>
  <si>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</si>
  <si>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</si>
  <si>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</si>
  <si>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</si>
  <si>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</si>
  <si>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</si>
  <si>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</si>
  <si>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</si>
  <si>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</si>
  <si>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</si>
  <si>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</si>
  <si>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</si>
  <si>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</si>
  <si>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</si>
  <si>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</si>
  <si>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</si>
  <si>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</si>
  <si>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</si>
  <si>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</si>
  <si>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</si>
  <si>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</si>
  <si>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</si>
  <si>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</si>
  <si>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</si>
  <si>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</si>
  <si>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</si>
  <si>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</si>
  <si>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</si>
  <si>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</si>
  <si>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</si>
  <si>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</si>
  <si>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</si>
  <si>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</si>
  <si>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</si>
  <si>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</si>
  <si>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</si>
  <si>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</si>
  <si>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</si>
  <si>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</si>
  <si>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</si>
  <si>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</si>
  <si>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</si>
  <si>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</si>
  <si>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</si>
  <si>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</si>
  <si>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</si>
  <si>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</si>
  <si>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</si>
  <si>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</si>
  <si>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</si>
  <si>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</si>
  <si>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</si>
  <si>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</si>
  <si>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</si>
  <si>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</si>
  <si>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</si>
  <si>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</si>
  <si>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</si>
  <si>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</si>
  <si>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</si>
  <si>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</si>
  <si>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</si>
  <si>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</si>
  <si>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</si>
  <si>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</si>
  <si>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</si>
  <si>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</si>
  <si>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</si>
  <si>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</si>
  <si>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</si>
  <si>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</si>
  <si>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</si>
  <si>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</si>
  <si>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</si>
  <si>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</si>
  <si>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</si>
  <si>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</si>
  <si>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</si>
  <si>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</si>
  <si>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</si>
  <si>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</si>
  <si>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</si>
  <si>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</si>
  <si>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</si>
  <si>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</si>
  <si>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</si>
  <si>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</si>
  <si>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</si>
  <si>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AccH2O_hum</t>
  </si>
  <si>
    <t>CO2_hrs</t>
  </si>
  <si>
    <t>AccH2O_des</t>
  </si>
  <si>
    <t>AccCO2_soda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</si>
  <si>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</si>
  <si>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</si>
  <si>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</si>
  <si>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</si>
  <si>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</si>
  <si>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</si>
  <si>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</si>
  <si>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</si>
  <si>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</si>
  <si>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</si>
  <si>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</si>
  <si>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</si>
  <si>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</si>
  <si>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</si>
  <si>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</si>
  <si>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</si>
  <si>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</si>
  <si>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</si>
  <si>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</si>
  <si>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</si>
  <si>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</si>
  <si>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</si>
  <si>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</si>
  <si>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</si>
  <si>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</si>
  <si>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</si>
  <si>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</si>
  <si>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</si>
  <si>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</si>
  <si>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</si>
  <si>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</si>
  <si>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</si>
  <si>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</si>
  <si>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</si>
  <si>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</si>
  <si>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</si>
  <si>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</si>
  <si>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</si>
  <si>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</si>
  <si>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</si>
  <si>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</si>
  <si>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</si>
  <si>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</si>
  <si>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</si>
  <si>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</si>
  <si>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</si>
  <si>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</si>
  <si>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</si>
  <si>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</si>
  <si>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</si>
  <si>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</si>
  <si>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</si>
  <si>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</si>
  <si>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</si>
  <si>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</si>
  <si>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</si>
  <si>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</si>
  <si>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</si>
  <si>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</si>
  <si>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</si>
  <si>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</si>
  <si>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</si>
  <si>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</si>
  <si>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</si>
  <si>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</si>
  <si>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</si>
  <si>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</si>
  <si>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</si>
  <si>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</si>
  <si>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</si>
  <si>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</si>
  <si>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</si>
  <si>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</si>
  <si>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</si>
  <si>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</si>
  <si>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</si>
  <si>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</si>
  <si>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</si>
  <si>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</si>
  <si>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</si>
  <si>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</si>
  <si>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</si>
  <si>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rpm</t>
  </si>
  <si>
    <t>min⁻¹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</si>
  <si>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</si>
  <si>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</si>
  <si>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</si>
  <si>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</si>
  <si>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</si>
  <si>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</si>
  <si>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</si>
  <si>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</si>
  <si>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</si>
  <si>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</si>
  <si>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</si>
  <si>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20251020 14:39:50</t>
  </si>
  <si>
    <t>14:39:50</t>
  </si>
  <si>
    <t>gg_28</t>
  </si>
  <si>
    <t>ozzie</t>
  </si>
  <si>
    <t>-</t>
  </si>
  <si>
    <t>0: Broadleaf</t>
  </si>
  <si>
    <t>--:--:--</t>
  </si>
  <si>
    <t>2/2</t>
  </si>
  <si>
    <t>11111111</t>
  </si>
  <si>
    <t>oooooooo</t>
  </si>
  <si>
    <t>off</t>
  </si>
  <si>
    <t>20251020 14:39:55</t>
  </si>
  <si>
    <t>14:39:55</t>
  </si>
  <si>
    <t>1/2</t>
  </si>
  <si>
    <t>20251020 14:40:00</t>
  </si>
  <si>
    <t>14:40:00</t>
  </si>
  <si>
    <t>20251020 14:40:05</t>
  </si>
  <si>
    <t>14:40:05</t>
  </si>
  <si>
    <t>20251020 14:40:10</t>
  </si>
  <si>
    <t>14:40:10</t>
  </si>
  <si>
    <t>20251020 14:40:15</t>
  </si>
  <si>
    <t>14:40:15</t>
  </si>
  <si>
    <t>20251020 14:40:20</t>
  </si>
  <si>
    <t>14:40:20</t>
  </si>
  <si>
    <t>20251020 14:40:25</t>
  </si>
  <si>
    <t>14:40:25</t>
  </si>
  <si>
    <t>20251020 14:40:30</t>
  </si>
  <si>
    <t>14:40:30</t>
  </si>
  <si>
    <t>20251020 14:40:35</t>
  </si>
  <si>
    <t>14:40:35</t>
  </si>
  <si>
    <t>20251020 14:40:40</t>
  </si>
  <si>
    <t>14:40:40</t>
  </si>
  <si>
    <t>20251020 14:40:45</t>
  </si>
  <si>
    <t>14:40:45</t>
  </si>
  <si>
    <t>20251020 14:40:50</t>
  </si>
  <si>
    <t>14:40:50</t>
  </si>
  <si>
    <t>20251020 14:40:55</t>
  </si>
  <si>
    <t>14:40:55</t>
  </si>
  <si>
    <t>20251020 14:41:00</t>
  </si>
  <si>
    <t>14:41:00</t>
  </si>
  <si>
    <t>20251020 14:41:05</t>
  </si>
  <si>
    <t>14:41:05</t>
  </si>
  <si>
    <t>20251020 14:41:10</t>
  </si>
  <si>
    <t>14:41:10</t>
  </si>
  <si>
    <t>20251020 14:41:15</t>
  </si>
  <si>
    <t>14:41:15</t>
  </si>
  <si>
    <t>20251020 14:41:20</t>
  </si>
  <si>
    <t>14:41:20</t>
  </si>
  <si>
    <t>20251020 14:41:25</t>
  </si>
  <si>
    <t>14:41:25</t>
  </si>
  <si>
    <t>20251020 14:41:30</t>
  </si>
  <si>
    <t>14:41:30</t>
  </si>
  <si>
    <t>20251020 14:41:35</t>
  </si>
  <si>
    <t>14:41:35</t>
  </si>
  <si>
    <t>20251020 14:41:40</t>
  </si>
  <si>
    <t>14:41:40</t>
  </si>
  <si>
    <t>20251020 14:41:45</t>
  </si>
  <si>
    <t>14:41:45</t>
  </si>
  <si>
    <t>20251020 14:43:22</t>
  </si>
  <si>
    <t>14:43:22</t>
  </si>
  <si>
    <t>20251020 14:43:27</t>
  </si>
  <si>
    <t>14:43:27</t>
  </si>
  <si>
    <t>20251020 14:43:32</t>
  </si>
  <si>
    <t>14:43:32</t>
  </si>
  <si>
    <t>20251020 14:43:37</t>
  </si>
  <si>
    <t>14:43:37</t>
  </si>
  <si>
    <t>20251020 14:43:42</t>
  </si>
  <si>
    <t>14:43:42</t>
  </si>
  <si>
    <t>20251020 14:43:47</t>
  </si>
  <si>
    <t>14:43:47</t>
  </si>
  <si>
    <t>20251020 14:43:52</t>
  </si>
  <si>
    <t>14:43:52</t>
  </si>
  <si>
    <t>20251020 14:43:57</t>
  </si>
  <si>
    <t>14:43:57</t>
  </si>
  <si>
    <t>20251020 14:44:02</t>
  </si>
  <si>
    <t>14:44:02</t>
  </si>
  <si>
    <t>20251020 14:44:07</t>
  </si>
  <si>
    <t>14:44:07</t>
  </si>
  <si>
    <t>20251020 14:44:12</t>
  </si>
  <si>
    <t>14:44:12</t>
  </si>
  <si>
    <t>20251020 14:44:17</t>
  </si>
  <si>
    <t>14:44:17</t>
  </si>
  <si>
    <t>20251020 14:44:22</t>
  </si>
  <si>
    <t>14:44:22</t>
  </si>
  <si>
    <t>20251020 14:44:27</t>
  </si>
  <si>
    <t>14:44:27</t>
  </si>
  <si>
    <t>0/2</t>
  </si>
  <si>
    <t>20251020 14:44:32</t>
  </si>
  <si>
    <t>14:44:32</t>
  </si>
  <si>
    <t>20251020 14:44:37</t>
  </si>
  <si>
    <t>14:44:37</t>
  </si>
  <si>
    <t>20251020 14:44:42</t>
  </si>
  <si>
    <t>14:44:42</t>
  </si>
  <si>
    <t>20251020 14:44:47</t>
  </si>
  <si>
    <t>14:44:47</t>
  </si>
  <si>
    <t>20251020 14:44:52</t>
  </si>
  <si>
    <t>14:44:52</t>
  </si>
  <si>
    <t>20251020 14:44:57</t>
  </si>
  <si>
    <t>14:44:57</t>
  </si>
  <si>
    <t>20251020 14:45:02</t>
  </si>
  <si>
    <t>14:45:02</t>
  </si>
  <si>
    <t>20251020 14:45:07</t>
  </si>
  <si>
    <t>14:45:07</t>
  </si>
  <si>
    <t>20251020 14:45:12</t>
  </si>
  <si>
    <t>14:45:12</t>
  </si>
  <si>
    <t>20251020 14:45:17</t>
  </si>
  <si>
    <t>14:45:17</t>
  </si>
  <si>
    <t>20251020 14:45:22</t>
  </si>
  <si>
    <t>14:45:22</t>
  </si>
  <si>
    <t>20251020 14:45:27</t>
  </si>
  <si>
    <t>14:45:27</t>
  </si>
  <si>
    <t>20251020 14:45:32</t>
  </si>
  <si>
    <t>14:45:32</t>
  </si>
  <si>
    <t>20251020 14:45:37</t>
  </si>
  <si>
    <t>14:45:37</t>
  </si>
  <si>
    <t>20251020 14:45:42</t>
  </si>
  <si>
    <t>14:45:42</t>
  </si>
  <si>
    <t>20251020 14:45:47</t>
  </si>
  <si>
    <t>14:45:47</t>
  </si>
  <si>
    <t>20251020 14:45:52</t>
  </si>
  <si>
    <t>14:45:52</t>
  </si>
  <si>
    <t>20251020 14:45:57</t>
  </si>
  <si>
    <t>14:45:57</t>
  </si>
  <si>
    <t>20251020 14:46:02</t>
  </si>
  <si>
    <t>14:46:02</t>
  </si>
  <si>
    <t>20251020 14:46:07</t>
  </si>
  <si>
    <t>14:46:07</t>
  </si>
  <si>
    <t>20251020 14:46:12</t>
  </si>
  <si>
    <t>14:46:12</t>
  </si>
  <si>
    <t>20251020 14:46:17</t>
  </si>
  <si>
    <t>14:46:17</t>
  </si>
  <si>
    <t>20251020 14:46:22</t>
  </si>
  <si>
    <t>14:46:22</t>
  </si>
  <si>
    <t>20251020 14:46:27</t>
  </si>
  <si>
    <t>14:46:27</t>
  </si>
  <si>
    <t>20251020 14:46:32</t>
  </si>
  <si>
    <t>14:46:32</t>
  </si>
  <si>
    <t>20251020 14:46:37</t>
  </si>
  <si>
    <t>14:46:37</t>
  </si>
  <si>
    <t>20251020 14:46:42</t>
  </si>
  <si>
    <t>14:46:42</t>
  </si>
  <si>
    <t>20251020 14:46:47</t>
  </si>
  <si>
    <t>14:46:47</t>
  </si>
  <si>
    <t>20251020 14:46:52</t>
  </si>
  <si>
    <t>14:46:52</t>
  </si>
  <si>
    <t>20251020 14:46:57</t>
  </si>
  <si>
    <t>14:46:57</t>
  </si>
  <si>
    <t>20251020 14:47:02</t>
  </si>
  <si>
    <t>14:47:02</t>
  </si>
  <si>
    <t>20251020 14:47:07</t>
  </si>
  <si>
    <t>14:47:07</t>
  </si>
  <si>
    <t>20251020 14:47:12</t>
  </si>
  <si>
    <t>14:47:12</t>
  </si>
  <si>
    <t>20251020 14:47:17</t>
  </si>
  <si>
    <t>14:47:17</t>
  </si>
  <si>
    <t>20251020 14:47:22</t>
  </si>
  <si>
    <t>14:47:22</t>
  </si>
  <si>
    <t>20251020 14:47:27</t>
  </si>
  <si>
    <t>14:47:27</t>
  </si>
  <si>
    <t>20251020 14:47:32</t>
  </si>
  <si>
    <t>14:47:32</t>
  </si>
  <si>
    <t>20251020 14:47:37</t>
  </si>
  <si>
    <t>14:47:37</t>
  </si>
  <si>
    <t>20251020 14:47:42</t>
  </si>
  <si>
    <t>14:47:42</t>
  </si>
  <si>
    <t>20251020 14:47:47</t>
  </si>
  <si>
    <t>14:47:47</t>
  </si>
  <si>
    <t>20251020 14:47:52</t>
  </si>
  <si>
    <t>14:47:52</t>
  </si>
  <si>
    <t>20251020 14:47:57</t>
  </si>
  <si>
    <t>14:47:57</t>
  </si>
  <si>
    <t>20251020 14:48:02</t>
  </si>
  <si>
    <t>14:48:02</t>
  </si>
  <si>
    <t>20251020 14:48:07</t>
  </si>
  <si>
    <t>14:48:07</t>
  </si>
  <si>
    <t>20251020 14:48:12</t>
  </si>
  <si>
    <t>14:48:12</t>
  </si>
  <si>
    <t>20251020 14:48:17</t>
  </si>
  <si>
    <t>14:48:17</t>
  </si>
  <si>
    <t>20251020 14:48:22</t>
  </si>
  <si>
    <t>14:48:22</t>
  </si>
  <si>
    <t>20251020 14:48:27</t>
  </si>
  <si>
    <t>14:48:27</t>
  </si>
  <si>
    <t>20251020 14:48:32</t>
  </si>
  <si>
    <t>14:48:32</t>
  </si>
  <si>
    <t>20251020 14:48:37</t>
  </si>
  <si>
    <t>14:48:37</t>
  </si>
  <si>
    <t>20251020 14:48:42</t>
  </si>
  <si>
    <t>14:48:42</t>
  </si>
  <si>
    <t>20251020 14:48:47</t>
  </si>
  <si>
    <t>14:48:47</t>
  </si>
  <si>
    <t>20251020 14:48:52</t>
  </si>
  <si>
    <t>14:48:52</t>
  </si>
  <si>
    <t>20251020 14:48:57</t>
  </si>
  <si>
    <t>14:48:57</t>
  </si>
  <si>
    <t>20251020 14:49:02</t>
  </si>
  <si>
    <t>14:49:02</t>
  </si>
  <si>
    <t>20251020 14:49:07</t>
  </si>
  <si>
    <t>14:49:07</t>
  </si>
  <si>
    <t>20251020 14:49:12</t>
  </si>
  <si>
    <t>14:49:12</t>
  </si>
  <si>
    <t>20251020 14:49:17</t>
  </si>
  <si>
    <t>14:49:17</t>
  </si>
  <si>
    <t>20251020 15:03:11</t>
  </si>
  <si>
    <t>15:03:11</t>
  </si>
  <si>
    <t>RECT-97-20251018-18_09_30</t>
  </si>
  <si>
    <t>MPF-274-20251020-15_02_34</t>
  </si>
  <si>
    <t>DARK-275-20251020-15_02_41</t>
  </si>
  <si>
    <t>20251020 15:04:43</t>
  </si>
  <si>
    <t>15:04:43</t>
  </si>
  <si>
    <t>20251020 15:05:56</t>
  </si>
  <si>
    <t>15:05:56</t>
  </si>
  <si>
    <t>MPF-276-20251020-15_05_20</t>
  </si>
  <si>
    <t>DARK-277-20251020-15_05_26</t>
  </si>
  <si>
    <t>20251020 15:07:06</t>
  </si>
  <si>
    <t>15:07:06</t>
  </si>
  <si>
    <t>20251020 15:08:47</t>
  </si>
  <si>
    <t>15:08:47</t>
  </si>
  <si>
    <t>MPF-278-20251020-15_08_11</t>
  </si>
  <si>
    <t>DARK-279-20251020-15_08_17</t>
  </si>
  <si>
    <t>20251020 15:10:41</t>
  </si>
  <si>
    <t>15:10:41</t>
  </si>
  <si>
    <t>MPF-280-20251020-15_10_05</t>
  </si>
  <si>
    <t>DARK-281-20251020-15_10_11</t>
  </si>
  <si>
    <t>20251020 15:12:23</t>
  </si>
  <si>
    <t>15:12:23</t>
  </si>
  <si>
    <t>MPF-282-20251020-15_11_47</t>
  </si>
  <si>
    <t>20251020 15:22:47</t>
  </si>
  <si>
    <t>15:22:47</t>
  </si>
  <si>
    <t>gg_30</t>
  </si>
  <si>
    <t>20251020 15:22:52</t>
  </si>
  <si>
    <t>15:22:52</t>
  </si>
  <si>
    <t>20251020 15:22:57</t>
  </si>
  <si>
    <t>15:22:57</t>
  </si>
  <si>
    <t>20251020 15:23:02</t>
  </si>
  <si>
    <t>15:23:02</t>
  </si>
  <si>
    <t>20251020 15:23:07</t>
  </si>
  <si>
    <t>15:23:07</t>
  </si>
  <si>
    <t>20251020 15:23:12</t>
  </si>
  <si>
    <t>15:23:12</t>
  </si>
  <si>
    <t>20251020 15:23:17</t>
  </si>
  <si>
    <t>15:23:17</t>
  </si>
  <si>
    <t>20251020 15:23:22</t>
  </si>
  <si>
    <t>15:23:22</t>
  </si>
  <si>
    <t>20251020 15:23:27</t>
  </si>
  <si>
    <t>15:23:27</t>
  </si>
  <si>
    <t>20251020 15:23:32</t>
  </si>
  <si>
    <t>15:23:32</t>
  </si>
  <si>
    <t>20251020 15:23:37</t>
  </si>
  <si>
    <t>15:23:37</t>
  </si>
  <si>
    <t>20251020 15:23:42</t>
  </si>
  <si>
    <t>15:23:42</t>
  </si>
  <si>
    <t>20251020 15:23:47</t>
  </si>
  <si>
    <t>15:23:47</t>
  </si>
  <si>
    <t>20251020 15:23:52</t>
  </si>
  <si>
    <t>15:23:52</t>
  </si>
  <si>
    <t>20251020 15:23:57</t>
  </si>
  <si>
    <t>15:23:57</t>
  </si>
  <si>
    <t>20251020 15:24:02</t>
  </si>
  <si>
    <t>15:24:02</t>
  </si>
  <si>
    <t>20251020 15:24:07</t>
  </si>
  <si>
    <t>15:24:07</t>
  </si>
  <si>
    <t>20251020 15:24:12</t>
  </si>
  <si>
    <t>15:24:12</t>
  </si>
  <si>
    <t>20251020 15:24:17</t>
  </si>
  <si>
    <t>15:24:17</t>
  </si>
  <si>
    <t>20251020 15:24:22</t>
  </si>
  <si>
    <t>15:24:22</t>
  </si>
  <si>
    <t>20251020 15:24:27</t>
  </si>
  <si>
    <t>15:24:27</t>
  </si>
  <si>
    <t>20251020 15:24:32</t>
  </si>
  <si>
    <t>15:24:32</t>
  </si>
  <si>
    <t>20251020 15:24:37</t>
  </si>
  <si>
    <t>15:24:37</t>
  </si>
  <si>
    <t>20251020 15:24:42</t>
  </si>
  <si>
    <t>15:24:42</t>
  </si>
  <si>
    <t>20251020 15:26:19</t>
  </si>
  <si>
    <t>15:26:19</t>
  </si>
  <si>
    <t>20251020 15:26:24</t>
  </si>
  <si>
    <t>15:26:24</t>
  </si>
  <si>
    <t>20251020 15:26:29</t>
  </si>
  <si>
    <t>15:26:29</t>
  </si>
  <si>
    <t>20251020 15:26:34</t>
  </si>
  <si>
    <t>15:26:34</t>
  </si>
  <si>
    <t>20251020 15:26:39</t>
  </si>
  <si>
    <t>15:26:39</t>
  </si>
  <si>
    <t>20251020 15:26:44</t>
  </si>
  <si>
    <t>15:26:44</t>
  </si>
  <si>
    <t>20251020 15:26:49</t>
  </si>
  <si>
    <t>15:26:49</t>
  </si>
  <si>
    <t>20251020 15:26:54</t>
  </si>
  <si>
    <t>15:26:54</t>
  </si>
  <si>
    <t>20251020 15:26:59</t>
  </si>
  <si>
    <t>15:26:59</t>
  </si>
  <si>
    <t>20251020 15:27:04</t>
  </si>
  <si>
    <t>15:27:04</t>
  </si>
  <si>
    <t>20251020 15:27:09</t>
  </si>
  <si>
    <t>15:27:09</t>
  </si>
  <si>
    <t>20251020 15:27:14</t>
  </si>
  <si>
    <t>15:27:14</t>
  </si>
  <si>
    <t>20251020 15:27:19</t>
  </si>
  <si>
    <t>15:27:19</t>
  </si>
  <si>
    <t>20251020 15:27:24</t>
  </si>
  <si>
    <t>15:27:24</t>
  </si>
  <si>
    <t>20251020 15:27:29</t>
  </si>
  <si>
    <t>15:27:29</t>
  </si>
  <si>
    <t>20251020 15:27:34</t>
  </si>
  <si>
    <t>15:27:34</t>
  </si>
  <si>
    <t>20251020 15:27:39</t>
  </si>
  <si>
    <t>15:27:39</t>
  </si>
  <si>
    <t>20251020 15:27:44</t>
  </si>
  <si>
    <t>15:27:44</t>
  </si>
  <si>
    <t>20251020 15:27:49</t>
  </si>
  <si>
    <t>15:27:49</t>
  </si>
  <si>
    <t>20251020 15:27:54</t>
  </si>
  <si>
    <t>15:27:54</t>
  </si>
  <si>
    <t>20251020 15:27:59</t>
  </si>
  <si>
    <t>15:27:59</t>
  </si>
  <si>
    <t>20251020 15:28:04</t>
  </si>
  <si>
    <t>15:28:04</t>
  </si>
  <si>
    <t>20251020 15:28:09</t>
  </si>
  <si>
    <t>15:28:09</t>
  </si>
  <si>
    <t>20251020 15:28:14</t>
  </si>
  <si>
    <t>15:28:14</t>
  </si>
  <si>
    <t>20251020 15:28:19</t>
  </si>
  <si>
    <t>15:28:19</t>
  </si>
  <si>
    <t>20251020 15:28:24</t>
  </si>
  <si>
    <t>15:28:24</t>
  </si>
  <si>
    <t>20251020 15:28:29</t>
  </si>
  <si>
    <t>15:28:29</t>
  </si>
  <si>
    <t>20251020 15:28:34</t>
  </si>
  <si>
    <t>15:28:34</t>
  </si>
  <si>
    <t>20251020 15:28:39</t>
  </si>
  <si>
    <t>15:28:39</t>
  </si>
  <si>
    <t>20251020 15:28:44</t>
  </si>
  <si>
    <t>15:28:44</t>
  </si>
  <si>
    <t>20251020 15:28:49</t>
  </si>
  <si>
    <t>15:28:49</t>
  </si>
  <si>
    <t>20251020 15:28:54</t>
  </si>
  <si>
    <t>15:28:54</t>
  </si>
  <si>
    <t>20251020 15:28:59</t>
  </si>
  <si>
    <t>15:28:59</t>
  </si>
  <si>
    <t>20251020 15:29:04</t>
  </si>
  <si>
    <t>15:29:04</t>
  </si>
  <si>
    <t>20251020 15:29:09</t>
  </si>
  <si>
    <t>15:29:09</t>
  </si>
  <si>
    <t>20251020 15:29:14</t>
  </si>
  <si>
    <t>15:29:14</t>
  </si>
  <si>
    <t>20251020 15:29:19</t>
  </si>
  <si>
    <t>15:29:19</t>
  </si>
  <si>
    <t>20251020 15:29:24</t>
  </si>
  <si>
    <t>15:29:24</t>
  </si>
  <si>
    <t>20251020 15:29:29</t>
  </si>
  <si>
    <t>15:29:29</t>
  </si>
  <si>
    <t>20251020 15:29:34</t>
  </si>
  <si>
    <t>15:29:34</t>
  </si>
  <si>
    <t>20251020 15:29:39</t>
  </si>
  <si>
    <t>15:29:39</t>
  </si>
  <si>
    <t>20251020 15:29:44</t>
  </si>
  <si>
    <t>15:29:44</t>
  </si>
  <si>
    <t>20251020 15:29:49</t>
  </si>
  <si>
    <t>15:29:49</t>
  </si>
  <si>
    <t>20251020 15:29:54</t>
  </si>
  <si>
    <t>15:29:54</t>
  </si>
  <si>
    <t>20251020 15:29:59</t>
  </si>
  <si>
    <t>15:29:59</t>
  </si>
  <si>
    <t>20251020 15:30:04</t>
  </si>
  <si>
    <t>15:30:04</t>
  </si>
  <si>
    <t>20251020 15:30:09</t>
  </si>
  <si>
    <t>15:30:09</t>
  </si>
  <si>
    <t>20251020 15:30:14</t>
  </si>
  <si>
    <t>15:30:14</t>
  </si>
  <si>
    <t>20251020 15:30:19</t>
  </si>
  <si>
    <t>15:30:19</t>
  </si>
  <si>
    <t>20251020 15:30:24</t>
  </si>
  <si>
    <t>15:30:24</t>
  </si>
  <si>
    <t>20251020 15:30:29</t>
  </si>
  <si>
    <t>15:30:29</t>
  </si>
  <si>
    <t>20251020 15:30:34</t>
  </si>
  <si>
    <t>15:30:34</t>
  </si>
  <si>
    <t>20251020 15:30:40</t>
  </si>
  <si>
    <t>15:30:40</t>
  </si>
  <si>
    <t>20251020 15:30:44</t>
  </si>
  <si>
    <t>15:30:44</t>
  </si>
  <si>
    <t>20251020 15:30:49</t>
  </si>
  <si>
    <t>15:30:49</t>
  </si>
  <si>
    <t>20251020 15:30:55</t>
  </si>
  <si>
    <t>15:30:55</t>
  </si>
  <si>
    <t>20251020 15:30:59</t>
  </si>
  <si>
    <t>15:30:59</t>
  </si>
  <si>
    <t>20251020 15:31:04</t>
  </si>
  <si>
    <t>15:31:04</t>
  </si>
  <si>
    <t>20251020 15:31:09</t>
  </si>
  <si>
    <t>15:31:09</t>
  </si>
  <si>
    <t>20251020 15:31:14</t>
  </si>
  <si>
    <t>15:31:14</t>
  </si>
  <si>
    <t>20251020 15:31:19</t>
  </si>
  <si>
    <t>15:31:19</t>
  </si>
  <si>
    <t>20251020 15:31:24</t>
  </si>
  <si>
    <t>15:31:24</t>
  </si>
  <si>
    <t>20251020 15:31:29</t>
  </si>
  <si>
    <t>15:31:29</t>
  </si>
  <si>
    <t>20251020 15:31:34</t>
  </si>
  <si>
    <t>15:31:34</t>
  </si>
  <si>
    <t>20251020 15:31:39</t>
  </si>
  <si>
    <t>15:31:39</t>
  </si>
  <si>
    <t>20251020 15:31:44</t>
  </si>
  <si>
    <t>15:31:44</t>
  </si>
  <si>
    <t>20251020 15:31:49</t>
  </si>
  <si>
    <t>15:31:49</t>
  </si>
  <si>
    <t>20251020 15:31:54</t>
  </si>
  <si>
    <t>15:31:54</t>
  </si>
  <si>
    <t>20251020 15:31:59</t>
  </si>
  <si>
    <t>15:31:59</t>
  </si>
  <si>
    <t>20251020 15:32:04</t>
  </si>
  <si>
    <t>15:32:04</t>
  </si>
  <si>
    <t>20251020 15:32:09</t>
  </si>
  <si>
    <t>15:32:09</t>
  </si>
  <si>
    <t>20251020 15:32:14</t>
  </si>
  <si>
    <t>15:32:14</t>
  </si>
  <si>
    <t>20251020 15:50:08</t>
  </si>
  <si>
    <t>15:50:08</t>
  </si>
  <si>
    <t>MPF-283-20251020-15_49_31</t>
  </si>
  <si>
    <t>DARK-284-20251020-15_49_38</t>
  </si>
  <si>
    <t>20251020 15:51:18</t>
  </si>
  <si>
    <t>15:51:18</t>
  </si>
  <si>
    <t>20251020 15:52:19</t>
  </si>
  <si>
    <t>15:52:19</t>
  </si>
  <si>
    <t>MPF-285-20251020-15_51_43</t>
  </si>
  <si>
    <t>DARK-286-20251020-15_51_49</t>
  </si>
  <si>
    <t>20251020 15:53:31</t>
  </si>
  <si>
    <t>15:53:31</t>
  </si>
  <si>
    <t>20251020 15:54:56</t>
  </si>
  <si>
    <t>15:54:56</t>
  </si>
  <si>
    <t>MPF-287-20251020-15_54_20</t>
  </si>
  <si>
    <t>DARK-288-20251020-15_54_26</t>
  </si>
  <si>
    <t>20251020 15:56:36</t>
  </si>
  <si>
    <t>15:56:36</t>
  </si>
  <si>
    <t>MPF-289-20251020-15_56_00</t>
  </si>
  <si>
    <t>DARK-290-20251020-15_56_06</t>
  </si>
  <si>
    <t>20251020 15:58:12</t>
  </si>
  <si>
    <t>15:58:12</t>
  </si>
  <si>
    <t>MPF-291-20251020-15_57_36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</si>
</sst>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KK222"/>
  <sheetViews>
    <sheetView tabSelected="1" workbookViewId="0"/>
  </sheetViews>
  <sheetFormatPr defaultRowHeight="15"/>
  <sheetData>
    <row r="2" spans="1:297">
      <c r="A2" t="s">
        <v>31</v>
      </c>
      <c r="B2" t="s">
        <v>32</v>
      </c>
      <c r="C2" t="s">
        <v>33</v>
      </c>
    </row>
    <row r="3" spans="1:297">
      <c r="B3">
        <v>4</v>
      </c>
      <c r="C3">
        <v>21</v>
      </c>
    </row>
    <row r="4" spans="1:297">
      <c r="A4" t="s">
        <v>34</v>
      </c>
      <c r="B4" t="s">
        <v>35</v>
      </c>
      <c r="C4" t="s">
        <v>36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</row>
    <row r="5" spans="1:297">
      <c r="B5" t="s">
        <v>21</v>
      </c>
      <c r="C5" t="s">
        <v>37</v>
      </c>
      <c r="D5">
        <v>0.578</v>
      </c>
      <c r="E5">
        <v>0.5229739</v>
      </c>
      <c r="F5">
        <v>0.003740252</v>
      </c>
      <c r="G5">
        <v>-0.06197961</v>
      </c>
      <c r="H5">
        <v>-0.005608586</v>
      </c>
      <c r="I5">
        <v>1</v>
      </c>
      <c r="J5">
        <v>6</v>
      </c>
      <c r="K5">
        <v>96.9</v>
      </c>
    </row>
    <row r="6" spans="1:297">
      <c r="A6" t="s">
        <v>46</v>
      </c>
      <c r="B6" t="s">
        <v>47</v>
      </c>
      <c r="C6" t="s">
        <v>48</v>
      </c>
      <c r="D6" t="s">
        <v>49</v>
      </c>
      <c r="E6" t="s">
        <v>50</v>
      </c>
    </row>
    <row r="7" spans="1:297">
      <c r="B7">
        <v>0</v>
      </c>
      <c r="C7">
        <v>0</v>
      </c>
      <c r="D7">
        <v>0</v>
      </c>
      <c r="E7">
        <v>1</v>
      </c>
    </row>
    <row r="8" spans="1:297">
      <c r="A8" t="s">
        <v>51</v>
      </c>
      <c r="B8" t="s">
        <v>52</v>
      </c>
      <c r="C8" t="s">
        <v>54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s">
        <v>66</v>
      </c>
      <c r="O8" t="s">
        <v>67</v>
      </c>
      <c r="P8" t="s">
        <v>68</v>
      </c>
      <c r="Q8" t="s">
        <v>69</v>
      </c>
    </row>
    <row r="9" spans="1:297">
      <c r="B9" t="s">
        <v>53</v>
      </c>
      <c r="C9" t="s">
        <v>55</v>
      </c>
      <c r="D9">
        <v>0.76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0.1725</v>
      </c>
      <c r="L9">
        <v>0.1512</v>
      </c>
      <c r="M9">
        <v>0.161</v>
      </c>
      <c r="N9">
        <v>0.2262</v>
      </c>
      <c r="O9">
        <v>0.1575</v>
      </c>
      <c r="P9">
        <v>0.1596</v>
      </c>
      <c r="Q9">
        <v>0.2175</v>
      </c>
    </row>
    <row r="10" spans="1:297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</row>
    <row r="11" spans="1:297">
      <c r="B11">
        <v>0</v>
      </c>
      <c r="C11">
        <v>0</v>
      </c>
      <c r="D11">
        <v>0</v>
      </c>
      <c r="E11">
        <v>0</v>
      </c>
      <c r="F11">
        <v>1</v>
      </c>
    </row>
    <row r="12" spans="1:297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83</v>
      </c>
      <c r="H12" t="s">
        <v>85</v>
      </c>
    </row>
    <row r="13" spans="1:297">
      <c r="B13">
        <v>-6276</v>
      </c>
      <c r="C13">
        <v>6.6</v>
      </c>
      <c r="D13">
        <v>1.709e-05</v>
      </c>
      <c r="E13">
        <v>3.11</v>
      </c>
      <c r="F13" t="s">
        <v>82</v>
      </c>
      <c r="G13" t="s">
        <v>84</v>
      </c>
      <c r="H13">
        <v>0</v>
      </c>
    </row>
    <row r="14" spans="1:297">
      <c r="A14" t="s">
        <v>86</v>
      </c>
      <c r="B14" t="s">
        <v>86</v>
      </c>
      <c r="C14" t="s">
        <v>86</v>
      </c>
      <c r="D14" t="s">
        <v>86</v>
      </c>
      <c r="E14" t="s">
        <v>86</v>
      </c>
      <c r="F14" t="s">
        <v>86</v>
      </c>
      <c r="G14" t="s">
        <v>87</v>
      </c>
      <c r="H14" t="s">
        <v>87</v>
      </c>
      <c r="I14" t="s">
        <v>88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X14" t="s">
        <v>88</v>
      </c>
      <c r="Y14" t="s">
        <v>88</v>
      </c>
      <c r="Z14" t="s">
        <v>88</v>
      </c>
      <c r="AA14" t="s">
        <v>88</v>
      </c>
      <c r="AB14" t="s">
        <v>88</v>
      </c>
      <c r="AC14" t="s">
        <v>88</v>
      </c>
      <c r="AD14" t="s">
        <v>88</v>
      </c>
      <c r="AE14" t="s">
        <v>88</v>
      </c>
      <c r="AF14" t="s">
        <v>88</v>
      </c>
      <c r="AG14" t="s">
        <v>88</v>
      </c>
      <c r="AH14" t="s">
        <v>88</v>
      </c>
      <c r="AI14" t="s">
        <v>89</v>
      </c>
      <c r="AJ14" t="s">
        <v>89</v>
      </c>
      <c r="AK14" t="s">
        <v>89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90</v>
      </c>
      <c r="AT14" t="s">
        <v>90</v>
      </c>
      <c r="AU14" t="s">
        <v>90</v>
      </c>
      <c r="AV14" t="s">
        <v>90</v>
      </c>
      <c r="AW14" t="s">
        <v>90</v>
      </c>
      <c r="AX14" t="s">
        <v>91</v>
      </c>
      <c r="AY14" t="s">
        <v>91</v>
      </c>
      <c r="AZ14" t="s">
        <v>91</v>
      </c>
      <c r="BA14" t="s">
        <v>91</v>
      </c>
      <c r="BB14" t="s">
        <v>91</v>
      </c>
      <c r="BC14" t="s">
        <v>91</v>
      </c>
      <c r="BD14" t="s">
        <v>91</v>
      </c>
      <c r="BE14" t="s">
        <v>91</v>
      </c>
      <c r="BF14" t="s">
        <v>91</v>
      </c>
      <c r="BG14" t="s">
        <v>91</v>
      </c>
      <c r="BH14" t="s">
        <v>91</v>
      </c>
      <c r="BI14" t="s">
        <v>91</v>
      </c>
      <c r="BJ14" t="s">
        <v>91</v>
      </c>
      <c r="BK14" t="s">
        <v>91</v>
      </c>
      <c r="BL14" t="s">
        <v>91</v>
      </c>
      <c r="BM14" t="s">
        <v>91</v>
      </c>
      <c r="BN14" t="s">
        <v>91</v>
      </c>
      <c r="BO14" t="s">
        <v>91</v>
      </c>
      <c r="BP14" t="s">
        <v>91</v>
      </c>
      <c r="BQ14" t="s">
        <v>91</v>
      </c>
      <c r="BR14" t="s">
        <v>91</v>
      </c>
      <c r="BS14" t="s">
        <v>91</v>
      </c>
      <c r="BT14" t="s">
        <v>91</v>
      </c>
      <c r="BU14" t="s">
        <v>91</v>
      </c>
      <c r="BV14" t="s">
        <v>91</v>
      </c>
      <c r="BW14" t="s">
        <v>91</v>
      </c>
      <c r="BX14" t="s">
        <v>91</v>
      </c>
      <c r="BY14" t="s">
        <v>91</v>
      </c>
      <c r="BZ14" t="s">
        <v>92</v>
      </c>
      <c r="CA14" t="s">
        <v>92</v>
      </c>
      <c r="CB14" t="s">
        <v>92</v>
      </c>
      <c r="CC14" t="s">
        <v>92</v>
      </c>
      <c r="CD14" t="s">
        <v>92</v>
      </c>
      <c r="CE14" t="s">
        <v>92</v>
      </c>
      <c r="CF14" t="s">
        <v>92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92</v>
      </c>
      <c r="CU14" t="s">
        <v>93</v>
      </c>
      <c r="CV14" t="s">
        <v>93</v>
      </c>
      <c r="CW14" t="s">
        <v>93</v>
      </c>
      <c r="CX14" t="s">
        <v>93</v>
      </c>
      <c r="CY14" t="s">
        <v>93</v>
      </c>
      <c r="CZ14" t="s">
        <v>93</v>
      </c>
      <c r="DA14" t="s">
        <v>93</v>
      </c>
      <c r="DB14" t="s">
        <v>93</v>
      </c>
      <c r="DC14" t="s">
        <v>93</v>
      </c>
      <c r="DD14" t="s">
        <v>93</v>
      </c>
      <c r="DE14" t="s">
        <v>93</v>
      </c>
      <c r="DF14" t="s">
        <v>93</v>
      </c>
      <c r="DG14" t="s">
        <v>93</v>
      </c>
      <c r="DH14" t="s">
        <v>94</v>
      </c>
      <c r="DI14" t="s">
        <v>94</v>
      </c>
      <c r="DJ14" t="s">
        <v>94</v>
      </c>
      <c r="DK14" t="s">
        <v>94</v>
      </c>
      <c r="DL14" t="s">
        <v>95</v>
      </c>
      <c r="DM14" t="s">
        <v>95</v>
      </c>
      <c r="DN14" t="s">
        <v>95</v>
      </c>
      <c r="DO14" t="s">
        <v>95</v>
      </c>
      <c r="DP14" t="s">
        <v>95</v>
      </c>
      <c r="DQ14" t="s">
        <v>96</v>
      </c>
      <c r="DR14" t="s">
        <v>96</v>
      </c>
      <c r="DS14" t="s">
        <v>96</v>
      </c>
      <c r="DT14" t="s">
        <v>96</v>
      </c>
      <c r="DU14" t="s">
        <v>96</v>
      </c>
      <c r="DV14" t="s">
        <v>96</v>
      </c>
      <c r="DW14" t="s">
        <v>96</v>
      </c>
      <c r="DX14" t="s">
        <v>96</v>
      </c>
      <c r="DY14" t="s">
        <v>96</v>
      </c>
      <c r="DZ14" t="s">
        <v>96</v>
      </c>
      <c r="EA14" t="s">
        <v>96</v>
      </c>
      <c r="EB14" t="s">
        <v>96</v>
      </c>
      <c r="EC14" t="s">
        <v>96</v>
      </c>
      <c r="ED14" t="s">
        <v>96</v>
      </c>
      <c r="EE14" t="s">
        <v>96</v>
      </c>
      <c r="EF14" t="s">
        <v>96</v>
      </c>
      <c r="EG14" t="s">
        <v>96</v>
      </c>
      <c r="EH14" t="s">
        <v>96</v>
      </c>
      <c r="EI14" t="s">
        <v>97</v>
      </c>
      <c r="EJ14" t="s">
        <v>97</v>
      </c>
      <c r="EK14" t="s">
        <v>97</v>
      </c>
      <c r="EL14" t="s">
        <v>97</v>
      </c>
      <c r="EM14" t="s">
        <v>97</v>
      </c>
      <c r="EN14" t="s">
        <v>97</v>
      </c>
      <c r="EO14" t="s">
        <v>97</v>
      </c>
      <c r="EP14" t="s">
        <v>97</v>
      </c>
      <c r="EQ14" t="s">
        <v>97</v>
      </c>
      <c r="ER14" t="s">
        <v>97</v>
      </c>
      <c r="ES14" t="s">
        <v>98</v>
      </c>
      <c r="ET14" t="s">
        <v>98</v>
      </c>
      <c r="EU14" t="s">
        <v>98</v>
      </c>
      <c r="EV14" t="s">
        <v>98</v>
      </c>
      <c r="EW14" t="s">
        <v>98</v>
      </c>
      <c r="EX14" t="s">
        <v>98</v>
      </c>
      <c r="EY14" t="s">
        <v>98</v>
      </c>
      <c r="EZ14" t="s">
        <v>98</v>
      </c>
      <c r="FA14" t="s">
        <v>98</v>
      </c>
      <c r="FB14" t="s">
        <v>98</v>
      </c>
      <c r="FC14" t="s">
        <v>98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99</v>
      </c>
      <c r="FL14" t="s">
        <v>99</v>
      </c>
      <c r="FM14" t="s">
        <v>99</v>
      </c>
      <c r="FN14" t="s">
        <v>99</v>
      </c>
      <c r="FO14" t="s">
        <v>99</v>
      </c>
      <c r="FP14" t="s">
        <v>100</v>
      </c>
      <c r="FQ14" t="s">
        <v>100</v>
      </c>
      <c r="FR14" t="s">
        <v>100</v>
      </c>
      <c r="FS14" t="s">
        <v>100</v>
      </c>
      <c r="FT14" t="s">
        <v>100</v>
      </c>
      <c r="FU14" t="s">
        <v>100</v>
      </c>
      <c r="FV14" t="s">
        <v>100</v>
      </c>
      <c r="FW14" t="s">
        <v>100</v>
      </c>
      <c r="FX14" t="s">
        <v>100</v>
      </c>
      <c r="FY14" t="s">
        <v>100</v>
      </c>
      <c r="FZ14" t="s">
        <v>100</v>
      </c>
      <c r="GA14" t="s">
        <v>100</v>
      </c>
      <c r="GB14" t="s">
        <v>100</v>
      </c>
      <c r="GC14" t="s">
        <v>101</v>
      </c>
      <c r="GD14" t="s">
        <v>101</v>
      </c>
      <c r="GE14" t="s">
        <v>101</v>
      </c>
      <c r="GF14" t="s">
        <v>101</v>
      </c>
      <c r="GG14" t="s">
        <v>101</v>
      </c>
      <c r="GH14" t="s">
        <v>101</v>
      </c>
      <c r="GI14" t="s">
        <v>101</v>
      </c>
      <c r="GJ14" t="s">
        <v>101</v>
      </c>
      <c r="GK14" t="s">
        <v>101</v>
      </c>
      <c r="GL14" t="s">
        <v>101</v>
      </c>
      <c r="GM14" t="s">
        <v>101</v>
      </c>
      <c r="GN14" t="s">
        <v>101</v>
      </c>
      <c r="GO14" t="s">
        <v>101</v>
      </c>
      <c r="GP14" t="s">
        <v>101</v>
      </c>
      <c r="GQ14" t="s">
        <v>101</v>
      </c>
      <c r="GR14" t="s">
        <v>102</v>
      </c>
      <c r="GS14" t="s">
        <v>102</v>
      </c>
      <c r="GT14" t="s">
        <v>102</v>
      </c>
      <c r="GU14" t="s">
        <v>102</v>
      </c>
      <c r="GV14" t="s">
        <v>102</v>
      </c>
      <c r="GW14" t="s">
        <v>102</v>
      </c>
      <c r="GX14" t="s">
        <v>102</v>
      </c>
      <c r="GY14" t="s">
        <v>102</v>
      </c>
      <c r="GZ14" t="s">
        <v>102</v>
      </c>
      <c r="HA14" t="s">
        <v>102</v>
      </c>
      <c r="HB14" t="s">
        <v>102</v>
      </c>
      <c r="HC14" t="s">
        <v>102</v>
      </c>
      <c r="HD14" t="s">
        <v>102</v>
      </c>
      <c r="HE14" t="s">
        <v>102</v>
      </c>
      <c r="HF14" t="s">
        <v>102</v>
      </c>
      <c r="HG14" t="s">
        <v>102</v>
      </c>
      <c r="HH14" t="s">
        <v>102</v>
      </c>
      <c r="HI14" t="s">
        <v>102</v>
      </c>
      <c r="HJ14" t="s">
        <v>103</v>
      </c>
      <c r="HK14" t="s">
        <v>103</v>
      </c>
      <c r="HL14" t="s">
        <v>103</v>
      </c>
      <c r="HM14" t="s">
        <v>103</v>
      </c>
      <c r="HN14" t="s">
        <v>103</v>
      </c>
      <c r="HO14" t="s">
        <v>103</v>
      </c>
      <c r="HP14" t="s">
        <v>103</v>
      </c>
      <c r="HQ14" t="s">
        <v>103</v>
      </c>
      <c r="HR14" t="s">
        <v>103</v>
      </c>
      <c r="HS14" t="s">
        <v>103</v>
      </c>
      <c r="HT14" t="s">
        <v>103</v>
      </c>
      <c r="HU14" t="s">
        <v>103</v>
      </c>
      <c r="HV14" t="s">
        <v>103</v>
      </c>
      <c r="HW14" t="s">
        <v>103</v>
      </c>
      <c r="HX14" t="s">
        <v>103</v>
      </c>
      <c r="HY14" t="s">
        <v>103</v>
      </c>
      <c r="HZ14" t="s">
        <v>103</v>
      </c>
      <c r="IA14" t="s">
        <v>103</v>
      </c>
      <c r="IB14" t="s">
        <v>103</v>
      </c>
      <c r="IC14" t="s">
        <v>104</v>
      </c>
      <c r="ID14" t="s">
        <v>104</v>
      </c>
      <c r="IE14" t="s">
        <v>104</v>
      </c>
      <c r="IF14" t="s">
        <v>104</v>
      </c>
      <c r="IG14" t="s">
        <v>104</v>
      </c>
      <c r="IH14" t="s">
        <v>104</v>
      </c>
      <c r="II14" t="s">
        <v>104</v>
      </c>
      <c r="IJ14" t="s">
        <v>104</v>
      </c>
      <c r="IK14" t="s">
        <v>104</v>
      </c>
      <c r="IL14" t="s">
        <v>104</v>
      </c>
      <c r="IM14" t="s">
        <v>104</v>
      </c>
      <c r="IN14" t="s">
        <v>104</v>
      </c>
      <c r="IO14" t="s">
        <v>104</v>
      </c>
      <c r="IP14" t="s">
        <v>104</v>
      </c>
      <c r="IQ14" t="s">
        <v>104</v>
      </c>
      <c r="IR14" t="s">
        <v>104</v>
      </c>
      <c r="IS14" t="s">
        <v>104</v>
      </c>
      <c r="IT14" t="s">
        <v>104</v>
      </c>
      <c r="IU14" t="s">
        <v>104</v>
      </c>
      <c r="IV14" t="s">
        <v>105</v>
      </c>
      <c r="IW14" t="s">
        <v>105</v>
      </c>
      <c r="IX14" t="s">
        <v>105</v>
      </c>
      <c r="IY14" t="s">
        <v>105</v>
      </c>
      <c r="IZ14" t="s">
        <v>105</v>
      </c>
      <c r="JA14" t="s">
        <v>105</v>
      </c>
      <c r="JB14" t="s">
        <v>105</v>
      </c>
      <c r="JC14" t="s">
        <v>105</v>
      </c>
      <c r="JD14" t="s">
        <v>105</v>
      </c>
      <c r="JE14" t="s">
        <v>105</v>
      </c>
      <c r="JF14" t="s">
        <v>105</v>
      </c>
      <c r="JG14" t="s">
        <v>105</v>
      </c>
      <c r="JH14" t="s">
        <v>105</v>
      </c>
      <c r="JI14" t="s">
        <v>105</v>
      </c>
      <c r="JJ14" t="s">
        <v>105</v>
      </c>
      <c r="JK14" t="s">
        <v>105</v>
      </c>
      <c r="JL14" t="s">
        <v>105</v>
      </c>
      <c r="JM14" t="s">
        <v>105</v>
      </c>
      <c r="JN14" t="s">
        <v>106</v>
      </c>
      <c r="JO14" t="s">
        <v>106</v>
      </c>
      <c r="JP14" t="s">
        <v>106</v>
      </c>
      <c r="JQ14" t="s">
        <v>106</v>
      </c>
      <c r="JR14" t="s">
        <v>106</v>
      </c>
      <c r="JS14" t="s">
        <v>106</v>
      </c>
      <c r="JT14" t="s">
        <v>106</v>
      </c>
      <c r="JU14" t="s">
        <v>106</v>
      </c>
      <c r="JV14" t="s">
        <v>107</v>
      </c>
      <c r="JW14" t="s">
        <v>107</v>
      </c>
      <c r="JX14" t="s">
        <v>107</v>
      </c>
      <c r="JY14" t="s">
        <v>107</v>
      </c>
      <c r="JZ14" t="s">
        <v>107</v>
      </c>
      <c r="KA14" t="s">
        <v>107</v>
      </c>
      <c r="KB14" t="s">
        <v>107</v>
      </c>
      <c r="KC14" t="s">
        <v>107</v>
      </c>
      <c r="KD14" t="s">
        <v>107</v>
      </c>
      <c r="KE14" t="s">
        <v>107</v>
      </c>
      <c r="KF14" t="s">
        <v>107</v>
      </c>
      <c r="KG14" t="s">
        <v>107</v>
      </c>
      <c r="KH14" t="s">
        <v>107</v>
      </c>
      <c r="KI14" t="s">
        <v>107</v>
      </c>
      <c r="KJ14" t="s">
        <v>107</v>
      </c>
      <c r="KK14" t="s">
        <v>107</v>
      </c>
    </row>
    <row r="15" spans="1:297">
      <c r="A15" t="s">
        <v>108</v>
      </c>
      <c r="B15" t="s">
        <v>109</v>
      </c>
      <c r="C15" t="s">
        <v>110</v>
      </c>
      <c r="D15" t="s">
        <v>111</v>
      </c>
      <c r="E15" t="s">
        <v>112</v>
      </c>
      <c r="F15" t="s">
        <v>113</v>
      </c>
      <c r="G15" t="s">
        <v>114</v>
      </c>
      <c r="H15" t="s">
        <v>115</v>
      </c>
      <c r="I15" t="s">
        <v>116</v>
      </c>
      <c r="J15" t="s">
        <v>117</v>
      </c>
      <c r="K15" t="s">
        <v>118</v>
      </c>
      <c r="L15" t="s">
        <v>119</v>
      </c>
      <c r="M15" t="s">
        <v>120</v>
      </c>
      <c r="N15" t="s">
        <v>121</v>
      </c>
      <c r="O15" t="s">
        <v>122</v>
      </c>
      <c r="P15" t="s">
        <v>123</v>
      </c>
      <c r="Q15" t="s">
        <v>124</v>
      </c>
      <c r="R15" t="s">
        <v>125</v>
      </c>
      <c r="S15" t="s">
        <v>126</v>
      </c>
      <c r="T15" t="s">
        <v>127</v>
      </c>
      <c r="U15" t="s">
        <v>128</v>
      </c>
      <c r="V15" t="s">
        <v>129</v>
      </c>
      <c r="W15" t="s">
        <v>130</v>
      </c>
      <c r="X15" t="s">
        <v>131</v>
      </c>
      <c r="Y15" t="s">
        <v>132</v>
      </c>
      <c r="Z15" t="s">
        <v>133</v>
      </c>
      <c r="AA15" t="s">
        <v>134</v>
      </c>
      <c r="AB15" t="s">
        <v>135</v>
      </c>
      <c r="AC15" t="s">
        <v>136</v>
      </c>
      <c r="AD15" t="s">
        <v>137</v>
      </c>
      <c r="AE15" t="s">
        <v>138</v>
      </c>
      <c r="AF15" t="s">
        <v>139</v>
      </c>
      <c r="AG15" t="s">
        <v>140</v>
      </c>
      <c r="AH15" t="s">
        <v>141</v>
      </c>
      <c r="AI15" t="s">
        <v>142</v>
      </c>
      <c r="AJ15" t="s">
        <v>143</v>
      </c>
      <c r="AK15" t="s">
        <v>144</v>
      </c>
      <c r="AL15" t="s">
        <v>145</v>
      </c>
      <c r="AM15" t="s">
        <v>146</v>
      </c>
      <c r="AN15" t="s">
        <v>147</v>
      </c>
      <c r="AO15" t="s">
        <v>148</v>
      </c>
      <c r="AP15" t="s">
        <v>149</v>
      </c>
      <c r="AQ15" t="s">
        <v>150</v>
      </c>
      <c r="AR15" t="s">
        <v>151</v>
      </c>
      <c r="AS15" t="s">
        <v>90</v>
      </c>
      <c r="AT15" t="s">
        <v>152</v>
      </c>
      <c r="AU15" t="s">
        <v>153</v>
      </c>
      <c r="AV15" t="s">
        <v>154</v>
      </c>
      <c r="AW15" t="s">
        <v>155</v>
      </c>
      <c r="AX15" t="s">
        <v>156</v>
      </c>
      <c r="AY15" t="s">
        <v>157</v>
      </c>
      <c r="AZ15" t="s">
        <v>158</v>
      </c>
      <c r="BA15" t="s">
        <v>159</v>
      </c>
      <c r="BB15" t="s">
        <v>160</v>
      </c>
      <c r="BC15" t="s">
        <v>161</v>
      </c>
      <c r="BD15" t="s">
        <v>162</v>
      </c>
      <c r="BE15" t="s">
        <v>163</v>
      </c>
      <c r="BF15" t="s">
        <v>164</v>
      </c>
      <c r="BG15" t="s">
        <v>165</v>
      </c>
      <c r="BH15" t="s">
        <v>166</v>
      </c>
      <c r="BI15" t="s">
        <v>167</v>
      </c>
      <c r="BJ15" t="s">
        <v>168</v>
      </c>
      <c r="BK15" t="s">
        <v>169</v>
      </c>
      <c r="BL15" t="s">
        <v>170</v>
      </c>
      <c r="BM15" t="s">
        <v>171</v>
      </c>
      <c r="BN15" t="s">
        <v>172</v>
      </c>
      <c r="BO15" t="s">
        <v>173</v>
      </c>
      <c r="BP15" t="s">
        <v>174</v>
      </c>
      <c r="BQ15" t="s">
        <v>175</v>
      </c>
      <c r="BR15" t="s">
        <v>176</v>
      </c>
      <c r="BS15" t="s">
        <v>177</v>
      </c>
      <c r="BT15" t="s">
        <v>178</v>
      </c>
      <c r="BU15" t="s">
        <v>179</v>
      </c>
      <c r="BV15" t="s">
        <v>180</v>
      </c>
      <c r="BW15" t="s">
        <v>181</v>
      </c>
      <c r="BX15" t="s">
        <v>182</v>
      </c>
      <c r="BY15" t="s">
        <v>183</v>
      </c>
      <c r="BZ15" t="s">
        <v>184</v>
      </c>
      <c r="CA15" t="s">
        <v>185</v>
      </c>
      <c r="CB15" t="s">
        <v>186</v>
      </c>
      <c r="CC15" t="s">
        <v>187</v>
      </c>
      <c r="CD15" t="s">
        <v>188</v>
      </c>
      <c r="CE15" t="s">
        <v>189</v>
      </c>
      <c r="CF15" t="s">
        <v>190</v>
      </c>
      <c r="CG15" t="s">
        <v>191</v>
      </c>
      <c r="CH15" t="s">
        <v>192</v>
      </c>
      <c r="CI15" t="s">
        <v>193</v>
      </c>
      <c r="CJ15" t="s">
        <v>194</v>
      </c>
      <c r="CK15" t="s">
        <v>195</v>
      </c>
      <c r="CL15" t="s">
        <v>196</v>
      </c>
      <c r="CM15" t="s">
        <v>197</v>
      </c>
      <c r="CN15" t="s">
        <v>198</v>
      </c>
      <c r="CO15" t="s">
        <v>199</v>
      </c>
      <c r="CP15" t="s">
        <v>200</v>
      </c>
      <c r="CQ15" t="s">
        <v>201</v>
      </c>
      <c r="CR15" t="s">
        <v>202</v>
      </c>
      <c r="CS15" t="s">
        <v>203</v>
      </c>
      <c r="CT15" t="s">
        <v>204</v>
      </c>
      <c r="CU15" t="s">
        <v>184</v>
      </c>
      <c r="CV15" t="s">
        <v>205</v>
      </c>
      <c r="CW15" t="s">
        <v>206</v>
      </c>
      <c r="CX15" t="s">
        <v>207</v>
      </c>
      <c r="CY15" t="s">
        <v>158</v>
      </c>
      <c r="CZ15" t="s">
        <v>208</v>
      </c>
      <c r="DA15" t="s">
        <v>209</v>
      </c>
      <c r="DB15" t="s">
        <v>210</v>
      </c>
      <c r="DC15" t="s">
        <v>211</v>
      </c>
      <c r="DD15" t="s">
        <v>212</v>
      </c>
      <c r="DE15" t="s">
        <v>213</v>
      </c>
      <c r="DF15" t="s">
        <v>214</v>
      </c>
      <c r="DG15" t="s">
        <v>215</v>
      </c>
      <c r="DH15" t="s">
        <v>216</v>
      </c>
      <c r="DI15" t="s">
        <v>217</v>
      </c>
      <c r="DJ15" t="s">
        <v>218</v>
      </c>
      <c r="DK15" t="s">
        <v>219</v>
      </c>
      <c r="DL15" t="s">
        <v>220</v>
      </c>
      <c r="DM15" t="s">
        <v>221</v>
      </c>
      <c r="DN15" t="s">
        <v>222</v>
      </c>
      <c r="DO15" t="s">
        <v>223</v>
      </c>
      <c r="DP15" t="s">
        <v>224</v>
      </c>
      <c r="DQ15" t="s">
        <v>116</v>
      </c>
      <c r="DR15" t="s">
        <v>225</v>
      </c>
      <c r="DS15" t="s">
        <v>226</v>
      </c>
      <c r="DT15" t="s">
        <v>227</v>
      </c>
      <c r="DU15" t="s">
        <v>228</v>
      </c>
      <c r="DV15" t="s">
        <v>229</v>
      </c>
      <c r="DW15" t="s">
        <v>230</v>
      </c>
      <c r="DX15" t="s">
        <v>231</v>
      </c>
      <c r="DY15" t="s">
        <v>232</v>
      </c>
      <c r="DZ15" t="s">
        <v>233</v>
      </c>
      <c r="EA15" t="s">
        <v>234</v>
      </c>
      <c r="EB15" t="s">
        <v>235</v>
      </c>
      <c r="EC15" t="s">
        <v>236</v>
      </c>
      <c r="ED15" t="s">
        <v>237</v>
      </c>
      <c r="EE15" t="s">
        <v>238</v>
      </c>
      <c r="EF15" t="s">
        <v>239</v>
      </c>
      <c r="EG15" t="s">
        <v>240</v>
      </c>
      <c r="EH15" t="s">
        <v>241</v>
      </c>
      <c r="EI15" t="s">
        <v>242</v>
      </c>
      <c r="EJ15" t="s">
        <v>243</v>
      </c>
      <c r="EK15" t="s">
        <v>244</v>
      </c>
      <c r="EL15" t="s">
        <v>245</v>
      </c>
      <c r="EM15" t="s">
        <v>246</v>
      </c>
      <c r="EN15" t="s">
        <v>247</v>
      </c>
      <c r="EO15" t="s">
        <v>248</v>
      </c>
      <c r="EP15" t="s">
        <v>249</v>
      </c>
      <c r="EQ15" t="s">
        <v>250</v>
      </c>
      <c r="ER15" t="s">
        <v>251</v>
      </c>
      <c r="ES15" t="s">
        <v>252</v>
      </c>
      <c r="ET15" t="s">
        <v>253</v>
      </c>
      <c r="EU15" t="s">
        <v>254</v>
      </c>
      <c r="EV15" t="s">
        <v>255</v>
      </c>
      <c r="EW15" t="s">
        <v>256</v>
      </c>
      <c r="EX15" t="s">
        <v>257</v>
      </c>
      <c r="EY15" t="s">
        <v>258</v>
      </c>
      <c r="EZ15" t="s">
        <v>259</v>
      </c>
      <c r="FA15" t="s">
        <v>260</v>
      </c>
      <c r="FB15" t="s">
        <v>261</v>
      </c>
      <c r="FC15" t="s">
        <v>262</v>
      </c>
      <c r="FD15" t="s">
        <v>263</v>
      </c>
      <c r="FE15" t="s">
        <v>264</v>
      </c>
      <c r="FF15" t="s">
        <v>265</v>
      </c>
      <c r="FG15" t="s">
        <v>266</v>
      </c>
      <c r="FH15" t="s">
        <v>267</v>
      </c>
      <c r="FI15" t="s">
        <v>268</v>
      </c>
      <c r="FJ15" t="s">
        <v>269</v>
      </c>
      <c r="FK15" t="s">
        <v>270</v>
      </c>
      <c r="FL15" t="s">
        <v>271</v>
      </c>
      <c r="FM15" t="s">
        <v>272</v>
      </c>
      <c r="FN15" t="s">
        <v>273</v>
      </c>
      <c r="FO15" t="s">
        <v>274</v>
      </c>
      <c r="FP15" t="s">
        <v>109</v>
      </c>
      <c r="FQ15" t="s">
        <v>112</v>
      </c>
      <c r="FR15" t="s">
        <v>275</v>
      </c>
      <c r="FS15" t="s">
        <v>276</v>
      </c>
      <c r="FT15" t="s">
        <v>277</v>
      </c>
      <c r="FU15" t="s">
        <v>278</v>
      </c>
      <c r="FV15" t="s">
        <v>279</v>
      </c>
      <c r="FW15" t="s">
        <v>280</v>
      </c>
      <c r="FX15" t="s">
        <v>281</v>
      </c>
      <c r="FY15" t="s">
        <v>282</v>
      </c>
      <c r="FZ15" t="s">
        <v>283</v>
      </c>
      <c r="GA15" t="s">
        <v>284</v>
      </c>
      <c r="GB15" t="s">
        <v>285</v>
      </c>
      <c r="GC15" t="s">
        <v>286</v>
      </c>
      <c r="GD15" t="s">
        <v>287</v>
      </c>
      <c r="GE15" t="s">
        <v>288</v>
      </c>
      <c r="GF15" t="s">
        <v>289</v>
      </c>
      <c r="GG15" t="s">
        <v>290</v>
      </c>
      <c r="GH15" t="s">
        <v>291</v>
      </c>
      <c r="GI15" t="s">
        <v>292</v>
      </c>
      <c r="GJ15" t="s">
        <v>293</v>
      </c>
      <c r="GK15" t="s">
        <v>294</v>
      </c>
      <c r="GL15" t="s">
        <v>295</v>
      </c>
      <c r="GM15" t="s">
        <v>296</v>
      </c>
      <c r="GN15" t="s">
        <v>297</v>
      </c>
      <c r="GO15" t="s">
        <v>298</v>
      </c>
      <c r="GP15" t="s">
        <v>299</v>
      </c>
      <c r="GQ15" t="s">
        <v>300</v>
      </c>
      <c r="GR15" t="s">
        <v>301</v>
      </c>
      <c r="GS15" t="s">
        <v>302</v>
      </c>
      <c r="GT15" t="s">
        <v>303</v>
      </c>
      <c r="GU15" t="s">
        <v>304</v>
      </c>
      <c r="GV15" t="s">
        <v>305</v>
      </c>
      <c r="GW15" t="s">
        <v>306</v>
      </c>
      <c r="GX15" t="s">
        <v>307</v>
      </c>
      <c r="GY15" t="s">
        <v>308</v>
      </c>
      <c r="GZ15" t="s">
        <v>309</v>
      </c>
      <c r="HA15" t="s">
        <v>310</v>
      </c>
      <c r="HB15" t="s">
        <v>311</v>
      </c>
      <c r="HC15" t="s">
        <v>312</v>
      </c>
      <c r="HD15" t="s">
        <v>313</v>
      </c>
      <c r="HE15" t="s">
        <v>314</v>
      </c>
      <c r="HF15" t="s">
        <v>315</v>
      </c>
      <c r="HG15" t="s">
        <v>316</v>
      </c>
      <c r="HH15" t="s">
        <v>317</v>
      </c>
      <c r="HI15" t="s">
        <v>318</v>
      </c>
      <c r="HJ15" t="s">
        <v>319</v>
      </c>
      <c r="HK15" t="s">
        <v>320</v>
      </c>
      <c r="HL15" t="s">
        <v>321</v>
      </c>
      <c r="HM15" t="s">
        <v>322</v>
      </c>
      <c r="HN15" t="s">
        <v>323</v>
      </c>
      <c r="HO15" t="s">
        <v>324</v>
      </c>
      <c r="HP15" t="s">
        <v>325</v>
      </c>
      <c r="HQ15" t="s">
        <v>326</v>
      </c>
      <c r="HR15" t="s">
        <v>327</v>
      </c>
      <c r="HS15" t="s">
        <v>328</v>
      </c>
      <c r="HT15" t="s">
        <v>329</v>
      </c>
      <c r="HU15" t="s">
        <v>330</v>
      </c>
      <c r="HV15" t="s">
        <v>331</v>
      </c>
      <c r="HW15" t="s">
        <v>332</v>
      </c>
      <c r="HX15" t="s">
        <v>333</v>
      </c>
      <c r="HY15" t="s">
        <v>334</v>
      </c>
      <c r="HZ15" t="s">
        <v>335</v>
      </c>
      <c r="IA15" t="s">
        <v>336</v>
      </c>
      <c r="IB15" t="s">
        <v>337</v>
      </c>
      <c r="IC15" t="s">
        <v>338</v>
      </c>
      <c r="ID15" t="s">
        <v>339</v>
      </c>
      <c r="IE15" t="s">
        <v>340</v>
      </c>
      <c r="IF15" t="s">
        <v>341</v>
      </c>
      <c r="IG15" t="s">
        <v>342</v>
      </c>
      <c r="IH15" t="s">
        <v>343</v>
      </c>
      <c r="II15" t="s">
        <v>344</v>
      </c>
      <c r="IJ15" t="s">
        <v>345</v>
      </c>
      <c r="IK15" t="s">
        <v>346</v>
      </c>
      <c r="IL15" t="s">
        <v>347</v>
      </c>
      <c r="IM15" t="s">
        <v>348</v>
      </c>
      <c r="IN15" t="s">
        <v>349</v>
      </c>
      <c r="IO15" t="s">
        <v>350</v>
      </c>
      <c r="IP15" t="s">
        <v>351</v>
      </c>
      <c r="IQ15" t="s">
        <v>352</v>
      </c>
      <c r="IR15" t="s">
        <v>353</v>
      </c>
      <c r="IS15" t="s">
        <v>354</v>
      </c>
      <c r="IT15" t="s">
        <v>355</v>
      </c>
      <c r="IU15" t="s">
        <v>356</v>
      </c>
      <c r="IV15" t="s">
        <v>357</v>
      </c>
      <c r="IW15" t="s">
        <v>358</v>
      </c>
      <c r="IX15" t="s">
        <v>359</v>
      </c>
      <c r="IY15" t="s">
        <v>360</v>
      </c>
      <c r="IZ15" t="s">
        <v>361</v>
      </c>
      <c r="JA15" t="s">
        <v>362</v>
      </c>
      <c r="JB15" t="s">
        <v>363</v>
      </c>
      <c r="JC15" t="s">
        <v>364</v>
      </c>
      <c r="JD15" t="s">
        <v>365</v>
      </c>
      <c r="JE15" t="s">
        <v>366</v>
      </c>
      <c r="JF15" t="s">
        <v>367</v>
      </c>
      <c r="JG15" t="s">
        <v>368</v>
      </c>
      <c r="JH15" t="s">
        <v>369</v>
      </c>
      <c r="JI15" t="s">
        <v>370</v>
      </c>
      <c r="JJ15" t="s">
        <v>371</v>
      </c>
      <c r="JK15" t="s">
        <v>372</v>
      </c>
      <c r="JL15" t="s">
        <v>373</v>
      </c>
      <c r="JM15" t="s">
        <v>374</v>
      </c>
      <c r="JN15" t="s">
        <v>375</v>
      </c>
      <c r="JO15" t="s">
        <v>376</v>
      </c>
      <c r="JP15" t="s">
        <v>377</v>
      </c>
      <c r="JQ15" t="s">
        <v>378</v>
      </c>
      <c r="JR15" t="s">
        <v>379</v>
      </c>
      <c r="JS15" t="s">
        <v>380</v>
      </c>
      <c r="JT15" t="s">
        <v>381</v>
      </c>
      <c r="JU15" t="s">
        <v>382</v>
      </c>
      <c r="JV15" t="s">
        <v>383</v>
      </c>
      <c r="JW15" t="s">
        <v>384</v>
      </c>
      <c r="JX15" t="s">
        <v>385</v>
      </c>
      <c r="JY15" t="s">
        <v>386</v>
      </c>
      <c r="JZ15" t="s">
        <v>387</v>
      </c>
      <c r="KA15" t="s">
        <v>388</v>
      </c>
      <c r="KB15" t="s">
        <v>389</v>
      </c>
      <c r="KC15" t="s">
        <v>390</v>
      </c>
      <c r="KD15" t="s">
        <v>391</v>
      </c>
      <c r="KE15" t="s">
        <v>392</v>
      </c>
      <c r="KF15" t="s">
        <v>393</v>
      </c>
      <c r="KG15" t="s">
        <v>394</v>
      </c>
      <c r="KH15" t="s">
        <v>395</v>
      </c>
      <c r="KI15" t="s">
        <v>396</v>
      </c>
      <c r="KJ15" t="s">
        <v>397</v>
      </c>
      <c r="KK15" t="s">
        <v>398</v>
      </c>
    </row>
    <row r="16" spans="1:297">
      <c r="B16" t="s">
        <v>399</v>
      </c>
      <c r="C16" t="s">
        <v>399</v>
      </c>
      <c r="F16" t="s">
        <v>399</v>
      </c>
      <c r="I16" t="s">
        <v>399</v>
      </c>
      <c r="J16" t="s">
        <v>400</v>
      </c>
      <c r="K16" t="s">
        <v>401</v>
      </c>
      <c r="L16" t="s">
        <v>402</v>
      </c>
      <c r="M16" t="s">
        <v>403</v>
      </c>
      <c r="N16" t="s">
        <v>403</v>
      </c>
      <c r="O16" t="s">
        <v>232</v>
      </c>
      <c r="P16" t="s">
        <v>232</v>
      </c>
      <c r="Q16" t="s">
        <v>400</v>
      </c>
      <c r="R16" t="s">
        <v>400</v>
      </c>
      <c r="S16" t="s">
        <v>400</v>
      </c>
      <c r="T16" t="s">
        <v>400</v>
      </c>
      <c r="U16" t="s">
        <v>404</v>
      </c>
      <c r="V16" t="s">
        <v>405</v>
      </c>
      <c r="W16" t="s">
        <v>405</v>
      </c>
      <c r="X16" t="s">
        <v>406</v>
      </c>
      <c r="Y16" t="s">
        <v>407</v>
      </c>
      <c r="Z16" t="s">
        <v>406</v>
      </c>
      <c r="AA16" t="s">
        <v>406</v>
      </c>
      <c r="AB16" t="s">
        <v>406</v>
      </c>
      <c r="AC16" t="s">
        <v>404</v>
      </c>
      <c r="AD16" t="s">
        <v>404</v>
      </c>
      <c r="AE16" t="s">
        <v>404</v>
      </c>
      <c r="AF16" t="s">
        <v>404</v>
      </c>
      <c r="AG16" t="s">
        <v>402</v>
      </c>
      <c r="AH16" t="s">
        <v>401</v>
      </c>
      <c r="AI16" t="s">
        <v>402</v>
      </c>
      <c r="AJ16" t="s">
        <v>403</v>
      </c>
      <c r="AK16" t="s">
        <v>403</v>
      </c>
      <c r="AL16" t="s">
        <v>408</v>
      </c>
      <c r="AM16" t="s">
        <v>409</v>
      </c>
      <c r="AN16" t="s">
        <v>401</v>
      </c>
      <c r="AO16" t="s">
        <v>410</v>
      </c>
      <c r="AP16" t="s">
        <v>410</v>
      </c>
      <c r="AQ16" t="s">
        <v>411</v>
      </c>
      <c r="AR16" t="s">
        <v>409</v>
      </c>
      <c r="AS16" t="s">
        <v>412</v>
      </c>
      <c r="AT16" t="s">
        <v>407</v>
      </c>
      <c r="AV16" t="s">
        <v>407</v>
      </c>
      <c r="AW16" t="s">
        <v>412</v>
      </c>
      <c r="BC16" t="s">
        <v>402</v>
      </c>
      <c r="BJ16" t="s">
        <v>402</v>
      </c>
      <c r="BK16" t="s">
        <v>402</v>
      </c>
      <c r="BL16" t="s">
        <v>402</v>
      </c>
      <c r="BM16" t="s">
        <v>413</v>
      </c>
      <c r="CA16" t="s">
        <v>414</v>
      </c>
      <c r="CC16" t="s">
        <v>414</v>
      </c>
      <c r="CD16" t="s">
        <v>402</v>
      </c>
      <c r="CG16" t="s">
        <v>414</v>
      </c>
      <c r="CH16" t="s">
        <v>407</v>
      </c>
      <c r="CK16" t="s">
        <v>415</v>
      </c>
      <c r="CL16" t="s">
        <v>415</v>
      </c>
      <c r="CN16" t="s">
        <v>416</v>
      </c>
      <c r="CO16" t="s">
        <v>414</v>
      </c>
      <c r="CQ16" t="s">
        <v>414</v>
      </c>
      <c r="CR16" t="s">
        <v>402</v>
      </c>
      <c r="CV16" t="s">
        <v>414</v>
      </c>
      <c r="CX16" t="s">
        <v>417</v>
      </c>
      <c r="DA16" t="s">
        <v>414</v>
      </c>
      <c r="DB16" t="s">
        <v>414</v>
      </c>
      <c r="DD16" t="s">
        <v>414</v>
      </c>
      <c r="DF16" t="s">
        <v>414</v>
      </c>
      <c r="DH16" t="s">
        <v>402</v>
      </c>
      <c r="DI16" t="s">
        <v>402</v>
      </c>
      <c r="DK16" t="s">
        <v>418</v>
      </c>
      <c r="DL16" t="s">
        <v>419</v>
      </c>
      <c r="DO16" t="s">
        <v>400</v>
      </c>
      <c r="DQ16" t="s">
        <v>399</v>
      </c>
      <c r="DR16" t="s">
        <v>403</v>
      </c>
      <c r="DS16" t="s">
        <v>403</v>
      </c>
      <c r="DT16" t="s">
        <v>410</v>
      </c>
      <c r="DU16" t="s">
        <v>410</v>
      </c>
      <c r="DV16" t="s">
        <v>403</v>
      </c>
      <c r="DW16" t="s">
        <v>410</v>
      </c>
      <c r="DX16" t="s">
        <v>412</v>
      </c>
      <c r="DY16" t="s">
        <v>406</v>
      </c>
      <c r="DZ16" t="s">
        <v>406</v>
      </c>
      <c r="EA16" t="s">
        <v>405</v>
      </c>
      <c r="EB16" t="s">
        <v>405</v>
      </c>
      <c r="EC16" t="s">
        <v>405</v>
      </c>
      <c r="ED16" t="s">
        <v>405</v>
      </c>
      <c r="EE16" t="s">
        <v>405</v>
      </c>
      <c r="EF16" t="s">
        <v>420</v>
      </c>
      <c r="EG16" t="s">
        <v>402</v>
      </c>
      <c r="EH16" t="s">
        <v>402</v>
      </c>
      <c r="EI16" t="s">
        <v>403</v>
      </c>
      <c r="EJ16" t="s">
        <v>403</v>
      </c>
      <c r="EK16" t="s">
        <v>403</v>
      </c>
      <c r="EL16" t="s">
        <v>410</v>
      </c>
      <c r="EM16" t="s">
        <v>403</v>
      </c>
      <c r="EN16" t="s">
        <v>410</v>
      </c>
      <c r="EO16" t="s">
        <v>406</v>
      </c>
      <c r="EP16" t="s">
        <v>406</v>
      </c>
      <c r="EQ16" t="s">
        <v>405</v>
      </c>
      <c r="ER16" t="s">
        <v>405</v>
      </c>
      <c r="ES16" t="s">
        <v>402</v>
      </c>
      <c r="EX16" t="s">
        <v>402</v>
      </c>
      <c r="FA16" t="s">
        <v>405</v>
      </c>
      <c r="FB16" t="s">
        <v>405</v>
      </c>
      <c r="FC16" t="s">
        <v>405</v>
      </c>
      <c r="FD16" t="s">
        <v>405</v>
      </c>
      <c r="FE16" t="s">
        <v>405</v>
      </c>
      <c r="FF16" t="s">
        <v>402</v>
      </c>
      <c r="FG16" t="s">
        <v>402</v>
      </c>
      <c r="FH16" t="s">
        <v>402</v>
      </c>
      <c r="FI16" t="s">
        <v>399</v>
      </c>
      <c r="FL16" t="s">
        <v>421</v>
      </c>
      <c r="FM16" t="s">
        <v>421</v>
      </c>
      <c r="FO16" t="s">
        <v>399</v>
      </c>
      <c r="FP16" t="s">
        <v>422</v>
      </c>
      <c r="FR16" t="s">
        <v>399</v>
      </c>
      <c r="FS16" t="s">
        <v>399</v>
      </c>
      <c r="FU16" t="s">
        <v>423</v>
      </c>
      <c r="FV16" t="s">
        <v>424</v>
      </c>
      <c r="FW16" t="s">
        <v>423</v>
      </c>
      <c r="FX16" t="s">
        <v>424</v>
      </c>
      <c r="FY16" t="s">
        <v>423</v>
      </c>
      <c r="FZ16" t="s">
        <v>424</v>
      </c>
      <c r="GA16" t="s">
        <v>407</v>
      </c>
      <c r="GB16" t="s">
        <v>407</v>
      </c>
      <c r="GC16" t="s">
        <v>403</v>
      </c>
      <c r="GD16" t="s">
        <v>425</v>
      </c>
      <c r="GE16" t="s">
        <v>403</v>
      </c>
      <c r="GH16" t="s">
        <v>426</v>
      </c>
      <c r="GK16" t="s">
        <v>410</v>
      </c>
      <c r="GL16" t="s">
        <v>427</v>
      </c>
      <c r="GM16" t="s">
        <v>410</v>
      </c>
      <c r="GR16" t="s">
        <v>428</v>
      </c>
      <c r="GS16" t="s">
        <v>428</v>
      </c>
      <c r="HF16" t="s">
        <v>428</v>
      </c>
      <c r="HG16" t="s">
        <v>428</v>
      </c>
      <c r="HH16" t="s">
        <v>429</v>
      </c>
      <c r="HI16" t="s">
        <v>429</v>
      </c>
      <c r="HJ16" t="s">
        <v>405</v>
      </c>
      <c r="HK16" t="s">
        <v>405</v>
      </c>
      <c r="HL16" t="s">
        <v>407</v>
      </c>
      <c r="HM16" t="s">
        <v>405</v>
      </c>
      <c r="HN16" t="s">
        <v>410</v>
      </c>
      <c r="HO16" t="s">
        <v>407</v>
      </c>
      <c r="HP16" t="s">
        <v>407</v>
      </c>
      <c r="HR16" t="s">
        <v>428</v>
      </c>
      <c r="HS16" t="s">
        <v>428</v>
      </c>
      <c r="HT16" t="s">
        <v>428</v>
      </c>
      <c r="HU16" t="s">
        <v>428</v>
      </c>
      <c r="HV16" t="s">
        <v>428</v>
      </c>
      <c r="HW16" t="s">
        <v>428</v>
      </c>
      <c r="HX16" t="s">
        <v>428</v>
      </c>
      <c r="HY16" t="s">
        <v>430</v>
      </c>
      <c r="HZ16" t="s">
        <v>431</v>
      </c>
      <c r="IA16" t="s">
        <v>430</v>
      </c>
      <c r="IB16" t="s">
        <v>430</v>
      </c>
      <c r="IC16" t="s">
        <v>428</v>
      </c>
      <c r="ID16" t="s">
        <v>428</v>
      </c>
      <c r="IE16" t="s">
        <v>428</v>
      </c>
      <c r="IF16" t="s">
        <v>428</v>
      </c>
      <c r="IG16" t="s">
        <v>428</v>
      </c>
      <c r="IH16" t="s">
        <v>428</v>
      </c>
      <c r="II16" t="s">
        <v>428</v>
      </c>
      <c r="IJ16" t="s">
        <v>428</v>
      </c>
      <c r="IK16" t="s">
        <v>428</v>
      </c>
      <c r="IL16" t="s">
        <v>428</v>
      </c>
      <c r="IM16" t="s">
        <v>428</v>
      </c>
      <c r="IN16" t="s">
        <v>428</v>
      </c>
      <c r="IU16" t="s">
        <v>428</v>
      </c>
      <c r="IV16" t="s">
        <v>407</v>
      </c>
      <c r="IW16" t="s">
        <v>407</v>
      </c>
      <c r="IX16" t="s">
        <v>423</v>
      </c>
      <c r="IY16" t="s">
        <v>424</v>
      </c>
      <c r="IZ16" t="s">
        <v>423</v>
      </c>
      <c r="JD16" t="s">
        <v>424</v>
      </c>
      <c r="JH16" t="s">
        <v>403</v>
      </c>
      <c r="JI16" t="s">
        <v>403</v>
      </c>
      <c r="JJ16" t="s">
        <v>410</v>
      </c>
      <c r="JK16" t="s">
        <v>410</v>
      </c>
      <c r="JL16" t="s">
        <v>432</v>
      </c>
      <c r="JM16" t="s">
        <v>432</v>
      </c>
      <c r="JN16" t="s">
        <v>428</v>
      </c>
      <c r="JO16" t="s">
        <v>428</v>
      </c>
      <c r="JP16" t="s">
        <v>428</v>
      </c>
      <c r="JQ16" t="s">
        <v>428</v>
      </c>
      <c r="JR16" t="s">
        <v>428</v>
      </c>
      <c r="JS16" t="s">
        <v>428</v>
      </c>
      <c r="JT16" t="s">
        <v>405</v>
      </c>
      <c r="JU16" t="s">
        <v>428</v>
      </c>
      <c r="JW16" t="s">
        <v>412</v>
      </c>
      <c r="JX16" t="s">
        <v>412</v>
      </c>
      <c r="JY16" t="s">
        <v>405</v>
      </c>
      <c r="JZ16" t="s">
        <v>405</v>
      </c>
      <c r="KA16" t="s">
        <v>405</v>
      </c>
      <c r="KB16" t="s">
        <v>405</v>
      </c>
      <c r="KC16" t="s">
        <v>405</v>
      </c>
      <c r="KD16" t="s">
        <v>407</v>
      </c>
      <c r="KE16" t="s">
        <v>407</v>
      </c>
      <c r="KF16" t="s">
        <v>407</v>
      </c>
      <c r="KG16" t="s">
        <v>405</v>
      </c>
      <c r="KH16" t="s">
        <v>403</v>
      </c>
      <c r="KI16" t="s">
        <v>410</v>
      </c>
      <c r="KJ16" t="s">
        <v>407</v>
      </c>
      <c r="KK16" t="s">
        <v>407</v>
      </c>
    </row>
    <row r="17" spans="1:297">
      <c r="A17">
        <v>1</v>
      </c>
      <c r="B17">
        <v>1760989190.1</v>
      </c>
      <c r="C17">
        <v>0</v>
      </c>
      <c r="D17" t="s">
        <v>433</v>
      </c>
      <c r="E17" t="s">
        <v>434</v>
      </c>
      <c r="F17">
        <v>5</v>
      </c>
      <c r="G17" t="s">
        <v>435</v>
      </c>
      <c r="H17" t="s">
        <v>436</v>
      </c>
      <c r="I17">
        <v>1760989181.6</v>
      </c>
      <c r="J17">
        <f>(K17)/1000</f>
        <v>0</v>
      </c>
      <c r="K17">
        <f>IF(DP17, AN17, AH17)</f>
        <v>0</v>
      </c>
      <c r="L17">
        <f>IF(DP17, AI17, AG17)</f>
        <v>0</v>
      </c>
      <c r="M17">
        <f>DR17 - IF(AU17&gt;1, L17*DL17*100.0/(AW17), 0)</f>
        <v>0</v>
      </c>
      <c r="N17">
        <f>((T17-J17/2)*M17-L17)/(T17+J17/2)</f>
        <v>0</v>
      </c>
      <c r="O17">
        <f>N17*(DY17+DZ17)/1000.0</f>
        <v>0</v>
      </c>
      <c r="P17">
        <f>(DR17 - IF(AU17&gt;1, L17*DL17*100.0/(AW17), 0))*(DY17+DZ17)/1000.0</f>
        <v>0</v>
      </c>
      <c r="Q17">
        <f>2.0/((1/S17-1/R17)+SIGN(S17)*SQRT((1/S17-1/R17)*(1/S17-1/R17) + 4*DM17/((DM17+1)*(DM17+1))*(2*1/S17*1/R17-1/R17*1/R17)))</f>
        <v>0</v>
      </c>
      <c r="R17">
        <f>IF(LEFT(DN17,1)&lt;&gt;"0",IF(LEFT(DN17,1)="1",3.0,DO17),$D$5+$E$5*(EF17*DY17/($K$5*1000))+$F$5*(EF17*DY17/($K$5*1000))*MAX(MIN(DL17,$J$5),$I$5)*MAX(MIN(DL17,$J$5),$I$5)+$G$5*MAX(MIN(DL17,$J$5),$I$5)*(EF17*DY17/($K$5*1000))+$H$5*(EF17*DY17/($K$5*1000))*(EF17*DY17/($K$5*1000)))</f>
        <v>0</v>
      </c>
      <c r="S17">
        <f>J17*(1000-(1000*0.61365*exp(17.502*W17/(240.97+W17))/(DY17+DZ17)+DT17)/2)/(1000*0.61365*exp(17.502*W17/(240.97+W17))/(DY17+DZ17)-DT17)</f>
        <v>0</v>
      </c>
      <c r="T17">
        <f>1/((DM17+1)/(Q17/1.6)+1/(R17/1.37)) + DM17/((DM17+1)/(Q17/1.6) + DM17/(R17/1.37))</f>
        <v>0</v>
      </c>
      <c r="U17">
        <f>(DH17*DK17)</f>
        <v>0</v>
      </c>
      <c r="V17">
        <f>(EA17+(U17+2*0.95*5.67E-8*(((EA17+$B$7)+273)^4-(EA17+273)^4)-44100*J17)/(1.84*29.3*R17+8*0.95*5.67E-8*(EA17+273)^3))</f>
        <v>0</v>
      </c>
      <c r="W17">
        <f>($C$7*EB17+$D$7*EC17+$E$7*V17)</f>
        <v>0</v>
      </c>
      <c r="X17">
        <f>0.61365*exp(17.502*W17/(240.97+W17))</f>
        <v>0</v>
      </c>
      <c r="Y17">
        <f>(Z17/AA17*100)</f>
        <v>0</v>
      </c>
      <c r="Z17">
        <f>DT17*(DY17+DZ17)/1000</f>
        <v>0</v>
      </c>
      <c r="AA17">
        <f>0.61365*exp(17.502*EA17/(240.97+EA17))</f>
        <v>0</v>
      </c>
      <c r="AB17">
        <f>(X17-DT17*(DY17+DZ17)/1000)</f>
        <v>0</v>
      </c>
      <c r="AC17">
        <f>(-J17*44100)</f>
        <v>0</v>
      </c>
      <c r="AD17">
        <f>2*29.3*R17*0.92*(EA17-W17)</f>
        <v>0</v>
      </c>
      <c r="AE17">
        <f>2*0.95*5.67E-8*(((EA17+$B$7)+273)^4-(W17+273)^4)</f>
        <v>0</v>
      </c>
      <c r="AF17">
        <f>U17+AE17+AC17+AD17</f>
        <v>0</v>
      </c>
      <c r="AG17">
        <f>DX17*AU17*(DS17-DR17*(1000-AU17*DU17)/(1000-AU17*DT17))/(100*DL17)</f>
        <v>0</v>
      </c>
      <c r="AH17">
        <f>1000*DX17*AU17*(DT17-DU17)/(100*DL17*(1000-AU17*DT17))</f>
        <v>0</v>
      </c>
      <c r="AI17">
        <f>(AJ17 - AK17 - DY17*1E3/(8.314*(EA17+273.15)) * AM17/DX17 * AL17) * DX17/(100*DL17) * (1000 - DU17)/1000</f>
        <v>0</v>
      </c>
      <c r="AJ17">
        <v>423.877698121513</v>
      </c>
      <c r="AK17">
        <v>412.874503030303</v>
      </c>
      <c r="AL17">
        <v>6.13156651370833e-05</v>
      </c>
      <c r="AM17">
        <v>64.8413469339502</v>
      </c>
      <c r="AN17">
        <f>(AP17 - AO17 + DY17*1E3/(8.314*(EA17+273.15)) * AR17/DX17 * AQ17) * DX17/(100*DL17) * 1000/(1000 - AP17)</f>
        <v>0</v>
      </c>
      <c r="AO17">
        <v>9.13492259241264</v>
      </c>
      <c r="AP17">
        <v>11.8254272727273</v>
      </c>
      <c r="AQ17">
        <v>-1.53222059022791e-06</v>
      </c>
      <c r="AR17">
        <v>118.472689631034</v>
      </c>
      <c r="AS17">
        <v>0</v>
      </c>
      <c r="AT17">
        <v>0</v>
      </c>
      <c r="AU17">
        <f>IF(AS17*$H$13&gt;=AW17,1.0,(AW17/(AW17-AS17*$H$13)))</f>
        <v>0</v>
      </c>
      <c r="AV17">
        <f>(AU17-1)*100</f>
        <v>0</v>
      </c>
      <c r="AW17">
        <f>MAX(0,($B$13+$C$13*EF17)/(1+$D$13*EF17)*DY17/(EA17+273)*$E$13)</f>
        <v>0</v>
      </c>
      <c r="AX17" t="s">
        <v>437</v>
      </c>
      <c r="AY17" t="s">
        <v>437</v>
      </c>
      <c r="AZ17">
        <v>0</v>
      </c>
      <c r="BA17">
        <v>0</v>
      </c>
      <c r="BB17">
        <f>1-AZ17/BA17</f>
        <v>0</v>
      </c>
      <c r="BC17">
        <v>0</v>
      </c>
      <c r="BD17" t="s">
        <v>437</v>
      </c>
      <c r="BE17" t="s">
        <v>437</v>
      </c>
      <c r="BF17">
        <v>0</v>
      </c>
      <c r="BG17">
        <v>0</v>
      </c>
      <c r="BH17">
        <f>1-BF17/BG17</f>
        <v>0</v>
      </c>
      <c r="BI17">
        <v>0.5</v>
      </c>
      <c r="BJ17">
        <f>DI17</f>
        <v>0</v>
      </c>
      <c r="BK17">
        <f>L17</f>
        <v>0</v>
      </c>
      <c r="BL17">
        <f>BH17*BI17*BJ17</f>
        <v>0</v>
      </c>
      <c r="BM17">
        <f>(BK17-BC17)/BJ17</f>
        <v>0</v>
      </c>
      <c r="BN17">
        <f>(BA17-BG17)/BG17</f>
        <v>0</v>
      </c>
      <c r="BO17">
        <f>AZ17/(BB17+AZ17/BG17)</f>
        <v>0</v>
      </c>
      <c r="BP17" t="s">
        <v>437</v>
      </c>
      <c r="BQ17">
        <v>0</v>
      </c>
      <c r="BR17">
        <f>IF(BQ17&lt;&gt;0, BQ17, BO17)</f>
        <v>0</v>
      </c>
      <c r="BS17">
        <f>1-BR17/BG17</f>
        <v>0</v>
      </c>
      <c r="BT17">
        <f>(BG17-BF17)/(BG17-BR17)</f>
        <v>0</v>
      </c>
      <c r="BU17">
        <f>(BA17-BG17)/(BA17-BR17)</f>
        <v>0</v>
      </c>
      <c r="BV17">
        <f>(BG17-BF17)/(BG17-AZ17)</f>
        <v>0</v>
      </c>
      <c r="BW17">
        <f>(BA17-BG17)/(BA17-AZ17)</f>
        <v>0</v>
      </c>
      <c r="BX17">
        <f>(BT17*BR17/BF17)</f>
        <v>0</v>
      </c>
      <c r="BY17">
        <f>(1-BX17)</f>
        <v>0</v>
      </c>
      <c r="DH17">
        <f>$B$11*EG17+$C$11*EH17+$F$11*ES17*(1-EV17)</f>
        <v>0</v>
      </c>
      <c r="DI17">
        <f>DH17*DJ17</f>
        <v>0</v>
      </c>
      <c r="DJ17">
        <f>($B$11*$D$9+$C$11*$D$9+$F$11*((FF17+EX17)/MAX(FF17+EX17+FG17, 0.1)*$I$9+FG17/MAX(FF17+EX17+FG17, 0.1)*$J$9))/($B$11+$C$11+$F$11)</f>
        <v>0</v>
      </c>
      <c r="DK17">
        <f>($B$11*$K$9+$C$11*$K$9+$F$11*((FF17+EX17)/MAX(FF17+EX17+FG17, 0.1)*$P$9+FG17/MAX(FF17+EX17+FG17, 0.1)*$Q$9))/($B$11+$C$11+$F$11)</f>
        <v>0</v>
      </c>
      <c r="DL17">
        <v>6</v>
      </c>
      <c r="DM17">
        <v>0.5</v>
      </c>
      <c r="DN17" t="s">
        <v>438</v>
      </c>
      <c r="DO17">
        <v>2</v>
      </c>
      <c r="DP17" t="b">
        <v>1</v>
      </c>
      <c r="DQ17">
        <v>1760989181.6</v>
      </c>
      <c r="DR17">
        <v>407.988875</v>
      </c>
      <c r="DS17">
        <v>420.0051875</v>
      </c>
      <c r="DT17">
        <v>11.826675</v>
      </c>
      <c r="DU17">
        <v>9.133270625</v>
      </c>
      <c r="DV17">
        <v>405.15225</v>
      </c>
      <c r="DW17">
        <v>11.937675</v>
      </c>
      <c r="DX17">
        <v>500.0233125</v>
      </c>
      <c r="DY17">
        <v>89.8767875</v>
      </c>
      <c r="DZ17">
        <v>0.00767385875</v>
      </c>
      <c r="EA17">
        <v>18.4181625</v>
      </c>
      <c r="EB17">
        <v>18.01211875</v>
      </c>
      <c r="EC17">
        <v>999.9</v>
      </c>
      <c r="ED17">
        <v>0</v>
      </c>
      <c r="EE17">
        <v>0</v>
      </c>
      <c r="EF17">
        <v>10004.495625</v>
      </c>
      <c r="EG17">
        <v>0</v>
      </c>
      <c r="EH17">
        <v>1270.085</v>
      </c>
      <c r="EI17">
        <v>-12.01640625</v>
      </c>
      <c r="EJ17">
        <v>412.8719375</v>
      </c>
      <c r="EK17">
        <v>423.8765625</v>
      </c>
      <c r="EL17">
        <v>2.693390625</v>
      </c>
      <c r="EM17">
        <v>420.0051875</v>
      </c>
      <c r="EN17">
        <v>9.133270625</v>
      </c>
      <c r="EO17">
        <v>1.06294125</v>
      </c>
      <c r="EP17">
        <v>0.8208690625</v>
      </c>
      <c r="EQ17">
        <v>7.8089375</v>
      </c>
      <c r="ER17">
        <v>4.073399375</v>
      </c>
      <c r="ES17">
        <v>1200.00625</v>
      </c>
      <c r="ET17">
        <v>0.9670098125</v>
      </c>
      <c r="EU17">
        <v>0.0329901375</v>
      </c>
      <c r="EV17">
        <v>0</v>
      </c>
      <c r="EW17">
        <v>1384.015625</v>
      </c>
      <c r="EX17">
        <v>5.00059</v>
      </c>
      <c r="EY17">
        <v>16319.35</v>
      </c>
      <c r="EZ17">
        <v>10358.7875</v>
      </c>
      <c r="FA17">
        <v>38.3785625</v>
      </c>
      <c r="FB17">
        <v>41.2419375</v>
      </c>
      <c r="FC17">
        <v>38.9606875</v>
      </c>
      <c r="FD17">
        <v>41.25375</v>
      </c>
      <c r="FE17">
        <v>39.49575</v>
      </c>
      <c r="FF17">
        <v>1155.584375</v>
      </c>
      <c r="FG17">
        <v>39.420625</v>
      </c>
      <c r="FH17">
        <v>0</v>
      </c>
      <c r="FI17">
        <v>1760989159.3</v>
      </c>
      <c r="FJ17">
        <v>0</v>
      </c>
      <c r="FK17">
        <v>1383.854</v>
      </c>
      <c r="FL17">
        <v>-7.77000001537453</v>
      </c>
      <c r="FM17">
        <v>-45.2307693146241</v>
      </c>
      <c r="FN17">
        <v>16318.072</v>
      </c>
      <c r="FO17">
        <v>15</v>
      </c>
      <c r="FP17">
        <v>0</v>
      </c>
      <c r="FQ17" t="s">
        <v>439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-12.0221285714286</v>
      </c>
      <c r="GD17">
        <v>0.0215376623376389</v>
      </c>
      <c r="GE17">
        <v>0.0210648238236423</v>
      </c>
      <c r="GF17">
        <v>1</v>
      </c>
      <c r="GG17">
        <v>1384.38882352941</v>
      </c>
      <c r="GH17">
        <v>-7.56394194067205</v>
      </c>
      <c r="GI17">
        <v>0.782032663323732</v>
      </c>
      <c r="GJ17">
        <v>-1</v>
      </c>
      <c r="GK17">
        <v>2.69390571428571</v>
      </c>
      <c r="GL17">
        <v>-0.00851064935064812</v>
      </c>
      <c r="GM17">
        <v>0.00140723833372</v>
      </c>
      <c r="GN17">
        <v>1</v>
      </c>
      <c r="GO17">
        <v>2</v>
      </c>
      <c r="GP17">
        <v>2</v>
      </c>
      <c r="GQ17" t="s">
        <v>440</v>
      </c>
      <c r="GR17">
        <v>3.13067</v>
      </c>
      <c r="GS17">
        <v>2.68558</v>
      </c>
      <c r="GT17">
        <v>0.0876781</v>
      </c>
      <c r="GU17">
        <v>0.0902259</v>
      </c>
      <c r="GV17">
        <v>0.0617649</v>
      </c>
      <c r="GW17">
        <v>0.0504265</v>
      </c>
      <c r="GX17">
        <v>34576.8</v>
      </c>
      <c r="GY17">
        <v>37049</v>
      </c>
      <c r="GZ17">
        <v>34267.4</v>
      </c>
      <c r="HA17">
        <v>36848.9</v>
      </c>
      <c r="HB17">
        <v>45349.7</v>
      </c>
      <c r="HC17">
        <v>50173.3</v>
      </c>
      <c r="HD17">
        <v>53342.3</v>
      </c>
      <c r="HE17">
        <v>58775.1</v>
      </c>
      <c r="HF17">
        <v>2.0084</v>
      </c>
      <c r="HG17">
        <v>1.83698</v>
      </c>
      <c r="HH17">
        <v>0.0339225</v>
      </c>
      <c r="HI17">
        <v>0</v>
      </c>
      <c r="HJ17">
        <v>17.4578</v>
      </c>
      <c r="HK17">
        <v>999.9</v>
      </c>
      <c r="HL17">
        <v>25.98</v>
      </c>
      <c r="HM17">
        <v>30.252</v>
      </c>
      <c r="HN17">
        <v>12.4942</v>
      </c>
      <c r="HO17">
        <v>54.0892</v>
      </c>
      <c r="HP17">
        <v>44.387</v>
      </c>
      <c r="HQ17">
        <v>1</v>
      </c>
      <c r="HR17">
        <v>-0.269365</v>
      </c>
      <c r="HS17">
        <v>3.98703</v>
      </c>
      <c r="HT17">
        <v>20.0931</v>
      </c>
      <c r="HU17">
        <v>5.19992</v>
      </c>
      <c r="HV17">
        <v>12.004</v>
      </c>
      <c r="HW17">
        <v>4.9758</v>
      </c>
      <c r="HX17">
        <v>3.29303</v>
      </c>
      <c r="HY17">
        <v>9999</v>
      </c>
      <c r="HZ17">
        <v>999.9</v>
      </c>
      <c r="IA17">
        <v>9999</v>
      </c>
      <c r="IB17">
        <v>9999</v>
      </c>
      <c r="IC17">
        <v>1.86324</v>
      </c>
      <c r="ID17">
        <v>1.86802</v>
      </c>
      <c r="IE17">
        <v>1.86783</v>
      </c>
      <c r="IF17">
        <v>1.86904</v>
      </c>
      <c r="IG17">
        <v>1.86981</v>
      </c>
      <c r="IH17">
        <v>1.86584</v>
      </c>
      <c r="II17">
        <v>1.86691</v>
      </c>
      <c r="IJ17">
        <v>1.86839</v>
      </c>
      <c r="IK17">
        <v>5</v>
      </c>
      <c r="IL17">
        <v>0</v>
      </c>
      <c r="IM17">
        <v>0</v>
      </c>
      <c r="IN17">
        <v>0</v>
      </c>
      <c r="IO17" t="s">
        <v>441</v>
      </c>
      <c r="IP17" t="s">
        <v>442</v>
      </c>
      <c r="IQ17" t="s">
        <v>443</v>
      </c>
      <c r="IR17" t="s">
        <v>443</v>
      </c>
      <c r="IS17" t="s">
        <v>443</v>
      </c>
      <c r="IT17" t="s">
        <v>443</v>
      </c>
      <c r="IU17">
        <v>0</v>
      </c>
      <c r="IV17">
        <v>100</v>
      </c>
      <c r="IW17">
        <v>100</v>
      </c>
      <c r="IX17">
        <v>2.837</v>
      </c>
      <c r="IY17">
        <v>-0.1111</v>
      </c>
      <c r="IZ17">
        <v>1.12474291219083</v>
      </c>
      <c r="JA17">
        <v>0.00463155566490582</v>
      </c>
      <c r="JB17">
        <v>-1.1358998729424e-06</v>
      </c>
      <c r="JC17">
        <v>3.28704272115545e-10</v>
      </c>
      <c r="JD17">
        <v>-0.0704455108513773</v>
      </c>
      <c r="JE17">
        <v>-0.0251928478371425</v>
      </c>
      <c r="JF17">
        <v>0.00225751704194564</v>
      </c>
      <c r="JG17">
        <v>-3.61734043746866e-05</v>
      </c>
      <c r="JH17">
        <v>1</v>
      </c>
      <c r="JI17">
        <v>2182</v>
      </c>
      <c r="JJ17">
        <v>0</v>
      </c>
      <c r="JK17">
        <v>24</v>
      </c>
      <c r="JL17">
        <v>29349819.8</v>
      </c>
      <c r="JM17">
        <v>29349819.8</v>
      </c>
      <c r="JN17">
        <v>1.00098</v>
      </c>
      <c r="JO17">
        <v>2.61597</v>
      </c>
      <c r="JP17">
        <v>1.54785</v>
      </c>
      <c r="JQ17">
        <v>2.31445</v>
      </c>
      <c r="JR17">
        <v>1.64673</v>
      </c>
      <c r="JS17">
        <v>2.40356</v>
      </c>
      <c r="JT17">
        <v>33.4906</v>
      </c>
      <c r="JU17">
        <v>24.1926</v>
      </c>
      <c r="JV17">
        <v>18</v>
      </c>
      <c r="JW17">
        <v>500.456</v>
      </c>
      <c r="JX17">
        <v>394.085</v>
      </c>
      <c r="JY17">
        <v>12.3645</v>
      </c>
      <c r="JZ17">
        <v>23.9009</v>
      </c>
      <c r="KA17">
        <v>30.0001</v>
      </c>
      <c r="KB17">
        <v>23.924</v>
      </c>
      <c r="KC17">
        <v>23.8952</v>
      </c>
      <c r="KD17">
        <v>20.0526</v>
      </c>
      <c r="KE17">
        <v>0</v>
      </c>
      <c r="KF17">
        <v>23.7343</v>
      </c>
      <c r="KG17">
        <v>12.3583</v>
      </c>
      <c r="KH17">
        <v>420</v>
      </c>
      <c r="KI17">
        <v>9.33051</v>
      </c>
      <c r="KJ17">
        <v>97.0465</v>
      </c>
      <c r="KK17">
        <v>95.3018</v>
      </c>
    </row>
    <row r="18" spans="1:297">
      <c r="A18">
        <v>2</v>
      </c>
      <c r="B18">
        <v>1760989195.1</v>
      </c>
      <c r="C18">
        <v>5</v>
      </c>
      <c r="D18" t="s">
        <v>444</v>
      </c>
      <c r="E18" t="s">
        <v>445</v>
      </c>
      <c r="F18">
        <v>5</v>
      </c>
      <c r="G18" t="s">
        <v>435</v>
      </c>
      <c r="H18" t="s">
        <v>436</v>
      </c>
      <c r="I18">
        <v>1760989186.36667</v>
      </c>
      <c r="J18">
        <f>(K18)/1000</f>
        <v>0</v>
      </c>
      <c r="K18">
        <f>IF(DP18, AN18, AH18)</f>
        <v>0</v>
      </c>
      <c r="L18">
        <f>IF(DP18, AI18, AG18)</f>
        <v>0</v>
      </c>
      <c r="M18">
        <f>DR18 - IF(AU18&gt;1, L18*DL18*100.0/(AW18), 0)</f>
        <v>0</v>
      </c>
      <c r="N18">
        <f>((T18-J18/2)*M18-L18)/(T18+J18/2)</f>
        <v>0</v>
      </c>
      <c r="O18">
        <f>N18*(DY18+DZ18)/1000.0</f>
        <v>0</v>
      </c>
      <c r="P18">
        <f>(DR18 - IF(AU18&gt;1, L18*DL18*100.0/(AW18), 0))*(DY18+DZ18)/1000.0</f>
        <v>0</v>
      </c>
      <c r="Q18">
        <f>2.0/((1/S18-1/R18)+SIGN(S18)*SQRT((1/S18-1/R18)*(1/S18-1/R18) + 4*DM18/((DM18+1)*(DM18+1))*(2*1/S18*1/R18-1/R18*1/R18)))</f>
        <v>0</v>
      </c>
      <c r="R18">
        <f>IF(LEFT(DN18,1)&lt;&gt;"0",IF(LEFT(DN18,1)="1",3.0,DO18),$D$5+$E$5*(EF18*DY18/($K$5*1000))+$F$5*(EF18*DY18/($K$5*1000))*MAX(MIN(DL18,$J$5),$I$5)*MAX(MIN(DL18,$J$5),$I$5)+$G$5*MAX(MIN(DL18,$J$5),$I$5)*(EF18*DY18/($K$5*1000))+$H$5*(EF18*DY18/($K$5*1000))*(EF18*DY18/($K$5*1000)))</f>
        <v>0</v>
      </c>
      <c r="S18">
        <f>J18*(1000-(1000*0.61365*exp(17.502*W18/(240.97+W18))/(DY18+DZ18)+DT18)/2)/(1000*0.61365*exp(17.502*W18/(240.97+W18))/(DY18+DZ18)-DT18)</f>
        <v>0</v>
      </c>
      <c r="T18">
        <f>1/((DM18+1)/(Q18/1.6)+1/(R18/1.37)) + DM18/((DM18+1)/(Q18/1.6) + DM18/(R18/1.37))</f>
        <v>0</v>
      </c>
      <c r="U18">
        <f>(DH18*DK18)</f>
        <v>0</v>
      </c>
      <c r="V18">
        <f>(EA18+(U18+2*0.95*5.67E-8*(((EA18+$B$7)+273)^4-(EA18+273)^4)-44100*J18)/(1.84*29.3*R18+8*0.95*5.67E-8*(EA18+273)^3))</f>
        <v>0</v>
      </c>
      <c r="W18">
        <f>($C$7*EB18+$D$7*EC18+$E$7*V18)</f>
        <v>0</v>
      </c>
      <c r="X18">
        <f>0.61365*exp(17.502*W18/(240.97+W18))</f>
        <v>0</v>
      </c>
      <c r="Y18">
        <f>(Z18/AA18*100)</f>
        <v>0</v>
      </c>
      <c r="Z18">
        <f>DT18*(DY18+DZ18)/1000</f>
        <v>0</v>
      </c>
      <c r="AA18">
        <f>0.61365*exp(17.502*EA18/(240.97+EA18))</f>
        <v>0</v>
      </c>
      <c r="AB18">
        <f>(X18-DT18*(DY18+DZ18)/1000)</f>
        <v>0</v>
      </c>
      <c r="AC18">
        <f>(-J18*44100)</f>
        <v>0</v>
      </c>
      <c r="AD18">
        <f>2*29.3*R18*0.92*(EA18-W18)</f>
        <v>0</v>
      </c>
      <c r="AE18">
        <f>2*0.95*5.67E-8*(((EA18+$B$7)+273)^4-(W18+273)^4)</f>
        <v>0</v>
      </c>
      <c r="AF18">
        <f>U18+AE18+AC18+AD18</f>
        <v>0</v>
      </c>
      <c r="AG18">
        <f>DX18*AU18*(DS18-DR18*(1000-AU18*DU18)/(1000-AU18*DT18))/(100*DL18)</f>
        <v>0</v>
      </c>
      <c r="AH18">
        <f>1000*DX18*AU18*(DT18-DU18)/(100*DL18*(1000-AU18*DT18))</f>
        <v>0</v>
      </c>
      <c r="AI18">
        <f>(AJ18 - AK18 - DY18*1E3/(8.314*(EA18+273.15)) * AM18/DX18 * AL18) * DX18/(100*DL18) * (1000 - DU18)/1000</f>
        <v>0</v>
      </c>
      <c r="AJ18">
        <v>423.698993900603</v>
      </c>
      <c r="AK18">
        <v>412.824339393939</v>
      </c>
      <c r="AL18">
        <v>-0.000336832009260837</v>
      </c>
      <c r="AM18">
        <v>64.8413469339502</v>
      </c>
      <c r="AN18">
        <f>(AP18 - AO18 + DY18*1E3/(8.314*(EA18+273.15)) * AR18/DX18 * AQ18) * DX18/(100*DL18) * 1000/(1000 - AP18)</f>
        <v>0</v>
      </c>
      <c r="AO18">
        <v>9.13592995054004</v>
      </c>
      <c r="AP18">
        <v>11.824336969697</v>
      </c>
      <c r="AQ18">
        <v>-9.24161447194345e-07</v>
      </c>
      <c r="AR18">
        <v>118.472689631034</v>
      </c>
      <c r="AS18">
        <v>0</v>
      </c>
      <c r="AT18">
        <v>0</v>
      </c>
      <c r="AU18">
        <f>IF(AS18*$H$13&gt;=AW18,1.0,(AW18/(AW18-AS18*$H$13)))</f>
        <v>0</v>
      </c>
      <c r="AV18">
        <f>(AU18-1)*100</f>
        <v>0</v>
      </c>
      <c r="AW18">
        <f>MAX(0,($B$13+$C$13*EF18)/(1+$D$13*EF18)*DY18/(EA18+273)*$E$13)</f>
        <v>0</v>
      </c>
      <c r="AX18" t="s">
        <v>437</v>
      </c>
      <c r="AY18" t="s">
        <v>437</v>
      </c>
      <c r="AZ18">
        <v>0</v>
      </c>
      <c r="BA18">
        <v>0</v>
      </c>
      <c r="BB18">
        <f>1-AZ18/BA18</f>
        <v>0</v>
      </c>
      <c r="BC18">
        <v>0</v>
      </c>
      <c r="BD18" t="s">
        <v>437</v>
      </c>
      <c r="BE18" t="s">
        <v>437</v>
      </c>
      <c r="BF18">
        <v>0</v>
      </c>
      <c r="BG18">
        <v>0</v>
      </c>
      <c r="BH18">
        <f>1-BF18/BG18</f>
        <v>0</v>
      </c>
      <c r="BI18">
        <v>0.5</v>
      </c>
      <c r="BJ18">
        <f>DI18</f>
        <v>0</v>
      </c>
      <c r="BK18">
        <f>L18</f>
        <v>0</v>
      </c>
      <c r="BL18">
        <f>BH18*BI18*BJ18</f>
        <v>0</v>
      </c>
      <c r="BM18">
        <f>(BK18-BC18)/BJ18</f>
        <v>0</v>
      </c>
      <c r="BN18">
        <f>(BA18-BG18)/BG18</f>
        <v>0</v>
      </c>
      <c r="BO18">
        <f>AZ18/(BB18+AZ18/BG18)</f>
        <v>0</v>
      </c>
      <c r="BP18" t="s">
        <v>437</v>
      </c>
      <c r="BQ18">
        <v>0</v>
      </c>
      <c r="BR18">
        <f>IF(BQ18&lt;&gt;0, BQ18, BO18)</f>
        <v>0</v>
      </c>
      <c r="BS18">
        <f>1-BR18/BG18</f>
        <v>0</v>
      </c>
      <c r="BT18">
        <f>(BG18-BF18)/(BG18-BR18)</f>
        <v>0</v>
      </c>
      <c r="BU18">
        <f>(BA18-BG18)/(BA18-BR18)</f>
        <v>0</v>
      </c>
      <c r="BV18">
        <f>(BG18-BF18)/(BG18-AZ18)</f>
        <v>0</v>
      </c>
      <c r="BW18">
        <f>(BA18-BG18)/(BA18-AZ18)</f>
        <v>0</v>
      </c>
      <c r="BX18">
        <f>(BT18*BR18/BF18)</f>
        <v>0</v>
      </c>
      <c r="BY18">
        <f>(1-BX18)</f>
        <v>0</v>
      </c>
      <c r="DH18">
        <f>$B$11*EG18+$C$11*EH18+$F$11*ES18*(1-EV18)</f>
        <v>0</v>
      </c>
      <c r="DI18">
        <f>DH18*DJ18</f>
        <v>0</v>
      </c>
      <c r="DJ18">
        <f>($B$11*$D$9+$C$11*$D$9+$F$11*((FF18+EX18)/MAX(FF18+EX18+FG18, 0.1)*$I$9+FG18/MAX(FF18+EX18+FG18, 0.1)*$J$9))/($B$11+$C$11+$F$11)</f>
        <v>0</v>
      </c>
      <c r="DK18">
        <f>($B$11*$K$9+$C$11*$K$9+$F$11*((FF18+EX18)/MAX(FF18+EX18+FG18, 0.1)*$P$9+FG18/MAX(FF18+EX18+FG18, 0.1)*$Q$9))/($B$11+$C$11+$F$11)</f>
        <v>0</v>
      </c>
      <c r="DL18">
        <v>6</v>
      </c>
      <c r="DM18">
        <v>0.5</v>
      </c>
      <c r="DN18" t="s">
        <v>438</v>
      </c>
      <c r="DO18">
        <v>2</v>
      </c>
      <c r="DP18" t="b">
        <v>1</v>
      </c>
      <c r="DQ18">
        <v>1760989186.36667</v>
      </c>
      <c r="DR18">
        <v>407.987933333333</v>
      </c>
      <c r="DS18">
        <v>419.9132</v>
      </c>
      <c r="DT18">
        <v>11.82606</v>
      </c>
      <c r="DU18">
        <v>9.13443466666667</v>
      </c>
      <c r="DV18">
        <v>405.151333333333</v>
      </c>
      <c r="DW18">
        <v>11.9370666666667</v>
      </c>
      <c r="DX18">
        <v>500.019133333333</v>
      </c>
      <c r="DY18">
        <v>89.8777533333333</v>
      </c>
      <c r="DZ18">
        <v>0.007739952</v>
      </c>
      <c r="EA18">
        <v>18.4224533333333</v>
      </c>
      <c r="EB18">
        <v>18.01408</v>
      </c>
      <c r="EC18">
        <v>999.9</v>
      </c>
      <c r="ED18">
        <v>0</v>
      </c>
      <c r="EE18">
        <v>0</v>
      </c>
      <c r="EF18">
        <v>9991.66733333333</v>
      </c>
      <c r="EG18">
        <v>0</v>
      </c>
      <c r="EH18">
        <v>1270.06533333333</v>
      </c>
      <c r="EI18">
        <v>-11.9252866666667</v>
      </c>
      <c r="EJ18">
        <v>412.870733333333</v>
      </c>
      <c r="EK18">
        <v>423.784133333333</v>
      </c>
      <c r="EL18">
        <v>2.69161266666667</v>
      </c>
      <c r="EM18">
        <v>419.9132</v>
      </c>
      <c r="EN18">
        <v>9.13443466666667</v>
      </c>
      <c r="EO18">
        <v>1.06289733333333</v>
      </c>
      <c r="EP18">
        <v>0.8209826</v>
      </c>
      <c r="EQ18">
        <v>7.80833333333333</v>
      </c>
      <c r="ER18">
        <v>4.07536733333333</v>
      </c>
      <c r="ES18">
        <v>1199.968</v>
      </c>
      <c r="ET18">
        <v>0.967007866666667</v>
      </c>
      <c r="EU18">
        <v>0.0329920666666667</v>
      </c>
      <c r="EV18">
        <v>0</v>
      </c>
      <c r="EW18">
        <v>1383.4</v>
      </c>
      <c r="EX18">
        <v>5.00059</v>
      </c>
      <c r="EY18">
        <v>16315.1066666667</v>
      </c>
      <c r="EZ18">
        <v>10358.4533333333</v>
      </c>
      <c r="FA18">
        <v>38.4372666666667</v>
      </c>
      <c r="FB18">
        <v>41.304</v>
      </c>
      <c r="FC18">
        <v>39.0122</v>
      </c>
      <c r="FD18">
        <v>41.3456666666667</v>
      </c>
      <c r="FE18">
        <v>39.5498</v>
      </c>
      <c r="FF18">
        <v>1155.546</v>
      </c>
      <c r="FG18">
        <v>39.422</v>
      </c>
      <c r="FH18">
        <v>0</v>
      </c>
      <c r="FI18">
        <v>1760989164.1</v>
      </c>
      <c r="FJ18">
        <v>0</v>
      </c>
      <c r="FK18">
        <v>1383.264</v>
      </c>
      <c r="FL18">
        <v>-6.83307693809213</v>
      </c>
      <c r="FM18">
        <v>-45.7230769815345</v>
      </c>
      <c r="FN18">
        <v>16314.56</v>
      </c>
      <c r="FO18">
        <v>15</v>
      </c>
      <c r="FP18">
        <v>0</v>
      </c>
      <c r="FQ18" t="s">
        <v>439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-11.9492</v>
      </c>
      <c r="GD18">
        <v>1.06285714285714</v>
      </c>
      <c r="GE18">
        <v>0.218130362944032</v>
      </c>
      <c r="GF18">
        <v>0</v>
      </c>
      <c r="GG18">
        <v>1383.65323529412</v>
      </c>
      <c r="GH18">
        <v>-7.13506493296604</v>
      </c>
      <c r="GI18">
        <v>0.729922318945995</v>
      </c>
      <c r="GJ18">
        <v>-1</v>
      </c>
      <c r="GK18">
        <v>2.69230476190476</v>
      </c>
      <c r="GL18">
        <v>-0.0228740259740232</v>
      </c>
      <c r="GM18">
        <v>0.00239261486572566</v>
      </c>
      <c r="GN18">
        <v>1</v>
      </c>
      <c r="GO18">
        <v>1</v>
      </c>
      <c r="GP18">
        <v>2</v>
      </c>
      <c r="GQ18" t="s">
        <v>446</v>
      </c>
      <c r="GR18">
        <v>3.13069</v>
      </c>
      <c r="GS18">
        <v>2.68559</v>
      </c>
      <c r="GT18">
        <v>0.0876547</v>
      </c>
      <c r="GU18">
        <v>0.0898841</v>
      </c>
      <c r="GV18">
        <v>0.0617641</v>
      </c>
      <c r="GW18">
        <v>0.0504282</v>
      </c>
      <c r="GX18">
        <v>34577.3</v>
      </c>
      <c r="GY18">
        <v>37062.7</v>
      </c>
      <c r="GZ18">
        <v>34267</v>
      </c>
      <c r="HA18">
        <v>36848.7</v>
      </c>
      <c r="HB18">
        <v>45349.1</v>
      </c>
      <c r="HC18">
        <v>50173</v>
      </c>
      <c r="HD18">
        <v>53341.5</v>
      </c>
      <c r="HE18">
        <v>58774.8</v>
      </c>
      <c r="HF18">
        <v>2.00855</v>
      </c>
      <c r="HG18">
        <v>1.83707</v>
      </c>
      <c r="HH18">
        <v>0.0333861</v>
      </c>
      <c r="HI18">
        <v>0</v>
      </c>
      <c r="HJ18">
        <v>17.459</v>
      </c>
      <c r="HK18">
        <v>999.9</v>
      </c>
      <c r="HL18">
        <v>25.98</v>
      </c>
      <c r="HM18">
        <v>30.252</v>
      </c>
      <c r="HN18">
        <v>12.4948</v>
      </c>
      <c r="HO18">
        <v>54.0692</v>
      </c>
      <c r="HP18">
        <v>44.2508</v>
      </c>
      <c r="HQ18">
        <v>1</v>
      </c>
      <c r="HR18">
        <v>-0.26936</v>
      </c>
      <c r="HS18">
        <v>4.02181</v>
      </c>
      <c r="HT18">
        <v>20.0921</v>
      </c>
      <c r="HU18">
        <v>5.20052</v>
      </c>
      <c r="HV18">
        <v>12.004</v>
      </c>
      <c r="HW18">
        <v>4.9758</v>
      </c>
      <c r="HX18">
        <v>3.29308</v>
      </c>
      <c r="HY18">
        <v>9999</v>
      </c>
      <c r="HZ18">
        <v>999.9</v>
      </c>
      <c r="IA18">
        <v>9999</v>
      </c>
      <c r="IB18">
        <v>9999</v>
      </c>
      <c r="IC18">
        <v>1.86323</v>
      </c>
      <c r="ID18">
        <v>1.86804</v>
      </c>
      <c r="IE18">
        <v>1.86783</v>
      </c>
      <c r="IF18">
        <v>1.86904</v>
      </c>
      <c r="IG18">
        <v>1.86981</v>
      </c>
      <c r="IH18">
        <v>1.86584</v>
      </c>
      <c r="II18">
        <v>1.86696</v>
      </c>
      <c r="IJ18">
        <v>1.8684</v>
      </c>
      <c r="IK18">
        <v>5</v>
      </c>
      <c r="IL18">
        <v>0</v>
      </c>
      <c r="IM18">
        <v>0</v>
      </c>
      <c r="IN18">
        <v>0</v>
      </c>
      <c r="IO18" t="s">
        <v>441</v>
      </c>
      <c r="IP18" t="s">
        <v>442</v>
      </c>
      <c r="IQ18" t="s">
        <v>443</v>
      </c>
      <c r="IR18" t="s">
        <v>443</v>
      </c>
      <c r="IS18" t="s">
        <v>443</v>
      </c>
      <c r="IT18" t="s">
        <v>443</v>
      </c>
      <c r="IU18">
        <v>0</v>
      </c>
      <c r="IV18">
        <v>100</v>
      </c>
      <c r="IW18">
        <v>100</v>
      </c>
      <c r="IX18">
        <v>2.837</v>
      </c>
      <c r="IY18">
        <v>-0.1111</v>
      </c>
      <c r="IZ18">
        <v>1.12474291219083</v>
      </c>
      <c r="JA18">
        <v>0.00463155566490582</v>
      </c>
      <c r="JB18">
        <v>-1.1358998729424e-06</v>
      </c>
      <c r="JC18">
        <v>3.28704272115545e-10</v>
      </c>
      <c r="JD18">
        <v>-0.0704455108513773</v>
      </c>
      <c r="JE18">
        <v>-0.0251928478371425</v>
      </c>
      <c r="JF18">
        <v>0.00225751704194564</v>
      </c>
      <c r="JG18">
        <v>-3.61734043746866e-05</v>
      </c>
      <c r="JH18">
        <v>1</v>
      </c>
      <c r="JI18">
        <v>2182</v>
      </c>
      <c r="JJ18">
        <v>0</v>
      </c>
      <c r="JK18">
        <v>24</v>
      </c>
      <c r="JL18">
        <v>29349819.9</v>
      </c>
      <c r="JM18">
        <v>29349819.9</v>
      </c>
      <c r="JN18">
        <v>0.982666</v>
      </c>
      <c r="JO18">
        <v>2.62085</v>
      </c>
      <c r="JP18">
        <v>1.54785</v>
      </c>
      <c r="JQ18">
        <v>2.31445</v>
      </c>
      <c r="JR18">
        <v>1.64673</v>
      </c>
      <c r="JS18">
        <v>2.40112</v>
      </c>
      <c r="JT18">
        <v>33.4906</v>
      </c>
      <c r="JU18">
        <v>24.1926</v>
      </c>
      <c r="JV18">
        <v>18</v>
      </c>
      <c r="JW18">
        <v>500.542</v>
      </c>
      <c r="JX18">
        <v>394.138</v>
      </c>
      <c r="JY18">
        <v>12.3519</v>
      </c>
      <c r="JZ18">
        <v>23.9008</v>
      </c>
      <c r="KA18">
        <v>30.0001</v>
      </c>
      <c r="KB18">
        <v>23.923</v>
      </c>
      <c r="KC18">
        <v>23.8952</v>
      </c>
      <c r="KD18">
        <v>19.5743</v>
      </c>
      <c r="KE18">
        <v>0</v>
      </c>
      <c r="KF18">
        <v>23.7343</v>
      </c>
      <c r="KG18">
        <v>12.3398</v>
      </c>
      <c r="KH18">
        <v>399.622</v>
      </c>
      <c r="KI18">
        <v>9.33051</v>
      </c>
      <c r="KJ18">
        <v>97.0451</v>
      </c>
      <c r="KK18">
        <v>95.3014</v>
      </c>
    </row>
    <row r="19" spans="1:297">
      <c r="A19">
        <v>3</v>
      </c>
      <c r="B19">
        <v>1760989200.1</v>
      </c>
      <c r="C19">
        <v>10</v>
      </c>
      <c r="D19" t="s">
        <v>447</v>
      </c>
      <c r="E19" t="s">
        <v>448</v>
      </c>
      <c r="F19">
        <v>5</v>
      </c>
      <c r="G19" t="s">
        <v>435</v>
      </c>
      <c r="H19" t="s">
        <v>436</v>
      </c>
      <c r="I19">
        <v>1760989191.45714</v>
      </c>
      <c r="J19">
        <f>(K19)/1000</f>
        <v>0</v>
      </c>
      <c r="K19">
        <f>IF(DP19, AN19, AH19)</f>
        <v>0</v>
      </c>
      <c r="L19">
        <f>IF(DP19, AI19, AG19)</f>
        <v>0</v>
      </c>
      <c r="M19">
        <f>DR19 - IF(AU19&gt;1, L19*DL19*100.0/(AW19), 0)</f>
        <v>0</v>
      </c>
      <c r="N19">
        <f>((T19-J19/2)*M19-L19)/(T19+J19/2)</f>
        <v>0</v>
      </c>
      <c r="O19">
        <f>N19*(DY19+DZ19)/1000.0</f>
        <v>0</v>
      </c>
      <c r="P19">
        <f>(DR19 - IF(AU19&gt;1, L19*DL19*100.0/(AW19), 0))*(DY19+DZ19)/1000.0</f>
        <v>0</v>
      </c>
      <c r="Q19">
        <f>2.0/((1/S19-1/R19)+SIGN(S19)*SQRT((1/S19-1/R19)*(1/S19-1/R19) + 4*DM19/((DM19+1)*(DM19+1))*(2*1/S19*1/R19-1/R19*1/R19)))</f>
        <v>0</v>
      </c>
      <c r="R19">
        <f>IF(LEFT(DN19,1)&lt;&gt;"0",IF(LEFT(DN19,1)="1",3.0,DO19),$D$5+$E$5*(EF19*DY19/($K$5*1000))+$F$5*(EF19*DY19/($K$5*1000))*MAX(MIN(DL19,$J$5),$I$5)*MAX(MIN(DL19,$J$5),$I$5)+$G$5*MAX(MIN(DL19,$J$5),$I$5)*(EF19*DY19/($K$5*1000))+$H$5*(EF19*DY19/($K$5*1000))*(EF19*DY19/($K$5*1000)))</f>
        <v>0</v>
      </c>
      <c r="S19">
        <f>J19*(1000-(1000*0.61365*exp(17.502*W19/(240.97+W19))/(DY19+DZ19)+DT19)/2)/(1000*0.61365*exp(17.502*W19/(240.97+W19))/(DY19+DZ19)-DT19)</f>
        <v>0</v>
      </c>
      <c r="T19">
        <f>1/((DM19+1)/(Q19/1.6)+1/(R19/1.37)) + DM19/((DM19+1)/(Q19/1.6) + DM19/(R19/1.37))</f>
        <v>0</v>
      </c>
      <c r="U19">
        <f>(DH19*DK19)</f>
        <v>0</v>
      </c>
      <c r="V19">
        <f>(EA19+(U19+2*0.95*5.67E-8*(((EA19+$B$7)+273)^4-(EA19+273)^4)-44100*J19)/(1.84*29.3*R19+8*0.95*5.67E-8*(EA19+273)^3))</f>
        <v>0</v>
      </c>
      <c r="W19">
        <f>($C$7*EB19+$D$7*EC19+$E$7*V19)</f>
        <v>0</v>
      </c>
      <c r="X19">
        <f>0.61365*exp(17.502*W19/(240.97+W19))</f>
        <v>0</v>
      </c>
      <c r="Y19">
        <f>(Z19/AA19*100)</f>
        <v>0</v>
      </c>
      <c r="Z19">
        <f>DT19*(DY19+DZ19)/1000</f>
        <v>0</v>
      </c>
      <c r="AA19">
        <f>0.61365*exp(17.502*EA19/(240.97+EA19))</f>
        <v>0</v>
      </c>
      <c r="AB19">
        <f>(X19-DT19*(DY19+DZ19)/1000)</f>
        <v>0</v>
      </c>
      <c r="AC19">
        <f>(-J19*44100)</f>
        <v>0</v>
      </c>
      <c r="AD19">
        <f>2*29.3*R19*0.92*(EA19-W19)</f>
        <v>0</v>
      </c>
      <c r="AE19">
        <f>2*0.95*5.67E-8*(((EA19+$B$7)+273)^4-(W19+273)^4)</f>
        <v>0</v>
      </c>
      <c r="AF19">
        <f>U19+AE19+AC19+AD19</f>
        <v>0</v>
      </c>
      <c r="AG19">
        <f>DX19*AU19*(DS19-DR19*(1000-AU19*DU19)/(1000-AU19*DT19))/(100*DL19)</f>
        <v>0</v>
      </c>
      <c r="AH19">
        <f>1000*DX19*AU19*(DT19-DU19)/(100*DL19*(1000-AU19*DT19))</f>
        <v>0</v>
      </c>
      <c r="AI19">
        <f>(AJ19 - AK19 - DY19*1E3/(8.314*(EA19+273.15)) * AM19/DX19 * AL19) * DX19/(100*DL19) * (1000 - DU19)/1000</f>
        <v>0</v>
      </c>
      <c r="AJ19">
        <v>419.037254030517</v>
      </c>
      <c r="AK19">
        <v>410.684090909091</v>
      </c>
      <c r="AL19">
        <v>-0.526555564290626</v>
      </c>
      <c r="AM19">
        <v>64.8413469339502</v>
      </c>
      <c r="AN19">
        <f>(AP19 - AO19 + DY19*1E3/(8.314*(EA19+273.15)) * AR19/DX19 * AQ19) * DX19/(100*DL19) * 1000/(1000 - AP19)</f>
        <v>0</v>
      </c>
      <c r="AO19">
        <v>9.13563518623399</v>
      </c>
      <c r="AP19">
        <v>11.8231654545454</v>
      </c>
      <c r="AQ19">
        <v>-2.31214208522577e-06</v>
      </c>
      <c r="AR19">
        <v>118.472689631034</v>
      </c>
      <c r="AS19">
        <v>0</v>
      </c>
      <c r="AT19">
        <v>0</v>
      </c>
      <c r="AU19">
        <f>IF(AS19*$H$13&gt;=AW19,1.0,(AW19/(AW19-AS19*$H$13)))</f>
        <v>0</v>
      </c>
      <c r="AV19">
        <f>(AU19-1)*100</f>
        <v>0</v>
      </c>
      <c r="AW19">
        <f>MAX(0,($B$13+$C$13*EF19)/(1+$D$13*EF19)*DY19/(EA19+273)*$E$13)</f>
        <v>0</v>
      </c>
      <c r="AX19" t="s">
        <v>437</v>
      </c>
      <c r="AY19" t="s">
        <v>437</v>
      </c>
      <c r="AZ19">
        <v>0</v>
      </c>
      <c r="BA19">
        <v>0</v>
      </c>
      <c r="BB19">
        <f>1-AZ19/BA19</f>
        <v>0</v>
      </c>
      <c r="BC19">
        <v>0</v>
      </c>
      <c r="BD19" t="s">
        <v>437</v>
      </c>
      <c r="BE19" t="s">
        <v>437</v>
      </c>
      <c r="BF19">
        <v>0</v>
      </c>
      <c r="BG19">
        <v>0</v>
      </c>
      <c r="BH19">
        <f>1-BF19/BG19</f>
        <v>0</v>
      </c>
      <c r="BI19">
        <v>0.5</v>
      </c>
      <c r="BJ19">
        <f>DI19</f>
        <v>0</v>
      </c>
      <c r="BK19">
        <f>L19</f>
        <v>0</v>
      </c>
      <c r="BL19">
        <f>BH19*BI19*BJ19</f>
        <v>0</v>
      </c>
      <c r="BM19">
        <f>(BK19-BC19)/BJ19</f>
        <v>0</v>
      </c>
      <c r="BN19">
        <f>(BA19-BG19)/BG19</f>
        <v>0</v>
      </c>
      <c r="BO19">
        <f>AZ19/(BB19+AZ19/BG19)</f>
        <v>0</v>
      </c>
      <c r="BP19" t="s">
        <v>437</v>
      </c>
      <c r="BQ19">
        <v>0</v>
      </c>
      <c r="BR19">
        <f>IF(BQ19&lt;&gt;0, BQ19, BO19)</f>
        <v>0</v>
      </c>
      <c r="BS19">
        <f>1-BR19/BG19</f>
        <v>0</v>
      </c>
      <c r="BT19">
        <f>(BG19-BF19)/(BG19-BR19)</f>
        <v>0</v>
      </c>
      <c r="BU19">
        <f>(BA19-BG19)/(BA19-BR19)</f>
        <v>0</v>
      </c>
      <c r="BV19">
        <f>(BG19-BF19)/(BG19-AZ19)</f>
        <v>0</v>
      </c>
      <c r="BW19">
        <f>(BA19-BG19)/(BA19-AZ19)</f>
        <v>0</v>
      </c>
      <c r="BX19">
        <f>(BT19*BR19/BF19)</f>
        <v>0</v>
      </c>
      <c r="BY19">
        <f>(1-BX19)</f>
        <v>0</v>
      </c>
      <c r="DH19">
        <f>$B$11*EG19+$C$11*EH19+$F$11*ES19*(1-EV19)</f>
        <v>0</v>
      </c>
      <c r="DI19">
        <f>DH19*DJ19</f>
        <v>0</v>
      </c>
      <c r="DJ19">
        <f>($B$11*$D$9+$C$11*$D$9+$F$11*((FF19+EX19)/MAX(FF19+EX19+FG19, 0.1)*$I$9+FG19/MAX(FF19+EX19+FG19, 0.1)*$J$9))/($B$11+$C$11+$F$11)</f>
        <v>0</v>
      </c>
      <c r="DK19">
        <f>($B$11*$K$9+$C$11*$K$9+$F$11*((FF19+EX19)/MAX(FF19+EX19+FG19, 0.1)*$P$9+FG19/MAX(FF19+EX19+FG19, 0.1)*$Q$9))/($B$11+$C$11+$F$11)</f>
        <v>0</v>
      </c>
      <c r="DL19">
        <v>6</v>
      </c>
      <c r="DM19">
        <v>0.5</v>
      </c>
      <c r="DN19" t="s">
        <v>438</v>
      </c>
      <c r="DO19">
        <v>2</v>
      </c>
      <c r="DP19" t="b">
        <v>1</v>
      </c>
      <c r="DQ19">
        <v>1760989191.45714</v>
      </c>
      <c r="DR19">
        <v>407.633285714286</v>
      </c>
      <c r="DS19">
        <v>417.862785714286</v>
      </c>
      <c r="DT19">
        <v>11.8249357142857</v>
      </c>
      <c r="DU19">
        <v>9.13505071428571</v>
      </c>
      <c r="DV19">
        <v>404.798</v>
      </c>
      <c r="DW19">
        <v>11.9359714285714</v>
      </c>
      <c r="DX19">
        <v>500.016357142857</v>
      </c>
      <c r="DY19">
        <v>89.8794428571428</v>
      </c>
      <c r="DZ19">
        <v>0.00774374357142857</v>
      </c>
      <c r="EA19">
        <v>18.4269857142857</v>
      </c>
      <c r="EB19">
        <v>18.0144785714286</v>
      </c>
      <c r="EC19">
        <v>999.9</v>
      </c>
      <c r="ED19">
        <v>0</v>
      </c>
      <c r="EE19">
        <v>0</v>
      </c>
      <c r="EF19">
        <v>9984.72928571429</v>
      </c>
      <c r="EG19">
        <v>0</v>
      </c>
      <c r="EH19">
        <v>1270.04857142857</v>
      </c>
      <c r="EI19">
        <v>-10.2295171428571</v>
      </c>
      <c r="EJ19">
        <v>412.511285714286</v>
      </c>
      <c r="EK19">
        <v>421.715071428571</v>
      </c>
      <c r="EL19">
        <v>2.68987928571429</v>
      </c>
      <c r="EM19">
        <v>417.862785714286</v>
      </c>
      <c r="EN19">
        <v>9.13505071428571</v>
      </c>
      <c r="EO19">
        <v>1.06281714285714</v>
      </c>
      <c r="EP19">
        <v>0.8210535</v>
      </c>
      <c r="EQ19">
        <v>7.80722642857143</v>
      </c>
      <c r="ER19">
        <v>4.07659785714286</v>
      </c>
      <c r="ES19">
        <v>1199.97357142857</v>
      </c>
      <c r="ET19">
        <v>0.967005214285714</v>
      </c>
      <c r="EU19">
        <v>0.0329947571428571</v>
      </c>
      <c r="EV19">
        <v>0</v>
      </c>
      <c r="EW19">
        <v>1382.86071428571</v>
      </c>
      <c r="EX19">
        <v>5.00059</v>
      </c>
      <c r="EY19">
        <v>16311.3142857143</v>
      </c>
      <c r="EZ19">
        <v>10358.5</v>
      </c>
      <c r="FA19">
        <v>38.4952142857143</v>
      </c>
      <c r="FB19">
        <v>41.3657857142857</v>
      </c>
      <c r="FC19">
        <v>39.0667857142857</v>
      </c>
      <c r="FD19">
        <v>41.4372142857143</v>
      </c>
      <c r="FE19">
        <v>39.6112857142857</v>
      </c>
      <c r="FF19">
        <v>1155.54714285714</v>
      </c>
      <c r="FG19">
        <v>39.4264285714286</v>
      </c>
      <c r="FH19">
        <v>0</v>
      </c>
      <c r="FI19">
        <v>1760989169.5</v>
      </c>
      <c r="FJ19">
        <v>0</v>
      </c>
      <c r="FK19">
        <v>1382.68692307692</v>
      </c>
      <c r="FL19">
        <v>-6.40410255881489</v>
      </c>
      <c r="FM19">
        <v>-40.0273503114857</v>
      </c>
      <c r="FN19">
        <v>16310.5769230769</v>
      </c>
      <c r="FO19">
        <v>15</v>
      </c>
      <c r="FP19">
        <v>0</v>
      </c>
      <c r="FQ19" t="s">
        <v>439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-10.660212</v>
      </c>
      <c r="GD19">
        <v>19.4021377443609</v>
      </c>
      <c r="GE19">
        <v>2.49249078828308</v>
      </c>
      <c r="GF19">
        <v>0</v>
      </c>
      <c r="GG19">
        <v>1383.09941176471</v>
      </c>
      <c r="GH19">
        <v>-6.41436210986871</v>
      </c>
      <c r="GI19">
        <v>0.645777876474511</v>
      </c>
      <c r="GJ19">
        <v>-1</v>
      </c>
      <c r="GK19">
        <v>2.6905335</v>
      </c>
      <c r="GL19">
        <v>-0.0220551879699239</v>
      </c>
      <c r="GM19">
        <v>0.00221701888805662</v>
      </c>
      <c r="GN19">
        <v>1</v>
      </c>
      <c r="GO19">
        <v>1</v>
      </c>
      <c r="GP19">
        <v>2</v>
      </c>
      <c r="GQ19" t="s">
        <v>446</v>
      </c>
      <c r="GR19">
        <v>3.13068</v>
      </c>
      <c r="GS19">
        <v>2.68561</v>
      </c>
      <c r="GT19">
        <v>0.0871184</v>
      </c>
      <c r="GU19">
        <v>0.0879416</v>
      </c>
      <c r="GV19">
        <v>0.0617606</v>
      </c>
      <c r="GW19">
        <v>0.0504333</v>
      </c>
      <c r="GX19">
        <v>34597.7</v>
      </c>
      <c r="GY19">
        <v>37141.9</v>
      </c>
      <c r="GZ19">
        <v>34267.1</v>
      </c>
      <c r="HA19">
        <v>36848.8</v>
      </c>
      <c r="HB19">
        <v>45349.4</v>
      </c>
      <c r="HC19">
        <v>50172.5</v>
      </c>
      <c r="HD19">
        <v>53341.7</v>
      </c>
      <c r="HE19">
        <v>58774.8</v>
      </c>
      <c r="HF19">
        <v>2.00818</v>
      </c>
      <c r="HG19">
        <v>1.83695</v>
      </c>
      <c r="HH19">
        <v>0.0334904</v>
      </c>
      <c r="HI19">
        <v>0</v>
      </c>
      <c r="HJ19">
        <v>17.4606</v>
      </c>
      <c r="HK19">
        <v>999.9</v>
      </c>
      <c r="HL19">
        <v>25.98</v>
      </c>
      <c r="HM19">
        <v>30.252</v>
      </c>
      <c r="HN19">
        <v>12.4948</v>
      </c>
      <c r="HO19">
        <v>54.6492</v>
      </c>
      <c r="HP19">
        <v>44.2668</v>
      </c>
      <c r="HQ19">
        <v>1</v>
      </c>
      <c r="HR19">
        <v>-0.269294</v>
      </c>
      <c r="HS19">
        <v>4.03659</v>
      </c>
      <c r="HT19">
        <v>20.0917</v>
      </c>
      <c r="HU19">
        <v>5.20037</v>
      </c>
      <c r="HV19">
        <v>12.004</v>
      </c>
      <c r="HW19">
        <v>4.97565</v>
      </c>
      <c r="HX19">
        <v>3.29295</v>
      </c>
      <c r="HY19">
        <v>9999</v>
      </c>
      <c r="HZ19">
        <v>999.9</v>
      </c>
      <c r="IA19">
        <v>9999</v>
      </c>
      <c r="IB19">
        <v>9999</v>
      </c>
      <c r="IC19">
        <v>1.86323</v>
      </c>
      <c r="ID19">
        <v>1.86805</v>
      </c>
      <c r="IE19">
        <v>1.86783</v>
      </c>
      <c r="IF19">
        <v>1.86905</v>
      </c>
      <c r="IG19">
        <v>1.86981</v>
      </c>
      <c r="IH19">
        <v>1.86584</v>
      </c>
      <c r="II19">
        <v>1.86695</v>
      </c>
      <c r="IJ19">
        <v>1.86838</v>
      </c>
      <c r="IK19">
        <v>5</v>
      </c>
      <c r="IL19">
        <v>0</v>
      </c>
      <c r="IM19">
        <v>0</v>
      </c>
      <c r="IN19">
        <v>0</v>
      </c>
      <c r="IO19" t="s">
        <v>441</v>
      </c>
      <c r="IP19" t="s">
        <v>442</v>
      </c>
      <c r="IQ19" t="s">
        <v>443</v>
      </c>
      <c r="IR19" t="s">
        <v>443</v>
      </c>
      <c r="IS19" t="s">
        <v>443</v>
      </c>
      <c r="IT19" t="s">
        <v>443</v>
      </c>
      <c r="IU19">
        <v>0</v>
      </c>
      <c r="IV19">
        <v>100</v>
      </c>
      <c r="IW19">
        <v>100</v>
      </c>
      <c r="IX19">
        <v>2.824</v>
      </c>
      <c r="IY19">
        <v>-0.1111</v>
      </c>
      <c r="IZ19">
        <v>1.12474291219083</v>
      </c>
      <c r="JA19">
        <v>0.00463155566490582</v>
      </c>
      <c r="JB19">
        <v>-1.1358998729424e-06</v>
      </c>
      <c r="JC19">
        <v>3.28704272115545e-10</v>
      </c>
      <c r="JD19">
        <v>-0.0704455108513773</v>
      </c>
      <c r="JE19">
        <v>-0.0251928478371425</v>
      </c>
      <c r="JF19">
        <v>0.00225751704194564</v>
      </c>
      <c r="JG19">
        <v>-3.61734043746866e-05</v>
      </c>
      <c r="JH19">
        <v>1</v>
      </c>
      <c r="JI19">
        <v>2182</v>
      </c>
      <c r="JJ19">
        <v>0</v>
      </c>
      <c r="JK19">
        <v>24</v>
      </c>
      <c r="JL19">
        <v>29349820</v>
      </c>
      <c r="JM19">
        <v>29349820</v>
      </c>
      <c r="JN19">
        <v>0.949707</v>
      </c>
      <c r="JO19">
        <v>2.61963</v>
      </c>
      <c r="JP19">
        <v>1.54785</v>
      </c>
      <c r="JQ19">
        <v>2.31445</v>
      </c>
      <c r="JR19">
        <v>1.64673</v>
      </c>
      <c r="JS19">
        <v>2.40234</v>
      </c>
      <c r="JT19">
        <v>33.4906</v>
      </c>
      <c r="JU19">
        <v>24.1926</v>
      </c>
      <c r="JV19">
        <v>18</v>
      </c>
      <c r="JW19">
        <v>500.302</v>
      </c>
      <c r="JX19">
        <v>394.072</v>
      </c>
      <c r="JY19">
        <v>12.3338</v>
      </c>
      <c r="JZ19">
        <v>23.9008</v>
      </c>
      <c r="KA19">
        <v>30.0002</v>
      </c>
      <c r="KB19">
        <v>23.923</v>
      </c>
      <c r="KC19">
        <v>23.8952</v>
      </c>
      <c r="KD19">
        <v>18.9821</v>
      </c>
      <c r="KE19">
        <v>0</v>
      </c>
      <c r="KF19">
        <v>23.7343</v>
      </c>
      <c r="KG19">
        <v>12.3246</v>
      </c>
      <c r="KH19">
        <v>386.141</v>
      </c>
      <c r="KI19">
        <v>9.33051</v>
      </c>
      <c r="KJ19">
        <v>97.0455</v>
      </c>
      <c r="KK19">
        <v>95.3015</v>
      </c>
    </row>
    <row r="20" spans="1:297">
      <c r="A20">
        <v>4</v>
      </c>
      <c r="B20">
        <v>1760989205.1</v>
      </c>
      <c r="C20">
        <v>15</v>
      </c>
      <c r="D20" t="s">
        <v>449</v>
      </c>
      <c r="E20" t="s">
        <v>450</v>
      </c>
      <c r="F20">
        <v>5</v>
      </c>
      <c r="G20" t="s">
        <v>435</v>
      </c>
      <c r="H20" t="s">
        <v>436</v>
      </c>
      <c r="I20">
        <v>1760989196.94615</v>
      </c>
      <c r="J20">
        <f>(K20)/1000</f>
        <v>0</v>
      </c>
      <c r="K20">
        <f>IF(DP20, AN20, AH20)</f>
        <v>0</v>
      </c>
      <c r="L20">
        <f>IF(DP20, AI20, AG20)</f>
        <v>0</v>
      </c>
      <c r="M20">
        <f>DR20 - IF(AU20&gt;1, L20*DL20*100.0/(AW20), 0)</f>
        <v>0</v>
      </c>
      <c r="N20">
        <f>((T20-J20/2)*M20-L20)/(T20+J20/2)</f>
        <v>0</v>
      </c>
      <c r="O20">
        <f>N20*(DY20+DZ20)/1000.0</f>
        <v>0</v>
      </c>
      <c r="P20">
        <f>(DR20 - IF(AU20&gt;1, L20*DL20*100.0/(AW20), 0))*(DY20+DZ20)/1000.0</f>
        <v>0</v>
      </c>
      <c r="Q20">
        <f>2.0/((1/S20-1/R20)+SIGN(S20)*SQRT((1/S20-1/R20)*(1/S20-1/R20) + 4*DM20/((DM20+1)*(DM20+1))*(2*1/S20*1/R20-1/R20*1/R20)))</f>
        <v>0</v>
      </c>
      <c r="R20">
        <f>IF(LEFT(DN20,1)&lt;&gt;"0",IF(LEFT(DN20,1)="1",3.0,DO20),$D$5+$E$5*(EF20*DY20/($K$5*1000))+$F$5*(EF20*DY20/($K$5*1000))*MAX(MIN(DL20,$J$5),$I$5)*MAX(MIN(DL20,$J$5),$I$5)+$G$5*MAX(MIN(DL20,$J$5),$I$5)*(EF20*DY20/($K$5*1000))+$H$5*(EF20*DY20/($K$5*1000))*(EF20*DY20/($K$5*1000)))</f>
        <v>0</v>
      </c>
      <c r="S20">
        <f>J20*(1000-(1000*0.61365*exp(17.502*W20/(240.97+W20))/(DY20+DZ20)+DT20)/2)/(1000*0.61365*exp(17.502*W20/(240.97+W20))/(DY20+DZ20)-DT20)</f>
        <v>0</v>
      </c>
      <c r="T20">
        <f>1/((DM20+1)/(Q20/1.6)+1/(R20/1.37)) + DM20/((DM20+1)/(Q20/1.6) + DM20/(R20/1.37))</f>
        <v>0</v>
      </c>
      <c r="U20">
        <f>(DH20*DK20)</f>
        <v>0</v>
      </c>
      <c r="V20">
        <f>(EA20+(U20+2*0.95*5.67E-8*(((EA20+$B$7)+273)^4-(EA20+273)^4)-44100*J20)/(1.84*29.3*R20+8*0.95*5.67E-8*(EA20+273)^3))</f>
        <v>0</v>
      </c>
      <c r="W20">
        <f>($C$7*EB20+$D$7*EC20+$E$7*V20)</f>
        <v>0</v>
      </c>
      <c r="X20">
        <f>0.61365*exp(17.502*W20/(240.97+W20))</f>
        <v>0</v>
      </c>
      <c r="Y20">
        <f>(Z20/AA20*100)</f>
        <v>0</v>
      </c>
      <c r="Z20">
        <f>DT20*(DY20+DZ20)/1000</f>
        <v>0</v>
      </c>
      <c r="AA20">
        <f>0.61365*exp(17.502*EA20/(240.97+EA20))</f>
        <v>0</v>
      </c>
      <c r="AB20">
        <f>(X20-DT20*(DY20+DZ20)/1000)</f>
        <v>0</v>
      </c>
      <c r="AC20">
        <f>(-J20*44100)</f>
        <v>0</v>
      </c>
      <c r="AD20">
        <f>2*29.3*R20*0.92*(EA20-W20)</f>
        <v>0</v>
      </c>
      <c r="AE20">
        <f>2*0.95*5.67E-8*(((EA20+$B$7)+273)^4-(W20+273)^4)</f>
        <v>0</v>
      </c>
      <c r="AF20">
        <f>U20+AE20+AC20+AD20</f>
        <v>0</v>
      </c>
      <c r="AG20">
        <f>DX20*AU20*(DS20-DR20*(1000-AU20*DU20)/(1000-AU20*DT20))/(100*DL20)</f>
        <v>0</v>
      </c>
      <c r="AH20">
        <f>1000*DX20*AU20*(DT20-DU20)/(100*DL20*(1000-AU20*DT20))</f>
        <v>0</v>
      </c>
      <c r="AI20">
        <f>(AJ20 - AK20 - DY20*1E3/(8.314*(EA20+273.15)) * AM20/DX20 * AL20) * DX20/(100*DL20) * (1000 - DU20)/1000</f>
        <v>0</v>
      </c>
      <c r="AJ20">
        <v>405.102589281488</v>
      </c>
      <c r="AK20">
        <v>402.49766060606</v>
      </c>
      <c r="AL20">
        <v>-1.76250422786878</v>
      </c>
      <c r="AM20">
        <v>64.8413469339502</v>
      </c>
      <c r="AN20">
        <f>(AP20 - AO20 + DY20*1E3/(8.314*(EA20+273.15)) * AR20/DX20 * AQ20) * DX20/(100*DL20) * 1000/(1000 - AP20)</f>
        <v>0</v>
      </c>
      <c r="AO20">
        <v>9.13636967183244</v>
      </c>
      <c r="AP20">
        <v>11.8209327272727</v>
      </c>
      <c r="AQ20">
        <v>-2.86301338033571e-06</v>
      </c>
      <c r="AR20">
        <v>118.472689631034</v>
      </c>
      <c r="AS20">
        <v>0</v>
      </c>
      <c r="AT20">
        <v>0</v>
      </c>
      <c r="AU20">
        <f>IF(AS20*$H$13&gt;=AW20,1.0,(AW20/(AW20-AS20*$H$13)))</f>
        <v>0</v>
      </c>
      <c r="AV20">
        <f>(AU20-1)*100</f>
        <v>0</v>
      </c>
      <c r="AW20">
        <f>MAX(0,($B$13+$C$13*EF20)/(1+$D$13*EF20)*DY20/(EA20+273)*$E$13)</f>
        <v>0</v>
      </c>
      <c r="AX20" t="s">
        <v>437</v>
      </c>
      <c r="AY20" t="s">
        <v>437</v>
      </c>
      <c r="AZ20">
        <v>0</v>
      </c>
      <c r="BA20">
        <v>0</v>
      </c>
      <c r="BB20">
        <f>1-AZ20/BA20</f>
        <v>0</v>
      </c>
      <c r="BC20">
        <v>0</v>
      </c>
      <c r="BD20" t="s">
        <v>437</v>
      </c>
      <c r="BE20" t="s">
        <v>437</v>
      </c>
      <c r="BF20">
        <v>0</v>
      </c>
      <c r="BG20">
        <v>0</v>
      </c>
      <c r="BH20">
        <f>1-BF20/BG20</f>
        <v>0</v>
      </c>
      <c r="BI20">
        <v>0.5</v>
      </c>
      <c r="BJ20">
        <f>DI20</f>
        <v>0</v>
      </c>
      <c r="BK20">
        <f>L20</f>
        <v>0</v>
      </c>
      <c r="BL20">
        <f>BH20*BI20*BJ20</f>
        <v>0</v>
      </c>
      <c r="BM20">
        <f>(BK20-BC20)/BJ20</f>
        <v>0</v>
      </c>
      <c r="BN20">
        <f>(BA20-BG20)/BG20</f>
        <v>0</v>
      </c>
      <c r="BO20">
        <f>AZ20/(BB20+AZ20/BG20)</f>
        <v>0</v>
      </c>
      <c r="BP20" t="s">
        <v>437</v>
      </c>
      <c r="BQ20">
        <v>0</v>
      </c>
      <c r="BR20">
        <f>IF(BQ20&lt;&gt;0, BQ20, BO20)</f>
        <v>0</v>
      </c>
      <c r="BS20">
        <f>1-BR20/BG20</f>
        <v>0</v>
      </c>
      <c r="BT20">
        <f>(BG20-BF20)/(BG20-BR20)</f>
        <v>0</v>
      </c>
      <c r="BU20">
        <f>(BA20-BG20)/(BA20-BR20)</f>
        <v>0</v>
      </c>
      <c r="BV20">
        <f>(BG20-BF20)/(BG20-AZ20)</f>
        <v>0</v>
      </c>
      <c r="BW20">
        <f>(BA20-BG20)/(BA20-AZ20)</f>
        <v>0</v>
      </c>
      <c r="BX20">
        <f>(BT20*BR20/BF20)</f>
        <v>0</v>
      </c>
      <c r="BY20">
        <f>(1-BX20)</f>
        <v>0</v>
      </c>
      <c r="DH20">
        <f>$B$11*EG20+$C$11*EH20+$F$11*ES20*(1-EV20)</f>
        <v>0</v>
      </c>
      <c r="DI20">
        <f>DH20*DJ20</f>
        <v>0</v>
      </c>
      <c r="DJ20">
        <f>($B$11*$D$9+$C$11*$D$9+$F$11*((FF20+EX20)/MAX(FF20+EX20+FG20, 0.1)*$I$9+FG20/MAX(FF20+EX20+FG20, 0.1)*$J$9))/($B$11+$C$11+$F$11)</f>
        <v>0</v>
      </c>
      <c r="DK20">
        <f>($B$11*$K$9+$C$11*$K$9+$F$11*((FF20+EX20)/MAX(FF20+EX20+FG20, 0.1)*$P$9+FG20/MAX(FF20+EX20+FG20, 0.1)*$Q$9))/($B$11+$C$11+$F$11)</f>
        <v>0</v>
      </c>
      <c r="DL20">
        <v>6</v>
      </c>
      <c r="DM20">
        <v>0.5</v>
      </c>
      <c r="DN20" t="s">
        <v>438</v>
      </c>
      <c r="DO20">
        <v>2</v>
      </c>
      <c r="DP20" t="b">
        <v>1</v>
      </c>
      <c r="DQ20">
        <v>1760989196.94615</v>
      </c>
      <c r="DR20">
        <v>405.33</v>
      </c>
      <c r="DS20">
        <v>410.995846153846</v>
      </c>
      <c r="DT20">
        <v>11.8234230769231</v>
      </c>
      <c r="DU20">
        <v>9.13585230769231</v>
      </c>
      <c r="DV20">
        <v>402.503538461538</v>
      </c>
      <c r="DW20">
        <v>11.9344846153846</v>
      </c>
      <c r="DX20">
        <v>499.981615384615</v>
      </c>
      <c r="DY20">
        <v>89.8818769230769</v>
      </c>
      <c r="DZ20">
        <v>0.00771704461538462</v>
      </c>
      <c r="EA20">
        <v>18.4316153846154</v>
      </c>
      <c r="EB20">
        <v>18.0162692307692</v>
      </c>
      <c r="EC20">
        <v>999.9</v>
      </c>
      <c r="ED20">
        <v>0</v>
      </c>
      <c r="EE20">
        <v>0</v>
      </c>
      <c r="EF20">
        <v>9978.50615384615</v>
      </c>
      <c r="EG20">
        <v>0</v>
      </c>
      <c r="EH20">
        <v>1270.06153846154</v>
      </c>
      <c r="EI20">
        <v>-5.66597246153846</v>
      </c>
      <c r="EJ20">
        <v>410.179615384615</v>
      </c>
      <c r="EK20">
        <v>414.785230769231</v>
      </c>
      <c r="EL20">
        <v>2.68757384615385</v>
      </c>
      <c r="EM20">
        <v>410.995846153846</v>
      </c>
      <c r="EN20">
        <v>9.13585230769231</v>
      </c>
      <c r="EO20">
        <v>1.06271153846154</v>
      </c>
      <c r="EP20">
        <v>0.821147846153846</v>
      </c>
      <c r="EQ20">
        <v>7.80575769230769</v>
      </c>
      <c r="ER20">
        <v>4.07823384615385</v>
      </c>
      <c r="ES20">
        <v>1199.96</v>
      </c>
      <c r="ET20">
        <v>0.967003384615385</v>
      </c>
      <c r="EU20">
        <v>0.0329966230769231</v>
      </c>
      <c r="EV20">
        <v>0</v>
      </c>
      <c r="EW20">
        <v>1382.28923076923</v>
      </c>
      <c r="EX20">
        <v>5.00059</v>
      </c>
      <c r="EY20">
        <v>16307.5153846154</v>
      </c>
      <c r="EZ20">
        <v>10358.3692307692</v>
      </c>
      <c r="FA20">
        <v>38.5623076923077</v>
      </c>
      <c r="FB20">
        <v>41.4325384615385</v>
      </c>
      <c r="FC20">
        <v>39.1246923076923</v>
      </c>
      <c r="FD20">
        <v>41.5382307692308</v>
      </c>
      <c r="FE20">
        <v>39.6776923076923</v>
      </c>
      <c r="FF20">
        <v>1155.53076923077</v>
      </c>
      <c r="FG20">
        <v>39.4292307692308</v>
      </c>
      <c r="FH20">
        <v>0</v>
      </c>
      <c r="FI20">
        <v>1760989174.3</v>
      </c>
      <c r="FJ20">
        <v>0</v>
      </c>
      <c r="FK20">
        <v>1382.23884615385</v>
      </c>
      <c r="FL20">
        <v>-5.25230769287649</v>
      </c>
      <c r="FM20">
        <v>-30.1572648609743</v>
      </c>
      <c r="FN20">
        <v>16307.6730769231</v>
      </c>
      <c r="FO20">
        <v>15</v>
      </c>
      <c r="FP20">
        <v>0</v>
      </c>
      <c r="FQ20" t="s">
        <v>439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-7.48604342857143</v>
      </c>
      <c r="GD20">
        <v>50.779840987013</v>
      </c>
      <c r="GE20">
        <v>5.67375316161448</v>
      </c>
      <c r="GF20">
        <v>0</v>
      </c>
      <c r="GG20">
        <v>1382.59676470588</v>
      </c>
      <c r="GH20">
        <v>-6.03437739090362</v>
      </c>
      <c r="GI20">
        <v>0.609477696297181</v>
      </c>
      <c r="GJ20">
        <v>-1</v>
      </c>
      <c r="GK20">
        <v>2.68879761904762</v>
      </c>
      <c r="GL20">
        <v>-0.0231428571428576</v>
      </c>
      <c r="GM20">
        <v>0.00242311665651195</v>
      </c>
      <c r="GN20">
        <v>1</v>
      </c>
      <c r="GO20">
        <v>1</v>
      </c>
      <c r="GP20">
        <v>2</v>
      </c>
      <c r="GQ20" t="s">
        <v>446</v>
      </c>
      <c r="GR20">
        <v>3.13087</v>
      </c>
      <c r="GS20">
        <v>2.68524</v>
      </c>
      <c r="GT20">
        <v>0.0856171</v>
      </c>
      <c r="GU20">
        <v>0.0854016</v>
      </c>
      <c r="GV20">
        <v>0.0617514</v>
      </c>
      <c r="GW20">
        <v>0.0504363</v>
      </c>
      <c r="GX20">
        <v>34654.5</v>
      </c>
      <c r="GY20">
        <v>37245.4</v>
      </c>
      <c r="GZ20">
        <v>34267</v>
      </c>
      <c r="HA20">
        <v>36848.8</v>
      </c>
      <c r="HB20">
        <v>45349.5</v>
      </c>
      <c r="HC20">
        <v>50171.8</v>
      </c>
      <c r="HD20">
        <v>53341.5</v>
      </c>
      <c r="HE20">
        <v>58774.6</v>
      </c>
      <c r="HF20">
        <v>2.00863</v>
      </c>
      <c r="HG20">
        <v>1.83672</v>
      </c>
      <c r="HH20">
        <v>0.0331588</v>
      </c>
      <c r="HI20">
        <v>0</v>
      </c>
      <c r="HJ20">
        <v>17.4606</v>
      </c>
      <c r="HK20">
        <v>999.9</v>
      </c>
      <c r="HL20">
        <v>25.98</v>
      </c>
      <c r="HM20">
        <v>30.252</v>
      </c>
      <c r="HN20">
        <v>12.4929</v>
      </c>
      <c r="HO20">
        <v>54.4792</v>
      </c>
      <c r="HP20">
        <v>44.2107</v>
      </c>
      <c r="HQ20">
        <v>1</v>
      </c>
      <c r="HR20">
        <v>-0.269233</v>
      </c>
      <c r="HS20">
        <v>4.04735</v>
      </c>
      <c r="HT20">
        <v>20.0914</v>
      </c>
      <c r="HU20">
        <v>5.20067</v>
      </c>
      <c r="HV20">
        <v>12.0041</v>
      </c>
      <c r="HW20">
        <v>4.9757</v>
      </c>
      <c r="HX20">
        <v>3.29303</v>
      </c>
      <c r="HY20">
        <v>9999</v>
      </c>
      <c r="HZ20">
        <v>999.9</v>
      </c>
      <c r="IA20">
        <v>9999</v>
      </c>
      <c r="IB20">
        <v>9999</v>
      </c>
      <c r="IC20">
        <v>1.86323</v>
      </c>
      <c r="ID20">
        <v>1.86803</v>
      </c>
      <c r="IE20">
        <v>1.86782</v>
      </c>
      <c r="IF20">
        <v>1.86904</v>
      </c>
      <c r="IG20">
        <v>1.86981</v>
      </c>
      <c r="IH20">
        <v>1.86584</v>
      </c>
      <c r="II20">
        <v>1.86697</v>
      </c>
      <c r="IJ20">
        <v>1.86838</v>
      </c>
      <c r="IK20">
        <v>5</v>
      </c>
      <c r="IL20">
        <v>0</v>
      </c>
      <c r="IM20">
        <v>0</v>
      </c>
      <c r="IN20">
        <v>0</v>
      </c>
      <c r="IO20" t="s">
        <v>441</v>
      </c>
      <c r="IP20" t="s">
        <v>442</v>
      </c>
      <c r="IQ20" t="s">
        <v>443</v>
      </c>
      <c r="IR20" t="s">
        <v>443</v>
      </c>
      <c r="IS20" t="s">
        <v>443</v>
      </c>
      <c r="IT20" t="s">
        <v>443</v>
      </c>
      <c r="IU20">
        <v>0</v>
      </c>
      <c r="IV20">
        <v>100</v>
      </c>
      <c r="IW20">
        <v>100</v>
      </c>
      <c r="IX20">
        <v>2.789</v>
      </c>
      <c r="IY20">
        <v>-0.1111</v>
      </c>
      <c r="IZ20">
        <v>1.12474291219083</v>
      </c>
      <c r="JA20">
        <v>0.00463155566490582</v>
      </c>
      <c r="JB20">
        <v>-1.1358998729424e-06</v>
      </c>
      <c r="JC20">
        <v>3.28704272115545e-10</v>
      </c>
      <c r="JD20">
        <v>-0.0704455108513773</v>
      </c>
      <c r="JE20">
        <v>-0.0251928478371425</v>
      </c>
      <c r="JF20">
        <v>0.00225751704194564</v>
      </c>
      <c r="JG20">
        <v>-3.61734043746866e-05</v>
      </c>
      <c r="JH20">
        <v>1</v>
      </c>
      <c r="JI20">
        <v>2182</v>
      </c>
      <c r="JJ20">
        <v>0</v>
      </c>
      <c r="JK20">
        <v>24</v>
      </c>
      <c r="JL20">
        <v>29349820.1</v>
      </c>
      <c r="JM20">
        <v>29349820.1</v>
      </c>
      <c r="JN20">
        <v>0.92041</v>
      </c>
      <c r="JO20">
        <v>2.62207</v>
      </c>
      <c r="JP20">
        <v>1.54785</v>
      </c>
      <c r="JQ20">
        <v>2.31445</v>
      </c>
      <c r="JR20">
        <v>1.64673</v>
      </c>
      <c r="JS20">
        <v>2.40479</v>
      </c>
      <c r="JT20">
        <v>33.4906</v>
      </c>
      <c r="JU20">
        <v>24.1926</v>
      </c>
      <c r="JV20">
        <v>18</v>
      </c>
      <c r="JW20">
        <v>500.59</v>
      </c>
      <c r="JX20">
        <v>393.953</v>
      </c>
      <c r="JY20">
        <v>12.3173</v>
      </c>
      <c r="JZ20">
        <v>23.9008</v>
      </c>
      <c r="KA20">
        <v>30.0002</v>
      </c>
      <c r="KB20">
        <v>23.923</v>
      </c>
      <c r="KC20">
        <v>23.8952</v>
      </c>
      <c r="KD20">
        <v>18.3243</v>
      </c>
      <c r="KE20">
        <v>0</v>
      </c>
      <c r="KF20">
        <v>23.7343</v>
      </c>
      <c r="KG20">
        <v>12.309</v>
      </c>
      <c r="KH20">
        <v>365.833</v>
      </c>
      <c r="KI20">
        <v>9.33051</v>
      </c>
      <c r="KJ20">
        <v>97.0452</v>
      </c>
      <c r="KK20">
        <v>95.3013</v>
      </c>
    </row>
    <row r="21" spans="1:297">
      <c r="A21">
        <v>5</v>
      </c>
      <c r="B21">
        <v>1760989210.1</v>
      </c>
      <c r="C21">
        <v>20</v>
      </c>
      <c r="D21" t="s">
        <v>451</v>
      </c>
      <c r="E21" t="s">
        <v>452</v>
      </c>
      <c r="F21">
        <v>5</v>
      </c>
      <c r="G21" t="s">
        <v>435</v>
      </c>
      <c r="H21" t="s">
        <v>436</v>
      </c>
      <c r="I21">
        <v>1760989201.94615</v>
      </c>
      <c r="J21">
        <f>(K21)/1000</f>
        <v>0</v>
      </c>
      <c r="K21">
        <f>IF(DP21, AN21, AH21)</f>
        <v>0</v>
      </c>
      <c r="L21">
        <f>IF(DP21, AI21, AG21)</f>
        <v>0</v>
      </c>
      <c r="M21">
        <f>DR21 - IF(AU21&gt;1, L21*DL21*100.0/(AW21), 0)</f>
        <v>0</v>
      </c>
      <c r="N21">
        <f>((T21-J21/2)*M21-L21)/(T21+J21/2)</f>
        <v>0</v>
      </c>
      <c r="O21">
        <f>N21*(DY21+DZ21)/1000.0</f>
        <v>0</v>
      </c>
      <c r="P21">
        <f>(DR21 - IF(AU21&gt;1, L21*DL21*100.0/(AW21), 0))*(DY21+DZ21)/1000.0</f>
        <v>0</v>
      </c>
      <c r="Q21">
        <f>2.0/((1/S21-1/R21)+SIGN(S21)*SQRT((1/S21-1/R21)*(1/S21-1/R21) + 4*DM21/((DM21+1)*(DM21+1))*(2*1/S21*1/R21-1/R21*1/R21)))</f>
        <v>0</v>
      </c>
      <c r="R21">
        <f>IF(LEFT(DN21,1)&lt;&gt;"0",IF(LEFT(DN21,1)="1",3.0,DO21),$D$5+$E$5*(EF21*DY21/($K$5*1000))+$F$5*(EF21*DY21/($K$5*1000))*MAX(MIN(DL21,$J$5),$I$5)*MAX(MIN(DL21,$J$5),$I$5)+$G$5*MAX(MIN(DL21,$J$5),$I$5)*(EF21*DY21/($K$5*1000))+$H$5*(EF21*DY21/($K$5*1000))*(EF21*DY21/($K$5*1000)))</f>
        <v>0</v>
      </c>
      <c r="S21">
        <f>J21*(1000-(1000*0.61365*exp(17.502*W21/(240.97+W21))/(DY21+DZ21)+DT21)/2)/(1000*0.61365*exp(17.502*W21/(240.97+W21))/(DY21+DZ21)-DT21)</f>
        <v>0</v>
      </c>
      <c r="T21">
        <f>1/((DM21+1)/(Q21/1.6)+1/(R21/1.37)) + DM21/((DM21+1)/(Q21/1.6) + DM21/(R21/1.37))</f>
        <v>0</v>
      </c>
      <c r="U21">
        <f>(DH21*DK21)</f>
        <v>0</v>
      </c>
      <c r="V21">
        <f>(EA21+(U21+2*0.95*5.67E-8*(((EA21+$B$7)+273)^4-(EA21+273)^4)-44100*J21)/(1.84*29.3*R21+8*0.95*5.67E-8*(EA21+273)^3))</f>
        <v>0</v>
      </c>
      <c r="W21">
        <f>($C$7*EB21+$D$7*EC21+$E$7*V21)</f>
        <v>0</v>
      </c>
      <c r="X21">
        <f>0.61365*exp(17.502*W21/(240.97+W21))</f>
        <v>0</v>
      </c>
      <c r="Y21">
        <f>(Z21/AA21*100)</f>
        <v>0</v>
      </c>
      <c r="Z21">
        <f>DT21*(DY21+DZ21)/1000</f>
        <v>0</v>
      </c>
      <c r="AA21">
        <f>0.61365*exp(17.502*EA21/(240.97+EA21))</f>
        <v>0</v>
      </c>
      <c r="AB21">
        <f>(X21-DT21*(DY21+DZ21)/1000)</f>
        <v>0</v>
      </c>
      <c r="AC21">
        <f>(-J21*44100)</f>
        <v>0</v>
      </c>
      <c r="AD21">
        <f>2*29.3*R21*0.92*(EA21-W21)</f>
        <v>0</v>
      </c>
      <c r="AE21">
        <f>2*0.95*5.67E-8*(((EA21+$B$7)+273)^4-(W21+273)^4)</f>
        <v>0</v>
      </c>
      <c r="AF21">
        <f>U21+AE21+AC21+AD21</f>
        <v>0</v>
      </c>
      <c r="AG21">
        <f>DX21*AU21*(DS21-DR21*(1000-AU21*DU21)/(1000-AU21*DT21))/(100*DL21)</f>
        <v>0</v>
      </c>
      <c r="AH21">
        <f>1000*DX21*AU21*(DT21-DU21)/(100*DL21*(1000-AU21*DT21))</f>
        <v>0</v>
      </c>
      <c r="AI21">
        <f>(AJ21 - AK21 - DY21*1E3/(8.314*(EA21+273.15)) * AM21/DX21 * AL21) * DX21/(100*DL21) * (1000 - DU21)/1000</f>
        <v>0</v>
      </c>
      <c r="AJ21">
        <v>389.44034345021</v>
      </c>
      <c r="AK21">
        <v>390.611884848485</v>
      </c>
      <c r="AL21">
        <v>-2.45984343370553</v>
      </c>
      <c r="AM21">
        <v>64.8413469339502</v>
      </c>
      <c r="AN21">
        <f>(AP21 - AO21 + DY21*1E3/(8.314*(EA21+273.15)) * AR21/DX21 * AQ21) * DX21/(100*DL21) * 1000/(1000 - AP21)</f>
        <v>0</v>
      </c>
      <c r="AO21">
        <v>9.13632330300555</v>
      </c>
      <c r="AP21">
        <v>11.8205436363636</v>
      </c>
      <c r="AQ21">
        <v>-8.41565901683638e-07</v>
      </c>
      <c r="AR21">
        <v>118.472689631034</v>
      </c>
      <c r="AS21">
        <v>0</v>
      </c>
      <c r="AT21">
        <v>0</v>
      </c>
      <c r="AU21">
        <f>IF(AS21*$H$13&gt;=AW21,1.0,(AW21/(AW21-AS21*$H$13)))</f>
        <v>0</v>
      </c>
      <c r="AV21">
        <f>(AU21-1)*100</f>
        <v>0</v>
      </c>
      <c r="AW21">
        <f>MAX(0,($B$13+$C$13*EF21)/(1+$D$13*EF21)*DY21/(EA21+273)*$E$13)</f>
        <v>0</v>
      </c>
      <c r="AX21" t="s">
        <v>437</v>
      </c>
      <c r="AY21" t="s">
        <v>437</v>
      </c>
      <c r="AZ21">
        <v>0</v>
      </c>
      <c r="BA21">
        <v>0</v>
      </c>
      <c r="BB21">
        <f>1-AZ21/BA21</f>
        <v>0</v>
      </c>
      <c r="BC21">
        <v>0</v>
      </c>
      <c r="BD21" t="s">
        <v>437</v>
      </c>
      <c r="BE21" t="s">
        <v>437</v>
      </c>
      <c r="BF21">
        <v>0</v>
      </c>
      <c r="BG21">
        <v>0</v>
      </c>
      <c r="BH21">
        <f>1-BF21/BG21</f>
        <v>0</v>
      </c>
      <c r="BI21">
        <v>0.5</v>
      </c>
      <c r="BJ21">
        <f>DI21</f>
        <v>0</v>
      </c>
      <c r="BK21">
        <f>L21</f>
        <v>0</v>
      </c>
      <c r="BL21">
        <f>BH21*BI21*BJ21</f>
        <v>0</v>
      </c>
      <c r="BM21">
        <f>(BK21-BC21)/BJ21</f>
        <v>0</v>
      </c>
      <c r="BN21">
        <f>(BA21-BG21)/BG21</f>
        <v>0</v>
      </c>
      <c r="BO21">
        <f>AZ21/(BB21+AZ21/BG21)</f>
        <v>0</v>
      </c>
      <c r="BP21" t="s">
        <v>437</v>
      </c>
      <c r="BQ21">
        <v>0</v>
      </c>
      <c r="BR21">
        <f>IF(BQ21&lt;&gt;0, BQ21, BO21)</f>
        <v>0</v>
      </c>
      <c r="BS21">
        <f>1-BR21/BG21</f>
        <v>0</v>
      </c>
      <c r="BT21">
        <f>(BG21-BF21)/(BG21-BR21)</f>
        <v>0</v>
      </c>
      <c r="BU21">
        <f>(BA21-BG21)/(BA21-BR21)</f>
        <v>0</v>
      </c>
      <c r="BV21">
        <f>(BG21-BF21)/(BG21-AZ21)</f>
        <v>0</v>
      </c>
      <c r="BW21">
        <f>(BA21-BG21)/(BA21-AZ21)</f>
        <v>0</v>
      </c>
      <c r="BX21">
        <f>(BT21*BR21/BF21)</f>
        <v>0</v>
      </c>
      <c r="BY21">
        <f>(1-BX21)</f>
        <v>0</v>
      </c>
      <c r="DH21">
        <f>$B$11*EG21+$C$11*EH21+$F$11*ES21*(1-EV21)</f>
        <v>0</v>
      </c>
      <c r="DI21">
        <f>DH21*DJ21</f>
        <v>0</v>
      </c>
      <c r="DJ21">
        <f>($B$11*$D$9+$C$11*$D$9+$F$11*((FF21+EX21)/MAX(FF21+EX21+FG21, 0.1)*$I$9+FG21/MAX(FF21+EX21+FG21, 0.1)*$J$9))/($B$11+$C$11+$F$11)</f>
        <v>0</v>
      </c>
      <c r="DK21">
        <f>($B$11*$K$9+$C$11*$K$9+$F$11*((FF21+EX21)/MAX(FF21+EX21+FG21, 0.1)*$P$9+FG21/MAX(FF21+EX21+FG21, 0.1)*$Q$9))/($B$11+$C$11+$F$11)</f>
        <v>0</v>
      </c>
      <c r="DL21">
        <v>6</v>
      </c>
      <c r="DM21">
        <v>0.5</v>
      </c>
      <c r="DN21" t="s">
        <v>438</v>
      </c>
      <c r="DO21">
        <v>2</v>
      </c>
      <c r="DP21" t="b">
        <v>1</v>
      </c>
      <c r="DQ21">
        <v>1760989201.94615</v>
      </c>
      <c r="DR21">
        <v>399.721923076923</v>
      </c>
      <c r="DS21">
        <v>399.564384615385</v>
      </c>
      <c r="DT21">
        <v>11.8222307692308</v>
      </c>
      <c r="DU21">
        <v>9.13607615384615</v>
      </c>
      <c r="DV21">
        <v>396.917076923077</v>
      </c>
      <c r="DW21">
        <v>11.9333076923077</v>
      </c>
      <c r="DX21">
        <v>499.986307692308</v>
      </c>
      <c r="DY21">
        <v>89.8833307692308</v>
      </c>
      <c r="DZ21">
        <v>0.00760166615384615</v>
      </c>
      <c r="EA21">
        <v>18.4348461538462</v>
      </c>
      <c r="EB21">
        <v>18.0127538461538</v>
      </c>
      <c r="EC21">
        <v>999.9</v>
      </c>
      <c r="ED21">
        <v>0</v>
      </c>
      <c r="EE21">
        <v>0</v>
      </c>
      <c r="EF21">
        <v>9988.12153846154</v>
      </c>
      <c r="EG21">
        <v>0</v>
      </c>
      <c r="EH21">
        <v>1270.08</v>
      </c>
      <c r="EI21">
        <v>0.157487538461538</v>
      </c>
      <c r="EJ21">
        <v>404.503923076923</v>
      </c>
      <c r="EK21">
        <v>403.248461538462</v>
      </c>
      <c r="EL21">
        <v>2.68616384615385</v>
      </c>
      <c r="EM21">
        <v>399.564384615385</v>
      </c>
      <c r="EN21">
        <v>9.13607615384615</v>
      </c>
      <c r="EO21">
        <v>1.06262230769231</v>
      </c>
      <c r="EP21">
        <v>0.821181153846154</v>
      </c>
      <c r="EQ21">
        <v>7.80452153846154</v>
      </c>
      <c r="ER21">
        <v>4.07881230769231</v>
      </c>
      <c r="ES21">
        <v>1200.01</v>
      </c>
      <c r="ET21">
        <v>0.967001846153846</v>
      </c>
      <c r="EU21">
        <v>0.0329983230769231</v>
      </c>
      <c r="EV21">
        <v>0</v>
      </c>
      <c r="EW21">
        <v>1381.94461538462</v>
      </c>
      <c r="EX21">
        <v>5.00059</v>
      </c>
      <c r="EY21">
        <v>16306.3923076923</v>
      </c>
      <c r="EZ21">
        <v>10358.8</v>
      </c>
      <c r="FA21">
        <v>38.6295384615385</v>
      </c>
      <c r="FB21">
        <v>41.4949230769231</v>
      </c>
      <c r="FC21">
        <v>39.1825384615385</v>
      </c>
      <c r="FD21">
        <v>41.6296153846154</v>
      </c>
      <c r="FE21">
        <v>39.7353076923077</v>
      </c>
      <c r="FF21">
        <v>1155.57615384615</v>
      </c>
      <c r="FG21">
        <v>39.4338461538462</v>
      </c>
      <c r="FH21">
        <v>0</v>
      </c>
      <c r="FI21">
        <v>1760989179.1</v>
      </c>
      <c r="FJ21">
        <v>0</v>
      </c>
      <c r="FK21">
        <v>1381.85076923077</v>
      </c>
      <c r="FL21">
        <v>-4.38085470791459</v>
      </c>
      <c r="FM21">
        <v>-11.7264957633358</v>
      </c>
      <c r="FN21">
        <v>16306.2153846154</v>
      </c>
      <c r="FO21">
        <v>15</v>
      </c>
      <c r="FP21">
        <v>0</v>
      </c>
      <c r="FQ21" t="s">
        <v>439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-2.6159806</v>
      </c>
      <c r="GD21">
        <v>75.3362771729323</v>
      </c>
      <c r="GE21">
        <v>7.33235356842677</v>
      </c>
      <c r="GF21">
        <v>0</v>
      </c>
      <c r="GG21">
        <v>1382.11382352941</v>
      </c>
      <c r="GH21">
        <v>-4.88999236183377</v>
      </c>
      <c r="GI21">
        <v>0.515078604543152</v>
      </c>
      <c r="GJ21">
        <v>-1</v>
      </c>
      <c r="GK21">
        <v>2.6867475</v>
      </c>
      <c r="GL21">
        <v>-0.0194242105263172</v>
      </c>
      <c r="GM21">
        <v>0.00196464468797799</v>
      </c>
      <c r="GN21">
        <v>1</v>
      </c>
      <c r="GO21">
        <v>1</v>
      </c>
      <c r="GP21">
        <v>2</v>
      </c>
      <c r="GQ21" t="s">
        <v>446</v>
      </c>
      <c r="GR21">
        <v>3.13074</v>
      </c>
      <c r="GS21">
        <v>2.6856</v>
      </c>
      <c r="GT21">
        <v>0.0835288</v>
      </c>
      <c r="GU21">
        <v>0.0824436</v>
      </c>
      <c r="GV21">
        <v>0.0617459</v>
      </c>
      <c r="GW21">
        <v>0.0504299</v>
      </c>
      <c r="GX21">
        <v>34733.9</v>
      </c>
      <c r="GY21">
        <v>37365.5</v>
      </c>
      <c r="GZ21">
        <v>34267.2</v>
      </c>
      <c r="HA21">
        <v>36848.5</v>
      </c>
      <c r="HB21">
        <v>45349.7</v>
      </c>
      <c r="HC21">
        <v>50171.4</v>
      </c>
      <c r="HD21">
        <v>53341.7</v>
      </c>
      <c r="HE21">
        <v>58774.1</v>
      </c>
      <c r="HF21">
        <v>2.00833</v>
      </c>
      <c r="HG21">
        <v>1.83742</v>
      </c>
      <c r="HH21">
        <v>0.0329502</v>
      </c>
      <c r="HI21">
        <v>0</v>
      </c>
      <c r="HJ21">
        <v>17.4606</v>
      </c>
      <c r="HK21">
        <v>999.9</v>
      </c>
      <c r="HL21">
        <v>26.01</v>
      </c>
      <c r="HM21">
        <v>30.252</v>
      </c>
      <c r="HN21">
        <v>12.5083</v>
      </c>
      <c r="HO21">
        <v>53.9792</v>
      </c>
      <c r="HP21">
        <v>44.1867</v>
      </c>
      <c r="HQ21">
        <v>1</v>
      </c>
      <c r="HR21">
        <v>-0.269261</v>
      </c>
      <c r="HS21">
        <v>4.04173</v>
      </c>
      <c r="HT21">
        <v>20.0918</v>
      </c>
      <c r="HU21">
        <v>5.20112</v>
      </c>
      <c r="HV21">
        <v>12.0041</v>
      </c>
      <c r="HW21">
        <v>4.9756</v>
      </c>
      <c r="HX21">
        <v>3.29298</v>
      </c>
      <c r="HY21">
        <v>9999</v>
      </c>
      <c r="HZ21">
        <v>999.9</v>
      </c>
      <c r="IA21">
        <v>9999</v>
      </c>
      <c r="IB21">
        <v>9999</v>
      </c>
      <c r="IC21">
        <v>1.86323</v>
      </c>
      <c r="ID21">
        <v>1.86803</v>
      </c>
      <c r="IE21">
        <v>1.86783</v>
      </c>
      <c r="IF21">
        <v>1.86904</v>
      </c>
      <c r="IG21">
        <v>1.86981</v>
      </c>
      <c r="IH21">
        <v>1.86584</v>
      </c>
      <c r="II21">
        <v>1.86697</v>
      </c>
      <c r="IJ21">
        <v>1.86837</v>
      </c>
      <c r="IK21">
        <v>5</v>
      </c>
      <c r="IL21">
        <v>0</v>
      </c>
      <c r="IM21">
        <v>0</v>
      </c>
      <c r="IN21">
        <v>0</v>
      </c>
      <c r="IO21" t="s">
        <v>441</v>
      </c>
      <c r="IP21" t="s">
        <v>442</v>
      </c>
      <c r="IQ21" t="s">
        <v>443</v>
      </c>
      <c r="IR21" t="s">
        <v>443</v>
      </c>
      <c r="IS21" t="s">
        <v>443</v>
      </c>
      <c r="IT21" t="s">
        <v>443</v>
      </c>
      <c r="IU21">
        <v>0</v>
      </c>
      <c r="IV21">
        <v>100</v>
      </c>
      <c r="IW21">
        <v>100</v>
      </c>
      <c r="IX21">
        <v>2.741</v>
      </c>
      <c r="IY21">
        <v>-0.1111</v>
      </c>
      <c r="IZ21">
        <v>1.12474291219083</v>
      </c>
      <c r="JA21">
        <v>0.00463155566490582</v>
      </c>
      <c r="JB21">
        <v>-1.1358998729424e-06</v>
      </c>
      <c r="JC21">
        <v>3.28704272115545e-10</v>
      </c>
      <c r="JD21">
        <v>-0.0704455108513773</v>
      </c>
      <c r="JE21">
        <v>-0.0251928478371425</v>
      </c>
      <c r="JF21">
        <v>0.00225751704194564</v>
      </c>
      <c r="JG21">
        <v>-3.61734043746866e-05</v>
      </c>
      <c r="JH21">
        <v>1</v>
      </c>
      <c r="JI21">
        <v>2182</v>
      </c>
      <c r="JJ21">
        <v>0</v>
      </c>
      <c r="JK21">
        <v>24</v>
      </c>
      <c r="JL21">
        <v>29349820.2</v>
      </c>
      <c r="JM21">
        <v>29349820.2</v>
      </c>
      <c r="JN21">
        <v>0.88501</v>
      </c>
      <c r="JO21">
        <v>2.62329</v>
      </c>
      <c r="JP21">
        <v>1.54785</v>
      </c>
      <c r="JQ21">
        <v>2.31445</v>
      </c>
      <c r="JR21">
        <v>1.64673</v>
      </c>
      <c r="JS21">
        <v>2.40234</v>
      </c>
      <c r="JT21">
        <v>33.4906</v>
      </c>
      <c r="JU21">
        <v>24.1926</v>
      </c>
      <c r="JV21">
        <v>18</v>
      </c>
      <c r="JW21">
        <v>500.399</v>
      </c>
      <c r="JX21">
        <v>394.322</v>
      </c>
      <c r="JY21">
        <v>12.3018</v>
      </c>
      <c r="JZ21">
        <v>23.9008</v>
      </c>
      <c r="KA21">
        <v>30.0001</v>
      </c>
      <c r="KB21">
        <v>23.923</v>
      </c>
      <c r="KC21">
        <v>23.8952</v>
      </c>
      <c r="KD21">
        <v>17.6946</v>
      </c>
      <c r="KE21">
        <v>0</v>
      </c>
      <c r="KF21">
        <v>23.7343</v>
      </c>
      <c r="KG21">
        <v>12.2979</v>
      </c>
      <c r="KH21">
        <v>352.32</v>
      </c>
      <c r="KI21">
        <v>9.33051</v>
      </c>
      <c r="KJ21">
        <v>97.0457</v>
      </c>
      <c r="KK21">
        <v>95.3004</v>
      </c>
    </row>
    <row r="22" spans="1:297">
      <c r="A22">
        <v>6</v>
      </c>
      <c r="B22">
        <v>1760989215.1</v>
      </c>
      <c r="C22">
        <v>25</v>
      </c>
      <c r="D22" t="s">
        <v>453</v>
      </c>
      <c r="E22" t="s">
        <v>454</v>
      </c>
      <c r="F22">
        <v>5</v>
      </c>
      <c r="G22" t="s">
        <v>435</v>
      </c>
      <c r="H22" t="s">
        <v>436</v>
      </c>
      <c r="I22">
        <v>1760989206.94615</v>
      </c>
      <c r="J22">
        <f>(K22)/1000</f>
        <v>0</v>
      </c>
      <c r="K22">
        <f>IF(DP22, AN22, AH22)</f>
        <v>0</v>
      </c>
      <c r="L22">
        <f>IF(DP22, AI22, AG22)</f>
        <v>0</v>
      </c>
      <c r="M22">
        <f>DR22 - IF(AU22&gt;1, L22*DL22*100.0/(AW22), 0)</f>
        <v>0</v>
      </c>
      <c r="N22">
        <f>((T22-J22/2)*M22-L22)/(T22+J22/2)</f>
        <v>0</v>
      </c>
      <c r="O22">
        <f>N22*(DY22+DZ22)/1000.0</f>
        <v>0</v>
      </c>
      <c r="P22">
        <f>(DR22 - IF(AU22&gt;1, L22*DL22*100.0/(AW22), 0))*(DY22+DZ22)/1000.0</f>
        <v>0</v>
      </c>
      <c r="Q22">
        <f>2.0/((1/S22-1/R22)+SIGN(S22)*SQRT((1/S22-1/R22)*(1/S22-1/R22) + 4*DM22/((DM22+1)*(DM22+1))*(2*1/S22*1/R22-1/R22*1/R22)))</f>
        <v>0</v>
      </c>
      <c r="R22">
        <f>IF(LEFT(DN22,1)&lt;&gt;"0",IF(LEFT(DN22,1)="1",3.0,DO22),$D$5+$E$5*(EF22*DY22/($K$5*1000))+$F$5*(EF22*DY22/($K$5*1000))*MAX(MIN(DL22,$J$5),$I$5)*MAX(MIN(DL22,$J$5),$I$5)+$G$5*MAX(MIN(DL22,$J$5),$I$5)*(EF22*DY22/($K$5*1000))+$H$5*(EF22*DY22/($K$5*1000))*(EF22*DY22/($K$5*1000)))</f>
        <v>0</v>
      </c>
      <c r="S22">
        <f>J22*(1000-(1000*0.61365*exp(17.502*W22/(240.97+W22))/(DY22+DZ22)+DT22)/2)/(1000*0.61365*exp(17.502*W22/(240.97+W22))/(DY22+DZ22)-DT22)</f>
        <v>0</v>
      </c>
      <c r="T22">
        <f>1/((DM22+1)/(Q22/1.6)+1/(R22/1.37)) + DM22/((DM22+1)/(Q22/1.6) + DM22/(R22/1.37))</f>
        <v>0</v>
      </c>
      <c r="U22">
        <f>(DH22*DK22)</f>
        <v>0</v>
      </c>
      <c r="V22">
        <f>(EA22+(U22+2*0.95*5.67E-8*(((EA22+$B$7)+273)^4-(EA22+273)^4)-44100*J22)/(1.84*29.3*R22+8*0.95*5.67E-8*(EA22+273)^3))</f>
        <v>0</v>
      </c>
      <c r="W22">
        <f>($C$7*EB22+$D$7*EC22+$E$7*V22)</f>
        <v>0</v>
      </c>
      <c r="X22">
        <f>0.61365*exp(17.502*W22/(240.97+W22))</f>
        <v>0</v>
      </c>
      <c r="Y22">
        <f>(Z22/AA22*100)</f>
        <v>0</v>
      </c>
      <c r="Z22">
        <f>DT22*(DY22+DZ22)/1000</f>
        <v>0</v>
      </c>
      <c r="AA22">
        <f>0.61365*exp(17.502*EA22/(240.97+EA22))</f>
        <v>0</v>
      </c>
      <c r="AB22">
        <f>(X22-DT22*(DY22+DZ22)/1000)</f>
        <v>0</v>
      </c>
      <c r="AC22">
        <f>(-J22*44100)</f>
        <v>0</v>
      </c>
      <c r="AD22">
        <f>2*29.3*R22*0.92*(EA22-W22)</f>
        <v>0</v>
      </c>
      <c r="AE22">
        <f>2*0.95*5.67E-8*(((EA22+$B$7)+273)^4-(W22+273)^4)</f>
        <v>0</v>
      </c>
      <c r="AF22">
        <f>U22+AE22+AC22+AD22</f>
        <v>0</v>
      </c>
      <c r="AG22">
        <f>DX22*AU22*(DS22-DR22*(1000-AU22*DU22)/(1000-AU22*DT22))/(100*DL22)</f>
        <v>0</v>
      </c>
      <c r="AH22">
        <f>1000*DX22*AU22*(DT22-DU22)/(100*DL22*(1000-AU22*DT22))</f>
        <v>0</v>
      </c>
      <c r="AI22">
        <f>(AJ22 - AK22 - DY22*1E3/(8.314*(EA22+273.15)) * AM22/DX22 * AL22) * DX22/(100*DL22) * (1000 - DU22)/1000</f>
        <v>0</v>
      </c>
      <c r="AJ22">
        <v>371.63814033428</v>
      </c>
      <c r="AK22">
        <v>375.7372</v>
      </c>
      <c r="AL22">
        <v>-3.04487861074028</v>
      </c>
      <c r="AM22">
        <v>64.8413469339502</v>
      </c>
      <c r="AN22">
        <f>(AP22 - AO22 + DY22*1E3/(8.314*(EA22+273.15)) * AR22/DX22 * AQ22) * DX22/(100*DL22) * 1000/(1000 - AP22)</f>
        <v>0</v>
      </c>
      <c r="AO22">
        <v>9.13655896878214</v>
      </c>
      <c r="AP22">
        <v>11.8174333333333</v>
      </c>
      <c r="AQ22">
        <v>-3.31263726523105e-06</v>
      </c>
      <c r="AR22">
        <v>118.472689631034</v>
      </c>
      <c r="AS22">
        <v>0</v>
      </c>
      <c r="AT22">
        <v>0</v>
      </c>
      <c r="AU22">
        <f>IF(AS22*$H$13&gt;=AW22,1.0,(AW22/(AW22-AS22*$H$13)))</f>
        <v>0</v>
      </c>
      <c r="AV22">
        <f>(AU22-1)*100</f>
        <v>0</v>
      </c>
      <c r="AW22">
        <f>MAX(0,($B$13+$C$13*EF22)/(1+$D$13*EF22)*DY22/(EA22+273)*$E$13)</f>
        <v>0</v>
      </c>
      <c r="AX22" t="s">
        <v>437</v>
      </c>
      <c r="AY22" t="s">
        <v>437</v>
      </c>
      <c r="AZ22">
        <v>0</v>
      </c>
      <c r="BA22">
        <v>0</v>
      </c>
      <c r="BB22">
        <f>1-AZ22/BA22</f>
        <v>0</v>
      </c>
      <c r="BC22">
        <v>0</v>
      </c>
      <c r="BD22" t="s">
        <v>437</v>
      </c>
      <c r="BE22" t="s">
        <v>437</v>
      </c>
      <c r="BF22">
        <v>0</v>
      </c>
      <c r="BG22">
        <v>0</v>
      </c>
      <c r="BH22">
        <f>1-BF22/BG22</f>
        <v>0</v>
      </c>
      <c r="BI22">
        <v>0.5</v>
      </c>
      <c r="BJ22">
        <f>DI22</f>
        <v>0</v>
      </c>
      <c r="BK22">
        <f>L22</f>
        <v>0</v>
      </c>
      <c r="BL22">
        <f>BH22*BI22*BJ22</f>
        <v>0</v>
      </c>
      <c r="BM22">
        <f>(BK22-BC22)/BJ22</f>
        <v>0</v>
      </c>
      <c r="BN22">
        <f>(BA22-BG22)/BG22</f>
        <v>0</v>
      </c>
      <c r="BO22">
        <f>AZ22/(BB22+AZ22/BG22)</f>
        <v>0</v>
      </c>
      <c r="BP22" t="s">
        <v>437</v>
      </c>
      <c r="BQ22">
        <v>0</v>
      </c>
      <c r="BR22">
        <f>IF(BQ22&lt;&gt;0, BQ22, BO22)</f>
        <v>0</v>
      </c>
      <c r="BS22">
        <f>1-BR22/BG22</f>
        <v>0</v>
      </c>
      <c r="BT22">
        <f>(BG22-BF22)/(BG22-BR22)</f>
        <v>0</v>
      </c>
      <c r="BU22">
        <f>(BA22-BG22)/(BA22-BR22)</f>
        <v>0</v>
      </c>
      <c r="BV22">
        <f>(BG22-BF22)/(BG22-AZ22)</f>
        <v>0</v>
      </c>
      <c r="BW22">
        <f>(BA22-BG22)/(BA22-AZ22)</f>
        <v>0</v>
      </c>
      <c r="BX22">
        <f>(BT22*BR22/BF22)</f>
        <v>0</v>
      </c>
      <c r="BY22">
        <f>(1-BX22)</f>
        <v>0</v>
      </c>
      <c r="DH22">
        <f>$B$11*EG22+$C$11*EH22+$F$11*ES22*(1-EV22)</f>
        <v>0</v>
      </c>
      <c r="DI22">
        <f>DH22*DJ22</f>
        <v>0</v>
      </c>
      <c r="DJ22">
        <f>($B$11*$D$9+$C$11*$D$9+$F$11*((FF22+EX22)/MAX(FF22+EX22+FG22, 0.1)*$I$9+FG22/MAX(FF22+EX22+FG22, 0.1)*$J$9))/($B$11+$C$11+$F$11)</f>
        <v>0</v>
      </c>
      <c r="DK22">
        <f>($B$11*$K$9+$C$11*$K$9+$F$11*((FF22+EX22)/MAX(FF22+EX22+FG22, 0.1)*$P$9+FG22/MAX(FF22+EX22+FG22, 0.1)*$Q$9))/($B$11+$C$11+$F$11)</f>
        <v>0</v>
      </c>
      <c r="DL22">
        <v>6</v>
      </c>
      <c r="DM22">
        <v>0.5</v>
      </c>
      <c r="DN22" t="s">
        <v>438</v>
      </c>
      <c r="DO22">
        <v>2</v>
      </c>
      <c r="DP22" t="b">
        <v>1</v>
      </c>
      <c r="DQ22">
        <v>1760989206.94615</v>
      </c>
      <c r="DR22">
        <v>390.053307692308</v>
      </c>
      <c r="DS22">
        <v>384.092692307692</v>
      </c>
      <c r="DT22">
        <v>11.8204153846154</v>
      </c>
      <c r="DU22">
        <v>9.13634230769231</v>
      </c>
      <c r="DV22">
        <v>387.286076923077</v>
      </c>
      <c r="DW22">
        <v>11.9315</v>
      </c>
      <c r="DX22">
        <v>499.981846153846</v>
      </c>
      <c r="DY22">
        <v>89.8825384615385</v>
      </c>
      <c r="DZ22">
        <v>0.00757433230769231</v>
      </c>
      <c r="EA22">
        <v>18.4383615384615</v>
      </c>
      <c r="EB22">
        <v>18.0127384615385</v>
      </c>
      <c r="EC22">
        <v>999.9</v>
      </c>
      <c r="ED22">
        <v>0</v>
      </c>
      <c r="EE22">
        <v>0</v>
      </c>
      <c r="EF22">
        <v>9994.65615384615</v>
      </c>
      <c r="EG22">
        <v>0</v>
      </c>
      <c r="EH22">
        <v>1270.10461538462</v>
      </c>
      <c r="EI22">
        <v>5.960576</v>
      </c>
      <c r="EJ22">
        <v>394.718846153846</v>
      </c>
      <c r="EK22">
        <v>387.634230769231</v>
      </c>
      <c r="EL22">
        <v>2.68407692307692</v>
      </c>
      <c r="EM22">
        <v>384.092692307692</v>
      </c>
      <c r="EN22">
        <v>9.13634230769231</v>
      </c>
      <c r="EO22">
        <v>1.06245</v>
      </c>
      <c r="EP22">
        <v>0.821197769230769</v>
      </c>
      <c r="EQ22">
        <v>7.80213076923077</v>
      </c>
      <c r="ER22">
        <v>4.07909923076923</v>
      </c>
      <c r="ES22">
        <v>1200.00076923077</v>
      </c>
      <c r="ET22">
        <v>0.967008076923077</v>
      </c>
      <c r="EU22">
        <v>0.0329921230769231</v>
      </c>
      <c r="EV22">
        <v>0</v>
      </c>
      <c r="EW22">
        <v>1381.65769230769</v>
      </c>
      <c r="EX22">
        <v>5.00059</v>
      </c>
      <c r="EY22">
        <v>16306.1923076923</v>
      </c>
      <c r="EZ22">
        <v>10358.7384615385</v>
      </c>
      <c r="FA22">
        <v>38.6873846153846</v>
      </c>
      <c r="FB22">
        <v>41.5575384615385</v>
      </c>
      <c r="FC22">
        <v>39.2400769230769</v>
      </c>
      <c r="FD22">
        <v>41.7209230769231</v>
      </c>
      <c r="FE22">
        <v>39.7930769230769</v>
      </c>
      <c r="FF22">
        <v>1155.57384615385</v>
      </c>
      <c r="FG22">
        <v>39.4269230769231</v>
      </c>
      <c r="FH22">
        <v>0</v>
      </c>
      <c r="FI22">
        <v>1760989184.5</v>
      </c>
      <c r="FJ22">
        <v>0</v>
      </c>
      <c r="FK22">
        <v>1381.5924</v>
      </c>
      <c r="FL22">
        <v>-1.75230768604402</v>
      </c>
      <c r="FM22">
        <v>16.8153846024298</v>
      </c>
      <c r="FN22">
        <v>16306.4</v>
      </c>
      <c r="FO22">
        <v>15</v>
      </c>
      <c r="FP22">
        <v>0</v>
      </c>
      <c r="FQ22" t="s">
        <v>439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2.30968847619048</v>
      </c>
      <c r="GD22">
        <v>70.3873905974026</v>
      </c>
      <c r="GE22">
        <v>7.23505323002387</v>
      </c>
      <c r="GF22">
        <v>0</v>
      </c>
      <c r="GG22">
        <v>1381.79529411765</v>
      </c>
      <c r="GH22">
        <v>-3.24644767228542</v>
      </c>
      <c r="GI22">
        <v>0.381800959032766</v>
      </c>
      <c r="GJ22">
        <v>-1</v>
      </c>
      <c r="GK22">
        <v>2.68523380952381</v>
      </c>
      <c r="GL22">
        <v>-0.0232145454545446</v>
      </c>
      <c r="GM22">
        <v>0.00241487153595122</v>
      </c>
      <c r="GN22">
        <v>1</v>
      </c>
      <c r="GO22">
        <v>1</v>
      </c>
      <c r="GP22">
        <v>2</v>
      </c>
      <c r="GQ22" t="s">
        <v>446</v>
      </c>
      <c r="GR22">
        <v>3.13058</v>
      </c>
      <c r="GS22">
        <v>2.68573</v>
      </c>
      <c r="GT22">
        <v>0.0809519</v>
      </c>
      <c r="GU22">
        <v>0.0796341</v>
      </c>
      <c r="GV22">
        <v>0.0617357</v>
      </c>
      <c r="GW22">
        <v>0.0504311</v>
      </c>
      <c r="GX22">
        <v>34831.4</v>
      </c>
      <c r="GY22">
        <v>37480</v>
      </c>
      <c r="GZ22">
        <v>34267.1</v>
      </c>
      <c r="HA22">
        <v>36848.6</v>
      </c>
      <c r="HB22">
        <v>45349.7</v>
      </c>
      <c r="HC22">
        <v>50171.3</v>
      </c>
      <c r="HD22">
        <v>53341.4</v>
      </c>
      <c r="HE22">
        <v>58774.4</v>
      </c>
      <c r="HF22">
        <v>2.00825</v>
      </c>
      <c r="HG22">
        <v>1.83735</v>
      </c>
      <c r="HH22">
        <v>0.0336803</v>
      </c>
      <c r="HI22">
        <v>0</v>
      </c>
      <c r="HJ22">
        <v>17.4616</v>
      </c>
      <c r="HK22">
        <v>999.9</v>
      </c>
      <c r="HL22">
        <v>25.98</v>
      </c>
      <c r="HM22">
        <v>30.273</v>
      </c>
      <c r="HN22">
        <v>12.5096</v>
      </c>
      <c r="HO22">
        <v>54.3192</v>
      </c>
      <c r="HP22">
        <v>44.1787</v>
      </c>
      <c r="HQ22">
        <v>1</v>
      </c>
      <c r="HR22">
        <v>-0.269299</v>
      </c>
      <c r="HS22">
        <v>4.03477</v>
      </c>
      <c r="HT22">
        <v>20.0919</v>
      </c>
      <c r="HU22">
        <v>5.20127</v>
      </c>
      <c r="HV22">
        <v>12.004</v>
      </c>
      <c r="HW22">
        <v>4.9757</v>
      </c>
      <c r="HX22">
        <v>3.293</v>
      </c>
      <c r="HY22">
        <v>9999</v>
      </c>
      <c r="HZ22">
        <v>999.9</v>
      </c>
      <c r="IA22">
        <v>9999</v>
      </c>
      <c r="IB22">
        <v>9999</v>
      </c>
      <c r="IC22">
        <v>1.86323</v>
      </c>
      <c r="ID22">
        <v>1.86807</v>
      </c>
      <c r="IE22">
        <v>1.86783</v>
      </c>
      <c r="IF22">
        <v>1.86904</v>
      </c>
      <c r="IG22">
        <v>1.86981</v>
      </c>
      <c r="IH22">
        <v>1.86584</v>
      </c>
      <c r="II22">
        <v>1.86693</v>
      </c>
      <c r="IJ22">
        <v>1.86837</v>
      </c>
      <c r="IK22">
        <v>5</v>
      </c>
      <c r="IL22">
        <v>0</v>
      </c>
      <c r="IM22">
        <v>0</v>
      </c>
      <c r="IN22">
        <v>0</v>
      </c>
      <c r="IO22" t="s">
        <v>441</v>
      </c>
      <c r="IP22" t="s">
        <v>442</v>
      </c>
      <c r="IQ22" t="s">
        <v>443</v>
      </c>
      <c r="IR22" t="s">
        <v>443</v>
      </c>
      <c r="IS22" t="s">
        <v>443</v>
      </c>
      <c r="IT22" t="s">
        <v>443</v>
      </c>
      <c r="IU22">
        <v>0</v>
      </c>
      <c r="IV22">
        <v>100</v>
      </c>
      <c r="IW22">
        <v>100</v>
      </c>
      <c r="IX22">
        <v>2.682</v>
      </c>
      <c r="IY22">
        <v>-0.1112</v>
      </c>
      <c r="IZ22">
        <v>1.12474291219083</v>
      </c>
      <c r="JA22">
        <v>0.00463155566490582</v>
      </c>
      <c r="JB22">
        <v>-1.1358998729424e-06</v>
      </c>
      <c r="JC22">
        <v>3.28704272115545e-10</v>
      </c>
      <c r="JD22">
        <v>-0.0704455108513773</v>
      </c>
      <c r="JE22">
        <v>-0.0251928478371425</v>
      </c>
      <c r="JF22">
        <v>0.00225751704194564</v>
      </c>
      <c r="JG22">
        <v>-3.61734043746866e-05</v>
      </c>
      <c r="JH22">
        <v>1</v>
      </c>
      <c r="JI22">
        <v>2182</v>
      </c>
      <c r="JJ22">
        <v>0</v>
      </c>
      <c r="JK22">
        <v>24</v>
      </c>
      <c r="JL22">
        <v>29349820.3</v>
      </c>
      <c r="JM22">
        <v>29349820.3</v>
      </c>
      <c r="JN22">
        <v>0.855713</v>
      </c>
      <c r="JO22">
        <v>2.62817</v>
      </c>
      <c r="JP22">
        <v>1.54785</v>
      </c>
      <c r="JQ22">
        <v>2.31445</v>
      </c>
      <c r="JR22">
        <v>1.64551</v>
      </c>
      <c r="JS22">
        <v>2.3584</v>
      </c>
      <c r="JT22">
        <v>33.4906</v>
      </c>
      <c r="JU22">
        <v>24.1926</v>
      </c>
      <c r="JV22">
        <v>18</v>
      </c>
      <c r="JW22">
        <v>500.35</v>
      </c>
      <c r="JX22">
        <v>394.283</v>
      </c>
      <c r="JY22">
        <v>12.2906</v>
      </c>
      <c r="JZ22">
        <v>23.9008</v>
      </c>
      <c r="KA22">
        <v>30.0001</v>
      </c>
      <c r="KB22">
        <v>23.923</v>
      </c>
      <c r="KC22">
        <v>23.8952</v>
      </c>
      <c r="KD22">
        <v>17.0274</v>
      </c>
      <c r="KE22">
        <v>0</v>
      </c>
      <c r="KF22">
        <v>23.7343</v>
      </c>
      <c r="KG22">
        <v>12.2884</v>
      </c>
      <c r="KH22">
        <v>332.082</v>
      </c>
      <c r="KI22">
        <v>9.33051</v>
      </c>
      <c r="KJ22">
        <v>97.0451</v>
      </c>
      <c r="KK22">
        <v>95.3009</v>
      </c>
    </row>
    <row r="23" spans="1:297">
      <c r="A23">
        <v>7</v>
      </c>
      <c r="B23">
        <v>1760989220.1</v>
      </c>
      <c r="C23">
        <v>30</v>
      </c>
      <c r="D23" t="s">
        <v>455</v>
      </c>
      <c r="E23" t="s">
        <v>456</v>
      </c>
      <c r="F23">
        <v>5</v>
      </c>
      <c r="G23" t="s">
        <v>435</v>
      </c>
      <c r="H23" t="s">
        <v>436</v>
      </c>
      <c r="I23">
        <v>1760989211.94615</v>
      </c>
      <c r="J23">
        <f>(K23)/1000</f>
        <v>0</v>
      </c>
      <c r="K23">
        <f>IF(DP23, AN23, AH23)</f>
        <v>0</v>
      </c>
      <c r="L23">
        <f>IF(DP23, AI23, AG23)</f>
        <v>0</v>
      </c>
      <c r="M23">
        <f>DR23 - IF(AU23&gt;1, L23*DL23*100.0/(AW23), 0)</f>
        <v>0</v>
      </c>
      <c r="N23">
        <f>((T23-J23/2)*M23-L23)/(T23+J23/2)</f>
        <v>0</v>
      </c>
      <c r="O23">
        <f>N23*(DY23+DZ23)/1000.0</f>
        <v>0</v>
      </c>
      <c r="P23">
        <f>(DR23 - IF(AU23&gt;1, L23*DL23*100.0/(AW23), 0))*(DY23+DZ23)/1000.0</f>
        <v>0</v>
      </c>
      <c r="Q23">
        <f>2.0/((1/S23-1/R23)+SIGN(S23)*SQRT((1/S23-1/R23)*(1/S23-1/R23) + 4*DM23/((DM23+1)*(DM23+1))*(2*1/S23*1/R23-1/R23*1/R23)))</f>
        <v>0</v>
      </c>
      <c r="R23">
        <f>IF(LEFT(DN23,1)&lt;&gt;"0",IF(LEFT(DN23,1)="1",3.0,DO23),$D$5+$E$5*(EF23*DY23/($K$5*1000))+$F$5*(EF23*DY23/($K$5*1000))*MAX(MIN(DL23,$J$5),$I$5)*MAX(MIN(DL23,$J$5),$I$5)+$G$5*MAX(MIN(DL23,$J$5),$I$5)*(EF23*DY23/($K$5*1000))+$H$5*(EF23*DY23/($K$5*1000))*(EF23*DY23/($K$5*1000)))</f>
        <v>0</v>
      </c>
      <c r="S23">
        <f>J23*(1000-(1000*0.61365*exp(17.502*W23/(240.97+W23))/(DY23+DZ23)+DT23)/2)/(1000*0.61365*exp(17.502*W23/(240.97+W23))/(DY23+DZ23)-DT23)</f>
        <v>0</v>
      </c>
      <c r="T23">
        <f>1/((DM23+1)/(Q23/1.6)+1/(R23/1.37)) + DM23/((DM23+1)/(Q23/1.6) + DM23/(R23/1.37))</f>
        <v>0</v>
      </c>
      <c r="U23">
        <f>(DH23*DK23)</f>
        <v>0</v>
      </c>
      <c r="V23">
        <f>(EA23+(U23+2*0.95*5.67E-8*(((EA23+$B$7)+273)^4-(EA23+273)^4)-44100*J23)/(1.84*29.3*R23+8*0.95*5.67E-8*(EA23+273)^3))</f>
        <v>0</v>
      </c>
      <c r="W23">
        <f>($C$7*EB23+$D$7*EC23+$E$7*V23)</f>
        <v>0</v>
      </c>
      <c r="X23">
        <f>0.61365*exp(17.502*W23/(240.97+W23))</f>
        <v>0</v>
      </c>
      <c r="Y23">
        <f>(Z23/AA23*100)</f>
        <v>0</v>
      </c>
      <c r="Z23">
        <f>DT23*(DY23+DZ23)/1000</f>
        <v>0</v>
      </c>
      <c r="AA23">
        <f>0.61365*exp(17.502*EA23/(240.97+EA23))</f>
        <v>0</v>
      </c>
      <c r="AB23">
        <f>(X23-DT23*(DY23+DZ23)/1000)</f>
        <v>0</v>
      </c>
      <c r="AC23">
        <f>(-J23*44100)</f>
        <v>0</v>
      </c>
      <c r="AD23">
        <f>2*29.3*R23*0.92*(EA23-W23)</f>
        <v>0</v>
      </c>
      <c r="AE23">
        <f>2*0.95*5.67E-8*(((EA23+$B$7)+273)^4-(W23+273)^4)</f>
        <v>0</v>
      </c>
      <c r="AF23">
        <f>U23+AE23+AC23+AD23</f>
        <v>0</v>
      </c>
      <c r="AG23">
        <f>DX23*AU23*(DS23-DR23*(1000-AU23*DU23)/(1000-AU23*DT23))/(100*DL23)</f>
        <v>0</v>
      </c>
      <c r="AH23">
        <f>1000*DX23*AU23*(DT23-DU23)/(100*DL23*(1000-AU23*DT23))</f>
        <v>0</v>
      </c>
      <c r="AI23">
        <f>(AJ23 - AK23 - DY23*1E3/(8.314*(EA23+273.15)) * AM23/DX23 * AL23) * DX23/(100*DL23) * (1000 - DU23)/1000</f>
        <v>0</v>
      </c>
      <c r="AJ23">
        <v>355.505276962672</v>
      </c>
      <c r="AK23">
        <v>360.460139393939</v>
      </c>
      <c r="AL23">
        <v>-3.07178034404581</v>
      </c>
      <c r="AM23">
        <v>64.8413469339502</v>
      </c>
      <c r="AN23">
        <f>(AP23 - AO23 + DY23*1E3/(8.314*(EA23+273.15)) * AR23/DX23 * AQ23) * DX23/(100*DL23) * 1000/(1000 - AP23)</f>
        <v>0</v>
      </c>
      <c r="AO23">
        <v>9.13631122938199</v>
      </c>
      <c r="AP23">
        <v>11.8187921212121</v>
      </c>
      <c r="AQ23">
        <v>1.6752531333343e-06</v>
      </c>
      <c r="AR23">
        <v>118.472689631034</v>
      </c>
      <c r="AS23">
        <v>0</v>
      </c>
      <c r="AT23">
        <v>0</v>
      </c>
      <c r="AU23">
        <f>IF(AS23*$H$13&gt;=AW23,1.0,(AW23/(AW23-AS23*$H$13)))</f>
        <v>0</v>
      </c>
      <c r="AV23">
        <f>(AU23-1)*100</f>
        <v>0</v>
      </c>
      <c r="AW23">
        <f>MAX(0,($B$13+$C$13*EF23)/(1+$D$13*EF23)*DY23/(EA23+273)*$E$13)</f>
        <v>0</v>
      </c>
      <c r="AX23" t="s">
        <v>437</v>
      </c>
      <c r="AY23" t="s">
        <v>437</v>
      </c>
      <c r="AZ23">
        <v>0</v>
      </c>
      <c r="BA23">
        <v>0</v>
      </c>
      <c r="BB23">
        <f>1-AZ23/BA23</f>
        <v>0</v>
      </c>
      <c r="BC23">
        <v>0</v>
      </c>
      <c r="BD23" t="s">
        <v>437</v>
      </c>
      <c r="BE23" t="s">
        <v>437</v>
      </c>
      <c r="BF23">
        <v>0</v>
      </c>
      <c r="BG23">
        <v>0</v>
      </c>
      <c r="BH23">
        <f>1-BF23/BG23</f>
        <v>0</v>
      </c>
      <c r="BI23">
        <v>0.5</v>
      </c>
      <c r="BJ23">
        <f>DI23</f>
        <v>0</v>
      </c>
      <c r="BK23">
        <f>L23</f>
        <v>0</v>
      </c>
      <c r="BL23">
        <f>BH23*BI23*BJ23</f>
        <v>0</v>
      </c>
      <c r="BM23">
        <f>(BK23-BC23)/BJ23</f>
        <v>0</v>
      </c>
      <c r="BN23">
        <f>(BA23-BG23)/BG23</f>
        <v>0</v>
      </c>
      <c r="BO23">
        <f>AZ23/(BB23+AZ23/BG23)</f>
        <v>0</v>
      </c>
      <c r="BP23" t="s">
        <v>437</v>
      </c>
      <c r="BQ23">
        <v>0</v>
      </c>
      <c r="BR23">
        <f>IF(BQ23&lt;&gt;0, BQ23, BO23)</f>
        <v>0</v>
      </c>
      <c r="BS23">
        <f>1-BR23/BG23</f>
        <v>0</v>
      </c>
      <c r="BT23">
        <f>(BG23-BF23)/(BG23-BR23)</f>
        <v>0</v>
      </c>
      <c r="BU23">
        <f>(BA23-BG23)/(BA23-BR23)</f>
        <v>0</v>
      </c>
      <c r="BV23">
        <f>(BG23-BF23)/(BG23-AZ23)</f>
        <v>0</v>
      </c>
      <c r="BW23">
        <f>(BA23-BG23)/(BA23-AZ23)</f>
        <v>0</v>
      </c>
      <c r="BX23">
        <f>(BT23*BR23/BF23)</f>
        <v>0</v>
      </c>
      <c r="BY23">
        <f>(1-BX23)</f>
        <v>0</v>
      </c>
      <c r="DH23">
        <f>$B$11*EG23+$C$11*EH23+$F$11*ES23*(1-EV23)</f>
        <v>0</v>
      </c>
      <c r="DI23">
        <f>DH23*DJ23</f>
        <v>0</v>
      </c>
      <c r="DJ23">
        <f>($B$11*$D$9+$C$11*$D$9+$F$11*((FF23+EX23)/MAX(FF23+EX23+FG23, 0.1)*$I$9+FG23/MAX(FF23+EX23+FG23, 0.1)*$J$9))/($B$11+$C$11+$F$11)</f>
        <v>0</v>
      </c>
      <c r="DK23">
        <f>($B$11*$K$9+$C$11*$K$9+$F$11*((FF23+EX23)/MAX(FF23+EX23+FG23, 0.1)*$P$9+FG23/MAX(FF23+EX23+FG23, 0.1)*$Q$9))/($B$11+$C$11+$F$11)</f>
        <v>0</v>
      </c>
      <c r="DL23">
        <v>6</v>
      </c>
      <c r="DM23">
        <v>0.5</v>
      </c>
      <c r="DN23" t="s">
        <v>438</v>
      </c>
      <c r="DO23">
        <v>2</v>
      </c>
      <c r="DP23" t="b">
        <v>1</v>
      </c>
      <c r="DQ23">
        <v>1760989211.94615</v>
      </c>
      <c r="DR23">
        <v>377.188769230769</v>
      </c>
      <c r="DS23">
        <v>367.789076923077</v>
      </c>
      <c r="DT23">
        <v>11.8193076923077</v>
      </c>
      <c r="DU23">
        <v>9.13644230769231</v>
      </c>
      <c r="DV23">
        <v>374.471769230769</v>
      </c>
      <c r="DW23">
        <v>11.9304076923077</v>
      </c>
      <c r="DX23">
        <v>500.009461538462</v>
      </c>
      <c r="DY23">
        <v>89.8808230769231</v>
      </c>
      <c r="DZ23">
        <v>0.00752471846153846</v>
      </c>
      <c r="EA23">
        <v>18.4417384615385</v>
      </c>
      <c r="EB23">
        <v>18.0147230769231</v>
      </c>
      <c r="EC23">
        <v>999.9</v>
      </c>
      <c r="ED23">
        <v>0</v>
      </c>
      <c r="EE23">
        <v>0</v>
      </c>
      <c r="EF23">
        <v>10003.7907692308</v>
      </c>
      <c r="EG23">
        <v>0</v>
      </c>
      <c r="EH23">
        <v>1270.11076923077</v>
      </c>
      <c r="EI23">
        <v>9.39979692307692</v>
      </c>
      <c r="EJ23">
        <v>381.700153846154</v>
      </c>
      <c r="EK23">
        <v>371.180384615385</v>
      </c>
      <c r="EL23">
        <v>2.68286615384615</v>
      </c>
      <c r="EM23">
        <v>367.789076923077</v>
      </c>
      <c r="EN23">
        <v>9.13644230769231</v>
      </c>
      <c r="EO23">
        <v>1.06233</v>
      </c>
      <c r="EP23">
        <v>0.821190923076923</v>
      </c>
      <c r="EQ23">
        <v>7.80047</v>
      </c>
      <c r="ER23">
        <v>4.07898</v>
      </c>
      <c r="ES23">
        <v>1199.99538461538</v>
      </c>
      <c r="ET23">
        <v>0.967010615384615</v>
      </c>
      <c r="EU23">
        <v>0.0329896461538462</v>
      </c>
      <c r="EV23">
        <v>0</v>
      </c>
      <c r="EW23">
        <v>1381.57384615385</v>
      </c>
      <c r="EX23">
        <v>5.00059</v>
      </c>
      <c r="EY23">
        <v>16307.9230769231</v>
      </c>
      <c r="EZ23">
        <v>10358.7076923077</v>
      </c>
      <c r="FA23">
        <v>38.7449230769231</v>
      </c>
      <c r="FB23">
        <v>41.6150769230769</v>
      </c>
      <c r="FC23">
        <v>39.3026923076923</v>
      </c>
      <c r="FD23">
        <v>41.8122307692308</v>
      </c>
      <c r="FE23">
        <v>39.8459230769231</v>
      </c>
      <c r="FF23">
        <v>1155.57076923077</v>
      </c>
      <c r="FG23">
        <v>39.4246153846154</v>
      </c>
      <c r="FH23">
        <v>0</v>
      </c>
      <c r="FI23">
        <v>1760989189.3</v>
      </c>
      <c r="FJ23">
        <v>0</v>
      </c>
      <c r="FK23">
        <v>1381.5288</v>
      </c>
      <c r="FL23">
        <v>0.587692305699315</v>
      </c>
      <c r="FM23">
        <v>33.6846153977086</v>
      </c>
      <c r="FN23">
        <v>16308.448</v>
      </c>
      <c r="FO23">
        <v>15</v>
      </c>
      <c r="FP23">
        <v>0</v>
      </c>
      <c r="FQ23" t="s">
        <v>439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7.5729649</v>
      </c>
      <c r="GD23">
        <v>41.0852631879699</v>
      </c>
      <c r="GE23">
        <v>4.14257630865023</v>
      </c>
      <c r="GF23">
        <v>0</v>
      </c>
      <c r="GG23">
        <v>1381.62382352941</v>
      </c>
      <c r="GH23">
        <v>-1.10909090924953</v>
      </c>
      <c r="GI23">
        <v>0.243395281334249</v>
      </c>
      <c r="GJ23">
        <v>-1</v>
      </c>
      <c r="GK23">
        <v>2.683481</v>
      </c>
      <c r="GL23">
        <v>-0.0155666165413559</v>
      </c>
      <c r="GM23">
        <v>0.001682471099306</v>
      </c>
      <c r="GN23">
        <v>1</v>
      </c>
      <c r="GO23">
        <v>1</v>
      </c>
      <c r="GP23">
        <v>2</v>
      </c>
      <c r="GQ23" t="s">
        <v>446</v>
      </c>
      <c r="GR23">
        <v>3.13071</v>
      </c>
      <c r="GS23">
        <v>2.68574</v>
      </c>
      <c r="GT23">
        <v>0.0782705</v>
      </c>
      <c r="GU23">
        <v>0.0765361</v>
      </c>
      <c r="GV23">
        <v>0.0617345</v>
      </c>
      <c r="GW23">
        <v>0.0504294</v>
      </c>
      <c r="GX23">
        <v>34933.4</v>
      </c>
      <c r="GY23">
        <v>37606.6</v>
      </c>
      <c r="GZ23">
        <v>34267.5</v>
      </c>
      <c r="HA23">
        <v>36849</v>
      </c>
      <c r="HB23">
        <v>45349.9</v>
      </c>
      <c r="HC23">
        <v>50171.4</v>
      </c>
      <c r="HD23">
        <v>53341.9</v>
      </c>
      <c r="HE23">
        <v>58774.9</v>
      </c>
      <c r="HF23">
        <v>2.00818</v>
      </c>
      <c r="HG23">
        <v>1.83698</v>
      </c>
      <c r="HH23">
        <v>0.0329763</v>
      </c>
      <c r="HI23">
        <v>0</v>
      </c>
      <c r="HJ23">
        <v>17.4621</v>
      </c>
      <c r="HK23">
        <v>999.9</v>
      </c>
      <c r="HL23">
        <v>26.01</v>
      </c>
      <c r="HM23">
        <v>30.252</v>
      </c>
      <c r="HN23">
        <v>12.5094</v>
      </c>
      <c r="HO23">
        <v>54.5392</v>
      </c>
      <c r="HP23">
        <v>44.1587</v>
      </c>
      <c r="HQ23">
        <v>1</v>
      </c>
      <c r="HR23">
        <v>-0.269261</v>
      </c>
      <c r="HS23">
        <v>4.07656</v>
      </c>
      <c r="HT23">
        <v>20.0911</v>
      </c>
      <c r="HU23">
        <v>5.20127</v>
      </c>
      <c r="HV23">
        <v>12.004</v>
      </c>
      <c r="HW23">
        <v>4.97565</v>
      </c>
      <c r="HX23">
        <v>3.293</v>
      </c>
      <c r="HY23">
        <v>9999</v>
      </c>
      <c r="HZ23">
        <v>999.9</v>
      </c>
      <c r="IA23">
        <v>9999</v>
      </c>
      <c r="IB23">
        <v>9999</v>
      </c>
      <c r="IC23">
        <v>1.86322</v>
      </c>
      <c r="ID23">
        <v>1.86804</v>
      </c>
      <c r="IE23">
        <v>1.86783</v>
      </c>
      <c r="IF23">
        <v>1.86905</v>
      </c>
      <c r="IG23">
        <v>1.86981</v>
      </c>
      <c r="IH23">
        <v>1.86584</v>
      </c>
      <c r="II23">
        <v>1.86695</v>
      </c>
      <c r="IJ23">
        <v>1.86841</v>
      </c>
      <c r="IK23">
        <v>5</v>
      </c>
      <c r="IL23">
        <v>0</v>
      </c>
      <c r="IM23">
        <v>0</v>
      </c>
      <c r="IN23">
        <v>0</v>
      </c>
      <c r="IO23" t="s">
        <v>441</v>
      </c>
      <c r="IP23" t="s">
        <v>442</v>
      </c>
      <c r="IQ23" t="s">
        <v>443</v>
      </c>
      <c r="IR23" t="s">
        <v>443</v>
      </c>
      <c r="IS23" t="s">
        <v>443</v>
      </c>
      <c r="IT23" t="s">
        <v>443</v>
      </c>
      <c r="IU23">
        <v>0</v>
      </c>
      <c r="IV23">
        <v>100</v>
      </c>
      <c r="IW23">
        <v>100</v>
      </c>
      <c r="IX23">
        <v>2.622</v>
      </c>
      <c r="IY23">
        <v>-0.1111</v>
      </c>
      <c r="IZ23">
        <v>1.12474291219083</v>
      </c>
      <c r="JA23">
        <v>0.00463155566490582</v>
      </c>
      <c r="JB23">
        <v>-1.1358998729424e-06</v>
      </c>
      <c r="JC23">
        <v>3.28704272115545e-10</v>
      </c>
      <c r="JD23">
        <v>-0.0704455108513773</v>
      </c>
      <c r="JE23">
        <v>-0.0251928478371425</v>
      </c>
      <c r="JF23">
        <v>0.00225751704194564</v>
      </c>
      <c r="JG23">
        <v>-3.61734043746866e-05</v>
      </c>
      <c r="JH23">
        <v>1</v>
      </c>
      <c r="JI23">
        <v>2182</v>
      </c>
      <c r="JJ23">
        <v>0</v>
      </c>
      <c r="JK23">
        <v>24</v>
      </c>
      <c r="JL23">
        <v>29349820.3</v>
      </c>
      <c r="JM23">
        <v>29349820.3</v>
      </c>
      <c r="JN23">
        <v>0.820312</v>
      </c>
      <c r="JO23">
        <v>2.63062</v>
      </c>
      <c r="JP23">
        <v>1.54785</v>
      </c>
      <c r="JQ23">
        <v>2.31445</v>
      </c>
      <c r="JR23">
        <v>1.64673</v>
      </c>
      <c r="JS23">
        <v>2.37183</v>
      </c>
      <c r="JT23">
        <v>33.4906</v>
      </c>
      <c r="JU23">
        <v>24.1926</v>
      </c>
      <c r="JV23">
        <v>18</v>
      </c>
      <c r="JW23">
        <v>500.302</v>
      </c>
      <c r="JX23">
        <v>394.085</v>
      </c>
      <c r="JY23">
        <v>12.2801</v>
      </c>
      <c r="JZ23">
        <v>23.9008</v>
      </c>
      <c r="KA23">
        <v>30.0001</v>
      </c>
      <c r="KB23">
        <v>23.923</v>
      </c>
      <c r="KC23">
        <v>23.8952</v>
      </c>
      <c r="KD23">
        <v>16.3932</v>
      </c>
      <c r="KE23">
        <v>0</v>
      </c>
      <c r="KF23">
        <v>23.7343</v>
      </c>
      <c r="KG23">
        <v>12.2669</v>
      </c>
      <c r="KH23">
        <v>318.552</v>
      </c>
      <c r="KI23">
        <v>9.33051</v>
      </c>
      <c r="KJ23">
        <v>97.0462</v>
      </c>
      <c r="KK23">
        <v>95.3018</v>
      </c>
    </row>
    <row r="24" spans="1:297">
      <c r="A24">
        <v>8</v>
      </c>
      <c r="B24">
        <v>1760989225.1</v>
      </c>
      <c r="C24">
        <v>35</v>
      </c>
      <c r="D24" t="s">
        <v>457</v>
      </c>
      <c r="E24" t="s">
        <v>458</v>
      </c>
      <c r="F24">
        <v>5</v>
      </c>
      <c r="G24" t="s">
        <v>435</v>
      </c>
      <c r="H24" t="s">
        <v>436</v>
      </c>
      <c r="I24">
        <v>1760989216.94615</v>
      </c>
      <c r="J24">
        <f>(K24)/1000</f>
        <v>0</v>
      </c>
      <c r="K24">
        <f>IF(DP24, AN24, AH24)</f>
        <v>0</v>
      </c>
      <c r="L24">
        <f>IF(DP24, AI24, AG24)</f>
        <v>0</v>
      </c>
      <c r="M24">
        <f>DR24 - IF(AU24&gt;1, L24*DL24*100.0/(AW24), 0)</f>
        <v>0</v>
      </c>
      <c r="N24">
        <f>((T24-J24/2)*M24-L24)/(T24+J24/2)</f>
        <v>0</v>
      </c>
      <c r="O24">
        <f>N24*(DY24+DZ24)/1000.0</f>
        <v>0</v>
      </c>
      <c r="P24">
        <f>(DR24 - IF(AU24&gt;1, L24*DL24*100.0/(AW24), 0))*(DY24+DZ24)/1000.0</f>
        <v>0</v>
      </c>
      <c r="Q24">
        <f>2.0/((1/S24-1/R24)+SIGN(S24)*SQRT((1/S24-1/R24)*(1/S24-1/R24) + 4*DM24/((DM24+1)*(DM24+1))*(2*1/S24*1/R24-1/R24*1/R24)))</f>
        <v>0</v>
      </c>
      <c r="R24">
        <f>IF(LEFT(DN24,1)&lt;&gt;"0",IF(LEFT(DN24,1)="1",3.0,DO24),$D$5+$E$5*(EF24*DY24/($K$5*1000))+$F$5*(EF24*DY24/($K$5*1000))*MAX(MIN(DL24,$J$5),$I$5)*MAX(MIN(DL24,$J$5),$I$5)+$G$5*MAX(MIN(DL24,$J$5),$I$5)*(EF24*DY24/($K$5*1000))+$H$5*(EF24*DY24/($K$5*1000))*(EF24*DY24/($K$5*1000)))</f>
        <v>0</v>
      </c>
      <c r="S24">
        <f>J24*(1000-(1000*0.61365*exp(17.502*W24/(240.97+W24))/(DY24+DZ24)+DT24)/2)/(1000*0.61365*exp(17.502*W24/(240.97+W24))/(DY24+DZ24)-DT24)</f>
        <v>0</v>
      </c>
      <c r="T24">
        <f>1/((DM24+1)/(Q24/1.6)+1/(R24/1.37)) + DM24/((DM24+1)/(Q24/1.6) + DM24/(R24/1.37))</f>
        <v>0</v>
      </c>
      <c r="U24">
        <f>(DH24*DK24)</f>
        <v>0</v>
      </c>
      <c r="V24">
        <f>(EA24+(U24+2*0.95*5.67E-8*(((EA24+$B$7)+273)^4-(EA24+273)^4)-44100*J24)/(1.84*29.3*R24+8*0.95*5.67E-8*(EA24+273)^3))</f>
        <v>0</v>
      </c>
      <c r="W24">
        <f>($C$7*EB24+$D$7*EC24+$E$7*V24)</f>
        <v>0</v>
      </c>
      <c r="X24">
        <f>0.61365*exp(17.502*W24/(240.97+W24))</f>
        <v>0</v>
      </c>
      <c r="Y24">
        <f>(Z24/AA24*100)</f>
        <v>0</v>
      </c>
      <c r="Z24">
        <f>DT24*(DY24+DZ24)/1000</f>
        <v>0</v>
      </c>
      <c r="AA24">
        <f>0.61365*exp(17.502*EA24/(240.97+EA24))</f>
        <v>0</v>
      </c>
      <c r="AB24">
        <f>(X24-DT24*(DY24+DZ24)/1000)</f>
        <v>0</v>
      </c>
      <c r="AC24">
        <f>(-J24*44100)</f>
        <v>0</v>
      </c>
      <c r="AD24">
        <f>2*29.3*R24*0.92*(EA24-W24)</f>
        <v>0</v>
      </c>
      <c r="AE24">
        <f>2*0.95*5.67E-8*(((EA24+$B$7)+273)^4-(W24+273)^4)</f>
        <v>0</v>
      </c>
      <c r="AF24">
        <f>U24+AE24+AC24+AD24</f>
        <v>0</v>
      </c>
      <c r="AG24">
        <f>DX24*AU24*(DS24-DR24*(1000-AU24*DU24)/(1000-AU24*DT24))/(100*DL24)</f>
        <v>0</v>
      </c>
      <c r="AH24">
        <f>1000*DX24*AU24*(DT24-DU24)/(100*DL24*(1000-AU24*DT24))</f>
        <v>0</v>
      </c>
      <c r="AI24">
        <f>(AJ24 - AK24 - DY24*1E3/(8.314*(EA24+273.15)) * AM24/DX24 * AL24) * DX24/(100*DL24) * (1000 - DU24)/1000</f>
        <v>0</v>
      </c>
      <c r="AJ24">
        <v>337.739768697739</v>
      </c>
      <c r="AK24">
        <v>343.854636363636</v>
      </c>
      <c r="AL24">
        <v>-3.33764100494204</v>
      </c>
      <c r="AM24">
        <v>64.8413469339502</v>
      </c>
      <c r="AN24">
        <f>(AP24 - AO24 + DY24*1E3/(8.314*(EA24+273.15)) * AR24/DX24 * AQ24) * DX24/(100*DL24) * 1000/(1000 - AP24)</f>
        <v>0</v>
      </c>
      <c r="AO24">
        <v>9.13496833717254</v>
      </c>
      <c r="AP24">
        <v>11.8157618181818</v>
      </c>
      <c r="AQ24">
        <v>-2.51333513378877e-06</v>
      </c>
      <c r="AR24">
        <v>118.472689631034</v>
      </c>
      <c r="AS24">
        <v>0</v>
      </c>
      <c r="AT24">
        <v>0</v>
      </c>
      <c r="AU24">
        <f>IF(AS24*$H$13&gt;=AW24,1.0,(AW24/(AW24-AS24*$H$13)))</f>
        <v>0</v>
      </c>
      <c r="AV24">
        <f>(AU24-1)*100</f>
        <v>0</v>
      </c>
      <c r="AW24">
        <f>MAX(0,($B$13+$C$13*EF24)/(1+$D$13*EF24)*DY24/(EA24+273)*$E$13)</f>
        <v>0</v>
      </c>
      <c r="AX24" t="s">
        <v>437</v>
      </c>
      <c r="AY24" t="s">
        <v>437</v>
      </c>
      <c r="AZ24">
        <v>0</v>
      </c>
      <c r="BA24">
        <v>0</v>
      </c>
      <c r="BB24">
        <f>1-AZ24/BA24</f>
        <v>0</v>
      </c>
      <c r="BC24">
        <v>0</v>
      </c>
      <c r="BD24" t="s">
        <v>437</v>
      </c>
      <c r="BE24" t="s">
        <v>437</v>
      </c>
      <c r="BF24">
        <v>0</v>
      </c>
      <c r="BG24">
        <v>0</v>
      </c>
      <c r="BH24">
        <f>1-BF24/BG24</f>
        <v>0</v>
      </c>
      <c r="BI24">
        <v>0.5</v>
      </c>
      <c r="BJ24">
        <f>DI24</f>
        <v>0</v>
      </c>
      <c r="BK24">
        <f>L24</f>
        <v>0</v>
      </c>
      <c r="BL24">
        <f>BH24*BI24*BJ24</f>
        <v>0</v>
      </c>
      <c r="BM24">
        <f>(BK24-BC24)/BJ24</f>
        <v>0</v>
      </c>
      <c r="BN24">
        <f>(BA24-BG24)/BG24</f>
        <v>0</v>
      </c>
      <c r="BO24">
        <f>AZ24/(BB24+AZ24/BG24)</f>
        <v>0</v>
      </c>
      <c r="BP24" t="s">
        <v>437</v>
      </c>
      <c r="BQ24">
        <v>0</v>
      </c>
      <c r="BR24">
        <f>IF(BQ24&lt;&gt;0, BQ24, BO24)</f>
        <v>0</v>
      </c>
      <c r="BS24">
        <f>1-BR24/BG24</f>
        <v>0</v>
      </c>
      <c r="BT24">
        <f>(BG24-BF24)/(BG24-BR24)</f>
        <v>0</v>
      </c>
      <c r="BU24">
        <f>(BA24-BG24)/(BA24-BR24)</f>
        <v>0</v>
      </c>
      <c r="BV24">
        <f>(BG24-BF24)/(BG24-AZ24)</f>
        <v>0</v>
      </c>
      <c r="BW24">
        <f>(BA24-BG24)/(BA24-AZ24)</f>
        <v>0</v>
      </c>
      <c r="BX24">
        <f>(BT24*BR24/BF24)</f>
        <v>0</v>
      </c>
      <c r="BY24">
        <f>(1-BX24)</f>
        <v>0</v>
      </c>
      <c r="DH24">
        <f>$B$11*EG24+$C$11*EH24+$F$11*ES24*(1-EV24)</f>
        <v>0</v>
      </c>
      <c r="DI24">
        <f>DH24*DJ24</f>
        <v>0</v>
      </c>
      <c r="DJ24">
        <f>($B$11*$D$9+$C$11*$D$9+$F$11*((FF24+EX24)/MAX(FF24+EX24+FG24, 0.1)*$I$9+FG24/MAX(FF24+EX24+FG24, 0.1)*$J$9))/($B$11+$C$11+$F$11)</f>
        <v>0</v>
      </c>
      <c r="DK24">
        <f>($B$11*$K$9+$C$11*$K$9+$F$11*((FF24+EX24)/MAX(FF24+EX24+FG24, 0.1)*$P$9+FG24/MAX(FF24+EX24+FG24, 0.1)*$Q$9))/($B$11+$C$11+$F$11)</f>
        <v>0</v>
      </c>
      <c r="DL24">
        <v>6</v>
      </c>
      <c r="DM24">
        <v>0.5</v>
      </c>
      <c r="DN24" t="s">
        <v>438</v>
      </c>
      <c r="DO24">
        <v>2</v>
      </c>
      <c r="DP24" t="b">
        <v>1</v>
      </c>
      <c r="DQ24">
        <v>1760989216.94615</v>
      </c>
      <c r="DR24">
        <v>362.444461538462</v>
      </c>
      <c r="DS24">
        <v>350.758307692308</v>
      </c>
      <c r="DT24">
        <v>11.8178384615385</v>
      </c>
      <c r="DU24">
        <v>9.13597</v>
      </c>
      <c r="DV24">
        <v>359.785153846154</v>
      </c>
      <c r="DW24">
        <v>11.9289615384615</v>
      </c>
      <c r="DX24">
        <v>499.982384615385</v>
      </c>
      <c r="DY24">
        <v>89.8792153846154</v>
      </c>
      <c r="DZ24">
        <v>0.00766586461538462</v>
      </c>
      <c r="EA24">
        <v>18.4435153846154</v>
      </c>
      <c r="EB24">
        <v>18.0174</v>
      </c>
      <c r="EC24">
        <v>999.9</v>
      </c>
      <c r="ED24">
        <v>0</v>
      </c>
      <c r="EE24">
        <v>0</v>
      </c>
      <c r="EF24">
        <v>10002.7323076923</v>
      </c>
      <c r="EG24">
        <v>0</v>
      </c>
      <c r="EH24">
        <v>1270.10307692308</v>
      </c>
      <c r="EI24">
        <v>11.6861615384615</v>
      </c>
      <c r="EJ24">
        <v>366.779</v>
      </c>
      <c r="EK24">
        <v>353.992538461538</v>
      </c>
      <c r="EL24">
        <v>2.68186692307692</v>
      </c>
      <c r="EM24">
        <v>350.758307692308</v>
      </c>
      <c r="EN24">
        <v>9.13597</v>
      </c>
      <c r="EO24">
        <v>1.06217923076923</v>
      </c>
      <c r="EP24">
        <v>0.821133769230769</v>
      </c>
      <c r="EQ24">
        <v>7.79838</v>
      </c>
      <c r="ER24">
        <v>4.07798846153846</v>
      </c>
      <c r="ES24">
        <v>1199.99846153846</v>
      </c>
      <c r="ET24">
        <v>0.967005769230769</v>
      </c>
      <c r="EU24">
        <v>0.0329945692307692</v>
      </c>
      <c r="EV24">
        <v>0</v>
      </c>
      <c r="EW24">
        <v>1381.61538461538</v>
      </c>
      <c r="EX24">
        <v>5.00059</v>
      </c>
      <c r="EY24">
        <v>16311.2538461538</v>
      </c>
      <c r="EZ24">
        <v>10358.7153846154</v>
      </c>
      <c r="FA24">
        <v>38.8075384615385</v>
      </c>
      <c r="FB24">
        <v>41.6776923076923</v>
      </c>
      <c r="FC24">
        <v>39.3603076923077</v>
      </c>
      <c r="FD24">
        <v>41.8891538461538</v>
      </c>
      <c r="FE24">
        <v>39.9084615384615</v>
      </c>
      <c r="FF24">
        <v>1155.56692307692</v>
      </c>
      <c r="FG24">
        <v>39.4315384615385</v>
      </c>
      <c r="FH24">
        <v>0</v>
      </c>
      <c r="FI24">
        <v>1760989194.1</v>
      </c>
      <c r="FJ24">
        <v>0</v>
      </c>
      <c r="FK24">
        <v>1381.6704</v>
      </c>
      <c r="FL24">
        <v>2.1353846283315</v>
      </c>
      <c r="FM24">
        <v>47.7923077564796</v>
      </c>
      <c r="FN24">
        <v>16311.684</v>
      </c>
      <c r="FO24">
        <v>15</v>
      </c>
      <c r="FP24">
        <v>0</v>
      </c>
      <c r="FQ24" t="s">
        <v>439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10.1759404761905</v>
      </c>
      <c r="GD24">
        <v>26.7138467532468</v>
      </c>
      <c r="GE24">
        <v>2.87194898533495</v>
      </c>
      <c r="GF24">
        <v>0</v>
      </c>
      <c r="GG24">
        <v>1381.61882352941</v>
      </c>
      <c r="GH24">
        <v>1.20305577066282</v>
      </c>
      <c r="GI24">
        <v>0.255628000697284</v>
      </c>
      <c r="GJ24">
        <v>-1</v>
      </c>
      <c r="GK24">
        <v>2.68246047619048</v>
      </c>
      <c r="GL24">
        <v>-0.0110789610389631</v>
      </c>
      <c r="GM24">
        <v>0.00135252665211122</v>
      </c>
      <c r="GN24">
        <v>1</v>
      </c>
      <c r="GO24">
        <v>1</v>
      </c>
      <c r="GP24">
        <v>2</v>
      </c>
      <c r="GQ24" t="s">
        <v>446</v>
      </c>
      <c r="GR24">
        <v>3.13057</v>
      </c>
      <c r="GS24">
        <v>2.68593</v>
      </c>
      <c r="GT24">
        <v>0.0753578</v>
      </c>
      <c r="GU24">
        <v>0.0736345</v>
      </c>
      <c r="GV24">
        <v>0.0617304</v>
      </c>
      <c r="GW24">
        <v>0.0504241</v>
      </c>
      <c r="GX24">
        <v>35043.7</v>
      </c>
      <c r="GY24">
        <v>37724.7</v>
      </c>
      <c r="GZ24">
        <v>34267.4</v>
      </c>
      <c r="HA24">
        <v>36848.9</v>
      </c>
      <c r="HB24">
        <v>45349.7</v>
      </c>
      <c r="HC24">
        <v>50171</v>
      </c>
      <c r="HD24">
        <v>53341.9</v>
      </c>
      <c r="HE24">
        <v>58774.6</v>
      </c>
      <c r="HF24">
        <v>2.00828</v>
      </c>
      <c r="HG24">
        <v>1.83698</v>
      </c>
      <c r="HH24">
        <v>0.0339411</v>
      </c>
      <c r="HI24">
        <v>0</v>
      </c>
      <c r="HJ24">
        <v>17.4621</v>
      </c>
      <c r="HK24">
        <v>999.9</v>
      </c>
      <c r="HL24">
        <v>26.01</v>
      </c>
      <c r="HM24">
        <v>30.252</v>
      </c>
      <c r="HN24">
        <v>12.5092</v>
      </c>
      <c r="HO24">
        <v>53.9792</v>
      </c>
      <c r="HP24">
        <v>44.2147</v>
      </c>
      <c r="HQ24">
        <v>1</v>
      </c>
      <c r="HR24">
        <v>-0.269162</v>
      </c>
      <c r="HS24">
        <v>4.09341</v>
      </c>
      <c r="HT24">
        <v>20.0901</v>
      </c>
      <c r="HU24">
        <v>5.20082</v>
      </c>
      <c r="HV24">
        <v>12.004</v>
      </c>
      <c r="HW24">
        <v>4.97575</v>
      </c>
      <c r="HX24">
        <v>3.293</v>
      </c>
      <c r="HY24">
        <v>9999</v>
      </c>
      <c r="HZ24">
        <v>999.9</v>
      </c>
      <c r="IA24">
        <v>9999</v>
      </c>
      <c r="IB24">
        <v>9999</v>
      </c>
      <c r="IC24">
        <v>1.86322</v>
      </c>
      <c r="ID24">
        <v>1.86804</v>
      </c>
      <c r="IE24">
        <v>1.86783</v>
      </c>
      <c r="IF24">
        <v>1.86905</v>
      </c>
      <c r="IG24">
        <v>1.86981</v>
      </c>
      <c r="IH24">
        <v>1.86584</v>
      </c>
      <c r="II24">
        <v>1.86694</v>
      </c>
      <c r="IJ24">
        <v>1.86836</v>
      </c>
      <c r="IK24">
        <v>5</v>
      </c>
      <c r="IL24">
        <v>0</v>
      </c>
      <c r="IM24">
        <v>0</v>
      </c>
      <c r="IN24">
        <v>0</v>
      </c>
      <c r="IO24" t="s">
        <v>441</v>
      </c>
      <c r="IP24" t="s">
        <v>442</v>
      </c>
      <c r="IQ24" t="s">
        <v>443</v>
      </c>
      <c r="IR24" t="s">
        <v>443</v>
      </c>
      <c r="IS24" t="s">
        <v>443</v>
      </c>
      <c r="IT24" t="s">
        <v>443</v>
      </c>
      <c r="IU24">
        <v>0</v>
      </c>
      <c r="IV24">
        <v>100</v>
      </c>
      <c r="IW24">
        <v>100</v>
      </c>
      <c r="IX24">
        <v>2.558</v>
      </c>
      <c r="IY24">
        <v>-0.1112</v>
      </c>
      <c r="IZ24">
        <v>1.12474291219083</v>
      </c>
      <c r="JA24">
        <v>0.00463155566490582</v>
      </c>
      <c r="JB24">
        <v>-1.1358998729424e-06</v>
      </c>
      <c r="JC24">
        <v>3.28704272115545e-10</v>
      </c>
      <c r="JD24">
        <v>-0.0704455108513773</v>
      </c>
      <c r="JE24">
        <v>-0.0251928478371425</v>
      </c>
      <c r="JF24">
        <v>0.00225751704194564</v>
      </c>
      <c r="JG24">
        <v>-3.61734043746866e-05</v>
      </c>
      <c r="JH24">
        <v>1</v>
      </c>
      <c r="JI24">
        <v>2182</v>
      </c>
      <c r="JJ24">
        <v>0</v>
      </c>
      <c r="JK24">
        <v>24</v>
      </c>
      <c r="JL24">
        <v>29349820.4</v>
      </c>
      <c r="JM24">
        <v>29349820.4</v>
      </c>
      <c r="JN24">
        <v>0.789795</v>
      </c>
      <c r="JO24">
        <v>2.63184</v>
      </c>
      <c r="JP24">
        <v>1.54785</v>
      </c>
      <c r="JQ24">
        <v>2.31445</v>
      </c>
      <c r="JR24">
        <v>1.64673</v>
      </c>
      <c r="JS24">
        <v>2.36694</v>
      </c>
      <c r="JT24">
        <v>33.4906</v>
      </c>
      <c r="JU24">
        <v>24.1838</v>
      </c>
      <c r="JV24">
        <v>18</v>
      </c>
      <c r="JW24">
        <v>500.366</v>
      </c>
      <c r="JX24">
        <v>394.085</v>
      </c>
      <c r="JY24">
        <v>12.2616</v>
      </c>
      <c r="JZ24">
        <v>23.9008</v>
      </c>
      <c r="KA24">
        <v>30.0002</v>
      </c>
      <c r="KB24">
        <v>23.923</v>
      </c>
      <c r="KC24">
        <v>23.8952</v>
      </c>
      <c r="KD24">
        <v>15.7161</v>
      </c>
      <c r="KE24">
        <v>0</v>
      </c>
      <c r="KF24">
        <v>23.7343</v>
      </c>
      <c r="KG24">
        <v>12.2531</v>
      </c>
      <c r="KH24">
        <v>298.366</v>
      </c>
      <c r="KI24">
        <v>9.33051</v>
      </c>
      <c r="KJ24">
        <v>97.046</v>
      </c>
      <c r="KK24">
        <v>95.3014</v>
      </c>
    </row>
    <row r="25" spans="1:297">
      <c r="A25">
        <v>9</v>
      </c>
      <c r="B25">
        <v>1760989230.1</v>
      </c>
      <c r="C25">
        <v>40</v>
      </c>
      <c r="D25" t="s">
        <v>459</v>
      </c>
      <c r="E25" t="s">
        <v>460</v>
      </c>
      <c r="F25">
        <v>5</v>
      </c>
      <c r="G25" t="s">
        <v>435</v>
      </c>
      <c r="H25" t="s">
        <v>436</v>
      </c>
      <c r="I25">
        <v>1760989221.94615</v>
      </c>
      <c r="J25">
        <f>(K25)/1000</f>
        <v>0</v>
      </c>
      <c r="K25">
        <f>IF(DP25, AN25, AH25)</f>
        <v>0</v>
      </c>
      <c r="L25">
        <f>IF(DP25, AI25, AG25)</f>
        <v>0</v>
      </c>
      <c r="M25">
        <f>DR25 - IF(AU25&gt;1, L25*DL25*100.0/(AW25), 0)</f>
        <v>0</v>
      </c>
      <c r="N25">
        <f>((T25-J25/2)*M25-L25)/(T25+J25/2)</f>
        <v>0</v>
      </c>
      <c r="O25">
        <f>N25*(DY25+DZ25)/1000.0</f>
        <v>0</v>
      </c>
      <c r="P25">
        <f>(DR25 - IF(AU25&gt;1, L25*DL25*100.0/(AW25), 0))*(DY25+DZ25)/1000.0</f>
        <v>0</v>
      </c>
      <c r="Q25">
        <f>2.0/((1/S25-1/R25)+SIGN(S25)*SQRT((1/S25-1/R25)*(1/S25-1/R25) + 4*DM25/((DM25+1)*(DM25+1))*(2*1/S25*1/R25-1/R25*1/R25)))</f>
        <v>0</v>
      </c>
      <c r="R25">
        <f>IF(LEFT(DN25,1)&lt;&gt;"0",IF(LEFT(DN25,1)="1",3.0,DO25),$D$5+$E$5*(EF25*DY25/($K$5*1000))+$F$5*(EF25*DY25/($K$5*1000))*MAX(MIN(DL25,$J$5),$I$5)*MAX(MIN(DL25,$J$5),$I$5)+$G$5*MAX(MIN(DL25,$J$5),$I$5)*(EF25*DY25/($K$5*1000))+$H$5*(EF25*DY25/($K$5*1000))*(EF25*DY25/($K$5*1000)))</f>
        <v>0</v>
      </c>
      <c r="S25">
        <f>J25*(1000-(1000*0.61365*exp(17.502*W25/(240.97+W25))/(DY25+DZ25)+DT25)/2)/(1000*0.61365*exp(17.502*W25/(240.97+W25))/(DY25+DZ25)-DT25)</f>
        <v>0</v>
      </c>
      <c r="T25">
        <f>1/((DM25+1)/(Q25/1.6)+1/(R25/1.37)) + DM25/((DM25+1)/(Q25/1.6) + DM25/(R25/1.37))</f>
        <v>0</v>
      </c>
      <c r="U25">
        <f>(DH25*DK25)</f>
        <v>0</v>
      </c>
      <c r="V25">
        <f>(EA25+(U25+2*0.95*5.67E-8*(((EA25+$B$7)+273)^4-(EA25+273)^4)-44100*J25)/(1.84*29.3*R25+8*0.95*5.67E-8*(EA25+273)^3))</f>
        <v>0</v>
      </c>
      <c r="W25">
        <f>($C$7*EB25+$D$7*EC25+$E$7*V25)</f>
        <v>0</v>
      </c>
      <c r="X25">
        <f>0.61365*exp(17.502*W25/(240.97+W25))</f>
        <v>0</v>
      </c>
      <c r="Y25">
        <f>(Z25/AA25*100)</f>
        <v>0</v>
      </c>
      <c r="Z25">
        <f>DT25*(DY25+DZ25)/1000</f>
        <v>0</v>
      </c>
      <c r="AA25">
        <f>0.61365*exp(17.502*EA25/(240.97+EA25))</f>
        <v>0</v>
      </c>
      <c r="AB25">
        <f>(X25-DT25*(DY25+DZ25)/1000)</f>
        <v>0</v>
      </c>
      <c r="AC25">
        <f>(-J25*44100)</f>
        <v>0</v>
      </c>
      <c r="AD25">
        <f>2*29.3*R25*0.92*(EA25-W25)</f>
        <v>0</v>
      </c>
      <c r="AE25">
        <f>2*0.95*5.67E-8*(((EA25+$B$7)+273)^4-(W25+273)^4)</f>
        <v>0</v>
      </c>
      <c r="AF25">
        <f>U25+AE25+AC25+AD25</f>
        <v>0</v>
      </c>
      <c r="AG25">
        <f>DX25*AU25*(DS25-DR25*(1000-AU25*DU25)/(1000-AU25*DT25))/(100*DL25)</f>
        <v>0</v>
      </c>
      <c r="AH25">
        <f>1000*DX25*AU25*(DT25-DU25)/(100*DL25*(1000-AU25*DT25))</f>
        <v>0</v>
      </c>
      <c r="AI25">
        <f>(AJ25 - AK25 - DY25*1E3/(8.314*(EA25+273.15)) * AM25/DX25 * AL25) * DX25/(100*DL25) * (1000 - DU25)/1000</f>
        <v>0</v>
      </c>
      <c r="AJ25">
        <v>321.694053529616</v>
      </c>
      <c r="AK25">
        <v>327.92023030303</v>
      </c>
      <c r="AL25">
        <v>-3.18635467992466</v>
      </c>
      <c r="AM25">
        <v>64.8413469339502</v>
      </c>
      <c r="AN25">
        <f>(AP25 - AO25 + DY25*1E3/(8.314*(EA25+273.15)) * AR25/DX25 * AQ25) * DX25/(100*DL25) * 1000/(1000 - AP25)</f>
        <v>0</v>
      </c>
      <c r="AO25">
        <v>9.13517387261368</v>
      </c>
      <c r="AP25">
        <v>11.8139193939394</v>
      </c>
      <c r="AQ25">
        <v>-3.85411327099351e-06</v>
      </c>
      <c r="AR25">
        <v>118.472689631034</v>
      </c>
      <c r="AS25">
        <v>0</v>
      </c>
      <c r="AT25">
        <v>0</v>
      </c>
      <c r="AU25">
        <f>IF(AS25*$H$13&gt;=AW25,1.0,(AW25/(AW25-AS25*$H$13)))</f>
        <v>0</v>
      </c>
      <c r="AV25">
        <f>(AU25-1)*100</f>
        <v>0</v>
      </c>
      <c r="AW25">
        <f>MAX(0,($B$13+$C$13*EF25)/(1+$D$13*EF25)*DY25/(EA25+273)*$E$13)</f>
        <v>0</v>
      </c>
      <c r="AX25" t="s">
        <v>437</v>
      </c>
      <c r="AY25" t="s">
        <v>437</v>
      </c>
      <c r="AZ25">
        <v>0</v>
      </c>
      <c r="BA25">
        <v>0</v>
      </c>
      <c r="BB25">
        <f>1-AZ25/BA25</f>
        <v>0</v>
      </c>
      <c r="BC25">
        <v>0</v>
      </c>
      <c r="BD25" t="s">
        <v>437</v>
      </c>
      <c r="BE25" t="s">
        <v>437</v>
      </c>
      <c r="BF25">
        <v>0</v>
      </c>
      <c r="BG25">
        <v>0</v>
      </c>
      <c r="BH25">
        <f>1-BF25/BG25</f>
        <v>0</v>
      </c>
      <c r="BI25">
        <v>0.5</v>
      </c>
      <c r="BJ25">
        <f>DI25</f>
        <v>0</v>
      </c>
      <c r="BK25">
        <f>L25</f>
        <v>0</v>
      </c>
      <c r="BL25">
        <f>BH25*BI25*BJ25</f>
        <v>0</v>
      </c>
      <c r="BM25">
        <f>(BK25-BC25)/BJ25</f>
        <v>0</v>
      </c>
      <c r="BN25">
        <f>(BA25-BG25)/BG25</f>
        <v>0</v>
      </c>
      <c r="BO25">
        <f>AZ25/(BB25+AZ25/BG25)</f>
        <v>0</v>
      </c>
      <c r="BP25" t="s">
        <v>437</v>
      </c>
      <c r="BQ25">
        <v>0</v>
      </c>
      <c r="BR25">
        <f>IF(BQ25&lt;&gt;0, BQ25, BO25)</f>
        <v>0</v>
      </c>
      <c r="BS25">
        <f>1-BR25/BG25</f>
        <v>0</v>
      </c>
      <c r="BT25">
        <f>(BG25-BF25)/(BG25-BR25)</f>
        <v>0</v>
      </c>
      <c r="BU25">
        <f>(BA25-BG25)/(BA25-BR25)</f>
        <v>0</v>
      </c>
      <c r="BV25">
        <f>(BG25-BF25)/(BG25-AZ25)</f>
        <v>0</v>
      </c>
      <c r="BW25">
        <f>(BA25-BG25)/(BA25-AZ25)</f>
        <v>0</v>
      </c>
      <c r="BX25">
        <f>(BT25*BR25/BF25)</f>
        <v>0</v>
      </c>
      <c r="BY25">
        <f>(1-BX25)</f>
        <v>0</v>
      </c>
      <c r="DH25">
        <f>$B$11*EG25+$C$11*EH25+$F$11*ES25*(1-EV25)</f>
        <v>0</v>
      </c>
      <c r="DI25">
        <f>DH25*DJ25</f>
        <v>0</v>
      </c>
      <c r="DJ25">
        <f>($B$11*$D$9+$C$11*$D$9+$F$11*((FF25+EX25)/MAX(FF25+EX25+FG25, 0.1)*$I$9+FG25/MAX(FF25+EX25+FG25, 0.1)*$J$9))/($B$11+$C$11+$F$11)</f>
        <v>0</v>
      </c>
      <c r="DK25">
        <f>($B$11*$K$9+$C$11*$K$9+$F$11*((FF25+EX25)/MAX(FF25+EX25+FG25, 0.1)*$P$9+FG25/MAX(FF25+EX25+FG25, 0.1)*$Q$9))/($B$11+$C$11+$F$11)</f>
        <v>0</v>
      </c>
      <c r="DL25">
        <v>6</v>
      </c>
      <c r="DM25">
        <v>0.5</v>
      </c>
      <c r="DN25" t="s">
        <v>438</v>
      </c>
      <c r="DO25">
        <v>2</v>
      </c>
      <c r="DP25" t="b">
        <v>1</v>
      </c>
      <c r="DQ25">
        <v>1760989221.94615</v>
      </c>
      <c r="DR25">
        <v>346.805923076923</v>
      </c>
      <c r="DS25">
        <v>334.237230769231</v>
      </c>
      <c r="DT25">
        <v>11.8166384615385</v>
      </c>
      <c r="DU25">
        <v>9.13565384615385</v>
      </c>
      <c r="DV25">
        <v>344.208230769231</v>
      </c>
      <c r="DW25">
        <v>11.9277769230769</v>
      </c>
      <c r="DX25">
        <v>499.993076923077</v>
      </c>
      <c r="DY25">
        <v>89.8786769230769</v>
      </c>
      <c r="DZ25">
        <v>0.00764775230769231</v>
      </c>
      <c r="EA25">
        <v>18.4452307692308</v>
      </c>
      <c r="EB25">
        <v>18.0188153846154</v>
      </c>
      <c r="EC25">
        <v>999.9</v>
      </c>
      <c r="ED25">
        <v>0</v>
      </c>
      <c r="EE25">
        <v>0</v>
      </c>
      <c r="EF25">
        <v>10011.1938461538</v>
      </c>
      <c r="EG25">
        <v>0</v>
      </c>
      <c r="EH25">
        <v>1270.07769230769</v>
      </c>
      <c r="EI25">
        <v>12.5688153846154</v>
      </c>
      <c r="EJ25">
        <v>350.953153846154</v>
      </c>
      <c r="EK25">
        <v>337.319076923077</v>
      </c>
      <c r="EL25">
        <v>2.68098</v>
      </c>
      <c r="EM25">
        <v>334.237230769231</v>
      </c>
      <c r="EN25">
        <v>9.13565384615385</v>
      </c>
      <c r="EO25">
        <v>1.06206461538462</v>
      </c>
      <c r="EP25">
        <v>0.821100461538462</v>
      </c>
      <c r="EQ25">
        <v>7.79679769230769</v>
      </c>
      <c r="ER25">
        <v>4.07741076923077</v>
      </c>
      <c r="ES25">
        <v>1200.00230769231</v>
      </c>
      <c r="ET25">
        <v>0.967002076923077</v>
      </c>
      <c r="EU25">
        <v>0.0329982769230769</v>
      </c>
      <c r="EV25">
        <v>0</v>
      </c>
      <c r="EW25">
        <v>1381.82153846154</v>
      </c>
      <c r="EX25">
        <v>5.00059</v>
      </c>
      <c r="EY25">
        <v>16315.3538461538</v>
      </c>
      <c r="EZ25">
        <v>10358.7461538462</v>
      </c>
      <c r="FA25">
        <v>38.8650769230769</v>
      </c>
      <c r="FB25">
        <v>41.7209230769231</v>
      </c>
      <c r="FC25">
        <v>39.4083846153846</v>
      </c>
      <c r="FD25">
        <v>41.9420769230769</v>
      </c>
      <c r="FE25">
        <v>39.9566153846154</v>
      </c>
      <c r="FF25">
        <v>1155.56615384615</v>
      </c>
      <c r="FG25">
        <v>39.4361538461538</v>
      </c>
      <c r="FH25">
        <v>0</v>
      </c>
      <c r="FI25">
        <v>1760989199.5</v>
      </c>
      <c r="FJ25">
        <v>0</v>
      </c>
      <c r="FK25">
        <v>1381.89423076923</v>
      </c>
      <c r="FL25">
        <v>3.35692307655961</v>
      </c>
      <c r="FM25">
        <v>56.0649571810952</v>
      </c>
      <c r="FN25">
        <v>16316.0807692308</v>
      </c>
      <c r="FO25">
        <v>15</v>
      </c>
      <c r="FP25">
        <v>0</v>
      </c>
      <c r="FQ25" t="s">
        <v>439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12.1096935</v>
      </c>
      <c r="GD25">
        <v>11.2238106766917</v>
      </c>
      <c r="GE25">
        <v>1.19781533397379</v>
      </c>
      <c r="GF25">
        <v>0</v>
      </c>
      <c r="GG25">
        <v>1381.74235294118</v>
      </c>
      <c r="GH25">
        <v>2.48067227292618</v>
      </c>
      <c r="GI25">
        <v>0.307303823826544</v>
      </c>
      <c r="GJ25">
        <v>-1</v>
      </c>
      <c r="GK25">
        <v>2.6813215</v>
      </c>
      <c r="GL25">
        <v>-0.00882812030075332</v>
      </c>
      <c r="GM25">
        <v>0.00114012400641339</v>
      </c>
      <c r="GN25">
        <v>1</v>
      </c>
      <c r="GO25">
        <v>1</v>
      </c>
      <c r="GP25">
        <v>2</v>
      </c>
      <c r="GQ25" t="s">
        <v>446</v>
      </c>
      <c r="GR25">
        <v>3.13063</v>
      </c>
      <c r="GS25">
        <v>2.68557</v>
      </c>
      <c r="GT25">
        <v>0.07247</v>
      </c>
      <c r="GU25">
        <v>0.0703999</v>
      </c>
      <c r="GV25">
        <v>0.061723</v>
      </c>
      <c r="GW25">
        <v>0.0504253</v>
      </c>
      <c r="GX25">
        <v>35153.3</v>
      </c>
      <c r="GY25">
        <v>37856.1</v>
      </c>
      <c r="GZ25">
        <v>34267.5</v>
      </c>
      <c r="HA25">
        <v>36848.6</v>
      </c>
      <c r="HB25">
        <v>45350</v>
      </c>
      <c r="HC25">
        <v>50170.3</v>
      </c>
      <c r="HD25">
        <v>53342.1</v>
      </c>
      <c r="HE25">
        <v>58774.3</v>
      </c>
      <c r="HF25">
        <v>2.00828</v>
      </c>
      <c r="HG25">
        <v>1.8369</v>
      </c>
      <c r="HH25">
        <v>0.0332147</v>
      </c>
      <c r="HI25">
        <v>0</v>
      </c>
      <c r="HJ25">
        <v>17.4621</v>
      </c>
      <c r="HK25">
        <v>999.9</v>
      </c>
      <c r="HL25">
        <v>25.98</v>
      </c>
      <c r="HM25">
        <v>30.273</v>
      </c>
      <c r="HN25">
        <v>12.511</v>
      </c>
      <c r="HO25">
        <v>54.3492</v>
      </c>
      <c r="HP25">
        <v>44.2027</v>
      </c>
      <c r="HQ25">
        <v>1</v>
      </c>
      <c r="HR25">
        <v>-0.269037</v>
      </c>
      <c r="HS25">
        <v>4.13056</v>
      </c>
      <c r="HT25">
        <v>20.0877</v>
      </c>
      <c r="HU25">
        <v>5.20172</v>
      </c>
      <c r="HV25">
        <v>12.004</v>
      </c>
      <c r="HW25">
        <v>4.97575</v>
      </c>
      <c r="HX25">
        <v>3.29303</v>
      </c>
      <c r="HY25">
        <v>9999</v>
      </c>
      <c r="HZ25">
        <v>999.9</v>
      </c>
      <c r="IA25">
        <v>9999</v>
      </c>
      <c r="IB25">
        <v>9999</v>
      </c>
      <c r="IC25">
        <v>1.86324</v>
      </c>
      <c r="ID25">
        <v>1.86805</v>
      </c>
      <c r="IE25">
        <v>1.86783</v>
      </c>
      <c r="IF25">
        <v>1.86905</v>
      </c>
      <c r="IG25">
        <v>1.86981</v>
      </c>
      <c r="IH25">
        <v>1.86584</v>
      </c>
      <c r="II25">
        <v>1.86694</v>
      </c>
      <c r="IJ25">
        <v>1.86836</v>
      </c>
      <c r="IK25">
        <v>5</v>
      </c>
      <c r="IL25">
        <v>0</v>
      </c>
      <c r="IM25">
        <v>0</v>
      </c>
      <c r="IN25">
        <v>0</v>
      </c>
      <c r="IO25" t="s">
        <v>441</v>
      </c>
      <c r="IP25" t="s">
        <v>442</v>
      </c>
      <c r="IQ25" t="s">
        <v>443</v>
      </c>
      <c r="IR25" t="s">
        <v>443</v>
      </c>
      <c r="IS25" t="s">
        <v>443</v>
      </c>
      <c r="IT25" t="s">
        <v>443</v>
      </c>
      <c r="IU25">
        <v>0</v>
      </c>
      <c r="IV25">
        <v>100</v>
      </c>
      <c r="IW25">
        <v>100</v>
      </c>
      <c r="IX25">
        <v>2.495</v>
      </c>
      <c r="IY25">
        <v>-0.1112</v>
      </c>
      <c r="IZ25">
        <v>1.12474291219083</v>
      </c>
      <c r="JA25">
        <v>0.00463155566490582</v>
      </c>
      <c r="JB25">
        <v>-1.1358998729424e-06</v>
      </c>
      <c r="JC25">
        <v>3.28704272115545e-10</v>
      </c>
      <c r="JD25">
        <v>-0.0704455108513773</v>
      </c>
      <c r="JE25">
        <v>-0.0251928478371425</v>
      </c>
      <c r="JF25">
        <v>0.00225751704194564</v>
      </c>
      <c r="JG25">
        <v>-3.61734043746866e-05</v>
      </c>
      <c r="JH25">
        <v>1</v>
      </c>
      <c r="JI25">
        <v>2182</v>
      </c>
      <c r="JJ25">
        <v>0</v>
      </c>
      <c r="JK25">
        <v>24</v>
      </c>
      <c r="JL25">
        <v>29349820.5</v>
      </c>
      <c r="JM25">
        <v>29349820.5</v>
      </c>
      <c r="JN25">
        <v>0.754395</v>
      </c>
      <c r="JO25">
        <v>2.63184</v>
      </c>
      <c r="JP25">
        <v>1.54785</v>
      </c>
      <c r="JQ25">
        <v>2.31445</v>
      </c>
      <c r="JR25">
        <v>1.64673</v>
      </c>
      <c r="JS25">
        <v>2.36694</v>
      </c>
      <c r="JT25">
        <v>33.4906</v>
      </c>
      <c r="JU25">
        <v>24.1926</v>
      </c>
      <c r="JV25">
        <v>18</v>
      </c>
      <c r="JW25">
        <v>500.366</v>
      </c>
      <c r="JX25">
        <v>394.046</v>
      </c>
      <c r="JY25">
        <v>12.245</v>
      </c>
      <c r="JZ25">
        <v>23.9008</v>
      </c>
      <c r="KA25">
        <v>30.0002</v>
      </c>
      <c r="KB25">
        <v>23.923</v>
      </c>
      <c r="KC25">
        <v>23.8952</v>
      </c>
      <c r="KD25">
        <v>15.077</v>
      </c>
      <c r="KE25">
        <v>0</v>
      </c>
      <c r="KF25">
        <v>23.7343</v>
      </c>
      <c r="KG25">
        <v>12.2304</v>
      </c>
      <c r="KH25">
        <v>284.94</v>
      </c>
      <c r="KI25">
        <v>9.33051</v>
      </c>
      <c r="KJ25">
        <v>97.0464</v>
      </c>
      <c r="KK25">
        <v>95.3008</v>
      </c>
    </row>
    <row r="26" spans="1:297">
      <c r="A26">
        <v>10</v>
      </c>
      <c r="B26">
        <v>1760989235.1</v>
      </c>
      <c r="C26">
        <v>45</v>
      </c>
      <c r="D26" t="s">
        <v>461</v>
      </c>
      <c r="E26" t="s">
        <v>462</v>
      </c>
      <c r="F26">
        <v>5</v>
      </c>
      <c r="G26" t="s">
        <v>435</v>
      </c>
      <c r="H26" t="s">
        <v>436</v>
      </c>
      <c r="I26">
        <v>1760989226.94615</v>
      </c>
      <c r="J26">
        <f>(K26)/1000</f>
        <v>0</v>
      </c>
      <c r="K26">
        <f>IF(DP26, AN26, AH26)</f>
        <v>0</v>
      </c>
      <c r="L26">
        <f>IF(DP26, AI26, AG26)</f>
        <v>0</v>
      </c>
      <c r="M26">
        <f>DR26 - IF(AU26&gt;1, L26*DL26*100.0/(AW26), 0)</f>
        <v>0</v>
      </c>
      <c r="N26">
        <f>((T26-J26/2)*M26-L26)/(T26+J26/2)</f>
        <v>0</v>
      </c>
      <c r="O26">
        <f>N26*(DY26+DZ26)/1000.0</f>
        <v>0</v>
      </c>
      <c r="P26">
        <f>(DR26 - IF(AU26&gt;1, L26*DL26*100.0/(AW26), 0))*(DY26+DZ26)/1000.0</f>
        <v>0</v>
      </c>
      <c r="Q26">
        <f>2.0/((1/S26-1/R26)+SIGN(S26)*SQRT((1/S26-1/R26)*(1/S26-1/R26) + 4*DM26/((DM26+1)*(DM26+1))*(2*1/S26*1/R26-1/R26*1/R26)))</f>
        <v>0</v>
      </c>
      <c r="R26">
        <f>IF(LEFT(DN26,1)&lt;&gt;"0",IF(LEFT(DN26,1)="1",3.0,DO26),$D$5+$E$5*(EF26*DY26/($K$5*1000))+$F$5*(EF26*DY26/($K$5*1000))*MAX(MIN(DL26,$J$5),$I$5)*MAX(MIN(DL26,$J$5),$I$5)+$G$5*MAX(MIN(DL26,$J$5),$I$5)*(EF26*DY26/($K$5*1000))+$H$5*(EF26*DY26/($K$5*1000))*(EF26*DY26/($K$5*1000)))</f>
        <v>0</v>
      </c>
      <c r="S26">
        <f>J26*(1000-(1000*0.61365*exp(17.502*W26/(240.97+W26))/(DY26+DZ26)+DT26)/2)/(1000*0.61365*exp(17.502*W26/(240.97+W26))/(DY26+DZ26)-DT26)</f>
        <v>0</v>
      </c>
      <c r="T26">
        <f>1/((DM26+1)/(Q26/1.6)+1/(R26/1.37)) + DM26/((DM26+1)/(Q26/1.6) + DM26/(R26/1.37))</f>
        <v>0</v>
      </c>
      <c r="U26">
        <f>(DH26*DK26)</f>
        <v>0</v>
      </c>
      <c r="V26">
        <f>(EA26+(U26+2*0.95*5.67E-8*(((EA26+$B$7)+273)^4-(EA26+273)^4)-44100*J26)/(1.84*29.3*R26+8*0.95*5.67E-8*(EA26+273)^3))</f>
        <v>0</v>
      </c>
      <c r="W26">
        <f>($C$7*EB26+$D$7*EC26+$E$7*V26)</f>
        <v>0</v>
      </c>
      <c r="X26">
        <f>0.61365*exp(17.502*W26/(240.97+W26))</f>
        <v>0</v>
      </c>
      <c r="Y26">
        <f>(Z26/AA26*100)</f>
        <v>0</v>
      </c>
      <c r="Z26">
        <f>DT26*(DY26+DZ26)/1000</f>
        <v>0</v>
      </c>
      <c r="AA26">
        <f>0.61365*exp(17.502*EA26/(240.97+EA26))</f>
        <v>0</v>
      </c>
      <c r="AB26">
        <f>(X26-DT26*(DY26+DZ26)/1000)</f>
        <v>0</v>
      </c>
      <c r="AC26">
        <f>(-J26*44100)</f>
        <v>0</v>
      </c>
      <c r="AD26">
        <f>2*29.3*R26*0.92*(EA26-W26)</f>
        <v>0</v>
      </c>
      <c r="AE26">
        <f>2*0.95*5.67E-8*(((EA26+$B$7)+273)^4-(W26+273)^4)</f>
        <v>0</v>
      </c>
      <c r="AF26">
        <f>U26+AE26+AC26+AD26</f>
        <v>0</v>
      </c>
      <c r="AG26">
        <f>DX26*AU26*(DS26-DR26*(1000-AU26*DU26)/(1000-AU26*DT26))/(100*DL26)</f>
        <v>0</v>
      </c>
      <c r="AH26">
        <f>1000*DX26*AU26*(DT26-DU26)/(100*DL26*(1000-AU26*DT26))</f>
        <v>0</v>
      </c>
      <c r="AI26">
        <f>(AJ26 - AK26 - DY26*1E3/(8.314*(EA26+273.15)) * AM26/DX26 * AL26) * DX26/(100*DL26) * (1000 - DU26)/1000</f>
        <v>0</v>
      </c>
      <c r="AJ26">
        <v>303.905021387798</v>
      </c>
      <c r="AK26">
        <v>311.092442424243</v>
      </c>
      <c r="AL26">
        <v>-3.37163885943606</v>
      </c>
      <c r="AM26">
        <v>64.8413469339502</v>
      </c>
      <c r="AN26">
        <f>(AP26 - AO26 + DY26*1E3/(8.314*(EA26+273.15)) * AR26/DX26 * AQ26) * DX26/(100*DL26) * 1000/(1000 - AP26)</f>
        <v>0</v>
      </c>
      <c r="AO26">
        <v>9.13500631085583</v>
      </c>
      <c r="AP26">
        <v>11.8139757575758</v>
      </c>
      <c r="AQ26">
        <v>5.95976579701136e-09</v>
      </c>
      <c r="AR26">
        <v>118.472689631034</v>
      </c>
      <c r="AS26">
        <v>0</v>
      </c>
      <c r="AT26">
        <v>0</v>
      </c>
      <c r="AU26">
        <f>IF(AS26*$H$13&gt;=AW26,1.0,(AW26/(AW26-AS26*$H$13)))</f>
        <v>0</v>
      </c>
      <c r="AV26">
        <f>(AU26-1)*100</f>
        <v>0</v>
      </c>
      <c r="AW26">
        <f>MAX(0,($B$13+$C$13*EF26)/(1+$D$13*EF26)*DY26/(EA26+273)*$E$13)</f>
        <v>0</v>
      </c>
      <c r="AX26" t="s">
        <v>437</v>
      </c>
      <c r="AY26" t="s">
        <v>437</v>
      </c>
      <c r="AZ26">
        <v>0</v>
      </c>
      <c r="BA26">
        <v>0</v>
      </c>
      <c r="BB26">
        <f>1-AZ26/BA26</f>
        <v>0</v>
      </c>
      <c r="BC26">
        <v>0</v>
      </c>
      <c r="BD26" t="s">
        <v>437</v>
      </c>
      <c r="BE26" t="s">
        <v>437</v>
      </c>
      <c r="BF26">
        <v>0</v>
      </c>
      <c r="BG26">
        <v>0</v>
      </c>
      <c r="BH26">
        <f>1-BF26/BG26</f>
        <v>0</v>
      </c>
      <c r="BI26">
        <v>0.5</v>
      </c>
      <c r="BJ26">
        <f>DI26</f>
        <v>0</v>
      </c>
      <c r="BK26">
        <f>L26</f>
        <v>0</v>
      </c>
      <c r="BL26">
        <f>BH26*BI26*BJ26</f>
        <v>0</v>
      </c>
      <c r="BM26">
        <f>(BK26-BC26)/BJ26</f>
        <v>0</v>
      </c>
      <c r="BN26">
        <f>(BA26-BG26)/BG26</f>
        <v>0</v>
      </c>
      <c r="BO26">
        <f>AZ26/(BB26+AZ26/BG26)</f>
        <v>0</v>
      </c>
      <c r="BP26" t="s">
        <v>437</v>
      </c>
      <c r="BQ26">
        <v>0</v>
      </c>
      <c r="BR26">
        <f>IF(BQ26&lt;&gt;0, BQ26, BO26)</f>
        <v>0</v>
      </c>
      <c r="BS26">
        <f>1-BR26/BG26</f>
        <v>0</v>
      </c>
      <c r="BT26">
        <f>(BG26-BF26)/(BG26-BR26)</f>
        <v>0</v>
      </c>
      <c r="BU26">
        <f>(BA26-BG26)/(BA26-BR26)</f>
        <v>0</v>
      </c>
      <c r="BV26">
        <f>(BG26-BF26)/(BG26-AZ26)</f>
        <v>0</v>
      </c>
      <c r="BW26">
        <f>(BA26-BG26)/(BA26-AZ26)</f>
        <v>0</v>
      </c>
      <c r="BX26">
        <f>(BT26*BR26/BF26)</f>
        <v>0</v>
      </c>
      <c r="BY26">
        <f>(1-BX26)</f>
        <v>0</v>
      </c>
      <c r="DH26">
        <f>$B$11*EG26+$C$11*EH26+$F$11*ES26*(1-EV26)</f>
        <v>0</v>
      </c>
      <c r="DI26">
        <f>DH26*DJ26</f>
        <v>0</v>
      </c>
      <c r="DJ26">
        <f>($B$11*$D$9+$C$11*$D$9+$F$11*((FF26+EX26)/MAX(FF26+EX26+FG26, 0.1)*$I$9+FG26/MAX(FF26+EX26+FG26, 0.1)*$J$9))/($B$11+$C$11+$F$11)</f>
        <v>0</v>
      </c>
      <c r="DK26">
        <f>($B$11*$K$9+$C$11*$K$9+$F$11*((FF26+EX26)/MAX(FF26+EX26+FG26, 0.1)*$P$9+FG26/MAX(FF26+EX26+FG26, 0.1)*$Q$9))/($B$11+$C$11+$F$11)</f>
        <v>0</v>
      </c>
      <c r="DL26">
        <v>6</v>
      </c>
      <c r="DM26">
        <v>0.5</v>
      </c>
      <c r="DN26" t="s">
        <v>438</v>
      </c>
      <c r="DO26">
        <v>2</v>
      </c>
      <c r="DP26" t="b">
        <v>1</v>
      </c>
      <c r="DQ26">
        <v>1760989226.94615</v>
      </c>
      <c r="DR26">
        <v>330.770230769231</v>
      </c>
      <c r="DS26">
        <v>317.221769230769</v>
      </c>
      <c r="DT26">
        <v>11.8153384615385</v>
      </c>
      <c r="DU26">
        <v>9.13519461538462</v>
      </c>
      <c r="DV26">
        <v>328.236076923077</v>
      </c>
      <c r="DW26">
        <v>11.9264923076923</v>
      </c>
      <c r="DX26">
        <v>499.994692307692</v>
      </c>
      <c r="DY26">
        <v>89.8793230769231</v>
      </c>
      <c r="DZ26">
        <v>0.00764570923076923</v>
      </c>
      <c r="EA26">
        <v>18.4478153846154</v>
      </c>
      <c r="EB26">
        <v>18.0163230769231</v>
      </c>
      <c r="EC26">
        <v>999.9</v>
      </c>
      <c r="ED26">
        <v>0</v>
      </c>
      <c r="EE26">
        <v>0</v>
      </c>
      <c r="EF26">
        <v>10007.2515384615</v>
      </c>
      <c r="EG26">
        <v>0</v>
      </c>
      <c r="EH26">
        <v>1270.05384615385</v>
      </c>
      <c r="EI26">
        <v>13.5486</v>
      </c>
      <c r="EJ26">
        <v>334.725307692308</v>
      </c>
      <c r="EK26">
        <v>320.146461538461</v>
      </c>
      <c r="EL26">
        <v>2.68013769230769</v>
      </c>
      <c r="EM26">
        <v>317.221769230769</v>
      </c>
      <c r="EN26">
        <v>9.13519461538462</v>
      </c>
      <c r="EO26">
        <v>1.06195461538462</v>
      </c>
      <c r="EP26">
        <v>0.821065153846154</v>
      </c>
      <c r="EQ26">
        <v>7.79528923076923</v>
      </c>
      <c r="ER26">
        <v>4.07679923076923</v>
      </c>
      <c r="ES26">
        <v>1200.02692307692</v>
      </c>
      <c r="ET26">
        <v>0.966999923076923</v>
      </c>
      <c r="EU26">
        <v>0.0330002769230769</v>
      </c>
      <c r="EV26">
        <v>0</v>
      </c>
      <c r="EW26">
        <v>1382.04769230769</v>
      </c>
      <c r="EX26">
        <v>5.00059</v>
      </c>
      <c r="EY26">
        <v>16318.8923076923</v>
      </c>
      <c r="EZ26">
        <v>10358.9461538462</v>
      </c>
      <c r="FA26">
        <v>38.894</v>
      </c>
      <c r="FB26">
        <v>41.6873076923077</v>
      </c>
      <c r="FC26">
        <v>39.4227692307692</v>
      </c>
      <c r="FD26">
        <v>41.8843846153846</v>
      </c>
      <c r="FE26">
        <v>39.9613846153846</v>
      </c>
      <c r="FF26">
        <v>1155.58769230769</v>
      </c>
      <c r="FG26">
        <v>39.4384615384615</v>
      </c>
      <c r="FH26">
        <v>0</v>
      </c>
      <c r="FI26">
        <v>1760989204.3</v>
      </c>
      <c r="FJ26">
        <v>0</v>
      </c>
      <c r="FK26">
        <v>1382.22192307692</v>
      </c>
      <c r="FL26">
        <v>4.16102566102842</v>
      </c>
      <c r="FM26">
        <v>39.4153846933661</v>
      </c>
      <c r="FN26">
        <v>16319.5038461538</v>
      </c>
      <c r="FO26">
        <v>15</v>
      </c>
      <c r="FP26">
        <v>0</v>
      </c>
      <c r="FQ26" t="s">
        <v>439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12.9663285714286</v>
      </c>
      <c r="GD26">
        <v>10.5271558441558</v>
      </c>
      <c r="GE26">
        <v>1.17697501294141</v>
      </c>
      <c r="GF26">
        <v>0</v>
      </c>
      <c r="GG26">
        <v>1381.98588235294</v>
      </c>
      <c r="GH26">
        <v>3.6617265190521</v>
      </c>
      <c r="GI26">
        <v>0.434566163967065</v>
      </c>
      <c r="GJ26">
        <v>-1</v>
      </c>
      <c r="GK26">
        <v>2.68057285714286</v>
      </c>
      <c r="GL26">
        <v>-0.00997480519480237</v>
      </c>
      <c r="GM26">
        <v>0.00122383527858766</v>
      </c>
      <c r="GN26">
        <v>1</v>
      </c>
      <c r="GO26">
        <v>1</v>
      </c>
      <c r="GP26">
        <v>2</v>
      </c>
      <c r="GQ26" t="s">
        <v>446</v>
      </c>
      <c r="GR26">
        <v>3.13072</v>
      </c>
      <c r="GS26">
        <v>2.68553</v>
      </c>
      <c r="GT26">
        <v>0.0694018</v>
      </c>
      <c r="GU26">
        <v>0.0673743</v>
      </c>
      <c r="GV26">
        <v>0.0617186</v>
      </c>
      <c r="GW26">
        <v>0.0504273</v>
      </c>
      <c r="GX26">
        <v>35269.3</v>
      </c>
      <c r="GY26">
        <v>37979.2</v>
      </c>
      <c r="GZ26">
        <v>34267.2</v>
      </c>
      <c r="HA26">
        <v>36848.6</v>
      </c>
      <c r="HB26">
        <v>45349.4</v>
      </c>
      <c r="HC26">
        <v>50169.9</v>
      </c>
      <c r="HD26">
        <v>53341.6</v>
      </c>
      <c r="HE26">
        <v>58774.4</v>
      </c>
      <c r="HF26">
        <v>2.00872</v>
      </c>
      <c r="HG26">
        <v>1.83652</v>
      </c>
      <c r="HH26">
        <v>0.0335798</v>
      </c>
      <c r="HI26">
        <v>0</v>
      </c>
      <c r="HJ26">
        <v>17.4619</v>
      </c>
      <c r="HK26">
        <v>999.9</v>
      </c>
      <c r="HL26">
        <v>25.98</v>
      </c>
      <c r="HM26">
        <v>30.252</v>
      </c>
      <c r="HN26">
        <v>12.4943</v>
      </c>
      <c r="HO26">
        <v>54.0892</v>
      </c>
      <c r="HP26">
        <v>44.2388</v>
      </c>
      <c r="HQ26">
        <v>1</v>
      </c>
      <c r="HR26">
        <v>-0.269085</v>
      </c>
      <c r="HS26">
        <v>4.12846</v>
      </c>
      <c r="HT26">
        <v>20.088</v>
      </c>
      <c r="HU26">
        <v>5.20067</v>
      </c>
      <c r="HV26">
        <v>12.004</v>
      </c>
      <c r="HW26">
        <v>4.97565</v>
      </c>
      <c r="HX26">
        <v>3.29298</v>
      </c>
      <c r="HY26">
        <v>9999</v>
      </c>
      <c r="HZ26">
        <v>999.9</v>
      </c>
      <c r="IA26">
        <v>9999</v>
      </c>
      <c r="IB26">
        <v>9999</v>
      </c>
      <c r="IC26">
        <v>1.86321</v>
      </c>
      <c r="ID26">
        <v>1.86805</v>
      </c>
      <c r="IE26">
        <v>1.86783</v>
      </c>
      <c r="IF26">
        <v>1.86904</v>
      </c>
      <c r="IG26">
        <v>1.86981</v>
      </c>
      <c r="IH26">
        <v>1.86584</v>
      </c>
      <c r="II26">
        <v>1.86692</v>
      </c>
      <c r="IJ26">
        <v>1.86839</v>
      </c>
      <c r="IK26">
        <v>5</v>
      </c>
      <c r="IL26">
        <v>0</v>
      </c>
      <c r="IM26">
        <v>0</v>
      </c>
      <c r="IN26">
        <v>0</v>
      </c>
      <c r="IO26" t="s">
        <v>441</v>
      </c>
      <c r="IP26" t="s">
        <v>442</v>
      </c>
      <c r="IQ26" t="s">
        <v>443</v>
      </c>
      <c r="IR26" t="s">
        <v>443</v>
      </c>
      <c r="IS26" t="s">
        <v>443</v>
      </c>
      <c r="IT26" t="s">
        <v>443</v>
      </c>
      <c r="IU26">
        <v>0</v>
      </c>
      <c r="IV26">
        <v>100</v>
      </c>
      <c r="IW26">
        <v>100</v>
      </c>
      <c r="IX26">
        <v>2.428</v>
      </c>
      <c r="IY26">
        <v>-0.1112</v>
      </c>
      <c r="IZ26">
        <v>1.12474291219083</v>
      </c>
      <c r="JA26">
        <v>0.00463155566490582</v>
      </c>
      <c r="JB26">
        <v>-1.1358998729424e-06</v>
      </c>
      <c r="JC26">
        <v>3.28704272115545e-10</v>
      </c>
      <c r="JD26">
        <v>-0.0704455108513773</v>
      </c>
      <c r="JE26">
        <v>-0.0251928478371425</v>
      </c>
      <c r="JF26">
        <v>0.00225751704194564</v>
      </c>
      <c r="JG26">
        <v>-3.61734043746866e-05</v>
      </c>
      <c r="JH26">
        <v>1</v>
      </c>
      <c r="JI26">
        <v>2182</v>
      </c>
      <c r="JJ26">
        <v>0</v>
      </c>
      <c r="JK26">
        <v>24</v>
      </c>
      <c r="JL26">
        <v>29349820.6</v>
      </c>
      <c r="JM26">
        <v>29349820.6</v>
      </c>
      <c r="JN26">
        <v>0.723877</v>
      </c>
      <c r="JO26">
        <v>2.63428</v>
      </c>
      <c r="JP26">
        <v>1.54785</v>
      </c>
      <c r="JQ26">
        <v>2.31445</v>
      </c>
      <c r="JR26">
        <v>1.64551</v>
      </c>
      <c r="JS26">
        <v>2.34497</v>
      </c>
      <c r="JT26">
        <v>33.4906</v>
      </c>
      <c r="JU26">
        <v>24.1838</v>
      </c>
      <c r="JV26">
        <v>18</v>
      </c>
      <c r="JW26">
        <v>500.654</v>
      </c>
      <c r="JX26">
        <v>393.848</v>
      </c>
      <c r="JY26">
        <v>12.223</v>
      </c>
      <c r="JZ26">
        <v>23.9008</v>
      </c>
      <c r="KA26">
        <v>30</v>
      </c>
      <c r="KB26">
        <v>23.923</v>
      </c>
      <c r="KC26">
        <v>23.8952</v>
      </c>
      <c r="KD26">
        <v>14.3962</v>
      </c>
      <c r="KE26">
        <v>0</v>
      </c>
      <c r="KF26">
        <v>23.7343</v>
      </c>
      <c r="KG26">
        <v>12.217</v>
      </c>
      <c r="KH26">
        <v>264.782</v>
      </c>
      <c r="KI26">
        <v>9.33051</v>
      </c>
      <c r="KJ26">
        <v>97.0455</v>
      </c>
      <c r="KK26">
        <v>95.3008</v>
      </c>
    </row>
    <row r="27" spans="1:297">
      <c r="A27">
        <v>11</v>
      </c>
      <c r="B27">
        <v>1760989240.1</v>
      </c>
      <c r="C27">
        <v>50</v>
      </c>
      <c r="D27" t="s">
        <v>463</v>
      </c>
      <c r="E27" t="s">
        <v>464</v>
      </c>
      <c r="F27">
        <v>5</v>
      </c>
      <c r="G27" t="s">
        <v>435</v>
      </c>
      <c r="H27" t="s">
        <v>436</v>
      </c>
      <c r="I27">
        <v>1760989231.94615</v>
      </c>
      <c r="J27">
        <f>(K27)/1000</f>
        <v>0</v>
      </c>
      <c r="K27">
        <f>IF(DP27, AN27, AH27)</f>
        <v>0</v>
      </c>
      <c r="L27">
        <f>IF(DP27, AI27, AG27)</f>
        <v>0</v>
      </c>
      <c r="M27">
        <f>DR27 - IF(AU27&gt;1, L27*DL27*100.0/(AW27), 0)</f>
        <v>0</v>
      </c>
      <c r="N27">
        <f>((T27-J27/2)*M27-L27)/(T27+J27/2)</f>
        <v>0</v>
      </c>
      <c r="O27">
        <f>N27*(DY27+DZ27)/1000.0</f>
        <v>0</v>
      </c>
      <c r="P27">
        <f>(DR27 - IF(AU27&gt;1, L27*DL27*100.0/(AW27), 0))*(DY27+DZ27)/1000.0</f>
        <v>0</v>
      </c>
      <c r="Q27">
        <f>2.0/((1/S27-1/R27)+SIGN(S27)*SQRT((1/S27-1/R27)*(1/S27-1/R27) + 4*DM27/((DM27+1)*(DM27+1))*(2*1/S27*1/R27-1/R27*1/R27)))</f>
        <v>0</v>
      </c>
      <c r="R27">
        <f>IF(LEFT(DN27,1)&lt;&gt;"0",IF(LEFT(DN27,1)="1",3.0,DO27),$D$5+$E$5*(EF27*DY27/($K$5*1000))+$F$5*(EF27*DY27/($K$5*1000))*MAX(MIN(DL27,$J$5),$I$5)*MAX(MIN(DL27,$J$5),$I$5)+$G$5*MAX(MIN(DL27,$J$5),$I$5)*(EF27*DY27/($K$5*1000))+$H$5*(EF27*DY27/($K$5*1000))*(EF27*DY27/($K$5*1000)))</f>
        <v>0</v>
      </c>
      <c r="S27">
        <f>J27*(1000-(1000*0.61365*exp(17.502*W27/(240.97+W27))/(DY27+DZ27)+DT27)/2)/(1000*0.61365*exp(17.502*W27/(240.97+W27))/(DY27+DZ27)-DT27)</f>
        <v>0</v>
      </c>
      <c r="T27">
        <f>1/((DM27+1)/(Q27/1.6)+1/(R27/1.37)) + DM27/((DM27+1)/(Q27/1.6) + DM27/(R27/1.37))</f>
        <v>0</v>
      </c>
      <c r="U27">
        <f>(DH27*DK27)</f>
        <v>0</v>
      </c>
      <c r="V27">
        <f>(EA27+(U27+2*0.95*5.67E-8*(((EA27+$B$7)+273)^4-(EA27+273)^4)-44100*J27)/(1.84*29.3*R27+8*0.95*5.67E-8*(EA27+273)^3))</f>
        <v>0</v>
      </c>
      <c r="W27">
        <f>($C$7*EB27+$D$7*EC27+$E$7*V27)</f>
        <v>0</v>
      </c>
      <c r="X27">
        <f>0.61365*exp(17.502*W27/(240.97+W27))</f>
        <v>0</v>
      </c>
      <c r="Y27">
        <f>(Z27/AA27*100)</f>
        <v>0</v>
      </c>
      <c r="Z27">
        <f>DT27*(DY27+DZ27)/1000</f>
        <v>0</v>
      </c>
      <c r="AA27">
        <f>0.61365*exp(17.502*EA27/(240.97+EA27))</f>
        <v>0</v>
      </c>
      <c r="AB27">
        <f>(X27-DT27*(DY27+DZ27)/1000)</f>
        <v>0</v>
      </c>
      <c r="AC27">
        <f>(-J27*44100)</f>
        <v>0</v>
      </c>
      <c r="AD27">
        <f>2*29.3*R27*0.92*(EA27-W27)</f>
        <v>0</v>
      </c>
      <c r="AE27">
        <f>2*0.95*5.67E-8*(((EA27+$B$7)+273)^4-(W27+273)^4)</f>
        <v>0</v>
      </c>
      <c r="AF27">
        <f>U27+AE27+AC27+AD27</f>
        <v>0</v>
      </c>
      <c r="AG27">
        <f>DX27*AU27*(DS27-DR27*(1000-AU27*DU27)/(1000-AU27*DT27))/(100*DL27)</f>
        <v>0</v>
      </c>
      <c r="AH27">
        <f>1000*DX27*AU27*(DT27-DU27)/(100*DL27*(1000-AU27*DT27))</f>
        <v>0</v>
      </c>
      <c r="AI27">
        <f>(AJ27 - AK27 - DY27*1E3/(8.314*(EA27+273.15)) * AM27/DX27 * AL27) * DX27/(100*DL27) * (1000 - DU27)/1000</f>
        <v>0</v>
      </c>
      <c r="AJ27">
        <v>287.952383926468</v>
      </c>
      <c r="AK27">
        <v>295.007278787879</v>
      </c>
      <c r="AL27">
        <v>-3.2034869121115</v>
      </c>
      <c r="AM27">
        <v>64.8413469339502</v>
      </c>
      <c r="AN27">
        <f>(AP27 - AO27 + DY27*1E3/(8.314*(EA27+273.15)) * AR27/DX27 * AQ27) * DX27/(100*DL27) * 1000/(1000 - AP27)</f>
        <v>0</v>
      </c>
      <c r="AO27">
        <v>9.13479048865642</v>
      </c>
      <c r="AP27">
        <v>11.8085333333333</v>
      </c>
      <c r="AQ27">
        <v>-6.99620497388109e-06</v>
      </c>
      <c r="AR27">
        <v>118.472689631034</v>
      </c>
      <c r="AS27">
        <v>0</v>
      </c>
      <c r="AT27">
        <v>0</v>
      </c>
      <c r="AU27">
        <f>IF(AS27*$H$13&gt;=AW27,1.0,(AW27/(AW27-AS27*$H$13)))</f>
        <v>0</v>
      </c>
      <c r="AV27">
        <f>(AU27-1)*100</f>
        <v>0</v>
      </c>
      <c r="AW27">
        <f>MAX(0,($B$13+$C$13*EF27)/(1+$D$13*EF27)*DY27/(EA27+273)*$E$13)</f>
        <v>0</v>
      </c>
      <c r="AX27" t="s">
        <v>437</v>
      </c>
      <c r="AY27" t="s">
        <v>437</v>
      </c>
      <c r="AZ27">
        <v>0</v>
      </c>
      <c r="BA27">
        <v>0</v>
      </c>
      <c r="BB27">
        <f>1-AZ27/BA27</f>
        <v>0</v>
      </c>
      <c r="BC27">
        <v>0</v>
      </c>
      <c r="BD27" t="s">
        <v>437</v>
      </c>
      <c r="BE27" t="s">
        <v>437</v>
      </c>
      <c r="BF27">
        <v>0</v>
      </c>
      <c r="BG27">
        <v>0</v>
      </c>
      <c r="BH27">
        <f>1-BF27/BG27</f>
        <v>0</v>
      </c>
      <c r="BI27">
        <v>0.5</v>
      </c>
      <c r="BJ27">
        <f>DI27</f>
        <v>0</v>
      </c>
      <c r="BK27">
        <f>L27</f>
        <v>0</v>
      </c>
      <c r="BL27">
        <f>BH27*BI27*BJ27</f>
        <v>0</v>
      </c>
      <c r="BM27">
        <f>(BK27-BC27)/BJ27</f>
        <v>0</v>
      </c>
      <c r="BN27">
        <f>(BA27-BG27)/BG27</f>
        <v>0</v>
      </c>
      <c r="BO27">
        <f>AZ27/(BB27+AZ27/BG27)</f>
        <v>0</v>
      </c>
      <c r="BP27" t="s">
        <v>437</v>
      </c>
      <c r="BQ27">
        <v>0</v>
      </c>
      <c r="BR27">
        <f>IF(BQ27&lt;&gt;0, BQ27, BO27)</f>
        <v>0</v>
      </c>
      <c r="BS27">
        <f>1-BR27/BG27</f>
        <v>0</v>
      </c>
      <c r="BT27">
        <f>(BG27-BF27)/(BG27-BR27)</f>
        <v>0</v>
      </c>
      <c r="BU27">
        <f>(BA27-BG27)/(BA27-BR27)</f>
        <v>0</v>
      </c>
      <c r="BV27">
        <f>(BG27-BF27)/(BG27-AZ27)</f>
        <v>0</v>
      </c>
      <c r="BW27">
        <f>(BA27-BG27)/(BA27-AZ27)</f>
        <v>0</v>
      </c>
      <c r="BX27">
        <f>(BT27*BR27/BF27)</f>
        <v>0</v>
      </c>
      <c r="BY27">
        <f>(1-BX27)</f>
        <v>0</v>
      </c>
      <c r="DH27">
        <f>$B$11*EG27+$C$11*EH27+$F$11*ES27*(1-EV27)</f>
        <v>0</v>
      </c>
      <c r="DI27">
        <f>DH27*DJ27</f>
        <v>0</v>
      </c>
      <c r="DJ27">
        <f>($B$11*$D$9+$C$11*$D$9+$F$11*((FF27+EX27)/MAX(FF27+EX27+FG27, 0.1)*$I$9+FG27/MAX(FF27+EX27+FG27, 0.1)*$J$9))/($B$11+$C$11+$F$11)</f>
        <v>0</v>
      </c>
      <c r="DK27">
        <f>($B$11*$K$9+$C$11*$K$9+$F$11*((FF27+EX27)/MAX(FF27+EX27+FG27, 0.1)*$P$9+FG27/MAX(FF27+EX27+FG27, 0.1)*$Q$9))/($B$11+$C$11+$F$11)</f>
        <v>0</v>
      </c>
      <c r="DL27">
        <v>6</v>
      </c>
      <c r="DM27">
        <v>0.5</v>
      </c>
      <c r="DN27" t="s">
        <v>438</v>
      </c>
      <c r="DO27">
        <v>2</v>
      </c>
      <c r="DP27" t="b">
        <v>1</v>
      </c>
      <c r="DQ27">
        <v>1760989231.94615</v>
      </c>
      <c r="DR27">
        <v>314.580153846154</v>
      </c>
      <c r="DS27">
        <v>300.771230769231</v>
      </c>
      <c r="DT27">
        <v>11.8133153846154</v>
      </c>
      <c r="DU27">
        <v>9.13498923076923</v>
      </c>
      <c r="DV27">
        <v>312.110615384615</v>
      </c>
      <c r="DW27">
        <v>11.9245076923077</v>
      </c>
      <c r="DX27">
        <v>499.99</v>
      </c>
      <c r="DY27">
        <v>89.8795461538461</v>
      </c>
      <c r="DZ27">
        <v>0.00753408769230769</v>
      </c>
      <c r="EA27">
        <v>18.4501153846154</v>
      </c>
      <c r="EB27">
        <v>18.0169153846154</v>
      </c>
      <c r="EC27">
        <v>999.9</v>
      </c>
      <c r="ED27">
        <v>0</v>
      </c>
      <c r="EE27">
        <v>0</v>
      </c>
      <c r="EF27">
        <v>10009.4230769231</v>
      </c>
      <c r="EG27">
        <v>0</v>
      </c>
      <c r="EH27">
        <v>1270.02692307692</v>
      </c>
      <c r="EI27">
        <v>13.8089307692308</v>
      </c>
      <c r="EJ27">
        <v>318.340846153846</v>
      </c>
      <c r="EK27">
        <v>303.544230769231</v>
      </c>
      <c r="EL27">
        <v>2.67832692307692</v>
      </c>
      <c r="EM27">
        <v>300.771230769231</v>
      </c>
      <c r="EN27">
        <v>9.13498923076923</v>
      </c>
      <c r="EO27">
        <v>1.06177692307692</v>
      </c>
      <c r="EP27">
        <v>0.821048846153846</v>
      </c>
      <c r="EQ27">
        <v>7.79282153846154</v>
      </c>
      <c r="ER27">
        <v>4.07651307692308</v>
      </c>
      <c r="ES27">
        <v>1200.04846153846</v>
      </c>
      <c r="ET27">
        <v>0.967001384615385</v>
      </c>
      <c r="EU27">
        <v>0.0329986846153846</v>
      </c>
      <c r="EV27">
        <v>0</v>
      </c>
      <c r="EW27">
        <v>1382.45153846154</v>
      </c>
      <c r="EX27">
        <v>5.00059</v>
      </c>
      <c r="EY27">
        <v>16321.5307692308</v>
      </c>
      <c r="EZ27">
        <v>10359.1384615385</v>
      </c>
      <c r="FA27">
        <v>38.8843076923077</v>
      </c>
      <c r="FB27">
        <v>41.5766923076923</v>
      </c>
      <c r="FC27">
        <v>39.3986923076923</v>
      </c>
      <c r="FD27">
        <v>41.7257692307692</v>
      </c>
      <c r="FE27">
        <v>39.9084615384615</v>
      </c>
      <c r="FF27">
        <v>1155.61153846154</v>
      </c>
      <c r="FG27">
        <v>39.4361538461539</v>
      </c>
      <c r="FH27">
        <v>0</v>
      </c>
      <c r="FI27">
        <v>1760989209.1</v>
      </c>
      <c r="FJ27">
        <v>0</v>
      </c>
      <c r="FK27">
        <v>1382.57153846154</v>
      </c>
      <c r="FL27">
        <v>5.19316240877116</v>
      </c>
      <c r="FM27">
        <v>13.9794872426818</v>
      </c>
      <c r="FN27">
        <v>16321.7192307692</v>
      </c>
      <c r="FO27">
        <v>15</v>
      </c>
      <c r="FP27">
        <v>0</v>
      </c>
      <c r="FQ27" t="s">
        <v>439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13.672205</v>
      </c>
      <c r="GD27">
        <v>4.55384210526314</v>
      </c>
      <c r="GE27">
        <v>0.654980363427027</v>
      </c>
      <c r="GF27">
        <v>0</v>
      </c>
      <c r="GG27">
        <v>1382.36029411765</v>
      </c>
      <c r="GH27">
        <v>4.64919786956405</v>
      </c>
      <c r="GI27">
        <v>0.513124714195603</v>
      </c>
      <c r="GJ27">
        <v>-1</v>
      </c>
      <c r="GK27">
        <v>2.679032</v>
      </c>
      <c r="GL27">
        <v>-0.0205921804511301</v>
      </c>
      <c r="GM27">
        <v>0.0021615933937723</v>
      </c>
      <c r="GN27">
        <v>1</v>
      </c>
      <c r="GO27">
        <v>1</v>
      </c>
      <c r="GP27">
        <v>2</v>
      </c>
      <c r="GQ27" t="s">
        <v>446</v>
      </c>
      <c r="GR27">
        <v>3.13063</v>
      </c>
      <c r="GS27">
        <v>2.68542</v>
      </c>
      <c r="GT27">
        <v>0.0663838</v>
      </c>
      <c r="GU27">
        <v>0.0640653</v>
      </c>
      <c r="GV27">
        <v>0.0617012</v>
      </c>
      <c r="GW27">
        <v>0.0504242</v>
      </c>
      <c r="GX27">
        <v>35384.1</v>
      </c>
      <c r="GY27">
        <v>38114.6</v>
      </c>
      <c r="GZ27">
        <v>34267.6</v>
      </c>
      <c r="HA27">
        <v>36849.1</v>
      </c>
      <c r="HB27">
        <v>45350.1</v>
      </c>
      <c r="HC27">
        <v>50170.2</v>
      </c>
      <c r="HD27">
        <v>53341.7</v>
      </c>
      <c r="HE27">
        <v>58774.9</v>
      </c>
      <c r="HF27">
        <v>2.00815</v>
      </c>
      <c r="HG27">
        <v>1.83685</v>
      </c>
      <c r="HH27">
        <v>0.033237</v>
      </c>
      <c r="HI27">
        <v>0</v>
      </c>
      <c r="HJ27">
        <v>17.4606</v>
      </c>
      <c r="HK27">
        <v>999.9</v>
      </c>
      <c r="HL27">
        <v>25.98</v>
      </c>
      <c r="HM27">
        <v>30.273</v>
      </c>
      <c r="HN27">
        <v>12.5098</v>
      </c>
      <c r="HO27">
        <v>54.3392</v>
      </c>
      <c r="HP27">
        <v>44.2588</v>
      </c>
      <c r="HQ27">
        <v>1</v>
      </c>
      <c r="HR27">
        <v>-0.268836</v>
      </c>
      <c r="HS27">
        <v>4.14431</v>
      </c>
      <c r="HT27">
        <v>20.0878</v>
      </c>
      <c r="HU27">
        <v>5.20157</v>
      </c>
      <c r="HV27">
        <v>12.004</v>
      </c>
      <c r="HW27">
        <v>4.9758</v>
      </c>
      <c r="HX27">
        <v>3.29303</v>
      </c>
      <c r="HY27">
        <v>9999</v>
      </c>
      <c r="HZ27">
        <v>999.9</v>
      </c>
      <c r="IA27">
        <v>9999</v>
      </c>
      <c r="IB27">
        <v>9999</v>
      </c>
      <c r="IC27">
        <v>1.86321</v>
      </c>
      <c r="ID27">
        <v>1.86803</v>
      </c>
      <c r="IE27">
        <v>1.86783</v>
      </c>
      <c r="IF27">
        <v>1.86904</v>
      </c>
      <c r="IG27">
        <v>1.86981</v>
      </c>
      <c r="IH27">
        <v>1.86584</v>
      </c>
      <c r="II27">
        <v>1.86694</v>
      </c>
      <c r="IJ27">
        <v>1.86841</v>
      </c>
      <c r="IK27">
        <v>5</v>
      </c>
      <c r="IL27">
        <v>0</v>
      </c>
      <c r="IM27">
        <v>0</v>
      </c>
      <c r="IN27">
        <v>0</v>
      </c>
      <c r="IO27" t="s">
        <v>441</v>
      </c>
      <c r="IP27" t="s">
        <v>442</v>
      </c>
      <c r="IQ27" t="s">
        <v>443</v>
      </c>
      <c r="IR27" t="s">
        <v>443</v>
      </c>
      <c r="IS27" t="s">
        <v>443</v>
      </c>
      <c r="IT27" t="s">
        <v>443</v>
      </c>
      <c r="IU27">
        <v>0</v>
      </c>
      <c r="IV27">
        <v>100</v>
      </c>
      <c r="IW27">
        <v>100</v>
      </c>
      <c r="IX27">
        <v>2.363</v>
      </c>
      <c r="IY27">
        <v>-0.1112</v>
      </c>
      <c r="IZ27">
        <v>1.12474291219083</v>
      </c>
      <c r="JA27">
        <v>0.00463155566490582</v>
      </c>
      <c r="JB27">
        <v>-1.1358998729424e-06</v>
      </c>
      <c r="JC27">
        <v>3.28704272115545e-10</v>
      </c>
      <c r="JD27">
        <v>-0.0704455108513773</v>
      </c>
      <c r="JE27">
        <v>-0.0251928478371425</v>
      </c>
      <c r="JF27">
        <v>0.00225751704194564</v>
      </c>
      <c r="JG27">
        <v>-3.61734043746866e-05</v>
      </c>
      <c r="JH27">
        <v>1</v>
      </c>
      <c r="JI27">
        <v>2182</v>
      </c>
      <c r="JJ27">
        <v>0</v>
      </c>
      <c r="JK27">
        <v>24</v>
      </c>
      <c r="JL27">
        <v>29349820.7</v>
      </c>
      <c r="JM27">
        <v>29349820.7</v>
      </c>
      <c r="JN27">
        <v>0.687256</v>
      </c>
      <c r="JO27">
        <v>2.64038</v>
      </c>
      <c r="JP27">
        <v>1.54785</v>
      </c>
      <c r="JQ27">
        <v>2.31445</v>
      </c>
      <c r="JR27">
        <v>1.64673</v>
      </c>
      <c r="JS27">
        <v>2.34375</v>
      </c>
      <c r="JT27">
        <v>33.4906</v>
      </c>
      <c r="JU27">
        <v>24.1838</v>
      </c>
      <c r="JV27">
        <v>18</v>
      </c>
      <c r="JW27">
        <v>500.286</v>
      </c>
      <c r="JX27">
        <v>394.019</v>
      </c>
      <c r="JY27">
        <v>12.2081</v>
      </c>
      <c r="JZ27">
        <v>23.9008</v>
      </c>
      <c r="KA27">
        <v>30.0001</v>
      </c>
      <c r="KB27">
        <v>23.923</v>
      </c>
      <c r="KC27">
        <v>23.8952</v>
      </c>
      <c r="KD27">
        <v>13.7382</v>
      </c>
      <c r="KE27">
        <v>0</v>
      </c>
      <c r="KF27">
        <v>23.7343</v>
      </c>
      <c r="KG27">
        <v>12.1988</v>
      </c>
      <c r="KH27">
        <v>251.286</v>
      </c>
      <c r="KI27">
        <v>9.33051</v>
      </c>
      <c r="KJ27">
        <v>97.0461</v>
      </c>
      <c r="KK27">
        <v>95.3019</v>
      </c>
    </row>
    <row r="28" spans="1:297">
      <c r="A28">
        <v>12</v>
      </c>
      <c r="B28">
        <v>1760989245.1</v>
      </c>
      <c r="C28">
        <v>55</v>
      </c>
      <c r="D28" t="s">
        <v>465</v>
      </c>
      <c r="E28" t="s">
        <v>466</v>
      </c>
      <c r="F28">
        <v>5</v>
      </c>
      <c r="G28" t="s">
        <v>435</v>
      </c>
      <c r="H28" t="s">
        <v>436</v>
      </c>
      <c r="I28">
        <v>1760989236.94615</v>
      </c>
      <c r="J28">
        <f>(K28)/1000</f>
        <v>0</v>
      </c>
      <c r="K28">
        <f>IF(DP28, AN28, AH28)</f>
        <v>0</v>
      </c>
      <c r="L28">
        <f>IF(DP28, AI28, AG28)</f>
        <v>0</v>
      </c>
      <c r="M28">
        <f>DR28 - IF(AU28&gt;1, L28*DL28*100.0/(AW28), 0)</f>
        <v>0</v>
      </c>
      <c r="N28">
        <f>((T28-J28/2)*M28-L28)/(T28+J28/2)</f>
        <v>0</v>
      </c>
      <c r="O28">
        <f>N28*(DY28+DZ28)/1000.0</f>
        <v>0</v>
      </c>
      <c r="P28">
        <f>(DR28 - IF(AU28&gt;1, L28*DL28*100.0/(AW28), 0))*(DY28+DZ28)/1000.0</f>
        <v>0</v>
      </c>
      <c r="Q28">
        <f>2.0/((1/S28-1/R28)+SIGN(S28)*SQRT((1/S28-1/R28)*(1/S28-1/R28) + 4*DM28/((DM28+1)*(DM28+1))*(2*1/S28*1/R28-1/R28*1/R28)))</f>
        <v>0</v>
      </c>
      <c r="R28">
        <f>IF(LEFT(DN28,1)&lt;&gt;"0",IF(LEFT(DN28,1)="1",3.0,DO28),$D$5+$E$5*(EF28*DY28/($K$5*1000))+$F$5*(EF28*DY28/($K$5*1000))*MAX(MIN(DL28,$J$5),$I$5)*MAX(MIN(DL28,$J$5),$I$5)+$G$5*MAX(MIN(DL28,$J$5),$I$5)*(EF28*DY28/($K$5*1000))+$H$5*(EF28*DY28/($K$5*1000))*(EF28*DY28/($K$5*1000)))</f>
        <v>0</v>
      </c>
      <c r="S28">
        <f>J28*(1000-(1000*0.61365*exp(17.502*W28/(240.97+W28))/(DY28+DZ28)+DT28)/2)/(1000*0.61365*exp(17.502*W28/(240.97+W28))/(DY28+DZ28)-DT28)</f>
        <v>0</v>
      </c>
      <c r="T28">
        <f>1/((DM28+1)/(Q28/1.6)+1/(R28/1.37)) + DM28/((DM28+1)/(Q28/1.6) + DM28/(R28/1.37))</f>
        <v>0</v>
      </c>
      <c r="U28">
        <f>(DH28*DK28)</f>
        <v>0</v>
      </c>
      <c r="V28">
        <f>(EA28+(U28+2*0.95*5.67E-8*(((EA28+$B$7)+273)^4-(EA28+273)^4)-44100*J28)/(1.84*29.3*R28+8*0.95*5.67E-8*(EA28+273)^3))</f>
        <v>0</v>
      </c>
      <c r="W28">
        <f>($C$7*EB28+$D$7*EC28+$E$7*V28)</f>
        <v>0</v>
      </c>
      <c r="X28">
        <f>0.61365*exp(17.502*W28/(240.97+W28))</f>
        <v>0</v>
      </c>
      <c r="Y28">
        <f>(Z28/AA28*100)</f>
        <v>0</v>
      </c>
      <c r="Z28">
        <f>DT28*(DY28+DZ28)/1000</f>
        <v>0</v>
      </c>
      <c r="AA28">
        <f>0.61365*exp(17.502*EA28/(240.97+EA28))</f>
        <v>0</v>
      </c>
      <c r="AB28">
        <f>(X28-DT28*(DY28+DZ28)/1000)</f>
        <v>0</v>
      </c>
      <c r="AC28">
        <f>(-J28*44100)</f>
        <v>0</v>
      </c>
      <c r="AD28">
        <f>2*29.3*R28*0.92*(EA28-W28)</f>
        <v>0</v>
      </c>
      <c r="AE28">
        <f>2*0.95*5.67E-8*(((EA28+$B$7)+273)^4-(W28+273)^4)</f>
        <v>0</v>
      </c>
      <c r="AF28">
        <f>U28+AE28+AC28+AD28</f>
        <v>0</v>
      </c>
      <c r="AG28">
        <f>DX28*AU28*(DS28-DR28*(1000-AU28*DU28)/(1000-AU28*DT28))/(100*DL28)</f>
        <v>0</v>
      </c>
      <c r="AH28">
        <f>1000*DX28*AU28*(DT28-DU28)/(100*DL28*(1000-AU28*DT28))</f>
        <v>0</v>
      </c>
      <c r="AI28">
        <f>(AJ28 - AK28 - DY28*1E3/(8.314*(EA28+273.15)) * AM28/DX28 * AL28) * DX28/(100*DL28) * (1000 - DU28)/1000</f>
        <v>0</v>
      </c>
      <c r="AJ28">
        <v>270.414942263211</v>
      </c>
      <c r="AK28">
        <v>278.26923030303</v>
      </c>
      <c r="AL28">
        <v>-3.35578458259481</v>
      </c>
      <c r="AM28">
        <v>64.8413469339502</v>
      </c>
      <c r="AN28">
        <f>(AP28 - AO28 + DY28*1E3/(8.314*(EA28+273.15)) * AR28/DX28 * AQ28) * DX28/(100*DL28) * 1000/(1000 - AP28)</f>
        <v>0</v>
      </c>
      <c r="AO28">
        <v>9.13454556255005</v>
      </c>
      <c r="AP28">
        <v>11.8089563636364</v>
      </c>
      <c r="AQ28">
        <v>8.46087219526651e-07</v>
      </c>
      <c r="AR28">
        <v>118.472689631034</v>
      </c>
      <c r="AS28">
        <v>0</v>
      </c>
      <c r="AT28">
        <v>0</v>
      </c>
      <c r="AU28">
        <f>IF(AS28*$H$13&gt;=AW28,1.0,(AW28/(AW28-AS28*$H$13)))</f>
        <v>0</v>
      </c>
      <c r="AV28">
        <f>(AU28-1)*100</f>
        <v>0</v>
      </c>
      <c r="AW28">
        <f>MAX(0,($B$13+$C$13*EF28)/(1+$D$13*EF28)*DY28/(EA28+273)*$E$13)</f>
        <v>0</v>
      </c>
      <c r="AX28" t="s">
        <v>437</v>
      </c>
      <c r="AY28" t="s">
        <v>437</v>
      </c>
      <c r="AZ28">
        <v>0</v>
      </c>
      <c r="BA28">
        <v>0</v>
      </c>
      <c r="BB28">
        <f>1-AZ28/BA28</f>
        <v>0</v>
      </c>
      <c r="BC28">
        <v>0</v>
      </c>
      <c r="BD28" t="s">
        <v>437</v>
      </c>
      <c r="BE28" t="s">
        <v>437</v>
      </c>
      <c r="BF28">
        <v>0</v>
      </c>
      <c r="BG28">
        <v>0</v>
      </c>
      <c r="BH28">
        <f>1-BF28/BG28</f>
        <v>0</v>
      </c>
      <c r="BI28">
        <v>0.5</v>
      </c>
      <c r="BJ28">
        <f>DI28</f>
        <v>0</v>
      </c>
      <c r="BK28">
        <f>L28</f>
        <v>0</v>
      </c>
      <c r="BL28">
        <f>BH28*BI28*BJ28</f>
        <v>0</v>
      </c>
      <c r="BM28">
        <f>(BK28-BC28)/BJ28</f>
        <v>0</v>
      </c>
      <c r="BN28">
        <f>(BA28-BG28)/BG28</f>
        <v>0</v>
      </c>
      <c r="BO28">
        <f>AZ28/(BB28+AZ28/BG28)</f>
        <v>0</v>
      </c>
      <c r="BP28" t="s">
        <v>437</v>
      </c>
      <c r="BQ28">
        <v>0</v>
      </c>
      <c r="BR28">
        <f>IF(BQ28&lt;&gt;0, BQ28, BO28)</f>
        <v>0</v>
      </c>
      <c r="BS28">
        <f>1-BR28/BG28</f>
        <v>0</v>
      </c>
      <c r="BT28">
        <f>(BG28-BF28)/(BG28-BR28)</f>
        <v>0</v>
      </c>
      <c r="BU28">
        <f>(BA28-BG28)/(BA28-BR28)</f>
        <v>0</v>
      </c>
      <c r="BV28">
        <f>(BG28-BF28)/(BG28-AZ28)</f>
        <v>0</v>
      </c>
      <c r="BW28">
        <f>(BA28-BG28)/(BA28-AZ28)</f>
        <v>0</v>
      </c>
      <c r="BX28">
        <f>(BT28*BR28/BF28)</f>
        <v>0</v>
      </c>
      <c r="BY28">
        <f>(1-BX28)</f>
        <v>0</v>
      </c>
      <c r="DH28">
        <f>$B$11*EG28+$C$11*EH28+$F$11*ES28*(1-EV28)</f>
        <v>0</v>
      </c>
      <c r="DI28">
        <f>DH28*DJ28</f>
        <v>0</v>
      </c>
      <c r="DJ28">
        <f>($B$11*$D$9+$C$11*$D$9+$F$11*((FF28+EX28)/MAX(FF28+EX28+FG28, 0.1)*$I$9+FG28/MAX(FF28+EX28+FG28, 0.1)*$J$9))/($B$11+$C$11+$F$11)</f>
        <v>0</v>
      </c>
      <c r="DK28">
        <f>($B$11*$K$9+$C$11*$K$9+$F$11*((FF28+EX28)/MAX(FF28+EX28+FG28, 0.1)*$P$9+FG28/MAX(FF28+EX28+FG28, 0.1)*$Q$9))/($B$11+$C$11+$F$11)</f>
        <v>0</v>
      </c>
      <c r="DL28">
        <v>6</v>
      </c>
      <c r="DM28">
        <v>0.5</v>
      </c>
      <c r="DN28" t="s">
        <v>438</v>
      </c>
      <c r="DO28">
        <v>2</v>
      </c>
      <c r="DP28" t="b">
        <v>1</v>
      </c>
      <c r="DQ28">
        <v>1760989236.94615</v>
      </c>
      <c r="DR28">
        <v>298.354923076923</v>
      </c>
      <c r="DS28">
        <v>283.842076923077</v>
      </c>
      <c r="DT28">
        <v>11.8112307692308</v>
      </c>
      <c r="DU28">
        <v>9.13484538461539</v>
      </c>
      <c r="DV28">
        <v>295.950692307692</v>
      </c>
      <c r="DW28">
        <v>11.9224538461538</v>
      </c>
      <c r="DX28">
        <v>499.997615384615</v>
      </c>
      <c r="DY28">
        <v>89.8800846153846</v>
      </c>
      <c r="DZ28">
        <v>0.00756212461538462</v>
      </c>
      <c r="EA28">
        <v>18.4508769230769</v>
      </c>
      <c r="EB28">
        <v>18.0122769230769</v>
      </c>
      <c r="EC28">
        <v>999.9</v>
      </c>
      <c r="ED28">
        <v>0</v>
      </c>
      <c r="EE28">
        <v>0</v>
      </c>
      <c r="EF28">
        <v>9996.16153846154</v>
      </c>
      <c r="EG28">
        <v>0</v>
      </c>
      <c r="EH28">
        <v>1270.01461538462</v>
      </c>
      <c r="EI28">
        <v>14.5129307692308</v>
      </c>
      <c r="EJ28">
        <v>301.920923076923</v>
      </c>
      <c r="EK28">
        <v>286.458769230769</v>
      </c>
      <c r="EL28">
        <v>2.67638923076923</v>
      </c>
      <c r="EM28">
        <v>283.842076923077</v>
      </c>
      <c r="EN28">
        <v>9.13484538461539</v>
      </c>
      <c r="EO28">
        <v>1.06159461538462</v>
      </c>
      <c r="EP28">
        <v>0.821040846153846</v>
      </c>
      <c r="EQ28">
        <v>7.79032230769231</v>
      </c>
      <c r="ER28">
        <v>4.07637538461539</v>
      </c>
      <c r="ES28">
        <v>1200.05769230769</v>
      </c>
      <c r="ET28">
        <v>0.967003230769231</v>
      </c>
      <c r="EU28">
        <v>0.0329965923076923</v>
      </c>
      <c r="EV28">
        <v>0</v>
      </c>
      <c r="EW28">
        <v>1382.84</v>
      </c>
      <c r="EX28">
        <v>5.00059</v>
      </c>
      <c r="EY28">
        <v>16322.9461538462</v>
      </c>
      <c r="EZ28">
        <v>10359.2230769231</v>
      </c>
      <c r="FA28">
        <v>38.8315384615385</v>
      </c>
      <c r="FB28">
        <v>41.394</v>
      </c>
      <c r="FC28">
        <v>39.3314615384615</v>
      </c>
      <c r="FD28">
        <v>41.471</v>
      </c>
      <c r="FE28">
        <v>39.8073846153846</v>
      </c>
      <c r="FF28">
        <v>1155.62384615385</v>
      </c>
      <c r="FG28">
        <v>39.4330769230769</v>
      </c>
      <c r="FH28">
        <v>0</v>
      </c>
      <c r="FI28">
        <v>1760989214.5</v>
      </c>
      <c r="FJ28">
        <v>0</v>
      </c>
      <c r="FK28">
        <v>1383.0928</v>
      </c>
      <c r="FL28">
        <v>5.55846155300763</v>
      </c>
      <c r="FM28">
        <v>14.3153846400059</v>
      </c>
      <c r="FN28">
        <v>16323.084</v>
      </c>
      <c r="FO28">
        <v>15</v>
      </c>
      <c r="FP28">
        <v>0</v>
      </c>
      <c r="FQ28" t="s">
        <v>439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14.1152476190476</v>
      </c>
      <c r="GD28">
        <v>6.97545974025977</v>
      </c>
      <c r="GE28">
        <v>0.851696118744712</v>
      </c>
      <c r="GF28">
        <v>0</v>
      </c>
      <c r="GG28">
        <v>1382.74235294118</v>
      </c>
      <c r="GH28">
        <v>5.15141329939995</v>
      </c>
      <c r="GI28">
        <v>0.556412134723722</v>
      </c>
      <c r="GJ28">
        <v>-1</v>
      </c>
      <c r="GK28">
        <v>2.6775080952381</v>
      </c>
      <c r="GL28">
        <v>-0.0252311688311634</v>
      </c>
      <c r="GM28">
        <v>0.00265066679669858</v>
      </c>
      <c r="GN28">
        <v>1</v>
      </c>
      <c r="GO28">
        <v>1</v>
      </c>
      <c r="GP28">
        <v>2</v>
      </c>
      <c r="GQ28" t="s">
        <v>446</v>
      </c>
      <c r="GR28">
        <v>3.13069</v>
      </c>
      <c r="GS28">
        <v>2.68554</v>
      </c>
      <c r="GT28">
        <v>0.0631935</v>
      </c>
      <c r="GU28">
        <v>0.0608576</v>
      </c>
      <c r="GV28">
        <v>0.0616987</v>
      </c>
      <c r="GW28">
        <v>0.0504232</v>
      </c>
      <c r="GX28">
        <v>35505</v>
      </c>
      <c r="GY28">
        <v>38244.9</v>
      </c>
      <c r="GZ28">
        <v>34267.6</v>
      </c>
      <c r="HA28">
        <v>36848.8</v>
      </c>
      <c r="HB28">
        <v>45349.8</v>
      </c>
      <c r="HC28">
        <v>50169.6</v>
      </c>
      <c r="HD28">
        <v>53341.6</v>
      </c>
      <c r="HE28">
        <v>58774.7</v>
      </c>
      <c r="HF28">
        <v>2.00863</v>
      </c>
      <c r="HG28">
        <v>1.8364</v>
      </c>
      <c r="HH28">
        <v>0.0327826</v>
      </c>
      <c r="HI28">
        <v>0</v>
      </c>
      <c r="HJ28">
        <v>17.4599</v>
      </c>
      <c r="HK28">
        <v>999.9</v>
      </c>
      <c r="HL28">
        <v>25.98</v>
      </c>
      <c r="HM28">
        <v>30.273</v>
      </c>
      <c r="HN28">
        <v>12.5092</v>
      </c>
      <c r="HO28">
        <v>54.6492</v>
      </c>
      <c r="HP28">
        <v>44.3029</v>
      </c>
      <c r="HQ28">
        <v>1</v>
      </c>
      <c r="HR28">
        <v>-0.268875</v>
      </c>
      <c r="HS28">
        <v>4.12836</v>
      </c>
      <c r="HT28">
        <v>20.0881</v>
      </c>
      <c r="HU28">
        <v>5.20142</v>
      </c>
      <c r="HV28">
        <v>12.004</v>
      </c>
      <c r="HW28">
        <v>4.97565</v>
      </c>
      <c r="HX28">
        <v>3.293</v>
      </c>
      <c r="HY28">
        <v>9999</v>
      </c>
      <c r="HZ28">
        <v>999.9</v>
      </c>
      <c r="IA28">
        <v>9999</v>
      </c>
      <c r="IB28">
        <v>9999</v>
      </c>
      <c r="IC28">
        <v>1.86323</v>
      </c>
      <c r="ID28">
        <v>1.86805</v>
      </c>
      <c r="IE28">
        <v>1.86783</v>
      </c>
      <c r="IF28">
        <v>1.86903</v>
      </c>
      <c r="IG28">
        <v>1.86981</v>
      </c>
      <c r="IH28">
        <v>1.86584</v>
      </c>
      <c r="II28">
        <v>1.86695</v>
      </c>
      <c r="IJ28">
        <v>1.86837</v>
      </c>
      <c r="IK28">
        <v>5</v>
      </c>
      <c r="IL28">
        <v>0</v>
      </c>
      <c r="IM28">
        <v>0</v>
      </c>
      <c r="IN28">
        <v>0</v>
      </c>
      <c r="IO28" t="s">
        <v>441</v>
      </c>
      <c r="IP28" t="s">
        <v>442</v>
      </c>
      <c r="IQ28" t="s">
        <v>443</v>
      </c>
      <c r="IR28" t="s">
        <v>443</v>
      </c>
      <c r="IS28" t="s">
        <v>443</v>
      </c>
      <c r="IT28" t="s">
        <v>443</v>
      </c>
      <c r="IU28">
        <v>0</v>
      </c>
      <c r="IV28">
        <v>100</v>
      </c>
      <c r="IW28">
        <v>100</v>
      </c>
      <c r="IX28">
        <v>2.296</v>
      </c>
      <c r="IY28">
        <v>-0.1112</v>
      </c>
      <c r="IZ28">
        <v>1.12474291219083</v>
      </c>
      <c r="JA28">
        <v>0.00463155566490582</v>
      </c>
      <c r="JB28">
        <v>-1.1358998729424e-06</v>
      </c>
      <c r="JC28">
        <v>3.28704272115545e-10</v>
      </c>
      <c r="JD28">
        <v>-0.0704455108513773</v>
      </c>
      <c r="JE28">
        <v>-0.0251928478371425</v>
      </c>
      <c r="JF28">
        <v>0.00225751704194564</v>
      </c>
      <c r="JG28">
        <v>-3.61734043746866e-05</v>
      </c>
      <c r="JH28">
        <v>1</v>
      </c>
      <c r="JI28">
        <v>2182</v>
      </c>
      <c r="JJ28">
        <v>0</v>
      </c>
      <c r="JK28">
        <v>24</v>
      </c>
      <c r="JL28">
        <v>29349820.8</v>
      </c>
      <c r="JM28">
        <v>29349820.8</v>
      </c>
      <c r="JN28">
        <v>0.656738</v>
      </c>
      <c r="JO28">
        <v>2.64282</v>
      </c>
      <c r="JP28">
        <v>1.54785</v>
      </c>
      <c r="JQ28">
        <v>2.31445</v>
      </c>
      <c r="JR28">
        <v>1.64673</v>
      </c>
      <c r="JS28">
        <v>2.31567</v>
      </c>
      <c r="JT28">
        <v>33.4906</v>
      </c>
      <c r="JU28">
        <v>24.1838</v>
      </c>
      <c r="JV28">
        <v>18</v>
      </c>
      <c r="JW28">
        <v>500.59</v>
      </c>
      <c r="JX28">
        <v>393.782</v>
      </c>
      <c r="JY28">
        <v>12.1908</v>
      </c>
      <c r="JZ28">
        <v>23.9008</v>
      </c>
      <c r="KA28">
        <v>30.0002</v>
      </c>
      <c r="KB28">
        <v>23.923</v>
      </c>
      <c r="KC28">
        <v>23.8952</v>
      </c>
      <c r="KD28">
        <v>13.045</v>
      </c>
      <c r="KE28">
        <v>0</v>
      </c>
      <c r="KF28">
        <v>23.7343</v>
      </c>
      <c r="KG28">
        <v>12.1889</v>
      </c>
      <c r="KH28">
        <v>231.013</v>
      </c>
      <c r="KI28">
        <v>9.33051</v>
      </c>
      <c r="KJ28">
        <v>97.0459</v>
      </c>
      <c r="KK28">
        <v>95.3014</v>
      </c>
    </row>
    <row r="29" spans="1:297">
      <c r="A29">
        <v>13</v>
      </c>
      <c r="B29">
        <v>1760989250.1</v>
      </c>
      <c r="C29">
        <v>60</v>
      </c>
      <c r="D29" t="s">
        <v>467</v>
      </c>
      <c r="E29" t="s">
        <v>468</v>
      </c>
      <c r="F29">
        <v>5</v>
      </c>
      <c r="G29" t="s">
        <v>435</v>
      </c>
      <c r="H29" t="s">
        <v>436</v>
      </c>
      <c r="I29">
        <v>1760989241.94615</v>
      </c>
      <c r="J29">
        <f>(K29)/1000</f>
        <v>0</v>
      </c>
      <c r="K29">
        <f>IF(DP29, AN29, AH29)</f>
        <v>0</v>
      </c>
      <c r="L29">
        <f>IF(DP29, AI29, AG29)</f>
        <v>0</v>
      </c>
      <c r="M29">
        <f>DR29 - IF(AU29&gt;1, L29*DL29*100.0/(AW29), 0)</f>
        <v>0</v>
      </c>
      <c r="N29">
        <f>((T29-J29/2)*M29-L29)/(T29+J29/2)</f>
        <v>0</v>
      </c>
      <c r="O29">
        <f>N29*(DY29+DZ29)/1000.0</f>
        <v>0</v>
      </c>
      <c r="P29">
        <f>(DR29 - IF(AU29&gt;1, L29*DL29*100.0/(AW29), 0))*(DY29+DZ29)/1000.0</f>
        <v>0</v>
      </c>
      <c r="Q29">
        <f>2.0/((1/S29-1/R29)+SIGN(S29)*SQRT((1/S29-1/R29)*(1/S29-1/R29) + 4*DM29/((DM29+1)*(DM29+1))*(2*1/S29*1/R29-1/R29*1/R29)))</f>
        <v>0</v>
      </c>
      <c r="R29">
        <f>IF(LEFT(DN29,1)&lt;&gt;"0",IF(LEFT(DN29,1)="1",3.0,DO29),$D$5+$E$5*(EF29*DY29/($K$5*1000))+$F$5*(EF29*DY29/($K$5*1000))*MAX(MIN(DL29,$J$5),$I$5)*MAX(MIN(DL29,$J$5),$I$5)+$G$5*MAX(MIN(DL29,$J$5),$I$5)*(EF29*DY29/($K$5*1000))+$H$5*(EF29*DY29/($K$5*1000))*(EF29*DY29/($K$5*1000)))</f>
        <v>0</v>
      </c>
      <c r="S29">
        <f>J29*(1000-(1000*0.61365*exp(17.502*W29/(240.97+W29))/(DY29+DZ29)+DT29)/2)/(1000*0.61365*exp(17.502*W29/(240.97+W29))/(DY29+DZ29)-DT29)</f>
        <v>0</v>
      </c>
      <c r="T29">
        <f>1/((DM29+1)/(Q29/1.6)+1/(R29/1.37)) + DM29/((DM29+1)/(Q29/1.6) + DM29/(R29/1.37))</f>
        <v>0</v>
      </c>
      <c r="U29">
        <f>(DH29*DK29)</f>
        <v>0</v>
      </c>
      <c r="V29">
        <f>(EA29+(U29+2*0.95*5.67E-8*(((EA29+$B$7)+273)^4-(EA29+273)^4)-44100*J29)/(1.84*29.3*R29+8*0.95*5.67E-8*(EA29+273)^3))</f>
        <v>0</v>
      </c>
      <c r="W29">
        <f>($C$7*EB29+$D$7*EC29+$E$7*V29)</f>
        <v>0</v>
      </c>
      <c r="X29">
        <f>0.61365*exp(17.502*W29/(240.97+W29))</f>
        <v>0</v>
      </c>
      <c r="Y29">
        <f>(Z29/AA29*100)</f>
        <v>0</v>
      </c>
      <c r="Z29">
        <f>DT29*(DY29+DZ29)/1000</f>
        <v>0</v>
      </c>
      <c r="AA29">
        <f>0.61365*exp(17.502*EA29/(240.97+EA29))</f>
        <v>0</v>
      </c>
      <c r="AB29">
        <f>(X29-DT29*(DY29+DZ29)/1000)</f>
        <v>0</v>
      </c>
      <c r="AC29">
        <f>(-J29*44100)</f>
        <v>0</v>
      </c>
      <c r="AD29">
        <f>2*29.3*R29*0.92*(EA29-W29)</f>
        <v>0</v>
      </c>
      <c r="AE29">
        <f>2*0.95*5.67E-8*(((EA29+$B$7)+273)^4-(W29+273)^4)</f>
        <v>0</v>
      </c>
      <c r="AF29">
        <f>U29+AE29+AC29+AD29</f>
        <v>0</v>
      </c>
      <c r="AG29">
        <f>DX29*AU29*(DS29-DR29*(1000-AU29*DU29)/(1000-AU29*DT29))/(100*DL29)</f>
        <v>0</v>
      </c>
      <c r="AH29">
        <f>1000*DX29*AU29*(DT29-DU29)/(100*DL29*(1000-AU29*DT29))</f>
        <v>0</v>
      </c>
      <c r="AI29">
        <f>(AJ29 - AK29 - DY29*1E3/(8.314*(EA29+273.15)) * AM29/DX29 * AL29) * DX29/(100*DL29) * (1000 - DU29)/1000</f>
        <v>0</v>
      </c>
      <c r="AJ29">
        <v>254.198575725871</v>
      </c>
      <c r="AK29">
        <v>262.062739393939</v>
      </c>
      <c r="AL29">
        <v>-3.23136821163729</v>
      </c>
      <c r="AM29">
        <v>64.8413469339502</v>
      </c>
      <c r="AN29">
        <f>(AP29 - AO29 + DY29*1E3/(8.314*(EA29+273.15)) * AR29/DX29 * AQ29) * DX29/(100*DL29) * 1000/(1000 - AP29)</f>
        <v>0</v>
      </c>
      <c r="AO29">
        <v>9.1336503691497</v>
      </c>
      <c r="AP29">
        <v>11.8056721212121</v>
      </c>
      <c r="AQ29">
        <v>-3.92754916463115e-06</v>
      </c>
      <c r="AR29">
        <v>118.472689631034</v>
      </c>
      <c r="AS29">
        <v>0</v>
      </c>
      <c r="AT29">
        <v>0</v>
      </c>
      <c r="AU29">
        <f>IF(AS29*$H$13&gt;=AW29,1.0,(AW29/(AW29-AS29*$H$13)))</f>
        <v>0</v>
      </c>
      <c r="AV29">
        <f>(AU29-1)*100</f>
        <v>0</v>
      </c>
      <c r="AW29">
        <f>MAX(0,($B$13+$C$13*EF29)/(1+$D$13*EF29)*DY29/(EA29+273)*$E$13)</f>
        <v>0</v>
      </c>
      <c r="AX29" t="s">
        <v>437</v>
      </c>
      <c r="AY29" t="s">
        <v>437</v>
      </c>
      <c r="AZ29">
        <v>0</v>
      </c>
      <c r="BA29">
        <v>0</v>
      </c>
      <c r="BB29">
        <f>1-AZ29/BA29</f>
        <v>0</v>
      </c>
      <c r="BC29">
        <v>0</v>
      </c>
      <c r="BD29" t="s">
        <v>437</v>
      </c>
      <c r="BE29" t="s">
        <v>437</v>
      </c>
      <c r="BF29">
        <v>0</v>
      </c>
      <c r="BG29">
        <v>0</v>
      </c>
      <c r="BH29">
        <f>1-BF29/BG29</f>
        <v>0</v>
      </c>
      <c r="BI29">
        <v>0.5</v>
      </c>
      <c r="BJ29">
        <f>DI29</f>
        <v>0</v>
      </c>
      <c r="BK29">
        <f>L29</f>
        <v>0</v>
      </c>
      <c r="BL29">
        <f>BH29*BI29*BJ29</f>
        <v>0</v>
      </c>
      <c r="BM29">
        <f>(BK29-BC29)/BJ29</f>
        <v>0</v>
      </c>
      <c r="BN29">
        <f>(BA29-BG29)/BG29</f>
        <v>0</v>
      </c>
      <c r="BO29">
        <f>AZ29/(BB29+AZ29/BG29)</f>
        <v>0</v>
      </c>
      <c r="BP29" t="s">
        <v>437</v>
      </c>
      <c r="BQ29">
        <v>0</v>
      </c>
      <c r="BR29">
        <f>IF(BQ29&lt;&gt;0, BQ29, BO29)</f>
        <v>0</v>
      </c>
      <c r="BS29">
        <f>1-BR29/BG29</f>
        <v>0</v>
      </c>
      <c r="BT29">
        <f>(BG29-BF29)/(BG29-BR29)</f>
        <v>0</v>
      </c>
      <c r="BU29">
        <f>(BA29-BG29)/(BA29-BR29)</f>
        <v>0</v>
      </c>
      <c r="BV29">
        <f>(BG29-BF29)/(BG29-AZ29)</f>
        <v>0</v>
      </c>
      <c r="BW29">
        <f>(BA29-BG29)/(BA29-AZ29)</f>
        <v>0</v>
      </c>
      <c r="BX29">
        <f>(BT29*BR29/BF29)</f>
        <v>0</v>
      </c>
      <c r="BY29">
        <f>(1-BX29)</f>
        <v>0</v>
      </c>
      <c r="DH29">
        <f>$B$11*EG29+$C$11*EH29+$F$11*ES29*(1-EV29)</f>
        <v>0</v>
      </c>
      <c r="DI29">
        <f>DH29*DJ29</f>
        <v>0</v>
      </c>
      <c r="DJ29">
        <f>($B$11*$D$9+$C$11*$D$9+$F$11*((FF29+EX29)/MAX(FF29+EX29+FG29, 0.1)*$I$9+FG29/MAX(FF29+EX29+FG29, 0.1)*$J$9))/($B$11+$C$11+$F$11)</f>
        <v>0</v>
      </c>
      <c r="DK29">
        <f>($B$11*$K$9+$C$11*$K$9+$F$11*((FF29+EX29)/MAX(FF29+EX29+FG29, 0.1)*$P$9+FG29/MAX(FF29+EX29+FG29, 0.1)*$Q$9))/($B$11+$C$11+$F$11)</f>
        <v>0</v>
      </c>
      <c r="DL29">
        <v>6</v>
      </c>
      <c r="DM29">
        <v>0.5</v>
      </c>
      <c r="DN29" t="s">
        <v>438</v>
      </c>
      <c r="DO29">
        <v>2</v>
      </c>
      <c r="DP29" t="b">
        <v>1</v>
      </c>
      <c r="DQ29">
        <v>1760989241.94615</v>
      </c>
      <c r="DR29">
        <v>282.095769230769</v>
      </c>
      <c r="DS29">
        <v>267.407846153846</v>
      </c>
      <c r="DT29">
        <v>11.8088923076923</v>
      </c>
      <c r="DU29">
        <v>9.13445769230769</v>
      </c>
      <c r="DV29">
        <v>279.757307692308</v>
      </c>
      <c r="DW29">
        <v>11.9201461538462</v>
      </c>
      <c r="DX29">
        <v>499.981230769231</v>
      </c>
      <c r="DY29">
        <v>89.8803307692308</v>
      </c>
      <c r="DZ29">
        <v>0.00766717461538462</v>
      </c>
      <c r="EA29">
        <v>18.4519076923077</v>
      </c>
      <c r="EB29">
        <v>18.0089846153846</v>
      </c>
      <c r="EC29">
        <v>999.9</v>
      </c>
      <c r="ED29">
        <v>0</v>
      </c>
      <c r="EE29">
        <v>0</v>
      </c>
      <c r="EF29">
        <v>9985.01153846154</v>
      </c>
      <c r="EG29">
        <v>0</v>
      </c>
      <c r="EH29">
        <v>1269.99153846154</v>
      </c>
      <c r="EI29">
        <v>14.6879076923077</v>
      </c>
      <c r="EJ29">
        <v>285.466692307692</v>
      </c>
      <c r="EK29">
        <v>269.873</v>
      </c>
      <c r="EL29">
        <v>2.67443384615385</v>
      </c>
      <c r="EM29">
        <v>267.407846153846</v>
      </c>
      <c r="EN29">
        <v>9.13445769230769</v>
      </c>
      <c r="EO29">
        <v>1.06138692307692</v>
      </c>
      <c r="EP29">
        <v>0.821008230769231</v>
      </c>
      <c r="EQ29">
        <v>7.78745</v>
      </c>
      <c r="ER29">
        <v>4.07581076923077</v>
      </c>
      <c r="ES29">
        <v>1200.04461538462</v>
      </c>
      <c r="ET29">
        <v>0.966998538461538</v>
      </c>
      <c r="EU29">
        <v>0.0330012538461538</v>
      </c>
      <c r="EV29">
        <v>0</v>
      </c>
      <c r="EW29">
        <v>1383.34461538462</v>
      </c>
      <c r="EX29">
        <v>5.00059</v>
      </c>
      <c r="EY29">
        <v>16323.9846153846</v>
      </c>
      <c r="EZ29">
        <v>10359.0923076923</v>
      </c>
      <c r="FA29">
        <v>38.7593846153846</v>
      </c>
      <c r="FB29">
        <v>41.2065384615385</v>
      </c>
      <c r="FC29">
        <v>39.245</v>
      </c>
      <c r="FD29">
        <v>41.2161538461539</v>
      </c>
      <c r="FE29">
        <v>39.6919230769231</v>
      </c>
      <c r="FF29">
        <v>1155.60692307692</v>
      </c>
      <c r="FG29">
        <v>39.4376923076923</v>
      </c>
      <c r="FH29">
        <v>0</v>
      </c>
      <c r="FI29">
        <v>1760989219.3</v>
      </c>
      <c r="FJ29">
        <v>0</v>
      </c>
      <c r="FK29">
        <v>1383.4548</v>
      </c>
      <c r="FL29">
        <v>4.23076923184266</v>
      </c>
      <c r="FM29">
        <v>14.4000000660415</v>
      </c>
      <c r="FN29">
        <v>16324.06</v>
      </c>
      <c r="FO29">
        <v>15</v>
      </c>
      <c r="FP29">
        <v>0</v>
      </c>
      <c r="FQ29" t="s">
        <v>439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14.627655</v>
      </c>
      <c r="GD29">
        <v>3.46629924812029</v>
      </c>
      <c r="GE29">
        <v>0.559518681971389</v>
      </c>
      <c r="GF29">
        <v>0</v>
      </c>
      <c r="GG29">
        <v>1383.13411764706</v>
      </c>
      <c r="GH29">
        <v>4.99648587453503</v>
      </c>
      <c r="GI29">
        <v>0.570938946190242</v>
      </c>
      <c r="GJ29">
        <v>-1</v>
      </c>
      <c r="GK29">
        <v>2.6755085</v>
      </c>
      <c r="GL29">
        <v>-0.0236639097744424</v>
      </c>
      <c r="GM29">
        <v>0.00239969221984819</v>
      </c>
      <c r="GN29">
        <v>1</v>
      </c>
      <c r="GO29">
        <v>1</v>
      </c>
      <c r="GP29">
        <v>2</v>
      </c>
      <c r="GQ29" t="s">
        <v>446</v>
      </c>
      <c r="GR29">
        <v>3.13053</v>
      </c>
      <c r="GS29">
        <v>2.6859</v>
      </c>
      <c r="GT29">
        <v>0.0600191</v>
      </c>
      <c r="GU29">
        <v>0.0573815</v>
      </c>
      <c r="GV29">
        <v>0.0616913</v>
      </c>
      <c r="GW29">
        <v>0.0504188</v>
      </c>
      <c r="GX29">
        <v>35625.7</v>
      </c>
      <c r="GY29">
        <v>38386.6</v>
      </c>
      <c r="GZ29">
        <v>34267.9</v>
      </c>
      <c r="HA29">
        <v>36848.9</v>
      </c>
      <c r="HB29">
        <v>45350.2</v>
      </c>
      <c r="HC29">
        <v>50169.5</v>
      </c>
      <c r="HD29">
        <v>53342.2</v>
      </c>
      <c r="HE29">
        <v>58774.7</v>
      </c>
      <c r="HF29">
        <v>2.00833</v>
      </c>
      <c r="HG29">
        <v>1.8366</v>
      </c>
      <c r="HH29">
        <v>0.0329725</v>
      </c>
      <c r="HI29">
        <v>0</v>
      </c>
      <c r="HJ29">
        <v>17.459</v>
      </c>
      <c r="HK29">
        <v>999.9</v>
      </c>
      <c r="HL29">
        <v>25.98</v>
      </c>
      <c r="HM29">
        <v>30.273</v>
      </c>
      <c r="HN29">
        <v>12.508</v>
      </c>
      <c r="HO29">
        <v>54.4192</v>
      </c>
      <c r="HP29">
        <v>44.383</v>
      </c>
      <c r="HQ29">
        <v>1</v>
      </c>
      <c r="HR29">
        <v>-0.26935</v>
      </c>
      <c r="HS29">
        <v>4.09549</v>
      </c>
      <c r="HT29">
        <v>20.0889</v>
      </c>
      <c r="HU29">
        <v>5.20291</v>
      </c>
      <c r="HV29">
        <v>12.004</v>
      </c>
      <c r="HW29">
        <v>4.9757</v>
      </c>
      <c r="HX29">
        <v>3.293</v>
      </c>
      <c r="HY29">
        <v>9999</v>
      </c>
      <c r="HZ29">
        <v>999.9</v>
      </c>
      <c r="IA29">
        <v>9999</v>
      </c>
      <c r="IB29">
        <v>9999</v>
      </c>
      <c r="IC29">
        <v>1.86322</v>
      </c>
      <c r="ID29">
        <v>1.86807</v>
      </c>
      <c r="IE29">
        <v>1.86783</v>
      </c>
      <c r="IF29">
        <v>1.86904</v>
      </c>
      <c r="IG29">
        <v>1.86981</v>
      </c>
      <c r="IH29">
        <v>1.86584</v>
      </c>
      <c r="II29">
        <v>1.86692</v>
      </c>
      <c r="IJ29">
        <v>1.86836</v>
      </c>
      <c r="IK29">
        <v>5</v>
      </c>
      <c r="IL29">
        <v>0</v>
      </c>
      <c r="IM29">
        <v>0</v>
      </c>
      <c r="IN29">
        <v>0</v>
      </c>
      <c r="IO29" t="s">
        <v>441</v>
      </c>
      <c r="IP29" t="s">
        <v>442</v>
      </c>
      <c r="IQ29" t="s">
        <v>443</v>
      </c>
      <c r="IR29" t="s">
        <v>443</v>
      </c>
      <c r="IS29" t="s">
        <v>443</v>
      </c>
      <c r="IT29" t="s">
        <v>443</v>
      </c>
      <c r="IU29">
        <v>0</v>
      </c>
      <c r="IV29">
        <v>100</v>
      </c>
      <c r="IW29">
        <v>100</v>
      </c>
      <c r="IX29">
        <v>2.231</v>
      </c>
      <c r="IY29">
        <v>-0.1113</v>
      </c>
      <c r="IZ29">
        <v>1.12474291219083</v>
      </c>
      <c r="JA29">
        <v>0.00463155566490582</v>
      </c>
      <c r="JB29">
        <v>-1.1358998729424e-06</v>
      </c>
      <c r="JC29">
        <v>3.28704272115545e-10</v>
      </c>
      <c r="JD29">
        <v>-0.0704455108513773</v>
      </c>
      <c r="JE29">
        <v>-0.0251928478371425</v>
      </c>
      <c r="JF29">
        <v>0.00225751704194564</v>
      </c>
      <c r="JG29">
        <v>-3.61734043746866e-05</v>
      </c>
      <c r="JH29">
        <v>1</v>
      </c>
      <c r="JI29">
        <v>2182</v>
      </c>
      <c r="JJ29">
        <v>0</v>
      </c>
      <c r="JK29">
        <v>24</v>
      </c>
      <c r="JL29">
        <v>29349820.8</v>
      </c>
      <c r="JM29">
        <v>29349820.8</v>
      </c>
      <c r="JN29">
        <v>0.620117</v>
      </c>
      <c r="JO29">
        <v>2.64771</v>
      </c>
      <c r="JP29">
        <v>1.54785</v>
      </c>
      <c r="JQ29">
        <v>2.31445</v>
      </c>
      <c r="JR29">
        <v>1.64673</v>
      </c>
      <c r="JS29">
        <v>2.31567</v>
      </c>
      <c r="JT29">
        <v>33.4906</v>
      </c>
      <c r="JU29">
        <v>24.1838</v>
      </c>
      <c r="JV29">
        <v>18</v>
      </c>
      <c r="JW29">
        <v>500.398</v>
      </c>
      <c r="JX29">
        <v>393.888</v>
      </c>
      <c r="JY29">
        <v>12.1815</v>
      </c>
      <c r="JZ29">
        <v>23.9008</v>
      </c>
      <c r="KA29">
        <v>30</v>
      </c>
      <c r="KB29">
        <v>23.923</v>
      </c>
      <c r="KC29">
        <v>23.8952</v>
      </c>
      <c r="KD29">
        <v>12.3782</v>
      </c>
      <c r="KE29">
        <v>0</v>
      </c>
      <c r="KF29">
        <v>23.7343</v>
      </c>
      <c r="KG29">
        <v>12.1851</v>
      </c>
      <c r="KH29">
        <v>217.581</v>
      </c>
      <c r="KI29">
        <v>9.33051</v>
      </c>
      <c r="KJ29">
        <v>97.0469</v>
      </c>
      <c r="KK29">
        <v>95.3015</v>
      </c>
    </row>
    <row r="30" spans="1:297">
      <c r="A30">
        <v>14</v>
      </c>
      <c r="B30">
        <v>1760989255.1</v>
      </c>
      <c r="C30">
        <v>65</v>
      </c>
      <c r="D30" t="s">
        <v>469</v>
      </c>
      <c r="E30" t="s">
        <v>470</v>
      </c>
      <c r="F30">
        <v>5</v>
      </c>
      <c r="G30" t="s">
        <v>435</v>
      </c>
      <c r="H30" t="s">
        <v>436</v>
      </c>
      <c r="I30">
        <v>1760989246.94615</v>
      </c>
      <c r="J30">
        <f>(K30)/1000</f>
        <v>0</v>
      </c>
      <c r="K30">
        <f>IF(DP30, AN30, AH30)</f>
        <v>0</v>
      </c>
      <c r="L30">
        <f>IF(DP30, AI30, AG30)</f>
        <v>0</v>
      </c>
      <c r="M30">
        <f>DR30 - IF(AU30&gt;1, L30*DL30*100.0/(AW30), 0)</f>
        <v>0</v>
      </c>
      <c r="N30">
        <f>((T30-J30/2)*M30-L30)/(T30+J30/2)</f>
        <v>0</v>
      </c>
      <c r="O30">
        <f>N30*(DY30+DZ30)/1000.0</f>
        <v>0</v>
      </c>
      <c r="P30">
        <f>(DR30 - IF(AU30&gt;1, L30*DL30*100.0/(AW30), 0))*(DY30+DZ30)/1000.0</f>
        <v>0</v>
      </c>
      <c r="Q30">
        <f>2.0/((1/S30-1/R30)+SIGN(S30)*SQRT((1/S30-1/R30)*(1/S30-1/R30) + 4*DM30/((DM30+1)*(DM30+1))*(2*1/S30*1/R30-1/R30*1/R30)))</f>
        <v>0</v>
      </c>
      <c r="R30">
        <f>IF(LEFT(DN30,1)&lt;&gt;"0",IF(LEFT(DN30,1)="1",3.0,DO30),$D$5+$E$5*(EF30*DY30/($K$5*1000))+$F$5*(EF30*DY30/($K$5*1000))*MAX(MIN(DL30,$J$5),$I$5)*MAX(MIN(DL30,$J$5),$I$5)+$G$5*MAX(MIN(DL30,$J$5),$I$5)*(EF30*DY30/($K$5*1000))+$H$5*(EF30*DY30/($K$5*1000))*(EF30*DY30/($K$5*1000)))</f>
        <v>0</v>
      </c>
      <c r="S30">
        <f>J30*(1000-(1000*0.61365*exp(17.502*W30/(240.97+W30))/(DY30+DZ30)+DT30)/2)/(1000*0.61365*exp(17.502*W30/(240.97+W30))/(DY30+DZ30)-DT30)</f>
        <v>0</v>
      </c>
      <c r="T30">
        <f>1/((DM30+1)/(Q30/1.6)+1/(R30/1.37)) + DM30/((DM30+1)/(Q30/1.6) + DM30/(R30/1.37))</f>
        <v>0</v>
      </c>
      <c r="U30">
        <f>(DH30*DK30)</f>
        <v>0</v>
      </c>
      <c r="V30">
        <f>(EA30+(U30+2*0.95*5.67E-8*(((EA30+$B$7)+273)^4-(EA30+273)^4)-44100*J30)/(1.84*29.3*R30+8*0.95*5.67E-8*(EA30+273)^3))</f>
        <v>0</v>
      </c>
      <c r="W30">
        <f>($C$7*EB30+$D$7*EC30+$E$7*V30)</f>
        <v>0</v>
      </c>
      <c r="X30">
        <f>0.61365*exp(17.502*W30/(240.97+W30))</f>
        <v>0</v>
      </c>
      <c r="Y30">
        <f>(Z30/AA30*100)</f>
        <v>0</v>
      </c>
      <c r="Z30">
        <f>DT30*(DY30+DZ30)/1000</f>
        <v>0</v>
      </c>
      <c r="AA30">
        <f>0.61365*exp(17.502*EA30/(240.97+EA30))</f>
        <v>0</v>
      </c>
      <c r="AB30">
        <f>(X30-DT30*(DY30+DZ30)/1000)</f>
        <v>0</v>
      </c>
      <c r="AC30">
        <f>(-J30*44100)</f>
        <v>0</v>
      </c>
      <c r="AD30">
        <f>2*29.3*R30*0.92*(EA30-W30)</f>
        <v>0</v>
      </c>
      <c r="AE30">
        <f>2*0.95*5.67E-8*(((EA30+$B$7)+273)^4-(W30+273)^4)</f>
        <v>0</v>
      </c>
      <c r="AF30">
        <f>U30+AE30+AC30+AD30</f>
        <v>0</v>
      </c>
      <c r="AG30">
        <f>DX30*AU30*(DS30-DR30*(1000-AU30*DU30)/(1000-AU30*DT30))/(100*DL30)</f>
        <v>0</v>
      </c>
      <c r="AH30">
        <f>1000*DX30*AU30*(DT30-DU30)/(100*DL30*(1000-AU30*DT30))</f>
        <v>0</v>
      </c>
      <c r="AI30">
        <f>(AJ30 - AK30 - DY30*1E3/(8.314*(EA30+273.15)) * AM30/DX30 * AL30) * DX30/(100*DL30) * (1000 - DU30)/1000</f>
        <v>0</v>
      </c>
      <c r="AJ30">
        <v>236.593226919329</v>
      </c>
      <c r="AK30">
        <v>245.224115151515</v>
      </c>
      <c r="AL30">
        <v>-3.37461000602253</v>
      </c>
      <c r="AM30">
        <v>64.8413469339502</v>
      </c>
      <c r="AN30">
        <f>(AP30 - AO30 + DY30*1E3/(8.314*(EA30+273.15)) * AR30/DX30 * AQ30) * DX30/(100*DL30) * 1000/(1000 - AP30)</f>
        <v>0</v>
      </c>
      <c r="AO30">
        <v>9.13226488570295</v>
      </c>
      <c r="AP30">
        <v>11.8042884848485</v>
      </c>
      <c r="AQ30">
        <v>-2.3984469765503e-06</v>
      </c>
      <c r="AR30">
        <v>118.472689631034</v>
      </c>
      <c r="AS30">
        <v>0</v>
      </c>
      <c r="AT30">
        <v>0</v>
      </c>
      <c r="AU30">
        <f>IF(AS30*$H$13&gt;=AW30,1.0,(AW30/(AW30-AS30*$H$13)))</f>
        <v>0</v>
      </c>
      <c r="AV30">
        <f>(AU30-1)*100</f>
        <v>0</v>
      </c>
      <c r="AW30">
        <f>MAX(0,($B$13+$C$13*EF30)/(1+$D$13*EF30)*DY30/(EA30+273)*$E$13)</f>
        <v>0</v>
      </c>
      <c r="AX30" t="s">
        <v>437</v>
      </c>
      <c r="AY30" t="s">
        <v>437</v>
      </c>
      <c r="AZ30">
        <v>0</v>
      </c>
      <c r="BA30">
        <v>0</v>
      </c>
      <c r="BB30">
        <f>1-AZ30/BA30</f>
        <v>0</v>
      </c>
      <c r="BC30">
        <v>0</v>
      </c>
      <c r="BD30" t="s">
        <v>437</v>
      </c>
      <c r="BE30" t="s">
        <v>437</v>
      </c>
      <c r="BF30">
        <v>0</v>
      </c>
      <c r="BG30">
        <v>0</v>
      </c>
      <c r="BH30">
        <f>1-BF30/BG30</f>
        <v>0</v>
      </c>
      <c r="BI30">
        <v>0.5</v>
      </c>
      <c r="BJ30">
        <f>DI30</f>
        <v>0</v>
      </c>
      <c r="BK30">
        <f>L30</f>
        <v>0</v>
      </c>
      <c r="BL30">
        <f>BH30*BI30*BJ30</f>
        <v>0</v>
      </c>
      <c r="BM30">
        <f>(BK30-BC30)/BJ30</f>
        <v>0</v>
      </c>
      <c r="BN30">
        <f>(BA30-BG30)/BG30</f>
        <v>0</v>
      </c>
      <c r="BO30">
        <f>AZ30/(BB30+AZ30/BG30)</f>
        <v>0</v>
      </c>
      <c r="BP30" t="s">
        <v>437</v>
      </c>
      <c r="BQ30">
        <v>0</v>
      </c>
      <c r="BR30">
        <f>IF(BQ30&lt;&gt;0, BQ30, BO30)</f>
        <v>0</v>
      </c>
      <c r="BS30">
        <f>1-BR30/BG30</f>
        <v>0</v>
      </c>
      <c r="BT30">
        <f>(BG30-BF30)/(BG30-BR30)</f>
        <v>0</v>
      </c>
      <c r="BU30">
        <f>(BA30-BG30)/(BA30-BR30)</f>
        <v>0</v>
      </c>
      <c r="BV30">
        <f>(BG30-BF30)/(BG30-AZ30)</f>
        <v>0</v>
      </c>
      <c r="BW30">
        <f>(BA30-BG30)/(BA30-AZ30)</f>
        <v>0</v>
      </c>
      <c r="BX30">
        <f>(BT30*BR30/BF30)</f>
        <v>0</v>
      </c>
      <c r="BY30">
        <f>(1-BX30)</f>
        <v>0</v>
      </c>
      <c r="DH30">
        <f>$B$11*EG30+$C$11*EH30+$F$11*ES30*(1-EV30)</f>
        <v>0</v>
      </c>
      <c r="DI30">
        <f>DH30*DJ30</f>
        <v>0</v>
      </c>
      <c r="DJ30">
        <f>($B$11*$D$9+$C$11*$D$9+$F$11*((FF30+EX30)/MAX(FF30+EX30+FG30, 0.1)*$I$9+FG30/MAX(FF30+EX30+FG30, 0.1)*$J$9))/($B$11+$C$11+$F$11)</f>
        <v>0</v>
      </c>
      <c r="DK30">
        <f>($B$11*$K$9+$C$11*$K$9+$F$11*((FF30+EX30)/MAX(FF30+EX30+FG30, 0.1)*$P$9+FG30/MAX(FF30+EX30+FG30, 0.1)*$Q$9))/($B$11+$C$11+$F$11)</f>
        <v>0</v>
      </c>
      <c r="DL30">
        <v>6</v>
      </c>
      <c r="DM30">
        <v>0.5</v>
      </c>
      <c r="DN30" t="s">
        <v>438</v>
      </c>
      <c r="DO30">
        <v>2</v>
      </c>
      <c r="DP30" t="b">
        <v>1</v>
      </c>
      <c r="DQ30">
        <v>1760989246.94615</v>
      </c>
      <c r="DR30">
        <v>265.825769230769</v>
      </c>
      <c r="DS30">
        <v>250.440769230769</v>
      </c>
      <c r="DT30">
        <v>11.8069307692308</v>
      </c>
      <c r="DU30">
        <v>9.13365615384615</v>
      </c>
      <c r="DV30">
        <v>263.553538461538</v>
      </c>
      <c r="DW30">
        <v>11.9181923076923</v>
      </c>
      <c r="DX30">
        <v>499.980076923077</v>
      </c>
      <c r="DY30">
        <v>89.8811153846154</v>
      </c>
      <c r="DZ30">
        <v>0.00774143923076923</v>
      </c>
      <c r="EA30">
        <v>18.4514538461538</v>
      </c>
      <c r="EB30">
        <v>18.0046846153846</v>
      </c>
      <c r="EC30">
        <v>999.9</v>
      </c>
      <c r="ED30">
        <v>0</v>
      </c>
      <c r="EE30">
        <v>0</v>
      </c>
      <c r="EF30">
        <v>9985.81923076923</v>
      </c>
      <c r="EG30">
        <v>0</v>
      </c>
      <c r="EH30">
        <v>1270</v>
      </c>
      <c r="EI30">
        <v>15.385</v>
      </c>
      <c r="EJ30">
        <v>269.001846153846</v>
      </c>
      <c r="EK30">
        <v>252.749230769231</v>
      </c>
      <c r="EL30">
        <v>2.67326384615385</v>
      </c>
      <c r="EM30">
        <v>250.440769230769</v>
      </c>
      <c r="EN30">
        <v>9.13365615384615</v>
      </c>
      <c r="EO30">
        <v>1.06121846153846</v>
      </c>
      <c r="EP30">
        <v>0.820943230769231</v>
      </c>
      <c r="EQ30">
        <v>7.78512538461538</v>
      </c>
      <c r="ER30">
        <v>4.07468461538461</v>
      </c>
      <c r="ES30">
        <v>1199.98538461538</v>
      </c>
      <c r="ET30">
        <v>0.966993923076923</v>
      </c>
      <c r="EU30">
        <v>0.0330059076923077</v>
      </c>
      <c r="EV30">
        <v>0</v>
      </c>
      <c r="EW30">
        <v>1383.73153846154</v>
      </c>
      <c r="EX30">
        <v>5.00059</v>
      </c>
      <c r="EY30">
        <v>16323.4461538462</v>
      </c>
      <c r="EZ30">
        <v>10358.5769230769</v>
      </c>
      <c r="FA30">
        <v>38.6776153846154</v>
      </c>
      <c r="FB30">
        <v>41.0286153846154</v>
      </c>
      <c r="FC30">
        <v>39.1583846153846</v>
      </c>
      <c r="FD30">
        <v>40.9805384615385</v>
      </c>
      <c r="FE30">
        <v>39.5813846153846</v>
      </c>
      <c r="FF30">
        <v>1155.54384615385</v>
      </c>
      <c r="FG30">
        <v>39.4407692307692</v>
      </c>
      <c r="FH30">
        <v>0</v>
      </c>
      <c r="FI30">
        <v>1760989224.1</v>
      </c>
      <c r="FJ30">
        <v>0</v>
      </c>
      <c r="FK30">
        <v>1383.834</v>
      </c>
      <c r="FL30">
        <v>3.92769230887631</v>
      </c>
      <c r="FM30">
        <v>-4.62307688217253</v>
      </c>
      <c r="FN30">
        <v>16324.276</v>
      </c>
      <c r="FO30">
        <v>15</v>
      </c>
      <c r="FP30">
        <v>0</v>
      </c>
      <c r="FQ30" t="s">
        <v>439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15.0062666666667</v>
      </c>
      <c r="GD30">
        <v>7.00797662337665</v>
      </c>
      <c r="GE30">
        <v>0.817240991054853</v>
      </c>
      <c r="GF30">
        <v>0</v>
      </c>
      <c r="GG30">
        <v>1383.57705882353</v>
      </c>
      <c r="GH30">
        <v>4.5457601206222</v>
      </c>
      <c r="GI30">
        <v>0.512034749577713</v>
      </c>
      <c r="GJ30">
        <v>-1</v>
      </c>
      <c r="GK30">
        <v>2.67410047619048</v>
      </c>
      <c r="GL30">
        <v>-0.0150755844155819</v>
      </c>
      <c r="GM30">
        <v>0.00169119421370835</v>
      </c>
      <c r="GN30">
        <v>1</v>
      </c>
      <c r="GO30">
        <v>1</v>
      </c>
      <c r="GP30">
        <v>2</v>
      </c>
      <c r="GQ30" t="s">
        <v>446</v>
      </c>
      <c r="GR30">
        <v>3.13072</v>
      </c>
      <c r="GS30">
        <v>2.68554</v>
      </c>
      <c r="GT30">
        <v>0.0566675</v>
      </c>
      <c r="GU30">
        <v>0.0540044</v>
      </c>
      <c r="GV30">
        <v>0.0616846</v>
      </c>
      <c r="GW30">
        <v>0.0504166</v>
      </c>
      <c r="GX30">
        <v>35752.4</v>
      </c>
      <c r="GY30">
        <v>38524.1</v>
      </c>
      <c r="GZ30">
        <v>34267.6</v>
      </c>
      <c r="HA30">
        <v>36848.8</v>
      </c>
      <c r="HB30">
        <v>45349.7</v>
      </c>
      <c r="HC30">
        <v>50169</v>
      </c>
      <c r="HD30">
        <v>53341.6</v>
      </c>
      <c r="HE30">
        <v>58774.5</v>
      </c>
      <c r="HF30">
        <v>2.0083</v>
      </c>
      <c r="HG30">
        <v>1.83655</v>
      </c>
      <c r="HH30">
        <v>0.0332519</v>
      </c>
      <c r="HI30">
        <v>0</v>
      </c>
      <c r="HJ30">
        <v>17.4577</v>
      </c>
      <c r="HK30">
        <v>999.9</v>
      </c>
      <c r="HL30">
        <v>25.98</v>
      </c>
      <c r="HM30">
        <v>30.252</v>
      </c>
      <c r="HN30">
        <v>12.4952</v>
      </c>
      <c r="HO30">
        <v>54.1592</v>
      </c>
      <c r="HP30">
        <v>44.1947</v>
      </c>
      <c r="HQ30">
        <v>1</v>
      </c>
      <c r="HR30">
        <v>-0.269098</v>
      </c>
      <c r="HS30">
        <v>4.08356</v>
      </c>
      <c r="HT30">
        <v>20.0891</v>
      </c>
      <c r="HU30">
        <v>5.20231</v>
      </c>
      <c r="HV30">
        <v>12.004</v>
      </c>
      <c r="HW30">
        <v>4.9756</v>
      </c>
      <c r="HX30">
        <v>3.29293</v>
      </c>
      <c r="HY30">
        <v>9999</v>
      </c>
      <c r="HZ30">
        <v>999.9</v>
      </c>
      <c r="IA30">
        <v>9999</v>
      </c>
      <c r="IB30">
        <v>9999</v>
      </c>
      <c r="IC30">
        <v>1.86324</v>
      </c>
      <c r="ID30">
        <v>1.86806</v>
      </c>
      <c r="IE30">
        <v>1.86783</v>
      </c>
      <c r="IF30">
        <v>1.86905</v>
      </c>
      <c r="IG30">
        <v>1.86981</v>
      </c>
      <c r="IH30">
        <v>1.86584</v>
      </c>
      <c r="II30">
        <v>1.86693</v>
      </c>
      <c r="IJ30">
        <v>1.86838</v>
      </c>
      <c r="IK30">
        <v>5</v>
      </c>
      <c r="IL30">
        <v>0</v>
      </c>
      <c r="IM30">
        <v>0</v>
      </c>
      <c r="IN30">
        <v>0</v>
      </c>
      <c r="IO30" t="s">
        <v>441</v>
      </c>
      <c r="IP30" t="s">
        <v>442</v>
      </c>
      <c r="IQ30" t="s">
        <v>443</v>
      </c>
      <c r="IR30" t="s">
        <v>443</v>
      </c>
      <c r="IS30" t="s">
        <v>443</v>
      </c>
      <c r="IT30" t="s">
        <v>443</v>
      </c>
      <c r="IU30">
        <v>0</v>
      </c>
      <c r="IV30">
        <v>100</v>
      </c>
      <c r="IW30">
        <v>100</v>
      </c>
      <c r="IX30">
        <v>2.162</v>
      </c>
      <c r="IY30">
        <v>-0.1113</v>
      </c>
      <c r="IZ30">
        <v>1.12474291219083</v>
      </c>
      <c r="JA30">
        <v>0.00463155566490582</v>
      </c>
      <c r="JB30">
        <v>-1.1358998729424e-06</v>
      </c>
      <c r="JC30">
        <v>3.28704272115545e-10</v>
      </c>
      <c r="JD30">
        <v>-0.0704455108513773</v>
      </c>
      <c r="JE30">
        <v>-0.0251928478371425</v>
      </c>
      <c r="JF30">
        <v>0.00225751704194564</v>
      </c>
      <c r="JG30">
        <v>-3.61734043746866e-05</v>
      </c>
      <c r="JH30">
        <v>1</v>
      </c>
      <c r="JI30">
        <v>2182</v>
      </c>
      <c r="JJ30">
        <v>0</v>
      </c>
      <c r="JK30">
        <v>24</v>
      </c>
      <c r="JL30">
        <v>29349820.9</v>
      </c>
      <c r="JM30">
        <v>29349820.9</v>
      </c>
      <c r="JN30">
        <v>0.59082</v>
      </c>
      <c r="JO30">
        <v>2.64771</v>
      </c>
      <c r="JP30">
        <v>1.54785</v>
      </c>
      <c r="JQ30">
        <v>2.31323</v>
      </c>
      <c r="JR30">
        <v>1.64673</v>
      </c>
      <c r="JS30">
        <v>2.30835</v>
      </c>
      <c r="JT30">
        <v>33.4906</v>
      </c>
      <c r="JU30">
        <v>24.1838</v>
      </c>
      <c r="JV30">
        <v>18</v>
      </c>
      <c r="JW30">
        <v>500.382</v>
      </c>
      <c r="JX30">
        <v>393.861</v>
      </c>
      <c r="JY30">
        <v>12.1787</v>
      </c>
      <c r="JZ30">
        <v>23.9008</v>
      </c>
      <c r="KA30">
        <v>30.0001</v>
      </c>
      <c r="KB30">
        <v>23.923</v>
      </c>
      <c r="KC30">
        <v>23.8952</v>
      </c>
      <c r="KD30">
        <v>11.7905</v>
      </c>
      <c r="KE30">
        <v>0</v>
      </c>
      <c r="KF30">
        <v>23.7343</v>
      </c>
      <c r="KG30">
        <v>12.1804</v>
      </c>
      <c r="KH30">
        <v>197.385</v>
      </c>
      <c r="KI30">
        <v>9.33051</v>
      </c>
      <c r="KJ30">
        <v>97.0459</v>
      </c>
      <c r="KK30">
        <v>95.3011</v>
      </c>
    </row>
    <row r="31" spans="1:297">
      <c r="A31">
        <v>15</v>
      </c>
      <c r="B31">
        <v>1760989260.1</v>
      </c>
      <c r="C31">
        <v>70</v>
      </c>
      <c r="D31" t="s">
        <v>471</v>
      </c>
      <c r="E31" t="s">
        <v>472</v>
      </c>
      <c r="F31">
        <v>5</v>
      </c>
      <c r="G31" t="s">
        <v>435</v>
      </c>
      <c r="H31" t="s">
        <v>436</v>
      </c>
      <c r="I31">
        <v>1760989251.94615</v>
      </c>
      <c r="J31">
        <f>(K31)/1000</f>
        <v>0</v>
      </c>
      <c r="K31">
        <f>IF(DP31, AN31, AH31)</f>
        <v>0</v>
      </c>
      <c r="L31">
        <f>IF(DP31, AI31, AG31)</f>
        <v>0</v>
      </c>
      <c r="M31">
        <f>DR31 - IF(AU31&gt;1, L31*DL31*100.0/(AW31), 0)</f>
        <v>0</v>
      </c>
      <c r="N31">
        <f>((T31-J31/2)*M31-L31)/(T31+J31/2)</f>
        <v>0</v>
      </c>
      <c r="O31">
        <f>N31*(DY31+DZ31)/1000.0</f>
        <v>0</v>
      </c>
      <c r="P31">
        <f>(DR31 - IF(AU31&gt;1, L31*DL31*100.0/(AW31), 0))*(DY31+DZ31)/1000.0</f>
        <v>0</v>
      </c>
      <c r="Q31">
        <f>2.0/((1/S31-1/R31)+SIGN(S31)*SQRT((1/S31-1/R31)*(1/S31-1/R31) + 4*DM31/((DM31+1)*(DM31+1))*(2*1/S31*1/R31-1/R31*1/R31)))</f>
        <v>0</v>
      </c>
      <c r="R31">
        <f>IF(LEFT(DN31,1)&lt;&gt;"0",IF(LEFT(DN31,1)="1",3.0,DO31),$D$5+$E$5*(EF31*DY31/($K$5*1000))+$F$5*(EF31*DY31/($K$5*1000))*MAX(MIN(DL31,$J$5),$I$5)*MAX(MIN(DL31,$J$5),$I$5)+$G$5*MAX(MIN(DL31,$J$5),$I$5)*(EF31*DY31/($K$5*1000))+$H$5*(EF31*DY31/($K$5*1000))*(EF31*DY31/($K$5*1000)))</f>
        <v>0</v>
      </c>
      <c r="S31">
        <f>J31*(1000-(1000*0.61365*exp(17.502*W31/(240.97+W31))/(DY31+DZ31)+DT31)/2)/(1000*0.61365*exp(17.502*W31/(240.97+W31))/(DY31+DZ31)-DT31)</f>
        <v>0</v>
      </c>
      <c r="T31">
        <f>1/((DM31+1)/(Q31/1.6)+1/(R31/1.37)) + DM31/((DM31+1)/(Q31/1.6) + DM31/(R31/1.37))</f>
        <v>0</v>
      </c>
      <c r="U31">
        <f>(DH31*DK31)</f>
        <v>0</v>
      </c>
      <c r="V31">
        <f>(EA31+(U31+2*0.95*5.67E-8*(((EA31+$B$7)+273)^4-(EA31+273)^4)-44100*J31)/(1.84*29.3*R31+8*0.95*5.67E-8*(EA31+273)^3))</f>
        <v>0</v>
      </c>
      <c r="W31">
        <f>($C$7*EB31+$D$7*EC31+$E$7*V31)</f>
        <v>0</v>
      </c>
      <c r="X31">
        <f>0.61365*exp(17.502*W31/(240.97+W31))</f>
        <v>0</v>
      </c>
      <c r="Y31">
        <f>(Z31/AA31*100)</f>
        <v>0</v>
      </c>
      <c r="Z31">
        <f>DT31*(DY31+DZ31)/1000</f>
        <v>0</v>
      </c>
      <c r="AA31">
        <f>0.61365*exp(17.502*EA31/(240.97+EA31))</f>
        <v>0</v>
      </c>
      <c r="AB31">
        <f>(X31-DT31*(DY31+DZ31)/1000)</f>
        <v>0</v>
      </c>
      <c r="AC31">
        <f>(-J31*44100)</f>
        <v>0</v>
      </c>
      <c r="AD31">
        <f>2*29.3*R31*0.92*(EA31-W31)</f>
        <v>0</v>
      </c>
      <c r="AE31">
        <f>2*0.95*5.67E-8*(((EA31+$B$7)+273)^4-(W31+273)^4)</f>
        <v>0</v>
      </c>
      <c r="AF31">
        <f>U31+AE31+AC31+AD31</f>
        <v>0</v>
      </c>
      <c r="AG31">
        <f>DX31*AU31*(DS31-DR31*(1000-AU31*DU31)/(1000-AU31*DT31))/(100*DL31)</f>
        <v>0</v>
      </c>
      <c r="AH31">
        <f>1000*DX31*AU31*(DT31-DU31)/(100*DL31*(1000-AU31*DT31))</f>
        <v>0</v>
      </c>
      <c r="AI31">
        <f>(AJ31 - AK31 - DY31*1E3/(8.314*(EA31+273.15)) * AM31/DX31 * AL31) * DX31/(100*DL31) * (1000 - DU31)/1000</f>
        <v>0</v>
      </c>
      <c r="AJ31">
        <v>220.580374390365</v>
      </c>
      <c r="AK31">
        <v>229.075236363636</v>
      </c>
      <c r="AL31">
        <v>-3.21197443340667</v>
      </c>
      <c r="AM31">
        <v>64.8413469339502</v>
      </c>
      <c r="AN31">
        <f>(AP31 - AO31 + DY31*1E3/(8.314*(EA31+273.15)) * AR31/DX31 * AQ31) * DX31/(100*DL31) * 1000/(1000 - AP31)</f>
        <v>0</v>
      </c>
      <c r="AO31">
        <v>9.13204332146061</v>
      </c>
      <c r="AP31">
        <v>11.8060115151515</v>
      </c>
      <c r="AQ31">
        <v>2.34098494984064e-06</v>
      </c>
      <c r="AR31">
        <v>118.472689631034</v>
      </c>
      <c r="AS31">
        <v>0</v>
      </c>
      <c r="AT31">
        <v>0</v>
      </c>
      <c r="AU31">
        <f>IF(AS31*$H$13&gt;=AW31,1.0,(AW31/(AW31-AS31*$H$13)))</f>
        <v>0</v>
      </c>
      <c r="AV31">
        <f>(AU31-1)*100</f>
        <v>0</v>
      </c>
      <c r="AW31">
        <f>MAX(0,($B$13+$C$13*EF31)/(1+$D$13*EF31)*DY31/(EA31+273)*$E$13)</f>
        <v>0</v>
      </c>
      <c r="AX31" t="s">
        <v>437</v>
      </c>
      <c r="AY31" t="s">
        <v>437</v>
      </c>
      <c r="AZ31">
        <v>0</v>
      </c>
      <c r="BA31">
        <v>0</v>
      </c>
      <c r="BB31">
        <f>1-AZ31/BA31</f>
        <v>0</v>
      </c>
      <c r="BC31">
        <v>0</v>
      </c>
      <c r="BD31" t="s">
        <v>437</v>
      </c>
      <c r="BE31" t="s">
        <v>437</v>
      </c>
      <c r="BF31">
        <v>0</v>
      </c>
      <c r="BG31">
        <v>0</v>
      </c>
      <c r="BH31">
        <f>1-BF31/BG31</f>
        <v>0</v>
      </c>
      <c r="BI31">
        <v>0.5</v>
      </c>
      <c r="BJ31">
        <f>DI31</f>
        <v>0</v>
      </c>
      <c r="BK31">
        <f>L31</f>
        <v>0</v>
      </c>
      <c r="BL31">
        <f>BH31*BI31*BJ31</f>
        <v>0</v>
      </c>
      <c r="BM31">
        <f>(BK31-BC31)/BJ31</f>
        <v>0</v>
      </c>
      <c r="BN31">
        <f>(BA31-BG31)/BG31</f>
        <v>0</v>
      </c>
      <c r="BO31">
        <f>AZ31/(BB31+AZ31/BG31)</f>
        <v>0</v>
      </c>
      <c r="BP31" t="s">
        <v>437</v>
      </c>
      <c r="BQ31">
        <v>0</v>
      </c>
      <c r="BR31">
        <f>IF(BQ31&lt;&gt;0, BQ31, BO31)</f>
        <v>0</v>
      </c>
      <c r="BS31">
        <f>1-BR31/BG31</f>
        <v>0</v>
      </c>
      <c r="BT31">
        <f>(BG31-BF31)/(BG31-BR31)</f>
        <v>0</v>
      </c>
      <c r="BU31">
        <f>(BA31-BG31)/(BA31-BR31)</f>
        <v>0</v>
      </c>
      <c r="BV31">
        <f>(BG31-BF31)/(BG31-AZ31)</f>
        <v>0</v>
      </c>
      <c r="BW31">
        <f>(BA31-BG31)/(BA31-AZ31)</f>
        <v>0</v>
      </c>
      <c r="BX31">
        <f>(BT31*BR31/BF31)</f>
        <v>0</v>
      </c>
      <c r="BY31">
        <f>(1-BX31)</f>
        <v>0</v>
      </c>
      <c r="DH31">
        <f>$B$11*EG31+$C$11*EH31+$F$11*ES31*(1-EV31)</f>
        <v>0</v>
      </c>
      <c r="DI31">
        <f>DH31*DJ31</f>
        <v>0</v>
      </c>
      <c r="DJ31">
        <f>($B$11*$D$9+$C$11*$D$9+$F$11*((FF31+EX31)/MAX(FF31+EX31+FG31, 0.1)*$I$9+FG31/MAX(FF31+EX31+FG31, 0.1)*$J$9))/($B$11+$C$11+$F$11)</f>
        <v>0</v>
      </c>
      <c r="DK31">
        <f>($B$11*$K$9+$C$11*$K$9+$F$11*((FF31+EX31)/MAX(FF31+EX31+FG31, 0.1)*$P$9+FG31/MAX(FF31+EX31+FG31, 0.1)*$Q$9))/($B$11+$C$11+$F$11)</f>
        <v>0</v>
      </c>
      <c r="DL31">
        <v>6</v>
      </c>
      <c r="DM31">
        <v>0.5</v>
      </c>
      <c r="DN31" t="s">
        <v>438</v>
      </c>
      <c r="DO31">
        <v>2</v>
      </c>
      <c r="DP31" t="b">
        <v>1</v>
      </c>
      <c r="DQ31">
        <v>1760989251.94615</v>
      </c>
      <c r="DR31">
        <v>249.514307692308</v>
      </c>
      <c r="DS31">
        <v>234.047076923077</v>
      </c>
      <c r="DT31">
        <v>11.8058615384615</v>
      </c>
      <c r="DU31">
        <v>9.13289153846154</v>
      </c>
      <c r="DV31">
        <v>247.308923076923</v>
      </c>
      <c r="DW31">
        <v>11.9171384615385</v>
      </c>
      <c r="DX31">
        <v>499.999615384615</v>
      </c>
      <c r="DY31">
        <v>89.8816615384615</v>
      </c>
      <c r="DZ31">
        <v>0.00770674692307692</v>
      </c>
      <c r="EA31">
        <v>18.4521461538462</v>
      </c>
      <c r="EB31">
        <v>18.0067307692308</v>
      </c>
      <c r="EC31">
        <v>999.9</v>
      </c>
      <c r="ED31">
        <v>0</v>
      </c>
      <c r="EE31">
        <v>0</v>
      </c>
      <c r="EF31">
        <v>9991.68461538462</v>
      </c>
      <c r="EG31">
        <v>0</v>
      </c>
      <c r="EH31">
        <v>1270.02461538462</v>
      </c>
      <c r="EI31">
        <v>15.4672538461538</v>
      </c>
      <c r="EJ31">
        <v>252.495307692308</v>
      </c>
      <c r="EK31">
        <v>236.204384615385</v>
      </c>
      <c r="EL31">
        <v>2.67295846153846</v>
      </c>
      <c r="EM31">
        <v>234.047076923077</v>
      </c>
      <c r="EN31">
        <v>9.13289153846154</v>
      </c>
      <c r="EO31">
        <v>1.06112846153846</v>
      </c>
      <c r="EP31">
        <v>0.820879384615385</v>
      </c>
      <c r="EQ31">
        <v>7.78388461538462</v>
      </c>
      <c r="ER31">
        <v>4.07357769230769</v>
      </c>
      <c r="ES31">
        <v>1199.98923076923</v>
      </c>
      <c r="ET31">
        <v>0.966992076923077</v>
      </c>
      <c r="EU31">
        <v>0.0330078923076923</v>
      </c>
      <c r="EV31">
        <v>0</v>
      </c>
      <c r="EW31">
        <v>1384.08</v>
      </c>
      <c r="EX31">
        <v>5.00059</v>
      </c>
      <c r="EY31">
        <v>16322.5923076923</v>
      </c>
      <c r="EZ31">
        <v>10358.6153846154</v>
      </c>
      <c r="FA31">
        <v>38.6006923076923</v>
      </c>
      <c r="FB31">
        <v>40.8651538461539</v>
      </c>
      <c r="FC31">
        <v>39.0766923076923</v>
      </c>
      <c r="FD31">
        <v>40.7545384615385</v>
      </c>
      <c r="FE31">
        <v>39.4804615384615</v>
      </c>
      <c r="FF31">
        <v>1155.54461538462</v>
      </c>
      <c r="FG31">
        <v>39.4438461538462</v>
      </c>
      <c r="FH31">
        <v>0</v>
      </c>
      <c r="FI31">
        <v>1760989229.5</v>
      </c>
      <c r="FJ31">
        <v>0</v>
      </c>
      <c r="FK31">
        <v>1384.04576923077</v>
      </c>
      <c r="FL31">
        <v>2.12615382630569</v>
      </c>
      <c r="FM31">
        <v>-29.6239315515544</v>
      </c>
      <c r="FN31">
        <v>16322.8653846154</v>
      </c>
      <c r="FO31">
        <v>15</v>
      </c>
      <c r="FP31">
        <v>0</v>
      </c>
      <c r="FQ31" t="s">
        <v>439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15.418185</v>
      </c>
      <c r="GD31">
        <v>2.48554736842108</v>
      </c>
      <c r="GE31">
        <v>0.498230770100563</v>
      </c>
      <c r="GF31">
        <v>0</v>
      </c>
      <c r="GG31">
        <v>1383.87117647059</v>
      </c>
      <c r="GH31">
        <v>3.55110771256792</v>
      </c>
      <c r="GI31">
        <v>0.448361492193154</v>
      </c>
      <c r="GJ31">
        <v>-1</v>
      </c>
      <c r="GK31">
        <v>2.6731805</v>
      </c>
      <c r="GL31">
        <v>-0.00422210526315704</v>
      </c>
      <c r="GM31">
        <v>0.000804129809172594</v>
      </c>
      <c r="GN31">
        <v>1</v>
      </c>
      <c r="GO31">
        <v>1</v>
      </c>
      <c r="GP31">
        <v>2</v>
      </c>
      <c r="GQ31" t="s">
        <v>446</v>
      </c>
      <c r="GR31">
        <v>3.13058</v>
      </c>
      <c r="GS31">
        <v>2.68548</v>
      </c>
      <c r="GT31">
        <v>0.0533929</v>
      </c>
      <c r="GU31">
        <v>0.0505721</v>
      </c>
      <c r="GV31">
        <v>0.0616896</v>
      </c>
      <c r="GW31">
        <v>0.0504098</v>
      </c>
      <c r="GX31">
        <v>35876.9</v>
      </c>
      <c r="GY31">
        <v>38664</v>
      </c>
      <c r="GZ31">
        <v>34267.9</v>
      </c>
      <c r="HA31">
        <v>36848.9</v>
      </c>
      <c r="HB31">
        <v>45349.6</v>
      </c>
      <c r="HC31">
        <v>50169.2</v>
      </c>
      <c r="HD31">
        <v>53342.2</v>
      </c>
      <c r="HE31">
        <v>58774.8</v>
      </c>
      <c r="HF31">
        <v>2.0082</v>
      </c>
      <c r="HG31">
        <v>1.83662</v>
      </c>
      <c r="HH31">
        <v>0.0335462</v>
      </c>
      <c r="HI31">
        <v>0</v>
      </c>
      <c r="HJ31">
        <v>17.4575</v>
      </c>
      <c r="HK31">
        <v>999.9</v>
      </c>
      <c r="HL31">
        <v>25.98</v>
      </c>
      <c r="HM31">
        <v>30.273</v>
      </c>
      <c r="HN31">
        <v>12.5085</v>
      </c>
      <c r="HO31">
        <v>53.9592</v>
      </c>
      <c r="HP31">
        <v>44.4391</v>
      </c>
      <c r="HQ31">
        <v>1</v>
      </c>
      <c r="HR31">
        <v>-0.269223</v>
      </c>
      <c r="HS31">
        <v>4.0977</v>
      </c>
      <c r="HT31">
        <v>20.0887</v>
      </c>
      <c r="HU31">
        <v>5.20231</v>
      </c>
      <c r="HV31">
        <v>12.0041</v>
      </c>
      <c r="HW31">
        <v>4.97565</v>
      </c>
      <c r="HX31">
        <v>3.293</v>
      </c>
      <c r="HY31">
        <v>9999</v>
      </c>
      <c r="HZ31">
        <v>999.9</v>
      </c>
      <c r="IA31">
        <v>9999</v>
      </c>
      <c r="IB31">
        <v>9999</v>
      </c>
      <c r="IC31">
        <v>1.86324</v>
      </c>
      <c r="ID31">
        <v>1.86807</v>
      </c>
      <c r="IE31">
        <v>1.86783</v>
      </c>
      <c r="IF31">
        <v>1.86904</v>
      </c>
      <c r="IG31">
        <v>1.86981</v>
      </c>
      <c r="IH31">
        <v>1.86584</v>
      </c>
      <c r="II31">
        <v>1.86693</v>
      </c>
      <c r="IJ31">
        <v>1.86839</v>
      </c>
      <c r="IK31">
        <v>5</v>
      </c>
      <c r="IL31">
        <v>0</v>
      </c>
      <c r="IM31">
        <v>0</v>
      </c>
      <c r="IN31">
        <v>0</v>
      </c>
      <c r="IO31" t="s">
        <v>441</v>
      </c>
      <c r="IP31" t="s">
        <v>442</v>
      </c>
      <c r="IQ31" t="s">
        <v>443</v>
      </c>
      <c r="IR31" t="s">
        <v>443</v>
      </c>
      <c r="IS31" t="s">
        <v>443</v>
      </c>
      <c r="IT31" t="s">
        <v>443</v>
      </c>
      <c r="IU31">
        <v>0</v>
      </c>
      <c r="IV31">
        <v>100</v>
      </c>
      <c r="IW31">
        <v>100</v>
      </c>
      <c r="IX31">
        <v>2.097</v>
      </c>
      <c r="IY31">
        <v>-0.1113</v>
      </c>
      <c r="IZ31">
        <v>1.12474291219083</v>
      </c>
      <c r="JA31">
        <v>0.00463155566490582</v>
      </c>
      <c r="JB31">
        <v>-1.1358998729424e-06</v>
      </c>
      <c r="JC31">
        <v>3.28704272115545e-10</v>
      </c>
      <c r="JD31">
        <v>-0.0704455108513773</v>
      </c>
      <c r="JE31">
        <v>-0.0251928478371425</v>
      </c>
      <c r="JF31">
        <v>0.00225751704194564</v>
      </c>
      <c r="JG31">
        <v>-3.61734043746866e-05</v>
      </c>
      <c r="JH31">
        <v>1</v>
      </c>
      <c r="JI31">
        <v>2182</v>
      </c>
      <c r="JJ31">
        <v>0</v>
      </c>
      <c r="JK31">
        <v>24</v>
      </c>
      <c r="JL31">
        <v>29349821</v>
      </c>
      <c r="JM31">
        <v>29349821</v>
      </c>
      <c r="JN31">
        <v>0.552979</v>
      </c>
      <c r="JO31">
        <v>2.64893</v>
      </c>
      <c r="JP31">
        <v>1.54785</v>
      </c>
      <c r="JQ31">
        <v>2.31445</v>
      </c>
      <c r="JR31">
        <v>1.64673</v>
      </c>
      <c r="JS31">
        <v>2.30469</v>
      </c>
      <c r="JT31">
        <v>33.4906</v>
      </c>
      <c r="JU31">
        <v>24.1838</v>
      </c>
      <c r="JV31">
        <v>18</v>
      </c>
      <c r="JW31">
        <v>500.318</v>
      </c>
      <c r="JX31">
        <v>393.901</v>
      </c>
      <c r="JY31">
        <v>12.1754</v>
      </c>
      <c r="JZ31">
        <v>23.9008</v>
      </c>
      <c r="KA31">
        <v>30.0001</v>
      </c>
      <c r="KB31">
        <v>23.923</v>
      </c>
      <c r="KC31">
        <v>23.8952</v>
      </c>
      <c r="KD31">
        <v>11.0497</v>
      </c>
      <c r="KE31">
        <v>0</v>
      </c>
      <c r="KF31">
        <v>23.7343</v>
      </c>
      <c r="KG31">
        <v>12.1709</v>
      </c>
      <c r="KH31">
        <v>183.895</v>
      </c>
      <c r="KI31">
        <v>9.33051</v>
      </c>
      <c r="KJ31">
        <v>97.047</v>
      </c>
      <c r="KK31">
        <v>95.3015</v>
      </c>
    </row>
    <row r="32" spans="1:297">
      <c r="A32">
        <v>16</v>
      </c>
      <c r="B32">
        <v>1760989265.1</v>
      </c>
      <c r="C32">
        <v>75</v>
      </c>
      <c r="D32" t="s">
        <v>473</v>
      </c>
      <c r="E32" t="s">
        <v>474</v>
      </c>
      <c r="F32">
        <v>5</v>
      </c>
      <c r="G32" t="s">
        <v>435</v>
      </c>
      <c r="H32" t="s">
        <v>436</v>
      </c>
      <c r="I32">
        <v>1760989256.94615</v>
      </c>
      <c r="J32">
        <f>(K32)/1000</f>
        <v>0</v>
      </c>
      <c r="K32">
        <f>IF(DP32, AN32, AH32)</f>
        <v>0</v>
      </c>
      <c r="L32">
        <f>IF(DP32, AI32, AG32)</f>
        <v>0</v>
      </c>
      <c r="M32">
        <f>DR32 - IF(AU32&gt;1, L32*DL32*100.0/(AW32), 0)</f>
        <v>0</v>
      </c>
      <c r="N32">
        <f>((T32-J32/2)*M32-L32)/(T32+J32/2)</f>
        <v>0</v>
      </c>
      <c r="O32">
        <f>N32*(DY32+DZ32)/1000.0</f>
        <v>0</v>
      </c>
      <c r="P32">
        <f>(DR32 - IF(AU32&gt;1, L32*DL32*100.0/(AW32), 0))*(DY32+DZ32)/1000.0</f>
        <v>0</v>
      </c>
      <c r="Q32">
        <f>2.0/((1/S32-1/R32)+SIGN(S32)*SQRT((1/S32-1/R32)*(1/S32-1/R32) + 4*DM32/((DM32+1)*(DM32+1))*(2*1/S32*1/R32-1/R32*1/R32)))</f>
        <v>0</v>
      </c>
      <c r="R32">
        <f>IF(LEFT(DN32,1)&lt;&gt;"0",IF(LEFT(DN32,1)="1",3.0,DO32),$D$5+$E$5*(EF32*DY32/($K$5*1000))+$F$5*(EF32*DY32/($K$5*1000))*MAX(MIN(DL32,$J$5),$I$5)*MAX(MIN(DL32,$J$5),$I$5)+$G$5*MAX(MIN(DL32,$J$5),$I$5)*(EF32*DY32/($K$5*1000))+$H$5*(EF32*DY32/($K$5*1000))*(EF32*DY32/($K$5*1000)))</f>
        <v>0</v>
      </c>
      <c r="S32">
        <f>J32*(1000-(1000*0.61365*exp(17.502*W32/(240.97+W32))/(DY32+DZ32)+DT32)/2)/(1000*0.61365*exp(17.502*W32/(240.97+W32))/(DY32+DZ32)-DT32)</f>
        <v>0</v>
      </c>
      <c r="T32">
        <f>1/((DM32+1)/(Q32/1.6)+1/(R32/1.37)) + DM32/((DM32+1)/(Q32/1.6) + DM32/(R32/1.37))</f>
        <v>0</v>
      </c>
      <c r="U32">
        <f>(DH32*DK32)</f>
        <v>0</v>
      </c>
      <c r="V32">
        <f>(EA32+(U32+2*0.95*5.67E-8*(((EA32+$B$7)+273)^4-(EA32+273)^4)-44100*J32)/(1.84*29.3*R32+8*0.95*5.67E-8*(EA32+273)^3))</f>
        <v>0</v>
      </c>
      <c r="W32">
        <f>($C$7*EB32+$D$7*EC32+$E$7*V32)</f>
        <v>0</v>
      </c>
      <c r="X32">
        <f>0.61365*exp(17.502*W32/(240.97+W32))</f>
        <v>0</v>
      </c>
      <c r="Y32">
        <f>(Z32/AA32*100)</f>
        <v>0</v>
      </c>
      <c r="Z32">
        <f>DT32*(DY32+DZ32)/1000</f>
        <v>0</v>
      </c>
      <c r="AA32">
        <f>0.61365*exp(17.502*EA32/(240.97+EA32))</f>
        <v>0</v>
      </c>
      <c r="AB32">
        <f>(X32-DT32*(DY32+DZ32)/1000)</f>
        <v>0</v>
      </c>
      <c r="AC32">
        <f>(-J32*44100)</f>
        <v>0</v>
      </c>
      <c r="AD32">
        <f>2*29.3*R32*0.92*(EA32-W32)</f>
        <v>0</v>
      </c>
      <c r="AE32">
        <f>2*0.95*5.67E-8*(((EA32+$B$7)+273)^4-(W32+273)^4)</f>
        <v>0</v>
      </c>
      <c r="AF32">
        <f>U32+AE32+AC32+AD32</f>
        <v>0</v>
      </c>
      <c r="AG32">
        <f>DX32*AU32*(DS32-DR32*(1000-AU32*DU32)/(1000-AU32*DT32))/(100*DL32)</f>
        <v>0</v>
      </c>
      <c r="AH32">
        <f>1000*DX32*AU32*(DT32-DU32)/(100*DL32*(1000-AU32*DT32))</f>
        <v>0</v>
      </c>
      <c r="AI32">
        <f>(AJ32 - AK32 - DY32*1E3/(8.314*(EA32+273.15)) * AM32/DX32 * AL32) * DX32/(100*DL32) * (1000 - DU32)/1000</f>
        <v>0</v>
      </c>
      <c r="AJ32">
        <v>203.776251020946</v>
      </c>
      <c r="AK32">
        <v>212.825393939394</v>
      </c>
      <c r="AL32">
        <v>-3.26178811135875</v>
      </c>
      <c r="AM32">
        <v>64.8413469339502</v>
      </c>
      <c r="AN32">
        <f>(AP32 - AO32 + DY32*1E3/(8.314*(EA32+273.15)) * AR32/DX32 * AQ32) * DX32/(100*DL32) * 1000/(1000 - AP32)</f>
        <v>0</v>
      </c>
      <c r="AO32">
        <v>9.13077491036559</v>
      </c>
      <c r="AP32">
        <v>11.8049733333333</v>
      </c>
      <c r="AQ32">
        <v>-1.02963463819099e-06</v>
      </c>
      <c r="AR32">
        <v>118.472689631034</v>
      </c>
      <c r="AS32">
        <v>0</v>
      </c>
      <c r="AT32">
        <v>0</v>
      </c>
      <c r="AU32">
        <f>IF(AS32*$H$13&gt;=AW32,1.0,(AW32/(AW32-AS32*$H$13)))</f>
        <v>0</v>
      </c>
      <c r="AV32">
        <f>(AU32-1)*100</f>
        <v>0</v>
      </c>
      <c r="AW32">
        <f>MAX(0,($B$13+$C$13*EF32)/(1+$D$13*EF32)*DY32/(EA32+273)*$E$13)</f>
        <v>0</v>
      </c>
      <c r="AX32" t="s">
        <v>437</v>
      </c>
      <c r="AY32" t="s">
        <v>437</v>
      </c>
      <c r="AZ32">
        <v>0</v>
      </c>
      <c r="BA32">
        <v>0</v>
      </c>
      <c r="BB32">
        <f>1-AZ32/BA32</f>
        <v>0</v>
      </c>
      <c r="BC32">
        <v>0</v>
      </c>
      <c r="BD32" t="s">
        <v>437</v>
      </c>
      <c r="BE32" t="s">
        <v>437</v>
      </c>
      <c r="BF32">
        <v>0</v>
      </c>
      <c r="BG32">
        <v>0</v>
      </c>
      <c r="BH32">
        <f>1-BF32/BG32</f>
        <v>0</v>
      </c>
      <c r="BI32">
        <v>0.5</v>
      </c>
      <c r="BJ32">
        <f>DI32</f>
        <v>0</v>
      </c>
      <c r="BK32">
        <f>L32</f>
        <v>0</v>
      </c>
      <c r="BL32">
        <f>BH32*BI32*BJ32</f>
        <v>0</v>
      </c>
      <c r="BM32">
        <f>(BK32-BC32)/BJ32</f>
        <v>0</v>
      </c>
      <c r="BN32">
        <f>(BA32-BG32)/BG32</f>
        <v>0</v>
      </c>
      <c r="BO32">
        <f>AZ32/(BB32+AZ32/BG32)</f>
        <v>0</v>
      </c>
      <c r="BP32" t="s">
        <v>437</v>
      </c>
      <c r="BQ32">
        <v>0</v>
      </c>
      <c r="BR32">
        <f>IF(BQ32&lt;&gt;0, BQ32, BO32)</f>
        <v>0</v>
      </c>
      <c r="BS32">
        <f>1-BR32/BG32</f>
        <v>0</v>
      </c>
      <c r="BT32">
        <f>(BG32-BF32)/(BG32-BR32)</f>
        <v>0</v>
      </c>
      <c r="BU32">
        <f>(BA32-BG32)/(BA32-BR32)</f>
        <v>0</v>
      </c>
      <c r="BV32">
        <f>(BG32-BF32)/(BG32-AZ32)</f>
        <v>0</v>
      </c>
      <c r="BW32">
        <f>(BA32-BG32)/(BA32-AZ32)</f>
        <v>0</v>
      </c>
      <c r="BX32">
        <f>(BT32*BR32/BF32)</f>
        <v>0</v>
      </c>
      <c r="BY32">
        <f>(1-BX32)</f>
        <v>0</v>
      </c>
      <c r="DH32">
        <f>$B$11*EG32+$C$11*EH32+$F$11*ES32*(1-EV32)</f>
        <v>0</v>
      </c>
      <c r="DI32">
        <f>DH32*DJ32</f>
        <v>0</v>
      </c>
      <c r="DJ32">
        <f>($B$11*$D$9+$C$11*$D$9+$F$11*((FF32+EX32)/MAX(FF32+EX32+FG32, 0.1)*$I$9+FG32/MAX(FF32+EX32+FG32, 0.1)*$J$9))/($B$11+$C$11+$F$11)</f>
        <v>0</v>
      </c>
      <c r="DK32">
        <f>($B$11*$K$9+$C$11*$K$9+$F$11*((FF32+EX32)/MAX(FF32+EX32+FG32, 0.1)*$P$9+FG32/MAX(FF32+EX32+FG32, 0.1)*$Q$9))/($B$11+$C$11+$F$11)</f>
        <v>0</v>
      </c>
      <c r="DL32">
        <v>6</v>
      </c>
      <c r="DM32">
        <v>0.5</v>
      </c>
      <c r="DN32" t="s">
        <v>438</v>
      </c>
      <c r="DO32">
        <v>2</v>
      </c>
      <c r="DP32" t="b">
        <v>1</v>
      </c>
      <c r="DQ32">
        <v>1760989256.94615</v>
      </c>
      <c r="DR32">
        <v>233.335692307692</v>
      </c>
      <c r="DS32">
        <v>217.348230769231</v>
      </c>
      <c r="DT32">
        <v>11.8052461538462</v>
      </c>
      <c r="DU32">
        <v>9.13192076923077</v>
      </c>
      <c r="DV32">
        <v>231.197076923077</v>
      </c>
      <c r="DW32">
        <v>11.9165384615385</v>
      </c>
      <c r="DX32">
        <v>500.021461538462</v>
      </c>
      <c r="DY32">
        <v>89.8824</v>
      </c>
      <c r="DZ32">
        <v>0.00753696692307692</v>
      </c>
      <c r="EA32">
        <v>18.4515307692308</v>
      </c>
      <c r="EB32">
        <v>18.0112846153846</v>
      </c>
      <c r="EC32">
        <v>999.9</v>
      </c>
      <c r="ED32">
        <v>0</v>
      </c>
      <c r="EE32">
        <v>0</v>
      </c>
      <c r="EF32">
        <v>10006.2884615385</v>
      </c>
      <c r="EG32">
        <v>0</v>
      </c>
      <c r="EH32">
        <v>1270.04615384615</v>
      </c>
      <c r="EI32">
        <v>15.9874538461538</v>
      </c>
      <c r="EJ32">
        <v>236.123307692308</v>
      </c>
      <c r="EK32">
        <v>219.351461538462</v>
      </c>
      <c r="EL32">
        <v>2.67332461538462</v>
      </c>
      <c r="EM32">
        <v>217.348230769231</v>
      </c>
      <c r="EN32">
        <v>9.13192076923077</v>
      </c>
      <c r="EO32">
        <v>1.06108307692308</v>
      </c>
      <c r="EP32">
        <v>0.820798846153846</v>
      </c>
      <c r="EQ32">
        <v>7.78325538461539</v>
      </c>
      <c r="ER32">
        <v>4.07218076923077</v>
      </c>
      <c r="ES32">
        <v>1199.98230769231</v>
      </c>
      <c r="ET32">
        <v>0.966990230769231</v>
      </c>
      <c r="EU32">
        <v>0.0330098769230769</v>
      </c>
      <c r="EV32">
        <v>0</v>
      </c>
      <c r="EW32">
        <v>1384.17076923077</v>
      </c>
      <c r="EX32">
        <v>5.00059</v>
      </c>
      <c r="EY32">
        <v>16319.2</v>
      </c>
      <c r="EZ32">
        <v>10358.5461538462</v>
      </c>
      <c r="FA32">
        <v>38.5189230769231</v>
      </c>
      <c r="FB32">
        <v>40.7064615384615</v>
      </c>
      <c r="FC32">
        <v>39.0045384615385</v>
      </c>
      <c r="FD32">
        <v>40.543</v>
      </c>
      <c r="FE32">
        <v>39.3939230769231</v>
      </c>
      <c r="FF32">
        <v>1155.53461538462</v>
      </c>
      <c r="FG32">
        <v>39.4469230769231</v>
      </c>
      <c r="FH32">
        <v>0</v>
      </c>
      <c r="FI32">
        <v>1760989234.3</v>
      </c>
      <c r="FJ32">
        <v>0</v>
      </c>
      <c r="FK32">
        <v>1384.12576923077</v>
      </c>
      <c r="FL32">
        <v>-1.38358975076633</v>
      </c>
      <c r="FM32">
        <v>-53.5350427163376</v>
      </c>
      <c r="FN32">
        <v>16318.9423076923</v>
      </c>
      <c r="FO32">
        <v>15</v>
      </c>
      <c r="FP32">
        <v>0</v>
      </c>
      <c r="FQ32" t="s">
        <v>439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15.656895</v>
      </c>
      <c r="GD32">
        <v>4.46469924812031</v>
      </c>
      <c r="GE32">
        <v>0.619685977310283</v>
      </c>
      <c r="GF32">
        <v>0</v>
      </c>
      <c r="GG32">
        <v>1384.04911764706</v>
      </c>
      <c r="GH32">
        <v>1.45317035165386</v>
      </c>
      <c r="GI32">
        <v>0.329289499368666</v>
      </c>
      <c r="GJ32">
        <v>-1</v>
      </c>
      <c r="GK32">
        <v>2.673185</v>
      </c>
      <c r="GL32">
        <v>0.00337804511278265</v>
      </c>
      <c r="GM32">
        <v>0.000833003601432778</v>
      </c>
      <c r="GN32">
        <v>1</v>
      </c>
      <c r="GO32">
        <v>1</v>
      </c>
      <c r="GP32">
        <v>2</v>
      </c>
      <c r="GQ32" t="s">
        <v>446</v>
      </c>
      <c r="GR32">
        <v>3.13072</v>
      </c>
      <c r="GS32">
        <v>2.68517</v>
      </c>
      <c r="GT32">
        <v>0.0499864</v>
      </c>
      <c r="GU32">
        <v>0.0470363</v>
      </c>
      <c r="GV32">
        <v>0.0616898</v>
      </c>
      <c r="GW32">
        <v>0.0504073</v>
      </c>
      <c r="GX32">
        <v>36005.9</v>
      </c>
      <c r="GY32">
        <v>38807.9</v>
      </c>
      <c r="GZ32">
        <v>34267.7</v>
      </c>
      <c r="HA32">
        <v>36848.7</v>
      </c>
      <c r="HB32">
        <v>45348.9</v>
      </c>
      <c r="HC32">
        <v>50169</v>
      </c>
      <c r="HD32">
        <v>53341.8</v>
      </c>
      <c r="HE32">
        <v>58774.9</v>
      </c>
      <c r="HF32">
        <v>2.00882</v>
      </c>
      <c r="HG32">
        <v>1.83617</v>
      </c>
      <c r="HH32">
        <v>0.0334121</v>
      </c>
      <c r="HI32">
        <v>0</v>
      </c>
      <c r="HJ32">
        <v>17.4559</v>
      </c>
      <c r="HK32">
        <v>999.9</v>
      </c>
      <c r="HL32">
        <v>25.98</v>
      </c>
      <c r="HM32">
        <v>30.273</v>
      </c>
      <c r="HN32">
        <v>12.5098</v>
      </c>
      <c r="HO32">
        <v>53.8492</v>
      </c>
      <c r="HP32">
        <v>44.4591</v>
      </c>
      <c r="HQ32">
        <v>1</v>
      </c>
      <c r="HR32">
        <v>-0.268994</v>
      </c>
      <c r="HS32">
        <v>4.14194</v>
      </c>
      <c r="HT32">
        <v>20.0877</v>
      </c>
      <c r="HU32">
        <v>5.20231</v>
      </c>
      <c r="HV32">
        <v>12.004</v>
      </c>
      <c r="HW32">
        <v>4.9757</v>
      </c>
      <c r="HX32">
        <v>3.29298</v>
      </c>
      <c r="HY32">
        <v>9999</v>
      </c>
      <c r="HZ32">
        <v>999.9</v>
      </c>
      <c r="IA32">
        <v>9999</v>
      </c>
      <c r="IB32">
        <v>9999</v>
      </c>
      <c r="IC32">
        <v>1.86325</v>
      </c>
      <c r="ID32">
        <v>1.86809</v>
      </c>
      <c r="IE32">
        <v>1.86783</v>
      </c>
      <c r="IF32">
        <v>1.86905</v>
      </c>
      <c r="IG32">
        <v>1.86981</v>
      </c>
      <c r="IH32">
        <v>1.86584</v>
      </c>
      <c r="II32">
        <v>1.86694</v>
      </c>
      <c r="IJ32">
        <v>1.86837</v>
      </c>
      <c r="IK32">
        <v>5</v>
      </c>
      <c r="IL32">
        <v>0</v>
      </c>
      <c r="IM32">
        <v>0</v>
      </c>
      <c r="IN32">
        <v>0</v>
      </c>
      <c r="IO32" t="s">
        <v>441</v>
      </c>
      <c r="IP32" t="s">
        <v>442</v>
      </c>
      <c r="IQ32" t="s">
        <v>443</v>
      </c>
      <c r="IR32" t="s">
        <v>443</v>
      </c>
      <c r="IS32" t="s">
        <v>443</v>
      </c>
      <c r="IT32" t="s">
        <v>443</v>
      </c>
      <c r="IU32">
        <v>0</v>
      </c>
      <c r="IV32">
        <v>100</v>
      </c>
      <c r="IW32">
        <v>100</v>
      </c>
      <c r="IX32">
        <v>2.03</v>
      </c>
      <c r="IY32">
        <v>-0.1113</v>
      </c>
      <c r="IZ32">
        <v>1.12474291219083</v>
      </c>
      <c r="JA32">
        <v>0.00463155566490582</v>
      </c>
      <c r="JB32">
        <v>-1.1358998729424e-06</v>
      </c>
      <c r="JC32">
        <v>3.28704272115545e-10</v>
      </c>
      <c r="JD32">
        <v>-0.0704455108513773</v>
      </c>
      <c r="JE32">
        <v>-0.0251928478371425</v>
      </c>
      <c r="JF32">
        <v>0.00225751704194564</v>
      </c>
      <c r="JG32">
        <v>-3.61734043746866e-05</v>
      </c>
      <c r="JH32">
        <v>1</v>
      </c>
      <c r="JI32">
        <v>2182</v>
      </c>
      <c r="JJ32">
        <v>0</v>
      </c>
      <c r="JK32">
        <v>24</v>
      </c>
      <c r="JL32">
        <v>29349821.1</v>
      </c>
      <c r="JM32">
        <v>29349821.1</v>
      </c>
      <c r="JN32">
        <v>0.518799</v>
      </c>
      <c r="JO32">
        <v>2.65137</v>
      </c>
      <c r="JP32">
        <v>1.54785</v>
      </c>
      <c r="JQ32">
        <v>2.31445</v>
      </c>
      <c r="JR32">
        <v>1.64673</v>
      </c>
      <c r="JS32">
        <v>2.323</v>
      </c>
      <c r="JT32">
        <v>33.4906</v>
      </c>
      <c r="JU32">
        <v>24.1838</v>
      </c>
      <c r="JV32">
        <v>18</v>
      </c>
      <c r="JW32">
        <v>500.718</v>
      </c>
      <c r="JX32">
        <v>393.664</v>
      </c>
      <c r="JY32">
        <v>12.168</v>
      </c>
      <c r="JZ32">
        <v>23.9008</v>
      </c>
      <c r="KA32">
        <v>30</v>
      </c>
      <c r="KB32">
        <v>23.923</v>
      </c>
      <c r="KC32">
        <v>23.8952</v>
      </c>
      <c r="KD32">
        <v>10.4175</v>
      </c>
      <c r="KE32">
        <v>0</v>
      </c>
      <c r="KF32">
        <v>23.7343</v>
      </c>
      <c r="KG32">
        <v>12.1561</v>
      </c>
      <c r="KH32">
        <v>163.611</v>
      </c>
      <c r="KI32">
        <v>9.33051</v>
      </c>
      <c r="KJ32">
        <v>97.0463</v>
      </c>
      <c r="KK32">
        <v>95.3015</v>
      </c>
    </row>
    <row r="33" spans="1:297">
      <c r="A33">
        <v>17</v>
      </c>
      <c r="B33">
        <v>1760989270.1</v>
      </c>
      <c r="C33">
        <v>80</v>
      </c>
      <c r="D33" t="s">
        <v>475</v>
      </c>
      <c r="E33" t="s">
        <v>476</v>
      </c>
      <c r="F33">
        <v>5</v>
      </c>
      <c r="G33" t="s">
        <v>435</v>
      </c>
      <c r="H33" t="s">
        <v>436</v>
      </c>
      <c r="I33">
        <v>1760989261.94615</v>
      </c>
      <c r="J33">
        <f>(K33)/1000</f>
        <v>0</v>
      </c>
      <c r="K33">
        <f>IF(DP33, AN33, AH33)</f>
        <v>0</v>
      </c>
      <c r="L33">
        <f>IF(DP33, AI33, AG33)</f>
        <v>0</v>
      </c>
      <c r="M33">
        <f>DR33 - IF(AU33&gt;1, L33*DL33*100.0/(AW33), 0)</f>
        <v>0</v>
      </c>
      <c r="N33">
        <f>((T33-J33/2)*M33-L33)/(T33+J33/2)</f>
        <v>0</v>
      </c>
      <c r="O33">
        <f>N33*(DY33+DZ33)/1000.0</f>
        <v>0</v>
      </c>
      <c r="P33">
        <f>(DR33 - IF(AU33&gt;1, L33*DL33*100.0/(AW33), 0))*(DY33+DZ33)/1000.0</f>
        <v>0</v>
      </c>
      <c r="Q33">
        <f>2.0/((1/S33-1/R33)+SIGN(S33)*SQRT((1/S33-1/R33)*(1/S33-1/R33) + 4*DM33/((DM33+1)*(DM33+1))*(2*1/S33*1/R33-1/R33*1/R33)))</f>
        <v>0</v>
      </c>
      <c r="R33">
        <f>IF(LEFT(DN33,1)&lt;&gt;"0",IF(LEFT(DN33,1)="1",3.0,DO33),$D$5+$E$5*(EF33*DY33/($K$5*1000))+$F$5*(EF33*DY33/($K$5*1000))*MAX(MIN(DL33,$J$5),$I$5)*MAX(MIN(DL33,$J$5),$I$5)+$G$5*MAX(MIN(DL33,$J$5),$I$5)*(EF33*DY33/($K$5*1000))+$H$5*(EF33*DY33/($K$5*1000))*(EF33*DY33/($K$5*1000)))</f>
        <v>0</v>
      </c>
      <c r="S33">
        <f>J33*(1000-(1000*0.61365*exp(17.502*W33/(240.97+W33))/(DY33+DZ33)+DT33)/2)/(1000*0.61365*exp(17.502*W33/(240.97+W33))/(DY33+DZ33)-DT33)</f>
        <v>0</v>
      </c>
      <c r="T33">
        <f>1/((DM33+1)/(Q33/1.6)+1/(R33/1.37)) + DM33/((DM33+1)/(Q33/1.6) + DM33/(R33/1.37))</f>
        <v>0</v>
      </c>
      <c r="U33">
        <f>(DH33*DK33)</f>
        <v>0</v>
      </c>
      <c r="V33">
        <f>(EA33+(U33+2*0.95*5.67E-8*(((EA33+$B$7)+273)^4-(EA33+273)^4)-44100*J33)/(1.84*29.3*R33+8*0.95*5.67E-8*(EA33+273)^3))</f>
        <v>0</v>
      </c>
      <c r="W33">
        <f>($C$7*EB33+$D$7*EC33+$E$7*V33)</f>
        <v>0</v>
      </c>
      <c r="X33">
        <f>0.61365*exp(17.502*W33/(240.97+W33))</f>
        <v>0</v>
      </c>
      <c r="Y33">
        <f>(Z33/AA33*100)</f>
        <v>0</v>
      </c>
      <c r="Z33">
        <f>DT33*(DY33+DZ33)/1000</f>
        <v>0</v>
      </c>
      <c r="AA33">
        <f>0.61365*exp(17.502*EA33/(240.97+EA33))</f>
        <v>0</v>
      </c>
      <c r="AB33">
        <f>(X33-DT33*(DY33+DZ33)/1000)</f>
        <v>0</v>
      </c>
      <c r="AC33">
        <f>(-J33*44100)</f>
        <v>0</v>
      </c>
      <c r="AD33">
        <f>2*29.3*R33*0.92*(EA33-W33)</f>
        <v>0</v>
      </c>
      <c r="AE33">
        <f>2*0.95*5.67E-8*(((EA33+$B$7)+273)^4-(W33+273)^4)</f>
        <v>0</v>
      </c>
      <c r="AF33">
        <f>U33+AE33+AC33+AD33</f>
        <v>0</v>
      </c>
      <c r="AG33">
        <f>DX33*AU33*(DS33-DR33*(1000-AU33*DU33)/(1000-AU33*DT33))/(100*DL33)</f>
        <v>0</v>
      </c>
      <c r="AH33">
        <f>1000*DX33*AU33*(DT33-DU33)/(100*DL33*(1000-AU33*DT33))</f>
        <v>0</v>
      </c>
      <c r="AI33">
        <f>(AJ33 - AK33 - DY33*1E3/(8.314*(EA33+273.15)) * AM33/DX33 * AL33) * DX33/(100*DL33) * (1000 - DU33)/1000</f>
        <v>0</v>
      </c>
      <c r="AJ33">
        <v>187.496956199619</v>
      </c>
      <c r="AK33">
        <v>196.809266666667</v>
      </c>
      <c r="AL33">
        <v>-3.18857280820489</v>
      </c>
      <c r="AM33">
        <v>64.8413469339502</v>
      </c>
      <c r="AN33">
        <f>(AP33 - AO33 + DY33*1E3/(8.314*(EA33+273.15)) * AR33/DX33 * AQ33) * DX33/(100*DL33) * 1000/(1000 - AP33)</f>
        <v>0</v>
      </c>
      <c r="AO33">
        <v>9.13077006473052</v>
      </c>
      <c r="AP33">
        <v>11.8044278787879</v>
      </c>
      <c r="AQ33">
        <v>-2.46631315309555e-06</v>
      </c>
      <c r="AR33">
        <v>118.472689631034</v>
      </c>
      <c r="AS33">
        <v>0</v>
      </c>
      <c r="AT33">
        <v>0</v>
      </c>
      <c r="AU33">
        <f>IF(AS33*$H$13&gt;=AW33,1.0,(AW33/(AW33-AS33*$H$13)))</f>
        <v>0</v>
      </c>
      <c r="AV33">
        <f>(AU33-1)*100</f>
        <v>0</v>
      </c>
      <c r="AW33">
        <f>MAX(0,($B$13+$C$13*EF33)/(1+$D$13*EF33)*DY33/(EA33+273)*$E$13)</f>
        <v>0</v>
      </c>
      <c r="AX33" t="s">
        <v>437</v>
      </c>
      <c r="AY33" t="s">
        <v>437</v>
      </c>
      <c r="AZ33">
        <v>0</v>
      </c>
      <c r="BA33">
        <v>0</v>
      </c>
      <c r="BB33">
        <f>1-AZ33/BA33</f>
        <v>0</v>
      </c>
      <c r="BC33">
        <v>0</v>
      </c>
      <c r="BD33" t="s">
        <v>437</v>
      </c>
      <c r="BE33" t="s">
        <v>437</v>
      </c>
      <c r="BF33">
        <v>0</v>
      </c>
      <c r="BG33">
        <v>0</v>
      </c>
      <c r="BH33">
        <f>1-BF33/BG33</f>
        <v>0</v>
      </c>
      <c r="BI33">
        <v>0.5</v>
      </c>
      <c r="BJ33">
        <f>DI33</f>
        <v>0</v>
      </c>
      <c r="BK33">
        <f>L33</f>
        <v>0</v>
      </c>
      <c r="BL33">
        <f>BH33*BI33*BJ33</f>
        <v>0</v>
      </c>
      <c r="BM33">
        <f>(BK33-BC33)/BJ33</f>
        <v>0</v>
      </c>
      <c r="BN33">
        <f>(BA33-BG33)/BG33</f>
        <v>0</v>
      </c>
      <c r="BO33">
        <f>AZ33/(BB33+AZ33/BG33)</f>
        <v>0</v>
      </c>
      <c r="BP33" t="s">
        <v>437</v>
      </c>
      <c r="BQ33">
        <v>0</v>
      </c>
      <c r="BR33">
        <f>IF(BQ33&lt;&gt;0, BQ33, BO33)</f>
        <v>0</v>
      </c>
      <c r="BS33">
        <f>1-BR33/BG33</f>
        <v>0</v>
      </c>
      <c r="BT33">
        <f>(BG33-BF33)/(BG33-BR33)</f>
        <v>0</v>
      </c>
      <c r="BU33">
        <f>(BA33-BG33)/(BA33-BR33)</f>
        <v>0</v>
      </c>
      <c r="BV33">
        <f>(BG33-BF33)/(BG33-AZ33)</f>
        <v>0</v>
      </c>
      <c r="BW33">
        <f>(BA33-BG33)/(BA33-AZ33)</f>
        <v>0</v>
      </c>
      <c r="BX33">
        <f>(BT33*BR33/BF33)</f>
        <v>0</v>
      </c>
      <c r="BY33">
        <f>(1-BX33)</f>
        <v>0</v>
      </c>
      <c r="DH33">
        <f>$B$11*EG33+$C$11*EH33+$F$11*ES33*(1-EV33)</f>
        <v>0</v>
      </c>
      <c r="DI33">
        <f>DH33*DJ33</f>
        <v>0</v>
      </c>
      <c r="DJ33">
        <f>($B$11*$D$9+$C$11*$D$9+$F$11*((FF33+EX33)/MAX(FF33+EX33+FG33, 0.1)*$I$9+FG33/MAX(FF33+EX33+FG33, 0.1)*$J$9))/($B$11+$C$11+$F$11)</f>
        <v>0</v>
      </c>
      <c r="DK33">
        <f>($B$11*$K$9+$C$11*$K$9+$F$11*((FF33+EX33)/MAX(FF33+EX33+FG33, 0.1)*$P$9+FG33/MAX(FF33+EX33+FG33, 0.1)*$Q$9))/($B$11+$C$11+$F$11)</f>
        <v>0</v>
      </c>
      <c r="DL33">
        <v>6</v>
      </c>
      <c r="DM33">
        <v>0.5</v>
      </c>
      <c r="DN33" t="s">
        <v>438</v>
      </c>
      <c r="DO33">
        <v>2</v>
      </c>
      <c r="DP33" t="b">
        <v>1</v>
      </c>
      <c r="DQ33">
        <v>1760989261.94615</v>
      </c>
      <c r="DR33">
        <v>217.242461538462</v>
      </c>
      <c r="DS33">
        <v>201.133538461538</v>
      </c>
      <c r="DT33">
        <v>11.8052</v>
      </c>
      <c r="DU33">
        <v>9.13139307692308</v>
      </c>
      <c r="DV33">
        <v>215.170692307692</v>
      </c>
      <c r="DW33">
        <v>11.9164846153846</v>
      </c>
      <c r="DX33">
        <v>500.031692307692</v>
      </c>
      <c r="DY33">
        <v>89.8821307692308</v>
      </c>
      <c r="DZ33">
        <v>0.00739286769230769</v>
      </c>
      <c r="EA33">
        <v>18.4520923076923</v>
      </c>
      <c r="EB33">
        <v>18.0104384615385</v>
      </c>
      <c r="EC33">
        <v>999.9</v>
      </c>
      <c r="ED33">
        <v>0</v>
      </c>
      <c r="EE33">
        <v>0</v>
      </c>
      <c r="EF33">
        <v>9999.70384615385</v>
      </c>
      <c r="EG33">
        <v>0</v>
      </c>
      <c r="EH33">
        <v>1270.07076923077</v>
      </c>
      <c r="EI33">
        <v>16.1089846153846</v>
      </c>
      <c r="EJ33">
        <v>219.837769230769</v>
      </c>
      <c r="EK33">
        <v>202.987153846154</v>
      </c>
      <c r="EL33">
        <v>2.67380846153846</v>
      </c>
      <c r="EM33">
        <v>201.133538461538</v>
      </c>
      <c r="EN33">
        <v>9.13139307692308</v>
      </c>
      <c r="EO33">
        <v>1.06107615384615</v>
      </c>
      <c r="EP33">
        <v>0.820749</v>
      </c>
      <c r="EQ33">
        <v>7.78315923076923</v>
      </c>
      <c r="ER33">
        <v>4.07131615384615</v>
      </c>
      <c r="ES33">
        <v>1200.01076923077</v>
      </c>
      <c r="ET33">
        <v>0.966993230769231</v>
      </c>
      <c r="EU33">
        <v>0.0330068769230769</v>
      </c>
      <c r="EV33">
        <v>0</v>
      </c>
      <c r="EW33">
        <v>1383.95692307692</v>
      </c>
      <c r="EX33">
        <v>5.00059</v>
      </c>
      <c r="EY33">
        <v>16313.4307692308</v>
      </c>
      <c r="EZ33">
        <v>10358.8076923077</v>
      </c>
      <c r="FA33">
        <v>38.4468461538462</v>
      </c>
      <c r="FB33">
        <v>40.5526153846154</v>
      </c>
      <c r="FC33">
        <v>38.9324615384615</v>
      </c>
      <c r="FD33">
        <v>40.3410769230769</v>
      </c>
      <c r="FE33">
        <v>39.3025384615385</v>
      </c>
      <c r="FF33">
        <v>1155.56538461538</v>
      </c>
      <c r="FG33">
        <v>39.4453846153846</v>
      </c>
      <c r="FH33">
        <v>0</v>
      </c>
      <c r="FI33">
        <v>1760989239.1</v>
      </c>
      <c r="FJ33">
        <v>0</v>
      </c>
      <c r="FK33">
        <v>1383.85153846154</v>
      </c>
      <c r="FL33">
        <v>-5.13435898032384</v>
      </c>
      <c r="FM33">
        <v>-98.4717948674937</v>
      </c>
      <c r="FN33">
        <v>16313.05</v>
      </c>
      <c r="FO33">
        <v>15</v>
      </c>
      <c r="FP33">
        <v>0</v>
      </c>
      <c r="FQ33" t="s">
        <v>439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16.096925</v>
      </c>
      <c r="GD33">
        <v>2.43741203007517</v>
      </c>
      <c r="GE33">
        <v>0.45485193071482</v>
      </c>
      <c r="GF33">
        <v>0</v>
      </c>
      <c r="GG33">
        <v>1383.95882352941</v>
      </c>
      <c r="GH33">
        <v>-2.62673797433996</v>
      </c>
      <c r="GI33">
        <v>0.406359480856133</v>
      </c>
      <c r="GJ33">
        <v>-1</v>
      </c>
      <c r="GK33">
        <v>2.6735835</v>
      </c>
      <c r="GL33">
        <v>0.00785278195488472</v>
      </c>
      <c r="GM33">
        <v>0.00100506853000184</v>
      </c>
      <c r="GN33">
        <v>1</v>
      </c>
      <c r="GO33">
        <v>1</v>
      </c>
      <c r="GP33">
        <v>2</v>
      </c>
      <c r="GQ33" t="s">
        <v>446</v>
      </c>
      <c r="GR33">
        <v>3.13039</v>
      </c>
      <c r="GS33">
        <v>2.6855</v>
      </c>
      <c r="GT33">
        <v>0.0465777</v>
      </c>
      <c r="GU33">
        <v>0.0433007</v>
      </c>
      <c r="GV33">
        <v>0.0616818</v>
      </c>
      <c r="GW33">
        <v>0.0504023</v>
      </c>
      <c r="GX33">
        <v>36135</v>
      </c>
      <c r="GY33">
        <v>38960.3</v>
      </c>
      <c r="GZ33">
        <v>34267.6</v>
      </c>
      <c r="HA33">
        <v>36848.9</v>
      </c>
      <c r="HB33">
        <v>45349</v>
      </c>
      <c r="HC33">
        <v>50169</v>
      </c>
      <c r="HD33">
        <v>53341.9</v>
      </c>
      <c r="HE33">
        <v>58775.1</v>
      </c>
      <c r="HF33">
        <v>2.00798</v>
      </c>
      <c r="HG33">
        <v>1.8366</v>
      </c>
      <c r="HH33">
        <v>0.033237</v>
      </c>
      <c r="HI33">
        <v>0</v>
      </c>
      <c r="HJ33">
        <v>17.4559</v>
      </c>
      <c r="HK33">
        <v>999.9</v>
      </c>
      <c r="HL33">
        <v>26.01</v>
      </c>
      <c r="HM33">
        <v>30.273</v>
      </c>
      <c r="HN33">
        <v>12.5242</v>
      </c>
      <c r="HO33">
        <v>53.8292</v>
      </c>
      <c r="HP33">
        <v>44.5232</v>
      </c>
      <c r="HQ33">
        <v>1</v>
      </c>
      <c r="HR33">
        <v>-0.26876</v>
      </c>
      <c r="HS33">
        <v>4.15341</v>
      </c>
      <c r="HT33">
        <v>20.0873</v>
      </c>
      <c r="HU33">
        <v>5.20187</v>
      </c>
      <c r="HV33">
        <v>12.004</v>
      </c>
      <c r="HW33">
        <v>4.9756</v>
      </c>
      <c r="HX33">
        <v>3.293</v>
      </c>
      <c r="HY33">
        <v>9999</v>
      </c>
      <c r="HZ33">
        <v>999.9</v>
      </c>
      <c r="IA33">
        <v>9999</v>
      </c>
      <c r="IB33">
        <v>9999</v>
      </c>
      <c r="IC33">
        <v>1.86324</v>
      </c>
      <c r="ID33">
        <v>1.86804</v>
      </c>
      <c r="IE33">
        <v>1.86783</v>
      </c>
      <c r="IF33">
        <v>1.86905</v>
      </c>
      <c r="IG33">
        <v>1.86981</v>
      </c>
      <c r="IH33">
        <v>1.86584</v>
      </c>
      <c r="II33">
        <v>1.86692</v>
      </c>
      <c r="IJ33">
        <v>1.86836</v>
      </c>
      <c r="IK33">
        <v>5</v>
      </c>
      <c r="IL33">
        <v>0</v>
      </c>
      <c r="IM33">
        <v>0</v>
      </c>
      <c r="IN33">
        <v>0</v>
      </c>
      <c r="IO33" t="s">
        <v>441</v>
      </c>
      <c r="IP33" t="s">
        <v>442</v>
      </c>
      <c r="IQ33" t="s">
        <v>443</v>
      </c>
      <c r="IR33" t="s">
        <v>443</v>
      </c>
      <c r="IS33" t="s">
        <v>443</v>
      </c>
      <c r="IT33" t="s">
        <v>443</v>
      </c>
      <c r="IU33">
        <v>0</v>
      </c>
      <c r="IV33">
        <v>100</v>
      </c>
      <c r="IW33">
        <v>100</v>
      </c>
      <c r="IX33">
        <v>1.963</v>
      </c>
      <c r="IY33">
        <v>-0.1113</v>
      </c>
      <c r="IZ33">
        <v>1.12474291219083</v>
      </c>
      <c r="JA33">
        <v>0.00463155566490582</v>
      </c>
      <c r="JB33">
        <v>-1.1358998729424e-06</v>
      </c>
      <c r="JC33">
        <v>3.28704272115545e-10</v>
      </c>
      <c r="JD33">
        <v>-0.0704455108513773</v>
      </c>
      <c r="JE33">
        <v>-0.0251928478371425</v>
      </c>
      <c r="JF33">
        <v>0.00225751704194564</v>
      </c>
      <c r="JG33">
        <v>-3.61734043746866e-05</v>
      </c>
      <c r="JH33">
        <v>1</v>
      </c>
      <c r="JI33">
        <v>2182</v>
      </c>
      <c r="JJ33">
        <v>0</v>
      </c>
      <c r="JK33">
        <v>24</v>
      </c>
      <c r="JL33">
        <v>29349821.2</v>
      </c>
      <c r="JM33">
        <v>29349821.2</v>
      </c>
      <c r="JN33">
        <v>0.483398</v>
      </c>
      <c r="JO33">
        <v>2.65503</v>
      </c>
      <c r="JP33">
        <v>1.54785</v>
      </c>
      <c r="JQ33">
        <v>2.31445</v>
      </c>
      <c r="JR33">
        <v>1.64673</v>
      </c>
      <c r="JS33">
        <v>2.28149</v>
      </c>
      <c r="JT33">
        <v>33.4906</v>
      </c>
      <c r="JU33">
        <v>24.1838</v>
      </c>
      <c r="JV33">
        <v>18</v>
      </c>
      <c r="JW33">
        <v>500.174</v>
      </c>
      <c r="JX33">
        <v>393.888</v>
      </c>
      <c r="JY33">
        <v>12.1531</v>
      </c>
      <c r="JZ33">
        <v>23.9008</v>
      </c>
      <c r="KA33">
        <v>30.0002</v>
      </c>
      <c r="KB33">
        <v>23.923</v>
      </c>
      <c r="KC33">
        <v>23.8952</v>
      </c>
      <c r="KD33">
        <v>9.65509</v>
      </c>
      <c r="KE33">
        <v>0</v>
      </c>
      <c r="KF33">
        <v>23.7343</v>
      </c>
      <c r="KG33">
        <v>12.1467</v>
      </c>
      <c r="KH33">
        <v>150.103</v>
      </c>
      <c r="KI33">
        <v>9.33051</v>
      </c>
      <c r="KJ33">
        <v>97.0463</v>
      </c>
      <c r="KK33">
        <v>95.3019</v>
      </c>
    </row>
    <row r="34" spans="1:297">
      <c r="A34">
        <v>18</v>
      </c>
      <c r="B34">
        <v>1760989275.1</v>
      </c>
      <c r="C34">
        <v>85</v>
      </c>
      <c r="D34" t="s">
        <v>477</v>
      </c>
      <c r="E34" t="s">
        <v>478</v>
      </c>
      <c r="F34">
        <v>5</v>
      </c>
      <c r="G34" t="s">
        <v>435</v>
      </c>
      <c r="H34" t="s">
        <v>436</v>
      </c>
      <c r="I34">
        <v>1760989266.94615</v>
      </c>
      <c r="J34">
        <f>(K34)/1000</f>
        <v>0</v>
      </c>
      <c r="K34">
        <f>IF(DP34, AN34, AH34)</f>
        <v>0</v>
      </c>
      <c r="L34">
        <f>IF(DP34, AI34, AG34)</f>
        <v>0</v>
      </c>
      <c r="M34">
        <f>DR34 - IF(AU34&gt;1, L34*DL34*100.0/(AW34), 0)</f>
        <v>0</v>
      </c>
      <c r="N34">
        <f>((T34-J34/2)*M34-L34)/(T34+J34/2)</f>
        <v>0</v>
      </c>
      <c r="O34">
        <f>N34*(DY34+DZ34)/1000.0</f>
        <v>0</v>
      </c>
      <c r="P34">
        <f>(DR34 - IF(AU34&gt;1, L34*DL34*100.0/(AW34), 0))*(DY34+DZ34)/1000.0</f>
        <v>0</v>
      </c>
      <c r="Q34">
        <f>2.0/((1/S34-1/R34)+SIGN(S34)*SQRT((1/S34-1/R34)*(1/S34-1/R34) + 4*DM34/((DM34+1)*(DM34+1))*(2*1/S34*1/R34-1/R34*1/R34)))</f>
        <v>0</v>
      </c>
      <c r="R34">
        <f>IF(LEFT(DN34,1)&lt;&gt;"0",IF(LEFT(DN34,1)="1",3.0,DO34),$D$5+$E$5*(EF34*DY34/($K$5*1000))+$F$5*(EF34*DY34/($K$5*1000))*MAX(MIN(DL34,$J$5),$I$5)*MAX(MIN(DL34,$J$5),$I$5)+$G$5*MAX(MIN(DL34,$J$5),$I$5)*(EF34*DY34/($K$5*1000))+$H$5*(EF34*DY34/($K$5*1000))*(EF34*DY34/($K$5*1000)))</f>
        <v>0</v>
      </c>
      <c r="S34">
        <f>J34*(1000-(1000*0.61365*exp(17.502*W34/(240.97+W34))/(DY34+DZ34)+DT34)/2)/(1000*0.61365*exp(17.502*W34/(240.97+W34))/(DY34+DZ34)-DT34)</f>
        <v>0</v>
      </c>
      <c r="T34">
        <f>1/((DM34+1)/(Q34/1.6)+1/(R34/1.37)) + DM34/((DM34+1)/(Q34/1.6) + DM34/(R34/1.37))</f>
        <v>0</v>
      </c>
      <c r="U34">
        <f>(DH34*DK34)</f>
        <v>0</v>
      </c>
      <c r="V34">
        <f>(EA34+(U34+2*0.95*5.67E-8*(((EA34+$B$7)+273)^4-(EA34+273)^4)-44100*J34)/(1.84*29.3*R34+8*0.95*5.67E-8*(EA34+273)^3))</f>
        <v>0</v>
      </c>
      <c r="W34">
        <f>($C$7*EB34+$D$7*EC34+$E$7*V34)</f>
        <v>0</v>
      </c>
      <c r="X34">
        <f>0.61365*exp(17.502*W34/(240.97+W34))</f>
        <v>0</v>
      </c>
      <c r="Y34">
        <f>(Z34/AA34*100)</f>
        <v>0</v>
      </c>
      <c r="Z34">
        <f>DT34*(DY34+DZ34)/1000</f>
        <v>0</v>
      </c>
      <c r="AA34">
        <f>0.61365*exp(17.502*EA34/(240.97+EA34))</f>
        <v>0</v>
      </c>
      <c r="AB34">
        <f>(X34-DT34*(DY34+DZ34)/1000)</f>
        <v>0</v>
      </c>
      <c r="AC34">
        <f>(-J34*44100)</f>
        <v>0</v>
      </c>
      <c r="AD34">
        <f>2*29.3*R34*0.92*(EA34-W34)</f>
        <v>0</v>
      </c>
      <c r="AE34">
        <f>2*0.95*5.67E-8*(((EA34+$B$7)+273)^4-(W34+273)^4)</f>
        <v>0</v>
      </c>
      <c r="AF34">
        <f>U34+AE34+AC34+AD34</f>
        <v>0</v>
      </c>
      <c r="AG34">
        <f>DX34*AU34*(DS34-DR34*(1000-AU34*DU34)/(1000-AU34*DT34))/(100*DL34)</f>
        <v>0</v>
      </c>
      <c r="AH34">
        <f>1000*DX34*AU34*(DT34-DU34)/(100*DL34*(1000-AU34*DT34))</f>
        <v>0</v>
      </c>
      <c r="AI34">
        <f>(AJ34 - AK34 - DY34*1E3/(8.314*(EA34+273.15)) * AM34/DX34 * AL34) * DX34/(100*DL34) * (1000 - DU34)/1000</f>
        <v>0</v>
      </c>
      <c r="AJ34">
        <v>170.127987085397</v>
      </c>
      <c r="AK34">
        <v>180.298296969697</v>
      </c>
      <c r="AL34">
        <v>-3.31910081596121</v>
      </c>
      <c r="AM34">
        <v>64.8413469339502</v>
      </c>
      <c r="AN34">
        <f>(AP34 - AO34 + DY34*1E3/(8.314*(EA34+273.15)) * AR34/DX34 * AQ34) * DX34/(100*DL34) * 1000/(1000 - AP34)</f>
        <v>0</v>
      </c>
      <c r="AO34">
        <v>9.12826834722113</v>
      </c>
      <c r="AP34">
        <v>11.8006363636364</v>
      </c>
      <c r="AQ34">
        <v>-4.30736432432796e-06</v>
      </c>
      <c r="AR34">
        <v>118.472689631034</v>
      </c>
      <c r="AS34">
        <v>0</v>
      </c>
      <c r="AT34">
        <v>0</v>
      </c>
      <c r="AU34">
        <f>IF(AS34*$H$13&gt;=AW34,1.0,(AW34/(AW34-AS34*$H$13)))</f>
        <v>0</v>
      </c>
      <c r="AV34">
        <f>(AU34-1)*100</f>
        <v>0</v>
      </c>
      <c r="AW34">
        <f>MAX(0,($B$13+$C$13*EF34)/(1+$D$13*EF34)*DY34/(EA34+273)*$E$13)</f>
        <v>0</v>
      </c>
      <c r="AX34" t="s">
        <v>437</v>
      </c>
      <c r="AY34" t="s">
        <v>437</v>
      </c>
      <c r="AZ34">
        <v>0</v>
      </c>
      <c r="BA34">
        <v>0</v>
      </c>
      <c r="BB34">
        <f>1-AZ34/BA34</f>
        <v>0</v>
      </c>
      <c r="BC34">
        <v>0</v>
      </c>
      <c r="BD34" t="s">
        <v>437</v>
      </c>
      <c r="BE34" t="s">
        <v>437</v>
      </c>
      <c r="BF34">
        <v>0</v>
      </c>
      <c r="BG34">
        <v>0</v>
      </c>
      <c r="BH34">
        <f>1-BF34/BG34</f>
        <v>0</v>
      </c>
      <c r="BI34">
        <v>0.5</v>
      </c>
      <c r="BJ34">
        <f>DI34</f>
        <v>0</v>
      </c>
      <c r="BK34">
        <f>L34</f>
        <v>0</v>
      </c>
      <c r="BL34">
        <f>BH34*BI34*BJ34</f>
        <v>0</v>
      </c>
      <c r="BM34">
        <f>(BK34-BC34)/BJ34</f>
        <v>0</v>
      </c>
      <c r="BN34">
        <f>(BA34-BG34)/BG34</f>
        <v>0</v>
      </c>
      <c r="BO34">
        <f>AZ34/(BB34+AZ34/BG34)</f>
        <v>0</v>
      </c>
      <c r="BP34" t="s">
        <v>437</v>
      </c>
      <c r="BQ34">
        <v>0</v>
      </c>
      <c r="BR34">
        <f>IF(BQ34&lt;&gt;0, BQ34, BO34)</f>
        <v>0</v>
      </c>
      <c r="BS34">
        <f>1-BR34/BG34</f>
        <v>0</v>
      </c>
      <c r="BT34">
        <f>(BG34-BF34)/(BG34-BR34)</f>
        <v>0</v>
      </c>
      <c r="BU34">
        <f>(BA34-BG34)/(BA34-BR34)</f>
        <v>0</v>
      </c>
      <c r="BV34">
        <f>(BG34-BF34)/(BG34-AZ34)</f>
        <v>0</v>
      </c>
      <c r="BW34">
        <f>(BA34-BG34)/(BA34-AZ34)</f>
        <v>0</v>
      </c>
      <c r="BX34">
        <f>(BT34*BR34/BF34)</f>
        <v>0</v>
      </c>
      <c r="BY34">
        <f>(1-BX34)</f>
        <v>0</v>
      </c>
      <c r="DH34">
        <f>$B$11*EG34+$C$11*EH34+$F$11*ES34*(1-EV34)</f>
        <v>0</v>
      </c>
      <c r="DI34">
        <f>DH34*DJ34</f>
        <v>0</v>
      </c>
      <c r="DJ34">
        <f>($B$11*$D$9+$C$11*$D$9+$F$11*((FF34+EX34)/MAX(FF34+EX34+FG34, 0.1)*$I$9+FG34/MAX(FF34+EX34+FG34, 0.1)*$J$9))/($B$11+$C$11+$F$11)</f>
        <v>0</v>
      </c>
      <c r="DK34">
        <f>($B$11*$K$9+$C$11*$K$9+$F$11*((FF34+EX34)/MAX(FF34+EX34+FG34, 0.1)*$P$9+FG34/MAX(FF34+EX34+FG34, 0.1)*$Q$9))/($B$11+$C$11+$F$11)</f>
        <v>0</v>
      </c>
      <c r="DL34">
        <v>6</v>
      </c>
      <c r="DM34">
        <v>0.5</v>
      </c>
      <c r="DN34" t="s">
        <v>438</v>
      </c>
      <c r="DO34">
        <v>2</v>
      </c>
      <c r="DP34" t="b">
        <v>1</v>
      </c>
      <c r="DQ34">
        <v>1760989266.94615</v>
      </c>
      <c r="DR34">
        <v>201.252</v>
      </c>
      <c r="DS34">
        <v>184.410461538462</v>
      </c>
      <c r="DT34">
        <v>11.8041769230769</v>
      </c>
      <c r="DU34">
        <v>9.13022</v>
      </c>
      <c r="DV34">
        <v>199.247153846154</v>
      </c>
      <c r="DW34">
        <v>11.9154846153846</v>
      </c>
      <c r="DX34">
        <v>500.050153846154</v>
      </c>
      <c r="DY34">
        <v>89.8823538461538</v>
      </c>
      <c r="DZ34">
        <v>0.00724580846153846</v>
      </c>
      <c r="EA34">
        <v>18.4528692307692</v>
      </c>
      <c r="EB34">
        <v>18.0103615384615</v>
      </c>
      <c r="EC34">
        <v>999.9</v>
      </c>
      <c r="ED34">
        <v>0</v>
      </c>
      <c r="EE34">
        <v>0</v>
      </c>
      <c r="EF34">
        <v>10010.0907692308</v>
      </c>
      <c r="EG34">
        <v>0</v>
      </c>
      <c r="EH34">
        <v>1270.06923076923</v>
      </c>
      <c r="EI34">
        <v>16.8415538461538</v>
      </c>
      <c r="EJ34">
        <v>203.656</v>
      </c>
      <c r="EK34">
        <v>186.109615384615</v>
      </c>
      <c r="EL34">
        <v>2.67395923076923</v>
      </c>
      <c r="EM34">
        <v>184.410461538462</v>
      </c>
      <c r="EN34">
        <v>9.13022</v>
      </c>
      <c r="EO34">
        <v>1.06098692307692</v>
      </c>
      <c r="EP34">
        <v>0.820645692307692</v>
      </c>
      <c r="EQ34">
        <v>7.78192692307692</v>
      </c>
      <c r="ER34">
        <v>4.06952384615385</v>
      </c>
      <c r="ES34">
        <v>1200.03</v>
      </c>
      <c r="ET34">
        <v>0.966998076923077</v>
      </c>
      <c r="EU34">
        <v>0.0330019769230769</v>
      </c>
      <c r="EV34">
        <v>0</v>
      </c>
      <c r="EW34">
        <v>1383.40615384615</v>
      </c>
      <c r="EX34">
        <v>5.00059</v>
      </c>
      <c r="EY34">
        <v>16303.2538461538</v>
      </c>
      <c r="EZ34">
        <v>10358.9769230769</v>
      </c>
      <c r="FA34">
        <v>38.3699230769231</v>
      </c>
      <c r="FB34">
        <v>40.4084615384615</v>
      </c>
      <c r="FC34">
        <v>38.8603076923077</v>
      </c>
      <c r="FD34">
        <v>40.1488461538462</v>
      </c>
      <c r="FE34">
        <v>39.2208461538462</v>
      </c>
      <c r="FF34">
        <v>1155.59153846154</v>
      </c>
      <c r="FG34">
        <v>39.4384615384616</v>
      </c>
      <c r="FH34">
        <v>0</v>
      </c>
      <c r="FI34">
        <v>1760989244.5</v>
      </c>
      <c r="FJ34">
        <v>0</v>
      </c>
      <c r="FK34">
        <v>1383.1924</v>
      </c>
      <c r="FL34">
        <v>-9.9646153699366</v>
      </c>
      <c r="FM34">
        <v>-161.253845868841</v>
      </c>
      <c r="FN34">
        <v>16300.504</v>
      </c>
      <c r="FO34">
        <v>15</v>
      </c>
      <c r="FP34">
        <v>0</v>
      </c>
      <c r="FQ34" t="s">
        <v>439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16.41783</v>
      </c>
      <c r="GD34">
        <v>7.24441804511278</v>
      </c>
      <c r="GE34">
        <v>0.79915575834752</v>
      </c>
      <c r="GF34">
        <v>0</v>
      </c>
      <c r="GG34">
        <v>1383.66235294118</v>
      </c>
      <c r="GH34">
        <v>-5.90771581867421</v>
      </c>
      <c r="GI34">
        <v>0.646634085196892</v>
      </c>
      <c r="GJ34">
        <v>-1</v>
      </c>
      <c r="GK34">
        <v>2.6737715</v>
      </c>
      <c r="GL34">
        <v>0.00438090225564023</v>
      </c>
      <c r="GM34">
        <v>0.000954998821988827</v>
      </c>
      <c r="GN34">
        <v>1</v>
      </c>
      <c r="GO34">
        <v>1</v>
      </c>
      <c r="GP34">
        <v>2</v>
      </c>
      <c r="GQ34" t="s">
        <v>446</v>
      </c>
      <c r="GR34">
        <v>3.13063</v>
      </c>
      <c r="GS34">
        <v>2.68522</v>
      </c>
      <c r="GT34">
        <v>0.0429595</v>
      </c>
      <c r="GU34">
        <v>0.0395296</v>
      </c>
      <c r="GV34">
        <v>0.0616668</v>
      </c>
      <c r="GW34">
        <v>0.0503948</v>
      </c>
      <c r="GX34">
        <v>36272.3</v>
      </c>
      <c r="GY34">
        <v>39114</v>
      </c>
      <c r="GZ34">
        <v>34267.6</v>
      </c>
      <c r="HA34">
        <v>36849</v>
      </c>
      <c r="HB34">
        <v>45349.1</v>
      </c>
      <c r="HC34">
        <v>50168.8</v>
      </c>
      <c r="HD34">
        <v>53341.7</v>
      </c>
      <c r="HE34">
        <v>58775</v>
      </c>
      <c r="HF34">
        <v>2.00833</v>
      </c>
      <c r="HG34">
        <v>1.83637</v>
      </c>
      <c r="HH34">
        <v>0.0333339</v>
      </c>
      <c r="HI34">
        <v>0</v>
      </c>
      <c r="HJ34">
        <v>17.4559</v>
      </c>
      <c r="HK34">
        <v>999.9</v>
      </c>
      <c r="HL34">
        <v>26.01</v>
      </c>
      <c r="HM34">
        <v>30.273</v>
      </c>
      <c r="HN34">
        <v>12.5235</v>
      </c>
      <c r="HO34">
        <v>53.4492</v>
      </c>
      <c r="HP34">
        <v>44.4952</v>
      </c>
      <c r="HQ34">
        <v>1</v>
      </c>
      <c r="HR34">
        <v>-0.269169</v>
      </c>
      <c r="HS34">
        <v>4.15114</v>
      </c>
      <c r="HT34">
        <v>20.0876</v>
      </c>
      <c r="HU34">
        <v>5.20291</v>
      </c>
      <c r="HV34">
        <v>12.004</v>
      </c>
      <c r="HW34">
        <v>4.97575</v>
      </c>
      <c r="HX34">
        <v>3.29303</v>
      </c>
      <c r="HY34">
        <v>9999</v>
      </c>
      <c r="HZ34">
        <v>999.9</v>
      </c>
      <c r="IA34">
        <v>9999</v>
      </c>
      <c r="IB34">
        <v>9999</v>
      </c>
      <c r="IC34">
        <v>1.86323</v>
      </c>
      <c r="ID34">
        <v>1.86802</v>
      </c>
      <c r="IE34">
        <v>1.86783</v>
      </c>
      <c r="IF34">
        <v>1.86903</v>
      </c>
      <c r="IG34">
        <v>1.86981</v>
      </c>
      <c r="IH34">
        <v>1.86584</v>
      </c>
      <c r="II34">
        <v>1.86695</v>
      </c>
      <c r="IJ34">
        <v>1.86838</v>
      </c>
      <c r="IK34">
        <v>5</v>
      </c>
      <c r="IL34">
        <v>0</v>
      </c>
      <c r="IM34">
        <v>0</v>
      </c>
      <c r="IN34">
        <v>0</v>
      </c>
      <c r="IO34" t="s">
        <v>441</v>
      </c>
      <c r="IP34" t="s">
        <v>442</v>
      </c>
      <c r="IQ34" t="s">
        <v>443</v>
      </c>
      <c r="IR34" t="s">
        <v>443</v>
      </c>
      <c r="IS34" t="s">
        <v>443</v>
      </c>
      <c r="IT34" t="s">
        <v>443</v>
      </c>
      <c r="IU34">
        <v>0</v>
      </c>
      <c r="IV34">
        <v>100</v>
      </c>
      <c r="IW34">
        <v>100</v>
      </c>
      <c r="IX34">
        <v>1.893</v>
      </c>
      <c r="IY34">
        <v>-0.1113</v>
      </c>
      <c r="IZ34">
        <v>1.12474291219083</v>
      </c>
      <c r="JA34">
        <v>0.00463155566490582</v>
      </c>
      <c r="JB34">
        <v>-1.1358998729424e-06</v>
      </c>
      <c r="JC34">
        <v>3.28704272115545e-10</v>
      </c>
      <c r="JD34">
        <v>-0.0704455108513773</v>
      </c>
      <c r="JE34">
        <v>-0.0251928478371425</v>
      </c>
      <c r="JF34">
        <v>0.00225751704194564</v>
      </c>
      <c r="JG34">
        <v>-3.61734043746866e-05</v>
      </c>
      <c r="JH34">
        <v>1</v>
      </c>
      <c r="JI34">
        <v>2182</v>
      </c>
      <c r="JJ34">
        <v>0</v>
      </c>
      <c r="JK34">
        <v>24</v>
      </c>
      <c r="JL34">
        <v>29349821.3</v>
      </c>
      <c r="JM34">
        <v>29349821.3</v>
      </c>
      <c r="JN34">
        <v>0.447998</v>
      </c>
      <c r="JO34">
        <v>2.66235</v>
      </c>
      <c r="JP34">
        <v>1.54785</v>
      </c>
      <c r="JQ34">
        <v>2.31445</v>
      </c>
      <c r="JR34">
        <v>1.64673</v>
      </c>
      <c r="JS34">
        <v>2.31567</v>
      </c>
      <c r="JT34">
        <v>33.513</v>
      </c>
      <c r="JU34">
        <v>24.1838</v>
      </c>
      <c r="JV34">
        <v>18</v>
      </c>
      <c r="JW34">
        <v>500.398</v>
      </c>
      <c r="JX34">
        <v>393.769</v>
      </c>
      <c r="JY34">
        <v>12.1427</v>
      </c>
      <c r="JZ34">
        <v>23.9008</v>
      </c>
      <c r="KA34">
        <v>30</v>
      </c>
      <c r="KB34">
        <v>23.923</v>
      </c>
      <c r="KC34">
        <v>23.8952</v>
      </c>
      <c r="KD34">
        <v>9.01493</v>
      </c>
      <c r="KE34">
        <v>0</v>
      </c>
      <c r="KF34">
        <v>23.7343</v>
      </c>
      <c r="KG34">
        <v>12.1394</v>
      </c>
      <c r="KH34">
        <v>129.912</v>
      </c>
      <c r="KI34">
        <v>9.33051</v>
      </c>
      <c r="KJ34">
        <v>97.0461</v>
      </c>
      <c r="KK34">
        <v>95.3018</v>
      </c>
    </row>
    <row r="35" spans="1:297">
      <c r="A35">
        <v>19</v>
      </c>
      <c r="B35">
        <v>1760989280.1</v>
      </c>
      <c r="C35">
        <v>90</v>
      </c>
      <c r="D35" t="s">
        <v>479</v>
      </c>
      <c r="E35" t="s">
        <v>480</v>
      </c>
      <c r="F35">
        <v>5</v>
      </c>
      <c r="G35" t="s">
        <v>435</v>
      </c>
      <c r="H35" t="s">
        <v>436</v>
      </c>
      <c r="I35">
        <v>1760989271.94615</v>
      </c>
      <c r="J35">
        <f>(K35)/1000</f>
        <v>0</v>
      </c>
      <c r="K35">
        <f>IF(DP35, AN35, AH35)</f>
        <v>0</v>
      </c>
      <c r="L35">
        <f>IF(DP35, AI35, AG35)</f>
        <v>0</v>
      </c>
      <c r="M35">
        <f>DR35 - IF(AU35&gt;1, L35*DL35*100.0/(AW35), 0)</f>
        <v>0</v>
      </c>
      <c r="N35">
        <f>((T35-J35/2)*M35-L35)/(T35+J35/2)</f>
        <v>0</v>
      </c>
      <c r="O35">
        <f>N35*(DY35+DZ35)/1000.0</f>
        <v>0</v>
      </c>
      <c r="P35">
        <f>(DR35 - IF(AU35&gt;1, L35*DL35*100.0/(AW35), 0))*(DY35+DZ35)/1000.0</f>
        <v>0</v>
      </c>
      <c r="Q35">
        <f>2.0/((1/S35-1/R35)+SIGN(S35)*SQRT((1/S35-1/R35)*(1/S35-1/R35) + 4*DM35/((DM35+1)*(DM35+1))*(2*1/S35*1/R35-1/R35*1/R35)))</f>
        <v>0</v>
      </c>
      <c r="R35">
        <f>IF(LEFT(DN35,1)&lt;&gt;"0",IF(LEFT(DN35,1)="1",3.0,DO35),$D$5+$E$5*(EF35*DY35/($K$5*1000))+$F$5*(EF35*DY35/($K$5*1000))*MAX(MIN(DL35,$J$5),$I$5)*MAX(MIN(DL35,$J$5),$I$5)+$G$5*MAX(MIN(DL35,$J$5),$I$5)*(EF35*DY35/($K$5*1000))+$H$5*(EF35*DY35/($K$5*1000))*(EF35*DY35/($K$5*1000)))</f>
        <v>0</v>
      </c>
      <c r="S35">
        <f>J35*(1000-(1000*0.61365*exp(17.502*W35/(240.97+W35))/(DY35+DZ35)+DT35)/2)/(1000*0.61365*exp(17.502*W35/(240.97+W35))/(DY35+DZ35)-DT35)</f>
        <v>0</v>
      </c>
      <c r="T35">
        <f>1/((DM35+1)/(Q35/1.6)+1/(R35/1.37)) + DM35/((DM35+1)/(Q35/1.6) + DM35/(R35/1.37))</f>
        <v>0</v>
      </c>
      <c r="U35">
        <f>(DH35*DK35)</f>
        <v>0</v>
      </c>
      <c r="V35">
        <f>(EA35+(U35+2*0.95*5.67E-8*(((EA35+$B$7)+273)^4-(EA35+273)^4)-44100*J35)/(1.84*29.3*R35+8*0.95*5.67E-8*(EA35+273)^3))</f>
        <v>0</v>
      </c>
      <c r="W35">
        <f>($C$7*EB35+$D$7*EC35+$E$7*V35)</f>
        <v>0</v>
      </c>
      <c r="X35">
        <f>0.61365*exp(17.502*W35/(240.97+W35))</f>
        <v>0</v>
      </c>
      <c r="Y35">
        <f>(Z35/AA35*100)</f>
        <v>0</v>
      </c>
      <c r="Z35">
        <f>DT35*(DY35+DZ35)/1000</f>
        <v>0</v>
      </c>
      <c r="AA35">
        <f>0.61365*exp(17.502*EA35/(240.97+EA35))</f>
        <v>0</v>
      </c>
      <c r="AB35">
        <f>(X35-DT35*(DY35+DZ35)/1000)</f>
        <v>0</v>
      </c>
      <c r="AC35">
        <f>(-J35*44100)</f>
        <v>0</v>
      </c>
      <c r="AD35">
        <f>2*29.3*R35*0.92*(EA35-W35)</f>
        <v>0</v>
      </c>
      <c r="AE35">
        <f>2*0.95*5.67E-8*(((EA35+$B$7)+273)^4-(W35+273)^4)</f>
        <v>0</v>
      </c>
      <c r="AF35">
        <f>U35+AE35+AC35+AD35</f>
        <v>0</v>
      </c>
      <c r="AG35">
        <f>DX35*AU35*(DS35-DR35*(1000-AU35*DU35)/(1000-AU35*DT35))/(100*DL35)</f>
        <v>0</v>
      </c>
      <c r="AH35">
        <f>1000*DX35*AU35*(DT35-DU35)/(100*DL35*(1000-AU35*DT35))</f>
        <v>0</v>
      </c>
      <c r="AI35">
        <f>(AJ35 - AK35 - DY35*1E3/(8.314*(EA35+273.15)) * AM35/DX35 * AL35) * DX35/(100*DL35) * (1000 - DU35)/1000</f>
        <v>0</v>
      </c>
      <c r="AJ35">
        <v>153.644250378388</v>
      </c>
      <c r="AK35">
        <v>164.113363636364</v>
      </c>
      <c r="AL35">
        <v>-3.22268993286637</v>
      </c>
      <c r="AM35">
        <v>64.8413469339502</v>
      </c>
      <c r="AN35">
        <f>(AP35 - AO35 + DY35*1E3/(8.314*(EA35+273.15)) * AR35/DX35 * AQ35) * DX35/(100*DL35) * 1000/(1000 - AP35)</f>
        <v>0</v>
      </c>
      <c r="AO35">
        <v>9.12735537823179</v>
      </c>
      <c r="AP35">
        <v>11.800863030303</v>
      </c>
      <c r="AQ35">
        <v>1.39760297053546e-06</v>
      </c>
      <c r="AR35">
        <v>118.472689631034</v>
      </c>
      <c r="AS35">
        <v>0</v>
      </c>
      <c r="AT35">
        <v>0</v>
      </c>
      <c r="AU35">
        <f>IF(AS35*$H$13&gt;=AW35,1.0,(AW35/(AW35-AS35*$H$13)))</f>
        <v>0</v>
      </c>
      <c r="AV35">
        <f>(AU35-1)*100</f>
        <v>0</v>
      </c>
      <c r="AW35">
        <f>MAX(0,($B$13+$C$13*EF35)/(1+$D$13*EF35)*DY35/(EA35+273)*$E$13)</f>
        <v>0</v>
      </c>
      <c r="AX35" t="s">
        <v>437</v>
      </c>
      <c r="AY35" t="s">
        <v>437</v>
      </c>
      <c r="AZ35">
        <v>0</v>
      </c>
      <c r="BA35">
        <v>0</v>
      </c>
      <c r="BB35">
        <f>1-AZ35/BA35</f>
        <v>0</v>
      </c>
      <c r="BC35">
        <v>0</v>
      </c>
      <c r="BD35" t="s">
        <v>437</v>
      </c>
      <c r="BE35" t="s">
        <v>437</v>
      </c>
      <c r="BF35">
        <v>0</v>
      </c>
      <c r="BG35">
        <v>0</v>
      </c>
      <c r="BH35">
        <f>1-BF35/BG35</f>
        <v>0</v>
      </c>
      <c r="BI35">
        <v>0.5</v>
      </c>
      <c r="BJ35">
        <f>DI35</f>
        <v>0</v>
      </c>
      <c r="BK35">
        <f>L35</f>
        <v>0</v>
      </c>
      <c r="BL35">
        <f>BH35*BI35*BJ35</f>
        <v>0</v>
      </c>
      <c r="BM35">
        <f>(BK35-BC35)/BJ35</f>
        <v>0</v>
      </c>
      <c r="BN35">
        <f>(BA35-BG35)/BG35</f>
        <v>0</v>
      </c>
      <c r="BO35">
        <f>AZ35/(BB35+AZ35/BG35)</f>
        <v>0</v>
      </c>
      <c r="BP35" t="s">
        <v>437</v>
      </c>
      <c r="BQ35">
        <v>0</v>
      </c>
      <c r="BR35">
        <f>IF(BQ35&lt;&gt;0, BQ35, BO35)</f>
        <v>0</v>
      </c>
      <c r="BS35">
        <f>1-BR35/BG35</f>
        <v>0</v>
      </c>
      <c r="BT35">
        <f>(BG35-BF35)/(BG35-BR35)</f>
        <v>0</v>
      </c>
      <c r="BU35">
        <f>(BA35-BG35)/(BA35-BR35)</f>
        <v>0</v>
      </c>
      <c r="BV35">
        <f>(BG35-BF35)/(BG35-AZ35)</f>
        <v>0</v>
      </c>
      <c r="BW35">
        <f>(BA35-BG35)/(BA35-AZ35)</f>
        <v>0</v>
      </c>
      <c r="BX35">
        <f>(BT35*BR35/BF35)</f>
        <v>0</v>
      </c>
      <c r="BY35">
        <f>(1-BX35)</f>
        <v>0</v>
      </c>
      <c r="DH35">
        <f>$B$11*EG35+$C$11*EH35+$F$11*ES35*(1-EV35)</f>
        <v>0</v>
      </c>
      <c r="DI35">
        <f>DH35*DJ35</f>
        <v>0</v>
      </c>
      <c r="DJ35">
        <f>($B$11*$D$9+$C$11*$D$9+$F$11*((FF35+EX35)/MAX(FF35+EX35+FG35, 0.1)*$I$9+FG35/MAX(FF35+EX35+FG35, 0.1)*$J$9))/($B$11+$C$11+$F$11)</f>
        <v>0</v>
      </c>
      <c r="DK35">
        <f>($B$11*$K$9+$C$11*$K$9+$F$11*((FF35+EX35)/MAX(FF35+EX35+FG35, 0.1)*$P$9+FG35/MAX(FF35+EX35+FG35, 0.1)*$Q$9))/($B$11+$C$11+$F$11)</f>
        <v>0</v>
      </c>
      <c r="DL35">
        <v>6</v>
      </c>
      <c r="DM35">
        <v>0.5</v>
      </c>
      <c r="DN35" t="s">
        <v>438</v>
      </c>
      <c r="DO35">
        <v>2</v>
      </c>
      <c r="DP35" t="b">
        <v>1</v>
      </c>
      <c r="DQ35">
        <v>1760989271.94615</v>
      </c>
      <c r="DR35">
        <v>185.174307692308</v>
      </c>
      <c r="DS35">
        <v>167.899615384615</v>
      </c>
      <c r="DT35">
        <v>11.8027230769231</v>
      </c>
      <c r="DU35">
        <v>9.12913230769231</v>
      </c>
      <c r="DV35">
        <v>183.237230769231</v>
      </c>
      <c r="DW35">
        <v>11.9140384615385</v>
      </c>
      <c r="DX35">
        <v>500.035692307692</v>
      </c>
      <c r="DY35">
        <v>89.8816615384615</v>
      </c>
      <c r="DZ35">
        <v>0.00727010461538462</v>
      </c>
      <c r="EA35">
        <v>18.4523307692308</v>
      </c>
      <c r="EB35">
        <v>18.0082153846154</v>
      </c>
      <c r="EC35">
        <v>999.9</v>
      </c>
      <c r="ED35">
        <v>0</v>
      </c>
      <c r="EE35">
        <v>0</v>
      </c>
      <c r="EF35">
        <v>9999.27769230769</v>
      </c>
      <c r="EG35">
        <v>0</v>
      </c>
      <c r="EH35">
        <v>1270.08538461538</v>
      </c>
      <c r="EI35">
        <v>17.2747538461538</v>
      </c>
      <c r="EJ35">
        <v>187.385923076923</v>
      </c>
      <c r="EK35">
        <v>169.446384615385</v>
      </c>
      <c r="EL35">
        <v>2.67358230769231</v>
      </c>
      <c r="EM35">
        <v>167.899615384615</v>
      </c>
      <c r="EN35">
        <v>9.12913230769231</v>
      </c>
      <c r="EO35">
        <v>1.06084846153846</v>
      </c>
      <c r="EP35">
        <v>0.820541615384615</v>
      </c>
      <c r="EQ35">
        <v>7.77999384615384</v>
      </c>
      <c r="ER35">
        <v>4.06771846153846</v>
      </c>
      <c r="ES35">
        <v>1200.01538461538</v>
      </c>
      <c r="ET35">
        <v>0.967004153846154</v>
      </c>
      <c r="EU35">
        <v>0.0329958846153846</v>
      </c>
      <c r="EV35">
        <v>0</v>
      </c>
      <c r="EW35">
        <v>1382.46</v>
      </c>
      <c r="EX35">
        <v>5.00059</v>
      </c>
      <c r="EY35">
        <v>16287.8461538462</v>
      </c>
      <c r="EZ35">
        <v>10358.8692307692</v>
      </c>
      <c r="FA35">
        <v>38.3026923076923</v>
      </c>
      <c r="FB35">
        <v>40.2786923076923</v>
      </c>
      <c r="FC35">
        <v>38.7833846153846</v>
      </c>
      <c r="FD35">
        <v>39.971</v>
      </c>
      <c r="FE35">
        <v>39.1439230769231</v>
      </c>
      <c r="FF35">
        <v>1155.58615384615</v>
      </c>
      <c r="FG35">
        <v>39.4292307692308</v>
      </c>
      <c r="FH35">
        <v>0</v>
      </c>
      <c r="FI35">
        <v>1760989249.3</v>
      </c>
      <c r="FJ35">
        <v>0</v>
      </c>
      <c r="FK35">
        <v>1382.2016</v>
      </c>
      <c r="FL35">
        <v>-14.4800000280606</v>
      </c>
      <c r="FM35">
        <v>-231.384615704312</v>
      </c>
      <c r="FN35">
        <v>16284.852</v>
      </c>
      <c r="FO35">
        <v>15</v>
      </c>
      <c r="FP35">
        <v>0</v>
      </c>
      <c r="FQ35" t="s">
        <v>439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16.8713857142857</v>
      </c>
      <c r="GD35">
        <v>6.7834441558442</v>
      </c>
      <c r="GE35">
        <v>0.77264378244947</v>
      </c>
      <c r="GF35">
        <v>0</v>
      </c>
      <c r="GG35">
        <v>1383.01205882353</v>
      </c>
      <c r="GH35">
        <v>-10.0780748736774</v>
      </c>
      <c r="GI35">
        <v>1.03860137688586</v>
      </c>
      <c r="GJ35">
        <v>-1</v>
      </c>
      <c r="GK35">
        <v>2.67375142857143</v>
      </c>
      <c r="GL35">
        <v>-0.00582389610389608</v>
      </c>
      <c r="GM35">
        <v>0.000890640677448855</v>
      </c>
      <c r="GN35">
        <v>1</v>
      </c>
      <c r="GO35">
        <v>1</v>
      </c>
      <c r="GP35">
        <v>2</v>
      </c>
      <c r="GQ35" t="s">
        <v>446</v>
      </c>
      <c r="GR35">
        <v>3.13066</v>
      </c>
      <c r="GS35">
        <v>2.68512</v>
      </c>
      <c r="GT35">
        <v>0.0393592</v>
      </c>
      <c r="GU35">
        <v>0.0356378</v>
      </c>
      <c r="GV35">
        <v>0.0616664</v>
      </c>
      <c r="GW35">
        <v>0.0503869</v>
      </c>
      <c r="GX35">
        <v>36408.8</v>
      </c>
      <c r="GY35">
        <v>39272.5</v>
      </c>
      <c r="GZ35">
        <v>34267.6</v>
      </c>
      <c r="HA35">
        <v>36848.8</v>
      </c>
      <c r="HB35">
        <v>45348.9</v>
      </c>
      <c r="HC35">
        <v>50168.6</v>
      </c>
      <c r="HD35">
        <v>53341.9</v>
      </c>
      <c r="HE35">
        <v>58774.8</v>
      </c>
      <c r="HF35">
        <v>2.00822</v>
      </c>
      <c r="HG35">
        <v>1.83645</v>
      </c>
      <c r="HH35">
        <v>0.0336803</v>
      </c>
      <c r="HI35">
        <v>0</v>
      </c>
      <c r="HJ35">
        <v>17.4557</v>
      </c>
      <c r="HK35">
        <v>999.9</v>
      </c>
      <c r="HL35">
        <v>26.01</v>
      </c>
      <c r="HM35">
        <v>30.273</v>
      </c>
      <c r="HN35">
        <v>12.5253</v>
      </c>
      <c r="HO35">
        <v>53.9992</v>
      </c>
      <c r="HP35">
        <v>44.4992</v>
      </c>
      <c r="HQ35">
        <v>1</v>
      </c>
      <c r="HR35">
        <v>-0.268773</v>
      </c>
      <c r="HS35">
        <v>4.1615</v>
      </c>
      <c r="HT35">
        <v>20.0874</v>
      </c>
      <c r="HU35">
        <v>5.20187</v>
      </c>
      <c r="HV35">
        <v>12.004</v>
      </c>
      <c r="HW35">
        <v>4.9755</v>
      </c>
      <c r="HX35">
        <v>3.29298</v>
      </c>
      <c r="HY35">
        <v>9999</v>
      </c>
      <c r="HZ35">
        <v>999.9</v>
      </c>
      <c r="IA35">
        <v>9999</v>
      </c>
      <c r="IB35">
        <v>9999</v>
      </c>
      <c r="IC35">
        <v>1.86323</v>
      </c>
      <c r="ID35">
        <v>1.86802</v>
      </c>
      <c r="IE35">
        <v>1.86783</v>
      </c>
      <c r="IF35">
        <v>1.86904</v>
      </c>
      <c r="IG35">
        <v>1.86981</v>
      </c>
      <c r="IH35">
        <v>1.86584</v>
      </c>
      <c r="II35">
        <v>1.86693</v>
      </c>
      <c r="IJ35">
        <v>1.8684</v>
      </c>
      <c r="IK35">
        <v>5</v>
      </c>
      <c r="IL35">
        <v>0</v>
      </c>
      <c r="IM35">
        <v>0</v>
      </c>
      <c r="IN35">
        <v>0</v>
      </c>
      <c r="IO35" t="s">
        <v>441</v>
      </c>
      <c r="IP35" t="s">
        <v>442</v>
      </c>
      <c r="IQ35" t="s">
        <v>443</v>
      </c>
      <c r="IR35" t="s">
        <v>443</v>
      </c>
      <c r="IS35" t="s">
        <v>443</v>
      </c>
      <c r="IT35" t="s">
        <v>443</v>
      </c>
      <c r="IU35">
        <v>0</v>
      </c>
      <c r="IV35">
        <v>100</v>
      </c>
      <c r="IW35">
        <v>100</v>
      </c>
      <c r="IX35">
        <v>1.826</v>
      </c>
      <c r="IY35">
        <v>-0.1114</v>
      </c>
      <c r="IZ35">
        <v>1.12474291219083</v>
      </c>
      <c r="JA35">
        <v>0.00463155566490582</v>
      </c>
      <c r="JB35">
        <v>-1.1358998729424e-06</v>
      </c>
      <c r="JC35">
        <v>3.28704272115545e-10</v>
      </c>
      <c r="JD35">
        <v>-0.0704455108513773</v>
      </c>
      <c r="JE35">
        <v>-0.0251928478371425</v>
      </c>
      <c r="JF35">
        <v>0.00225751704194564</v>
      </c>
      <c r="JG35">
        <v>-3.61734043746866e-05</v>
      </c>
      <c r="JH35">
        <v>1</v>
      </c>
      <c r="JI35">
        <v>2182</v>
      </c>
      <c r="JJ35">
        <v>0</v>
      </c>
      <c r="JK35">
        <v>24</v>
      </c>
      <c r="JL35">
        <v>29349821.3</v>
      </c>
      <c r="JM35">
        <v>29349821.3</v>
      </c>
      <c r="JN35">
        <v>0.415039</v>
      </c>
      <c r="JO35">
        <v>2.66479</v>
      </c>
      <c r="JP35">
        <v>1.54785</v>
      </c>
      <c r="JQ35">
        <v>2.31445</v>
      </c>
      <c r="JR35">
        <v>1.64673</v>
      </c>
      <c r="JS35">
        <v>2.27905</v>
      </c>
      <c r="JT35">
        <v>33.513</v>
      </c>
      <c r="JU35">
        <v>24.1838</v>
      </c>
      <c r="JV35">
        <v>18</v>
      </c>
      <c r="JW35">
        <v>500.334</v>
      </c>
      <c r="JX35">
        <v>393.809</v>
      </c>
      <c r="JY35">
        <v>12.1342</v>
      </c>
      <c r="JZ35">
        <v>23.9008</v>
      </c>
      <c r="KA35">
        <v>30.0001</v>
      </c>
      <c r="KB35">
        <v>23.923</v>
      </c>
      <c r="KC35">
        <v>23.8952</v>
      </c>
      <c r="KD35">
        <v>8.26575</v>
      </c>
      <c r="KE35">
        <v>0</v>
      </c>
      <c r="KF35">
        <v>23.7343</v>
      </c>
      <c r="KG35">
        <v>12.1292</v>
      </c>
      <c r="KH35">
        <v>116.452</v>
      </c>
      <c r="KI35">
        <v>9.33051</v>
      </c>
      <c r="KJ35">
        <v>97.0463</v>
      </c>
      <c r="KK35">
        <v>95.3015</v>
      </c>
    </row>
    <row r="36" spans="1:297">
      <c r="A36">
        <v>20</v>
      </c>
      <c r="B36">
        <v>1760989285.1</v>
      </c>
      <c r="C36">
        <v>95</v>
      </c>
      <c r="D36" t="s">
        <v>481</v>
      </c>
      <c r="E36" t="s">
        <v>482</v>
      </c>
      <c r="F36">
        <v>5</v>
      </c>
      <c r="G36" t="s">
        <v>435</v>
      </c>
      <c r="H36" t="s">
        <v>436</v>
      </c>
      <c r="I36">
        <v>1760989276.94615</v>
      </c>
      <c r="J36">
        <f>(K36)/1000</f>
        <v>0</v>
      </c>
      <c r="K36">
        <f>IF(DP36, AN36, AH36)</f>
        <v>0</v>
      </c>
      <c r="L36">
        <f>IF(DP36, AI36, AG36)</f>
        <v>0</v>
      </c>
      <c r="M36">
        <f>DR36 - IF(AU36&gt;1, L36*DL36*100.0/(AW36), 0)</f>
        <v>0</v>
      </c>
      <c r="N36">
        <f>((T36-J36/2)*M36-L36)/(T36+J36/2)</f>
        <v>0</v>
      </c>
      <c r="O36">
        <f>N36*(DY36+DZ36)/1000.0</f>
        <v>0</v>
      </c>
      <c r="P36">
        <f>(DR36 - IF(AU36&gt;1, L36*DL36*100.0/(AW36), 0))*(DY36+DZ36)/1000.0</f>
        <v>0</v>
      </c>
      <c r="Q36">
        <f>2.0/((1/S36-1/R36)+SIGN(S36)*SQRT((1/S36-1/R36)*(1/S36-1/R36) + 4*DM36/((DM36+1)*(DM36+1))*(2*1/S36*1/R36-1/R36*1/R36)))</f>
        <v>0</v>
      </c>
      <c r="R36">
        <f>IF(LEFT(DN36,1)&lt;&gt;"0",IF(LEFT(DN36,1)="1",3.0,DO36),$D$5+$E$5*(EF36*DY36/($K$5*1000))+$F$5*(EF36*DY36/($K$5*1000))*MAX(MIN(DL36,$J$5),$I$5)*MAX(MIN(DL36,$J$5),$I$5)+$G$5*MAX(MIN(DL36,$J$5),$I$5)*(EF36*DY36/($K$5*1000))+$H$5*(EF36*DY36/($K$5*1000))*(EF36*DY36/($K$5*1000)))</f>
        <v>0</v>
      </c>
      <c r="S36">
        <f>J36*(1000-(1000*0.61365*exp(17.502*W36/(240.97+W36))/(DY36+DZ36)+DT36)/2)/(1000*0.61365*exp(17.502*W36/(240.97+W36))/(DY36+DZ36)-DT36)</f>
        <v>0</v>
      </c>
      <c r="T36">
        <f>1/((DM36+1)/(Q36/1.6)+1/(R36/1.37)) + DM36/((DM36+1)/(Q36/1.6) + DM36/(R36/1.37))</f>
        <v>0</v>
      </c>
      <c r="U36">
        <f>(DH36*DK36)</f>
        <v>0</v>
      </c>
      <c r="V36">
        <f>(EA36+(U36+2*0.95*5.67E-8*(((EA36+$B$7)+273)^4-(EA36+273)^4)-44100*J36)/(1.84*29.3*R36+8*0.95*5.67E-8*(EA36+273)^3))</f>
        <v>0</v>
      </c>
      <c r="W36">
        <f>($C$7*EB36+$D$7*EC36+$E$7*V36)</f>
        <v>0</v>
      </c>
      <c r="X36">
        <f>0.61365*exp(17.502*W36/(240.97+W36))</f>
        <v>0</v>
      </c>
      <c r="Y36">
        <f>(Z36/AA36*100)</f>
        <v>0</v>
      </c>
      <c r="Z36">
        <f>DT36*(DY36+DZ36)/1000</f>
        <v>0</v>
      </c>
      <c r="AA36">
        <f>0.61365*exp(17.502*EA36/(240.97+EA36))</f>
        <v>0</v>
      </c>
      <c r="AB36">
        <f>(X36-DT36*(DY36+DZ36)/1000)</f>
        <v>0</v>
      </c>
      <c r="AC36">
        <f>(-J36*44100)</f>
        <v>0</v>
      </c>
      <c r="AD36">
        <f>2*29.3*R36*0.92*(EA36-W36)</f>
        <v>0</v>
      </c>
      <c r="AE36">
        <f>2*0.95*5.67E-8*(((EA36+$B$7)+273)^4-(W36+273)^4)</f>
        <v>0</v>
      </c>
      <c r="AF36">
        <f>U36+AE36+AC36+AD36</f>
        <v>0</v>
      </c>
      <c r="AG36">
        <f>DX36*AU36*(DS36-DR36*(1000-AU36*DU36)/(1000-AU36*DT36))/(100*DL36)</f>
        <v>0</v>
      </c>
      <c r="AH36">
        <f>1000*DX36*AU36*(DT36-DU36)/(100*DL36*(1000-AU36*DT36))</f>
        <v>0</v>
      </c>
      <c r="AI36">
        <f>(AJ36 - AK36 - DY36*1E3/(8.314*(EA36+273.15)) * AM36/DX36 * AL36) * DX36/(100*DL36) * (1000 - DU36)/1000</f>
        <v>0</v>
      </c>
      <c r="AJ36">
        <v>136.640066247648</v>
      </c>
      <c r="AK36">
        <v>147.737884848485</v>
      </c>
      <c r="AL36">
        <v>-3.27766129112758</v>
      </c>
      <c r="AM36">
        <v>64.8413469339502</v>
      </c>
      <c r="AN36">
        <f>(AP36 - AO36 + DY36*1E3/(8.314*(EA36+273.15)) * AR36/DX36 * AQ36) * DX36/(100*DL36) * 1000/(1000 - AP36)</f>
        <v>0</v>
      </c>
      <c r="AO36">
        <v>9.12689977051678</v>
      </c>
      <c r="AP36">
        <v>11.7991442424242</v>
      </c>
      <c r="AQ36">
        <v>-1.85749309499448e-06</v>
      </c>
      <c r="AR36">
        <v>118.472689631034</v>
      </c>
      <c r="AS36">
        <v>0</v>
      </c>
      <c r="AT36">
        <v>0</v>
      </c>
      <c r="AU36">
        <f>IF(AS36*$H$13&gt;=AW36,1.0,(AW36/(AW36-AS36*$H$13)))</f>
        <v>0</v>
      </c>
      <c r="AV36">
        <f>(AU36-1)*100</f>
        <v>0</v>
      </c>
      <c r="AW36">
        <f>MAX(0,($B$13+$C$13*EF36)/(1+$D$13*EF36)*DY36/(EA36+273)*$E$13)</f>
        <v>0</v>
      </c>
      <c r="AX36" t="s">
        <v>437</v>
      </c>
      <c r="AY36" t="s">
        <v>437</v>
      </c>
      <c r="AZ36">
        <v>0</v>
      </c>
      <c r="BA36">
        <v>0</v>
      </c>
      <c r="BB36">
        <f>1-AZ36/BA36</f>
        <v>0</v>
      </c>
      <c r="BC36">
        <v>0</v>
      </c>
      <c r="BD36" t="s">
        <v>437</v>
      </c>
      <c r="BE36" t="s">
        <v>437</v>
      </c>
      <c r="BF36">
        <v>0</v>
      </c>
      <c r="BG36">
        <v>0</v>
      </c>
      <c r="BH36">
        <f>1-BF36/BG36</f>
        <v>0</v>
      </c>
      <c r="BI36">
        <v>0.5</v>
      </c>
      <c r="BJ36">
        <f>DI36</f>
        <v>0</v>
      </c>
      <c r="BK36">
        <f>L36</f>
        <v>0</v>
      </c>
      <c r="BL36">
        <f>BH36*BI36*BJ36</f>
        <v>0</v>
      </c>
      <c r="BM36">
        <f>(BK36-BC36)/BJ36</f>
        <v>0</v>
      </c>
      <c r="BN36">
        <f>(BA36-BG36)/BG36</f>
        <v>0</v>
      </c>
      <c r="BO36">
        <f>AZ36/(BB36+AZ36/BG36)</f>
        <v>0</v>
      </c>
      <c r="BP36" t="s">
        <v>437</v>
      </c>
      <c r="BQ36">
        <v>0</v>
      </c>
      <c r="BR36">
        <f>IF(BQ36&lt;&gt;0, BQ36, BO36)</f>
        <v>0</v>
      </c>
      <c r="BS36">
        <f>1-BR36/BG36</f>
        <v>0</v>
      </c>
      <c r="BT36">
        <f>(BG36-BF36)/(BG36-BR36)</f>
        <v>0</v>
      </c>
      <c r="BU36">
        <f>(BA36-BG36)/(BA36-BR36)</f>
        <v>0</v>
      </c>
      <c r="BV36">
        <f>(BG36-BF36)/(BG36-AZ36)</f>
        <v>0</v>
      </c>
      <c r="BW36">
        <f>(BA36-BG36)/(BA36-AZ36)</f>
        <v>0</v>
      </c>
      <c r="BX36">
        <f>(BT36*BR36/BF36)</f>
        <v>0</v>
      </c>
      <c r="BY36">
        <f>(1-BX36)</f>
        <v>0</v>
      </c>
      <c r="DH36">
        <f>$B$11*EG36+$C$11*EH36+$F$11*ES36*(1-EV36)</f>
        <v>0</v>
      </c>
      <c r="DI36">
        <f>DH36*DJ36</f>
        <v>0</v>
      </c>
      <c r="DJ36">
        <f>($B$11*$D$9+$C$11*$D$9+$F$11*((FF36+EX36)/MAX(FF36+EX36+FG36, 0.1)*$I$9+FG36/MAX(FF36+EX36+FG36, 0.1)*$J$9))/($B$11+$C$11+$F$11)</f>
        <v>0</v>
      </c>
      <c r="DK36">
        <f>($B$11*$K$9+$C$11*$K$9+$F$11*((FF36+EX36)/MAX(FF36+EX36+FG36, 0.1)*$P$9+FG36/MAX(FF36+EX36+FG36, 0.1)*$Q$9))/($B$11+$C$11+$F$11)</f>
        <v>0</v>
      </c>
      <c r="DL36">
        <v>6</v>
      </c>
      <c r="DM36">
        <v>0.5</v>
      </c>
      <c r="DN36" t="s">
        <v>438</v>
      </c>
      <c r="DO36">
        <v>2</v>
      </c>
      <c r="DP36" t="b">
        <v>1</v>
      </c>
      <c r="DQ36">
        <v>1760989276.94615</v>
      </c>
      <c r="DR36">
        <v>169.086076923077</v>
      </c>
      <c r="DS36">
        <v>151.103076923077</v>
      </c>
      <c r="DT36">
        <v>11.8009230769231</v>
      </c>
      <c r="DU36">
        <v>9.12783461538461</v>
      </c>
      <c r="DV36">
        <v>167.217307692308</v>
      </c>
      <c r="DW36">
        <v>11.9122769230769</v>
      </c>
      <c r="DX36">
        <v>500.005307692308</v>
      </c>
      <c r="DY36">
        <v>89.8805615384615</v>
      </c>
      <c r="DZ36">
        <v>0.00739439384615385</v>
      </c>
      <c r="EA36">
        <v>18.4508692307692</v>
      </c>
      <c r="EB36">
        <v>18.0093076923077</v>
      </c>
      <c r="EC36">
        <v>999.9</v>
      </c>
      <c r="ED36">
        <v>0</v>
      </c>
      <c r="EE36">
        <v>0</v>
      </c>
      <c r="EF36">
        <v>9997.49846153846</v>
      </c>
      <c r="EG36">
        <v>0</v>
      </c>
      <c r="EH36">
        <v>1270.08846153846</v>
      </c>
      <c r="EI36">
        <v>17.9831076923077</v>
      </c>
      <c r="EJ36">
        <v>171.105307692308</v>
      </c>
      <c r="EK36">
        <v>152.494846153846</v>
      </c>
      <c r="EL36">
        <v>2.67309153846154</v>
      </c>
      <c r="EM36">
        <v>151.103076923077</v>
      </c>
      <c r="EN36">
        <v>9.12783461538461</v>
      </c>
      <c r="EO36">
        <v>1.06067461538462</v>
      </c>
      <c r="EP36">
        <v>0.820414923076923</v>
      </c>
      <c r="EQ36">
        <v>7.77758923076923</v>
      </c>
      <c r="ER36">
        <v>4.06552076923077</v>
      </c>
      <c r="ES36">
        <v>1199.99769230769</v>
      </c>
      <c r="ET36">
        <v>0.967008384615385</v>
      </c>
      <c r="EU36">
        <v>0.0329916</v>
      </c>
      <c r="EV36">
        <v>0</v>
      </c>
      <c r="EW36">
        <v>1381.01615384615</v>
      </c>
      <c r="EX36">
        <v>5.00059</v>
      </c>
      <c r="EY36">
        <v>16264.9923076923</v>
      </c>
      <c r="EZ36">
        <v>10358.7230769231</v>
      </c>
      <c r="FA36">
        <v>38.2305384615385</v>
      </c>
      <c r="FB36">
        <v>40.1584615384615</v>
      </c>
      <c r="FC36">
        <v>38.7160769230769</v>
      </c>
      <c r="FD36">
        <v>39.8026923076923</v>
      </c>
      <c r="FE36">
        <v>39.0766923076923</v>
      </c>
      <c r="FF36">
        <v>1155.57461538462</v>
      </c>
      <c r="FG36">
        <v>39.4223076923077</v>
      </c>
      <c r="FH36">
        <v>0</v>
      </c>
      <c r="FI36">
        <v>1760989254.1</v>
      </c>
      <c r="FJ36">
        <v>0</v>
      </c>
      <c r="FK36">
        <v>1380.7264</v>
      </c>
      <c r="FL36">
        <v>-22.4600000443226</v>
      </c>
      <c r="FM36">
        <v>-330.876923461708</v>
      </c>
      <c r="FN36">
        <v>16261.824</v>
      </c>
      <c r="FO36">
        <v>15</v>
      </c>
      <c r="FP36">
        <v>0</v>
      </c>
      <c r="FQ36" t="s">
        <v>439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17.5573</v>
      </c>
      <c r="GD36">
        <v>7.56973246753247</v>
      </c>
      <c r="GE36">
        <v>0.828936742948172</v>
      </c>
      <c r="GF36">
        <v>0</v>
      </c>
      <c r="GG36">
        <v>1381.60323529412</v>
      </c>
      <c r="GH36">
        <v>-17.0216959604715</v>
      </c>
      <c r="GI36">
        <v>1.72850619047749</v>
      </c>
      <c r="GJ36">
        <v>-1</v>
      </c>
      <c r="GK36">
        <v>2.67348523809524</v>
      </c>
      <c r="GL36">
        <v>-0.00624701298701404</v>
      </c>
      <c r="GM36">
        <v>0.00092550948155788</v>
      </c>
      <c r="GN36">
        <v>1</v>
      </c>
      <c r="GO36">
        <v>1</v>
      </c>
      <c r="GP36">
        <v>2</v>
      </c>
      <c r="GQ36" t="s">
        <v>446</v>
      </c>
      <c r="GR36">
        <v>3.13062</v>
      </c>
      <c r="GS36">
        <v>2.68548</v>
      </c>
      <c r="GT36">
        <v>0.035628</v>
      </c>
      <c r="GU36">
        <v>0.0317416</v>
      </c>
      <c r="GV36">
        <v>0.0616614</v>
      </c>
      <c r="GW36">
        <v>0.0503886</v>
      </c>
      <c r="GX36">
        <v>36550.3</v>
      </c>
      <c r="GY36">
        <v>39431.2</v>
      </c>
      <c r="GZ36">
        <v>34267.6</v>
      </c>
      <c r="HA36">
        <v>36848.8</v>
      </c>
      <c r="HB36">
        <v>45348.9</v>
      </c>
      <c r="HC36">
        <v>50168.1</v>
      </c>
      <c r="HD36">
        <v>53342</v>
      </c>
      <c r="HE36">
        <v>58774.9</v>
      </c>
      <c r="HF36">
        <v>2.00828</v>
      </c>
      <c r="HG36">
        <v>1.83625</v>
      </c>
      <c r="HH36">
        <v>0.0333004</v>
      </c>
      <c r="HI36">
        <v>0</v>
      </c>
      <c r="HJ36">
        <v>17.4544</v>
      </c>
      <c r="HK36">
        <v>999.9</v>
      </c>
      <c r="HL36">
        <v>26.01</v>
      </c>
      <c r="HM36">
        <v>30.273</v>
      </c>
      <c r="HN36">
        <v>12.5231</v>
      </c>
      <c r="HO36">
        <v>53.7092</v>
      </c>
      <c r="HP36">
        <v>44.4992</v>
      </c>
      <c r="HQ36">
        <v>1</v>
      </c>
      <c r="HR36">
        <v>-0.26893</v>
      </c>
      <c r="HS36">
        <v>4.17897</v>
      </c>
      <c r="HT36">
        <v>20.087</v>
      </c>
      <c r="HU36">
        <v>5.20261</v>
      </c>
      <c r="HV36">
        <v>12.004</v>
      </c>
      <c r="HW36">
        <v>4.97565</v>
      </c>
      <c r="HX36">
        <v>3.293</v>
      </c>
      <c r="HY36">
        <v>9999</v>
      </c>
      <c r="HZ36">
        <v>999.9</v>
      </c>
      <c r="IA36">
        <v>9999</v>
      </c>
      <c r="IB36">
        <v>9999</v>
      </c>
      <c r="IC36">
        <v>1.86325</v>
      </c>
      <c r="ID36">
        <v>1.86801</v>
      </c>
      <c r="IE36">
        <v>1.86783</v>
      </c>
      <c r="IF36">
        <v>1.86904</v>
      </c>
      <c r="IG36">
        <v>1.86981</v>
      </c>
      <c r="IH36">
        <v>1.86584</v>
      </c>
      <c r="II36">
        <v>1.86694</v>
      </c>
      <c r="IJ36">
        <v>1.86841</v>
      </c>
      <c r="IK36">
        <v>5</v>
      </c>
      <c r="IL36">
        <v>0</v>
      </c>
      <c r="IM36">
        <v>0</v>
      </c>
      <c r="IN36">
        <v>0</v>
      </c>
      <c r="IO36" t="s">
        <v>441</v>
      </c>
      <c r="IP36" t="s">
        <v>442</v>
      </c>
      <c r="IQ36" t="s">
        <v>443</v>
      </c>
      <c r="IR36" t="s">
        <v>443</v>
      </c>
      <c r="IS36" t="s">
        <v>443</v>
      </c>
      <c r="IT36" t="s">
        <v>443</v>
      </c>
      <c r="IU36">
        <v>0</v>
      </c>
      <c r="IV36">
        <v>100</v>
      </c>
      <c r="IW36">
        <v>100</v>
      </c>
      <c r="IX36">
        <v>1.756</v>
      </c>
      <c r="IY36">
        <v>-0.1113</v>
      </c>
      <c r="IZ36">
        <v>1.12474291219083</v>
      </c>
      <c r="JA36">
        <v>0.00463155566490582</v>
      </c>
      <c r="JB36">
        <v>-1.1358998729424e-06</v>
      </c>
      <c r="JC36">
        <v>3.28704272115545e-10</v>
      </c>
      <c r="JD36">
        <v>-0.0704455108513773</v>
      </c>
      <c r="JE36">
        <v>-0.0251928478371425</v>
      </c>
      <c r="JF36">
        <v>0.00225751704194564</v>
      </c>
      <c r="JG36">
        <v>-3.61734043746866e-05</v>
      </c>
      <c r="JH36">
        <v>1</v>
      </c>
      <c r="JI36">
        <v>2182</v>
      </c>
      <c r="JJ36">
        <v>0</v>
      </c>
      <c r="JK36">
        <v>24</v>
      </c>
      <c r="JL36">
        <v>29349821.4</v>
      </c>
      <c r="JM36">
        <v>29349821.4</v>
      </c>
      <c r="JN36">
        <v>0.38208</v>
      </c>
      <c r="JO36">
        <v>2.6709</v>
      </c>
      <c r="JP36">
        <v>1.54785</v>
      </c>
      <c r="JQ36">
        <v>2.31445</v>
      </c>
      <c r="JR36">
        <v>1.64551</v>
      </c>
      <c r="JS36">
        <v>2.25708</v>
      </c>
      <c r="JT36">
        <v>33.513</v>
      </c>
      <c r="JU36">
        <v>24.1838</v>
      </c>
      <c r="JV36">
        <v>18</v>
      </c>
      <c r="JW36">
        <v>500.366</v>
      </c>
      <c r="JX36">
        <v>393.704</v>
      </c>
      <c r="JY36">
        <v>12.1248</v>
      </c>
      <c r="JZ36">
        <v>23.9013</v>
      </c>
      <c r="KA36">
        <v>30.0002</v>
      </c>
      <c r="KB36">
        <v>23.923</v>
      </c>
      <c r="KC36">
        <v>23.8952</v>
      </c>
      <c r="KD36">
        <v>7.63322</v>
      </c>
      <c r="KE36">
        <v>0</v>
      </c>
      <c r="KF36">
        <v>23.7343</v>
      </c>
      <c r="KG36">
        <v>12.1179</v>
      </c>
      <c r="KH36">
        <v>102.989</v>
      </c>
      <c r="KI36">
        <v>9.33051</v>
      </c>
      <c r="KJ36">
        <v>97.0465</v>
      </c>
      <c r="KK36">
        <v>95.3016</v>
      </c>
    </row>
    <row r="37" spans="1:297">
      <c r="A37">
        <v>21</v>
      </c>
      <c r="B37">
        <v>1760989290.1</v>
      </c>
      <c r="C37">
        <v>100</v>
      </c>
      <c r="D37" t="s">
        <v>483</v>
      </c>
      <c r="E37" t="s">
        <v>484</v>
      </c>
      <c r="F37">
        <v>5</v>
      </c>
      <c r="G37" t="s">
        <v>435</v>
      </c>
      <c r="H37" t="s">
        <v>436</v>
      </c>
      <c r="I37">
        <v>1760989281.94615</v>
      </c>
      <c r="J37">
        <f>(K37)/1000</f>
        <v>0</v>
      </c>
      <c r="K37">
        <f>IF(DP37, AN37, AH37)</f>
        <v>0</v>
      </c>
      <c r="L37">
        <f>IF(DP37, AI37, AG37)</f>
        <v>0</v>
      </c>
      <c r="M37">
        <f>DR37 - IF(AU37&gt;1, L37*DL37*100.0/(AW37), 0)</f>
        <v>0</v>
      </c>
      <c r="N37">
        <f>((T37-J37/2)*M37-L37)/(T37+J37/2)</f>
        <v>0</v>
      </c>
      <c r="O37">
        <f>N37*(DY37+DZ37)/1000.0</f>
        <v>0</v>
      </c>
      <c r="P37">
        <f>(DR37 - IF(AU37&gt;1, L37*DL37*100.0/(AW37), 0))*(DY37+DZ37)/1000.0</f>
        <v>0</v>
      </c>
      <c r="Q37">
        <f>2.0/((1/S37-1/R37)+SIGN(S37)*SQRT((1/S37-1/R37)*(1/S37-1/R37) + 4*DM37/((DM37+1)*(DM37+1))*(2*1/S37*1/R37-1/R37*1/R37)))</f>
        <v>0</v>
      </c>
      <c r="R37">
        <f>IF(LEFT(DN37,1)&lt;&gt;"0",IF(LEFT(DN37,1)="1",3.0,DO37),$D$5+$E$5*(EF37*DY37/($K$5*1000))+$F$5*(EF37*DY37/($K$5*1000))*MAX(MIN(DL37,$J$5),$I$5)*MAX(MIN(DL37,$J$5),$I$5)+$G$5*MAX(MIN(DL37,$J$5),$I$5)*(EF37*DY37/($K$5*1000))+$H$5*(EF37*DY37/($K$5*1000))*(EF37*DY37/($K$5*1000)))</f>
        <v>0</v>
      </c>
      <c r="S37">
        <f>J37*(1000-(1000*0.61365*exp(17.502*W37/(240.97+W37))/(DY37+DZ37)+DT37)/2)/(1000*0.61365*exp(17.502*W37/(240.97+W37))/(DY37+DZ37)-DT37)</f>
        <v>0</v>
      </c>
      <c r="T37">
        <f>1/((DM37+1)/(Q37/1.6)+1/(R37/1.37)) + DM37/((DM37+1)/(Q37/1.6) + DM37/(R37/1.37))</f>
        <v>0</v>
      </c>
      <c r="U37">
        <f>(DH37*DK37)</f>
        <v>0</v>
      </c>
      <c r="V37">
        <f>(EA37+(U37+2*0.95*5.67E-8*(((EA37+$B$7)+273)^4-(EA37+273)^4)-44100*J37)/(1.84*29.3*R37+8*0.95*5.67E-8*(EA37+273)^3))</f>
        <v>0</v>
      </c>
      <c r="W37">
        <f>($C$7*EB37+$D$7*EC37+$E$7*V37)</f>
        <v>0</v>
      </c>
      <c r="X37">
        <f>0.61365*exp(17.502*W37/(240.97+W37))</f>
        <v>0</v>
      </c>
      <c r="Y37">
        <f>(Z37/AA37*100)</f>
        <v>0</v>
      </c>
      <c r="Z37">
        <f>DT37*(DY37+DZ37)/1000</f>
        <v>0</v>
      </c>
      <c r="AA37">
        <f>0.61365*exp(17.502*EA37/(240.97+EA37))</f>
        <v>0</v>
      </c>
      <c r="AB37">
        <f>(X37-DT37*(DY37+DZ37)/1000)</f>
        <v>0</v>
      </c>
      <c r="AC37">
        <f>(-J37*44100)</f>
        <v>0</v>
      </c>
      <c r="AD37">
        <f>2*29.3*R37*0.92*(EA37-W37)</f>
        <v>0</v>
      </c>
      <c r="AE37">
        <f>2*0.95*5.67E-8*(((EA37+$B$7)+273)^4-(W37+273)^4)</f>
        <v>0</v>
      </c>
      <c r="AF37">
        <f>U37+AE37+AC37+AD37</f>
        <v>0</v>
      </c>
      <c r="AG37">
        <f>DX37*AU37*(DS37-DR37*(1000-AU37*DU37)/(1000-AU37*DT37))/(100*DL37)</f>
        <v>0</v>
      </c>
      <c r="AH37">
        <f>1000*DX37*AU37*(DT37-DU37)/(100*DL37*(1000-AU37*DT37))</f>
        <v>0</v>
      </c>
      <c r="AI37">
        <f>(AJ37 - AK37 - DY37*1E3/(8.314*(EA37+273.15)) * AM37/DX37 * AL37) * DX37/(100*DL37) * (1000 - DU37)/1000</f>
        <v>0</v>
      </c>
      <c r="AJ37">
        <v>120.39687879671</v>
      </c>
      <c r="AK37">
        <v>131.666806060606</v>
      </c>
      <c r="AL37">
        <v>-3.20268084773068</v>
      </c>
      <c r="AM37">
        <v>64.8413469339502</v>
      </c>
      <c r="AN37">
        <f>(AP37 - AO37 + DY37*1E3/(8.314*(EA37+273.15)) * AR37/DX37 * AQ37) * DX37/(100*DL37) * 1000/(1000 - AP37)</f>
        <v>0</v>
      </c>
      <c r="AO37">
        <v>9.12681980405282</v>
      </c>
      <c r="AP37">
        <v>11.7985006060606</v>
      </c>
      <c r="AQ37">
        <v>-1.30823329636666e-06</v>
      </c>
      <c r="AR37">
        <v>118.472689631034</v>
      </c>
      <c r="AS37">
        <v>0</v>
      </c>
      <c r="AT37">
        <v>0</v>
      </c>
      <c r="AU37">
        <f>IF(AS37*$H$13&gt;=AW37,1.0,(AW37/(AW37-AS37*$H$13)))</f>
        <v>0</v>
      </c>
      <c r="AV37">
        <f>(AU37-1)*100</f>
        <v>0</v>
      </c>
      <c r="AW37">
        <f>MAX(0,($B$13+$C$13*EF37)/(1+$D$13*EF37)*DY37/(EA37+273)*$E$13)</f>
        <v>0</v>
      </c>
      <c r="AX37" t="s">
        <v>437</v>
      </c>
      <c r="AY37" t="s">
        <v>437</v>
      </c>
      <c r="AZ37">
        <v>0</v>
      </c>
      <c r="BA37">
        <v>0</v>
      </c>
      <c r="BB37">
        <f>1-AZ37/BA37</f>
        <v>0</v>
      </c>
      <c r="BC37">
        <v>0</v>
      </c>
      <c r="BD37" t="s">
        <v>437</v>
      </c>
      <c r="BE37" t="s">
        <v>437</v>
      </c>
      <c r="BF37">
        <v>0</v>
      </c>
      <c r="BG37">
        <v>0</v>
      </c>
      <c r="BH37">
        <f>1-BF37/BG37</f>
        <v>0</v>
      </c>
      <c r="BI37">
        <v>0.5</v>
      </c>
      <c r="BJ37">
        <f>DI37</f>
        <v>0</v>
      </c>
      <c r="BK37">
        <f>L37</f>
        <v>0</v>
      </c>
      <c r="BL37">
        <f>BH37*BI37*BJ37</f>
        <v>0</v>
      </c>
      <c r="BM37">
        <f>(BK37-BC37)/BJ37</f>
        <v>0</v>
      </c>
      <c r="BN37">
        <f>(BA37-BG37)/BG37</f>
        <v>0</v>
      </c>
      <c r="BO37">
        <f>AZ37/(BB37+AZ37/BG37)</f>
        <v>0</v>
      </c>
      <c r="BP37" t="s">
        <v>437</v>
      </c>
      <c r="BQ37">
        <v>0</v>
      </c>
      <c r="BR37">
        <f>IF(BQ37&lt;&gt;0, BQ37, BO37)</f>
        <v>0</v>
      </c>
      <c r="BS37">
        <f>1-BR37/BG37</f>
        <v>0</v>
      </c>
      <c r="BT37">
        <f>(BG37-BF37)/(BG37-BR37)</f>
        <v>0</v>
      </c>
      <c r="BU37">
        <f>(BA37-BG37)/(BA37-BR37)</f>
        <v>0</v>
      </c>
      <c r="BV37">
        <f>(BG37-BF37)/(BG37-AZ37)</f>
        <v>0</v>
      </c>
      <c r="BW37">
        <f>(BA37-BG37)/(BA37-AZ37)</f>
        <v>0</v>
      </c>
      <c r="BX37">
        <f>(BT37*BR37/BF37)</f>
        <v>0</v>
      </c>
      <c r="BY37">
        <f>(1-BX37)</f>
        <v>0</v>
      </c>
      <c r="DH37">
        <f>$B$11*EG37+$C$11*EH37+$F$11*ES37*(1-EV37)</f>
        <v>0</v>
      </c>
      <c r="DI37">
        <f>DH37*DJ37</f>
        <v>0</v>
      </c>
      <c r="DJ37">
        <f>($B$11*$D$9+$C$11*$D$9+$F$11*((FF37+EX37)/MAX(FF37+EX37+FG37, 0.1)*$I$9+FG37/MAX(FF37+EX37+FG37, 0.1)*$J$9))/($B$11+$C$11+$F$11)</f>
        <v>0</v>
      </c>
      <c r="DK37">
        <f>($B$11*$K$9+$C$11*$K$9+$F$11*((FF37+EX37)/MAX(FF37+EX37+FG37, 0.1)*$P$9+FG37/MAX(FF37+EX37+FG37, 0.1)*$Q$9))/($B$11+$C$11+$F$11)</f>
        <v>0</v>
      </c>
      <c r="DL37">
        <v>6</v>
      </c>
      <c r="DM37">
        <v>0.5</v>
      </c>
      <c r="DN37" t="s">
        <v>438</v>
      </c>
      <c r="DO37">
        <v>2</v>
      </c>
      <c r="DP37" t="b">
        <v>1</v>
      </c>
      <c r="DQ37">
        <v>1760989281.94615</v>
      </c>
      <c r="DR37">
        <v>152.976076923077</v>
      </c>
      <c r="DS37">
        <v>134.754</v>
      </c>
      <c r="DT37">
        <v>11.7997615384615</v>
      </c>
      <c r="DU37">
        <v>9.12717</v>
      </c>
      <c r="DV37">
        <v>151.176153846154</v>
      </c>
      <c r="DW37">
        <v>11.9111153846154</v>
      </c>
      <c r="DX37">
        <v>500.011307692308</v>
      </c>
      <c r="DY37">
        <v>89.8789076923077</v>
      </c>
      <c r="DZ37">
        <v>0.00753805076923077</v>
      </c>
      <c r="EA37">
        <v>18.4475692307692</v>
      </c>
      <c r="EB37">
        <v>18.0090615384615</v>
      </c>
      <c r="EC37">
        <v>999.9</v>
      </c>
      <c r="ED37">
        <v>0</v>
      </c>
      <c r="EE37">
        <v>0</v>
      </c>
      <c r="EF37">
        <v>9980.42923076923</v>
      </c>
      <c r="EG37">
        <v>0</v>
      </c>
      <c r="EH37">
        <v>1270.08692307692</v>
      </c>
      <c r="EI37">
        <v>18.2222230769231</v>
      </c>
      <c r="EJ37">
        <v>154.802692307692</v>
      </c>
      <c r="EK37">
        <v>135.995153846154</v>
      </c>
      <c r="EL37">
        <v>2.67259461538462</v>
      </c>
      <c r="EM37">
        <v>134.754</v>
      </c>
      <c r="EN37">
        <v>9.12717</v>
      </c>
      <c r="EO37">
        <v>1.06055</v>
      </c>
      <c r="EP37">
        <v>0.82034</v>
      </c>
      <c r="EQ37">
        <v>7.77587461538461</v>
      </c>
      <c r="ER37">
        <v>4.06422230769231</v>
      </c>
      <c r="ES37">
        <v>1200.05769230769</v>
      </c>
      <c r="ET37">
        <v>0.967009076923077</v>
      </c>
      <c r="EU37">
        <v>0.0329909538461538</v>
      </c>
      <c r="EV37">
        <v>0</v>
      </c>
      <c r="EW37">
        <v>1378.74076923077</v>
      </c>
      <c r="EX37">
        <v>5.00059</v>
      </c>
      <c r="EY37">
        <v>16233.7307692308</v>
      </c>
      <c r="EZ37">
        <v>10359.2384615385</v>
      </c>
      <c r="FA37">
        <v>38.1632307692308</v>
      </c>
      <c r="FB37">
        <v>40.0430769230769</v>
      </c>
      <c r="FC37">
        <v>38.6439230769231</v>
      </c>
      <c r="FD37">
        <v>39.644</v>
      </c>
      <c r="FE37">
        <v>39.0045384615385</v>
      </c>
      <c r="FF37">
        <v>1155.63153846154</v>
      </c>
      <c r="FG37">
        <v>39.4246153846154</v>
      </c>
      <c r="FH37">
        <v>0</v>
      </c>
      <c r="FI37">
        <v>1760989259.5</v>
      </c>
      <c r="FJ37">
        <v>0</v>
      </c>
      <c r="FK37">
        <v>1378.22538461538</v>
      </c>
      <c r="FL37">
        <v>-34.8799999642355</v>
      </c>
      <c r="FM37">
        <v>-488.184614778707</v>
      </c>
      <c r="FN37">
        <v>16226.6</v>
      </c>
      <c r="FO37">
        <v>15</v>
      </c>
      <c r="FP37">
        <v>0</v>
      </c>
      <c r="FQ37" t="s">
        <v>439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18.12132</v>
      </c>
      <c r="GD37">
        <v>3.61992180451132</v>
      </c>
      <c r="GE37">
        <v>0.443917151729915</v>
      </c>
      <c r="GF37">
        <v>0</v>
      </c>
      <c r="GG37">
        <v>1379.80411764706</v>
      </c>
      <c r="GH37">
        <v>-26.4592818914267</v>
      </c>
      <c r="GI37">
        <v>2.67660794734794</v>
      </c>
      <c r="GJ37">
        <v>-1</v>
      </c>
      <c r="GK37">
        <v>2.67285</v>
      </c>
      <c r="GL37">
        <v>-0.00496330827067731</v>
      </c>
      <c r="GM37">
        <v>0.000788809229154912</v>
      </c>
      <c r="GN37">
        <v>1</v>
      </c>
      <c r="GO37">
        <v>1</v>
      </c>
      <c r="GP37">
        <v>2</v>
      </c>
      <c r="GQ37" t="s">
        <v>446</v>
      </c>
      <c r="GR37">
        <v>3.13058</v>
      </c>
      <c r="GS37">
        <v>2.68559</v>
      </c>
      <c r="GT37">
        <v>0.0319167</v>
      </c>
      <c r="GU37">
        <v>0.0280377</v>
      </c>
      <c r="GV37">
        <v>0.0616522</v>
      </c>
      <c r="GW37">
        <v>0.0503839</v>
      </c>
      <c r="GX37">
        <v>36690.9</v>
      </c>
      <c r="GY37">
        <v>39582.1</v>
      </c>
      <c r="GZ37">
        <v>34267.5</v>
      </c>
      <c r="HA37">
        <v>36848.8</v>
      </c>
      <c r="HB37">
        <v>45348.7</v>
      </c>
      <c r="HC37">
        <v>50168</v>
      </c>
      <c r="HD37">
        <v>53341.7</v>
      </c>
      <c r="HE37">
        <v>58775</v>
      </c>
      <c r="HF37">
        <v>2.0082</v>
      </c>
      <c r="HG37">
        <v>1.83652</v>
      </c>
      <c r="HH37">
        <v>0.0333749</v>
      </c>
      <c r="HI37">
        <v>0</v>
      </c>
      <c r="HJ37">
        <v>17.4534</v>
      </c>
      <c r="HK37">
        <v>999.9</v>
      </c>
      <c r="HL37">
        <v>26.01</v>
      </c>
      <c r="HM37">
        <v>30.273</v>
      </c>
      <c r="HN37">
        <v>12.5236</v>
      </c>
      <c r="HO37">
        <v>53.5992</v>
      </c>
      <c r="HP37">
        <v>44.4792</v>
      </c>
      <c r="HQ37">
        <v>1</v>
      </c>
      <c r="HR37">
        <v>-0.268918</v>
      </c>
      <c r="HS37">
        <v>4.17392</v>
      </c>
      <c r="HT37">
        <v>20.087</v>
      </c>
      <c r="HU37">
        <v>5.20142</v>
      </c>
      <c r="HV37">
        <v>12.004</v>
      </c>
      <c r="HW37">
        <v>4.9755</v>
      </c>
      <c r="HX37">
        <v>3.29293</v>
      </c>
      <c r="HY37">
        <v>9999</v>
      </c>
      <c r="HZ37">
        <v>999.9</v>
      </c>
      <c r="IA37">
        <v>9999</v>
      </c>
      <c r="IB37">
        <v>9999</v>
      </c>
      <c r="IC37">
        <v>1.86325</v>
      </c>
      <c r="ID37">
        <v>1.86806</v>
      </c>
      <c r="IE37">
        <v>1.86783</v>
      </c>
      <c r="IF37">
        <v>1.86904</v>
      </c>
      <c r="IG37">
        <v>1.86981</v>
      </c>
      <c r="IH37">
        <v>1.86584</v>
      </c>
      <c r="II37">
        <v>1.86693</v>
      </c>
      <c r="IJ37">
        <v>1.8684</v>
      </c>
      <c r="IK37">
        <v>5</v>
      </c>
      <c r="IL37">
        <v>0</v>
      </c>
      <c r="IM37">
        <v>0</v>
      </c>
      <c r="IN37">
        <v>0</v>
      </c>
      <c r="IO37" t="s">
        <v>441</v>
      </c>
      <c r="IP37" t="s">
        <v>442</v>
      </c>
      <c r="IQ37" t="s">
        <v>443</v>
      </c>
      <c r="IR37" t="s">
        <v>443</v>
      </c>
      <c r="IS37" t="s">
        <v>443</v>
      </c>
      <c r="IT37" t="s">
        <v>443</v>
      </c>
      <c r="IU37">
        <v>0</v>
      </c>
      <c r="IV37">
        <v>100</v>
      </c>
      <c r="IW37">
        <v>100</v>
      </c>
      <c r="IX37">
        <v>1.688</v>
      </c>
      <c r="IY37">
        <v>-0.1114</v>
      </c>
      <c r="IZ37">
        <v>1.12474291219083</v>
      </c>
      <c r="JA37">
        <v>0.00463155566490582</v>
      </c>
      <c r="JB37">
        <v>-1.1358998729424e-06</v>
      </c>
      <c r="JC37">
        <v>3.28704272115545e-10</v>
      </c>
      <c r="JD37">
        <v>-0.0704455108513773</v>
      </c>
      <c r="JE37">
        <v>-0.0251928478371425</v>
      </c>
      <c r="JF37">
        <v>0.00225751704194564</v>
      </c>
      <c r="JG37">
        <v>-3.61734043746866e-05</v>
      </c>
      <c r="JH37">
        <v>1</v>
      </c>
      <c r="JI37">
        <v>2182</v>
      </c>
      <c r="JJ37">
        <v>0</v>
      </c>
      <c r="JK37">
        <v>24</v>
      </c>
      <c r="JL37">
        <v>29349821.5</v>
      </c>
      <c r="JM37">
        <v>29349821.5</v>
      </c>
      <c r="JN37">
        <v>0.350342</v>
      </c>
      <c r="JO37">
        <v>2.67212</v>
      </c>
      <c r="JP37">
        <v>1.54785</v>
      </c>
      <c r="JQ37">
        <v>2.31445</v>
      </c>
      <c r="JR37">
        <v>1.64673</v>
      </c>
      <c r="JS37">
        <v>2.30347</v>
      </c>
      <c r="JT37">
        <v>33.513</v>
      </c>
      <c r="JU37">
        <v>24.1838</v>
      </c>
      <c r="JV37">
        <v>18</v>
      </c>
      <c r="JW37">
        <v>500.318</v>
      </c>
      <c r="JX37">
        <v>393.845</v>
      </c>
      <c r="JY37">
        <v>12.1133</v>
      </c>
      <c r="JZ37">
        <v>23.9023</v>
      </c>
      <c r="KA37">
        <v>30</v>
      </c>
      <c r="KB37">
        <v>23.923</v>
      </c>
      <c r="KC37">
        <v>23.8947</v>
      </c>
      <c r="KD37">
        <v>6.91115</v>
      </c>
      <c r="KE37">
        <v>0</v>
      </c>
      <c r="KF37">
        <v>23.7343</v>
      </c>
      <c r="KG37">
        <v>12.1108</v>
      </c>
      <c r="KH37">
        <v>82.8123</v>
      </c>
      <c r="KI37">
        <v>9.33051</v>
      </c>
      <c r="KJ37">
        <v>97.046</v>
      </c>
      <c r="KK37">
        <v>95.3016</v>
      </c>
    </row>
    <row r="38" spans="1:297">
      <c r="A38">
        <v>22</v>
      </c>
      <c r="B38">
        <v>1760989295.1</v>
      </c>
      <c r="C38">
        <v>105</v>
      </c>
      <c r="D38" t="s">
        <v>485</v>
      </c>
      <c r="E38" t="s">
        <v>486</v>
      </c>
      <c r="F38">
        <v>5</v>
      </c>
      <c r="G38" t="s">
        <v>435</v>
      </c>
      <c r="H38" t="s">
        <v>436</v>
      </c>
      <c r="I38">
        <v>1760989286.94615</v>
      </c>
      <c r="J38">
        <f>(K38)/1000</f>
        <v>0</v>
      </c>
      <c r="K38">
        <f>IF(DP38, AN38, AH38)</f>
        <v>0</v>
      </c>
      <c r="L38">
        <f>IF(DP38, AI38, AG38)</f>
        <v>0</v>
      </c>
      <c r="M38">
        <f>DR38 - IF(AU38&gt;1, L38*DL38*100.0/(AW38), 0)</f>
        <v>0</v>
      </c>
      <c r="N38">
        <f>((T38-J38/2)*M38-L38)/(T38+J38/2)</f>
        <v>0</v>
      </c>
      <c r="O38">
        <f>N38*(DY38+DZ38)/1000.0</f>
        <v>0</v>
      </c>
      <c r="P38">
        <f>(DR38 - IF(AU38&gt;1, L38*DL38*100.0/(AW38), 0))*(DY38+DZ38)/1000.0</f>
        <v>0</v>
      </c>
      <c r="Q38">
        <f>2.0/((1/S38-1/R38)+SIGN(S38)*SQRT((1/S38-1/R38)*(1/S38-1/R38) + 4*DM38/((DM38+1)*(DM38+1))*(2*1/S38*1/R38-1/R38*1/R38)))</f>
        <v>0</v>
      </c>
      <c r="R38">
        <f>IF(LEFT(DN38,1)&lt;&gt;"0",IF(LEFT(DN38,1)="1",3.0,DO38),$D$5+$E$5*(EF38*DY38/($K$5*1000))+$F$5*(EF38*DY38/($K$5*1000))*MAX(MIN(DL38,$J$5),$I$5)*MAX(MIN(DL38,$J$5),$I$5)+$G$5*MAX(MIN(DL38,$J$5),$I$5)*(EF38*DY38/($K$5*1000))+$H$5*(EF38*DY38/($K$5*1000))*(EF38*DY38/($K$5*1000)))</f>
        <v>0</v>
      </c>
      <c r="S38">
        <f>J38*(1000-(1000*0.61365*exp(17.502*W38/(240.97+W38))/(DY38+DZ38)+DT38)/2)/(1000*0.61365*exp(17.502*W38/(240.97+W38))/(DY38+DZ38)-DT38)</f>
        <v>0</v>
      </c>
      <c r="T38">
        <f>1/((DM38+1)/(Q38/1.6)+1/(R38/1.37)) + DM38/((DM38+1)/(Q38/1.6) + DM38/(R38/1.37))</f>
        <v>0</v>
      </c>
      <c r="U38">
        <f>(DH38*DK38)</f>
        <v>0</v>
      </c>
      <c r="V38">
        <f>(EA38+(U38+2*0.95*5.67E-8*(((EA38+$B$7)+273)^4-(EA38+273)^4)-44100*J38)/(1.84*29.3*R38+8*0.95*5.67E-8*(EA38+273)^3))</f>
        <v>0</v>
      </c>
      <c r="W38">
        <f>($C$7*EB38+$D$7*EC38+$E$7*V38)</f>
        <v>0</v>
      </c>
      <c r="X38">
        <f>0.61365*exp(17.502*W38/(240.97+W38))</f>
        <v>0</v>
      </c>
      <c r="Y38">
        <f>(Z38/AA38*100)</f>
        <v>0</v>
      </c>
      <c r="Z38">
        <f>DT38*(DY38+DZ38)/1000</f>
        <v>0</v>
      </c>
      <c r="AA38">
        <f>0.61365*exp(17.502*EA38/(240.97+EA38))</f>
        <v>0</v>
      </c>
      <c r="AB38">
        <f>(X38-DT38*(DY38+DZ38)/1000)</f>
        <v>0</v>
      </c>
      <c r="AC38">
        <f>(-J38*44100)</f>
        <v>0</v>
      </c>
      <c r="AD38">
        <f>2*29.3*R38*0.92*(EA38-W38)</f>
        <v>0</v>
      </c>
      <c r="AE38">
        <f>2*0.95*5.67E-8*(((EA38+$B$7)+273)^4-(W38+273)^4)</f>
        <v>0</v>
      </c>
      <c r="AF38">
        <f>U38+AE38+AC38+AD38</f>
        <v>0</v>
      </c>
      <c r="AG38">
        <f>DX38*AU38*(DS38-DR38*(1000-AU38*DU38)/(1000-AU38*DT38))/(100*DL38)</f>
        <v>0</v>
      </c>
      <c r="AH38">
        <f>1000*DX38*AU38*(DT38-DU38)/(100*DL38*(1000-AU38*DT38))</f>
        <v>0</v>
      </c>
      <c r="AI38">
        <f>(AJ38 - AK38 - DY38*1E3/(8.314*(EA38+273.15)) * AM38/DX38 * AL38) * DX38/(100*DL38) * (1000 - DU38)/1000</f>
        <v>0</v>
      </c>
      <c r="AJ38">
        <v>104.729433288782</v>
      </c>
      <c r="AK38">
        <v>116.167272727273</v>
      </c>
      <c r="AL38">
        <v>-3.09552096512866</v>
      </c>
      <c r="AM38">
        <v>64.8413469339502</v>
      </c>
      <c r="AN38">
        <f>(AP38 - AO38 + DY38*1E3/(8.314*(EA38+273.15)) * AR38/DX38 * AQ38) * DX38/(100*DL38) * 1000/(1000 - AP38)</f>
        <v>0</v>
      </c>
      <c r="AO38">
        <v>9.12469279540346</v>
      </c>
      <c r="AP38">
        <v>11.7952260606061</v>
      </c>
      <c r="AQ38">
        <v>-2.65607538030965e-06</v>
      </c>
      <c r="AR38">
        <v>118.472689631034</v>
      </c>
      <c r="AS38">
        <v>0</v>
      </c>
      <c r="AT38">
        <v>0</v>
      </c>
      <c r="AU38">
        <f>IF(AS38*$H$13&gt;=AW38,1.0,(AW38/(AW38-AS38*$H$13)))</f>
        <v>0</v>
      </c>
      <c r="AV38">
        <f>(AU38-1)*100</f>
        <v>0</v>
      </c>
      <c r="AW38">
        <f>MAX(0,($B$13+$C$13*EF38)/(1+$D$13*EF38)*DY38/(EA38+273)*$E$13)</f>
        <v>0</v>
      </c>
      <c r="AX38" t="s">
        <v>437</v>
      </c>
      <c r="AY38" t="s">
        <v>437</v>
      </c>
      <c r="AZ38">
        <v>0</v>
      </c>
      <c r="BA38">
        <v>0</v>
      </c>
      <c r="BB38">
        <f>1-AZ38/BA38</f>
        <v>0</v>
      </c>
      <c r="BC38">
        <v>0</v>
      </c>
      <c r="BD38" t="s">
        <v>437</v>
      </c>
      <c r="BE38" t="s">
        <v>437</v>
      </c>
      <c r="BF38">
        <v>0</v>
      </c>
      <c r="BG38">
        <v>0</v>
      </c>
      <c r="BH38">
        <f>1-BF38/BG38</f>
        <v>0</v>
      </c>
      <c r="BI38">
        <v>0.5</v>
      </c>
      <c r="BJ38">
        <f>DI38</f>
        <v>0</v>
      </c>
      <c r="BK38">
        <f>L38</f>
        <v>0</v>
      </c>
      <c r="BL38">
        <f>BH38*BI38*BJ38</f>
        <v>0</v>
      </c>
      <c r="BM38">
        <f>(BK38-BC38)/BJ38</f>
        <v>0</v>
      </c>
      <c r="BN38">
        <f>(BA38-BG38)/BG38</f>
        <v>0</v>
      </c>
      <c r="BO38">
        <f>AZ38/(BB38+AZ38/BG38)</f>
        <v>0</v>
      </c>
      <c r="BP38" t="s">
        <v>437</v>
      </c>
      <c r="BQ38">
        <v>0</v>
      </c>
      <c r="BR38">
        <f>IF(BQ38&lt;&gt;0, BQ38, BO38)</f>
        <v>0</v>
      </c>
      <c r="BS38">
        <f>1-BR38/BG38</f>
        <v>0</v>
      </c>
      <c r="BT38">
        <f>(BG38-BF38)/(BG38-BR38)</f>
        <v>0</v>
      </c>
      <c r="BU38">
        <f>(BA38-BG38)/(BA38-BR38)</f>
        <v>0</v>
      </c>
      <c r="BV38">
        <f>(BG38-BF38)/(BG38-AZ38)</f>
        <v>0</v>
      </c>
      <c r="BW38">
        <f>(BA38-BG38)/(BA38-AZ38)</f>
        <v>0</v>
      </c>
      <c r="BX38">
        <f>(BT38*BR38/BF38)</f>
        <v>0</v>
      </c>
      <c r="BY38">
        <f>(1-BX38)</f>
        <v>0</v>
      </c>
      <c r="DH38">
        <f>$B$11*EG38+$C$11*EH38+$F$11*ES38*(1-EV38)</f>
        <v>0</v>
      </c>
      <c r="DI38">
        <f>DH38*DJ38</f>
        <v>0</v>
      </c>
      <c r="DJ38">
        <f>($B$11*$D$9+$C$11*$D$9+$F$11*((FF38+EX38)/MAX(FF38+EX38+FG38, 0.1)*$I$9+FG38/MAX(FF38+EX38+FG38, 0.1)*$J$9))/($B$11+$C$11+$F$11)</f>
        <v>0</v>
      </c>
      <c r="DK38">
        <f>($B$11*$K$9+$C$11*$K$9+$F$11*((FF38+EX38)/MAX(FF38+EX38+FG38, 0.1)*$P$9+FG38/MAX(FF38+EX38+FG38, 0.1)*$Q$9))/($B$11+$C$11+$F$11)</f>
        <v>0</v>
      </c>
      <c r="DL38">
        <v>6</v>
      </c>
      <c r="DM38">
        <v>0.5</v>
      </c>
      <c r="DN38" t="s">
        <v>438</v>
      </c>
      <c r="DO38">
        <v>2</v>
      </c>
      <c r="DP38" t="b">
        <v>1</v>
      </c>
      <c r="DQ38">
        <v>1760989286.94615</v>
      </c>
      <c r="DR38">
        <v>137.112538461538</v>
      </c>
      <c r="DS38">
        <v>118.532330769231</v>
      </c>
      <c r="DT38">
        <v>11.7983153846154</v>
      </c>
      <c r="DU38">
        <v>9.12621923076923</v>
      </c>
      <c r="DV38">
        <v>135.381076923077</v>
      </c>
      <c r="DW38">
        <v>11.9096846153846</v>
      </c>
      <c r="DX38">
        <v>500.012615384615</v>
      </c>
      <c r="DY38">
        <v>89.8784076923077</v>
      </c>
      <c r="DZ38">
        <v>0.00749919846153846</v>
      </c>
      <c r="EA38">
        <v>18.4464538461538</v>
      </c>
      <c r="EB38">
        <v>18.0076846153846</v>
      </c>
      <c r="EC38">
        <v>999.9</v>
      </c>
      <c r="ED38">
        <v>0</v>
      </c>
      <c r="EE38">
        <v>0</v>
      </c>
      <c r="EF38">
        <v>9989.09</v>
      </c>
      <c r="EG38">
        <v>0</v>
      </c>
      <c r="EH38">
        <v>1270.08</v>
      </c>
      <c r="EI38">
        <v>18.5804384615385</v>
      </c>
      <c r="EJ38">
        <v>138.749615384615</v>
      </c>
      <c r="EK38">
        <v>119.623961538462</v>
      </c>
      <c r="EL38">
        <v>2.67210615384615</v>
      </c>
      <c r="EM38">
        <v>118.532330769231</v>
      </c>
      <c r="EN38">
        <v>9.12621923076923</v>
      </c>
      <c r="EO38">
        <v>1.06041461538462</v>
      </c>
      <c r="EP38">
        <v>0.820250076923077</v>
      </c>
      <c r="EQ38">
        <v>7.77400461538462</v>
      </c>
      <c r="ER38">
        <v>4.06266076923077</v>
      </c>
      <c r="ES38">
        <v>1200.04461538462</v>
      </c>
      <c r="ET38">
        <v>0.967009538461538</v>
      </c>
      <c r="EU38">
        <v>0.0329904230769231</v>
      </c>
      <c r="EV38">
        <v>0</v>
      </c>
      <c r="EW38">
        <v>1375.21</v>
      </c>
      <c r="EX38">
        <v>5.00059</v>
      </c>
      <c r="EY38">
        <v>16187.1</v>
      </c>
      <c r="EZ38">
        <v>10359.1230769231</v>
      </c>
      <c r="FA38">
        <v>38.0910769230769</v>
      </c>
      <c r="FB38">
        <v>39.9323846153846</v>
      </c>
      <c r="FC38">
        <v>38.5766923076923</v>
      </c>
      <c r="FD38">
        <v>39.4997692307692</v>
      </c>
      <c r="FE38">
        <v>38.9324615384615</v>
      </c>
      <c r="FF38">
        <v>1155.61769230769</v>
      </c>
      <c r="FG38">
        <v>39.4253846153846</v>
      </c>
      <c r="FH38">
        <v>0</v>
      </c>
      <c r="FI38">
        <v>1760989264.3</v>
      </c>
      <c r="FJ38">
        <v>0</v>
      </c>
      <c r="FK38">
        <v>1374.62923076923</v>
      </c>
      <c r="FL38">
        <v>-53.6642735516446</v>
      </c>
      <c r="FM38">
        <v>-685.528205616948</v>
      </c>
      <c r="FN38">
        <v>16179.25</v>
      </c>
      <c r="FO38">
        <v>15</v>
      </c>
      <c r="FP38">
        <v>0</v>
      </c>
      <c r="FQ38" t="s">
        <v>439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18.3318095238095</v>
      </c>
      <c r="GD38">
        <v>3.49948831168832</v>
      </c>
      <c r="GE38">
        <v>0.489894398635113</v>
      </c>
      <c r="GF38">
        <v>0</v>
      </c>
      <c r="GG38">
        <v>1377.04</v>
      </c>
      <c r="GH38">
        <v>-40.2964094960799</v>
      </c>
      <c r="GI38">
        <v>4.06298354588319</v>
      </c>
      <c r="GJ38">
        <v>-1</v>
      </c>
      <c r="GK38">
        <v>2.67226476190476</v>
      </c>
      <c r="GL38">
        <v>-0.00646675324675224</v>
      </c>
      <c r="GM38">
        <v>0.000901589173930563</v>
      </c>
      <c r="GN38">
        <v>1</v>
      </c>
      <c r="GO38">
        <v>1</v>
      </c>
      <c r="GP38">
        <v>2</v>
      </c>
      <c r="GQ38" t="s">
        <v>446</v>
      </c>
      <c r="GR38">
        <v>3.13065</v>
      </c>
      <c r="GS38">
        <v>2.68538</v>
      </c>
      <c r="GT38">
        <v>0.0282079</v>
      </c>
      <c r="GU38">
        <v>0.0238292</v>
      </c>
      <c r="GV38">
        <v>0.061645</v>
      </c>
      <c r="GW38">
        <v>0.0503805</v>
      </c>
      <c r="GX38">
        <v>36831.4</v>
      </c>
      <c r="GY38">
        <v>39753.3</v>
      </c>
      <c r="GZ38">
        <v>34267.3</v>
      </c>
      <c r="HA38">
        <v>36848.4</v>
      </c>
      <c r="HB38">
        <v>45348.3</v>
      </c>
      <c r="HC38">
        <v>50167.3</v>
      </c>
      <c r="HD38">
        <v>53341.3</v>
      </c>
      <c r="HE38">
        <v>58774.5</v>
      </c>
      <c r="HF38">
        <v>2.008</v>
      </c>
      <c r="HG38">
        <v>1.8362</v>
      </c>
      <c r="HH38">
        <v>0.0336096</v>
      </c>
      <c r="HI38">
        <v>0</v>
      </c>
      <c r="HJ38">
        <v>17.4529</v>
      </c>
      <c r="HK38">
        <v>999.9</v>
      </c>
      <c r="HL38">
        <v>26.01</v>
      </c>
      <c r="HM38">
        <v>30.252</v>
      </c>
      <c r="HN38">
        <v>12.5087</v>
      </c>
      <c r="HO38">
        <v>54.4792</v>
      </c>
      <c r="HP38">
        <v>44.4231</v>
      </c>
      <c r="HQ38">
        <v>1</v>
      </c>
      <c r="HR38">
        <v>-0.268712</v>
      </c>
      <c r="HS38">
        <v>4.16998</v>
      </c>
      <c r="HT38">
        <v>20.0871</v>
      </c>
      <c r="HU38">
        <v>5.20187</v>
      </c>
      <c r="HV38">
        <v>12.004</v>
      </c>
      <c r="HW38">
        <v>4.9756</v>
      </c>
      <c r="HX38">
        <v>3.29298</v>
      </c>
      <c r="HY38">
        <v>9999</v>
      </c>
      <c r="HZ38">
        <v>999.9</v>
      </c>
      <c r="IA38">
        <v>9999</v>
      </c>
      <c r="IB38">
        <v>9999</v>
      </c>
      <c r="IC38">
        <v>1.86324</v>
      </c>
      <c r="ID38">
        <v>1.86799</v>
      </c>
      <c r="IE38">
        <v>1.86783</v>
      </c>
      <c r="IF38">
        <v>1.86904</v>
      </c>
      <c r="IG38">
        <v>1.86981</v>
      </c>
      <c r="IH38">
        <v>1.86584</v>
      </c>
      <c r="II38">
        <v>1.86693</v>
      </c>
      <c r="IJ38">
        <v>1.86838</v>
      </c>
      <c r="IK38">
        <v>5</v>
      </c>
      <c r="IL38">
        <v>0</v>
      </c>
      <c r="IM38">
        <v>0</v>
      </c>
      <c r="IN38">
        <v>0</v>
      </c>
      <c r="IO38" t="s">
        <v>441</v>
      </c>
      <c r="IP38" t="s">
        <v>442</v>
      </c>
      <c r="IQ38" t="s">
        <v>443</v>
      </c>
      <c r="IR38" t="s">
        <v>443</v>
      </c>
      <c r="IS38" t="s">
        <v>443</v>
      </c>
      <c r="IT38" t="s">
        <v>443</v>
      </c>
      <c r="IU38">
        <v>0</v>
      </c>
      <c r="IV38">
        <v>100</v>
      </c>
      <c r="IW38">
        <v>100</v>
      </c>
      <c r="IX38">
        <v>1.621</v>
      </c>
      <c r="IY38">
        <v>-0.1114</v>
      </c>
      <c r="IZ38">
        <v>1.12474291219083</v>
      </c>
      <c r="JA38">
        <v>0.00463155566490582</v>
      </c>
      <c r="JB38">
        <v>-1.1358998729424e-06</v>
      </c>
      <c r="JC38">
        <v>3.28704272115545e-10</v>
      </c>
      <c r="JD38">
        <v>-0.0704455108513773</v>
      </c>
      <c r="JE38">
        <v>-0.0251928478371425</v>
      </c>
      <c r="JF38">
        <v>0.00225751704194564</v>
      </c>
      <c r="JG38">
        <v>-3.61734043746866e-05</v>
      </c>
      <c r="JH38">
        <v>1</v>
      </c>
      <c r="JI38">
        <v>2182</v>
      </c>
      <c r="JJ38">
        <v>0</v>
      </c>
      <c r="JK38">
        <v>24</v>
      </c>
      <c r="JL38">
        <v>29349821.6</v>
      </c>
      <c r="JM38">
        <v>29349821.6</v>
      </c>
      <c r="JN38">
        <v>0.3125</v>
      </c>
      <c r="JO38">
        <v>2.66968</v>
      </c>
      <c r="JP38">
        <v>1.54785</v>
      </c>
      <c r="JQ38">
        <v>2.31445</v>
      </c>
      <c r="JR38">
        <v>1.64551</v>
      </c>
      <c r="JS38">
        <v>2.33521</v>
      </c>
      <c r="JT38">
        <v>33.4906</v>
      </c>
      <c r="JU38">
        <v>24.1838</v>
      </c>
      <c r="JV38">
        <v>18</v>
      </c>
      <c r="JW38">
        <v>500.19</v>
      </c>
      <c r="JX38">
        <v>393.677</v>
      </c>
      <c r="JY38">
        <v>12.1057</v>
      </c>
      <c r="JZ38">
        <v>23.9028</v>
      </c>
      <c r="KA38">
        <v>30.0002</v>
      </c>
      <c r="KB38">
        <v>23.923</v>
      </c>
      <c r="KC38">
        <v>23.8952</v>
      </c>
      <c r="KD38">
        <v>6.22624</v>
      </c>
      <c r="KE38">
        <v>0</v>
      </c>
      <c r="KF38">
        <v>23.7343</v>
      </c>
      <c r="KG38">
        <v>12.1037</v>
      </c>
      <c r="KH38">
        <v>69.189</v>
      </c>
      <c r="KI38">
        <v>9.33051</v>
      </c>
      <c r="KJ38">
        <v>97.0453</v>
      </c>
      <c r="KK38">
        <v>95.3008</v>
      </c>
    </row>
    <row r="39" spans="1:297">
      <c r="A39">
        <v>23</v>
      </c>
      <c r="B39">
        <v>1760989300.1</v>
      </c>
      <c r="C39">
        <v>110</v>
      </c>
      <c r="D39" t="s">
        <v>487</v>
      </c>
      <c r="E39" t="s">
        <v>488</v>
      </c>
      <c r="F39">
        <v>5</v>
      </c>
      <c r="G39" t="s">
        <v>435</v>
      </c>
      <c r="H39" t="s">
        <v>436</v>
      </c>
      <c r="I39">
        <v>1760989291.94615</v>
      </c>
      <c r="J39">
        <f>(K39)/1000</f>
        <v>0</v>
      </c>
      <c r="K39">
        <f>IF(DP39, AN39, AH39)</f>
        <v>0</v>
      </c>
      <c r="L39">
        <f>IF(DP39, AI39, AG39)</f>
        <v>0</v>
      </c>
      <c r="M39">
        <f>DR39 - IF(AU39&gt;1, L39*DL39*100.0/(AW39), 0)</f>
        <v>0</v>
      </c>
      <c r="N39">
        <f>((T39-J39/2)*M39-L39)/(T39+J39/2)</f>
        <v>0</v>
      </c>
      <c r="O39">
        <f>N39*(DY39+DZ39)/1000.0</f>
        <v>0</v>
      </c>
      <c r="P39">
        <f>(DR39 - IF(AU39&gt;1, L39*DL39*100.0/(AW39), 0))*(DY39+DZ39)/1000.0</f>
        <v>0</v>
      </c>
      <c r="Q39">
        <f>2.0/((1/S39-1/R39)+SIGN(S39)*SQRT((1/S39-1/R39)*(1/S39-1/R39) + 4*DM39/((DM39+1)*(DM39+1))*(2*1/S39*1/R39-1/R39*1/R39)))</f>
        <v>0</v>
      </c>
      <c r="R39">
        <f>IF(LEFT(DN39,1)&lt;&gt;"0",IF(LEFT(DN39,1)="1",3.0,DO39),$D$5+$E$5*(EF39*DY39/($K$5*1000))+$F$5*(EF39*DY39/($K$5*1000))*MAX(MIN(DL39,$J$5),$I$5)*MAX(MIN(DL39,$J$5),$I$5)+$G$5*MAX(MIN(DL39,$J$5),$I$5)*(EF39*DY39/($K$5*1000))+$H$5*(EF39*DY39/($K$5*1000))*(EF39*DY39/($K$5*1000)))</f>
        <v>0</v>
      </c>
      <c r="S39">
        <f>J39*(1000-(1000*0.61365*exp(17.502*W39/(240.97+W39))/(DY39+DZ39)+DT39)/2)/(1000*0.61365*exp(17.502*W39/(240.97+W39))/(DY39+DZ39)-DT39)</f>
        <v>0</v>
      </c>
      <c r="T39">
        <f>1/((DM39+1)/(Q39/1.6)+1/(R39/1.37)) + DM39/((DM39+1)/(Q39/1.6) + DM39/(R39/1.37))</f>
        <v>0</v>
      </c>
      <c r="U39">
        <f>(DH39*DK39)</f>
        <v>0</v>
      </c>
      <c r="V39">
        <f>(EA39+(U39+2*0.95*5.67E-8*(((EA39+$B$7)+273)^4-(EA39+273)^4)-44100*J39)/(1.84*29.3*R39+8*0.95*5.67E-8*(EA39+273)^3))</f>
        <v>0</v>
      </c>
      <c r="W39">
        <f>($C$7*EB39+$D$7*EC39+$E$7*V39)</f>
        <v>0</v>
      </c>
      <c r="X39">
        <f>0.61365*exp(17.502*W39/(240.97+W39))</f>
        <v>0</v>
      </c>
      <c r="Y39">
        <f>(Z39/AA39*100)</f>
        <v>0</v>
      </c>
      <c r="Z39">
        <f>DT39*(DY39+DZ39)/1000</f>
        <v>0</v>
      </c>
      <c r="AA39">
        <f>0.61365*exp(17.502*EA39/(240.97+EA39))</f>
        <v>0</v>
      </c>
      <c r="AB39">
        <f>(X39-DT39*(DY39+DZ39)/1000)</f>
        <v>0</v>
      </c>
      <c r="AC39">
        <f>(-J39*44100)</f>
        <v>0</v>
      </c>
      <c r="AD39">
        <f>2*29.3*R39*0.92*(EA39-W39)</f>
        <v>0</v>
      </c>
      <c r="AE39">
        <f>2*0.95*5.67E-8*(((EA39+$B$7)+273)^4-(W39+273)^4)</f>
        <v>0</v>
      </c>
      <c r="AF39">
        <f>U39+AE39+AC39+AD39</f>
        <v>0</v>
      </c>
      <c r="AG39">
        <f>DX39*AU39*(DS39-DR39*(1000-AU39*DU39)/(1000-AU39*DT39))/(100*DL39)</f>
        <v>0</v>
      </c>
      <c r="AH39">
        <f>1000*DX39*AU39*(DT39-DU39)/(100*DL39*(1000-AU39*DT39))</f>
        <v>0</v>
      </c>
      <c r="AI39">
        <f>(AJ39 - AK39 - DY39*1E3/(8.314*(EA39+273.15)) * AM39/DX39 * AL39) * DX39/(100*DL39) * (1000 - DU39)/1000</f>
        <v>0</v>
      </c>
      <c r="AJ39">
        <v>87.425948690934</v>
      </c>
      <c r="AK39">
        <v>99.9847696969697</v>
      </c>
      <c r="AL39">
        <v>-3.23785257015795</v>
      </c>
      <c r="AM39">
        <v>64.8413469339502</v>
      </c>
      <c r="AN39">
        <f>(AP39 - AO39 + DY39*1E3/(8.314*(EA39+273.15)) * AR39/DX39 * AQ39) * DX39/(100*DL39) * 1000/(1000 - AP39)</f>
        <v>0</v>
      </c>
      <c r="AO39">
        <v>9.12430512603639</v>
      </c>
      <c r="AP39">
        <v>11.7933284848485</v>
      </c>
      <c r="AQ39">
        <v>-1.90610242815244e-06</v>
      </c>
      <c r="AR39">
        <v>118.472689631034</v>
      </c>
      <c r="AS39">
        <v>0</v>
      </c>
      <c r="AT39">
        <v>0</v>
      </c>
      <c r="AU39">
        <f>IF(AS39*$H$13&gt;=AW39,1.0,(AW39/(AW39-AS39*$H$13)))</f>
        <v>0</v>
      </c>
      <c r="AV39">
        <f>(AU39-1)*100</f>
        <v>0</v>
      </c>
      <c r="AW39">
        <f>MAX(0,($B$13+$C$13*EF39)/(1+$D$13*EF39)*DY39/(EA39+273)*$E$13)</f>
        <v>0</v>
      </c>
      <c r="AX39" t="s">
        <v>437</v>
      </c>
      <c r="AY39" t="s">
        <v>437</v>
      </c>
      <c r="AZ39">
        <v>0</v>
      </c>
      <c r="BA39">
        <v>0</v>
      </c>
      <c r="BB39">
        <f>1-AZ39/BA39</f>
        <v>0</v>
      </c>
      <c r="BC39">
        <v>0</v>
      </c>
      <c r="BD39" t="s">
        <v>437</v>
      </c>
      <c r="BE39" t="s">
        <v>437</v>
      </c>
      <c r="BF39">
        <v>0</v>
      </c>
      <c r="BG39">
        <v>0</v>
      </c>
      <c r="BH39">
        <f>1-BF39/BG39</f>
        <v>0</v>
      </c>
      <c r="BI39">
        <v>0.5</v>
      </c>
      <c r="BJ39">
        <f>DI39</f>
        <v>0</v>
      </c>
      <c r="BK39">
        <f>L39</f>
        <v>0</v>
      </c>
      <c r="BL39">
        <f>BH39*BI39*BJ39</f>
        <v>0</v>
      </c>
      <c r="BM39">
        <f>(BK39-BC39)/BJ39</f>
        <v>0</v>
      </c>
      <c r="BN39">
        <f>(BA39-BG39)/BG39</f>
        <v>0</v>
      </c>
      <c r="BO39">
        <f>AZ39/(BB39+AZ39/BG39)</f>
        <v>0</v>
      </c>
      <c r="BP39" t="s">
        <v>437</v>
      </c>
      <c r="BQ39">
        <v>0</v>
      </c>
      <c r="BR39">
        <f>IF(BQ39&lt;&gt;0, BQ39, BO39)</f>
        <v>0</v>
      </c>
      <c r="BS39">
        <f>1-BR39/BG39</f>
        <v>0</v>
      </c>
      <c r="BT39">
        <f>(BG39-BF39)/(BG39-BR39)</f>
        <v>0</v>
      </c>
      <c r="BU39">
        <f>(BA39-BG39)/(BA39-BR39)</f>
        <v>0</v>
      </c>
      <c r="BV39">
        <f>(BG39-BF39)/(BG39-AZ39)</f>
        <v>0</v>
      </c>
      <c r="BW39">
        <f>(BA39-BG39)/(BA39-AZ39)</f>
        <v>0</v>
      </c>
      <c r="BX39">
        <f>(BT39*BR39/BF39)</f>
        <v>0</v>
      </c>
      <c r="BY39">
        <f>(1-BX39)</f>
        <v>0</v>
      </c>
      <c r="DH39">
        <f>$B$11*EG39+$C$11*EH39+$F$11*ES39*(1-EV39)</f>
        <v>0</v>
      </c>
      <c r="DI39">
        <f>DH39*DJ39</f>
        <v>0</v>
      </c>
      <c r="DJ39">
        <f>($B$11*$D$9+$C$11*$D$9+$F$11*((FF39+EX39)/MAX(FF39+EX39+FG39, 0.1)*$I$9+FG39/MAX(FF39+EX39+FG39, 0.1)*$J$9))/($B$11+$C$11+$F$11)</f>
        <v>0</v>
      </c>
      <c r="DK39">
        <f>($B$11*$K$9+$C$11*$K$9+$F$11*((FF39+EX39)/MAX(FF39+EX39+FG39, 0.1)*$P$9+FG39/MAX(FF39+EX39+FG39, 0.1)*$Q$9))/($B$11+$C$11+$F$11)</f>
        <v>0</v>
      </c>
      <c r="DL39">
        <v>6</v>
      </c>
      <c r="DM39">
        <v>0.5</v>
      </c>
      <c r="DN39" t="s">
        <v>438</v>
      </c>
      <c r="DO39">
        <v>2</v>
      </c>
      <c r="DP39" t="b">
        <v>1</v>
      </c>
      <c r="DQ39">
        <v>1760989291.94615</v>
      </c>
      <c r="DR39">
        <v>121.333153846154</v>
      </c>
      <c r="DS39">
        <v>102.260361538462</v>
      </c>
      <c r="DT39">
        <v>11.7964</v>
      </c>
      <c r="DU39">
        <v>9.12549076923077</v>
      </c>
      <c r="DV39">
        <v>119.670092307692</v>
      </c>
      <c r="DW39">
        <v>11.9078</v>
      </c>
      <c r="DX39">
        <v>500.016615384615</v>
      </c>
      <c r="DY39">
        <v>89.8788307692308</v>
      </c>
      <c r="DZ39">
        <v>0.00751300230769231</v>
      </c>
      <c r="EA39">
        <v>18.4445538461538</v>
      </c>
      <c r="EB39">
        <v>18.0061538461538</v>
      </c>
      <c r="EC39">
        <v>999.9</v>
      </c>
      <c r="ED39">
        <v>0</v>
      </c>
      <c r="EE39">
        <v>0</v>
      </c>
      <c r="EF39">
        <v>9986.63615384615</v>
      </c>
      <c r="EG39">
        <v>0</v>
      </c>
      <c r="EH39">
        <v>1270.07692307692</v>
      </c>
      <c r="EI39">
        <v>19.0729538461538</v>
      </c>
      <c r="EJ39">
        <v>122.781538461538</v>
      </c>
      <c r="EK39">
        <v>103.202030769231</v>
      </c>
      <c r="EL39">
        <v>2.67091692307692</v>
      </c>
      <c r="EM39">
        <v>102.260361538462</v>
      </c>
      <c r="EN39">
        <v>9.12549076923077</v>
      </c>
      <c r="EO39">
        <v>1.06024692307692</v>
      </c>
      <c r="EP39">
        <v>0.820188461538462</v>
      </c>
      <c r="EQ39">
        <v>7.77168846153846</v>
      </c>
      <c r="ER39">
        <v>4.06159076923077</v>
      </c>
      <c r="ES39">
        <v>1200.05384615385</v>
      </c>
      <c r="ET39">
        <v>0.967008846153846</v>
      </c>
      <c r="EU39">
        <v>0.0329910692307692</v>
      </c>
      <c r="EV39">
        <v>0</v>
      </c>
      <c r="EW39">
        <v>1369.97230769231</v>
      </c>
      <c r="EX39">
        <v>5.00059</v>
      </c>
      <c r="EY39">
        <v>16121.4461538462</v>
      </c>
      <c r="EZ39">
        <v>10359.2076923077</v>
      </c>
      <c r="FA39">
        <v>38.0237692307692</v>
      </c>
      <c r="FB39">
        <v>39.8314615384615</v>
      </c>
      <c r="FC39">
        <v>38.5093076923077</v>
      </c>
      <c r="FD39">
        <v>39.3603076923077</v>
      </c>
      <c r="FE39">
        <v>38.8555384615385</v>
      </c>
      <c r="FF39">
        <v>1155.62461538462</v>
      </c>
      <c r="FG39">
        <v>39.4284615384615</v>
      </c>
      <c r="FH39">
        <v>0</v>
      </c>
      <c r="FI39">
        <v>1760989269.1</v>
      </c>
      <c r="FJ39">
        <v>0</v>
      </c>
      <c r="FK39">
        <v>1369.49461538462</v>
      </c>
      <c r="FL39">
        <v>-75.2348717865072</v>
      </c>
      <c r="FM39">
        <v>-931.076922863775</v>
      </c>
      <c r="FN39">
        <v>16114.3153846154</v>
      </c>
      <c r="FO39">
        <v>15</v>
      </c>
      <c r="FP39">
        <v>0</v>
      </c>
      <c r="FQ39" t="s">
        <v>439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18.93749</v>
      </c>
      <c r="GD39">
        <v>5.5706165413534</v>
      </c>
      <c r="GE39">
        <v>0.697434049857046</v>
      </c>
      <c r="GF39">
        <v>0</v>
      </c>
      <c r="GG39">
        <v>1372.37264705882</v>
      </c>
      <c r="GH39">
        <v>-61.6906035321907</v>
      </c>
      <c r="GI39">
        <v>6.16638625644452</v>
      </c>
      <c r="GJ39">
        <v>-1</v>
      </c>
      <c r="GK39">
        <v>2.6714315</v>
      </c>
      <c r="GL39">
        <v>-0.0138473684210469</v>
      </c>
      <c r="GM39">
        <v>0.00137646385713539</v>
      </c>
      <c r="GN39">
        <v>1</v>
      </c>
      <c r="GO39">
        <v>1</v>
      </c>
      <c r="GP39">
        <v>2</v>
      </c>
      <c r="GQ39" t="s">
        <v>446</v>
      </c>
      <c r="GR39">
        <v>3.13065</v>
      </c>
      <c r="GS39">
        <v>2.68562</v>
      </c>
      <c r="GT39">
        <v>0.024308</v>
      </c>
      <c r="GU39">
        <v>0.0197897</v>
      </c>
      <c r="GV39">
        <v>0.0616407</v>
      </c>
      <c r="GW39">
        <v>0.0503796</v>
      </c>
      <c r="GX39">
        <v>36979.2</v>
      </c>
      <c r="GY39">
        <v>39918.5</v>
      </c>
      <c r="GZ39">
        <v>34267.2</v>
      </c>
      <c r="HA39">
        <v>36849</v>
      </c>
      <c r="HB39">
        <v>45348.1</v>
      </c>
      <c r="HC39">
        <v>50167.4</v>
      </c>
      <c r="HD39">
        <v>53341.3</v>
      </c>
      <c r="HE39">
        <v>58775.2</v>
      </c>
      <c r="HF39">
        <v>2.00822</v>
      </c>
      <c r="HG39">
        <v>1.83627</v>
      </c>
      <c r="HH39">
        <v>0.0330657</v>
      </c>
      <c r="HI39">
        <v>0</v>
      </c>
      <c r="HJ39">
        <v>17.4526</v>
      </c>
      <c r="HK39">
        <v>999.9</v>
      </c>
      <c r="HL39">
        <v>26.01</v>
      </c>
      <c r="HM39">
        <v>30.273</v>
      </c>
      <c r="HN39">
        <v>12.5248</v>
      </c>
      <c r="HO39">
        <v>53.9492</v>
      </c>
      <c r="HP39">
        <v>44.4111</v>
      </c>
      <c r="HQ39">
        <v>1</v>
      </c>
      <c r="HR39">
        <v>-0.26908</v>
      </c>
      <c r="HS39">
        <v>4.17281</v>
      </c>
      <c r="HT39">
        <v>20.0869</v>
      </c>
      <c r="HU39">
        <v>5.20202</v>
      </c>
      <c r="HV39">
        <v>12.004</v>
      </c>
      <c r="HW39">
        <v>4.97565</v>
      </c>
      <c r="HX39">
        <v>3.293</v>
      </c>
      <c r="HY39">
        <v>9999</v>
      </c>
      <c r="HZ39">
        <v>999.9</v>
      </c>
      <c r="IA39">
        <v>9999</v>
      </c>
      <c r="IB39">
        <v>9999</v>
      </c>
      <c r="IC39">
        <v>1.86324</v>
      </c>
      <c r="ID39">
        <v>1.868</v>
      </c>
      <c r="IE39">
        <v>1.86783</v>
      </c>
      <c r="IF39">
        <v>1.86904</v>
      </c>
      <c r="IG39">
        <v>1.86981</v>
      </c>
      <c r="IH39">
        <v>1.86584</v>
      </c>
      <c r="II39">
        <v>1.86694</v>
      </c>
      <c r="IJ39">
        <v>1.86841</v>
      </c>
      <c r="IK39">
        <v>5</v>
      </c>
      <c r="IL39">
        <v>0</v>
      </c>
      <c r="IM39">
        <v>0</v>
      </c>
      <c r="IN39">
        <v>0</v>
      </c>
      <c r="IO39" t="s">
        <v>441</v>
      </c>
      <c r="IP39" t="s">
        <v>442</v>
      </c>
      <c r="IQ39" t="s">
        <v>443</v>
      </c>
      <c r="IR39" t="s">
        <v>443</v>
      </c>
      <c r="IS39" t="s">
        <v>443</v>
      </c>
      <c r="IT39" t="s">
        <v>443</v>
      </c>
      <c r="IU39">
        <v>0</v>
      </c>
      <c r="IV39">
        <v>100</v>
      </c>
      <c r="IW39">
        <v>100</v>
      </c>
      <c r="IX39">
        <v>1.551</v>
      </c>
      <c r="IY39">
        <v>-0.1114</v>
      </c>
      <c r="IZ39">
        <v>1.12474291219083</v>
      </c>
      <c r="JA39">
        <v>0.00463155566490582</v>
      </c>
      <c r="JB39">
        <v>-1.1358998729424e-06</v>
      </c>
      <c r="JC39">
        <v>3.28704272115545e-10</v>
      </c>
      <c r="JD39">
        <v>-0.0704455108513773</v>
      </c>
      <c r="JE39">
        <v>-0.0251928478371425</v>
      </c>
      <c r="JF39">
        <v>0.00225751704194564</v>
      </c>
      <c r="JG39">
        <v>-3.61734043746866e-05</v>
      </c>
      <c r="JH39">
        <v>1</v>
      </c>
      <c r="JI39">
        <v>2182</v>
      </c>
      <c r="JJ39">
        <v>0</v>
      </c>
      <c r="JK39">
        <v>24</v>
      </c>
      <c r="JL39">
        <v>29349821.7</v>
      </c>
      <c r="JM39">
        <v>29349821.7</v>
      </c>
      <c r="JN39">
        <v>0.279541</v>
      </c>
      <c r="JO39">
        <v>2.67822</v>
      </c>
      <c r="JP39">
        <v>1.54785</v>
      </c>
      <c r="JQ39">
        <v>2.31445</v>
      </c>
      <c r="JR39">
        <v>1.64551</v>
      </c>
      <c r="JS39">
        <v>2.32666</v>
      </c>
      <c r="JT39">
        <v>33.513</v>
      </c>
      <c r="JU39">
        <v>24.1838</v>
      </c>
      <c r="JV39">
        <v>18</v>
      </c>
      <c r="JW39">
        <v>500.334</v>
      </c>
      <c r="JX39">
        <v>393.717</v>
      </c>
      <c r="JY39">
        <v>12.0988</v>
      </c>
      <c r="JZ39">
        <v>23.9028</v>
      </c>
      <c r="KA39">
        <v>30.0001</v>
      </c>
      <c r="KB39">
        <v>23.923</v>
      </c>
      <c r="KC39">
        <v>23.8952</v>
      </c>
      <c r="KD39">
        <v>5.49851</v>
      </c>
      <c r="KE39">
        <v>0</v>
      </c>
      <c r="KF39">
        <v>23.7343</v>
      </c>
      <c r="KG39">
        <v>12.0961</v>
      </c>
      <c r="KH39">
        <v>48.9699</v>
      </c>
      <c r="KI39">
        <v>9.33051</v>
      </c>
      <c r="KJ39">
        <v>97.0452</v>
      </c>
      <c r="KK39">
        <v>95.302</v>
      </c>
    </row>
    <row r="40" spans="1:297">
      <c r="A40">
        <v>24</v>
      </c>
      <c r="B40">
        <v>1760989305.1</v>
      </c>
      <c r="C40">
        <v>115</v>
      </c>
      <c r="D40" t="s">
        <v>489</v>
      </c>
      <c r="E40" t="s">
        <v>490</v>
      </c>
      <c r="F40">
        <v>5</v>
      </c>
      <c r="G40" t="s">
        <v>435</v>
      </c>
      <c r="H40" t="s">
        <v>436</v>
      </c>
      <c r="I40">
        <v>1760989296.94615</v>
      </c>
      <c r="J40">
        <f>(K40)/1000</f>
        <v>0</v>
      </c>
      <c r="K40">
        <f>IF(DP40, AN40, AH40)</f>
        <v>0</v>
      </c>
      <c r="L40">
        <f>IF(DP40, AI40, AG40)</f>
        <v>0</v>
      </c>
      <c r="M40">
        <f>DR40 - IF(AU40&gt;1, L40*DL40*100.0/(AW40), 0)</f>
        <v>0</v>
      </c>
      <c r="N40">
        <f>((T40-J40/2)*M40-L40)/(T40+J40/2)</f>
        <v>0</v>
      </c>
      <c r="O40">
        <f>N40*(DY40+DZ40)/1000.0</f>
        <v>0</v>
      </c>
      <c r="P40">
        <f>(DR40 - IF(AU40&gt;1, L40*DL40*100.0/(AW40), 0))*(DY40+DZ40)/1000.0</f>
        <v>0</v>
      </c>
      <c r="Q40">
        <f>2.0/((1/S40-1/R40)+SIGN(S40)*SQRT((1/S40-1/R40)*(1/S40-1/R40) + 4*DM40/((DM40+1)*(DM40+1))*(2*1/S40*1/R40-1/R40*1/R40)))</f>
        <v>0</v>
      </c>
      <c r="R40">
        <f>IF(LEFT(DN40,1)&lt;&gt;"0",IF(LEFT(DN40,1)="1",3.0,DO40),$D$5+$E$5*(EF40*DY40/($K$5*1000))+$F$5*(EF40*DY40/($K$5*1000))*MAX(MIN(DL40,$J$5),$I$5)*MAX(MIN(DL40,$J$5),$I$5)+$G$5*MAX(MIN(DL40,$J$5),$I$5)*(EF40*DY40/($K$5*1000))+$H$5*(EF40*DY40/($K$5*1000))*(EF40*DY40/($K$5*1000)))</f>
        <v>0</v>
      </c>
      <c r="S40">
        <f>J40*(1000-(1000*0.61365*exp(17.502*W40/(240.97+W40))/(DY40+DZ40)+DT40)/2)/(1000*0.61365*exp(17.502*W40/(240.97+W40))/(DY40+DZ40)-DT40)</f>
        <v>0</v>
      </c>
      <c r="T40">
        <f>1/((DM40+1)/(Q40/1.6)+1/(R40/1.37)) + DM40/((DM40+1)/(Q40/1.6) + DM40/(R40/1.37))</f>
        <v>0</v>
      </c>
      <c r="U40">
        <f>(DH40*DK40)</f>
        <v>0</v>
      </c>
      <c r="V40">
        <f>(EA40+(U40+2*0.95*5.67E-8*(((EA40+$B$7)+273)^4-(EA40+273)^4)-44100*J40)/(1.84*29.3*R40+8*0.95*5.67E-8*(EA40+273)^3))</f>
        <v>0</v>
      </c>
      <c r="W40">
        <f>($C$7*EB40+$D$7*EC40+$E$7*V40)</f>
        <v>0</v>
      </c>
      <c r="X40">
        <f>0.61365*exp(17.502*W40/(240.97+W40))</f>
        <v>0</v>
      </c>
      <c r="Y40">
        <f>(Z40/AA40*100)</f>
        <v>0</v>
      </c>
      <c r="Z40">
        <f>DT40*(DY40+DZ40)/1000</f>
        <v>0</v>
      </c>
      <c r="AA40">
        <f>0.61365*exp(17.502*EA40/(240.97+EA40))</f>
        <v>0</v>
      </c>
      <c r="AB40">
        <f>(X40-DT40*(DY40+DZ40)/1000)</f>
        <v>0</v>
      </c>
      <c r="AC40">
        <f>(-J40*44100)</f>
        <v>0</v>
      </c>
      <c r="AD40">
        <f>2*29.3*R40*0.92*(EA40-W40)</f>
        <v>0</v>
      </c>
      <c r="AE40">
        <f>2*0.95*5.67E-8*(((EA40+$B$7)+273)^4-(W40+273)^4)</f>
        <v>0</v>
      </c>
      <c r="AF40">
        <f>U40+AE40+AC40+AD40</f>
        <v>0</v>
      </c>
      <c r="AG40">
        <f>DX40*AU40*(DS40-DR40*(1000-AU40*DU40)/(1000-AU40*DT40))/(100*DL40)</f>
        <v>0</v>
      </c>
      <c r="AH40">
        <f>1000*DX40*AU40*(DT40-DU40)/(100*DL40*(1000-AU40*DT40))</f>
        <v>0</v>
      </c>
      <c r="AI40">
        <f>(AJ40 - AK40 - DY40*1E3/(8.314*(EA40+273.15)) * AM40/DX40 * AL40) * DX40/(100*DL40) * (1000 - DU40)/1000</f>
        <v>0</v>
      </c>
      <c r="AJ40">
        <v>71.2800708357669</v>
      </c>
      <c r="AK40">
        <v>84.1989527272727</v>
      </c>
      <c r="AL40">
        <v>-3.15454182895244</v>
      </c>
      <c r="AM40">
        <v>64.8413469339502</v>
      </c>
      <c r="AN40">
        <f>(AP40 - AO40 + DY40*1E3/(8.314*(EA40+273.15)) * AR40/DX40 * AQ40) * DX40/(100*DL40) * 1000/(1000 - AP40)</f>
        <v>0</v>
      </c>
      <c r="AO40">
        <v>9.1236588649414</v>
      </c>
      <c r="AP40">
        <v>11.7917442424242</v>
      </c>
      <c r="AQ40">
        <v>-3.09479284678486e-06</v>
      </c>
      <c r="AR40">
        <v>118.472689631034</v>
      </c>
      <c r="AS40">
        <v>0</v>
      </c>
      <c r="AT40">
        <v>0</v>
      </c>
      <c r="AU40">
        <f>IF(AS40*$H$13&gt;=AW40,1.0,(AW40/(AW40-AS40*$H$13)))</f>
        <v>0</v>
      </c>
      <c r="AV40">
        <f>(AU40-1)*100</f>
        <v>0</v>
      </c>
      <c r="AW40">
        <f>MAX(0,($B$13+$C$13*EF40)/(1+$D$13*EF40)*DY40/(EA40+273)*$E$13)</f>
        <v>0</v>
      </c>
      <c r="AX40" t="s">
        <v>437</v>
      </c>
      <c r="AY40" t="s">
        <v>437</v>
      </c>
      <c r="AZ40">
        <v>0</v>
      </c>
      <c r="BA40">
        <v>0</v>
      </c>
      <c r="BB40">
        <f>1-AZ40/BA40</f>
        <v>0</v>
      </c>
      <c r="BC40">
        <v>0</v>
      </c>
      <c r="BD40" t="s">
        <v>437</v>
      </c>
      <c r="BE40" t="s">
        <v>437</v>
      </c>
      <c r="BF40">
        <v>0</v>
      </c>
      <c r="BG40">
        <v>0</v>
      </c>
      <c r="BH40">
        <f>1-BF40/BG40</f>
        <v>0</v>
      </c>
      <c r="BI40">
        <v>0.5</v>
      </c>
      <c r="BJ40">
        <f>DI40</f>
        <v>0</v>
      </c>
      <c r="BK40">
        <f>L40</f>
        <v>0</v>
      </c>
      <c r="BL40">
        <f>BH40*BI40*BJ40</f>
        <v>0</v>
      </c>
      <c r="BM40">
        <f>(BK40-BC40)/BJ40</f>
        <v>0</v>
      </c>
      <c r="BN40">
        <f>(BA40-BG40)/BG40</f>
        <v>0</v>
      </c>
      <c r="BO40">
        <f>AZ40/(BB40+AZ40/BG40)</f>
        <v>0</v>
      </c>
      <c r="BP40" t="s">
        <v>437</v>
      </c>
      <c r="BQ40">
        <v>0</v>
      </c>
      <c r="BR40">
        <f>IF(BQ40&lt;&gt;0, BQ40, BO40)</f>
        <v>0</v>
      </c>
      <c r="BS40">
        <f>1-BR40/BG40</f>
        <v>0</v>
      </c>
      <c r="BT40">
        <f>(BG40-BF40)/(BG40-BR40)</f>
        <v>0</v>
      </c>
      <c r="BU40">
        <f>(BA40-BG40)/(BA40-BR40)</f>
        <v>0</v>
      </c>
      <c r="BV40">
        <f>(BG40-BF40)/(BG40-AZ40)</f>
        <v>0</v>
      </c>
      <c r="BW40">
        <f>(BA40-BG40)/(BA40-AZ40)</f>
        <v>0</v>
      </c>
      <c r="BX40">
        <f>(BT40*BR40/BF40)</f>
        <v>0</v>
      </c>
      <c r="BY40">
        <f>(1-BX40)</f>
        <v>0</v>
      </c>
      <c r="DH40">
        <f>$B$11*EG40+$C$11*EH40+$F$11*ES40*(1-EV40)</f>
        <v>0</v>
      </c>
      <c r="DI40">
        <f>DH40*DJ40</f>
        <v>0</v>
      </c>
      <c r="DJ40">
        <f>($B$11*$D$9+$C$11*$D$9+$F$11*((FF40+EX40)/MAX(FF40+EX40+FG40, 0.1)*$I$9+FG40/MAX(FF40+EX40+FG40, 0.1)*$J$9))/($B$11+$C$11+$F$11)</f>
        <v>0</v>
      </c>
      <c r="DK40">
        <f>($B$11*$K$9+$C$11*$K$9+$F$11*((FF40+EX40)/MAX(FF40+EX40+FG40, 0.1)*$P$9+FG40/MAX(FF40+EX40+FG40, 0.1)*$Q$9))/($B$11+$C$11+$F$11)</f>
        <v>0</v>
      </c>
      <c r="DL40">
        <v>6</v>
      </c>
      <c r="DM40">
        <v>0.5</v>
      </c>
      <c r="DN40" t="s">
        <v>438</v>
      </c>
      <c r="DO40">
        <v>2</v>
      </c>
      <c r="DP40" t="b">
        <v>1</v>
      </c>
      <c r="DQ40">
        <v>1760989296.94615</v>
      </c>
      <c r="DR40">
        <v>105.659807692308</v>
      </c>
      <c r="DS40">
        <v>86.0006153846154</v>
      </c>
      <c r="DT40">
        <v>11.7944076923077</v>
      </c>
      <c r="DU40">
        <v>9.12447076923077</v>
      </c>
      <c r="DV40">
        <v>104.065230769231</v>
      </c>
      <c r="DW40">
        <v>11.9058384615385</v>
      </c>
      <c r="DX40">
        <v>500.007076923077</v>
      </c>
      <c r="DY40">
        <v>89.8791615384615</v>
      </c>
      <c r="DZ40">
        <v>0.00752817615384615</v>
      </c>
      <c r="EA40">
        <v>18.4432076923077</v>
      </c>
      <c r="EB40">
        <v>18.0063538461538</v>
      </c>
      <c r="EC40">
        <v>999.9</v>
      </c>
      <c r="ED40">
        <v>0</v>
      </c>
      <c r="EE40">
        <v>0</v>
      </c>
      <c r="EF40">
        <v>9994.47307692308</v>
      </c>
      <c r="EG40">
        <v>0</v>
      </c>
      <c r="EH40">
        <v>1270.08692307692</v>
      </c>
      <c r="EI40">
        <v>19.6592153846154</v>
      </c>
      <c r="EJ40">
        <v>106.9209</v>
      </c>
      <c r="EK40">
        <v>86.7925384615385</v>
      </c>
      <c r="EL40">
        <v>2.66994384615385</v>
      </c>
      <c r="EM40">
        <v>86.0006153846154</v>
      </c>
      <c r="EN40">
        <v>9.12447076923077</v>
      </c>
      <c r="EO40">
        <v>1.06007230769231</v>
      </c>
      <c r="EP40">
        <v>0.820099846153846</v>
      </c>
      <c r="EQ40">
        <v>7.76926461538461</v>
      </c>
      <c r="ER40">
        <v>4.06005230769231</v>
      </c>
      <c r="ES40">
        <v>1200.01</v>
      </c>
      <c r="ET40">
        <v>0.967006769230769</v>
      </c>
      <c r="EU40">
        <v>0.0329930384615385</v>
      </c>
      <c r="EV40">
        <v>0</v>
      </c>
      <c r="EW40">
        <v>1362.82076923077</v>
      </c>
      <c r="EX40">
        <v>5.00059</v>
      </c>
      <c r="EY40">
        <v>16032.2230769231</v>
      </c>
      <c r="EZ40">
        <v>10358.8230769231</v>
      </c>
      <c r="FA40">
        <v>37.9613076923077</v>
      </c>
      <c r="FB40">
        <v>39.7353846153846</v>
      </c>
      <c r="FC40">
        <v>38.4469230769231</v>
      </c>
      <c r="FD40">
        <v>39.2304615384615</v>
      </c>
      <c r="FE40">
        <v>38.7786153846154</v>
      </c>
      <c r="FF40">
        <v>1155.58</v>
      </c>
      <c r="FG40">
        <v>39.43</v>
      </c>
      <c r="FH40">
        <v>0</v>
      </c>
      <c r="FI40">
        <v>1760989274.5</v>
      </c>
      <c r="FJ40">
        <v>0</v>
      </c>
      <c r="FK40">
        <v>1360.9616</v>
      </c>
      <c r="FL40">
        <v>-104.764615239605</v>
      </c>
      <c r="FM40">
        <v>-1287.33076709937</v>
      </c>
      <c r="FN40">
        <v>16009.604</v>
      </c>
      <c r="FO40">
        <v>15</v>
      </c>
      <c r="FP40">
        <v>0</v>
      </c>
      <c r="FQ40" t="s">
        <v>439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19.3403142857143</v>
      </c>
      <c r="GD40">
        <v>7.81989350649354</v>
      </c>
      <c r="GE40">
        <v>0.892840752230507</v>
      </c>
      <c r="GF40">
        <v>0</v>
      </c>
      <c r="GG40">
        <v>1366.45823529412</v>
      </c>
      <c r="GH40">
        <v>-84.6774637060437</v>
      </c>
      <c r="GI40">
        <v>8.41732473588506</v>
      </c>
      <c r="GJ40">
        <v>-1</v>
      </c>
      <c r="GK40">
        <v>2.6705080952381</v>
      </c>
      <c r="GL40">
        <v>-0.0124114285714265</v>
      </c>
      <c r="GM40">
        <v>0.00131101058456232</v>
      </c>
      <c r="GN40">
        <v>1</v>
      </c>
      <c r="GO40">
        <v>1</v>
      </c>
      <c r="GP40">
        <v>2</v>
      </c>
      <c r="GQ40" t="s">
        <v>446</v>
      </c>
      <c r="GR40">
        <v>3.13069</v>
      </c>
      <c r="GS40">
        <v>2.68548</v>
      </c>
      <c r="GT40">
        <v>0.0203941</v>
      </c>
      <c r="GU40">
        <v>0.0153068</v>
      </c>
      <c r="GV40">
        <v>0.0616292</v>
      </c>
      <c r="GW40">
        <v>0.0503735</v>
      </c>
      <c r="GX40">
        <v>37127.4</v>
      </c>
      <c r="GY40">
        <v>40101.5</v>
      </c>
      <c r="GZ40">
        <v>34267</v>
      </c>
      <c r="HA40">
        <v>36849.2</v>
      </c>
      <c r="HB40">
        <v>45348</v>
      </c>
      <c r="HC40">
        <v>50167.4</v>
      </c>
      <c r="HD40">
        <v>53341</v>
      </c>
      <c r="HE40">
        <v>58775.4</v>
      </c>
      <c r="HF40">
        <v>2.00822</v>
      </c>
      <c r="HG40">
        <v>1.83585</v>
      </c>
      <c r="HH40">
        <v>0.0333637</v>
      </c>
      <c r="HI40">
        <v>0</v>
      </c>
      <c r="HJ40">
        <v>17.4513</v>
      </c>
      <c r="HK40">
        <v>999.9</v>
      </c>
      <c r="HL40">
        <v>26.01</v>
      </c>
      <c r="HM40">
        <v>30.273</v>
      </c>
      <c r="HN40">
        <v>12.5242</v>
      </c>
      <c r="HO40">
        <v>54.0792</v>
      </c>
      <c r="HP40">
        <v>44.359</v>
      </c>
      <c r="HQ40">
        <v>1</v>
      </c>
      <c r="HR40">
        <v>-0.268778</v>
      </c>
      <c r="HS40">
        <v>4.16441</v>
      </c>
      <c r="HT40">
        <v>20.0875</v>
      </c>
      <c r="HU40">
        <v>5.20276</v>
      </c>
      <c r="HV40">
        <v>12.004</v>
      </c>
      <c r="HW40">
        <v>4.97555</v>
      </c>
      <c r="HX40">
        <v>3.293</v>
      </c>
      <c r="HY40">
        <v>9999</v>
      </c>
      <c r="HZ40">
        <v>999.9</v>
      </c>
      <c r="IA40">
        <v>9999</v>
      </c>
      <c r="IB40">
        <v>9999</v>
      </c>
      <c r="IC40">
        <v>1.86324</v>
      </c>
      <c r="ID40">
        <v>1.86801</v>
      </c>
      <c r="IE40">
        <v>1.86783</v>
      </c>
      <c r="IF40">
        <v>1.86903</v>
      </c>
      <c r="IG40">
        <v>1.86981</v>
      </c>
      <c r="IH40">
        <v>1.86584</v>
      </c>
      <c r="II40">
        <v>1.86691</v>
      </c>
      <c r="IJ40">
        <v>1.86838</v>
      </c>
      <c r="IK40">
        <v>5</v>
      </c>
      <c r="IL40">
        <v>0</v>
      </c>
      <c r="IM40">
        <v>0</v>
      </c>
      <c r="IN40">
        <v>0</v>
      </c>
      <c r="IO40" t="s">
        <v>441</v>
      </c>
      <c r="IP40" t="s">
        <v>442</v>
      </c>
      <c r="IQ40" t="s">
        <v>443</v>
      </c>
      <c r="IR40" t="s">
        <v>443</v>
      </c>
      <c r="IS40" t="s">
        <v>443</v>
      </c>
      <c r="IT40" t="s">
        <v>443</v>
      </c>
      <c r="IU40">
        <v>0</v>
      </c>
      <c r="IV40">
        <v>100</v>
      </c>
      <c r="IW40">
        <v>100</v>
      </c>
      <c r="IX40">
        <v>1.481</v>
      </c>
      <c r="IY40">
        <v>-0.1115</v>
      </c>
      <c r="IZ40">
        <v>1.12474291219083</v>
      </c>
      <c r="JA40">
        <v>0.00463155566490582</v>
      </c>
      <c r="JB40">
        <v>-1.1358998729424e-06</v>
      </c>
      <c r="JC40">
        <v>3.28704272115545e-10</v>
      </c>
      <c r="JD40">
        <v>-0.0704455108513773</v>
      </c>
      <c r="JE40">
        <v>-0.0251928478371425</v>
      </c>
      <c r="JF40">
        <v>0.00225751704194564</v>
      </c>
      <c r="JG40">
        <v>-3.61734043746866e-05</v>
      </c>
      <c r="JH40">
        <v>1</v>
      </c>
      <c r="JI40">
        <v>2182</v>
      </c>
      <c r="JJ40">
        <v>0</v>
      </c>
      <c r="JK40">
        <v>24</v>
      </c>
      <c r="JL40">
        <v>29349821.8</v>
      </c>
      <c r="JM40">
        <v>29349821.8</v>
      </c>
      <c r="JN40">
        <v>0.240479</v>
      </c>
      <c r="JO40">
        <v>2.68433</v>
      </c>
      <c r="JP40">
        <v>1.54785</v>
      </c>
      <c r="JQ40">
        <v>2.31445</v>
      </c>
      <c r="JR40">
        <v>1.64551</v>
      </c>
      <c r="JS40">
        <v>2.33276</v>
      </c>
      <c r="JT40">
        <v>33.513</v>
      </c>
      <c r="JU40">
        <v>24.1838</v>
      </c>
      <c r="JV40">
        <v>18</v>
      </c>
      <c r="JW40">
        <v>500.334</v>
      </c>
      <c r="JX40">
        <v>393.493</v>
      </c>
      <c r="JY40">
        <v>12.0924</v>
      </c>
      <c r="JZ40">
        <v>23.9028</v>
      </c>
      <c r="KA40">
        <v>30.0001</v>
      </c>
      <c r="KB40">
        <v>23.923</v>
      </c>
      <c r="KC40">
        <v>23.8952</v>
      </c>
      <c r="KD40">
        <v>4.80655</v>
      </c>
      <c r="KE40">
        <v>0</v>
      </c>
      <c r="KF40">
        <v>23.7343</v>
      </c>
      <c r="KG40">
        <v>12.0922</v>
      </c>
      <c r="KH40">
        <v>35.4811</v>
      </c>
      <c r="KI40">
        <v>9.33051</v>
      </c>
      <c r="KJ40">
        <v>97.0447</v>
      </c>
      <c r="KK40">
        <v>95.3025</v>
      </c>
    </row>
    <row r="41" spans="1:297">
      <c r="A41">
        <v>25</v>
      </c>
      <c r="B41">
        <v>1760989402.1</v>
      </c>
      <c r="C41">
        <v>212</v>
      </c>
      <c r="D41" t="s">
        <v>491</v>
      </c>
      <c r="E41" t="s">
        <v>492</v>
      </c>
      <c r="F41">
        <v>5</v>
      </c>
      <c r="G41" t="s">
        <v>435</v>
      </c>
      <c r="H41" t="s">
        <v>436</v>
      </c>
      <c r="I41">
        <v>1760989393.6</v>
      </c>
      <c r="J41">
        <f>(K41)/1000</f>
        <v>0</v>
      </c>
      <c r="K41">
        <f>IF(DP41, AN41, AH41)</f>
        <v>0</v>
      </c>
      <c r="L41">
        <f>IF(DP41, AI41, AG41)</f>
        <v>0</v>
      </c>
      <c r="M41">
        <f>DR41 - IF(AU41&gt;1, L41*DL41*100.0/(AW41), 0)</f>
        <v>0</v>
      </c>
      <c r="N41">
        <f>((T41-J41/2)*M41-L41)/(T41+J41/2)</f>
        <v>0</v>
      </c>
      <c r="O41">
        <f>N41*(DY41+DZ41)/1000.0</f>
        <v>0</v>
      </c>
      <c r="P41">
        <f>(DR41 - IF(AU41&gt;1, L41*DL41*100.0/(AW41), 0))*(DY41+DZ41)/1000.0</f>
        <v>0</v>
      </c>
      <c r="Q41">
        <f>2.0/((1/S41-1/R41)+SIGN(S41)*SQRT((1/S41-1/R41)*(1/S41-1/R41) + 4*DM41/((DM41+1)*(DM41+1))*(2*1/S41*1/R41-1/R41*1/R41)))</f>
        <v>0</v>
      </c>
      <c r="R41">
        <f>IF(LEFT(DN41,1)&lt;&gt;"0",IF(LEFT(DN41,1)="1",3.0,DO41),$D$5+$E$5*(EF41*DY41/($K$5*1000))+$F$5*(EF41*DY41/($K$5*1000))*MAX(MIN(DL41,$J$5),$I$5)*MAX(MIN(DL41,$J$5),$I$5)+$G$5*MAX(MIN(DL41,$J$5),$I$5)*(EF41*DY41/($K$5*1000))+$H$5*(EF41*DY41/($K$5*1000))*(EF41*DY41/($K$5*1000)))</f>
        <v>0</v>
      </c>
      <c r="S41">
        <f>J41*(1000-(1000*0.61365*exp(17.502*W41/(240.97+W41))/(DY41+DZ41)+DT41)/2)/(1000*0.61365*exp(17.502*W41/(240.97+W41))/(DY41+DZ41)-DT41)</f>
        <v>0</v>
      </c>
      <c r="T41">
        <f>1/((DM41+1)/(Q41/1.6)+1/(R41/1.37)) + DM41/((DM41+1)/(Q41/1.6) + DM41/(R41/1.37))</f>
        <v>0</v>
      </c>
      <c r="U41">
        <f>(DH41*DK41)</f>
        <v>0</v>
      </c>
      <c r="V41">
        <f>(EA41+(U41+2*0.95*5.67E-8*(((EA41+$B$7)+273)^4-(EA41+273)^4)-44100*J41)/(1.84*29.3*R41+8*0.95*5.67E-8*(EA41+273)^3))</f>
        <v>0</v>
      </c>
      <c r="W41">
        <f>($C$7*EB41+$D$7*EC41+$E$7*V41)</f>
        <v>0</v>
      </c>
      <c r="X41">
        <f>0.61365*exp(17.502*W41/(240.97+W41))</f>
        <v>0</v>
      </c>
      <c r="Y41">
        <f>(Z41/AA41*100)</f>
        <v>0</v>
      </c>
      <c r="Z41">
        <f>DT41*(DY41+DZ41)/1000</f>
        <v>0</v>
      </c>
      <c r="AA41">
        <f>0.61365*exp(17.502*EA41/(240.97+EA41))</f>
        <v>0</v>
      </c>
      <c r="AB41">
        <f>(X41-DT41*(DY41+DZ41)/1000)</f>
        <v>0</v>
      </c>
      <c r="AC41">
        <f>(-J41*44100)</f>
        <v>0</v>
      </c>
      <c r="AD41">
        <f>2*29.3*R41*0.92*(EA41-W41)</f>
        <v>0</v>
      </c>
      <c r="AE41">
        <f>2*0.95*5.67E-8*(((EA41+$B$7)+273)^4-(W41+273)^4)</f>
        <v>0</v>
      </c>
      <c r="AF41">
        <f>U41+AE41+AC41+AD41</f>
        <v>0</v>
      </c>
      <c r="AG41">
        <f>DX41*AU41*(DS41-DR41*(1000-AU41*DU41)/(1000-AU41*DT41))/(100*DL41)</f>
        <v>0</v>
      </c>
      <c r="AH41">
        <f>1000*DX41*AU41*(DT41-DU41)/(100*DL41*(1000-AU41*DT41))</f>
        <v>0</v>
      </c>
      <c r="AI41">
        <f>(AJ41 - AK41 - DY41*1E3/(8.314*(EA41+273.15)) * AM41/DX41 * AL41) * DX41/(100*DL41) * (1000 - DU41)/1000</f>
        <v>0</v>
      </c>
      <c r="AJ41">
        <v>423.939532192951</v>
      </c>
      <c r="AK41">
        <v>412.585387878788</v>
      </c>
      <c r="AL41">
        <v>0.0211524504363894</v>
      </c>
      <c r="AM41">
        <v>64.8413469339502</v>
      </c>
      <c r="AN41">
        <f>(AP41 - AO41 + DY41*1E3/(8.314*(EA41+273.15)) * AR41/DX41 * AQ41) * DX41/(100*DL41) * 1000/(1000 - AP41)</f>
        <v>0</v>
      </c>
      <c r="AO41">
        <v>9.17931806783439</v>
      </c>
      <c r="AP41">
        <v>11.8700054545455</v>
      </c>
      <c r="AQ41">
        <v>9.82347580721046e-07</v>
      </c>
      <c r="AR41">
        <v>118.472689631034</v>
      </c>
      <c r="AS41">
        <v>0</v>
      </c>
      <c r="AT41">
        <v>0</v>
      </c>
      <c r="AU41">
        <f>IF(AS41*$H$13&gt;=AW41,1.0,(AW41/(AW41-AS41*$H$13)))</f>
        <v>0</v>
      </c>
      <c r="AV41">
        <f>(AU41-1)*100</f>
        <v>0</v>
      </c>
      <c r="AW41">
        <f>MAX(0,($B$13+$C$13*EF41)/(1+$D$13*EF41)*DY41/(EA41+273)*$E$13)</f>
        <v>0</v>
      </c>
      <c r="AX41" t="s">
        <v>437</v>
      </c>
      <c r="AY41" t="s">
        <v>437</v>
      </c>
      <c r="AZ41">
        <v>0</v>
      </c>
      <c r="BA41">
        <v>0</v>
      </c>
      <c r="BB41">
        <f>1-AZ41/BA41</f>
        <v>0</v>
      </c>
      <c r="BC41">
        <v>0</v>
      </c>
      <c r="BD41" t="s">
        <v>437</v>
      </c>
      <c r="BE41" t="s">
        <v>437</v>
      </c>
      <c r="BF41">
        <v>0</v>
      </c>
      <c r="BG41">
        <v>0</v>
      </c>
      <c r="BH41">
        <f>1-BF41/BG41</f>
        <v>0</v>
      </c>
      <c r="BI41">
        <v>0.5</v>
      </c>
      <c r="BJ41">
        <f>DI41</f>
        <v>0</v>
      </c>
      <c r="BK41">
        <f>L41</f>
        <v>0</v>
      </c>
      <c r="BL41">
        <f>BH41*BI41*BJ41</f>
        <v>0</v>
      </c>
      <c r="BM41">
        <f>(BK41-BC41)/BJ41</f>
        <v>0</v>
      </c>
      <c r="BN41">
        <f>(BA41-BG41)/BG41</f>
        <v>0</v>
      </c>
      <c r="BO41">
        <f>AZ41/(BB41+AZ41/BG41)</f>
        <v>0</v>
      </c>
      <c r="BP41" t="s">
        <v>437</v>
      </c>
      <c r="BQ41">
        <v>0</v>
      </c>
      <c r="BR41">
        <f>IF(BQ41&lt;&gt;0, BQ41, BO41)</f>
        <v>0</v>
      </c>
      <c r="BS41">
        <f>1-BR41/BG41</f>
        <v>0</v>
      </c>
      <c r="BT41">
        <f>(BG41-BF41)/(BG41-BR41)</f>
        <v>0</v>
      </c>
      <c r="BU41">
        <f>(BA41-BG41)/(BA41-BR41)</f>
        <v>0</v>
      </c>
      <c r="BV41">
        <f>(BG41-BF41)/(BG41-AZ41)</f>
        <v>0</v>
      </c>
      <c r="BW41">
        <f>(BA41-BG41)/(BA41-AZ41)</f>
        <v>0</v>
      </c>
      <c r="BX41">
        <f>(BT41*BR41/BF41)</f>
        <v>0</v>
      </c>
      <c r="BY41">
        <f>(1-BX41)</f>
        <v>0</v>
      </c>
      <c r="DH41">
        <f>$B$11*EG41+$C$11*EH41+$F$11*ES41*(1-EV41)</f>
        <v>0</v>
      </c>
      <c r="DI41">
        <f>DH41*DJ41</f>
        <v>0</v>
      </c>
      <c r="DJ41">
        <f>($B$11*$D$9+$C$11*$D$9+$F$11*((FF41+EX41)/MAX(FF41+EX41+FG41, 0.1)*$I$9+FG41/MAX(FF41+EX41+FG41, 0.1)*$J$9))/($B$11+$C$11+$F$11)</f>
        <v>0</v>
      </c>
      <c r="DK41">
        <f>($B$11*$K$9+$C$11*$K$9+$F$11*((FF41+EX41)/MAX(FF41+EX41+FG41, 0.1)*$P$9+FG41/MAX(FF41+EX41+FG41, 0.1)*$Q$9))/($B$11+$C$11+$F$11)</f>
        <v>0</v>
      </c>
      <c r="DL41">
        <v>6</v>
      </c>
      <c r="DM41">
        <v>0.5</v>
      </c>
      <c r="DN41" t="s">
        <v>438</v>
      </c>
      <c r="DO41">
        <v>2</v>
      </c>
      <c r="DP41" t="b">
        <v>1</v>
      </c>
      <c r="DQ41">
        <v>1760989393.6</v>
      </c>
      <c r="DR41">
        <v>407.5363125</v>
      </c>
      <c r="DS41">
        <v>420.0061875</v>
      </c>
      <c r="DT41">
        <v>11.8678875</v>
      </c>
      <c r="DU41">
        <v>9.178708125</v>
      </c>
      <c r="DV41">
        <v>404.701375</v>
      </c>
      <c r="DW41">
        <v>11.9783625</v>
      </c>
      <c r="DX41">
        <v>499.9975</v>
      </c>
      <c r="DY41">
        <v>89.86909375</v>
      </c>
      <c r="DZ41">
        <v>0.007754175</v>
      </c>
      <c r="EA41">
        <v>18.40336875</v>
      </c>
      <c r="EB41">
        <v>17.985975</v>
      </c>
      <c r="EC41">
        <v>999.9</v>
      </c>
      <c r="ED41">
        <v>0</v>
      </c>
      <c r="EE41">
        <v>0</v>
      </c>
      <c r="EF41">
        <v>10002.03125</v>
      </c>
      <c r="EG41">
        <v>0</v>
      </c>
      <c r="EH41">
        <v>1270.126875</v>
      </c>
      <c r="EI41">
        <v>-12.4696875</v>
      </c>
      <c r="EJ41">
        <v>412.431125</v>
      </c>
      <c r="EK41">
        <v>423.8969375</v>
      </c>
      <c r="EL41">
        <v>2.689179375</v>
      </c>
      <c r="EM41">
        <v>420.0061875</v>
      </c>
      <c r="EN41">
        <v>9.178708125</v>
      </c>
      <c r="EO41">
        <v>1.066555625</v>
      </c>
      <c r="EP41">
        <v>0.824882</v>
      </c>
      <c r="EQ41">
        <v>7.858754375</v>
      </c>
      <c r="ER41">
        <v>4.1428525</v>
      </c>
      <c r="ES41">
        <v>1200.05375</v>
      </c>
      <c r="ET41">
        <v>0.9669959375</v>
      </c>
      <c r="EU41">
        <v>0.0330044125</v>
      </c>
      <c r="EV41">
        <v>0</v>
      </c>
      <c r="EW41">
        <v>1316.54125</v>
      </c>
      <c r="EX41">
        <v>5.00059</v>
      </c>
      <c r="EY41">
        <v>15445.10625</v>
      </c>
      <c r="EZ41">
        <v>10359.1625</v>
      </c>
      <c r="FA41">
        <v>36.777125</v>
      </c>
      <c r="FB41">
        <v>38.4373125</v>
      </c>
      <c r="FC41">
        <v>37.3084375</v>
      </c>
      <c r="FD41">
        <v>37.5623125</v>
      </c>
      <c r="FE41">
        <v>37.6403125</v>
      </c>
      <c r="FF41">
        <v>1155.61375</v>
      </c>
      <c r="FG41">
        <v>39.44</v>
      </c>
      <c r="FH41">
        <v>0</v>
      </c>
      <c r="FI41">
        <v>1760989371.7</v>
      </c>
      <c r="FJ41">
        <v>0</v>
      </c>
      <c r="FK41">
        <v>1317.2672</v>
      </c>
      <c r="FL41">
        <v>25.3876923081196</v>
      </c>
      <c r="FM41">
        <v>277.761538383273</v>
      </c>
      <c r="FN41">
        <v>15452.784</v>
      </c>
      <c r="FO41">
        <v>15</v>
      </c>
      <c r="FP41">
        <v>0</v>
      </c>
      <c r="FQ41" t="s">
        <v>439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-12.542380952381</v>
      </c>
      <c r="GD41">
        <v>1.16528571428571</v>
      </c>
      <c r="GE41">
        <v>0.121338658775259</v>
      </c>
      <c r="GF41">
        <v>0</v>
      </c>
      <c r="GG41">
        <v>1314.95911764706</v>
      </c>
      <c r="GH41">
        <v>28.0945760137953</v>
      </c>
      <c r="GI41">
        <v>2.76898194038154</v>
      </c>
      <c r="GJ41">
        <v>-1</v>
      </c>
      <c r="GK41">
        <v>2.68859333333333</v>
      </c>
      <c r="GL41">
        <v>0.0112511688311659</v>
      </c>
      <c r="GM41">
        <v>0.00134807917435053</v>
      </c>
      <c r="GN41">
        <v>1</v>
      </c>
      <c r="GO41">
        <v>1</v>
      </c>
      <c r="GP41">
        <v>2</v>
      </c>
      <c r="GQ41" t="s">
        <v>446</v>
      </c>
      <c r="GR41">
        <v>3.13071</v>
      </c>
      <c r="GS41">
        <v>2.68566</v>
      </c>
      <c r="GT41">
        <v>0.0876205</v>
      </c>
      <c r="GU41">
        <v>0.0902221</v>
      </c>
      <c r="GV41">
        <v>0.0619437</v>
      </c>
      <c r="GW41">
        <v>0.0506168</v>
      </c>
      <c r="GX41">
        <v>34577.7</v>
      </c>
      <c r="GY41">
        <v>37048.8</v>
      </c>
      <c r="GZ41">
        <v>34266.1</v>
      </c>
      <c r="HA41">
        <v>36848.5</v>
      </c>
      <c r="HB41">
        <v>45339</v>
      </c>
      <c r="HC41">
        <v>50162.8</v>
      </c>
      <c r="HD41">
        <v>53340.1</v>
      </c>
      <c r="HE41">
        <v>58774.7</v>
      </c>
      <c r="HF41">
        <v>2.00868</v>
      </c>
      <c r="HG41">
        <v>1.83705</v>
      </c>
      <c r="HH41">
        <v>0.0326931</v>
      </c>
      <c r="HI41">
        <v>0</v>
      </c>
      <c r="HJ41">
        <v>17.439</v>
      </c>
      <c r="HK41">
        <v>999.9</v>
      </c>
      <c r="HL41">
        <v>25.98</v>
      </c>
      <c r="HM41">
        <v>30.273</v>
      </c>
      <c r="HN41">
        <v>12.5114</v>
      </c>
      <c r="HO41">
        <v>53.8892</v>
      </c>
      <c r="HP41">
        <v>44.3309</v>
      </c>
      <c r="HQ41">
        <v>1</v>
      </c>
      <c r="HR41">
        <v>-0.269294</v>
      </c>
      <c r="HS41">
        <v>3.9132</v>
      </c>
      <c r="HT41">
        <v>20.093</v>
      </c>
      <c r="HU41">
        <v>5.20246</v>
      </c>
      <c r="HV41">
        <v>12.004</v>
      </c>
      <c r="HW41">
        <v>4.9756</v>
      </c>
      <c r="HX41">
        <v>3.29295</v>
      </c>
      <c r="HY41">
        <v>9999</v>
      </c>
      <c r="HZ41">
        <v>999.9</v>
      </c>
      <c r="IA41">
        <v>9999</v>
      </c>
      <c r="IB41">
        <v>9999</v>
      </c>
      <c r="IC41">
        <v>1.86325</v>
      </c>
      <c r="ID41">
        <v>1.86805</v>
      </c>
      <c r="IE41">
        <v>1.86783</v>
      </c>
      <c r="IF41">
        <v>1.86905</v>
      </c>
      <c r="IG41">
        <v>1.86981</v>
      </c>
      <c r="IH41">
        <v>1.86584</v>
      </c>
      <c r="II41">
        <v>1.86696</v>
      </c>
      <c r="IJ41">
        <v>1.86839</v>
      </c>
      <c r="IK41">
        <v>5</v>
      </c>
      <c r="IL41">
        <v>0</v>
      </c>
      <c r="IM41">
        <v>0</v>
      </c>
      <c r="IN41">
        <v>0</v>
      </c>
      <c r="IO41" t="s">
        <v>441</v>
      </c>
      <c r="IP41" t="s">
        <v>442</v>
      </c>
      <c r="IQ41" t="s">
        <v>443</v>
      </c>
      <c r="IR41" t="s">
        <v>443</v>
      </c>
      <c r="IS41" t="s">
        <v>443</v>
      </c>
      <c r="IT41" t="s">
        <v>443</v>
      </c>
      <c r="IU41">
        <v>0</v>
      </c>
      <c r="IV41">
        <v>100</v>
      </c>
      <c r="IW41">
        <v>100</v>
      </c>
      <c r="IX41">
        <v>2.836</v>
      </c>
      <c r="IY41">
        <v>-0.1105</v>
      </c>
      <c r="IZ41">
        <v>1.12474291219083</v>
      </c>
      <c r="JA41">
        <v>0.00463155566490582</v>
      </c>
      <c r="JB41">
        <v>-1.1358998729424e-06</v>
      </c>
      <c r="JC41">
        <v>3.28704272115545e-10</v>
      </c>
      <c r="JD41">
        <v>-0.0704455108513773</v>
      </c>
      <c r="JE41">
        <v>-0.0251928478371425</v>
      </c>
      <c r="JF41">
        <v>0.00225751704194564</v>
      </c>
      <c r="JG41">
        <v>-3.61734043746866e-05</v>
      </c>
      <c r="JH41">
        <v>1</v>
      </c>
      <c r="JI41">
        <v>2182</v>
      </c>
      <c r="JJ41">
        <v>0</v>
      </c>
      <c r="JK41">
        <v>24</v>
      </c>
      <c r="JL41">
        <v>29349823.4</v>
      </c>
      <c r="JM41">
        <v>29349823.4</v>
      </c>
      <c r="JN41">
        <v>1.00098</v>
      </c>
      <c r="JO41">
        <v>2.64282</v>
      </c>
      <c r="JP41">
        <v>1.54785</v>
      </c>
      <c r="JQ41">
        <v>2.31445</v>
      </c>
      <c r="JR41">
        <v>1.64673</v>
      </c>
      <c r="JS41">
        <v>2.33521</v>
      </c>
      <c r="JT41">
        <v>33.513</v>
      </c>
      <c r="JU41">
        <v>24.1838</v>
      </c>
      <c r="JV41">
        <v>18</v>
      </c>
      <c r="JW41">
        <v>500.641</v>
      </c>
      <c r="JX41">
        <v>394.125</v>
      </c>
      <c r="JY41">
        <v>12.3395</v>
      </c>
      <c r="JZ41">
        <v>23.9068</v>
      </c>
      <c r="KA41">
        <v>30.0002</v>
      </c>
      <c r="KB41">
        <v>23.925</v>
      </c>
      <c r="KC41">
        <v>23.8952</v>
      </c>
      <c r="KD41">
        <v>20.0554</v>
      </c>
      <c r="KE41">
        <v>0</v>
      </c>
      <c r="KF41">
        <v>23.7343</v>
      </c>
      <c r="KG41">
        <v>12.355</v>
      </c>
      <c r="KH41">
        <v>426.753</v>
      </c>
      <c r="KI41">
        <v>9.21448</v>
      </c>
      <c r="KJ41">
        <v>97.0427</v>
      </c>
      <c r="KK41">
        <v>95.3011</v>
      </c>
    </row>
    <row r="42" spans="1:297">
      <c r="A42">
        <v>26</v>
      </c>
      <c r="B42">
        <v>1760989407.1</v>
      </c>
      <c r="C42">
        <v>217</v>
      </c>
      <c r="D42" t="s">
        <v>493</v>
      </c>
      <c r="E42" t="s">
        <v>494</v>
      </c>
      <c r="F42">
        <v>5</v>
      </c>
      <c r="G42" t="s">
        <v>435</v>
      </c>
      <c r="H42" t="s">
        <v>436</v>
      </c>
      <c r="I42">
        <v>1760989398.36667</v>
      </c>
      <c r="J42">
        <f>(K42)/1000</f>
        <v>0</v>
      </c>
      <c r="K42">
        <f>IF(DP42, AN42, AH42)</f>
        <v>0</v>
      </c>
      <c r="L42">
        <f>IF(DP42, AI42, AG42)</f>
        <v>0</v>
      </c>
      <c r="M42">
        <f>DR42 - IF(AU42&gt;1, L42*DL42*100.0/(AW42), 0)</f>
        <v>0</v>
      </c>
      <c r="N42">
        <f>((T42-J42/2)*M42-L42)/(T42+J42/2)</f>
        <v>0</v>
      </c>
      <c r="O42">
        <f>N42*(DY42+DZ42)/1000.0</f>
        <v>0</v>
      </c>
      <c r="P42">
        <f>(DR42 - IF(AU42&gt;1, L42*DL42*100.0/(AW42), 0))*(DY42+DZ42)/1000.0</f>
        <v>0</v>
      </c>
      <c r="Q42">
        <f>2.0/((1/S42-1/R42)+SIGN(S42)*SQRT((1/S42-1/R42)*(1/S42-1/R42) + 4*DM42/((DM42+1)*(DM42+1))*(2*1/S42*1/R42-1/R42*1/R42)))</f>
        <v>0</v>
      </c>
      <c r="R42">
        <f>IF(LEFT(DN42,1)&lt;&gt;"0",IF(LEFT(DN42,1)="1",3.0,DO42),$D$5+$E$5*(EF42*DY42/($K$5*1000))+$F$5*(EF42*DY42/($K$5*1000))*MAX(MIN(DL42,$J$5),$I$5)*MAX(MIN(DL42,$J$5),$I$5)+$G$5*MAX(MIN(DL42,$J$5),$I$5)*(EF42*DY42/($K$5*1000))+$H$5*(EF42*DY42/($K$5*1000))*(EF42*DY42/($K$5*1000)))</f>
        <v>0</v>
      </c>
      <c r="S42">
        <f>J42*(1000-(1000*0.61365*exp(17.502*W42/(240.97+W42))/(DY42+DZ42)+DT42)/2)/(1000*0.61365*exp(17.502*W42/(240.97+W42))/(DY42+DZ42)-DT42)</f>
        <v>0</v>
      </c>
      <c r="T42">
        <f>1/((DM42+1)/(Q42/1.6)+1/(R42/1.37)) + DM42/((DM42+1)/(Q42/1.6) + DM42/(R42/1.37))</f>
        <v>0</v>
      </c>
      <c r="U42">
        <f>(DH42*DK42)</f>
        <v>0</v>
      </c>
      <c r="V42">
        <f>(EA42+(U42+2*0.95*5.67E-8*(((EA42+$B$7)+273)^4-(EA42+273)^4)-44100*J42)/(1.84*29.3*R42+8*0.95*5.67E-8*(EA42+273)^3))</f>
        <v>0</v>
      </c>
      <c r="W42">
        <f>($C$7*EB42+$D$7*EC42+$E$7*V42)</f>
        <v>0</v>
      </c>
      <c r="X42">
        <f>0.61365*exp(17.502*W42/(240.97+W42))</f>
        <v>0</v>
      </c>
      <c r="Y42">
        <f>(Z42/AA42*100)</f>
        <v>0</v>
      </c>
      <c r="Z42">
        <f>DT42*(DY42+DZ42)/1000</f>
        <v>0</v>
      </c>
      <c r="AA42">
        <f>0.61365*exp(17.502*EA42/(240.97+EA42))</f>
        <v>0</v>
      </c>
      <c r="AB42">
        <f>(X42-DT42*(DY42+DZ42)/1000)</f>
        <v>0</v>
      </c>
      <c r="AC42">
        <f>(-J42*44100)</f>
        <v>0</v>
      </c>
      <c r="AD42">
        <f>2*29.3*R42*0.92*(EA42-W42)</f>
        <v>0</v>
      </c>
      <c r="AE42">
        <f>2*0.95*5.67E-8*(((EA42+$B$7)+273)^4-(W42+273)^4)</f>
        <v>0</v>
      </c>
      <c r="AF42">
        <f>U42+AE42+AC42+AD42</f>
        <v>0</v>
      </c>
      <c r="AG42">
        <f>DX42*AU42*(DS42-DR42*(1000-AU42*DU42)/(1000-AU42*DT42))/(100*DL42)</f>
        <v>0</v>
      </c>
      <c r="AH42">
        <f>1000*DX42*AU42*(DT42-DU42)/(100*DL42*(1000-AU42*DT42))</f>
        <v>0</v>
      </c>
      <c r="AI42">
        <f>(AJ42 - AK42 - DY42*1E3/(8.314*(EA42+273.15)) * AM42/DX42 * AL42) * DX42/(100*DL42) * (1000 - DU42)/1000</f>
        <v>0</v>
      </c>
      <c r="AJ42">
        <v>424.006384048148</v>
      </c>
      <c r="AK42">
        <v>412.706933333333</v>
      </c>
      <c r="AL42">
        <v>0.0300741309246423</v>
      </c>
      <c r="AM42">
        <v>64.8413469339502</v>
      </c>
      <c r="AN42">
        <f>(AP42 - AO42 + DY42*1E3/(8.314*(EA42+273.15)) * AR42/DX42 * AQ42) * DX42/(100*DL42) * 1000/(1000 - AP42)</f>
        <v>0</v>
      </c>
      <c r="AO42">
        <v>9.18179709371831</v>
      </c>
      <c r="AP42">
        <v>11.8737854545454</v>
      </c>
      <c r="AQ42">
        <v>3.51817770312432e-06</v>
      </c>
      <c r="AR42">
        <v>118.472689631034</v>
      </c>
      <c r="AS42">
        <v>0</v>
      </c>
      <c r="AT42">
        <v>0</v>
      </c>
      <c r="AU42">
        <f>IF(AS42*$H$13&gt;=AW42,1.0,(AW42/(AW42-AS42*$H$13)))</f>
        <v>0</v>
      </c>
      <c r="AV42">
        <f>(AU42-1)*100</f>
        <v>0</v>
      </c>
      <c r="AW42">
        <f>MAX(0,($B$13+$C$13*EF42)/(1+$D$13*EF42)*DY42/(EA42+273)*$E$13)</f>
        <v>0</v>
      </c>
      <c r="AX42" t="s">
        <v>437</v>
      </c>
      <c r="AY42" t="s">
        <v>437</v>
      </c>
      <c r="AZ42">
        <v>0</v>
      </c>
      <c r="BA42">
        <v>0</v>
      </c>
      <c r="BB42">
        <f>1-AZ42/BA42</f>
        <v>0</v>
      </c>
      <c r="BC42">
        <v>0</v>
      </c>
      <c r="BD42" t="s">
        <v>437</v>
      </c>
      <c r="BE42" t="s">
        <v>437</v>
      </c>
      <c r="BF42">
        <v>0</v>
      </c>
      <c r="BG42">
        <v>0</v>
      </c>
      <c r="BH42">
        <f>1-BF42/BG42</f>
        <v>0</v>
      </c>
      <c r="BI42">
        <v>0.5</v>
      </c>
      <c r="BJ42">
        <f>DI42</f>
        <v>0</v>
      </c>
      <c r="BK42">
        <f>L42</f>
        <v>0</v>
      </c>
      <c r="BL42">
        <f>BH42*BI42*BJ42</f>
        <v>0</v>
      </c>
      <c r="BM42">
        <f>(BK42-BC42)/BJ42</f>
        <v>0</v>
      </c>
      <c r="BN42">
        <f>(BA42-BG42)/BG42</f>
        <v>0</v>
      </c>
      <c r="BO42">
        <f>AZ42/(BB42+AZ42/BG42)</f>
        <v>0</v>
      </c>
      <c r="BP42" t="s">
        <v>437</v>
      </c>
      <c r="BQ42">
        <v>0</v>
      </c>
      <c r="BR42">
        <f>IF(BQ42&lt;&gt;0, BQ42, BO42)</f>
        <v>0</v>
      </c>
      <c r="BS42">
        <f>1-BR42/BG42</f>
        <v>0</v>
      </c>
      <c r="BT42">
        <f>(BG42-BF42)/(BG42-BR42)</f>
        <v>0</v>
      </c>
      <c r="BU42">
        <f>(BA42-BG42)/(BA42-BR42)</f>
        <v>0</v>
      </c>
      <c r="BV42">
        <f>(BG42-BF42)/(BG42-AZ42)</f>
        <v>0</v>
      </c>
      <c r="BW42">
        <f>(BA42-BG42)/(BA42-AZ42)</f>
        <v>0</v>
      </c>
      <c r="BX42">
        <f>(BT42*BR42/BF42)</f>
        <v>0</v>
      </c>
      <c r="BY42">
        <f>(1-BX42)</f>
        <v>0</v>
      </c>
      <c r="DH42">
        <f>$B$11*EG42+$C$11*EH42+$F$11*ES42*(1-EV42)</f>
        <v>0</v>
      </c>
      <c r="DI42">
        <f>DH42*DJ42</f>
        <v>0</v>
      </c>
      <c r="DJ42">
        <f>($B$11*$D$9+$C$11*$D$9+$F$11*((FF42+EX42)/MAX(FF42+EX42+FG42, 0.1)*$I$9+FG42/MAX(FF42+EX42+FG42, 0.1)*$J$9))/($B$11+$C$11+$F$11)</f>
        <v>0</v>
      </c>
      <c r="DK42">
        <f>($B$11*$K$9+$C$11*$K$9+$F$11*((FF42+EX42)/MAX(FF42+EX42+FG42, 0.1)*$P$9+FG42/MAX(FF42+EX42+FG42, 0.1)*$Q$9))/($B$11+$C$11+$F$11)</f>
        <v>0</v>
      </c>
      <c r="DL42">
        <v>6</v>
      </c>
      <c r="DM42">
        <v>0.5</v>
      </c>
      <c r="DN42" t="s">
        <v>438</v>
      </c>
      <c r="DO42">
        <v>2</v>
      </c>
      <c r="DP42" t="b">
        <v>1</v>
      </c>
      <c r="DQ42">
        <v>1760989398.36667</v>
      </c>
      <c r="DR42">
        <v>407.6288</v>
      </c>
      <c r="DS42">
        <v>420.093066666667</v>
      </c>
      <c r="DT42">
        <v>11.8698266666667</v>
      </c>
      <c r="DU42">
        <v>9.17953466666667</v>
      </c>
      <c r="DV42">
        <v>404.7936</v>
      </c>
      <c r="DW42">
        <v>11.98028</v>
      </c>
      <c r="DX42">
        <v>499.988933333333</v>
      </c>
      <c r="DY42">
        <v>89.8700533333333</v>
      </c>
      <c r="DZ42">
        <v>0.00767852</v>
      </c>
      <c r="EA42">
        <v>18.4009933333333</v>
      </c>
      <c r="EB42">
        <v>17.9837533333333</v>
      </c>
      <c r="EC42">
        <v>999.9</v>
      </c>
      <c r="ED42">
        <v>0</v>
      </c>
      <c r="EE42">
        <v>0</v>
      </c>
      <c r="EF42">
        <v>10004.5133333333</v>
      </c>
      <c r="EG42">
        <v>0</v>
      </c>
      <c r="EH42">
        <v>1270.13</v>
      </c>
      <c r="EI42">
        <v>-12.46396</v>
      </c>
      <c r="EJ42">
        <v>412.5256</v>
      </c>
      <c r="EK42">
        <v>423.985</v>
      </c>
      <c r="EL42">
        <v>2.69029</v>
      </c>
      <c r="EM42">
        <v>420.093066666667</v>
      </c>
      <c r="EN42">
        <v>9.17953466666667</v>
      </c>
      <c r="EO42">
        <v>1.066742</v>
      </c>
      <c r="EP42">
        <v>0.824965333333333</v>
      </c>
      <c r="EQ42">
        <v>7.86131066666667</v>
      </c>
      <c r="ER42">
        <v>4.14429</v>
      </c>
      <c r="ES42">
        <v>1200.036</v>
      </c>
      <c r="ET42">
        <v>0.966994733333333</v>
      </c>
      <c r="EU42">
        <v>0.03300556</v>
      </c>
      <c r="EV42">
        <v>0</v>
      </c>
      <c r="EW42">
        <v>1318.57</v>
      </c>
      <c r="EX42">
        <v>5.00059</v>
      </c>
      <c r="EY42">
        <v>15466.82</v>
      </c>
      <c r="EZ42">
        <v>10359</v>
      </c>
      <c r="FA42">
        <v>36.7248</v>
      </c>
      <c r="FB42">
        <v>38.383</v>
      </c>
      <c r="FC42">
        <v>37.2538666666667</v>
      </c>
      <c r="FD42">
        <v>37.5122</v>
      </c>
      <c r="FE42">
        <v>37.5914666666667</v>
      </c>
      <c r="FF42">
        <v>1155.596</v>
      </c>
      <c r="FG42">
        <v>39.44</v>
      </c>
      <c r="FH42">
        <v>0</v>
      </c>
      <c r="FI42">
        <v>1760989376.5</v>
      </c>
      <c r="FJ42">
        <v>0</v>
      </c>
      <c r="FK42">
        <v>1319.2968</v>
      </c>
      <c r="FL42">
        <v>24.246923044741</v>
      </c>
      <c r="FM42">
        <v>253.784614987781</v>
      </c>
      <c r="FN42">
        <v>15474.024</v>
      </c>
      <c r="FO42">
        <v>15</v>
      </c>
      <c r="FP42">
        <v>0</v>
      </c>
      <c r="FQ42" t="s">
        <v>439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-12.4792095238095</v>
      </c>
      <c r="GD42">
        <v>0.151566233766247</v>
      </c>
      <c r="GE42">
        <v>0.196229758203325</v>
      </c>
      <c r="GF42">
        <v>1</v>
      </c>
      <c r="GG42">
        <v>1317.60970588235</v>
      </c>
      <c r="GH42">
        <v>25.5570664646905</v>
      </c>
      <c r="GI42">
        <v>2.5205653955997</v>
      </c>
      <c r="GJ42">
        <v>-1</v>
      </c>
      <c r="GK42">
        <v>2.68967619047619</v>
      </c>
      <c r="GL42">
        <v>0.013122857142856</v>
      </c>
      <c r="GM42">
        <v>0.00144679111662583</v>
      </c>
      <c r="GN42">
        <v>1</v>
      </c>
      <c r="GO42">
        <v>2</v>
      </c>
      <c r="GP42">
        <v>2</v>
      </c>
      <c r="GQ42" t="s">
        <v>440</v>
      </c>
      <c r="GR42">
        <v>3.13073</v>
      </c>
      <c r="GS42">
        <v>2.68547</v>
      </c>
      <c r="GT42">
        <v>0.0876611</v>
      </c>
      <c r="GU42">
        <v>0.0905796</v>
      </c>
      <c r="GV42">
        <v>0.0619569</v>
      </c>
      <c r="GW42">
        <v>0.0506269</v>
      </c>
      <c r="GX42">
        <v>34576.5</v>
      </c>
      <c r="GY42">
        <v>37034</v>
      </c>
      <c r="GZ42">
        <v>34266.5</v>
      </c>
      <c r="HA42">
        <v>36848.3</v>
      </c>
      <c r="HB42">
        <v>45338.7</v>
      </c>
      <c r="HC42">
        <v>50162.3</v>
      </c>
      <c r="HD42">
        <v>53340.5</v>
      </c>
      <c r="HE42">
        <v>58774.6</v>
      </c>
      <c r="HF42">
        <v>2.00828</v>
      </c>
      <c r="HG42">
        <v>1.83718</v>
      </c>
      <c r="HH42">
        <v>0.0325143</v>
      </c>
      <c r="HI42">
        <v>0</v>
      </c>
      <c r="HJ42">
        <v>17.4376</v>
      </c>
      <c r="HK42">
        <v>999.9</v>
      </c>
      <c r="HL42">
        <v>26.01</v>
      </c>
      <c r="HM42">
        <v>30.273</v>
      </c>
      <c r="HN42">
        <v>12.5249</v>
      </c>
      <c r="HO42">
        <v>54.1992</v>
      </c>
      <c r="HP42">
        <v>44.363</v>
      </c>
      <c r="HQ42">
        <v>1</v>
      </c>
      <c r="HR42">
        <v>-0.269601</v>
      </c>
      <c r="HS42">
        <v>3.87635</v>
      </c>
      <c r="HT42">
        <v>20.0938</v>
      </c>
      <c r="HU42">
        <v>5.20246</v>
      </c>
      <c r="HV42">
        <v>12.004</v>
      </c>
      <c r="HW42">
        <v>4.9757</v>
      </c>
      <c r="HX42">
        <v>3.293</v>
      </c>
      <c r="HY42">
        <v>9999</v>
      </c>
      <c r="HZ42">
        <v>999.9</v>
      </c>
      <c r="IA42">
        <v>9999</v>
      </c>
      <c r="IB42">
        <v>9999</v>
      </c>
      <c r="IC42">
        <v>1.86325</v>
      </c>
      <c r="ID42">
        <v>1.86806</v>
      </c>
      <c r="IE42">
        <v>1.86782</v>
      </c>
      <c r="IF42">
        <v>1.86904</v>
      </c>
      <c r="IG42">
        <v>1.86981</v>
      </c>
      <c r="IH42">
        <v>1.86584</v>
      </c>
      <c r="II42">
        <v>1.86695</v>
      </c>
      <c r="IJ42">
        <v>1.86839</v>
      </c>
      <c r="IK42">
        <v>5</v>
      </c>
      <c r="IL42">
        <v>0</v>
      </c>
      <c r="IM42">
        <v>0</v>
      </c>
      <c r="IN42">
        <v>0</v>
      </c>
      <c r="IO42" t="s">
        <v>441</v>
      </c>
      <c r="IP42" t="s">
        <v>442</v>
      </c>
      <c r="IQ42" t="s">
        <v>443</v>
      </c>
      <c r="IR42" t="s">
        <v>443</v>
      </c>
      <c r="IS42" t="s">
        <v>443</v>
      </c>
      <c r="IT42" t="s">
        <v>443</v>
      </c>
      <c r="IU42">
        <v>0</v>
      </c>
      <c r="IV42">
        <v>100</v>
      </c>
      <c r="IW42">
        <v>100</v>
      </c>
      <c r="IX42">
        <v>2.837</v>
      </c>
      <c r="IY42">
        <v>-0.1104</v>
      </c>
      <c r="IZ42">
        <v>1.12474291219083</v>
      </c>
      <c r="JA42">
        <v>0.00463155566490582</v>
      </c>
      <c r="JB42">
        <v>-1.1358998729424e-06</v>
      </c>
      <c r="JC42">
        <v>3.28704272115545e-10</v>
      </c>
      <c r="JD42">
        <v>-0.0704455108513773</v>
      </c>
      <c r="JE42">
        <v>-0.0251928478371425</v>
      </c>
      <c r="JF42">
        <v>0.00225751704194564</v>
      </c>
      <c r="JG42">
        <v>-3.61734043746866e-05</v>
      </c>
      <c r="JH42">
        <v>1</v>
      </c>
      <c r="JI42">
        <v>2182</v>
      </c>
      <c r="JJ42">
        <v>0</v>
      </c>
      <c r="JK42">
        <v>24</v>
      </c>
      <c r="JL42">
        <v>29349823.5</v>
      </c>
      <c r="JM42">
        <v>29349823.5</v>
      </c>
      <c r="JN42">
        <v>1.02417</v>
      </c>
      <c r="JO42">
        <v>2.64282</v>
      </c>
      <c r="JP42">
        <v>1.54785</v>
      </c>
      <c r="JQ42">
        <v>2.31445</v>
      </c>
      <c r="JR42">
        <v>1.64673</v>
      </c>
      <c r="JS42">
        <v>2.29858</v>
      </c>
      <c r="JT42">
        <v>33.5355</v>
      </c>
      <c r="JU42">
        <v>24.1838</v>
      </c>
      <c r="JV42">
        <v>18</v>
      </c>
      <c r="JW42">
        <v>500.385</v>
      </c>
      <c r="JX42">
        <v>394.19</v>
      </c>
      <c r="JY42">
        <v>12.3502</v>
      </c>
      <c r="JZ42">
        <v>23.9068</v>
      </c>
      <c r="KA42">
        <v>30</v>
      </c>
      <c r="KB42">
        <v>23.925</v>
      </c>
      <c r="KC42">
        <v>23.8952</v>
      </c>
      <c r="KD42">
        <v>20.5578</v>
      </c>
      <c r="KE42">
        <v>0</v>
      </c>
      <c r="KF42">
        <v>23.7343</v>
      </c>
      <c r="KG42">
        <v>12.3686</v>
      </c>
      <c r="KH42">
        <v>440.303</v>
      </c>
      <c r="KI42">
        <v>9.20411</v>
      </c>
      <c r="KJ42">
        <v>97.0436</v>
      </c>
      <c r="KK42">
        <v>95.3008</v>
      </c>
    </row>
    <row r="43" spans="1:297">
      <c r="A43">
        <v>27</v>
      </c>
      <c r="B43">
        <v>1760989412.1</v>
      </c>
      <c r="C43">
        <v>222</v>
      </c>
      <c r="D43" t="s">
        <v>495</v>
      </c>
      <c r="E43" t="s">
        <v>496</v>
      </c>
      <c r="F43">
        <v>5</v>
      </c>
      <c r="G43" t="s">
        <v>435</v>
      </c>
      <c r="H43" t="s">
        <v>436</v>
      </c>
      <c r="I43">
        <v>1760989403.45714</v>
      </c>
      <c r="J43">
        <f>(K43)/1000</f>
        <v>0</v>
      </c>
      <c r="K43">
        <f>IF(DP43, AN43, AH43)</f>
        <v>0</v>
      </c>
      <c r="L43">
        <f>IF(DP43, AI43, AG43)</f>
        <v>0</v>
      </c>
      <c r="M43">
        <f>DR43 - IF(AU43&gt;1, L43*DL43*100.0/(AW43), 0)</f>
        <v>0</v>
      </c>
      <c r="N43">
        <f>((T43-J43/2)*M43-L43)/(T43+J43/2)</f>
        <v>0</v>
      </c>
      <c r="O43">
        <f>N43*(DY43+DZ43)/1000.0</f>
        <v>0</v>
      </c>
      <c r="P43">
        <f>(DR43 - IF(AU43&gt;1, L43*DL43*100.0/(AW43), 0))*(DY43+DZ43)/1000.0</f>
        <v>0</v>
      </c>
      <c r="Q43">
        <f>2.0/((1/S43-1/R43)+SIGN(S43)*SQRT((1/S43-1/R43)*(1/S43-1/R43) + 4*DM43/((DM43+1)*(DM43+1))*(2*1/S43*1/R43-1/R43*1/R43)))</f>
        <v>0</v>
      </c>
      <c r="R43">
        <f>IF(LEFT(DN43,1)&lt;&gt;"0",IF(LEFT(DN43,1)="1",3.0,DO43),$D$5+$E$5*(EF43*DY43/($K$5*1000))+$F$5*(EF43*DY43/($K$5*1000))*MAX(MIN(DL43,$J$5),$I$5)*MAX(MIN(DL43,$J$5),$I$5)+$G$5*MAX(MIN(DL43,$J$5),$I$5)*(EF43*DY43/($K$5*1000))+$H$5*(EF43*DY43/($K$5*1000))*(EF43*DY43/($K$5*1000)))</f>
        <v>0</v>
      </c>
      <c r="S43">
        <f>J43*(1000-(1000*0.61365*exp(17.502*W43/(240.97+W43))/(DY43+DZ43)+DT43)/2)/(1000*0.61365*exp(17.502*W43/(240.97+W43))/(DY43+DZ43)-DT43)</f>
        <v>0</v>
      </c>
      <c r="T43">
        <f>1/((DM43+1)/(Q43/1.6)+1/(R43/1.37)) + DM43/((DM43+1)/(Q43/1.6) + DM43/(R43/1.37))</f>
        <v>0</v>
      </c>
      <c r="U43">
        <f>(DH43*DK43)</f>
        <v>0</v>
      </c>
      <c r="V43">
        <f>(EA43+(U43+2*0.95*5.67E-8*(((EA43+$B$7)+273)^4-(EA43+273)^4)-44100*J43)/(1.84*29.3*R43+8*0.95*5.67E-8*(EA43+273)^3))</f>
        <v>0</v>
      </c>
      <c r="W43">
        <f>($C$7*EB43+$D$7*EC43+$E$7*V43)</f>
        <v>0</v>
      </c>
      <c r="X43">
        <f>0.61365*exp(17.502*W43/(240.97+W43))</f>
        <v>0</v>
      </c>
      <c r="Y43">
        <f>(Z43/AA43*100)</f>
        <v>0</v>
      </c>
      <c r="Z43">
        <f>DT43*(DY43+DZ43)/1000</f>
        <v>0</v>
      </c>
      <c r="AA43">
        <f>0.61365*exp(17.502*EA43/(240.97+EA43))</f>
        <v>0</v>
      </c>
      <c r="AB43">
        <f>(X43-DT43*(DY43+DZ43)/1000)</f>
        <v>0</v>
      </c>
      <c r="AC43">
        <f>(-J43*44100)</f>
        <v>0</v>
      </c>
      <c r="AD43">
        <f>2*29.3*R43*0.92*(EA43-W43)</f>
        <v>0</v>
      </c>
      <c r="AE43">
        <f>2*0.95*5.67E-8*(((EA43+$B$7)+273)^4-(W43+273)^4)</f>
        <v>0</v>
      </c>
      <c r="AF43">
        <f>U43+AE43+AC43+AD43</f>
        <v>0</v>
      </c>
      <c r="AG43">
        <f>DX43*AU43*(DS43-DR43*(1000-AU43*DU43)/(1000-AU43*DT43))/(100*DL43)</f>
        <v>0</v>
      </c>
      <c r="AH43">
        <f>1000*DX43*AU43*(DT43-DU43)/(100*DL43*(1000-AU43*DT43))</f>
        <v>0</v>
      </c>
      <c r="AI43">
        <f>(AJ43 - AK43 - DY43*1E3/(8.314*(EA43+273.15)) * AM43/DX43 * AL43) * DX43/(100*DL43) * (1000 - DU43)/1000</f>
        <v>0</v>
      </c>
      <c r="AJ43">
        <v>428.933161318469</v>
      </c>
      <c r="AK43">
        <v>414.910527272727</v>
      </c>
      <c r="AL43">
        <v>0.539631753092139</v>
      </c>
      <c r="AM43">
        <v>64.8413469339502</v>
      </c>
      <c r="AN43">
        <f>(AP43 - AO43 + DY43*1E3/(8.314*(EA43+273.15)) * AR43/DX43 * AQ43) * DX43/(100*DL43) * 1000/(1000 - AP43)</f>
        <v>0</v>
      </c>
      <c r="AO43">
        <v>9.18171493831382</v>
      </c>
      <c r="AP43">
        <v>11.8796878787879</v>
      </c>
      <c r="AQ43">
        <v>6.83716275035383e-06</v>
      </c>
      <c r="AR43">
        <v>118.472689631034</v>
      </c>
      <c r="AS43">
        <v>0</v>
      </c>
      <c r="AT43">
        <v>0</v>
      </c>
      <c r="AU43">
        <f>IF(AS43*$H$13&gt;=AW43,1.0,(AW43/(AW43-AS43*$H$13)))</f>
        <v>0</v>
      </c>
      <c r="AV43">
        <f>(AU43-1)*100</f>
        <v>0</v>
      </c>
      <c r="AW43">
        <f>MAX(0,($B$13+$C$13*EF43)/(1+$D$13*EF43)*DY43/(EA43+273)*$E$13)</f>
        <v>0</v>
      </c>
      <c r="AX43" t="s">
        <v>437</v>
      </c>
      <c r="AY43" t="s">
        <v>437</v>
      </c>
      <c r="AZ43">
        <v>0</v>
      </c>
      <c r="BA43">
        <v>0</v>
      </c>
      <c r="BB43">
        <f>1-AZ43/BA43</f>
        <v>0</v>
      </c>
      <c r="BC43">
        <v>0</v>
      </c>
      <c r="BD43" t="s">
        <v>437</v>
      </c>
      <c r="BE43" t="s">
        <v>437</v>
      </c>
      <c r="BF43">
        <v>0</v>
      </c>
      <c r="BG43">
        <v>0</v>
      </c>
      <c r="BH43">
        <f>1-BF43/BG43</f>
        <v>0</v>
      </c>
      <c r="BI43">
        <v>0.5</v>
      </c>
      <c r="BJ43">
        <f>DI43</f>
        <v>0</v>
      </c>
      <c r="BK43">
        <f>L43</f>
        <v>0</v>
      </c>
      <c r="BL43">
        <f>BH43*BI43*BJ43</f>
        <v>0</v>
      </c>
      <c r="BM43">
        <f>(BK43-BC43)/BJ43</f>
        <v>0</v>
      </c>
      <c r="BN43">
        <f>(BA43-BG43)/BG43</f>
        <v>0</v>
      </c>
      <c r="BO43">
        <f>AZ43/(BB43+AZ43/BG43)</f>
        <v>0</v>
      </c>
      <c r="BP43" t="s">
        <v>437</v>
      </c>
      <c r="BQ43">
        <v>0</v>
      </c>
      <c r="BR43">
        <f>IF(BQ43&lt;&gt;0, BQ43, BO43)</f>
        <v>0</v>
      </c>
      <c r="BS43">
        <f>1-BR43/BG43</f>
        <v>0</v>
      </c>
      <c r="BT43">
        <f>(BG43-BF43)/(BG43-BR43)</f>
        <v>0</v>
      </c>
      <c r="BU43">
        <f>(BA43-BG43)/(BA43-BR43)</f>
        <v>0</v>
      </c>
      <c r="BV43">
        <f>(BG43-BF43)/(BG43-AZ43)</f>
        <v>0</v>
      </c>
      <c r="BW43">
        <f>(BA43-BG43)/(BA43-AZ43)</f>
        <v>0</v>
      </c>
      <c r="BX43">
        <f>(BT43*BR43/BF43)</f>
        <v>0</v>
      </c>
      <c r="BY43">
        <f>(1-BX43)</f>
        <v>0</v>
      </c>
      <c r="DH43">
        <f>$B$11*EG43+$C$11*EH43+$F$11*ES43*(1-EV43)</f>
        <v>0</v>
      </c>
      <c r="DI43">
        <f>DH43*DJ43</f>
        <v>0</v>
      </c>
      <c r="DJ43">
        <f>($B$11*$D$9+$C$11*$D$9+$F$11*((FF43+EX43)/MAX(FF43+EX43+FG43, 0.1)*$I$9+FG43/MAX(FF43+EX43+FG43, 0.1)*$J$9))/($B$11+$C$11+$F$11)</f>
        <v>0</v>
      </c>
      <c r="DK43">
        <f>($B$11*$K$9+$C$11*$K$9+$F$11*((FF43+EX43)/MAX(FF43+EX43+FG43, 0.1)*$P$9+FG43/MAX(FF43+EX43+FG43, 0.1)*$Q$9))/($B$11+$C$11+$F$11)</f>
        <v>0</v>
      </c>
      <c r="DL43">
        <v>6</v>
      </c>
      <c r="DM43">
        <v>0.5</v>
      </c>
      <c r="DN43" t="s">
        <v>438</v>
      </c>
      <c r="DO43">
        <v>2</v>
      </c>
      <c r="DP43" t="b">
        <v>1</v>
      </c>
      <c r="DQ43">
        <v>1760989403.45714</v>
      </c>
      <c r="DR43">
        <v>408.063571428571</v>
      </c>
      <c r="DS43">
        <v>422.248857142857</v>
      </c>
      <c r="DT43">
        <v>11.8726785714286</v>
      </c>
      <c r="DU43">
        <v>9.18052357142857</v>
      </c>
      <c r="DV43">
        <v>405.226785714286</v>
      </c>
      <c r="DW43">
        <v>11.9830928571429</v>
      </c>
      <c r="DX43">
        <v>500.014714285714</v>
      </c>
      <c r="DY43">
        <v>89.8705</v>
      </c>
      <c r="DZ43">
        <v>0.00755864214285714</v>
      </c>
      <c r="EA43">
        <v>18.3990928571429</v>
      </c>
      <c r="EB43">
        <v>17.9812214285714</v>
      </c>
      <c r="EC43">
        <v>999.9</v>
      </c>
      <c r="ED43">
        <v>0</v>
      </c>
      <c r="EE43">
        <v>0</v>
      </c>
      <c r="EF43">
        <v>10010.5</v>
      </c>
      <c r="EG43">
        <v>0</v>
      </c>
      <c r="EH43">
        <v>1270.13357142857</v>
      </c>
      <c r="EI43">
        <v>-14.18495</v>
      </c>
      <c r="EJ43">
        <v>412.966642857143</v>
      </c>
      <c r="EK43">
        <v>426.161071428571</v>
      </c>
      <c r="EL43">
        <v>2.69215357142857</v>
      </c>
      <c r="EM43">
        <v>422.248857142857</v>
      </c>
      <c r="EN43">
        <v>9.18052357142857</v>
      </c>
      <c r="EO43">
        <v>1.06700357142857</v>
      </c>
      <c r="EP43">
        <v>0.825058357142857</v>
      </c>
      <c r="EQ43">
        <v>7.864915</v>
      </c>
      <c r="ER43">
        <v>4.14589785714286</v>
      </c>
      <c r="ES43">
        <v>1200.01214285714</v>
      </c>
      <c r="ET43">
        <v>0.966993357142857</v>
      </c>
      <c r="EU43">
        <v>0.0330068857142857</v>
      </c>
      <c r="EV43">
        <v>0</v>
      </c>
      <c r="EW43">
        <v>1320.58</v>
      </c>
      <c r="EX43">
        <v>5.00059</v>
      </c>
      <c r="EY43">
        <v>15488.2285714286</v>
      </c>
      <c r="EZ43">
        <v>10358.7857142857</v>
      </c>
      <c r="FA43">
        <v>36.6739285714286</v>
      </c>
      <c r="FB43">
        <v>38.3301428571429</v>
      </c>
      <c r="FC43">
        <v>37.2051428571429</v>
      </c>
      <c r="FD43">
        <v>37.4640714285714</v>
      </c>
      <c r="FE43">
        <v>37.54</v>
      </c>
      <c r="FF43">
        <v>1155.57142857143</v>
      </c>
      <c r="FG43">
        <v>39.44</v>
      </c>
      <c r="FH43">
        <v>0</v>
      </c>
      <c r="FI43">
        <v>1760989381.3</v>
      </c>
      <c r="FJ43">
        <v>0</v>
      </c>
      <c r="FK43">
        <v>1321.1676</v>
      </c>
      <c r="FL43">
        <v>22.4876923418259</v>
      </c>
      <c r="FM43">
        <v>239.553846563348</v>
      </c>
      <c r="FN43">
        <v>15493.988</v>
      </c>
      <c r="FO43">
        <v>15</v>
      </c>
      <c r="FP43">
        <v>0</v>
      </c>
      <c r="FQ43" t="s">
        <v>439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-13.743835</v>
      </c>
      <c r="GD43">
        <v>-19.4484135338346</v>
      </c>
      <c r="GE43">
        <v>2.5915314017536</v>
      </c>
      <c r="GF43">
        <v>0</v>
      </c>
      <c r="GG43">
        <v>1319.60617647059</v>
      </c>
      <c r="GH43">
        <v>23.8681436310386</v>
      </c>
      <c r="GI43">
        <v>2.35521700599513</v>
      </c>
      <c r="GJ43">
        <v>-1</v>
      </c>
      <c r="GK43">
        <v>2.6916205</v>
      </c>
      <c r="GL43">
        <v>0.0204193984962372</v>
      </c>
      <c r="GM43">
        <v>0.00233570219634266</v>
      </c>
      <c r="GN43">
        <v>1</v>
      </c>
      <c r="GO43">
        <v>1</v>
      </c>
      <c r="GP43">
        <v>2</v>
      </c>
      <c r="GQ43" t="s">
        <v>446</v>
      </c>
      <c r="GR43">
        <v>3.13074</v>
      </c>
      <c r="GS43">
        <v>2.68582</v>
      </c>
      <c r="GT43">
        <v>0.0882237</v>
      </c>
      <c r="GU43">
        <v>0.0925945</v>
      </c>
      <c r="GV43">
        <v>0.0619823</v>
      </c>
      <c r="GW43">
        <v>0.050629</v>
      </c>
      <c r="GX43">
        <v>34555</v>
      </c>
      <c r="GY43">
        <v>36951.9</v>
      </c>
      <c r="GZ43">
        <v>34266.3</v>
      </c>
      <c r="HA43">
        <v>36848.2</v>
      </c>
      <c r="HB43">
        <v>45337.6</v>
      </c>
      <c r="HC43">
        <v>50162</v>
      </c>
      <c r="HD43">
        <v>53340.6</v>
      </c>
      <c r="HE43">
        <v>58774.2</v>
      </c>
      <c r="HF43">
        <v>2.00833</v>
      </c>
      <c r="HG43">
        <v>1.83698</v>
      </c>
      <c r="HH43">
        <v>0.0329092</v>
      </c>
      <c r="HI43">
        <v>0</v>
      </c>
      <c r="HJ43">
        <v>17.4374</v>
      </c>
      <c r="HK43">
        <v>999.9</v>
      </c>
      <c r="HL43">
        <v>26.01</v>
      </c>
      <c r="HM43">
        <v>30.283</v>
      </c>
      <c r="HN43">
        <v>12.5326</v>
      </c>
      <c r="HO43">
        <v>54.6292</v>
      </c>
      <c r="HP43">
        <v>44.3189</v>
      </c>
      <c r="HQ43">
        <v>1</v>
      </c>
      <c r="HR43">
        <v>-0.269502</v>
      </c>
      <c r="HS43">
        <v>3.86098</v>
      </c>
      <c r="HT43">
        <v>20.0942</v>
      </c>
      <c r="HU43">
        <v>5.20217</v>
      </c>
      <c r="HV43">
        <v>12.004</v>
      </c>
      <c r="HW43">
        <v>4.9757</v>
      </c>
      <c r="HX43">
        <v>3.29298</v>
      </c>
      <c r="HY43">
        <v>9999</v>
      </c>
      <c r="HZ43">
        <v>999.9</v>
      </c>
      <c r="IA43">
        <v>9999</v>
      </c>
      <c r="IB43">
        <v>9999</v>
      </c>
      <c r="IC43">
        <v>1.86325</v>
      </c>
      <c r="ID43">
        <v>1.86809</v>
      </c>
      <c r="IE43">
        <v>1.86782</v>
      </c>
      <c r="IF43">
        <v>1.86904</v>
      </c>
      <c r="IG43">
        <v>1.86981</v>
      </c>
      <c r="IH43">
        <v>1.86586</v>
      </c>
      <c r="II43">
        <v>1.86696</v>
      </c>
      <c r="IJ43">
        <v>1.8684</v>
      </c>
      <c r="IK43">
        <v>5</v>
      </c>
      <c r="IL43">
        <v>0</v>
      </c>
      <c r="IM43">
        <v>0</v>
      </c>
      <c r="IN43">
        <v>0</v>
      </c>
      <c r="IO43" t="s">
        <v>441</v>
      </c>
      <c r="IP43" t="s">
        <v>442</v>
      </c>
      <c r="IQ43" t="s">
        <v>443</v>
      </c>
      <c r="IR43" t="s">
        <v>443</v>
      </c>
      <c r="IS43" t="s">
        <v>443</v>
      </c>
      <c r="IT43" t="s">
        <v>443</v>
      </c>
      <c r="IU43">
        <v>0</v>
      </c>
      <c r="IV43">
        <v>100</v>
      </c>
      <c r="IW43">
        <v>100</v>
      </c>
      <c r="IX43">
        <v>2.849</v>
      </c>
      <c r="IY43">
        <v>-0.1103</v>
      </c>
      <c r="IZ43">
        <v>1.12474291219083</v>
      </c>
      <c r="JA43">
        <v>0.00463155566490582</v>
      </c>
      <c r="JB43">
        <v>-1.1358998729424e-06</v>
      </c>
      <c r="JC43">
        <v>3.28704272115545e-10</v>
      </c>
      <c r="JD43">
        <v>-0.0704455108513773</v>
      </c>
      <c r="JE43">
        <v>-0.0251928478371425</v>
      </c>
      <c r="JF43">
        <v>0.00225751704194564</v>
      </c>
      <c r="JG43">
        <v>-3.61734043746866e-05</v>
      </c>
      <c r="JH43">
        <v>1</v>
      </c>
      <c r="JI43">
        <v>2182</v>
      </c>
      <c r="JJ43">
        <v>0</v>
      </c>
      <c r="JK43">
        <v>24</v>
      </c>
      <c r="JL43">
        <v>29349823.5</v>
      </c>
      <c r="JM43">
        <v>29349823.5</v>
      </c>
      <c r="JN43">
        <v>1.05347</v>
      </c>
      <c r="JO43">
        <v>2.64038</v>
      </c>
      <c r="JP43">
        <v>1.54785</v>
      </c>
      <c r="JQ43">
        <v>2.31445</v>
      </c>
      <c r="JR43">
        <v>1.64551</v>
      </c>
      <c r="JS43">
        <v>2.26807</v>
      </c>
      <c r="JT43">
        <v>33.513</v>
      </c>
      <c r="JU43">
        <v>24.1838</v>
      </c>
      <c r="JV43">
        <v>18</v>
      </c>
      <c r="JW43">
        <v>500.417</v>
      </c>
      <c r="JX43">
        <v>394.085</v>
      </c>
      <c r="JY43">
        <v>12.366</v>
      </c>
      <c r="JZ43">
        <v>23.9068</v>
      </c>
      <c r="KA43">
        <v>30.0001</v>
      </c>
      <c r="KB43">
        <v>23.925</v>
      </c>
      <c r="KC43">
        <v>23.8952</v>
      </c>
      <c r="KD43">
        <v>21.1491</v>
      </c>
      <c r="KE43">
        <v>0</v>
      </c>
      <c r="KF43">
        <v>23.7343</v>
      </c>
      <c r="KG43">
        <v>12.3804</v>
      </c>
      <c r="KH43">
        <v>453.776</v>
      </c>
      <c r="KI43">
        <v>9.18504</v>
      </c>
      <c r="KJ43">
        <v>97.0434</v>
      </c>
      <c r="KK43">
        <v>95.3003</v>
      </c>
    </row>
    <row r="44" spans="1:297">
      <c r="A44">
        <v>28</v>
      </c>
      <c r="B44">
        <v>1760989417.1</v>
      </c>
      <c r="C44">
        <v>227</v>
      </c>
      <c r="D44" t="s">
        <v>497</v>
      </c>
      <c r="E44" t="s">
        <v>498</v>
      </c>
      <c r="F44">
        <v>5</v>
      </c>
      <c r="G44" t="s">
        <v>435</v>
      </c>
      <c r="H44" t="s">
        <v>436</v>
      </c>
      <c r="I44">
        <v>1760989408.94615</v>
      </c>
      <c r="J44">
        <f>(K44)/1000</f>
        <v>0</v>
      </c>
      <c r="K44">
        <f>IF(DP44, AN44, AH44)</f>
        <v>0</v>
      </c>
      <c r="L44">
        <f>IF(DP44, AI44, AG44)</f>
        <v>0</v>
      </c>
      <c r="M44">
        <f>DR44 - IF(AU44&gt;1, L44*DL44*100.0/(AW44), 0)</f>
        <v>0</v>
      </c>
      <c r="N44">
        <f>((T44-J44/2)*M44-L44)/(T44+J44/2)</f>
        <v>0</v>
      </c>
      <c r="O44">
        <f>N44*(DY44+DZ44)/1000.0</f>
        <v>0</v>
      </c>
      <c r="P44">
        <f>(DR44 - IF(AU44&gt;1, L44*DL44*100.0/(AW44), 0))*(DY44+DZ44)/1000.0</f>
        <v>0</v>
      </c>
      <c r="Q44">
        <f>2.0/((1/S44-1/R44)+SIGN(S44)*SQRT((1/S44-1/R44)*(1/S44-1/R44) + 4*DM44/((DM44+1)*(DM44+1))*(2*1/S44*1/R44-1/R44*1/R44)))</f>
        <v>0</v>
      </c>
      <c r="R44">
        <f>IF(LEFT(DN44,1)&lt;&gt;"0",IF(LEFT(DN44,1)="1",3.0,DO44),$D$5+$E$5*(EF44*DY44/($K$5*1000))+$F$5*(EF44*DY44/($K$5*1000))*MAX(MIN(DL44,$J$5),$I$5)*MAX(MIN(DL44,$J$5),$I$5)+$G$5*MAX(MIN(DL44,$J$5),$I$5)*(EF44*DY44/($K$5*1000))+$H$5*(EF44*DY44/($K$5*1000))*(EF44*DY44/($K$5*1000)))</f>
        <v>0</v>
      </c>
      <c r="S44">
        <f>J44*(1000-(1000*0.61365*exp(17.502*W44/(240.97+W44))/(DY44+DZ44)+DT44)/2)/(1000*0.61365*exp(17.502*W44/(240.97+W44))/(DY44+DZ44)-DT44)</f>
        <v>0</v>
      </c>
      <c r="T44">
        <f>1/((DM44+1)/(Q44/1.6)+1/(R44/1.37)) + DM44/((DM44+1)/(Q44/1.6) + DM44/(R44/1.37))</f>
        <v>0</v>
      </c>
      <c r="U44">
        <f>(DH44*DK44)</f>
        <v>0</v>
      </c>
      <c r="V44">
        <f>(EA44+(U44+2*0.95*5.67E-8*(((EA44+$B$7)+273)^4-(EA44+273)^4)-44100*J44)/(1.84*29.3*R44+8*0.95*5.67E-8*(EA44+273)^3))</f>
        <v>0</v>
      </c>
      <c r="W44">
        <f>($C$7*EB44+$D$7*EC44+$E$7*V44)</f>
        <v>0</v>
      </c>
      <c r="X44">
        <f>0.61365*exp(17.502*W44/(240.97+W44))</f>
        <v>0</v>
      </c>
      <c r="Y44">
        <f>(Z44/AA44*100)</f>
        <v>0</v>
      </c>
      <c r="Z44">
        <f>DT44*(DY44+DZ44)/1000</f>
        <v>0</v>
      </c>
      <c r="AA44">
        <f>0.61365*exp(17.502*EA44/(240.97+EA44))</f>
        <v>0</v>
      </c>
      <c r="AB44">
        <f>(X44-DT44*(DY44+DZ44)/1000)</f>
        <v>0</v>
      </c>
      <c r="AC44">
        <f>(-J44*44100)</f>
        <v>0</v>
      </c>
      <c r="AD44">
        <f>2*29.3*R44*0.92*(EA44-W44)</f>
        <v>0</v>
      </c>
      <c r="AE44">
        <f>2*0.95*5.67E-8*(((EA44+$B$7)+273)^4-(W44+273)^4)</f>
        <v>0</v>
      </c>
      <c r="AF44">
        <f>U44+AE44+AC44+AD44</f>
        <v>0</v>
      </c>
      <c r="AG44">
        <f>DX44*AU44*(DS44-DR44*(1000-AU44*DU44)/(1000-AU44*DT44))/(100*DL44)</f>
        <v>0</v>
      </c>
      <c r="AH44">
        <f>1000*DX44*AU44*(DT44-DU44)/(100*DL44*(1000-AU44*DT44))</f>
        <v>0</v>
      </c>
      <c r="AI44">
        <f>(AJ44 - AK44 - DY44*1E3/(8.314*(EA44+273.15)) * AM44/DX44 * AL44) * DX44/(100*DL44) * (1000 - DU44)/1000</f>
        <v>0</v>
      </c>
      <c r="AJ44">
        <v>443.526768392212</v>
      </c>
      <c r="AK44">
        <v>423.64703030303</v>
      </c>
      <c r="AL44">
        <v>1.87496050454945</v>
      </c>
      <c r="AM44">
        <v>64.8413469339502</v>
      </c>
      <c r="AN44">
        <f>(AP44 - AO44 + DY44*1E3/(8.314*(EA44+273.15)) * AR44/DX44 * AQ44) * DX44/(100*DL44) * 1000/(1000 - AP44)</f>
        <v>0</v>
      </c>
      <c r="AO44">
        <v>9.18517444025244</v>
      </c>
      <c r="AP44">
        <v>11.8819024242424</v>
      </c>
      <c r="AQ44">
        <v>1.17403713968977e-06</v>
      </c>
      <c r="AR44">
        <v>118.472689631034</v>
      </c>
      <c r="AS44">
        <v>0</v>
      </c>
      <c r="AT44">
        <v>0</v>
      </c>
      <c r="AU44">
        <f>IF(AS44*$H$13&gt;=AW44,1.0,(AW44/(AW44-AS44*$H$13)))</f>
        <v>0</v>
      </c>
      <c r="AV44">
        <f>(AU44-1)*100</f>
        <v>0</v>
      </c>
      <c r="AW44">
        <f>MAX(0,($B$13+$C$13*EF44)/(1+$D$13*EF44)*DY44/(EA44+273)*$E$13)</f>
        <v>0</v>
      </c>
      <c r="AX44" t="s">
        <v>437</v>
      </c>
      <c r="AY44" t="s">
        <v>437</v>
      </c>
      <c r="AZ44">
        <v>0</v>
      </c>
      <c r="BA44">
        <v>0</v>
      </c>
      <c r="BB44">
        <f>1-AZ44/BA44</f>
        <v>0</v>
      </c>
      <c r="BC44">
        <v>0</v>
      </c>
      <c r="BD44" t="s">
        <v>437</v>
      </c>
      <c r="BE44" t="s">
        <v>437</v>
      </c>
      <c r="BF44">
        <v>0</v>
      </c>
      <c r="BG44">
        <v>0</v>
      </c>
      <c r="BH44">
        <f>1-BF44/BG44</f>
        <v>0</v>
      </c>
      <c r="BI44">
        <v>0.5</v>
      </c>
      <c r="BJ44">
        <f>DI44</f>
        <v>0</v>
      </c>
      <c r="BK44">
        <f>L44</f>
        <v>0</v>
      </c>
      <c r="BL44">
        <f>BH44*BI44*BJ44</f>
        <v>0</v>
      </c>
      <c r="BM44">
        <f>(BK44-BC44)/BJ44</f>
        <v>0</v>
      </c>
      <c r="BN44">
        <f>(BA44-BG44)/BG44</f>
        <v>0</v>
      </c>
      <c r="BO44">
        <f>AZ44/(BB44+AZ44/BG44)</f>
        <v>0</v>
      </c>
      <c r="BP44" t="s">
        <v>437</v>
      </c>
      <c r="BQ44">
        <v>0</v>
      </c>
      <c r="BR44">
        <f>IF(BQ44&lt;&gt;0, BQ44, BO44)</f>
        <v>0</v>
      </c>
      <c r="BS44">
        <f>1-BR44/BG44</f>
        <v>0</v>
      </c>
      <c r="BT44">
        <f>(BG44-BF44)/(BG44-BR44)</f>
        <v>0</v>
      </c>
      <c r="BU44">
        <f>(BA44-BG44)/(BA44-BR44)</f>
        <v>0</v>
      </c>
      <c r="BV44">
        <f>(BG44-BF44)/(BG44-AZ44)</f>
        <v>0</v>
      </c>
      <c r="BW44">
        <f>(BA44-BG44)/(BA44-AZ44)</f>
        <v>0</v>
      </c>
      <c r="BX44">
        <f>(BT44*BR44/BF44)</f>
        <v>0</v>
      </c>
      <c r="BY44">
        <f>(1-BX44)</f>
        <v>0</v>
      </c>
      <c r="DH44">
        <f>$B$11*EG44+$C$11*EH44+$F$11*ES44*(1-EV44)</f>
        <v>0</v>
      </c>
      <c r="DI44">
        <f>DH44*DJ44</f>
        <v>0</v>
      </c>
      <c r="DJ44">
        <f>($B$11*$D$9+$C$11*$D$9+$F$11*((FF44+EX44)/MAX(FF44+EX44+FG44, 0.1)*$I$9+FG44/MAX(FF44+EX44+FG44, 0.1)*$J$9))/($B$11+$C$11+$F$11)</f>
        <v>0</v>
      </c>
      <c r="DK44">
        <f>($B$11*$K$9+$C$11*$K$9+$F$11*((FF44+EX44)/MAX(FF44+EX44+FG44, 0.1)*$P$9+FG44/MAX(FF44+EX44+FG44, 0.1)*$Q$9))/($B$11+$C$11+$F$11)</f>
        <v>0</v>
      </c>
      <c r="DL44">
        <v>6</v>
      </c>
      <c r="DM44">
        <v>0.5</v>
      </c>
      <c r="DN44" t="s">
        <v>438</v>
      </c>
      <c r="DO44">
        <v>2</v>
      </c>
      <c r="DP44" t="b">
        <v>1</v>
      </c>
      <c r="DQ44">
        <v>1760989408.94615</v>
      </c>
      <c r="DR44">
        <v>410.547153846154</v>
      </c>
      <c r="DS44">
        <v>429.420230769231</v>
      </c>
      <c r="DT44">
        <v>11.8766769230769</v>
      </c>
      <c r="DU44">
        <v>9.18235076923077</v>
      </c>
      <c r="DV44">
        <v>407.700846153846</v>
      </c>
      <c r="DW44">
        <v>11.9870384615385</v>
      </c>
      <c r="DX44">
        <v>499.995307692308</v>
      </c>
      <c r="DY44">
        <v>89.8707769230769</v>
      </c>
      <c r="DZ44">
        <v>0.00756691769230769</v>
      </c>
      <c r="EA44">
        <v>18.3944923076923</v>
      </c>
      <c r="EB44">
        <v>17.9827769230769</v>
      </c>
      <c r="EC44">
        <v>999.9</v>
      </c>
      <c r="ED44">
        <v>0</v>
      </c>
      <c r="EE44">
        <v>0</v>
      </c>
      <c r="EF44">
        <v>10014.8576923077</v>
      </c>
      <c r="EG44">
        <v>0</v>
      </c>
      <c r="EH44">
        <v>1270.12615384615</v>
      </c>
      <c r="EI44">
        <v>-18.8728769230769</v>
      </c>
      <c r="EJ44">
        <v>415.481692307692</v>
      </c>
      <c r="EK44">
        <v>433.399692307692</v>
      </c>
      <c r="EL44">
        <v>2.69432692307692</v>
      </c>
      <c r="EM44">
        <v>429.420230769231</v>
      </c>
      <c r="EN44">
        <v>9.18235076923077</v>
      </c>
      <c r="EO44">
        <v>1.06736692307692</v>
      </c>
      <c r="EP44">
        <v>0.825225230769231</v>
      </c>
      <c r="EQ44">
        <v>7.86990692307692</v>
      </c>
      <c r="ER44">
        <v>4.14878</v>
      </c>
      <c r="ES44">
        <v>1199.95692307692</v>
      </c>
      <c r="ET44">
        <v>0.966991153846154</v>
      </c>
      <c r="EU44">
        <v>0.0330090692307692</v>
      </c>
      <c r="EV44">
        <v>0</v>
      </c>
      <c r="EW44">
        <v>1322.58</v>
      </c>
      <c r="EX44">
        <v>5.00059</v>
      </c>
      <c r="EY44">
        <v>15508.8692307692</v>
      </c>
      <c r="EZ44">
        <v>10358.3</v>
      </c>
      <c r="FA44">
        <v>36.6103076923077</v>
      </c>
      <c r="FB44">
        <v>38.2786153846154</v>
      </c>
      <c r="FC44">
        <v>37.1486923076923</v>
      </c>
      <c r="FD44">
        <v>37.4083846153846</v>
      </c>
      <c r="FE44">
        <v>37.4853076923077</v>
      </c>
      <c r="FF44">
        <v>1155.51384615385</v>
      </c>
      <c r="FG44">
        <v>39.4423076923077</v>
      </c>
      <c r="FH44">
        <v>0</v>
      </c>
      <c r="FI44">
        <v>1760989386.1</v>
      </c>
      <c r="FJ44">
        <v>0</v>
      </c>
      <c r="FK44">
        <v>1322.8832</v>
      </c>
      <c r="FL44">
        <v>19.9223077136504</v>
      </c>
      <c r="FM44">
        <v>223.769231197072</v>
      </c>
      <c r="FN44">
        <v>15511.992</v>
      </c>
      <c r="FO44">
        <v>15</v>
      </c>
      <c r="FP44">
        <v>0</v>
      </c>
      <c r="FQ44" t="s">
        <v>439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-17.0084714285714</v>
      </c>
      <c r="GD44">
        <v>-52.4695402597403</v>
      </c>
      <c r="GE44">
        <v>5.90094116691347</v>
      </c>
      <c r="GF44">
        <v>0</v>
      </c>
      <c r="GG44">
        <v>1321.62617647059</v>
      </c>
      <c r="GH44">
        <v>21.8818945763725</v>
      </c>
      <c r="GI44">
        <v>2.16416811175033</v>
      </c>
      <c r="GJ44">
        <v>-1</v>
      </c>
      <c r="GK44">
        <v>2.69324285714286</v>
      </c>
      <c r="GL44">
        <v>0.0266259740259719</v>
      </c>
      <c r="GM44">
        <v>0.00295262940582852</v>
      </c>
      <c r="GN44">
        <v>1</v>
      </c>
      <c r="GO44">
        <v>1</v>
      </c>
      <c r="GP44">
        <v>2</v>
      </c>
      <c r="GQ44" t="s">
        <v>446</v>
      </c>
      <c r="GR44">
        <v>3.13071</v>
      </c>
      <c r="GS44">
        <v>2.68598</v>
      </c>
      <c r="GT44">
        <v>0.0897885</v>
      </c>
      <c r="GU44">
        <v>0.0952911</v>
      </c>
      <c r="GV44">
        <v>0.0619922</v>
      </c>
      <c r="GW44">
        <v>0.0506439</v>
      </c>
      <c r="GX44">
        <v>34495.8</v>
      </c>
      <c r="GY44">
        <v>36842.2</v>
      </c>
      <c r="GZ44">
        <v>34266.4</v>
      </c>
      <c r="HA44">
        <v>36848.3</v>
      </c>
      <c r="HB44">
        <v>45337.1</v>
      </c>
      <c r="HC44">
        <v>50161.9</v>
      </c>
      <c r="HD44">
        <v>53340.4</v>
      </c>
      <c r="HE44">
        <v>58774.6</v>
      </c>
      <c r="HF44">
        <v>2.0082</v>
      </c>
      <c r="HG44">
        <v>1.83742</v>
      </c>
      <c r="HH44">
        <v>0.0332743</v>
      </c>
      <c r="HI44">
        <v>0</v>
      </c>
      <c r="HJ44">
        <v>17.4374</v>
      </c>
      <c r="HK44">
        <v>999.9</v>
      </c>
      <c r="HL44">
        <v>26.01</v>
      </c>
      <c r="HM44">
        <v>30.273</v>
      </c>
      <c r="HN44">
        <v>12.5249</v>
      </c>
      <c r="HO44">
        <v>54.3992</v>
      </c>
      <c r="HP44">
        <v>44.3149</v>
      </c>
      <c r="HQ44">
        <v>1</v>
      </c>
      <c r="HR44">
        <v>-0.269835</v>
      </c>
      <c r="HS44">
        <v>3.85907</v>
      </c>
      <c r="HT44">
        <v>20.0941</v>
      </c>
      <c r="HU44">
        <v>5.20231</v>
      </c>
      <c r="HV44">
        <v>12.004</v>
      </c>
      <c r="HW44">
        <v>4.9756</v>
      </c>
      <c r="HX44">
        <v>3.29298</v>
      </c>
      <c r="HY44">
        <v>9999</v>
      </c>
      <c r="HZ44">
        <v>999.9</v>
      </c>
      <c r="IA44">
        <v>9999</v>
      </c>
      <c r="IB44">
        <v>9999</v>
      </c>
      <c r="IC44">
        <v>1.86325</v>
      </c>
      <c r="ID44">
        <v>1.86808</v>
      </c>
      <c r="IE44">
        <v>1.86783</v>
      </c>
      <c r="IF44">
        <v>1.86905</v>
      </c>
      <c r="IG44">
        <v>1.86981</v>
      </c>
      <c r="IH44">
        <v>1.86585</v>
      </c>
      <c r="II44">
        <v>1.86695</v>
      </c>
      <c r="IJ44">
        <v>1.86842</v>
      </c>
      <c r="IK44">
        <v>5</v>
      </c>
      <c r="IL44">
        <v>0</v>
      </c>
      <c r="IM44">
        <v>0</v>
      </c>
      <c r="IN44">
        <v>0</v>
      </c>
      <c r="IO44" t="s">
        <v>441</v>
      </c>
      <c r="IP44" t="s">
        <v>442</v>
      </c>
      <c r="IQ44" t="s">
        <v>443</v>
      </c>
      <c r="IR44" t="s">
        <v>443</v>
      </c>
      <c r="IS44" t="s">
        <v>443</v>
      </c>
      <c r="IT44" t="s">
        <v>443</v>
      </c>
      <c r="IU44">
        <v>0</v>
      </c>
      <c r="IV44">
        <v>100</v>
      </c>
      <c r="IW44">
        <v>100</v>
      </c>
      <c r="IX44">
        <v>2.887</v>
      </c>
      <c r="IY44">
        <v>-0.1102</v>
      </c>
      <c r="IZ44">
        <v>1.12474291219083</v>
      </c>
      <c r="JA44">
        <v>0.00463155566490582</v>
      </c>
      <c r="JB44">
        <v>-1.1358998729424e-06</v>
      </c>
      <c r="JC44">
        <v>3.28704272115545e-10</v>
      </c>
      <c r="JD44">
        <v>-0.0704455108513773</v>
      </c>
      <c r="JE44">
        <v>-0.0251928478371425</v>
      </c>
      <c r="JF44">
        <v>0.00225751704194564</v>
      </c>
      <c r="JG44">
        <v>-3.61734043746866e-05</v>
      </c>
      <c r="JH44">
        <v>1</v>
      </c>
      <c r="JI44">
        <v>2182</v>
      </c>
      <c r="JJ44">
        <v>0</v>
      </c>
      <c r="JK44">
        <v>24</v>
      </c>
      <c r="JL44">
        <v>29349823.6</v>
      </c>
      <c r="JM44">
        <v>29349823.6</v>
      </c>
      <c r="JN44">
        <v>1.08276</v>
      </c>
      <c r="JO44">
        <v>2.6416</v>
      </c>
      <c r="JP44">
        <v>1.54785</v>
      </c>
      <c r="JQ44">
        <v>2.31445</v>
      </c>
      <c r="JR44">
        <v>1.64673</v>
      </c>
      <c r="JS44">
        <v>2.28027</v>
      </c>
      <c r="JT44">
        <v>33.513</v>
      </c>
      <c r="JU44">
        <v>24.1838</v>
      </c>
      <c r="JV44">
        <v>18</v>
      </c>
      <c r="JW44">
        <v>500.337</v>
      </c>
      <c r="JX44">
        <v>394.322</v>
      </c>
      <c r="JY44">
        <v>12.38</v>
      </c>
      <c r="JZ44">
        <v>23.9068</v>
      </c>
      <c r="KA44">
        <v>30.0001</v>
      </c>
      <c r="KB44">
        <v>23.925</v>
      </c>
      <c r="KC44">
        <v>23.8952</v>
      </c>
      <c r="KD44">
        <v>21.8066</v>
      </c>
      <c r="KE44">
        <v>0</v>
      </c>
      <c r="KF44">
        <v>23.7343</v>
      </c>
      <c r="KG44">
        <v>12.3902</v>
      </c>
      <c r="KH44">
        <v>473.983</v>
      </c>
      <c r="KI44">
        <v>9.17152</v>
      </c>
      <c r="KJ44">
        <v>97.0434</v>
      </c>
      <c r="KK44">
        <v>95.3008</v>
      </c>
    </row>
    <row r="45" spans="1:297">
      <c r="A45">
        <v>29</v>
      </c>
      <c r="B45">
        <v>1760989422.1</v>
      </c>
      <c r="C45">
        <v>232</v>
      </c>
      <c r="D45" t="s">
        <v>499</v>
      </c>
      <c r="E45" t="s">
        <v>500</v>
      </c>
      <c r="F45">
        <v>5</v>
      </c>
      <c r="G45" t="s">
        <v>435</v>
      </c>
      <c r="H45" t="s">
        <v>436</v>
      </c>
      <c r="I45">
        <v>1760989413.94615</v>
      </c>
      <c r="J45">
        <f>(K45)/1000</f>
        <v>0</v>
      </c>
      <c r="K45">
        <f>IF(DP45, AN45, AH45)</f>
        <v>0</v>
      </c>
      <c r="L45">
        <f>IF(DP45, AI45, AG45)</f>
        <v>0</v>
      </c>
      <c r="M45">
        <f>DR45 - IF(AU45&gt;1, L45*DL45*100.0/(AW45), 0)</f>
        <v>0</v>
      </c>
      <c r="N45">
        <f>((T45-J45/2)*M45-L45)/(T45+J45/2)</f>
        <v>0</v>
      </c>
      <c r="O45">
        <f>N45*(DY45+DZ45)/1000.0</f>
        <v>0</v>
      </c>
      <c r="P45">
        <f>(DR45 - IF(AU45&gt;1, L45*DL45*100.0/(AW45), 0))*(DY45+DZ45)/1000.0</f>
        <v>0</v>
      </c>
      <c r="Q45">
        <f>2.0/((1/S45-1/R45)+SIGN(S45)*SQRT((1/S45-1/R45)*(1/S45-1/R45) + 4*DM45/((DM45+1)*(DM45+1))*(2*1/S45*1/R45-1/R45*1/R45)))</f>
        <v>0</v>
      </c>
      <c r="R45">
        <f>IF(LEFT(DN45,1)&lt;&gt;"0",IF(LEFT(DN45,1)="1",3.0,DO45),$D$5+$E$5*(EF45*DY45/($K$5*1000))+$F$5*(EF45*DY45/($K$5*1000))*MAX(MIN(DL45,$J$5),$I$5)*MAX(MIN(DL45,$J$5),$I$5)+$G$5*MAX(MIN(DL45,$J$5),$I$5)*(EF45*DY45/($K$5*1000))+$H$5*(EF45*DY45/($K$5*1000))*(EF45*DY45/($K$5*1000)))</f>
        <v>0</v>
      </c>
      <c r="S45">
        <f>J45*(1000-(1000*0.61365*exp(17.502*W45/(240.97+W45))/(DY45+DZ45)+DT45)/2)/(1000*0.61365*exp(17.502*W45/(240.97+W45))/(DY45+DZ45)-DT45)</f>
        <v>0</v>
      </c>
      <c r="T45">
        <f>1/((DM45+1)/(Q45/1.6)+1/(R45/1.37)) + DM45/((DM45+1)/(Q45/1.6) + DM45/(R45/1.37))</f>
        <v>0</v>
      </c>
      <c r="U45">
        <f>(DH45*DK45)</f>
        <v>0</v>
      </c>
      <c r="V45">
        <f>(EA45+(U45+2*0.95*5.67E-8*(((EA45+$B$7)+273)^4-(EA45+273)^4)-44100*J45)/(1.84*29.3*R45+8*0.95*5.67E-8*(EA45+273)^3))</f>
        <v>0</v>
      </c>
      <c r="W45">
        <f>($C$7*EB45+$D$7*EC45+$E$7*V45)</f>
        <v>0</v>
      </c>
      <c r="X45">
        <f>0.61365*exp(17.502*W45/(240.97+W45))</f>
        <v>0</v>
      </c>
      <c r="Y45">
        <f>(Z45/AA45*100)</f>
        <v>0</v>
      </c>
      <c r="Z45">
        <f>DT45*(DY45+DZ45)/1000</f>
        <v>0</v>
      </c>
      <c r="AA45">
        <f>0.61365*exp(17.502*EA45/(240.97+EA45))</f>
        <v>0</v>
      </c>
      <c r="AB45">
        <f>(X45-DT45*(DY45+DZ45)/1000)</f>
        <v>0</v>
      </c>
      <c r="AC45">
        <f>(-J45*44100)</f>
        <v>0</v>
      </c>
      <c r="AD45">
        <f>2*29.3*R45*0.92*(EA45-W45)</f>
        <v>0</v>
      </c>
      <c r="AE45">
        <f>2*0.95*5.67E-8*(((EA45+$B$7)+273)^4-(W45+273)^4)</f>
        <v>0</v>
      </c>
      <c r="AF45">
        <f>U45+AE45+AC45+AD45</f>
        <v>0</v>
      </c>
      <c r="AG45">
        <f>DX45*AU45*(DS45-DR45*(1000-AU45*DU45)/(1000-AU45*DT45))/(100*DL45)</f>
        <v>0</v>
      </c>
      <c r="AH45">
        <f>1000*DX45*AU45*(DT45-DU45)/(100*DL45*(1000-AU45*DT45))</f>
        <v>0</v>
      </c>
      <c r="AI45">
        <f>(AJ45 - AK45 - DY45*1E3/(8.314*(EA45+273.15)) * AM45/DX45 * AL45) * DX45/(100*DL45) * (1000 - DU45)/1000</f>
        <v>0</v>
      </c>
      <c r="AJ45">
        <v>460.767261025754</v>
      </c>
      <c r="AK45">
        <v>436.639278787879</v>
      </c>
      <c r="AL45">
        <v>2.69747165381387</v>
      </c>
      <c r="AM45">
        <v>64.8413469339502</v>
      </c>
      <c r="AN45">
        <f>(AP45 - AO45 + DY45*1E3/(8.314*(EA45+273.15)) * AR45/DX45 * AQ45) * DX45/(100*DL45) * 1000/(1000 - AP45)</f>
        <v>0</v>
      </c>
      <c r="AO45">
        <v>9.18726661397172</v>
      </c>
      <c r="AP45">
        <v>11.885503030303</v>
      </c>
      <c r="AQ45">
        <v>3.29503000246802e-06</v>
      </c>
      <c r="AR45">
        <v>118.472689631034</v>
      </c>
      <c r="AS45">
        <v>0</v>
      </c>
      <c r="AT45">
        <v>0</v>
      </c>
      <c r="AU45">
        <f>IF(AS45*$H$13&gt;=AW45,1.0,(AW45/(AW45-AS45*$H$13)))</f>
        <v>0</v>
      </c>
      <c r="AV45">
        <f>(AU45-1)*100</f>
        <v>0</v>
      </c>
      <c r="AW45">
        <f>MAX(0,($B$13+$C$13*EF45)/(1+$D$13*EF45)*DY45/(EA45+273)*$E$13)</f>
        <v>0</v>
      </c>
      <c r="AX45" t="s">
        <v>437</v>
      </c>
      <c r="AY45" t="s">
        <v>437</v>
      </c>
      <c r="AZ45">
        <v>0</v>
      </c>
      <c r="BA45">
        <v>0</v>
      </c>
      <c r="BB45">
        <f>1-AZ45/BA45</f>
        <v>0</v>
      </c>
      <c r="BC45">
        <v>0</v>
      </c>
      <c r="BD45" t="s">
        <v>437</v>
      </c>
      <c r="BE45" t="s">
        <v>437</v>
      </c>
      <c r="BF45">
        <v>0</v>
      </c>
      <c r="BG45">
        <v>0</v>
      </c>
      <c r="BH45">
        <f>1-BF45/BG45</f>
        <v>0</v>
      </c>
      <c r="BI45">
        <v>0.5</v>
      </c>
      <c r="BJ45">
        <f>DI45</f>
        <v>0</v>
      </c>
      <c r="BK45">
        <f>L45</f>
        <v>0</v>
      </c>
      <c r="BL45">
        <f>BH45*BI45*BJ45</f>
        <v>0</v>
      </c>
      <c r="BM45">
        <f>(BK45-BC45)/BJ45</f>
        <v>0</v>
      </c>
      <c r="BN45">
        <f>(BA45-BG45)/BG45</f>
        <v>0</v>
      </c>
      <c r="BO45">
        <f>AZ45/(BB45+AZ45/BG45)</f>
        <v>0</v>
      </c>
      <c r="BP45" t="s">
        <v>437</v>
      </c>
      <c r="BQ45">
        <v>0</v>
      </c>
      <c r="BR45">
        <f>IF(BQ45&lt;&gt;0, BQ45, BO45)</f>
        <v>0</v>
      </c>
      <c r="BS45">
        <f>1-BR45/BG45</f>
        <v>0</v>
      </c>
      <c r="BT45">
        <f>(BG45-BF45)/(BG45-BR45)</f>
        <v>0</v>
      </c>
      <c r="BU45">
        <f>(BA45-BG45)/(BA45-BR45)</f>
        <v>0</v>
      </c>
      <c r="BV45">
        <f>(BG45-BF45)/(BG45-AZ45)</f>
        <v>0</v>
      </c>
      <c r="BW45">
        <f>(BA45-BG45)/(BA45-AZ45)</f>
        <v>0</v>
      </c>
      <c r="BX45">
        <f>(BT45*BR45/BF45)</f>
        <v>0</v>
      </c>
      <c r="BY45">
        <f>(1-BX45)</f>
        <v>0</v>
      </c>
      <c r="DH45">
        <f>$B$11*EG45+$C$11*EH45+$F$11*ES45*(1-EV45)</f>
        <v>0</v>
      </c>
      <c r="DI45">
        <f>DH45*DJ45</f>
        <v>0</v>
      </c>
      <c r="DJ45">
        <f>($B$11*$D$9+$C$11*$D$9+$F$11*((FF45+EX45)/MAX(FF45+EX45+FG45, 0.1)*$I$9+FG45/MAX(FF45+EX45+FG45, 0.1)*$J$9))/($B$11+$C$11+$F$11)</f>
        <v>0</v>
      </c>
      <c r="DK45">
        <f>($B$11*$K$9+$C$11*$K$9+$F$11*((FF45+EX45)/MAX(FF45+EX45+FG45, 0.1)*$P$9+FG45/MAX(FF45+EX45+FG45, 0.1)*$Q$9))/($B$11+$C$11+$F$11)</f>
        <v>0</v>
      </c>
      <c r="DL45">
        <v>6</v>
      </c>
      <c r="DM45">
        <v>0.5</v>
      </c>
      <c r="DN45" t="s">
        <v>438</v>
      </c>
      <c r="DO45">
        <v>2</v>
      </c>
      <c r="DP45" t="b">
        <v>1</v>
      </c>
      <c r="DQ45">
        <v>1760989413.94615</v>
      </c>
      <c r="DR45">
        <v>416.576769230769</v>
      </c>
      <c r="DS45">
        <v>441.578923076923</v>
      </c>
      <c r="DT45">
        <v>11.8805384615385</v>
      </c>
      <c r="DU45">
        <v>9.18432</v>
      </c>
      <c r="DV45">
        <v>413.707307692308</v>
      </c>
      <c r="DW45">
        <v>11.9908461538462</v>
      </c>
      <c r="DX45">
        <v>500.004230769231</v>
      </c>
      <c r="DY45">
        <v>89.8715384615384</v>
      </c>
      <c r="DZ45">
        <v>0.00763029153846154</v>
      </c>
      <c r="EA45">
        <v>18.3929692307692</v>
      </c>
      <c r="EB45">
        <v>17.9868461538462</v>
      </c>
      <c r="EC45">
        <v>999.9</v>
      </c>
      <c r="ED45">
        <v>0</v>
      </c>
      <c r="EE45">
        <v>0</v>
      </c>
      <c r="EF45">
        <v>10012.4923076923</v>
      </c>
      <c r="EG45">
        <v>0</v>
      </c>
      <c r="EH45">
        <v>1270.11461538462</v>
      </c>
      <c r="EI45">
        <v>-25.0020615384615</v>
      </c>
      <c r="EJ45">
        <v>421.585538461538</v>
      </c>
      <c r="EK45">
        <v>445.672076923077</v>
      </c>
      <c r="EL45">
        <v>2.69622384615385</v>
      </c>
      <c r="EM45">
        <v>441.578923076923</v>
      </c>
      <c r="EN45">
        <v>9.18432</v>
      </c>
      <c r="EO45">
        <v>1.06772307692308</v>
      </c>
      <c r="EP45">
        <v>0.825409076923077</v>
      </c>
      <c r="EQ45">
        <v>7.87480769230769</v>
      </c>
      <c r="ER45">
        <v>4.15195307692308</v>
      </c>
      <c r="ES45">
        <v>1199.92846153846</v>
      </c>
      <c r="ET45">
        <v>0.966989769230769</v>
      </c>
      <c r="EU45">
        <v>0.0330104076923077</v>
      </c>
      <c r="EV45">
        <v>0</v>
      </c>
      <c r="EW45">
        <v>1324.21692307692</v>
      </c>
      <c r="EX45">
        <v>5.00059</v>
      </c>
      <c r="EY45">
        <v>15525.6769230769</v>
      </c>
      <c r="EZ45">
        <v>10358.0538461538</v>
      </c>
      <c r="FA45">
        <v>36.5575384615385</v>
      </c>
      <c r="FB45">
        <v>38.2353076923077</v>
      </c>
      <c r="FC45">
        <v>37.1006153846154</v>
      </c>
      <c r="FD45">
        <v>37.3602307692308</v>
      </c>
      <c r="FE45">
        <v>37.4373076923077</v>
      </c>
      <c r="FF45">
        <v>1155.48230769231</v>
      </c>
      <c r="FG45">
        <v>39.4453846153846</v>
      </c>
      <c r="FH45">
        <v>0</v>
      </c>
      <c r="FI45">
        <v>1760989391.5</v>
      </c>
      <c r="FJ45">
        <v>0</v>
      </c>
      <c r="FK45">
        <v>1324.50461538462</v>
      </c>
      <c r="FL45">
        <v>18.1025640751193</v>
      </c>
      <c r="FM45">
        <v>195.8188033014</v>
      </c>
      <c r="FN45">
        <v>15529.6346153846</v>
      </c>
      <c r="FO45">
        <v>15</v>
      </c>
      <c r="FP45">
        <v>0</v>
      </c>
      <c r="FQ45" t="s">
        <v>439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-22.12318</v>
      </c>
      <c r="GD45">
        <v>-79.3929744360902</v>
      </c>
      <c r="GE45">
        <v>7.73976926119894</v>
      </c>
      <c r="GF45">
        <v>0</v>
      </c>
      <c r="GG45">
        <v>1323.3</v>
      </c>
      <c r="GH45">
        <v>19.979220780459</v>
      </c>
      <c r="GI45">
        <v>1.97454089972983</v>
      </c>
      <c r="GJ45">
        <v>-1</v>
      </c>
      <c r="GK45">
        <v>2.6951515</v>
      </c>
      <c r="GL45">
        <v>0.0239003007518826</v>
      </c>
      <c r="GM45">
        <v>0.00265501275891475</v>
      </c>
      <c r="GN45">
        <v>1</v>
      </c>
      <c r="GO45">
        <v>1</v>
      </c>
      <c r="GP45">
        <v>2</v>
      </c>
      <c r="GQ45" t="s">
        <v>446</v>
      </c>
      <c r="GR45">
        <v>3.13084</v>
      </c>
      <c r="GS45">
        <v>2.68581</v>
      </c>
      <c r="GT45">
        <v>0.0919541</v>
      </c>
      <c r="GU45">
        <v>0.0978147</v>
      </c>
      <c r="GV45">
        <v>0.0620104</v>
      </c>
      <c r="GW45">
        <v>0.0506554</v>
      </c>
      <c r="GX45">
        <v>34413.7</v>
      </c>
      <c r="GY45">
        <v>36739.6</v>
      </c>
      <c r="GZ45">
        <v>34266.3</v>
      </c>
      <c r="HA45">
        <v>36848.4</v>
      </c>
      <c r="HB45">
        <v>45336.3</v>
      </c>
      <c r="HC45">
        <v>50161.9</v>
      </c>
      <c r="HD45">
        <v>53340.3</v>
      </c>
      <c r="HE45">
        <v>58775</v>
      </c>
      <c r="HF45">
        <v>2.0086</v>
      </c>
      <c r="HG45">
        <v>1.83687</v>
      </c>
      <c r="HH45">
        <v>0.0332072</v>
      </c>
      <c r="HI45">
        <v>0</v>
      </c>
      <c r="HJ45">
        <v>17.439</v>
      </c>
      <c r="HK45">
        <v>999.9</v>
      </c>
      <c r="HL45">
        <v>26.01</v>
      </c>
      <c r="HM45">
        <v>30.283</v>
      </c>
      <c r="HN45">
        <v>12.5321</v>
      </c>
      <c r="HO45">
        <v>54.1091</v>
      </c>
      <c r="HP45">
        <v>44.2027</v>
      </c>
      <c r="HQ45">
        <v>1</v>
      </c>
      <c r="HR45">
        <v>-0.269858</v>
      </c>
      <c r="HS45">
        <v>3.8659</v>
      </c>
      <c r="HT45">
        <v>20.0946</v>
      </c>
      <c r="HU45">
        <v>5.20172</v>
      </c>
      <c r="HV45">
        <v>12.004</v>
      </c>
      <c r="HW45">
        <v>4.97555</v>
      </c>
      <c r="HX45">
        <v>3.29295</v>
      </c>
      <c r="HY45">
        <v>9999</v>
      </c>
      <c r="HZ45">
        <v>999.9</v>
      </c>
      <c r="IA45">
        <v>9999</v>
      </c>
      <c r="IB45">
        <v>9999</v>
      </c>
      <c r="IC45">
        <v>1.86325</v>
      </c>
      <c r="ID45">
        <v>1.8681</v>
      </c>
      <c r="IE45">
        <v>1.86783</v>
      </c>
      <c r="IF45">
        <v>1.86905</v>
      </c>
      <c r="IG45">
        <v>1.86981</v>
      </c>
      <c r="IH45">
        <v>1.86586</v>
      </c>
      <c r="II45">
        <v>1.86697</v>
      </c>
      <c r="IJ45">
        <v>1.86843</v>
      </c>
      <c r="IK45">
        <v>5</v>
      </c>
      <c r="IL45">
        <v>0</v>
      </c>
      <c r="IM45">
        <v>0</v>
      </c>
      <c r="IN45">
        <v>0</v>
      </c>
      <c r="IO45" t="s">
        <v>441</v>
      </c>
      <c r="IP45" t="s">
        <v>442</v>
      </c>
      <c r="IQ45" t="s">
        <v>443</v>
      </c>
      <c r="IR45" t="s">
        <v>443</v>
      </c>
      <c r="IS45" t="s">
        <v>443</v>
      </c>
      <c r="IT45" t="s">
        <v>443</v>
      </c>
      <c r="IU45">
        <v>0</v>
      </c>
      <c r="IV45">
        <v>100</v>
      </c>
      <c r="IW45">
        <v>100</v>
      </c>
      <c r="IX45">
        <v>2.937</v>
      </c>
      <c r="IY45">
        <v>-0.1102</v>
      </c>
      <c r="IZ45">
        <v>1.12474291219083</v>
      </c>
      <c r="JA45">
        <v>0.00463155566490582</v>
      </c>
      <c r="JB45">
        <v>-1.1358998729424e-06</v>
      </c>
      <c r="JC45">
        <v>3.28704272115545e-10</v>
      </c>
      <c r="JD45">
        <v>-0.0704455108513773</v>
      </c>
      <c r="JE45">
        <v>-0.0251928478371425</v>
      </c>
      <c r="JF45">
        <v>0.00225751704194564</v>
      </c>
      <c r="JG45">
        <v>-3.61734043746866e-05</v>
      </c>
      <c r="JH45">
        <v>1</v>
      </c>
      <c r="JI45">
        <v>2182</v>
      </c>
      <c r="JJ45">
        <v>0</v>
      </c>
      <c r="JK45">
        <v>24</v>
      </c>
      <c r="JL45">
        <v>29349823.7</v>
      </c>
      <c r="JM45">
        <v>29349823.7</v>
      </c>
      <c r="JN45">
        <v>1.11572</v>
      </c>
      <c r="JO45">
        <v>2.64404</v>
      </c>
      <c r="JP45">
        <v>1.54785</v>
      </c>
      <c r="JQ45">
        <v>2.31445</v>
      </c>
      <c r="JR45">
        <v>1.64673</v>
      </c>
      <c r="JS45">
        <v>2.25708</v>
      </c>
      <c r="JT45">
        <v>33.513</v>
      </c>
      <c r="JU45">
        <v>24.1838</v>
      </c>
      <c r="JV45">
        <v>18</v>
      </c>
      <c r="JW45">
        <v>500.593</v>
      </c>
      <c r="JX45">
        <v>394.032</v>
      </c>
      <c r="JY45">
        <v>12.3916</v>
      </c>
      <c r="JZ45">
        <v>23.9068</v>
      </c>
      <c r="KA45">
        <v>30</v>
      </c>
      <c r="KB45">
        <v>23.925</v>
      </c>
      <c r="KC45">
        <v>23.8952</v>
      </c>
      <c r="KD45">
        <v>22.3921</v>
      </c>
      <c r="KE45">
        <v>0</v>
      </c>
      <c r="KF45">
        <v>23.7343</v>
      </c>
      <c r="KG45">
        <v>12.3942</v>
      </c>
      <c r="KH45">
        <v>487.626</v>
      </c>
      <c r="KI45">
        <v>9.15306</v>
      </c>
      <c r="KJ45">
        <v>97.0431</v>
      </c>
      <c r="KK45">
        <v>95.3013</v>
      </c>
    </row>
    <row r="46" spans="1:297">
      <c r="A46">
        <v>30</v>
      </c>
      <c r="B46">
        <v>1760989427.1</v>
      </c>
      <c r="C46">
        <v>237</v>
      </c>
      <c r="D46" t="s">
        <v>501</v>
      </c>
      <c r="E46" t="s">
        <v>502</v>
      </c>
      <c r="F46">
        <v>5</v>
      </c>
      <c r="G46" t="s">
        <v>435</v>
      </c>
      <c r="H46" t="s">
        <v>436</v>
      </c>
      <c r="I46">
        <v>1760989418.94615</v>
      </c>
      <c r="J46">
        <f>(K46)/1000</f>
        <v>0</v>
      </c>
      <c r="K46">
        <f>IF(DP46, AN46, AH46)</f>
        <v>0</v>
      </c>
      <c r="L46">
        <f>IF(DP46, AI46, AG46)</f>
        <v>0</v>
      </c>
      <c r="M46">
        <f>DR46 - IF(AU46&gt;1, L46*DL46*100.0/(AW46), 0)</f>
        <v>0</v>
      </c>
      <c r="N46">
        <f>((T46-J46/2)*M46-L46)/(T46+J46/2)</f>
        <v>0</v>
      </c>
      <c r="O46">
        <f>N46*(DY46+DZ46)/1000.0</f>
        <v>0</v>
      </c>
      <c r="P46">
        <f>(DR46 - IF(AU46&gt;1, L46*DL46*100.0/(AW46), 0))*(DY46+DZ46)/1000.0</f>
        <v>0</v>
      </c>
      <c r="Q46">
        <f>2.0/((1/S46-1/R46)+SIGN(S46)*SQRT((1/S46-1/R46)*(1/S46-1/R46) + 4*DM46/((DM46+1)*(DM46+1))*(2*1/S46*1/R46-1/R46*1/R46)))</f>
        <v>0</v>
      </c>
      <c r="R46">
        <f>IF(LEFT(DN46,1)&lt;&gt;"0",IF(LEFT(DN46,1)="1",3.0,DO46),$D$5+$E$5*(EF46*DY46/($K$5*1000))+$F$5*(EF46*DY46/($K$5*1000))*MAX(MIN(DL46,$J$5),$I$5)*MAX(MIN(DL46,$J$5),$I$5)+$G$5*MAX(MIN(DL46,$J$5),$I$5)*(EF46*DY46/($K$5*1000))+$H$5*(EF46*DY46/($K$5*1000))*(EF46*DY46/($K$5*1000)))</f>
        <v>0</v>
      </c>
      <c r="S46">
        <f>J46*(1000-(1000*0.61365*exp(17.502*W46/(240.97+W46))/(DY46+DZ46)+DT46)/2)/(1000*0.61365*exp(17.502*W46/(240.97+W46))/(DY46+DZ46)-DT46)</f>
        <v>0</v>
      </c>
      <c r="T46">
        <f>1/((DM46+1)/(Q46/1.6)+1/(R46/1.37)) + DM46/((DM46+1)/(Q46/1.6) + DM46/(R46/1.37))</f>
        <v>0</v>
      </c>
      <c r="U46">
        <f>(DH46*DK46)</f>
        <v>0</v>
      </c>
      <c r="V46">
        <f>(EA46+(U46+2*0.95*5.67E-8*(((EA46+$B$7)+273)^4-(EA46+273)^4)-44100*J46)/(1.84*29.3*R46+8*0.95*5.67E-8*(EA46+273)^3))</f>
        <v>0</v>
      </c>
      <c r="W46">
        <f>($C$7*EB46+$D$7*EC46+$E$7*V46)</f>
        <v>0</v>
      </c>
      <c r="X46">
        <f>0.61365*exp(17.502*W46/(240.97+W46))</f>
        <v>0</v>
      </c>
      <c r="Y46">
        <f>(Z46/AA46*100)</f>
        <v>0</v>
      </c>
      <c r="Z46">
        <f>DT46*(DY46+DZ46)/1000</f>
        <v>0</v>
      </c>
      <c r="AA46">
        <f>0.61365*exp(17.502*EA46/(240.97+EA46))</f>
        <v>0</v>
      </c>
      <c r="AB46">
        <f>(X46-DT46*(DY46+DZ46)/1000)</f>
        <v>0</v>
      </c>
      <c r="AC46">
        <f>(-J46*44100)</f>
        <v>0</v>
      </c>
      <c r="AD46">
        <f>2*29.3*R46*0.92*(EA46-W46)</f>
        <v>0</v>
      </c>
      <c r="AE46">
        <f>2*0.95*5.67E-8*(((EA46+$B$7)+273)^4-(W46+273)^4)</f>
        <v>0</v>
      </c>
      <c r="AF46">
        <f>U46+AE46+AC46+AD46</f>
        <v>0</v>
      </c>
      <c r="AG46">
        <f>DX46*AU46*(DS46-DR46*(1000-AU46*DU46)/(1000-AU46*DT46))/(100*DL46)</f>
        <v>0</v>
      </c>
      <c r="AH46">
        <f>1000*DX46*AU46*(DT46-DU46)/(100*DL46*(1000-AU46*DT46))</f>
        <v>0</v>
      </c>
      <c r="AI46">
        <f>(AJ46 - AK46 - DY46*1E3/(8.314*(EA46+273.15)) * AM46/DX46 * AL46) * DX46/(100*DL46) * (1000 - DU46)/1000</f>
        <v>0</v>
      </c>
      <c r="AJ46">
        <v>476.960919948379</v>
      </c>
      <c r="AK46">
        <v>451.262024242424</v>
      </c>
      <c r="AL46">
        <v>2.97368792245075</v>
      </c>
      <c r="AM46">
        <v>64.8413469339502</v>
      </c>
      <c r="AN46">
        <f>(AP46 - AO46 + DY46*1E3/(8.314*(EA46+273.15)) * AR46/DX46 * AQ46) * DX46/(100*DL46) * 1000/(1000 - AP46)</f>
        <v>0</v>
      </c>
      <c r="AO46">
        <v>9.18961217303157</v>
      </c>
      <c r="AP46">
        <v>11.8915151515152</v>
      </c>
      <c r="AQ46">
        <v>5.62126059231552e-06</v>
      </c>
      <c r="AR46">
        <v>118.472689631034</v>
      </c>
      <c r="AS46">
        <v>0</v>
      </c>
      <c r="AT46">
        <v>0</v>
      </c>
      <c r="AU46">
        <f>IF(AS46*$H$13&gt;=AW46,1.0,(AW46/(AW46-AS46*$H$13)))</f>
        <v>0</v>
      </c>
      <c r="AV46">
        <f>(AU46-1)*100</f>
        <v>0</v>
      </c>
      <c r="AW46">
        <f>MAX(0,($B$13+$C$13*EF46)/(1+$D$13*EF46)*DY46/(EA46+273)*$E$13)</f>
        <v>0</v>
      </c>
      <c r="AX46" t="s">
        <v>437</v>
      </c>
      <c r="AY46" t="s">
        <v>437</v>
      </c>
      <c r="AZ46">
        <v>0</v>
      </c>
      <c r="BA46">
        <v>0</v>
      </c>
      <c r="BB46">
        <f>1-AZ46/BA46</f>
        <v>0</v>
      </c>
      <c r="BC46">
        <v>0</v>
      </c>
      <c r="BD46" t="s">
        <v>437</v>
      </c>
      <c r="BE46" t="s">
        <v>437</v>
      </c>
      <c r="BF46">
        <v>0</v>
      </c>
      <c r="BG46">
        <v>0</v>
      </c>
      <c r="BH46">
        <f>1-BF46/BG46</f>
        <v>0</v>
      </c>
      <c r="BI46">
        <v>0.5</v>
      </c>
      <c r="BJ46">
        <f>DI46</f>
        <v>0</v>
      </c>
      <c r="BK46">
        <f>L46</f>
        <v>0</v>
      </c>
      <c r="BL46">
        <f>BH46*BI46*BJ46</f>
        <v>0</v>
      </c>
      <c r="BM46">
        <f>(BK46-BC46)/BJ46</f>
        <v>0</v>
      </c>
      <c r="BN46">
        <f>(BA46-BG46)/BG46</f>
        <v>0</v>
      </c>
      <c r="BO46">
        <f>AZ46/(BB46+AZ46/BG46)</f>
        <v>0</v>
      </c>
      <c r="BP46" t="s">
        <v>437</v>
      </c>
      <c r="BQ46">
        <v>0</v>
      </c>
      <c r="BR46">
        <f>IF(BQ46&lt;&gt;0, BQ46, BO46)</f>
        <v>0</v>
      </c>
      <c r="BS46">
        <f>1-BR46/BG46</f>
        <v>0</v>
      </c>
      <c r="BT46">
        <f>(BG46-BF46)/(BG46-BR46)</f>
        <v>0</v>
      </c>
      <c r="BU46">
        <f>(BA46-BG46)/(BA46-BR46)</f>
        <v>0</v>
      </c>
      <c r="BV46">
        <f>(BG46-BF46)/(BG46-AZ46)</f>
        <v>0</v>
      </c>
      <c r="BW46">
        <f>(BA46-BG46)/(BA46-AZ46)</f>
        <v>0</v>
      </c>
      <c r="BX46">
        <f>(BT46*BR46/BF46)</f>
        <v>0</v>
      </c>
      <c r="BY46">
        <f>(1-BX46)</f>
        <v>0</v>
      </c>
      <c r="DH46">
        <f>$B$11*EG46+$C$11*EH46+$F$11*ES46*(1-EV46)</f>
        <v>0</v>
      </c>
      <c r="DI46">
        <f>DH46*DJ46</f>
        <v>0</v>
      </c>
      <c r="DJ46">
        <f>($B$11*$D$9+$C$11*$D$9+$F$11*((FF46+EX46)/MAX(FF46+EX46+FG46, 0.1)*$I$9+FG46/MAX(FF46+EX46+FG46, 0.1)*$J$9))/($B$11+$C$11+$F$11)</f>
        <v>0</v>
      </c>
      <c r="DK46">
        <f>($B$11*$K$9+$C$11*$K$9+$F$11*((FF46+EX46)/MAX(FF46+EX46+FG46, 0.1)*$P$9+FG46/MAX(FF46+EX46+FG46, 0.1)*$Q$9))/($B$11+$C$11+$F$11)</f>
        <v>0</v>
      </c>
      <c r="DL46">
        <v>6</v>
      </c>
      <c r="DM46">
        <v>0.5</v>
      </c>
      <c r="DN46" t="s">
        <v>438</v>
      </c>
      <c r="DO46">
        <v>2</v>
      </c>
      <c r="DP46" t="b">
        <v>1</v>
      </c>
      <c r="DQ46">
        <v>1760989418.94615</v>
      </c>
      <c r="DR46">
        <v>426.730846153846</v>
      </c>
      <c r="DS46">
        <v>457.201692307692</v>
      </c>
      <c r="DT46">
        <v>11.8848153846154</v>
      </c>
      <c r="DU46">
        <v>9.18660692307692</v>
      </c>
      <c r="DV46">
        <v>423.822538461538</v>
      </c>
      <c r="DW46">
        <v>11.9950692307692</v>
      </c>
      <c r="DX46">
        <v>500.039461538462</v>
      </c>
      <c r="DY46">
        <v>89.8722538461539</v>
      </c>
      <c r="DZ46">
        <v>0.00762060538461539</v>
      </c>
      <c r="EA46">
        <v>18.3912307692308</v>
      </c>
      <c r="EB46">
        <v>17.9884692307692</v>
      </c>
      <c r="EC46">
        <v>999.9</v>
      </c>
      <c r="ED46">
        <v>0</v>
      </c>
      <c r="EE46">
        <v>0</v>
      </c>
      <c r="EF46">
        <v>10014.9023076923</v>
      </c>
      <c r="EG46">
        <v>0</v>
      </c>
      <c r="EH46">
        <v>1270.09461538462</v>
      </c>
      <c r="EI46">
        <v>-30.4707846153846</v>
      </c>
      <c r="EJ46">
        <v>431.863538461538</v>
      </c>
      <c r="EK46">
        <v>461.440769230769</v>
      </c>
      <c r="EL46">
        <v>2.69821769230769</v>
      </c>
      <c r="EM46">
        <v>457.201692307692</v>
      </c>
      <c r="EN46">
        <v>9.18660692307692</v>
      </c>
      <c r="EO46">
        <v>1.06811615384615</v>
      </c>
      <c r="EP46">
        <v>0.825621307692308</v>
      </c>
      <c r="EQ46">
        <v>7.88021153846154</v>
      </c>
      <c r="ER46">
        <v>4.15561153846154</v>
      </c>
      <c r="ES46">
        <v>1199.92538461538</v>
      </c>
      <c r="ET46">
        <v>0.966989076923077</v>
      </c>
      <c r="EU46">
        <v>0.0330110615384615</v>
      </c>
      <c r="EV46">
        <v>0</v>
      </c>
      <c r="EW46">
        <v>1325.73538461538</v>
      </c>
      <c r="EX46">
        <v>5.00059</v>
      </c>
      <c r="EY46">
        <v>15540.7615384615</v>
      </c>
      <c r="EZ46">
        <v>10358.0384615385</v>
      </c>
      <c r="FA46">
        <v>36.4996923076923</v>
      </c>
      <c r="FB46">
        <v>38.1873076923077</v>
      </c>
      <c r="FC46">
        <v>37.0478461538462</v>
      </c>
      <c r="FD46">
        <v>37.3074615384615</v>
      </c>
      <c r="FE46">
        <v>37.3843076923077</v>
      </c>
      <c r="FF46">
        <v>1155.47692307692</v>
      </c>
      <c r="FG46">
        <v>39.4484615384615</v>
      </c>
      <c r="FH46">
        <v>0</v>
      </c>
      <c r="FI46">
        <v>1760989396.3</v>
      </c>
      <c r="FJ46">
        <v>0</v>
      </c>
      <c r="FK46">
        <v>1325.92884615385</v>
      </c>
      <c r="FL46">
        <v>17.2591453068198</v>
      </c>
      <c r="FM46">
        <v>161.658119933173</v>
      </c>
      <c r="FN46">
        <v>15543.8115384615</v>
      </c>
      <c r="FO46">
        <v>15</v>
      </c>
      <c r="FP46">
        <v>0</v>
      </c>
      <c r="FQ46" t="s">
        <v>439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-26.8273285714286</v>
      </c>
      <c r="GD46">
        <v>-67.7714415584416</v>
      </c>
      <c r="GE46">
        <v>7.10886288737971</v>
      </c>
      <c r="GF46">
        <v>0</v>
      </c>
      <c r="GG46">
        <v>1324.84558823529</v>
      </c>
      <c r="GH46">
        <v>18.1446906081894</v>
      </c>
      <c r="GI46">
        <v>1.79198245654567</v>
      </c>
      <c r="GJ46">
        <v>-1</v>
      </c>
      <c r="GK46">
        <v>2.69708095238095</v>
      </c>
      <c r="GL46">
        <v>0.0218431168831151</v>
      </c>
      <c r="GM46">
        <v>0.00253117120408698</v>
      </c>
      <c r="GN46">
        <v>1</v>
      </c>
      <c r="GO46">
        <v>1</v>
      </c>
      <c r="GP46">
        <v>2</v>
      </c>
      <c r="GQ46" t="s">
        <v>446</v>
      </c>
      <c r="GR46">
        <v>3.13067</v>
      </c>
      <c r="GS46">
        <v>2.6855</v>
      </c>
      <c r="GT46">
        <v>0.0943013</v>
      </c>
      <c r="GU46">
        <v>0.10023</v>
      </c>
      <c r="GV46">
        <v>0.062027</v>
      </c>
      <c r="GW46">
        <v>0.0506667</v>
      </c>
      <c r="GX46">
        <v>34324.9</v>
      </c>
      <c r="GY46">
        <v>36641.1</v>
      </c>
      <c r="GZ46">
        <v>34266.5</v>
      </c>
      <c r="HA46">
        <v>36848.3</v>
      </c>
      <c r="HB46">
        <v>45336</v>
      </c>
      <c r="HC46">
        <v>50161.5</v>
      </c>
      <c r="HD46">
        <v>53340.6</v>
      </c>
      <c r="HE46">
        <v>58774.9</v>
      </c>
      <c r="HF46">
        <v>2.00815</v>
      </c>
      <c r="HG46">
        <v>1.83742</v>
      </c>
      <c r="HH46">
        <v>0.0331476</v>
      </c>
      <c r="HI46">
        <v>0</v>
      </c>
      <c r="HJ46">
        <v>17.439</v>
      </c>
      <c r="HK46">
        <v>999.9</v>
      </c>
      <c r="HL46">
        <v>26.01</v>
      </c>
      <c r="HM46">
        <v>30.273</v>
      </c>
      <c r="HN46">
        <v>12.5245</v>
      </c>
      <c r="HO46">
        <v>54.5991</v>
      </c>
      <c r="HP46">
        <v>44.1426</v>
      </c>
      <c r="HQ46">
        <v>1</v>
      </c>
      <c r="HR46">
        <v>-0.269385</v>
      </c>
      <c r="HS46">
        <v>3.88176</v>
      </c>
      <c r="HT46">
        <v>20.0939</v>
      </c>
      <c r="HU46">
        <v>5.19992</v>
      </c>
      <c r="HV46">
        <v>12.004</v>
      </c>
      <c r="HW46">
        <v>4.9756</v>
      </c>
      <c r="HX46">
        <v>3.29298</v>
      </c>
      <c r="HY46">
        <v>9999</v>
      </c>
      <c r="HZ46">
        <v>999.9</v>
      </c>
      <c r="IA46">
        <v>9999</v>
      </c>
      <c r="IB46">
        <v>9999</v>
      </c>
      <c r="IC46">
        <v>1.86325</v>
      </c>
      <c r="ID46">
        <v>1.86809</v>
      </c>
      <c r="IE46">
        <v>1.86783</v>
      </c>
      <c r="IF46">
        <v>1.86905</v>
      </c>
      <c r="IG46">
        <v>1.86981</v>
      </c>
      <c r="IH46">
        <v>1.86587</v>
      </c>
      <c r="II46">
        <v>1.86699</v>
      </c>
      <c r="IJ46">
        <v>1.86841</v>
      </c>
      <c r="IK46">
        <v>5</v>
      </c>
      <c r="IL46">
        <v>0</v>
      </c>
      <c r="IM46">
        <v>0</v>
      </c>
      <c r="IN46">
        <v>0</v>
      </c>
      <c r="IO46" t="s">
        <v>441</v>
      </c>
      <c r="IP46" t="s">
        <v>442</v>
      </c>
      <c r="IQ46" t="s">
        <v>443</v>
      </c>
      <c r="IR46" t="s">
        <v>443</v>
      </c>
      <c r="IS46" t="s">
        <v>443</v>
      </c>
      <c r="IT46" t="s">
        <v>443</v>
      </c>
      <c r="IU46">
        <v>0</v>
      </c>
      <c r="IV46">
        <v>100</v>
      </c>
      <c r="IW46">
        <v>100</v>
      </c>
      <c r="IX46">
        <v>2.993</v>
      </c>
      <c r="IY46">
        <v>-0.1102</v>
      </c>
      <c r="IZ46">
        <v>1.12474291219083</v>
      </c>
      <c r="JA46">
        <v>0.00463155566490582</v>
      </c>
      <c r="JB46">
        <v>-1.1358998729424e-06</v>
      </c>
      <c r="JC46">
        <v>3.28704272115545e-10</v>
      </c>
      <c r="JD46">
        <v>-0.0704455108513773</v>
      </c>
      <c r="JE46">
        <v>-0.0251928478371425</v>
      </c>
      <c r="JF46">
        <v>0.00225751704194564</v>
      </c>
      <c r="JG46">
        <v>-3.61734043746866e-05</v>
      </c>
      <c r="JH46">
        <v>1</v>
      </c>
      <c r="JI46">
        <v>2182</v>
      </c>
      <c r="JJ46">
        <v>0</v>
      </c>
      <c r="JK46">
        <v>24</v>
      </c>
      <c r="JL46">
        <v>29349823.8</v>
      </c>
      <c r="JM46">
        <v>29349823.8</v>
      </c>
      <c r="JN46">
        <v>1.14258</v>
      </c>
      <c r="JO46">
        <v>2.63428</v>
      </c>
      <c r="JP46">
        <v>1.54785</v>
      </c>
      <c r="JQ46">
        <v>2.31445</v>
      </c>
      <c r="JR46">
        <v>1.64673</v>
      </c>
      <c r="JS46">
        <v>2.29614</v>
      </c>
      <c r="JT46">
        <v>33.5355</v>
      </c>
      <c r="JU46">
        <v>24.1838</v>
      </c>
      <c r="JV46">
        <v>18</v>
      </c>
      <c r="JW46">
        <v>500.305</v>
      </c>
      <c r="JX46">
        <v>394.322</v>
      </c>
      <c r="JY46">
        <v>12.3968</v>
      </c>
      <c r="JZ46">
        <v>23.9068</v>
      </c>
      <c r="KA46">
        <v>30.0001</v>
      </c>
      <c r="KB46">
        <v>23.925</v>
      </c>
      <c r="KC46">
        <v>23.8952</v>
      </c>
      <c r="KD46">
        <v>23.0081</v>
      </c>
      <c r="KE46">
        <v>0</v>
      </c>
      <c r="KF46">
        <v>23.7343</v>
      </c>
      <c r="KG46">
        <v>12.4035</v>
      </c>
      <c r="KH46">
        <v>507.95</v>
      </c>
      <c r="KI46">
        <v>9.13453</v>
      </c>
      <c r="KJ46">
        <v>97.0436</v>
      </c>
      <c r="KK46">
        <v>95.3011</v>
      </c>
    </row>
    <row r="47" spans="1:297">
      <c r="A47">
        <v>31</v>
      </c>
      <c r="B47">
        <v>1760989432.1</v>
      </c>
      <c r="C47">
        <v>242</v>
      </c>
      <c r="D47" t="s">
        <v>503</v>
      </c>
      <c r="E47" t="s">
        <v>504</v>
      </c>
      <c r="F47">
        <v>5</v>
      </c>
      <c r="G47" t="s">
        <v>435</v>
      </c>
      <c r="H47" t="s">
        <v>436</v>
      </c>
      <c r="I47">
        <v>1760989423.94615</v>
      </c>
      <c r="J47">
        <f>(K47)/1000</f>
        <v>0</v>
      </c>
      <c r="K47">
        <f>IF(DP47, AN47, AH47)</f>
        <v>0</v>
      </c>
      <c r="L47">
        <f>IF(DP47, AI47, AG47)</f>
        <v>0</v>
      </c>
      <c r="M47">
        <f>DR47 - IF(AU47&gt;1, L47*DL47*100.0/(AW47), 0)</f>
        <v>0</v>
      </c>
      <c r="N47">
        <f>((T47-J47/2)*M47-L47)/(T47+J47/2)</f>
        <v>0</v>
      </c>
      <c r="O47">
        <f>N47*(DY47+DZ47)/1000.0</f>
        <v>0</v>
      </c>
      <c r="P47">
        <f>(DR47 - IF(AU47&gt;1, L47*DL47*100.0/(AW47), 0))*(DY47+DZ47)/1000.0</f>
        <v>0</v>
      </c>
      <c r="Q47">
        <f>2.0/((1/S47-1/R47)+SIGN(S47)*SQRT((1/S47-1/R47)*(1/S47-1/R47) + 4*DM47/((DM47+1)*(DM47+1))*(2*1/S47*1/R47-1/R47*1/R47)))</f>
        <v>0</v>
      </c>
      <c r="R47">
        <f>IF(LEFT(DN47,1)&lt;&gt;"0",IF(LEFT(DN47,1)="1",3.0,DO47),$D$5+$E$5*(EF47*DY47/($K$5*1000))+$F$5*(EF47*DY47/($K$5*1000))*MAX(MIN(DL47,$J$5),$I$5)*MAX(MIN(DL47,$J$5),$I$5)+$G$5*MAX(MIN(DL47,$J$5),$I$5)*(EF47*DY47/($K$5*1000))+$H$5*(EF47*DY47/($K$5*1000))*(EF47*DY47/($K$5*1000)))</f>
        <v>0</v>
      </c>
      <c r="S47">
        <f>J47*(1000-(1000*0.61365*exp(17.502*W47/(240.97+W47))/(DY47+DZ47)+DT47)/2)/(1000*0.61365*exp(17.502*W47/(240.97+W47))/(DY47+DZ47)-DT47)</f>
        <v>0</v>
      </c>
      <c r="T47">
        <f>1/((DM47+1)/(Q47/1.6)+1/(R47/1.37)) + DM47/((DM47+1)/(Q47/1.6) + DM47/(R47/1.37))</f>
        <v>0</v>
      </c>
      <c r="U47">
        <f>(DH47*DK47)</f>
        <v>0</v>
      </c>
      <c r="V47">
        <f>(EA47+(U47+2*0.95*5.67E-8*(((EA47+$B$7)+273)^4-(EA47+273)^4)-44100*J47)/(1.84*29.3*R47+8*0.95*5.67E-8*(EA47+273)^3))</f>
        <v>0</v>
      </c>
      <c r="W47">
        <f>($C$7*EB47+$D$7*EC47+$E$7*V47)</f>
        <v>0</v>
      </c>
      <c r="X47">
        <f>0.61365*exp(17.502*W47/(240.97+W47))</f>
        <v>0</v>
      </c>
      <c r="Y47">
        <f>(Z47/AA47*100)</f>
        <v>0</v>
      </c>
      <c r="Z47">
        <f>DT47*(DY47+DZ47)/1000</f>
        <v>0</v>
      </c>
      <c r="AA47">
        <f>0.61365*exp(17.502*EA47/(240.97+EA47))</f>
        <v>0</v>
      </c>
      <c r="AB47">
        <f>(X47-DT47*(DY47+DZ47)/1000)</f>
        <v>0</v>
      </c>
      <c r="AC47">
        <f>(-J47*44100)</f>
        <v>0</v>
      </c>
      <c r="AD47">
        <f>2*29.3*R47*0.92*(EA47-W47)</f>
        <v>0</v>
      </c>
      <c r="AE47">
        <f>2*0.95*5.67E-8*(((EA47+$B$7)+273)^4-(W47+273)^4)</f>
        <v>0</v>
      </c>
      <c r="AF47">
        <f>U47+AE47+AC47+AD47</f>
        <v>0</v>
      </c>
      <c r="AG47">
        <f>DX47*AU47*(DS47-DR47*(1000-AU47*DU47)/(1000-AU47*DT47))/(100*DL47)</f>
        <v>0</v>
      </c>
      <c r="AH47">
        <f>1000*DX47*AU47*(DT47-DU47)/(100*DL47*(1000-AU47*DT47))</f>
        <v>0</v>
      </c>
      <c r="AI47">
        <f>(AJ47 - AK47 - DY47*1E3/(8.314*(EA47+273.15)) * AM47/DX47 * AL47) * DX47/(100*DL47) * (1000 - DU47)/1000</f>
        <v>0</v>
      </c>
      <c r="AJ47">
        <v>492.662155263252</v>
      </c>
      <c r="AK47">
        <v>466.318284848485</v>
      </c>
      <c r="AL47">
        <v>3.01771326814813</v>
      </c>
      <c r="AM47">
        <v>64.8413469339502</v>
      </c>
      <c r="AN47">
        <f>(AP47 - AO47 + DY47*1E3/(8.314*(EA47+273.15)) * AR47/DX47 * AQ47) * DX47/(100*DL47) * 1000/(1000 - AP47)</f>
        <v>0</v>
      </c>
      <c r="AO47">
        <v>9.19295210689934</v>
      </c>
      <c r="AP47">
        <v>11.8950909090909</v>
      </c>
      <c r="AQ47">
        <v>3.83684369770016e-06</v>
      </c>
      <c r="AR47">
        <v>118.472689631034</v>
      </c>
      <c r="AS47">
        <v>0</v>
      </c>
      <c r="AT47">
        <v>0</v>
      </c>
      <c r="AU47">
        <f>IF(AS47*$H$13&gt;=AW47,1.0,(AW47/(AW47-AS47*$H$13)))</f>
        <v>0</v>
      </c>
      <c r="AV47">
        <f>(AU47-1)*100</f>
        <v>0</v>
      </c>
      <c r="AW47">
        <f>MAX(0,($B$13+$C$13*EF47)/(1+$D$13*EF47)*DY47/(EA47+273)*$E$13)</f>
        <v>0</v>
      </c>
      <c r="AX47" t="s">
        <v>437</v>
      </c>
      <c r="AY47" t="s">
        <v>437</v>
      </c>
      <c r="AZ47">
        <v>0</v>
      </c>
      <c r="BA47">
        <v>0</v>
      </c>
      <c r="BB47">
        <f>1-AZ47/BA47</f>
        <v>0</v>
      </c>
      <c r="BC47">
        <v>0</v>
      </c>
      <c r="BD47" t="s">
        <v>437</v>
      </c>
      <c r="BE47" t="s">
        <v>437</v>
      </c>
      <c r="BF47">
        <v>0</v>
      </c>
      <c r="BG47">
        <v>0</v>
      </c>
      <c r="BH47">
        <f>1-BF47/BG47</f>
        <v>0</v>
      </c>
      <c r="BI47">
        <v>0.5</v>
      </c>
      <c r="BJ47">
        <f>DI47</f>
        <v>0</v>
      </c>
      <c r="BK47">
        <f>L47</f>
        <v>0</v>
      </c>
      <c r="BL47">
        <f>BH47*BI47*BJ47</f>
        <v>0</v>
      </c>
      <c r="BM47">
        <f>(BK47-BC47)/BJ47</f>
        <v>0</v>
      </c>
      <c r="BN47">
        <f>(BA47-BG47)/BG47</f>
        <v>0</v>
      </c>
      <c r="BO47">
        <f>AZ47/(BB47+AZ47/BG47)</f>
        <v>0</v>
      </c>
      <c r="BP47" t="s">
        <v>437</v>
      </c>
      <c r="BQ47">
        <v>0</v>
      </c>
      <c r="BR47">
        <f>IF(BQ47&lt;&gt;0, BQ47, BO47)</f>
        <v>0</v>
      </c>
      <c r="BS47">
        <f>1-BR47/BG47</f>
        <v>0</v>
      </c>
      <c r="BT47">
        <f>(BG47-BF47)/(BG47-BR47)</f>
        <v>0</v>
      </c>
      <c r="BU47">
        <f>(BA47-BG47)/(BA47-BR47)</f>
        <v>0</v>
      </c>
      <c r="BV47">
        <f>(BG47-BF47)/(BG47-AZ47)</f>
        <v>0</v>
      </c>
      <c r="BW47">
        <f>(BA47-BG47)/(BA47-AZ47)</f>
        <v>0</v>
      </c>
      <c r="BX47">
        <f>(BT47*BR47/BF47)</f>
        <v>0</v>
      </c>
      <c r="BY47">
        <f>(1-BX47)</f>
        <v>0</v>
      </c>
      <c r="DH47">
        <f>$B$11*EG47+$C$11*EH47+$F$11*ES47*(1-EV47)</f>
        <v>0</v>
      </c>
      <c r="DI47">
        <f>DH47*DJ47</f>
        <v>0</v>
      </c>
      <c r="DJ47">
        <f>($B$11*$D$9+$C$11*$D$9+$F$11*((FF47+EX47)/MAX(FF47+EX47+FG47, 0.1)*$I$9+FG47/MAX(FF47+EX47+FG47, 0.1)*$J$9))/($B$11+$C$11+$F$11)</f>
        <v>0</v>
      </c>
      <c r="DK47">
        <f>($B$11*$K$9+$C$11*$K$9+$F$11*((FF47+EX47)/MAX(FF47+EX47+FG47, 0.1)*$P$9+FG47/MAX(FF47+EX47+FG47, 0.1)*$Q$9))/($B$11+$C$11+$F$11)</f>
        <v>0</v>
      </c>
      <c r="DL47">
        <v>6</v>
      </c>
      <c r="DM47">
        <v>0.5</v>
      </c>
      <c r="DN47" t="s">
        <v>438</v>
      </c>
      <c r="DO47">
        <v>2</v>
      </c>
      <c r="DP47" t="b">
        <v>1</v>
      </c>
      <c r="DQ47">
        <v>1760989423.94615</v>
      </c>
      <c r="DR47">
        <v>439.904384615385</v>
      </c>
      <c r="DS47">
        <v>473.357461538462</v>
      </c>
      <c r="DT47">
        <v>11.8888</v>
      </c>
      <c r="DU47">
        <v>9.18933307692308</v>
      </c>
      <c r="DV47">
        <v>436.945769230769</v>
      </c>
      <c r="DW47">
        <v>11.9990076923077</v>
      </c>
      <c r="DX47">
        <v>500.037769230769</v>
      </c>
      <c r="DY47">
        <v>89.8729461538461</v>
      </c>
      <c r="DZ47">
        <v>0.00754774</v>
      </c>
      <c r="EA47">
        <v>18.3879615384615</v>
      </c>
      <c r="EB47">
        <v>17.9896538461538</v>
      </c>
      <c r="EC47">
        <v>999.9</v>
      </c>
      <c r="ED47">
        <v>0</v>
      </c>
      <c r="EE47">
        <v>0</v>
      </c>
      <c r="EF47">
        <v>10016.06</v>
      </c>
      <c r="EG47">
        <v>0</v>
      </c>
      <c r="EH47">
        <v>1270.08692307692</v>
      </c>
      <c r="EI47">
        <v>-33.4529692307692</v>
      </c>
      <c r="EJ47">
        <v>445.197307692308</v>
      </c>
      <c r="EK47">
        <v>477.747615384615</v>
      </c>
      <c r="EL47">
        <v>2.69948307692308</v>
      </c>
      <c r="EM47">
        <v>473.357461538462</v>
      </c>
      <c r="EN47">
        <v>9.18933307692308</v>
      </c>
      <c r="EO47">
        <v>1.06848307692308</v>
      </c>
      <c r="EP47">
        <v>0.825872538461538</v>
      </c>
      <c r="EQ47">
        <v>7.88525230769231</v>
      </c>
      <c r="ER47">
        <v>4.15994692307692</v>
      </c>
      <c r="ES47">
        <v>1199.92538461538</v>
      </c>
      <c r="ET47">
        <v>0.966988384615384</v>
      </c>
      <c r="EU47">
        <v>0.0330117307692308</v>
      </c>
      <c r="EV47">
        <v>0</v>
      </c>
      <c r="EW47">
        <v>1327.03</v>
      </c>
      <c r="EX47">
        <v>5.00059</v>
      </c>
      <c r="EY47">
        <v>15554.2153846154</v>
      </c>
      <c r="EZ47">
        <v>10358.0307692308</v>
      </c>
      <c r="FA47">
        <v>36.4564615384615</v>
      </c>
      <c r="FB47">
        <v>38.144</v>
      </c>
      <c r="FC47">
        <v>36.9996923076923</v>
      </c>
      <c r="FD47">
        <v>37.2544615384615</v>
      </c>
      <c r="FE47">
        <v>37.3458461538462</v>
      </c>
      <c r="FF47">
        <v>1155.47538461538</v>
      </c>
      <c r="FG47">
        <v>39.45</v>
      </c>
      <c r="FH47">
        <v>0</v>
      </c>
      <c r="FI47">
        <v>1760989401.1</v>
      </c>
      <c r="FJ47">
        <v>0</v>
      </c>
      <c r="FK47">
        <v>1327.17307692308</v>
      </c>
      <c r="FL47">
        <v>14.6283760714486</v>
      </c>
      <c r="FM47">
        <v>140.088889062637</v>
      </c>
      <c r="FN47">
        <v>15556.3384615385</v>
      </c>
      <c r="FO47">
        <v>15</v>
      </c>
      <c r="FP47">
        <v>0</v>
      </c>
      <c r="FQ47" t="s">
        <v>439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-31.79151</v>
      </c>
      <c r="GD47">
        <v>-33.1478887218046</v>
      </c>
      <c r="GE47">
        <v>3.49526324171728</v>
      </c>
      <c r="GF47">
        <v>0</v>
      </c>
      <c r="GG47">
        <v>1326.34235294118</v>
      </c>
      <c r="GH47">
        <v>16.0140565316203</v>
      </c>
      <c r="GI47">
        <v>1.59287209859778</v>
      </c>
      <c r="GJ47">
        <v>-1</v>
      </c>
      <c r="GK47">
        <v>2.698896</v>
      </c>
      <c r="GL47">
        <v>0.0177834586466196</v>
      </c>
      <c r="GM47">
        <v>0.00187083510764578</v>
      </c>
      <c r="GN47">
        <v>1</v>
      </c>
      <c r="GO47">
        <v>1</v>
      </c>
      <c r="GP47">
        <v>2</v>
      </c>
      <c r="GQ47" t="s">
        <v>446</v>
      </c>
      <c r="GR47">
        <v>3.13081</v>
      </c>
      <c r="GS47">
        <v>2.68533</v>
      </c>
      <c r="GT47">
        <v>0.096669</v>
      </c>
      <c r="GU47">
        <v>0.102835</v>
      </c>
      <c r="GV47">
        <v>0.0620466</v>
      </c>
      <c r="GW47">
        <v>0.05068</v>
      </c>
      <c r="GX47">
        <v>34235.2</v>
      </c>
      <c r="GY47">
        <v>36534.9</v>
      </c>
      <c r="GZ47">
        <v>34266.5</v>
      </c>
      <c r="HA47">
        <v>36848.1</v>
      </c>
      <c r="HB47">
        <v>45335.3</v>
      </c>
      <c r="HC47">
        <v>50160.9</v>
      </c>
      <c r="HD47">
        <v>53340.6</v>
      </c>
      <c r="HE47">
        <v>58774.7</v>
      </c>
      <c r="HF47">
        <v>2.00853</v>
      </c>
      <c r="HG47">
        <v>1.83713</v>
      </c>
      <c r="HH47">
        <v>0.0327304</v>
      </c>
      <c r="HI47">
        <v>0</v>
      </c>
      <c r="HJ47">
        <v>17.4396</v>
      </c>
      <c r="HK47">
        <v>999.9</v>
      </c>
      <c r="HL47">
        <v>26.01</v>
      </c>
      <c r="HM47">
        <v>30.273</v>
      </c>
      <c r="HN47">
        <v>12.526</v>
      </c>
      <c r="HO47">
        <v>54.2191</v>
      </c>
      <c r="HP47">
        <v>44.1186</v>
      </c>
      <c r="HQ47">
        <v>1</v>
      </c>
      <c r="HR47">
        <v>-0.26968</v>
      </c>
      <c r="HS47">
        <v>3.87094</v>
      </c>
      <c r="HT47">
        <v>20.0938</v>
      </c>
      <c r="HU47">
        <v>5.20202</v>
      </c>
      <c r="HV47">
        <v>12.004</v>
      </c>
      <c r="HW47">
        <v>4.9757</v>
      </c>
      <c r="HX47">
        <v>3.29295</v>
      </c>
      <c r="HY47">
        <v>9999</v>
      </c>
      <c r="HZ47">
        <v>999.9</v>
      </c>
      <c r="IA47">
        <v>9999</v>
      </c>
      <c r="IB47">
        <v>9999</v>
      </c>
      <c r="IC47">
        <v>1.86325</v>
      </c>
      <c r="ID47">
        <v>1.86808</v>
      </c>
      <c r="IE47">
        <v>1.86783</v>
      </c>
      <c r="IF47">
        <v>1.86905</v>
      </c>
      <c r="IG47">
        <v>1.86981</v>
      </c>
      <c r="IH47">
        <v>1.86586</v>
      </c>
      <c r="II47">
        <v>1.86697</v>
      </c>
      <c r="IJ47">
        <v>1.86842</v>
      </c>
      <c r="IK47">
        <v>5</v>
      </c>
      <c r="IL47">
        <v>0</v>
      </c>
      <c r="IM47">
        <v>0</v>
      </c>
      <c r="IN47">
        <v>0</v>
      </c>
      <c r="IO47" t="s">
        <v>441</v>
      </c>
      <c r="IP47" t="s">
        <v>442</v>
      </c>
      <c r="IQ47" t="s">
        <v>443</v>
      </c>
      <c r="IR47" t="s">
        <v>443</v>
      </c>
      <c r="IS47" t="s">
        <v>443</v>
      </c>
      <c r="IT47" t="s">
        <v>443</v>
      </c>
      <c r="IU47">
        <v>0</v>
      </c>
      <c r="IV47">
        <v>100</v>
      </c>
      <c r="IW47">
        <v>100</v>
      </c>
      <c r="IX47">
        <v>3.05</v>
      </c>
      <c r="IY47">
        <v>-0.1101</v>
      </c>
      <c r="IZ47">
        <v>1.12474291219083</v>
      </c>
      <c r="JA47">
        <v>0.00463155566490582</v>
      </c>
      <c r="JB47">
        <v>-1.1358998729424e-06</v>
      </c>
      <c r="JC47">
        <v>3.28704272115545e-10</v>
      </c>
      <c r="JD47">
        <v>-0.0704455108513773</v>
      </c>
      <c r="JE47">
        <v>-0.0251928478371425</v>
      </c>
      <c r="JF47">
        <v>0.00225751704194564</v>
      </c>
      <c r="JG47">
        <v>-3.61734043746866e-05</v>
      </c>
      <c r="JH47">
        <v>1</v>
      </c>
      <c r="JI47">
        <v>2182</v>
      </c>
      <c r="JJ47">
        <v>0</v>
      </c>
      <c r="JK47">
        <v>24</v>
      </c>
      <c r="JL47">
        <v>29349823.9</v>
      </c>
      <c r="JM47">
        <v>29349823.9</v>
      </c>
      <c r="JN47">
        <v>1.17676</v>
      </c>
      <c r="JO47">
        <v>2.63306</v>
      </c>
      <c r="JP47">
        <v>1.54785</v>
      </c>
      <c r="JQ47">
        <v>2.31445</v>
      </c>
      <c r="JR47">
        <v>1.64551</v>
      </c>
      <c r="JS47">
        <v>2.32422</v>
      </c>
      <c r="JT47">
        <v>33.5355</v>
      </c>
      <c r="JU47">
        <v>24.1838</v>
      </c>
      <c r="JV47">
        <v>18</v>
      </c>
      <c r="JW47">
        <v>500.545</v>
      </c>
      <c r="JX47">
        <v>394.164</v>
      </c>
      <c r="JY47">
        <v>12.4039</v>
      </c>
      <c r="JZ47">
        <v>23.9068</v>
      </c>
      <c r="KA47">
        <v>30.0002</v>
      </c>
      <c r="KB47">
        <v>23.925</v>
      </c>
      <c r="KC47">
        <v>23.8952</v>
      </c>
      <c r="KD47">
        <v>23.6349</v>
      </c>
      <c r="KE47">
        <v>0.29232</v>
      </c>
      <c r="KF47">
        <v>23.7343</v>
      </c>
      <c r="KG47">
        <v>12.4122</v>
      </c>
      <c r="KH47">
        <v>521.453</v>
      </c>
      <c r="KI47">
        <v>9.11172</v>
      </c>
      <c r="KJ47">
        <v>97.0436</v>
      </c>
      <c r="KK47">
        <v>95.3006</v>
      </c>
    </row>
    <row r="48" spans="1:297">
      <c r="A48">
        <v>32</v>
      </c>
      <c r="B48">
        <v>1760989437.1</v>
      </c>
      <c r="C48">
        <v>247</v>
      </c>
      <c r="D48" t="s">
        <v>505</v>
      </c>
      <c r="E48" t="s">
        <v>506</v>
      </c>
      <c r="F48">
        <v>5</v>
      </c>
      <c r="G48" t="s">
        <v>435</v>
      </c>
      <c r="H48" t="s">
        <v>436</v>
      </c>
      <c r="I48">
        <v>1760989428.94615</v>
      </c>
      <c r="J48">
        <f>(K48)/1000</f>
        <v>0</v>
      </c>
      <c r="K48">
        <f>IF(DP48, AN48, AH48)</f>
        <v>0</v>
      </c>
      <c r="L48">
        <f>IF(DP48, AI48, AG48)</f>
        <v>0</v>
      </c>
      <c r="M48">
        <f>DR48 - IF(AU48&gt;1, L48*DL48*100.0/(AW48), 0)</f>
        <v>0</v>
      </c>
      <c r="N48">
        <f>((T48-J48/2)*M48-L48)/(T48+J48/2)</f>
        <v>0</v>
      </c>
      <c r="O48">
        <f>N48*(DY48+DZ48)/1000.0</f>
        <v>0</v>
      </c>
      <c r="P48">
        <f>(DR48 - IF(AU48&gt;1, L48*DL48*100.0/(AW48), 0))*(DY48+DZ48)/1000.0</f>
        <v>0</v>
      </c>
      <c r="Q48">
        <f>2.0/((1/S48-1/R48)+SIGN(S48)*SQRT((1/S48-1/R48)*(1/S48-1/R48) + 4*DM48/((DM48+1)*(DM48+1))*(2*1/S48*1/R48-1/R48*1/R48)))</f>
        <v>0</v>
      </c>
      <c r="R48">
        <f>IF(LEFT(DN48,1)&lt;&gt;"0",IF(LEFT(DN48,1)="1",3.0,DO48),$D$5+$E$5*(EF48*DY48/($K$5*1000))+$F$5*(EF48*DY48/($K$5*1000))*MAX(MIN(DL48,$J$5),$I$5)*MAX(MIN(DL48,$J$5),$I$5)+$G$5*MAX(MIN(DL48,$J$5),$I$5)*(EF48*DY48/($K$5*1000))+$H$5*(EF48*DY48/($K$5*1000))*(EF48*DY48/($K$5*1000)))</f>
        <v>0</v>
      </c>
      <c r="S48">
        <f>J48*(1000-(1000*0.61365*exp(17.502*W48/(240.97+W48))/(DY48+DZ48)+DT48)/2)/(1000*0.61365*exp(17.502*W48/(240.97+W48))/(DY48+DZ48)-DT48)</f>
        <v>0</v>
      </c>
      <c r="T48">
        <f>1/((DM48+1)/(Q48/1.6)+1/(R48/1.37)) + DM48/((DM48+1)/(Q48/1.6) + DM48/(R48/1.37))</f>
        <v>0</v>
      </c>
      <c r="U48">
        <f>(DH48*DK48)</f>
        <v>0</v>
      </c>
      <c r="V48">
        <f>(EA48+(U48+2*0.95*5.67E-8*(((EA48+$B$7)+273)^4-(EA48+273)^4)-44100*J48)/(1.84*29.3*R48+8*0.95*5.67E-8*(EA48+273)^3))</f>
        <v>0</v>
      </c>
      <c r="W48">
        <f>($C$7*EB48+$D$7*EC48+$E$7*V48)</f>
        <v>0</v>
      </c>
      <c r="X48">
        <f>0.61365*exp(17.502*W48/(240.97+W48))</f>
        <v>0</v>
      </c>
      <c r="Y48">
        <f>(Z48/AA48*100)</f>
        <v>0</v>
      </c>
      <c r="Z48">
        <f>DT48*(DY48+DZ48)/1000</f>
        <v>0</v>
      </c>
      <c r="AA48">
        <f>0.61365*exp(17.502*EA48/(240.97+EA48))</f>
        <v>0</v>
      </c>
      <c r="AB48">
        <f>(X48-DT48*(DY48+DZ48)/1000)</f>
        <v>0</v>
      </c>
      <c r="AC48">
        <f>(-J48*44100)</f>
        <v>0</v>
      </c>
      <c r="AD48">
        <f>2*29.3*R48*0.92*(EA48-W48)</f>
        <v>0</v>
      </c>
      <c r="AE48">
        <f>2*0.95*5.67E-8*(((EA48+$B$7)+273)^4-(W48+273)^4)</f>
        <v>0</v>
      </c>
      <c r="AF48">
        <f>U48+AE48+AC48+AD48</f>
        <v>0</v>
      </c>
      <c r="AG48">
        <f>DX48*AU48*(DS48-DR48*(1000-AU48*DU48)/(1000-AU48*DT48))/(100*DL48)</f>
        <v>0</v>
      </c>
      <c r="AH48">
        <f>1000*DX48*AU48*(DT48-DU48)/(100*DL48*(1000-AU48*DT48))</f>
        <v>0</v>
      </c>
      <c r="AI48">
        <f>(AJ48 - AK48 - DY48*1E3/(8.314*(EA48+273.15)) * AM48/DX48 * AL48) * DX48/(100*DL48) * (1000 - DU48)/1000</f>
        <v>0</v>
      </c>
      <c r="AJ48">
        <v>510.538449731937</v>
      </c>
      <c r="AK48">
        <v>482.811163636363</v>
      </c>
      <c r="AL48">
        <v>3.33260103628412</v>
      </c>
      <c r="AM48">
        <v>64.8413469339502</v>
      </c>
      <c r="AN48">
        <f>(AP48 - AO48 + DY48*1E3/(8.314*(EA48+273.15)) * AR48/DX48 * AQ48) * DX48/(100*DL48) * 1000/(1000 - AP48)</f>
        <v>0</v>
      </c>
      <c r="AO48">
        <v>9.19524313706776</v>
      </c>
      <c r="AP48">
        <v>11.8981018181818</v>
      </c>
      <c r="AQ48">
        <v>1.68625234016297e-06</v>
      </c>
      <c r="AR48">
        <v>118.472689631034</v>
      </c>
      <c r="AS48">
        <v>0</v>
      </c>
      <c r="AT48">
        <v>0</v>
      </c>
      <c r="AU48">
        <f>IF(AS48*$H$13&gt;=AW48,1.0,(AW48/(AW48-AS48*$H$13)))</f>
        <v>0</v>
      </c>
      <c r="AV48">
        <f>(AU48-1)*100</f>
        <v>0</v>
      </c>
      <c r="AW48">
        <f>MAX(0,($B$13+$C$13*EF48)/(1+$D$13*EF48)*DY48/(EA48+273)*$E$13)</f>
        <v>0</v>
      </c>
      <c r="AX48" t="s">
        <v>437</v>
      </c>
      <c r="AY48" t="s">
        <v>437</v>
      </c>
      <c r="AZ48">
        <v>0</v>
      </c>
      <c r="BA48">
        <v>0</v>
      </c>
      <c r="BB48">
        <f>1-AZ48/BA48</f>
        <v>0</v>
      </c>
      <c r="BC48">
        <v>0</v>
      </c>
      <c r="BD48" t="s">
        <v>437</v>
      </c>
      <c r="BE48" t="s">
        <v>437</v>
      </c>
      <c r="BF48">
        <v>0</v>
      </c>
      <c r="BG48">
        <v>0</v>
      </c>
      <c r="BH48">
        <f>1-BF48/BG48</f>
        <v>0</v>
      </c>
      <c r="BI48">
        <v>0.5</v>
      </c>
      <c r="BJ48">
        <f>DI48</f>
        <v>0</v>
      </c>
      <c r="BK48">
        <f>L48</f>
        <v>0</v>
      </c>
      <c r="BL48">
        <f>BH48*BI48*BJ48</f>
        <v>0</v>
      </c>
      <c r="BM48">
        <f>(BK48-BC48)/BJ48</f>
        <v>0</v>
      </c>
      <c r="BN48">
        <f>(BA48-BG48)/BG48</f>
        <v>0</v>
      </c>
      <c r="BO48">
        <f>AZ48/(BB48+AZ48/BG48)</f>
        <v>0</v>
      </c>
      <c r="BP48" t="s">
        <v>437</v>
      </c>
      <c r="BQ48">
        <v>0</v>
      </c>
      <c r="BR48">
        <f>IF(BQ48&lt;&gt;0, BQ48, BO48)</f>
        <v>0</v>
      </c>
      <c r="BS48">
        <f>1-BR48/BG48</f>
        <v>0</v>
      </c>
      <c r="BT48">
        <f>(BG48-BF48)/(BG48-BR48)</f>
        <v>0</v>
      </c>
      <c r="BU48">
        <f>(BA48-BG48)/(BA48-BR48)</f>
        <v>0</v>
      </c>
      <c r="BV48">
        <f>(BG48-BF48)/(BG48-AZ48)</f>
        <v>0</v>
      </c>
      <c r="BW48">
        <f>(BA48-BG48)/(BA48-AZ48)</f>
        <v>0</v>
      </c>
      <c r="BX48">
        <f>(BT48*BR48/BF48)</f>
        <v>0</v>
      </c>
      <c r="BY48">
        <f>(1-BX48)</f>
        <v>0</v>
      </c>
      <c r="DH48">
        <f>$B$11*EG48+$C$11*EH48+$F$11*ES48*(1-EV48)</f>
        <v>0</v>
      </c>
      <c r="DI48">
        <f>DH48*DJ48</f>
        <v>0</v>
      </c>
      <c r="DJ48">
        <f>($B$11*$D$9+$C$11*$D$9+$F$11*((FF48+EX48)/MAX(FF48+EX48+FG48, 0.1)*$I$9+FG48/MAX(FF48+EX48+FG48, 0.1)*$J$9))/($B$11+$C$11+$F$11)</f>
        <v>0</v>
      </c>
      <c r="DK48">
        <f>($B$11*$K$9+$C$11*$K$9+$F$11*((FF48+EX48)/MAX(FF48+EX48+FG48, 0.1)*$P$9+FG48/MAX(FF48+EX48+FG48, 0.1)*$Q$9))/($B$11+$C$11+$F$11)</f>
        <v>0</v>
      </c>
      <c r="DL48">
        <v>6</v>
      </c>
      <c r="DM48">
        <v>0.5</v>
      </c>
      <c r="DN48" t="s">
        <v>438</v>
      </c>
      <c r="DO48">
        <v>2</v>
      </c>
      <c r="DP48" t="b">
        <v>1</v>
      </c>
      <c r="DQ48">
        <v>1760989428.94615</v>
      </c>
      <c r="DR48">
        <v>454.659230769231</v>
      </c>
      <c r="DS48">
        <v>489.889230769231</v>
      </c>
      <c r="DT48">
        <v>11.8931076923077</v>
      </c>
      <c r="DU48">
        <v>9.19193153846154</v>
      </c>
      <c r="DV48">
        <v>451.644307692308</v>
      </c>
      <c r="DW48">
        <v>12.0032692307692</v>
      </c>
      <c r="DX48">
        <v>500.018307692308</v>
      </c>
      <c r="DY48">
        <v>89.8726538461538</v>
      </c>
      <c r="DZ48">
        <v>0.00752846615384615</v>
      </c>
      <c r="EA48">
        <v>18.3870076923077</v>
      </c>
      <c r="EB48">
        <v>17.9870846153846</v>
      </c>
      <c r="EC48">
        <v>999.9</v>
      </c>
      <c r="ED48">
        <v>0</v>
      </c>
      <c r="EE48">
        <v>0</v>
      </c>
      <c r="EF48">
        <v>10008.7523076923</v>
      </c>
      <c r="EG48">
        <v>0</v>
      </c>
      <c r="EH48">
        <v>1270.08307692308</v>
      </c>
      <c r="EI48">
        <v>-35.2299538461538</v>
      </c>
      <c r="EJ48">
        <v>460.131615384615</v>
      </c>
      <c r="EK48">
        <v>494.434</v>
      </c>
      <c r="EL48">
        <v>2.70119769230769</v>
      </c>
      <c r="EM48">
        <v>489.889230769231</v>
      </c>
      <c r="EN48">
        <v>9.19193153846154</v>
      </c>
      <c r="EO48">
        <v>1.06886769230769</v>
      </c>
      <c r="EP48">
        <v>0.826103230769231</v>
      </c>
      <c r="EQ48">
        <v>7.89053</v>
      </c>
      <c r="ER48">
        <v>4.16392923076923</v>
      </c>
      <c r="ES48">
        <v>1199.94461538462</v>
      </c>
      <c r="ET48">
        <v>0.966988384615384</v>
      </c>
      <c r="EU48">
        <v>0.0330117307692308</v>
      </c>
      <c r="EV48">
        <v>0</v>
      </c>
      <c r="EW48">
        <v>1328.27</v>
      </c>
      <c r="EX48">
        <v>5.00059</v>
      </c>
      <c r="EY48">
        <v>15566.2</v>
      </c>
      <c r="EZ48">
        <v>10358.2076923077</v>
      </c>
      <c r="FA48">
        <v>36.4131538461538</v>
      </c>
      <c r="FB48">
        <v>38.1055384615385</v>
      </c>
      <c r="FC48">
        <v>36.9469230769231</v>
      </c>
      <c r="FD48">
        <v>37.2112307692308</v>
      </c>
      <c r="FE48">
        <v>37.3026153846154</v>
      </c>
      <c r="FF48">
        <v>1155.49461538462</v>
      </c>
      <c r="FG48">
        <v>39.45</v>
      </c>
      <c r="FH48">
        <v>0</v>
      </c>
      <c r="FI48">
        <v>1760989406.5</v>
      </c>
      <c r="FJ48">
        <v>0</v>
      </c>
      <c r="FK48">
        <v>1328.5904</v>
      </c>
      <c r="FL48">
        <v>14.3223076791527</v>
      </c>
      <c r="FM48">
        <v>130.13076913371</v>
      </c>
      <c r="FN48">
        <v>15569.216</v>
      </c>
      <c r="FO48">
        <v>15</v>
      </c>
      <c r="FP48">
        <v>0</v>
      </c>
      <c r="FQ48" t="s">
        <v>439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-34.208480952381</v>
      </c>
      <c r="GD48">
        <v>-20.5346805194806</v>
      </c>
      <c r="GE48">
        <v>2.13645460197587</v>
      </c>
      <c r="GF48">
        <v>0</v>
      </c>
      <c r="GG48">
        <v>1327.60911764706</v>
      </c>
      <c r="GH48">
        <v>14.8747135261149</v>
      </c>
      <c r="GI48">
        <v>1.4810913457294</v>
      </c>
      <c r="GJ48">
        <v>-1</v>
      </c>
      <c r="GK48">
        <v>2.70009904761905</v>
      </c>
      <c r="GL48">
        <v>0.020132727272729</v>
      </c>
      <c r="GM48">
        <v>0.00210430150103459</v>
      </c>
      <c r="GN48">
        <v>1</v>
      </c>
      <c r="GO48">
        <v>1</v>
      </c>
      <c r="GP48">
        <v>2</v>
      </c>
      <c r="GQ48" t="s">
        <v>446</v>
      </c>
      <c r="GR48">
        <v>3.13074</v>
      </c>
      <c r="GS48">
        <v>2.68555</v>
      </c>
      <c r="GT48">
        <v>0.0992153</v>
      </c>
      <c r="GU48">
        <v>0.105325</v>
      </c>
      <c r="GV48">
        <v>0.0620555</v>
      </c>
      <c r="GW48">
        <v>0.0506873</v>
      </c>
      <c r="GX48">
        <v>34138.9</v>
      </c>
      <c r="GY48">
        <v>36433.7</v>
      </c>
      <c r="GZ48">
        <v>34266.6</v>
      </c>
      <c r="HA48">
        <v>36848.2</v>
      </c>
      <c r="HB48">
        <v>45335</v>
      </c>
      <c r="HC48">
        <v>50161</v>
      </c>
      <c r="HD48">
        <v>53340.5</v>
      </c>
      <c r="HE48">
        <v>58774.8</v>
      </c>
      <c r="HF48">
        <v>2.00865</v>
      </c>
      <c r="HG48">
        <v>1.8377</v>
      </c>
      <c r="HH48">
        <v>0.0325702</v>
      </c>
      <c r="HI48">
        <v>0</v>
      </c>
      <c r="HJ48">
        <v>17.4405</v>
      </c>
      <c r="HK48">
        <v>999.9</v>
      </c>
      <c r="HL48">
        <v>26.01</v>
      </c>
      <c r="HM48">
        <v>30.273</v>
      </c>
      <c r="HN48">
        <v>12.524</v>
      </c>
      <c r="HO48">
        <v>54.4991</v>
      </c>
      <c r="HP48">
        <v>44.1466</v>
      </c>
      <c r="HQ48">
        <v>1</v>
      </c>
      <c r="HR48">
        <v>-0.269657</v>
      </c>
      <c r="HS48">
        <v>3.86761</v>
      </c>
      <c r="HT48">
        <v>20.0939</v>
      </c>
      <c r="HU48">
        <v>5.19962</v>
      </c>
      <c r="HV48">
        <v>12.004</v>
      </c>
      <c r="HW48">
        <v>4.9755</v>
      </c>
      <c r="HX48">
        <v>3.29298</v>
      </c>
      <c r="HY48">
        <v>9999</v>
      </c>
      <c r="HZ48">
        <v>999.9</v>
      </c>
      <c r="IA48">
        <v>9999</v>
      </c>
      <c r="IB48">
        <v>9999</v>
      </c>
      <c r="IC48">
        <v>1.86325</v>
      </c>
      <c r="ID48">
        <v>1.86806</v>
      </c>
      <c r="IE48">
        <v>1.86783</v>
      </c>
      <c r="IF48">
        <v>1.86905</v>
      </c>
      <c r="IG48">
        <v>1.86981</v>
      </c>
      <c r="IH48">
        <v>1.86585</v>
      </c>
      <c r="II48">
        <v>1.86697</v>
      </c>
      <c r="IJ48">
        <v>1.8684</v>
      </c>
      <c r="IK48">
        <v>5</v>
      </c>
      <c r="IL48">
        <v>0</v>
      </c>
      <c r="IM48">
        <v>0</v>
      </c>
      <c r="IN48">
        <v>0</v>
      </c>
      <c r="IO48" t="s">
        <v>441</v>
      </c>
      <c r="IP48" t="s">
        <v>442</v>
      </c>
      <c r="IQ48" t="s">
        <v>443</v>
      </c>
      <c r="IR48" t="s">
        <v>443</v>
      </c>
      <c r="IS48" t="s">
        <v>443</v>
      </c>
      <c r="IT48" t="s">
        <v>443</v>
      </c>
      <c r="IU48">
        <v>0</v>
      </c>
      <c r="IV48">
        <v>100</v>
      </c>
      <c r="IW48">
        <v>100</v>
      </c>
      <c r="IX48">
        <v>3.112</v>
      </c>
      <c r="IY48">
        <v>-0.1101</v>
      </c>
      <c r="IZ48">
        <v>1.12474291219083</v>
      </c>
      <c r="JA48">
        <v>0.00463155566490582</v>
      </c>
      <c r="JB48">
        <v>-1.1358998729424e-06</v>
      </c>
      <c r="JC48">
        <v>3.28704272115545e-10</v>
      </c>
      <c r="JD48">
        <v>-0.0704455108513773</v>
      </c>
      <c r="JE48">
        <v>-0.0251928478371425</v>
      </c>
      <c r="JF48">
        <v>0.00225751704194564</v>
      </c>
      <c r="JG48">
        <v>-3.61734043746866e-05</v>
      </c>
      <c r="JH48">
        <v>1</v>
      </c>
      <c r="JI48">
        <v>2182</v>
      </c>
      <c r="JJ48">
        <v>0</v>
      </c>
      <c r="JK48">
        <v>24</v>
      </c>
      <c r="JL48">
        <v>29349824</v>
      </c>
      <c r="JM48">
        <v>29349824</v>
      </c>
      <c r="JN48">
        <v>1.20361</v>
      </c>
      <c r="JO48">
        <v>2.62695</v>
      </c>
      <c r="JP48">
        <v>1.54785</v>
      </c>
      <c r="JQ48">
        <v>2.31445</v>
      </c>
      <c r="JR48">
        <v>1.64673</v>
      </c>
      <c r="JS48">
        <v>2.33765</v>
      </c>
      <c r="JT48">
        <v>33.5355</v>
      </c>
      <c r="JU48">
        <v>24.1838</v>
      </c>
      <c r="JV48">
        <v>18</v>
      </c>
      <c r="JW48">
        <v>500.625</v>
      </c>
      <c r="JX48">
        <v>394.467</v>
      </c>
      <c r="JY48">
        <v>12.4125</v>
      </c>
      <c r="JZ48">
        <v>23.9068</v>
      </c>
      <c r="KA48">
        <v>30</v>
      </c>
      <c r="KB48">
        <v>23.925</v>
      </c>
      <c r="KC48">
        <v>23.8952</v>
      </c>
      <c r="KD48">
        <v>24.2484</v>
      </c>
      <c r="KE48">
        <v>0.599655</v>
      </c>
      <c r="KF48">
        <v>23.7343</v>
      </c>
      <c r="KG48">
        <v>12.4234</v>
      </c>
      <c r="KH48">
        <v>541.65</v>
      </c>
      <c r="KI48">
        <v>9.09096</v>
      </c>
      <c r="KJ48">
        <v>97.0436</v>
      </c>
      <c r="KK48">
        <v>95.301</v>
      </c>
    </row>
    <row r="49" spans="1:297">
      <c r="A49">
        <v>33</v>
      </c>
      <c r="B49">
        <v>1760989442.1</v>
      </c>
      <c r="C49">
        <v>252</v>
      </c>
      <c r="D49" t="s">
        <v>507</v>
      </c>
      <c r="E49" t="s">
        <v>508</v>
      </c>
      <c r="F49">
        <v>5</v>
      </c>
      <c r="G49" t="s">
        <v>435</v>
      </c>
      <c r="H49" t="s">
        <v>436</v>
      </c>
      <c r="I49">
        <v>1760989433.94615</v>
      </c>
      <c r="J49">
        <f>(K49)/1000</f>
        <v>0</v>
      </c>
      <c r="K49">
        <f>IF(DP49, AN49, AH49)</f>
        <v>0</v>
      </c>
      <c r="L49">
        <f>IF(DP49, AI49, AG49)</f>
        <v>0</v>
      </c>
      <c r="M49">
        <f>DR49 - IF(AU49&gt;1, L49*DL49*100.0/(AW49), 0)</f>
        <v>0</v>
      </c>
      <c r="N49">
        <f>((T49-J49/2)*M49-L49)/(T49+J49/2)</f>
        <v>0</v>
      </c>
      <c r="O49">
        <f>N49*(DY49+DZ49)/1000.0</f>
        <v>0</v>
      </c>
      <c r="P49">
        <f>(DR49 - IF(AU49&gt;1, L49*DL49*100.0/(AW49), 0))*(DY49+DZ49)/1000.0</f>
        <v>0</v>
      </c>
      <c r="Q49">
        <f>2.0/((1/S49-1/R49)+SIGN(S49)*SQRT((1/S49-1/R49)*(1/S49-1/R49) + 4*DM49/((DM49+1)*(DM49+1))*(2*1/S49*1/R49-1/R49*1/R49)))</f>
        <v>0</v>
      </c>
      <c r="R49">
        <f>IF(LEFT(DN49,1)&lt;&gt;"0",IF(LEFT(DN49,1)="1",3.0,DO49),$D$5+$E$5*(EF49*DY49/($K$5*1000))+$F$5*(EF49*DY49/($K$5*1000))*MAX(MIN(DL49,$J$5),$I$5)*MAX(MIN(DL49,$J$5),$I$5)+$G$5*MAX(MIN(DL49,$J$5),$I$5)*(EF49*DY49/($K$5*1000))+$H$5*(EF49*DY49/($K$5*1000))*(EF49*DY49/($K$5*1000)))</f>
        <v>0</v>
      </c>
      <c r="S49">
        <f>J49*(1000-(1000*0.61365*exp(17.502*W49/(240.97+W49))/(DY49+DZ49)+DT49)/2)/(1000*0.61365*exp(17.502*W49/(240.97+W49))/(DY49+DZ49)-DT49)</f>
        <v>0</v>
      </c>
      <c r="T49">
        <f>1/((DM49+1)/(Q49/1.6)+1/(R49/1.37)) + DM49/((DM49+1)/(Q49/1.6) + DM49/(R49/1.37))</f>
        <v>0</v>
      </c>
      <c r="U49">
        <f>(DH49*DK49)</f>
        <v>0</v>
      </c>
      <c r="V49">
        <f>(EA49+(U49+2*0.95*5.67E-8*(((EA49+$B$7)+273)^4-(EA49+273)^4)-44100*J49)/(1.84*29.3*R49+8*0.95*5.67E-8*(EA49+273)^3))</f>
        <v>0</v>
      </c>
      <c r="W49">
        <f>($C$7*EB49+$D$7*EC49+$E$7*V49)</f>
        <v>0</v>
      </c>
      <c r="X49">
        <f>0.61365*exp(17.502*W49/(240.97+W49))</f>
        <v>0</v>
      </c>
      <c r="Y49">
        <f>(Z49/AA49*100)</f>
        <v>0</v>
      </c>
      <c r="Z49">
        <f>DT49*(DY49+DZ49)/1000</f>
        <v>0</v>
      </c>
      <c r="AA49">
        <f>0.61365*exp(17.502*EA49/(240.97+EA49))</f>
        <v>0</v>
      </c>
      <c r="AB49">
        <f>(X49-DT49*(DY49+DZ49)/1000)</f>
        <v>0</v>
      </c>
      <c r="AC49">
        <f>(-J49*44100)</f>
        <v>0</v>
      </c>
      <c r="AD49">
        <f>2*29.3*R49*0.92*(EA49-W49)</f>
        <v>0</v>
      </c>
      <c r="AE49">
        <f>2*0.95*5.67E-8*(((EA49+$B$7)+273)^4-(W49+273)^4)</f>
        <v>0</v>
      </c>
      <c r="AF49">
        <f>U49+AE49+AC49+AD49</f>
        <v>0</v>
      </c>
      <c r="AG49">
        <f>DX49*AU49*(DS49-DR49*(1000-AU49*DU49)/(1000-AU49*DT49))/(100*DL49)</f>
        <v>0</v>
      </c>
      <c r="AH49">
        <f>1000*DX49*AU49*(DT49-DU49)/(100*DL49*(1000-AU49*DT49))</f>
        <v>0</v>
      </c>
      <c r="AI49">
        <f>(AJ49 - AK49 - DY49*1E3/(8.314*(EA49+273.15)) * AM49/DX49 * AL49) * DX49/(100*DL49) * (1000 - DU49)/1000</f>
        <v>0</v>
      </c>
      <c r="AJ49">
        <v>526.841166205873</v>
      </c>
      <c r="AK49">
        <v>498.948218181818</v>
      </c>
      <c r="AL49">
        <v>3.21077006706074</v>
      </c>
      <c r="AM49">
        <v>64.8413469339502</v>
      </c>
      <c r="AN49">
        <f>(AP49 - AO49 + DY49*1E3/(8.314*(EA49+273.15)) * AR49/DX49 * AQ49) * DX49/(100*DL49) * 1000/(1000 - AP49)</f>
        <v>0</v>
      </c>
      <c r="AO49">
        <v>9.19644606571746</v>
      </c>
      <c r="AP49">
        <v>11.9033666666667</v>
      </c>
      <c r="AQ49">
        <v>5.33086243603141e-06</v>
      </c>
      <c r="AR49">
        <v>118.472689631034</v>
      </c>
      <c r="AS49">
        <v>0</v>
      </c>
      <c r="AT49">
        <v>0</v>
      </c>
      <c r="AU49">
        <f>IF(AS49*$H$13&gt;=AW49,1.0,(AW49/(AW49-AS49*$H$13)))</f>
        <v>0</v>
      </c>
      <c r="AV49">
        <f>(AU49-1)*100</f>
        <v>0</v>
      </c>
      <c r="AW49">
        <f>MAX(0,($B$13+$C$13*EF49)/(1+$D$13*EF49)*DY49/(EA49+273)*$E$13)</f>
        <v>0</v>
      </c>
      <c r="AX49" t="s">
        <v>437</v>
      </c>
      <c r="AY49" t="s">
        <v>437</v>
      </c>
      <c r="AZ49">
        <v>0</v>
      </c>
      <c r="BA49">
        <v>0</v>
      </c>
      <c r="BB49">
        <f>1-AZ49/BA49</f>
        <v>0</v>
      </c>
      <c r="BC49">
        <v>0</v>
      </c>
      <c r="BD49" t="s">
        <v>437</v>
      </c>
      <c r="BE49" t="s">
        <v>437</v>
      </c>
      <c r="BF49">
        <v>0</v>
      </c>
      <c r="BG49">
        <v>0</v>
      </c>
      <c r="BH49">
        <f>1-BF49/BG49</f>
        <v>0</v>
      </c>
      <c r="BI49">
        <v>0.5</v>
      </c>
      <c r="BJ49">
        <f>DI49</f>
        <v>0</v>
      </c>
      <c r="BK49">
        <f>L49</f>
        <v>0</v>
      </c>
      <c r="BL49">
        <f>BH49*BI49*BJ49</f>
        <v>0</v>
      </c>
      <c r="BM49">
        <f>(BK49-BC49)/BJ49</f>
        <v>0</v>
      </c>
      <c r="BN49">
        <f>(BA49-BG49)/BG49</f>
        <v>0</v>
      </c>
      <c r="BO49">
        <f>AZ49/(BB49+AZ49/BG49)</f>
        <v>0</v>
      </c>
      <c r="BP49" t="s">
        <v>437</v>
      </c>
      <c r="BQ49">
        <v>0</v>
      </c>
      <c r="BR49">
        <f>IF(BQ49&lt;&gt;0, BQ49, BO49)</f>
        <v>0</v>
      </c>
      <c r="BS49">
        <f>1-BR49/BG49</f>
        <v>0</v>
      </c>
      <c r="BT49">
        <f>(BG49-BF49)/(BG49-BR49)</f>
        <v>0</v>
      </c>
      <c r="BU49">
        <f>(BA49-BG49)/(BA49-BR49)</f>
        <v>0</v>
      </c>
      <c r="BV49">
        <f>(BG49-BF49)/(BG49-AZ49)</f>
        <v>0</v>
      </c>
      <c r="BW49">
        <f>(BA49-BG49)/(BA49-AZ49)</f>
        <v>0</v>
      </c>
      <c r="BX49">
        <f>(BT49*BR49/BF49)</f>
        <v>0</v>
      </c>
      <c r="BY49">
        <f>(1-BX49)</f>
        <v>0</v>
      </c>
      <c r="DH49">
        <f>$B$11*EG49+$C$11*EH49+$F$11*ES49*(1-EV49)</f>
        <v>0</v>
      </c>
      <c r="DI49">
        <f>DH49*DJ49</f>
        <v>0</v>
      </c>
      <c r="DJ49">
        <f>($B$11*$D$9+$C$11*$D$9+$F$11*((FF49+EX49)/MAX(FF49+EX49+FG49, 0.1)*$I$9+FG49/MAX(FF49+EX49+FG49, 0.1)*$J$9))/($B$11+$C$11+$F$11)</f>
        <v>0</v>
      </c>
      <c r="DK49">
        <f>($B$11*$K$9+$C$11*$K$9+$F$11*((FF49+EX49)/MAX(FF49+EX49+FG49, 0.1)*$P$9+FG49/MAX(FF49+EX49+FG49, 0.1)*$Q$9))/($B$11+$C$11+$F$11)</f>
        <v>0</v>
      </c>
      <c r="DL49">
        <v>6</v>
      </c>
      <c r="DM49">
        <v>0.5</v>
      </c>
      <c r="DN49" t="s">
        <v>438</v>
      </c>
      <c r="DO49">
        <v>2</v>
      </c>
      <c r="DP49" t="b">
        <v>1</v>
      </c>
      <c r="DQ49">
        <v>1760989433.94615</v>
      </c>
      <c r="DR49">
        <v>470.189769230769</v>
      </c>
      <c r="DS49">
        <v>506.297846153846</v>
      </c>
      <c r="DT49">
        <v>11.8972076923077</v>
      </c>
      <c r="DU49">
        <v>9.19427692307692</v>
      </c>
      <c r="DV49">
        <v>467.115923076923</v>
      </c>
      <c r="DW49">
        <v>12.0073153846154</v>
      </c>
      <c r="DX49">
        <v>499.965923076923</v>
      </c>
      <c r="DY49">
        <v>89.8718</v>
      </c>
      <c r="DZ49">
        <v>0.00753321692307692</v>
      </c>
      <c r="EA49">
        <v>18.3841076923077</v>
      </c>
      <c r="EB49">
        <v>17.9865230769231</v>
      </c>
      <c r="EC49">
        <v>999.9</v>
      </c>
      <c r="ED49">
        <v>0</v>
      </c>
      <c r="EE49">
        <v>0</v>
      </c>
      <c r="EF49">
        <v>10006.2576923077</v>
      </c>
      <c r="EG49">
        <v>0</v>
      </c>
      <c r="EH49">
        <v>1270.09</v>
      </c>
      <c r="EI49">
        <v>-36.1080538461538</v>
      </c>
      <c r="EJ49">
        <v>475.851</v>
      </c>
      <c r="EK49">
        <v>510.996076923077</v>
      </c>
      <c r="EL49">
        <v>2.70294538461539</v>
      </c>
      <c r="EM49">
        <v>506.297846153846</v>
      </c>
      <c r="EN49">
        <v>9.19427692307692</v>
      </c>
      <c r="EO49">
        <v>1.06922538461538</v>
      </c>
      <c r="EP49">
        <v>0.826306</v>
      </c>
      <c r="EQ49">
        <v>7.89544307692308</v>
      </c>
      <c r="ER49">
        <v>4.16742923076923</v>
      </c>
      <c r="ES49">
        <v>1199.96538461538</v>
      </c>
      <c r="ET49">
        <v>0.966988384615384</v>
      </c>
      <c r="EU49">
        <v>0.0330117461538462</v>
      </c>
      <c r="EV49">
        <v>0</v>
      </c>
      <c r="EW49">
        <v>1329.33230769231</v>
      </c>
      <c r="EX49">
        <v>5.00059</v>
      </c>
      <c r="EY49">
        <v>15577.2384615385</v>
      </c>
      <c r="EZ49">
        <v>10358.3846153846</v>
      </c>
      <c r="FA49">
        <v>36.3698461538462</v>
      </c>
      <c r="FB49">
        <v>38.0623076923077</v>
      </c>
      <c r="FC49">
        <v>36.9036153846154</v>
      </c>
      <c r="FD49">
        <v>37.168</v>
      </c>
      <c r="FE49">
        <v>37.2544615384615</v>
      </c>
      <c r="FF49">
        <v>1155.51538461538</v>
      </c>
      <c r="FG49">
        <v>39.45</v>
      </c>
      <c r="FH49">
        <v>0</v>
      </c>
      <c r="FI49">
        <v>1760989411.3</v>
      </c>
      <c r="FJ49">
        <v>0</v>
      </c>
      <c r="FK49">
        <v>1329.6144</v>
      </c>
      <c r="FL49">
        <v>13.9176923512696</v>
      </c>
      <c r="FM49">
        <v>125.384615599748</v>
      </c>
      <c r="FN49">
        <v>15579.84</v>
      </c>
      <c r="FO49">
        <v>15</v>
      </c>
      <c r="FP49">
        <v>0</v>
      </c>
      <c r="FQ49" t="s">
        <v>439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-35.630925</v>
      </c>
      <c r="GD49">
        <v>-12.4541458646617</v>
      </c>
      <c r="GE49">
        <v>1.33985641912669</v>
      </c>
      <c r="GF49">
        <v>0</v>
      </c>
      <c r="GG49">
        <v>1328.74794117647</v>
      </c>
      <c r="GH49">
        <v>13.7288006234953</v>
      </c>
      <c r="GI49">
        <v>1.3730532302174</v>
      </c>
      <c r="GJ49">
        <v>-1</v>
      </c>
      <c r="GK49">
        <v>2.702187</v>
      </c>
      <c r="GL49">
        <v>0.0193037593984993</v>
      </c>
      <c r="GM49">
        <v>0.00196141046188703</v>
      </c>
      <c r="GN49">
        <v>1</v>
      </c>
      <c r="GO49">
        <v>1</v>
      </c>
      <c r="GP49">
        <v>2</v>
      </c>
      <c r="GQ49" t="s">
        <v>446</v>
      </c>
      <c r="GR49">
        <v>3.13066</v>
      </c>
      <c r="GS49">
        <v>2.68548</v>
      </c>
      <c r="GT49">
        <v>0.10165</v>
      </c>
      <c r="GU49">
        <v>0.107863</v>
      </c>
      <c r="GV49">
        <v>0.0620745</v>
      </c>
      <c r="GW49">
        <v>0.0506922</v>
      </c>
      <c r="GX49">
        <v>34046.4</v>
      </c>
      <c r="GY49">
        <v>36330.6</v>
      </c>
      <c r="GZ49">
        <v>34266.4</v>
      </c>
      <c r="HA49">
        <v>36848.4</v>
      </c>
      <c r="HB49">
        <v>45334.3</v>
      </c>
      <c r="HC49">
        <v>50160.9</v>
      </c>
      <c r="HD49">
        <v>53340.3</v>
      </c>
      <c r="HE49">
        <v>58774.7</v>
      </c>
      <c r="HF49">
        <v>2.0084</v>
      </c>
      <c r="HG49">
        <v>1.8377</v>
      </c>
      <c r="HH49">
        <v>0.0327453</v>
      </c>
      <c r="HI49">
        <v>0</v>
      </c>
      <c r="HJ49">
        <v>17.4405</v>
      </c>
      <c r="HK49">
        <v>999.9</v>
      </c>
      <c r="HL49">
        <v>26.01</v>
      </c>
      <c r="HM49">
        <v>30.273</v>
      </c>
      <c r="HN49">
        <v>12.5245</v>
      </c>
      <c r="HO49">
        <v>54.2091</v>
      </c>
      <c r="HP49">
        <v>44.2228</v>
      </c>
      <c r="HQ49">
        <v>1</v>
      </c>
      <c r="HR49">
        <v>-0.269527</v>
      </c>
      <c r="HS49">
        <v>3.85247</v>
      </c>
      <c r="HT49">
        <v>20.0943</v>
      </c>
      <c r="HU49">
        <v>5.20007</v>
      </c>
      <c r="HV49">
        <v>12.004</v>
      </c>
      <c r="HW49">
        <v>4.9757</v>
      </c>
      <c r="HX49">
        <v>3.29295</v>
      </c>
      <c r="HY49">
        <v>9999</v>
      </c>
      <c r="HZ49">
        <v>999.9</v>
      </c>
      <c r="IA49">
        <v>9999</v>
      </c>
      <c r="IB49">
        <v>9999</v>
      </c>
      <c r="IC49">
        <v>1.86324</v>
      </c>
      <c r="ID49">
        <v>1.86804</v>
      </c>
      <c r="IE49">
        <v>1.86783</v>
      </c>
      <c r="IF49">
        <v>1.86905</v>
      </c>
      <c r="IG49">
        <v>1.86981</v>
      </c>
      <c r="IH49">
        <v>1.86585</v>
      </c>
      <c r="II49">
        <v>1.86696</v>
      </c>
      <c r="IJ49">
        <v>1.86842</v>
      </c>
      <c r="IK49">
        <v>5</v>
      </c>
      <c r="IL49">
        <v>0</v>
      </c>
      <c r="IM49">
        <v>0</v>
      </c>
      <c r="IN49">
        <v>0</v>
      </c>
      <c r="IO49" t="s">
        <v>441</v>
      </c>
      <c r="IP49" t="s">
        <v>442</v>
      </c>
      <c r="IQ49" t="s">
        <v>443</v>
      </c>
      <c r="IR49" t="s">
        <v>443</v>
      </c>
      <c r="IS49" t="s">
        <v>443</v>
      </c>
      <c r="IT49" t="s">
        <v>443</v>
      </c>
      <c r="IU49">
        <v>0</v>
      </c>
      <c r="IV49">
        <v>100</v>
      </c>
      <c r="IW49">
        <v>100</v>
      </c>
      <c r="IX49">
        <v>3.172</v>
      </c>
      <c r="IY49">
        <v>-0.11</v>
      </c>
      <c r="IZ49">
        <v>1.12474291219083</v>
      </c>
      <c r="JA49">
        <v>0.00463155566490582</v>
      </c>
      <c r="JB49">
        <v>-1.1358998729424e-06</v>
      </c>
      <c r="JC49">
        <v>3.28704272115545e-10</v>
      </c>
      <c r="JD49">
        <v>-0.0704455108513773</v>
      </c>
      <c r="JE49">
        <v>-0.0251928478371425</v>
      </c>
      <c r="JF49">
        <v>0.00225751704194564</v>
      </c>
      <c r="JG49">
        <v>-3.61734043746866e-05</v>
      </c>
      <c r="JH49">
        <v>1</v>
      </c>
      <c r="JI49">
        <v>2182</v>
      </c>
      <c r="JJ49">
        <v>0</v>
      </c>
      <c r="JK49">
        <v>24</v>
      </c>
      <c r="JL49">
        <v>29349824</v>
      </c>
      <c r="JM49">
        <v>29349824</v>
      </c>
      <c r="JN49">
        <v>1.23901</v>
      </c>
      <c r="JO49">
        <v>2.62207</v>
      </c>
      <c r="JP49">
        <v>1.54785</v>
      </c>
      <c r="JQ49">
        <v>2.31445</v>
      </c>
      <c r="JR49">
        <v>1.64551</v>
      </c>
      <c r="JS49">
        <v>2.39014</v>
      </c>
      <c r="JT49">
        <v>33.5355</v>
      </c>
      <c r="JU49">
        <v>24.1926</v>
      </c>
      <c r="JV49">
        <v>18</v>
      </c>
      <c r="JW49">
        <v>500.465</v>
      </c>
      <c r="JX49">
        <v>394.467</v>
      </c>
      <c r="JY49">
        <v>12.4223</v>
      </c>
      <c r="JZ49">
        <v>23.9068</v>
      </c>
      <c r="KA49">
        <v>30.0002</v>
      </c>
      <c r="KB49">
        <v>23.925</v>
      </c>
      <c r="KC49">
        <v>23.8952</v>
      </c>
      <c r="KD49">
        <v>24.8674</v>
      </c>
      <c r="KE49">
        <v>1.22218</v>
      </c>
      <c r="KF49">
        <v>23.7343</v>
      </c>
      <c r="KG49">
        <v>12.4332</v>
      </c>
      <c r="KH49">
        <v>555.101</v>
      </c>
      <c r="KI49">
        <v>9.06923</v>
      </c>
      <c r="KJ49">
        <v>97.0433</v>
      </c>
      <c r="KK49">
        <v>95.3011</v>
      </c>
    </row>
    <row r="50" spans="1:297">
      <c r="A50">
        <v>34</v>
      </c>
      <c r="B50">
        <v>1760989447.1</v>
      </c>
      <c r="C50">
        <v>257</v>
      </c>
      <c r="D50" t="s">
        <v>509</v>
      </c>
      <c r="E50" t="s">
        <v>510</v>
      </c>
      <c r="F50">
        <v>5</v>
      </c>
      <c r="G50" t="s">
        <v>435</v>
      </c>
      <c r="H50" t="s">
        <v>436</v>
      </c>
      <c r="I50">
        <v>1760989438.94615</v>
      </c>
      <c r="J50">
        <f>(K50)/1000</f>
        <v>0</v>
      </c>
      <c r="K50">
        <f>IF(DP50, AN50, AH50)</f>
        <v>0</v>
      </c>
      <c r="L50">
        <f>IF(DP50, AI50, AG50)</f>
        <v>0</v>
      </c>
      <c r="M50">
        <f>DR50 - IF(AU50&gt;1, L50*DL50*100.0/(AW50), 0)</f>
        <v>0</v>
      </c>
      <c r="N50">
        <f>((T50-J50/2)*M50-L50)/(T50+J50/2)</f>
        <v>0</v>
      </c>
      <c r="O50">
        <f>N50*(DY50+DZ50)/1000.0</f>
        <v>0</v>
      </c>
      <c r="P50">
        <f>(DR50 - IF(AU50&gt;1, L50*DL50*100.0/(AW50), 0))*(DY50+DZ50)/1000.0</f>
        <v>0</v>
      </c>
      <c r="Q50">
        <f>2.0/((1/S50-1/R50)+SIGN(S50)*SQRT((1/S50-1/R50)*(1/S50-1/R50) + 4*DM50/((DM50+1)*(DM50+1))*(2*1/S50*1/R50-1/R50*1/R50)))</f>
        <v>0</v>
      </c>
      <c r="R50">
        <f>IF(LEFT(DN50,1)&lt;&gt;"0",IF(LEFT(DN50,1)="1",3.0,DO50),$D$5+$E$5*(EF50*DY50/($K$5*1000))+$F$5*(EF50*DY50/($K$5*1000))*MAX(MIN(DL50,$J$5),$I$5)*MAX(MIN(DL50,$J$5),$I$5)+$G$5*MAX(MIN(DL50,$J$5),$I$5)*(EF50*DY50/($K$5*1000))+$H$5*(EF50*DY50/($K$5*1000))*(EF50*DY50/($K$5*1000)))</f>
        <v>0</v>
      </c>
      <c r="S50">
        <f>J50*(1000-(1000*0.61365*exp(17.502*W50/(240.97+W50))/(DY50+DZ50)+DT50)/2)/(1000*0.61365*exp(17.502*W50/(240.97+W50))/(DY50+DZ50)-DT50)</f>
        <v>0</v>
      </c>
      <c r="T50">
        <f>1/((DM50+1)/(Q50/1.6)+1/(R50/1.37)) + DM50/((DM50+1)/(Q50/1.6) + DM50/(R50/1.37))</f>
        <v>0</v>
      </c>
      <c r="U50">
        <f>(DH50*DK50)</f>
        <v>0</v>
      </c>
      <c r="V50">
        <f>(EA50+(U50+2*0.95*5.67E-8*(((EA50+$B$7)+273)^4-(EA50+273)^4)-44100*J50)/(1.84*29.3*R50+8*0.95*5.67E-8*(EA50+273)^3))</f>
        <v>0</v>
      </c>
      <c r="W50">
        <f>($C$7*EB50+$D$7*EC50+$E$7*V50)</f>
        <v>0</v>
      </c>
      <c r="X50">
        <f>0.61365*exp(17.502*W50/(240.97+W50))</f>
        <v>0</v>
      </c>
      <c r="Y50">
        <f>(Z50/AA50*100)</f>
        <v>0</v>
      </c>
      <c r="Z50">
        <f>DT50*(DY50+DZ50)/1000</f>
        <v>0</v>
      </c>
      <c r="AA50">
        <f>0.61365*exp(17.502*EA50/(240.97+EA50))</f>
        <v>0</v>
      </c>
      <c r="AB50">
        <f>(X50-DT50*(DY50+DZ50)/1000)</f>
        <v>0</v>
      </c>
      <c r="AC50">
        <f>(-J50*44100)</f>
        <v>0</v>
      </c>
      <c r="AD50">
        <f>2*29.3*R50*0.92*(EA50-W50)</f>
        <v>0</v>
      </c>
      <c r="AE50">
        <f>2*0.95*5.67E-8*(((EA50+$B$7)+273)^4-(W50+273)^4)</f>
        <v>0</v>
      </c>
      <c r="AF50">
        <f>U50+AE50+AC50+AD50</f>
        <v>0</v>
      </c>
      <c r="AG50">
        <f>DX50*AU50*(DS50-DR50*(1000-AU50*DU50)/(1000-AU50*DT50))/(100*DL50)</f>
        <v>0</v>
      </c>
      <c r="AH50">
        <f>1000*DX50*AU50*(DT50-DU50)/(100*DL50*(1000-AU50*DT50))</f>
        <v>0</v>
      </c>
      <c r="AI50">
        <f>(AJ50 - AK50 - DY50*1E3/(8.314*(EA50+273.15)) * AM50/DX50 * AL50) * DX50/(100*DL50) * (1000 - DU50)/1000</f>
        <v>0</v>
      </c>
      <c r="AJ50">
        <v>544.658313479335</v>
      </c>
      <c r="AK50">
        <v>515.998587878788</v>
      </c>
      <c r="AL50">
        <v>3.43550057151659</v>
      </c>
      <c r="AM50">
        <v>64.8413469339502</v>
      </c>
      <c r="AN50">
        <f>(AP50 - AO50 + DY50*1E3/(8.314*(EA50+273.15)) * AR50/DX50 * AQ50) * DX50/(100*DL50) * 1000/(1000 - AP50)</f>
        <v>0</v>
      </c>
      <c r="AO50">
        <v>9.19618976338879</v>
      </c>
      <c r="AP50">
        <v>11.9059048484848</v>
      </c>
      <c r="AQ50">
        <v>2.27463462198741e-06</v>
      </c>
      <c r="AR50">
        <v>118.472689631034</v>
      </c>
      <c r="AS50">
        <v>0</v>
      </c>
      <c r="AT50">
        <v>0</v>
      </c>
      <c r="AU50">
        <f>IF(AS50*$H$13&gt;=AW50,1.0,(AW50/(AW50-AS50*$H$13)))</f>
        <v>0</v>
      </c>
      <c r="AV50">
        <f>(AU50-1)*100</f>
        <v>0</v>
      </c>
      <c r="AW50">
        <f>MAX(0,($B$13+$C$13*EF50)/(1+$D$13*EF50)*DY50/(EA50+273)*$E$13)</f>
        <v>0</v>
      </c>
      <c r="AX50" t="s">
        <v>437</v>
      </c>
      <c r="AY50" t="s">
        <v>437</v>
      </c>
      <c r="AZ50">
        <v>0</v>
      </c>
      <c r="BA50">
        <v>0</v>
      </c>
      <c r="BB50">
        <f>1-AZ50/BA50</f>
        <v>0</v>
      </c>
      <c r="BC50">
        <v>0</v>
      </c>
      <c r="BD50" t="s">
        <v>437</v>
      </c>
      <c r="BE50" t="s">
        <v>437</v>
      </c>
      <c r="BF50">
        <v>0</v>
      </c>
      <c r="BG50">
        <v>0</v>
      </c>
      <c r="BH50">
        <f>1-BF50/BG50</f>
        <v>0</v>
      </c>
      <c r="BI50">
        <v>0.5</v>
      </c>
      <c r="BJ50">
        <f>DI50</f>
        <v>0</v>
      </c>
      <c r="BK50">
        <f>L50</f>
        <v>0</v>
      </c>
      <c r="BL50">
        <f>BH50*BI50*BJ50</f>
        <v>0</v>
      </c>
      <c r="BM50">
        <f>(BK50-BC50)/BJ50</f>
        <v>0</v>
      </c>
      <c r="BN50">
        <f>(BA50-BG50)/BG50</f>
        <v>0</v>
      </c>
      <c r="BO50">
        <f>AZ50/(BB50+AZ50/BG50)</f>
        <v>0</v>
      </c>
      <c r="BP50" t="s">
        <v>437</v>
      </c>
      <c r="BQ50">
        <v>0</v>
      </c>
      <c r="BR50">
        <f>IF(BQ50&lt;&gt;0, BQ50, BO50)</f>
        <v>0</v>
      </c>
      <c r="BS50">
        <f>1-BR50/BG50</f>
        <v>0</v>
      </c>
      <c r="BT50">
        <f>(BG50-BF50)/(BG50-BR50)</f>
        <v>0</v>
      </c>
      <c r="BU50">
        <f>(BA50-BG50)/(BA50-BR50)</f>
        <v>0</v>
      </c>
      <c r="BV50">
        <f>(BG50-BF50)/(BG50-AZ50)</f>
        <v>0</v>
      </c>
      <c r="BW50">
        <f>(BA50-BG50)/(BA50-AZ50)</f>
        <v>0</v>
      </c>
      <c r="BX50">
        <f>(BT50*BR50/BF50)</f>
        <v>0</v>
      </c>
      <c r="BY50">
        <f>(1-BX50)</f>
        <v>0</v>
      </c>
      <c r="DH50">
        <f>$B$11*EG50+$C$11*EH50+$F$11*ES50*(1-EV50)</f>
        <v>0</v>
      </c>
      <c r="DI50">
        <f>DH50*DJ50</f>
        <v>0</v>
      </c>
      <c r="DJ50">
        <f>($B$11*$D$9+$C$11*$D$9+$F$11*((FF50+EX50)/MAX(FF50+EX50+FG50, 0.1)*$I$9+FG50/MAX(FF50+EX50+FG50, 0.1)*$J$9))/($B$11+$C$11+$F$11)</f>
        <v>0</v>
      </c>
      <c r="DK50">
        <f>($B$11*$K$9+$C$11*$K$9+$F$11*((FF50+EX50)/MAX(FF50+EX50+FG50, 0.1)*$P$9+FG50/MAX(FF50+EX50+FG50, 0.1)*$Q$9))/($B$11+$C$11+$F$11)</f>
        <v>0</v>
      </c>
      <c r="DL50">
        <v>6</v>
      </c>
      <c r="DM50">
        <v>0.5</v>
      </c>
      <c r="DN50" t="s">
        <v>438</v>
      </c>
      <c r="DO50">
        <v>2</v>
      </c>
      <c r="DP50" t="b">
        <v>1</v>
      </c>
      <c r="DQ50">
        <v>1760989438.94615</v>
      </c>
      <c r="DR50">
        <v>486.236769230769</v>
      </c>
      <c r="DS50">
        <v>523.489153846154</v>
      </c>
      <c r="DT50">
        <v>11.9010076923077</v>
      </c>
      <c r="DU50">
        <v>9.19565307692308</v>
      </c>
      <c r="DV50">
        <v>483.102461538462</v>
      </c>
      <c r="DW50">
        <v>12.0110384615385</v>
      </c>
      <c r="DX50">
        <v>499.974307692308</v>
      </c>
      <c r="DY50">
        <v>89.8714153846154</v>
      </c>
      <c r="DZ50">
        <v>0.00757323538461538</v>
      </c>
      <c r="EA50">
        <v>18.3838692307692</v>
      </c>
      <c r="EB50">
        <v>17.9837692307692</v>
      </c>
      <c r="EC50">
        <v>999.9</v>
      </c>
      <c r="ED50">
        <v>0</v>
      </c>
      <c r="EE50">
        <v>0</v>
      </c>
      <c r="EF50">
        <v>10002.35</v>
      </c>
      <c r="EG50">
        <v>0</v>
      </c>
      <c r="EH50">
        <v>1270.10307692308</v>
      </c>
      <c r="EI50">
        <v>-37.2524538461538</v>
      </c>
      <c r="EJ50">
        <v>492.093153846154</v>
      </c>
      <c r="EK50">
        <v>528.347692307692</v>
      </c>
      <c r="EL50">
        <v>2.70534923076923</v>
      </c>
      <c r="EM50">
        <v>523.489153846154</v>
      </c>
      <c r="EN50">
        <v>9.19565307692308</v>
      </c>
      <c r="EO50">
        <v>1.06956076923077</v>
      </c>
      <c r="EP50">
        <v>0.826426153846154</v>
      </c>
      <c r="EQ50">
        <v>7.90004846153846</v>
      </c>
      <c r="ER50">
        <v>4.16950153846154</v>
      </c>
      <c r="ES50">
        <v>1199.96384615385</v>
      </c>
      <c r="ET50">
        <v>0.966987769230769</v>
      </c>
      <c r="EU50">
        <v>0.0330123615384615</v>
      </c>
      <c r="EV50">
        <v>0</v>
      </c>
      <c r="EW50">
        <v>1330.42384615385</v>
      </c>
      <c r="EX50">
        <v>5.00059</v>
      </c>
      <c r="EY50">
        <v>15587.2692307692</v>
      </c>
      <c r="EZ50">
        <v>10358.3692307692</v>
      </c>
      <c r="FA50">
        <v>36.3123076923077</v>
      </c>
      <c r="FB50">
        <v>38.019</v>
      </c>
      <c r="FC50">
        <v>36.8555384615385</v>
      </c>
      <c r="FD50">
        <v>37.1246923076923</v>
      </c>
      <c r="FE50">
        <v>37.2112307692308</v>
      </c>
      <c r="FF50">
        <v>1155.51384615385</v>
      </c>
      <c r="FG50">
        <v>39.45</v>
      </c>
      <c r="FH50">
        <v>0</v>
      </c>
      <c r="FI50">
        <v>1760989416.1</v>
      </c>
      <c r="FJ50">
        <v>0</v>
      </c>
      <c r="FK50">
        <v>1330.66</v>
      </c>
      <c r="FL50">
        <v>11.7484615639158</v>
      </c>
      <c r="FM50">
        <v>115.315384796685</v>
      </c>
      <c r="FN50">
        <v>15589.324</v>
      </c>
      <c r="FO50">
        <v>15</v>
      </c>
      <c r="FP50">
        <v>0</v>
      </c>
      <c r="FQ50" t="s">
        <v>439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-36.5663714285714</v>
      </c>
      <c r="GD50">
        <v>-12.0401688311689</v>
      </c>
      <c r="GE50">
        <v>1.35382824124876</v>
      </c>
      <c r="GF50">
        <v>0</v>
      </c>
      <c r="GG50">
        <v>1329.90647058824</v>
      </c>
      <c r="GH50">
        <v>12.846753254108</v>
      </c>
      <c r="GI50">
        <v>1.28877023542726</v>
      </c>
      <c r="GJ50">
        <v>-1</v>
      </c>
      <c r="GK50">
        <v>2.70408523809524</v>
      </c>
      <c r="GL50">
        <v>0.0278064935065</v>
      </c>
      <c r="GM50">
        <v>0.00292501301429354</v>
      </c>
      <c r="GN50">
        <v>1</v>
      </c>
      <c r="GO50">
        <v>1</v>
      </c>
      <c r="GP50">
        <v>2</v>
      </c>
      <c r="GQ50" t="s">
        <v>446</v>
      </c>
      <c r="GR50">
        <v>3.13062</v>
      </c>
      <c r="GS50">
        <v>2.68563</v>
      </c>
      <c r="GT50">
        <v>0.104191</v>
      </c>
      <c r="GU50">
        <v>0.110263</v>
      </c>
      <c r="GV50">
        <v>0.0620888</v>
      </c>
      <c r="GW50">
        <v>0.050688</v>
      </c>
      <c r="GX50">
        <v>33950</v>
      </c>
      <c r="GY50">
        <v>36232.8</v>
      </c>
      <c r="GZ50">
        <v>34266.3</v>
      </c>
      <c r="HA50">
        <v>36848.3</v>
      </c>
      <c r="HB50">
        <v>45333.9</v>
      </c>
      <c r="HC50">
        <v>50161.3</v>
      </c>
      <c r="HD50">
        <v>53340.4</v>
      </c>
      <c r="HE50">
        <v>58774.5</v>
      </c>
      <c r="HF50">
        <v>2.00833</v>
      </c>
      <c r="HG50">
        <v>1.83722</v>
      </c>
      <c r="HH50">
        <v>0.0327006</v>
      </c>
      <c r="HI50">
        <v>0</v>
      </c>
      <c r="HJ50">
        <v>17.4405</v>
      </c>
      <c r="HK50">
        <v>999.9</v>
      </c>
      <c r="HL50">
        <v>26.01</v>
      </c>
      <c r="HM50">
        <v>30.252</v>
      </c>
      <c r="HN50">
        <v>12.5093</v>
      </c>
      <c r="HO50">
        <v>54.4891</v>
      </c>
      <c r="HP50">
        <v>44.3349</v>
      </c>
      <c r="HQ50">
        <v>1</v>
      </c>
      <c r="HR50">
        <v>-0.269909</v>
      </c>
      <c r="HS50">
        <v>3.84755</v>
      </c>
      <c r="HT50">
        <v>20.0952</v>
      </c>
      <c r="HU50">
        <v>5.19932</v>
      </c>
      <c r="HV50">
        <v>12.004</v>
      </c>
      <c r="HW50">
        <v>4.97575</v>
      </c>
      <c r="HX50">
        <v>3.293</v>
      </c>
      <c r="HY50">
        <v>9999</v>
      </c>
      <c r="HZ50">
        <v>999.9</v>
      </c>
      <c r="IA50">
        <v>9999</v>
      </c>
      <c r="IB50">
        <v>9999</v>
      </c>
      <c r="IC50">
        <v>1.86324</v>
      </c>
      <c r="ID50">
        <v>1.86803</v>
      </c>
      <c r="IE50">
        <v>1.86783</v>
      </c>
      <c r="IF50">
        <v>1.86905</v>
      </c>
      <c r="IG50">
        <v>1.86981</v>
      </c>
      <c r="IH50">
        <v>1.86586</v>
      </c>
      <c r="II50">
        <v>1.86695</v>
      </c>
      <c r="IJ50">
        <v>1.86842</v>
      </c>
      <c r="IK50">
        <v>5</v>
      </c>
      <c r="IL50">
        <v>0</v>
      </c>
      <c r="IM50">
        <v>0</v>
      </c>
      <c r="IN50">
        <v>0</v>
      </c>
      <c r="IO50" t="s">
        <v>441</v>
      </c>
      <c r="IP50" t="s">
        <v>442</v>
      </c>
      <c r="IQ50" t="s">
        <v>443</v>
      </c>
      <c r="IR50" t="s">
        <v>443</v>
      </c>
      <c r="IS50" t="s">
        <v>443</v>
      </c>
      <c r="IT50" t="s">
        <v>443</v>
      </c>
      <c r="IU50">
        <v>0</v>
      </c>
      <c r="IV50">
        <v>100</v>
      </c>
      <c r="IW50">
        <v>100</v>
      </c>
      <c r="IX50">
        <v>3.235</v>
      </c>
      <c r="IY50">
        <v>-0.1099</v>
      </c>
      <c r="IZ50">
        <v>1.12474291219083</v>
      </c>
      <c r="JA50">
        <v>0.00463155566490582</v>
      </c>
      <c r="JB50">
        <v>-1.1358998729424e-06</v>
      </c>
      <c r="JC50">
        <v>3.28704272115545e-10</v>
      </c>
      <c r="JD50">
        <v>-0.0704455108513773</v>
      </c>
      <c r="JE50">
        <v>-0.0251928478371425</v>
      </c>
      <c r="JF50">
        <v>0.00225751704194564</v>
      </c>
      <c r="JG50">
        <v>-3.61734043746866e-05</v>
      </c>
      <c r="JH50">
        <v>1</v>
      </c>
      <c r="JI50">
        <v>2182</v>
      </c>
      <c r="JJ50">
        <v>0</v>
      </c>
      <c r="JK50">
        <v>24</v>
      </c>
      <c r="JL50">
        <v>29349824.1</v>
      </c>
      <c r="JM50">
        <v>29349824.1</v>
      </c>
      <c r="JN50">
        <v>1.26465</v>
      </c>
      <c r="JO50">
        <v>2.62207</v>
      </c>
      <c r="JP50">
        <v>1.54785</v>
      </c>
      <c r="JQ50">
        <v>2.31445</v>
      </c>
      <c r="JR50">
        <v>1.64673</v>
      </c>
      <c r="JS50">
        <v>2.41089</v>
      </c>
      <c r="JT50">
        <v>33.5355</v>
      </c>
      <c r="JU50">
        <v>24.1926</v>
      </c>
      <c r="JV50">
        <v>18</v>
      </c>
      <c r="JW50">
        <v>500.417</v>
      </c>
      <c r="JX50">
        <v>394.217</v>
      </c>
      <c r="JY50">
        <v>12.433</v>
      </c>
      <c r="JZ50">
        <v>23.9068</v>
      </c>
      <c r="KA50">
        <v>30</v>
      </c>
      <c r="KB50">
        <v>23.925</v>
      </c>
      <c r="KC50">
        <v>23.8952</v>
      </c>
      <c r="KD50">
        <v>25.4774</v>
      </c>
      <c r="KE50">
        <v>1.83212</v>
      </c>
      <c r="KF50">
        <v>23.7343</v>
      </c>
      <c r="KG50">
        <v>12.4465</v>
      </c>
      <c r="KH50">
        <v>575.361</v>
      </c>
      <c r="KI50">
        <v>9.04649</v>
      </c>
      <c r="KJ50">
        <v>97.0432</v>
      </c>
      <c r="KK50">
        <v>95.3007</v>
      </c>
    </row>
    <row r="51" spans="1:297">
      <c r="A51">
        <v>35</v>
      </c>
      <c r="B51">
        <v>1760989452.1</v>
      </c>
      <c r="C51">
        <v>262</v>
      </c>
      <c r="D51" t="s">
        <v>511</v>
      </c>
      <c r="E51" t="s">
        <v>512</v>
      </c>
      <c r="F51">
        <v>5</v>
      </c>
      <c r="G51" t="s">
        <v>435</v>
      </c>
      <c r="H51" t="s">
        <v>436</v>
      </c>
      <c r="I51">
        <v>1760989443.94615</v>
      </c>
      <c r="J51">
        <f>(K51)/1000</f>
        <v>0</v>
      </c>
      <c r="K51">
        <f>IF(DP51, AN51, AH51)</f>
        <v>0</v>
      </c>
      <c r="L51">
        <f>IF(DP51, AI51, AG51)</f>
        <v>0</v>
      </c>
      <c r="M51">
        <f>DR51 - IF(AU51&gt;1, L51*DL51*100.0/(AW51), 0)</f>
        <v>0</v>
      </c>
      <c r="N51">
        <f>((T51-J51/2)*M51-L51)/(T51+J51/2)</f>
        <v>0</v>
      </c>
      <c r="O51">
        <f>N51*(DY51+DZ51)/1000.0</f>
        <v>0</v>
      </c>
      <c r="P51">
        <f>(DR51 - IF(AU51&gt;1, L51*DL51*100.0/(AW51), 0))*(DY51+DZ51)/1000.0</f>
        <v>0</v>
      </c>
      <c r="Q51">
        <f>2.0/((1/S51-1/R51)+SIGN(S51)*SQRT((1/S51-1/R51)*(1/S51-1/R51) + 4*DM51/((DM51+1)*(DM51+1))*(2*1/S51*1/R51-1/R51*1/R51)))</f>
        <v>0</v>
      </c>
      <c r="R51">
        <f>IF(LEFT(DN51,1)&lt;&gt;"0",IF(LEFT(DN51,1)="1",3.0,DO51),$D$5+$E$5*(EF51*DY51/($K$5*1000))+$F$5*(EF51*DY51/($K$5*1000))*MAX(MIN(DL51,$J$5),$I$5)*MAX(MIN(DL51,$J$5),$I$5)+$G$5*MAX(MIN(DL51,$J$5),$I$5)*(EF51*DY51/($K$5*1000))+$H$5*(EF51*DY51/($K$5*1000))*(EF51*DY51/($K$5*1000)))</f>
        <v>0</v>
      </c>
      <c r="S51">
        <f>J51*(1000-(1000*0.61365*exp(17.502*W51/(240.97+W51))/(DY51+DZ51)+DT51)/2)/(1000*0.61365*exp(17.502*W51/(240.97+W51))/(DY51+DZ51)-DT51)</f>
        <v>0</v>
      </c>
      <c r="T51">
        <f>1/((DM51+1)/(Q51/1.6)+1/(R51/1.37)) + DM51/((DM51+1)/(Q51/1.6) + DM51/(R51/1.37))</f>
        <v>0</v>
      </c>
      <c r="U51">
        <f>(DH51*DK51)</f>
        <v>0</v>
      </c>
      <c r="V51">
        <f>(EA51+(U51+2*0.95*5.67E-8*(((EA51+$B$7)+273)^4-(EA51+273)^4)-44100*J51)/(1.84*29.3*R51+8*0.95*5.67E-8*(EA51+273)^3))</f>
        <v>0</v>
      </c>
      <c r="W51">
        <f>($C$7*EB51+$D$7*EC51+$E$7*V51)</f>
        <v>0</v>
      </c>
      <c r="X51">
        <f>0.61365*exp(17.502*W51/(240.97+W51))</f>
        <v>0</v>
      </c>
      <c r="Y51">
        <f>(Z51/AA51*100)</f>
        <v>0</v>
      </c>
      <c r="Z51">
        <f>DT51*(DY51+DZ51)/1000</f>
        <v>0</v>
      </c>
      <c r="AA51">
        <f>0.61365*exp(17.502*EA51/(240.97+EA51))</f>
        <v>0</v>
      </c>
      <c r="AB51">
        <f>(X51-DT51*(DY51+DZ51)/1000)</f>
        <v>0</v>
      </c>
      <c r="AC51">
        <f>(-J51*44100)</f>
        <v>0</v>
      </c>
      <c r="AD51">
        <f>2*29.3*R51*0.92*(EA51-W51)</f>
        <v>0</v>
      </c>
      <c r="AE51">
        <f>2*0.95*5.67E-8*(((EA51+$B$7)+273)^4-(W51+273)^4)</f>
        <v>0</v>
      </c>
      <c r="AF51">
        <f>U51+AE51+AC51+AD51</f>
        <v>0</v>
      </c>
      <c r="AG51">
        <f>DX51*AU51*(DS51-DR51*(1000-AU51*DU51)/(1000-AU51*DT51))/(100*DL51)</f>
        <v>0</v>
      </c>
      <c r="AH51">
        <f>1000*DX51*AU51*(DT51-DU51)/(100*DL51*(1000-AU51*DT51))</f>
        <v>0</v>
      </c>
      <c r="AI51">
        <f>(AJ51 - AK51 - DY51*1E3/(8.314*(EA51+273.15)) * AM51/DX51 * AL51) * DX51/(100*DL51) * (1000 - DU51)/1000</f>
        <v>0</v>
      </c>
      <c r="AJ51">
        <v>560.900282233786</v>
      </c>
      <c r="AK51">
        <v>532.523618181818</v>
      </c>
      <c r="AL51">
        <v>3.28838199519233</v>
      </c>
      <c r="AM51">
        <v>64.8413469339502</v>
      </c>
      <c r="AN51">
        <f>(AP51 - AO51 + DY51*1E3/(8.314*(EA51+273.15)) * AR51/DX51 * AQ51) * DX51/(100*DL51) * 1000/(1000 - AP51)</f>
        <v>0</v>
      </c>
      <c r="AO51">
        <v>9.19472677661879</v>
      </c>
      <c r="AP51">
        <v>11.9091654545455</v>
      </c>
      <c r="AQ51">
        <v>2.46314722779975e-06</v>
      </c>
      <c r="AR51">
        <v>118.472689631034</v>
      </c>
      <c r="AS51">
        <v>0</v>
      </c>
      <c r="AT51">
        <v>0</v>
      </c>
      <c r="AU51">
        <f>IF(AS51*$H$13&gt;=AW51,1.0,(AW51/(AW51-AS51*$H$13)))</f>
        <v>0</v>
      </c>
      <c r="AV51">
        <f>(AU51-1)*100</f>
        <v>0</v>
      </c>
      <c r="AW51">
        <f>MAX(0,($B$13+$C$13*EF51)/(1+$D$13*EF51)*DY51/(EA51+273)*$E$13)</f>
        <v>0</v>
      </c>
      <c r="AX51" t="s">
        <v>437</v>
      </c>
      <c r="AY51" t="s">
        <v>437</v>
      </c>
      <c r="AZ51">
        <v>0</v>
      </c>
      <c r="BA51">
        <v>0</v>
      </c>
      <c r="BB51">
        <f>1-AZ51/BA51</f>
        <v>0</v>
      </c>
      <c r="BC51">
        <v>0</v>
      </c>
      <c r="BD51" t="s">
        <v>437</v>
      </c>
      <c r="BE51" t="s">
        <v>437</v>
      </c>
      <c r="BF51">
        <v>0</v>
      </c>
      <c r="BG51">
        <v>0</v>
      </c>
      <c r="BH51">
        <f>1-BF51/BG51</f>
        <v>0</v>
      </c>
      <c r="BI51">
        <v>0.5</v>
      </c>
      <c r="BJ51">
        <f>DI51</f>
        <v>0</v>
      </c>
      <c r="BK51">
        <f>L51</f>
        <v>0</v>
      </c>
      <c r="BL51">
        <f>BH51*BI51*BJ51</f>
        <v>0</v>
      </c>
      <c r="BM51">
        <f>(BK51-BC51)/BJ51</f>
        <v>0</v>
      </c>
      <c r="BN51">
        <f>(BA51-BG51)/BG51</f>
        <v>0</v>
      </c>
      <c r="BO51">
        <f>AZ51/(BB51+AZ51/BG51)</f>
        <v>0</v>
      </c>
      <c r="BP51" t="s">
        <v>437</v>
      </c>
      <c r="BQ51">
        <v>0</v>
      </c>
      <c r="BR51">
        <f>IF(BQ51&lt;&gt;0, BQ51, BO51)</f>
        <v>0</v>
      </c>
      <c r="BS51">
        <f>1-BR51/BG51</f>
        <v>0</v>
      </c>
      <c r="BT51">
        <f>(BG51-BF51)/(BG51-BR51)</f>
        <v>0</v>
      </c>
      <c r="BU51">
        <f>(BA51-BG51)/(BA51-BR51)</f>
        <v>0</v>
      </c>
      <c r="BV51">
        <f>(BG51-BF51)/(BG51-AZ51)</f>
        <v>0</v>
      </c>
      <c r="BW51">
        <f>(BA51-BG51)/(BA51-AZ51)</f>
        <v>0</v>
      </c>
      <c r="BX51">
        <f>(BT51*BR51/BF51)</f>
        <v>0</v>
      </c>
      <c r="BY51">
        <f>(1-BX51)</f>
        <v>0</v>
      </c>
      <c r="DH51">
        <f>$B$11*EG51+$C$11*EH51+$F$11*ES51*(1-EV51)</f>
        <v>0</v>
      </c>
      <c r="DI51">
        <f>DH51*DJ51</f>
        <v>0</v>
      </c>
      <c r="DJ51">
        <f>($B$11*$D$9+$C$11*$D$9+$F$11*((FF51+EX51)/MAX(FF51+EX51+FG51, 0.1)*$I$9+FG51/MAX(FF51+EX51+FG51, 0.1)*$J$9))/($B$11+$C$11+$F$11)</f>
        <v>0</v>
      </c>
      <c r="DK51">
        <f>($B$11*$K$9+$C$11*$K$9+$F$11*((FF51+EX51)/MAX(FF51+EX51+FG51, 0.1)*$P$9+FG51/MAX(FF51+EX51+FG51, 0.1)*$Q$9))/($B$11+$C$11+$F$11)</f>
        <v>0</v>
      </c>
      <c r="DL51">
        <v>6</v>
      </c>
      <c r="DM51">
        <v>0.5</v>
      </c>
      <c r="DN51" t="s">
        <v>438</v>
      </c>
      <c r="DO51">
        <v>2</v>
      </c>
      <c r="DP51" t="b">
        <v>1</v>
      </c>
      <c r="DQ51">
        <v>1760989443.94615</v>
      </c>
      <c r="DR51">
        <v>502.648692307692</v>
      </c>
      <c r="DS51">
        <v>540.071076923077</v>
      </c>
      <c r="DT51">
        <v>11.9045076923077</v>
      </c>
      <c r="DU51">
        <v>9.19576692307692</v>
      </c>
      <c r="DV51">
        <v>499.453076923077</v>
      </c>
      <c r="DW51">
        <v>12.0145</v>
      </c>
      <c r="DX51">
        <v>499.981615384615</v>
      </c>
      <c r="DY51">
        <v>89.8713</v>
      </c>
      <c r="DZ51">
        <v>0.00751195461538462</v>
      </c>
      <c r="EA51">
        <v>18.3828153846154</v>
      </c>
      <c r="EB51">
        <v>17.9840615384615</v>
      </c>
      <c r="EC51">
        <v>999.9</v>
      </c>
      <c r="ED51">
        <v>0</v>
      </c>
      <c r="EE51">
        <v>0</v>
      </c>
      <c r="EF51">
        <v>10016.4884615385</v>
      </c>
      <c r="EG51">
        <v>0</v>
      </c>
      <c r="EH51">
        <v>1270.11846153846</v>
      </c>
      <c r="EI51">
        <v>-37.4223384615385</v>
      </c>
      <c r="EJ51">
        <v>508.704615384615</v>
      </c>
      <c r="EK51">
        <v>545.083461538462</v>
      </c>
      <c r="EL51">
        <v>2.70873769230769</v>
      </c>
      <c r="EM51">
        <v>540.071076923077</v>
      </c>
      <c r="EN51">
        <v>9.19576692307692</v>
      </c>
      <c r="EO51">
        <v>1.06987384615385</v>
      </c>
      <c r="EP51">
        <v>0.826435538461538</v>
      </c>
      <c r="EQ51">
        <v>7.90435307692308</v>
      </c>
      <c r="ER51">
        <v>4.16966153846154</v>
      </c>
      <c r="ES51">
        <v>1199.98076923077</v>
      </c>
      <c r="ET51">
        <v>0.966989076923077</v>
      </c>
      <c r="EU51">
        <v>0.0330110384615385</v>
      </c>
      <c r="EV51">
        <v>0</v>
      </c>
      <c r="EW51">
        <v>1331.32923076923</v>
      </c>
      <c r="EX51">
        <v>5.00059</v>
      </c>
      <c r="EY51">
        <v>15597.7384615385</v>
      </c>
      <c r="EZ51">
        <v>10358.5230769231</v>
      </c>
      <c r="FA51">
        <v>36.2738461538462</v>
      </c>
      <c r="FB51">
        <v>38.0046923076923</v>
      </c>
      <c r="FC51">
        <v>36.8218461538462</v>
      </c>
      <c r="FD51">
        <v>37.1150769230769</v>
      </c>
      <c r="FE51">
        <v>37.1870769230769</v>
      </c>
      <c r="FF51">
        <v>1155.53230769231</v>
      </c>
      <c r="FG51">
        <v>39.4484615384615</v>
      </c>
      <c r="FH51">
        <v>0</v>
      </c>
      <c r="FI51">
        <v>1760989421.5</v>
      </c>
      <c r="FJ51">
        <v>0</v>
      </c>
      <c r="FK51">
        <v>1331.52846153846</v>
      </c>
      <c r="FL51">
        <v>10.0943589618212</v>
      </c>
      <c r="FM51">
        <v>118.690598108342</v>
      </c>
      <c r="FN51">
        <v>15599.6730769231</v>
      </c>
      <c r="FO51">
        <v>15</v>
      </c>
      <c r="FP51">
        <v>0</v>
      </c>
      <c r="FQ51" t="s">
        <v>439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-37.336295</v>
      </c>
      <c r="GD51">
        <v>-3.57945112781958</v>
      </c>
      <c r="GE51">
        <v>0.662223030764561</v>
      </c>
      <c r="GF51">
        <v>0</v>
      </c>
      <c r="GG51">
        <v>1330.87352941176</v>
      </c>
      <c r="GH51">
        <v>10.7856378948624</v>
      </c>
      <c r="GI51">
        <v>1.08631834342083</v>
      </c>
      <c r="GJ51">
        <v>-1</v>
      </c>
      <c r="GK51">
        <v>2.7072075</v>
      </c>
      <c r="GL51">
        <v>0.0416557894736806</v>
      </c>
      <c r="GM51">
        <v>0.00408608109929304</v>
      </c>
      <c r="GN51">
        <v>1</v>
      </c>
      <c r="GO51">
        <v>1</v>
      </c>
      <c r="GP51">
        <v>2</v>
      </c>
      <c r="GQ51" t="s">
        <v>446</v>
      </c>
      <c r="GR51">
        <v>3.13054</v>
      </c>
      <c r="GS51">
        <v>2.68584</v>
      </c>
      <c r="GT51">
        <v>0.106608</v>
      </c>
      <c r="GU51">
        <v>0.112729</v>
      </c>
      <c r="GV51">
        <v>0.0621019</v>
      </c>
      <c r="GW51">
        <v>0.0506821</v>
      </c>
      <c r="GX51">
        <v>33858.8</v>
      </c>
      <c r="GY51">
        <v>36132.4</v>
      </c>
      <c r="GZ51">
        <v>34266.6</v>
      </c>
      <c r="HA51">
        <v>36848.2</v>
      </c>
      <c r="HB51">
        <v>45333.6</v>
      </c>
      <c r="HC51">
        <v>50161.9</v>
      </c>
      <c r="HD51">
        <v>53340.6</v>
      </c>
      <c r="HE51">
        <v>58774.6</v>
      </c>
      <c r="HF51">
        <v>2.00837</v>
      </c>
      <c r="HG51">
        <v>1.83735</v>
      </c>
      <c r="HH51">
        <v>0.0328645</v>
      </c>
      <c r="HI51">
        <v>0</v>
      </c>
      <c r="HJ51">
        <v>17.4405</v>
      </c>
      <c r="HK51">
        <v>999.9</v>
      </c>
      <c r="HL51">
        <v>26.01</v>
      </c>
      <c r="HM51">
        <v>30.273</v>
      </c>
      <c r="HN51">
        <v>12.5244</v>
      </c>
      <c r="HO51">
        <v>54.3491</v>
      </c>
      <c r="HP51">
        <v>44.4191</v>
      </c>
      <c r="HQ51">
        <v>1</v>
      </c>
      <c r="HR51">
        <v>-0.26968</v>
      </c>
      <c r="HS51">
        <v>3.82236</v>
      </c>
      <c r="HT51">
        <v>20.0969</v>
      </c>
      <c r="HU51">
        <v>5.19977</v>
      </c>
      <c r="HV51">
        <v>12.004</v>
      </c>
      <c r="HW51">
        <v>4.9758</v>
      </c>
      <c r="HX51">
        <v>3.29298</v>
      </c>
      <c r="HY51">
        <v>9999</v>
      </c>
      <c r="HZ51">
        <v>999.9</v>
      </c>
      <c r="IA51">
        <v>9999</v>
      </c>
      <c r="IB51">
        <v>9999</v>
      </c>
      <c r="IC51">
        <v>1.86324</v>
      </c>
      <c r="ID51">
        <v>1.86806</v>
      </c>
      <c r="IE51">
        <v>1.86783</v>
      </c>
      <c r="IF51">
        <v>1.86905</v>
      </c>
      <c r="IG51">
        <v>1.86981</v>
      </c>
      <c r="IH51">
        <v>1.86585</v>
      </c>
      <c r="II51">
        <v>1.86695</v>
      </c>
      <c r="IJ51">
        <v>1.86844</v>
      </c>
      <c r="IK51">
        <v>5</v>
      </c>
      <c r="IL51">
        <v>0</v>
      </c>
      <c r="IM51">
        <v>0</v>
      </c>
      <c r="IN51">
        <v>0</v>
      </c>
      <c r="IO51" t="s">
        <v>441</v>
      </c>
      <c r="IP51" t="s">
        <v>442</v>
      </c>
      <c r="IQ51" t="s">
        <v>443</v>
      </c>
      <c r="IR51" t="s">
        <v>443</v>
      </c>
      <c r="IS51" t="s">
        <v>443</v>
      </c>
      <c r="IT51" t="s">
        <v>443</v>
      </c>
      <c r="IU51">
        <v>0</v>
      </c>
      <c r="IV51">
        <v>100</v>
      </c>
      <c r="IW51">
        <v>100</v>
      </c>
      <c r="IX51">
        <v>3.296</v>
      </c>
      <c r="IY51">
        <v>-0.1099</v>
      </c>
      <c r="IZ51">
        <v>1.12474291219083</v>
      </c>
      <c r="JA51">
        <v>0.00463155566490582</v>
      </c>
      <c r="JB51">
        <v>-1.1358998729424e-06</v>
      </c>
      <c r="JC51">
        <v>3.28704272115545e-10</v>
      </c>
      <c r="JD51">
        <v>-0.0704455108513773</v>
      </c>
      <c r="JE51">
        <v>-0.0251928478371425</v>
      </c>
      <c r="JF51">
        <v>0.00225751704194564</v>
      </c>
      <c r="JG51">
        <v>-3.61734043746866e-05</v>
      </c>
      <c r="JH51">
        <v>1</v>
      </c>
      <c r="JI51">
        <v>2182</v>
      </c>
      <c r="JJ51">
        <v>0</v>
      </c>
      <c r="JK51">
        <v>24</v>
      </c>
      <c r="JL51">
        <v>29349824.2</v>
      </c>
      <c r="JM51">
        <v>29349824.2</v>
      </c>
      <c r="JN51">
        <v>1.30005</v>
      </c>
      <c r="JO51">
        <v>2.62695</v>
      </c>
      <c r="JP51">
        <v>1.54785</v>
      </c>
      <c r="JQ51">
        <v>2.31445</v>
      </c>
      <c r="JR51">
        <v>1.64551</v>
      </c>
      <c r="JS51">
        <v>2.39258</v>
      </c>
      <c r="JT51">
        <v>33.5355</v>
      </c>
      <c r="JU51">
        <v>24.1926</v>
      </c>
      <c r="JV51">
        <v>18</v>
      </c>
      <c r="JW51">
        <v>500.449</v>
      </c>
      <c r="JX51">
        <v>394.283</v>
      </c>
      <c r="JY51">
        <v>12.444</v>
      </c>
      <c r="JZ51">
        <v>23.9068</v>
      </c>
      <c r="KA51">
        <v>30</v>
      </c>
      <c r="KB51">
        <v>23.925</v>
      </c>
      <c r="KC51">
        <v>23.8952</v>
      </c>
      <c r="KD51">
        <v>26.0938</v>
      </c>
      <c r="KE51">
        <v>3.04103</v>
      </c>
      <c r="KF51">
        <v>23.7343</v>
      </c>
      <c r="KG51">
        <v>12.4566</v>
      </c>
      <c r="KH51">
        <v>588.865</v>
      </c>
      <c r="KI51">
        <v>9.02205</v>
      </c>
      <c r="KJ51">
        <v>97.0437</v>
      </c>
      <c r="KK51">
        <v>95.3007</v>
      </c>
    </row>
    <row r="52" spans="1:297">
      <c r="A52">
        <v>36</v>
      </c>
      <c r="B52">
        <v>1760989457.1</v>
      </c>
      <c r="C52">
        <v>267</v>
      </c>
      <c r="D52" t="s">
        <v>513</v>
      </c>
      <c r="E52" t="s">
        <v>514</v>
      </c>
      <c r="F52">
        <v>5</v>
      </c>
      <c r="G52" t="s">
        <v>435</v>
      </c>
      <c r="H52" t="s">
        <v>436</v>
      </c>
      <c r="I52">
        <v>1760989448.94615</v>
      </c>
      <c r="J52">
        <f>(K52)/1000</f>
        <v>0</v>
      </c>
      <c r="K52">
        <f>IF(DP52, AN52, AH52)</f>
        <v>0</v>
      </c>
      <c r="L52">
        <f>IF(DP52, AI52, AG52)</f>
        <v>0</v>
      </c>
      <c r="M52">
        <f>DR52 - IF(AU52&gt;1, L52*DL52*100.0/(AW52), 0)</f>
        <v>0</v>
      </c>
      <c r="N52">
        <f>((T52-J52/2)*M52-L52)/(T52+J52/2)</f>
        <v>0</v>
      </c>
      <c r="O52">
        <f>N52*(DY52+DZ52)/1000.0</f>
        <v>0</v>
      </c>
      <c r="P52">
        <f>(DR52 - IF(AU52&gt;1, L52*DL52*100.0/(AW52), 0))*(DY52+DZ52)/1000.0</f>
        <v>0</v>
      </c>
      <c r="Q52">
        <f>2.0/((1/S52-1/R52)+SIGN(S52)*SQRT((1/S52-1/R52)*(1/S52-1/R52) + 4*DM52/((DM52+1)*(DM52+1))*(2*1/S52*1/R52-1/R52*1/R52)))</f>
        <v>0</v>
      </c>
      <c r="R52">
        <f>IF(LEFT(DN52,1)&lt;&gt;"0",IF(LEFT(DN52,1)="1",3.0,DO52),$D$5+$E$5*(EF52*DY52/($K$5*1000))+$F$5*(EF52*DY52/($K$5*1000))*MAX(MIN(DL52,$J$5),$I$5)*MAX(MIN(DL52,$J$5),$I$5)+$G$5*MAX(MIN(DL52,$J$5),$I$5)*(EF52*DY52/($K$5*1000))+$H$5*(EF52*DY52/($K$5*1000))*(EF52*DY52/($K$5*1000)))</f>
        <v>0</v>
      </c>
      <c r="S52">
        <f>J52*(1000-(1000*0.61365*exp(17.502*W52/(240.97+W52))/(DY52+DZ52)+DT52)/2)/(1000*0.61365*exp(17.502*W52/(240.97+W52))/(DY52+DZ52)-DT52)</f>
        <v>0</v>
      </c>
      <c r="T52">
        <f>1/((DM52+1)/(Q52/1.6)+1/(R52/1.37)) + DM52/((DM52+1)/(Q52/1.6) + DM52/(R52/1.37))</f>
        <v>0</v>
      </c>
      <c r="U52">
        <f>(DH52*DK52)</f>
        <v>0</v>
      </c>
      <c r="V52">
        <f>(EA52+(U52+2*0.95*5.67E-8*(((EA52+$B$7)+273)^4-(EA52+273)^4)-44100*J52)/(1.84*29.3*R52+8*0.95*5.67E-8*(EA52+273)^3))</f>
        <v>0</v>
      </c>
      <c r="W52">
        <f>($C$7*EB52+$D$7*EC52+$E$7*V52)</f>
        <v>0</v>
      </c>
      <c r="X52">
        <f>0.61365*exp(17.502*W52/(240.97+W52))</f>
        <v>0</v>
      </c>
      <c r="Y52">
        <f>(Z52/AA52*100)</f>
        <v>0</v>
      </c>
      <c r="Z52">
        <f>DT52*(DY52+DZ52)/1000</f>
        <v>0</v>
      </c>
      <c r="AA52">
        <f>0.61365*exp(17.502*EA52/(240.97+EA52))</f>
        <v>0</v>
      </c>
      <c r="AB52">
        <f>(X52-DT52*(DY52+DZ52)/1000)</f>
        <v>0</v>
      </c>
      <c r="AC52">
        <f>(-J52*44100)</f>
        <v>0</v>
      </c>
      <c r="AD52">
        <f>2*29.3*R52*0.92*(EA52-W52)</f>
        <v>0</v>
      </c>
      <c r="AE52">
        <f>2*0.95*5.67E-8*(((EA52+$B$7)+273)^4-(W52+273)^4)</f>
        <v>0</v>
      </c>
      <c r="AF52">
        <f>U52+AE52+AC52+AD52</f>
        <v>0</v>
      </c>
      <c r="AG52">
        <f>DX52*AU52*(DS52-DR52*(1000-AU52*DU52)/(1000-AU52*DT52))/(100*DL52)</f>
        <v>0</v>
      </c>
      <c r="AH52">
        <f>1000*DX52*AU52*(DT52-DU52)/(100*DL52*(1000-AU52*DT52))</f>
        <v>0</v>
      </c>
      <c r="AI52">
        <f>(AJ52 - AK52 - DY52*1E3/(8.314*(EA52+273.15)) * AM52/DX52 * AL52) * DX52/(100*DL52) * (1000 - DU52)/1000</f>
        <v>0</v>
      </c>
      <c r="AJ52">
        <v>578.80074728607</v>
      </c>
      <c r="AK52">
        <v>549.780854545455</v>
      </c>
      <c r="AL52">
        <v>3.47221897633378</v>
      </c>
      <c r="AM52">
        <v>64.8413469339502</v>
      </c>
      <c r="AN52">
        <f>(AP52 - AO52 + DY52*1E3/(8.314*(EA52+273.15)) * AR52/DX52 * AQ52) * DX52/(100*DL52) * 1000/(1000 - AP52)</f>
        <v>0</v>
      </c>
      <c r="AO52">
        <v>9.19253503423877</v>
      </c>
      <c r="AP52">
        <v>11.9148248484848</v>
      </c>
      <c r="AQ52">
        <v>5.61478447915375e-06</v>
      </c>
      <c r="AR52">
        <v>118.472689631034</v>
      </c>
      <c r="AS52">
        <v>0</v>
      </c>
      <c r="AT52">
        <v>0</v>
      </c>
      <c r="AU52">
        <f>IF(AS52*$H$13&gt;=AW52,1.0,(AW52/(AW52-AS52*$H$13)))</f>
        <v>0</v>
      </c>
      <c r="AV52">
        <f>(AU52-1)*100</f>
        <v>0</v>
      </c>
      <c r="AW52">
        <f>MAX(0,($B$13+$C$13*EF52)/(1+$D$13*EF52)*DY52/(EA52+273)*$E$13)</f>
        <v>0</v>
      </c>
      <c r="AX52" t="s">
        <v>437</v>
      </c>
      <c r="AY52" t="s">
        <v>437</v>
      </c>
      <c r="AZ52">
        <v>0</v>
      </c>
      <c r="BA52">
        <v>0</v>
      </c>
      <c r="BB52">
        <f>1-AZ52/BA52</f>
        <v>0</v>
      </c>
      <c r="BC52">
        <v>0</v>
      </c>
      <c r="BD52" t="s">
        <v>437</v>
      </c>
      <c r="BE52" t="s">
        <v>437</v>
      </c>
      <c r="BF52">
        <v>0</v>
      </c>
      <c r="BG52">
        <v>0</v>
      </c>
      <c r="BH52">
        <f>1-BF52/BG52</f>
        <v>0</v>
      </c>
      <c r="BI52">
        <v>0.5</v>
      </c>
      <c r="BJ52">
        <f>DI52</f>
        <v>0</v>
      </c>
      <c r="BK52">
        <f>L52</f>
        <v>0</v>
      </c>
      <c r="BL52">
        <f>BH52*BI52*BJ52</f>
        <v>0</v>
      </c>
      <c r="BM52">
        <f>(BK52-BC52)/BJ52</f>
        <v>0</v>
      </c>
      <c r="BN52">
        <f>(BA52-BG52)/BG52</f>
        <v>0</v>
      </c>
      <c r="BO52">
        <f>AZ52/(BB52+AZ52/BG52)</f>
        <v>0</v>
      </c>
      <c r="BP52" t="s">
        <v>437</v>
      </c>
      <c r="BQ52">
        <v>0</v>
      </c>
      <c r="BR52">
        <f>IF(BQ52&lt;&gt;0, BQ52, BO52)</f>
        <v>0</v>
      </c>
      <c r="BS52">
        <f>1-BR52/BG52</f>
        <v>0</v>
      </c>
      <c r="BT52">
        <f>(BG52-BF52)/(BG52-BR52)</f>
        <v>0</v>
      </c>
      <c r="BU52">
        <f>(BA52-BG52)/(BA52-BR52)</f>
        <v>0</v>
      </c>
      <c r="BV52">
        <f>(BG52-BF52)/(BG52-AZ52)</f>
        <v>0</v>
      </c>
      <c r="BW52">
        <f>(BA52-BG52)/(BA52-AZ52)</f>
        <v>0</v>
      </c>
      <c r="BX52">
        <f>(BT52*BR52/BF52)</f>
        <v>0</v>
      </c>
      <c r="BY52">
        <f>(1-BX52)</f>
        <v>0</v>
      </c>
      <c r="DH52">
        <f>$B$11*EG52+$C$11*EH52+$F$11*ES52*(1-EV52)</f>
        <v>0</v>
      </c>
      <c r="DI52">
        <f>DH52*DJ52</f>
        <v>0</v>
      </c>
      <c r="DJ52">
        <f>($B$11*$D$9+$C$11*$D$9+$F$11*((FF52+EX52)/MAX(FF52+EX52+FG52, 0.1)*$I$9+FG52/MAX(FF52+EX52+FG52, 0.1)*$J$9))/($B$11+$C$11+$F$11)</f>
        <v>0</v>
      </c>
      <c r="DK52">
        <f>($B$11*$K$9+$C$11*$K$9+$F$11*((FF52+EX52)/MAX(FF52+EX52+FG52, 0.1)*$P$9+FG52/MAX(FF52+EX52+FG52, 0.1)*$Q$9))/($B$11+$C$11+$F$11)</f>
        <v>0</v>
      </c>
      <c r="DL52">
        <v>6</v>
      </c>
      <c r="DM52">
        <v>0.5</v>
      </c>
      <c r="DN52" t="s">
        <v>438</v>
      </c>
      <c r="DO52">
        <v>2</v>
      </c>
      <c r="DP52" t="b">
        <v>1</v>
      </c>
      <c r="DQ52">
        <v>1760989448.94615</v>
      </c>
      <c r="DR52">
        <v>519.188615384615</v>
      </c>
      <c r="DS52">
        <v>557.289692307692</v>
      </c>
      <c r="DT52">
        <v>11.9083923076923</v>
      </c>
      <c r="DU52">
        <v>9.19485923076923</v>
      </c>
      <c r="DV52">
        <v>515.931615384615</v>
      </c>
      <c r="DW52">
        <v>12.0183307692308</v>
      </c>
      <c r="DX52">
        <v>499.993615384615</v>
      </c>
      <c r="DY52">
        <v>89.8715846153846</v>
      </c>
      <c r="DZ52">
        <v>0.00752038461538461</v>
      </c>
      <c r="EA52">
        <v>18.3815538461538</v>
      </c>
      <c r="EB52">
        <v>17.9831692307692</v>
      </c>
      <c r="EC52">
        <v>999.9</v>
      </c>
      <c r="ED52">
        <v>0</v>
      </c>
      <c r="EE52">
        <v>0</v>
      </c>
      <c r="EF52">
        <v>10019.4653846154</v>
      </c>
      <c r="EG52">
        <v>0</v>
      </c>
      <c r="EH52">
        <v>1270.13384615385</v>
      </c>
      <c r="EI52">
        <v>-38.1010230769231</v>
      </c>
      <c r="EJ52">
        <v>525.445923076923</v>
      </c>
      <c r="EK52">
        <v>562.461384615385</v>
      </c>
      <c r="EL52">
        <v>2.71352846153846</v>
      </c>
      <c r="EM52">
        <v>557.289692307692</v>
      </c>
      <c r="EN52">
        <v>9.19485923076923</v>
      </c>
      <c r="EO52">
        <v>1.07022538461538</v>
      </c>
      <c r="EP52">
        <v>0.826356538461539</v>
      </c>
      <c r="EQ52">
        <v>7.90918769230769</v>
      </c>
      <c r="ER52">
        <v>4.1683</v>
      </c>
      <c r="ES52">
        <v>1199.97</v>
      </c>
      <c r="ET52">
        <v>0.966992384615385</v>
      </c>
      <c r="EU52">
        <v>0.0330077230769231</v>
      </c>
      <c r="EV52">
        <v>0</v>
      </c>
      <c r="EW52">
        <v>1332.00384615385</v>
      </c>
      <c r="EX52">
        <v>5.00059</v>
      </c>
      <c r="EY52">
        <v>15608.5615384615</v>
      </c>
      <c r="EZ52">
        <v>10358.4307692308</v>
      </c>
      <c r="FA52">
        <v>36.2738461538462</v>
      </c>
      <c r="FB52">
        <v>38.0575384615385</v>
      </c>
      <c r="FC52">
        <v>36.8266153846154</v>
      </c>
      <c r="FD52">
        <v>37.1726923076923</v>
      </c>
      <c r="FE52">
        <v>37.2159230769231</v>
      </c>
      <c r="FF52">
        <v>1155.52615384615</v>
      </c>
      <c r="FG52">
        <v>39.4430769230769</v>
      </c>
      <c r="FH52">
        <v>0</v>
      </c>
      <c r="FI52">
        <v>1760989426.3</v>
      </c>
      <c r="FJ52">
        <v>0</v>
      </c>
      <c r="FK52">
        <v>1332.16615384615</v>
      </c>
      <c r="FL52">
        <v>6.56683761584037</v>
      </c>
      <c r="FM52">
        <v>132.762393169173</v>
      </c>
      <c r="FN52">
        <v>15609.9653846154</v>
      </c>
      <c r="FO52">
        <v>15</v>
      </c>
      <c r="FP52">
        <v>0</v>
      </c>
      <c r="FQ52" t="s">
        <v>439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-37.740119047619</v>
      </c>
      <c r="GD52">
        <v>-6.07896623376626</v>
      </c>
      <c r="GE52">
        <v>0.832872496741047</v>
      </c>
      <c r="GF52">
        <v>0</v>
      </c>
      <c r="GG52">
        <v>1331.63352941176</v>
      </c>
      <c r="GH52">
        <v>8.48861727131466</v>
      </c>
      <c r="GI52">
        <v>0.877227860776875</v>
      </c>
      <c r="GJ52">
        <v>-1</v>
      </c>
      <c r="GK52">
        <v>2.71092333333333</v>
      </c>
      <c r="GL52">
        <v>0.056443636363637</v>
      </c>
      <c r="GM52">
        <v>0.00578567058576485</v>
      </c>
      <c r="GN52">
        <v>1</v>
      </c>
      <c r="GO52">
        <v>1</v>
      </c>
      <c r="GP52">
        <v>2</v>
      </c>
      <c r="GQ52" t="s">
        <v>446</v>
      </c>
      <c r="GR52">
        <v>3.13056</v>
      </c>
      <c r="GS52">
        <v>2.6857</v>
      </c>
      <c r="GT52">
        <v>0.1091</v>
      </c>
      <c r="GU52">
        <v>0.115081</v>
      </c>
      <c r="GV52">
        <v>0.0621161</v>
      </c>
      <c r="GW52">
        <v>0.0506602</v>
      </c>
      <c r="GX52">
        <v>33764.5</v>
      </c>
      <c r="GY52">
        <v>36037.2</v>
      </c>
      <c r="GZ52">
        <v>34266.7</v>
      </c>
      <c r="HA52">
        <v>36848.9</v>
      </c>
      <c r="HB52">
        <v>45333.4</v>
      </c>
      <c r="HC52">
        <v>50164.3</v>
      </c>
      <c r="HD52">
        <v>53340.8</v>
      </c>
      <c r="HE52">
        <v>58775.6</v>
      </c>
      <c r="HF52">
        <v>2.0085</v>
      </c>
      <c r="HG52">
        <v>1.83738</v>
      </c>
      <c r="HH52">
        <v>0.0323504</v>
      </c>
      <c r="HI52">
        <v>0</v>
      </c>
      <c r="HJ52">
        <v>17.4405</v>
      </c>
      <c r="HK52">
        <v>999.9</v>
      </c>
      <c r="HL52">
        <v>26.01</v>
      </c>
      <c r="HM52">
        <v>30.273</v>
      </c>
      <c r="HN52">
        <v>12.5248</v>
      </c>
      <c r="HO52">
        <v>54.0591</v>
      </c>
      <c r="HP52">
        <v>44.5353</v>
      </c>
      <c r="HQ52">
        <v>1</v>
      </c>
      <c r="HR52">
        <v>-0.269812</v>
      </c>
      <c r="HS52">
        <v>3.82583</v>
      </c>
      <c r="HT52">
        <v>20.0965</v>
      </c>
      <c r="HU52">
        <v>5.19932</v>
      </c>
      <c r="HV52">
        <v>12.004</v>
      </c>
      <c r="HW52">
        <v>4.97555</v>
      </c>
      <c r="HX52">
        <v>3.2929</v>
      </c>
      <c r="HY52">
        <v>9999</v>
      </c>
      <c r="HZ52">
        <v>999.9</v>
      </c>
      <c r="IA52">
        <v>9999</v>
      </c>
      <c r="IB52">
        <v>9999</v>
      </c>
      <c r="IC52">
        <v>1.86325</v>
      </c>
      <c r="ID52">
        <v>1.86805</v>
      </c>
      <c r="IE52">
        <v>1.86783</v>
      </c>
      <c r="IF52">
        <v>1.86905</v>
      </c>
      <c r="IG52">
        <v>1.86981</v>
      </c>
      <c r="IH52">
        <v>1.86585</v>
      </c>
      <c r="II52">
        <v>1.86695</v>
      </c>
      <c r="IJ52">
        <v>1.86842</v>
      </c>
      <c r="IK52">
        <v>5</v>
      </c>
      <c r="IL52">
        <v>0</v>
      </c>
      <c r="IM52">
        <v>0</v>
      </c>
      <c r="IN52">
        <v>0</v>
      </c>
      <c r="IO52" t="s">
        <v>441</v>
      </c>
      <c r="IP52" t="s">
        <v>442</v>
      </c>
      <c r="IQ52" t="s">
        <v>443</v>
      </c>
      <c r="IR52" t="s">
        <v>443</v>
      </c>
      <c r="IS52" t="s">
        <v>443</v>
      </c>
      <c r="IT52" t="s">
        <v>443</v>
      </c>
      <c r="IU52">
        <v>0</v>
      </c>
      <c r="IV52">
        <v>100</v>
      </c>
      <c r="IW52">
        <v>100</v>
      </c>
      <c r="IX52">
        <v>3.359</v>
      </c>
      <c r="IY52">
        <v>-0.1099</v>
      </c>
      <c r="IZ52">
        <v>1.12474291219083</v>
      </c>
      <c r="JA52">
        <v>0.00463155566490582</v>
      </c>
      <c r="JB52">
        <v>-1.1358998729424e-06</v>
      </c>
      <c r="JC52">
        <v>3.28704272115545e-10</v>
      </c>
      <c r="JD52">
        <v>-0.0704455108513773</v>
      </c>
      <c r="JE52">
        <v>-0.0251928478371425</v>
      </c>
      <c r="JF52">
        <v>0.00225751704194564</v>
      </c>
      <c r="JG52">
        <v>-3.61734043746866e-05</v>
      </c>
      <c r="JH52">
        <v>1</v>
      </c>
      <c r="JI52">
        <v>2182</v>
      </c>
      <c r="JJ52">
        <v>0</v>
      </c>
      <c r="JK52">
        <v>24</v>
      </c>
      <c r="JL52">
        <v>29349824.3</v>
      </c>
      <c r="JM52">
        <v>29349824.3</v>
      </c>
      <c r="JN52">
        <v>1.3269</v>
      </c>
      <c r="JO52">
        <v>2.62573</v>
      </c>
      <c r="JP52">
        <v>1.54785</v>
      </c>
      <c r="JQ52">
        <v>2.31445</v>
      </c>
      <c r="JR52">
        <v>1.64673</v>
      </c>
      <c r="JS52">
        <v>2.39746</v>
      </c>
      <c r="JT52">
        <v>33.5355</v>
      </c>
      <c r="JU52">
        <v>24.1926</v>
      </c>
      <c r="JV52">
        <v>18</v>
      </c>
      <c r="JW52">
        <v>500.529</v>
      </c>
      <c r="JX52">
        <v>394.296</v>
      </c>
      <c r="JY52">
        <v>12.4568</v>
      </c>
      <c r="JZ52">
        <v>23.9068</v>
      </c>
      <c r="KA52">
        <v>30.0001</v>
      </c>
      <c r="KB52">
        <v>23.925</v>
      </c>
      <c r="KC52">
        <v>23.8952</v>
      </c>
      <c r="KD52">
        <v>26.6983</v>
      </c>
      <c r="KE52">
        <v>4.06392</v>
      </c>
      <c r="KF52">
        <v>23.7343</v>
      </c>
      <c r="KG52">
        <v>12.4696</v>
      </c>
      <c r="KH52">
        <v>609.122</v>
      </c>
      <c r="KI52">
        <v>8.99656</v>
      </c>
      <c r="KJ52">
        <v>97.044</v>
      </c>
      <c r="KK52">
        <v>95.3023</v>
      </c>
    </row>
    <row r="53" spans="1:297">
      <c r="A53">
        <v>37</v>
      </c>
      <c r="B53">
        <v>1760989462.1</v>
      </c>
      <c r="C53">
        <v>272</v>
      </c>
      <c r="D53" t="s">
        <v>515</v>
      </c>
      <c r="E53" t="s">
        <v>516</v>
      </c>
      <c r="F53">
        <v>5</v>
      </c>
      <c r="G53" t="s">
        <v>435</v>
      </c>
      <c r="H53" t="s">
        <v>436</v>
      </c>
      <c r="I53">
        <v>1760989453.94615</v>
      </c>
      <c r="J53">
        <f>(K53)/1000</f>
        <v>0</v>
      </c>
      <c r="K53">
        <f>IF(DP53, AN53, AH53)</f>
        <v>0</v>
      </c>
      <c r="L53">
        <f>IF(DP53, AI53, AG53)</f>
        <v>0</v>
      </c>
      <c r="M53">
        <f>DR53 - IF(AU53&gt;1, L53*DL53*100.0/(AW53), 0)</f>
        <v>0</v>
      </c>
      <c r="N53">
        <f>((T53-J53/2)*M53-L53)/(T53+J53/2)</f>
        <v>0</v>
      </c>
      <c r="O53">
        <f>N53*(DY53+DZ53)/1000.0</f>
        <v>0</v>
      </c>
      <c r="P53">
        <f>(DR53 - IF(AU53&gt;1, L53*DL53*100.0/(AW53), 0))*(DY53+DZ53)/1000.0</f>
        <v>0</v>
      </c>
      <c r="Q53">
        <f>2.0/((1/S53-1/R53)+SIGN(S53)*SQRT((1/S53-1/R53)*(1/S53-1/R53) + 4*DM53/((DM53+1)*(DM53+1))*(2*1/S53*1/R53-1/R53*1/R53)))</f>
        <v>0</v>
      </c>
      <c r="R53">
        <f>IF(LEFT(DN53,1)&lt;&gt;"0",IF(LEFT(DN53,1)="1",3.0,DO53),$D$5+$E$5*(EF53*DY53/($K$5*1000))+$F$5*(EF53*DY53/($K$5*1000))*MAX(MIN(DL53,$J$5),$I$5)*MAX(MIN(DL53,$J$5),$I$5)+$G$5*MAX(MIN(DL53,$J$5),$I$5)*(EF53*DY53/($K$5*1000))+$H$5*(EF53*DY53/($K$5*1000))*(EF53*DY53/($K$5*1000)))</f>
        <v>0</v>
      </c>
      <c r="S53">
        <f>J53*(1000-(1000*0.61365*exp(17.502*W53/(240.97+W53))/(DY53+DZ53)+DT53)/2)/(1000*0.61365*exp(17.502*W53/(240.97+W53))/(DY53+DZ53)-DT53)</f>
        <v>0</v>
      </c>
      <c r="T53">
        <f>1/((DM53+1)/(Q53/1.6)+1/(R53/1.37)) + DM53/((DM53+1)/(Q53/1.6) + DM53/(R53/1.37))</f>
        <v>0</v>
      </c>
      <c r="U53">
        <f>(DH53*DK53)</f>
        <v>0</v>
      </c>
      <c r="V53">
        <f>(EA53+(U53+2*0.95*5.67E-8*(((EA53+$B$7)+273)^4-(EA53+273)^4)-44100*J53)/(1.84*29.3*R53+8*0.95*5.67E-8*(EA53+273)^3))</f>
        <v>0</v>
      </c>
      <c r="W53">
        <f>($C$7*EB53+$D$7*EC53+$E$7*V53)</f>
        <v>0</v>
      </c>
      <c r="X53">
        <f>0.61365*exp(17.502*W53/(240.97+W53))</f>
        <v>0</v>
      </c>
      <c r="Y53">
        <f>(Z53/AA53*100)</f>
        <v>0</v>
      </c>
      <c r="Z53">
        <f>DT53*(DY53+DZ53)/1000</f>
        <v>0</v>
      </c>
      <c r="AA53">
        <f>0.61365*exp(17.502*EA53/(240.97+EA53))</f>
        <v>0</v>
      </c>
      <c r="AB53">
        <f>(X53-DT53*(DY53+DZ53)/1000)</f>
        <v>0</v>
      </c>
      <c r="AC53">
        <f>(-J53*44100)</f>
        <v>0</v>
      </c>
      <c r="AD53">
        <f>2*29.3*R53*0.92*(EA53-W53)</f>
        <v>0</v>
      </c>
      <c r="AE53">
        <f>2*0.95*5.67E-8*(((EA53+$B$7)+273)^4-(W53+273)^4)</f>
        <v>0</v>
      </c>
      <c r="AF53">
        <f>U53+AE53+AC53+AD53</f>
        <v>0</v>
      </c>
      <c r="AG53">
        <f>DX53*AU53*(DS53-DR53*(1000-AU53*DU53)/(1000-AU53*DT53))/(100*DL53)</f>
        <v>0</v>
      </c>
      <c r="AH53">
        <f>1000*DX53*AU53*(DT53-DU53)/(100*DL53*(1000-AU53*DT53))</f>
        <v>0</v>
      </c>
      <c r="AI53">
        <f>(AJ53 - AK53 - DY53*1E3/(8.314*(EA53+273.15)) * AM53/DX53 * AL53) * DX53/(100*DL53) * (1000 - DU53)/1000</f>
        <v>0</v>
      </c>
      <c r="AJ53">
        <v>595.199402690318</v>
      </c>
      <c r="AK53">
        <v>566.392648484848</v>
      </c>
      <c r="AL53">
        <v>3.29808250195109</v>
      </c>
      <c r="AM53">
        <v>64.8413469339502</v>
      </c>
      <c r="AN53">
        <f>(AP53 - AO53 + DY53*1E3/(8.314*(EA53+273.15)) * AR53/DX53 * AQ53) * DX53/(100*DL53) * 1000/(1000 - AP53)</f>
        <v>0</v>
      </c>
      <c r="AO53">
        <v>9.18246467365867</v>
      </c>
      <c r="AP53">
        <v>11.9133545454545</v>
      </c>
      <c r="AQ53">
        <v>-1.59899861934946e-06</v>
      </c>
      <c r="AR53">
        <v>118.472689631034</v>
      </c>
      <c r="AS53">
        <v>0</v>
      </c>
      <c r="AT53">
        <v>0</v>
      </c>
      <c r="AU53">
        <f>IF(AS53*$H$13&gt;=AW53,1.0,(AW53/(AW53-AS53*$H$13)))</f>
        <v>0</v>
      </c>
      <c r="AV53">
        <f>(AU53-1)*100</f>
        <v>0</v>
      </c>
      <c r="AW53">
        <f>MAX(0,($B$13+$C$13*EF53)/(1+$D$13*EF53)*DY53/(EA53+273)*$E$13)</f>
        <v>0</v>
      </c>
      <c r="AX53" t="s">
        <v>437</v>
      </c>
      <c r="AY53" t="s">
        <v>437</v>
      </c>
      <c r="AZ53">
        <v>0</v>
      </c>
      <c r="BA53">
        <v>0</v>
      </c>
      <c r="BB53">
        <f>1-AZ53/BA53</f>
        <v>0</v>
      </c>
      <c r="BC53">
        <v>0</v>
      </c>
      <c r="BD53" t="s">
        <v>437</v>
      </c>
      <c r="BE53" t="s">
        <v>437</v>
      </c>
      <c r="BF53">
        <v>0</v>
      </c>
      <c r="BG53">
        <v>0</v>
      </c>
      <c r="BH53">
        <f>1-BF53/BG53</f>
        <v>0</v>
      </c>
      <c r="BI53">
        <v>0.5</v>
      </c>
      <c r="BJ53">
        <f>DI53</f>
        <v>0</v>
      </c>
      <c r="BK53">
        <f>L53</f>
        <v>0</v>
      </c>
      <c r="BL53">
        <f>BH53*BI53*BJ53</f>
        <v>0</v>
      </c>
      <c r="BM53">
        <f>(BK53-BC53)/BJ53</f>
        <v>0</v>
      </c>
      <c r="BN53">
        <f>(BA53-BG53)/BG53</f>
        <v>0</v>
      </c>
      <c r="BO53">
        <f>AZ53/(BB53+AZ53/BG53)</f>
        <v>0</v>
      </c>
      <c r="BP53" t="s">
        <v>437</v>
      </c>
      <c r="BQ53">
        <v>0</v>
      </c>
      <c r="BR53">
        <f>IF(BQ53&lt;&gt;0, BQ53, BO53)</f>
        <v>0</v>
      </c>
      <c r="BS53">
        <f>1-BR53/BG53</f>
        <v>0</v>
      </c>
      <c r="BT53">
        <f>(BG53-BF53)/(BG53-BR53)</f>
        <v>0</v>
      </c>
      <c r="BU53">
        <f>(BA53-BG53)/(BA53-BR53)</f>
        <v>0</v>
      </c>
      <c r="BV53">
        <f>(BG53-BF53)/(BG53-AZ53)</f>
        <v>0</v>
      </c>
      <c r="BW53">
        <f>(BA53-BG53)/(BA53-AZ53)</f>
        <v>0</v>
      </c>
      <c r="BX53">
        <f>(BT53*BR53/BF53)</f>
        <v>0</v>
      </c>
      <c r="BY53">
        <f>(1-BX53)</f>
        <v>0</v>
      </c>
      <c r="DH53">
        <f>$B$11*EG53+$C$11*EH53+$F$11*ES53*(1-EV53)</f>
        <v>0</v>
      </c>
      <c r="DI53">
        <f>DH53*DJ53</f>
        <v>0</v>
      </c>
      <c r="DJ53">
        <f>($B$11*$D$9+$C$11*$D$9+$F$11*((FF53+EX53)/MAX(FF53+EX53+FG53, 0.1)*$I$9+FG53/MAX(FF53+EX53+FG53, 0.1)*$J$9))/($B$11+$C$11+$F$11)</f>
        <v>0</v>
      </c>
      <c r="DK53">
        <f>($B$11*$K$9+$C$11*$K$9+$F$11*((FF53+EX53)/MAX(FF53+EX53+FG53, 0.1)*$P$9+FG53/MAX(FF53+EX53+FG53, 0.1)*$Q$9))/($B$11+$C$11+$F$11)</f>
        <v>0</v>
      </c>
      <c r="DL53">
        <v>6</v>
      </c>
      <c r="DM53">
        <v>0.5</v>
      </c>
      <c r="DN53" t="s">
        <v>438</v>
      </c>
      <c r="DO53">
        <v>2</v>
      </c>
      <c r="DP53" t="b">
        <v>1</v>
      </c>
      <c r="DQ53">
        <v>1760989453.94615</v>
      </c>
      <c r="DR53">
        <v>535.892307692308</v>
      </c>
      <c r="DS53">
        <v>573.937153846154</v>
      </c>
      <c r="DT53">
        <v>11.9112846153846</v>
      </c>
      <c r="DU53">
        <v>9.19100846153846</v>
      </c>
      <c r="DV53">
        <v>532.573615384615</v>
      </c>
      <c r="DW53">
        <v>12.0211923076923</v>
      </c>
      <c r="DX53">
        <v>500.016769230769</v>
      </c>
      <c r="DY53">
        <v>89.8718615384615</v>
      </c>
      <c r="DZ53">
        <v>0.00734778307692308</v>
      </c>
      <c r="EA53">
        <v>18.3805230769231</v>
      </c>
      <c r="EB53">
        <v>17.9838307692308</v>
      </c>
      <c r="EC53">
        <v>999.9</v>
      </c>
      <c r="ED53">
        <v>0</v>
      </c>
      <c r="EE53">
        <v>0</v>
      </c>
      <c r="EF53">
        <v>10033.6538461538</v>
      </c>
      <c r="EG53">
        <v>0</v>
      </c>
      <c r="EH53">
        <v>1270.14538461538</v>
      </c>
      <c r="EI53">
        <v>-38.0447076923077</v>
      </c>
      <c r="EJ53">
        <v>542.352461538462</v>
      </c>
      <c r="EK53">
        <v>579.261</v>
      </c>
      <c r="EL53">
        <v>2.72028</v>
      </c>
      <c r="EM53">
        <v>573.937153846154</v>
      </c>
      <c r="EN53">
        <v>9.19100846153846</v>
      </c>
      <c r="EO53">
        <v>1.07048923076923</v>
      </c>
      <c r="EP53">
        <v>0.826013</v>
      </c>
      <c r="EQ53">
        <v>7.91281076923077</v>
      </c>
      <c r="ER53">
        <v>4.16237384615385</v>
      </c>
      <c r="ES53">
        <v>1199.97384615385</v>
      </c>
      <c r="ET53">
        <v>0.966997538461538</v>
      </c>
      <c r="EU53">
        <v>0.0330024230769231</v>
      </c>
      <c r="EV53">
        <v>0</v>
      </c>
      <c r="EW53">
        <v>1332.55230769231</v>
      </c>
      <c r="EX53">
        <v>5.00059</v>
      </c>
      <c r="EY53">
        <v>15620.0846153846</v>
      </c>
      <c r="EZ53">
        <v>10358.4846153846</v>
      </c>
      <c r="FA53">
        <v>36.3218461538462</v>
      </c>
      <c r="FB53">
        <v>38.1680769230769</v>
      </c>
      <c r="FC53">
        <v>36.8796153846154</v>
      </c>
      <c r="FD53">
        <v>37.2977692307692</v>
      </c>
      <c r="FE53">
        <v>37.2880769230769</v>
      </c>
      <c r="FF53">
        <v>1155.53615384615</v>
      </c>
      <c r="FG53">
        <v>39.4369230769231</v>
      </c>
      <c r="FH53">
        <v>0</v>
      </c>
      <c r="FI53">
        <v>1760989431.1</v>
      </c>
      <c r="FJ53">
        <v>0</v>
      </c>
      <c r="FK53">
        <v>1332.72615384615</v>
      </c>
      <c r="FL53">
        <v>5.90700855006442</v>
      </c>
      <c r="FM53">
        <v>136.837606795988</v>
      </c>
      <c r="FN53">
        <v>15620.6730769231</v>
      </c>
      <c r="FO53">
        <v>15</v>
      </c>
      <c r="FP53">
        <v>0</v>
      </c>
      <c r="FQ53" t="s">
        <v>439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-38.09018</v>
      </c>
      <c r="GD53">
        <v>-0.980517293233048</v>
      </c>
      <c r="GE53">
        <v>0.554837839012446</v>
      </c>
      <c r="GF53">
        <v>0</v>
      </c>
      <c r="GG53">
        <v>1332.34941176471</v>
      </c>
      <c r="GH53">
        <v>6.54484339526243</v>
      </c>
      <c r="GI53">
        <v>0.686739702278177</v>
      </c>
      <c r="GJ53">
        <v>-1</v>
      </c>
      <c r="GK53">
        <v>2.717321</v>
      </c>
      <c r="GL53">
        <v>0.0815684210526345</v>
      </c>
      <c r="GM53">
        <v>0.00800657348682948</v>
      </c>
      <c r="GN53">
        <v>1</v>
      </c>
      <c r="GO53">
        <v>1</v>
      </c>
      <c r="GP53">
        <v>2</v>
      </c>
      <c r="GQ53" t="s">
        <v>446</v>
      </c>
      <c r="GR53">
        <v>3.13061</v>
      </c>
      <c r="GS53">
        <v>2.68532</v>
      </c>
      <c r="GT53">
        <v>0.11145</v>
      </c>
      <c r="GU53">
        <v>0.117476</v>
      </c>
      <c r="GV53">
        <v>0.0621177</v>
      </c>
      <c r="GW53">
        <v>0.0506056</v>
      </c>
      <c r="GX53">
        <v>33675.4</v>
      </c>
      <c r="GY53">
        <v>35939.9</v>
      </c>
      <c r="GZ53">
        <v>34266.7</v>
      </c>
      <c r="HA53">
        <v>36848.9</v>
      </c>
      <c r="HB53">
        <v>45333.8</v>
      </c>
      <c r="HC53">
        <v>50167.5</v>
      </c>
      <c r="HD53">
        <v>53341</v>
      </c>
      <c r="HE53">
        <v>58775.6</v>
      </c>
      <c r="HF53">
        <v>2.00872</v>
      </c>
      <c r="HG53">
        <v>1.83748</v>
      </c>
      <c r="HH53">
        <v>0.0325069</v>
      </c>
      <c r="HI53">
        <v>0</v>
      </c>
      <c r="HJ53">
        <v>17.4405</v>
      </c>
      <c r="HK53">
        <v>999.9</v>
      </c>
      <c r="HL53">
        <v>26.01</v>
      </c>
      <c r="HM53">
        <v>30.273</v>
      </c>
      <c r="HN53">
        <v>12.5252</v>
      </c>
      <c r="HO53">
        <v>54.4891</v>
      </c>
      <c r="HP53">
        <v>44.5152</v>
      </c>
      <c r="HQ53">
        <v>1</v>
      </c>
      <c r="HR53">
        <v>-0.269794</v>
      </c>
      <c r="HS53">
        <v>3.8118</v>
      </c>
      <c r="HT53">
        <v>20.0964</v>
      </c>
      <c r="HU53">
        <v>5.19992</v>
      </c>
      <c r="HV53">
        <v>12.004</v>
      </c>
      <c r="HW53">
        <v>4.97585</v>
      </c>
      <c r="HX53">
        <v>3.293</v>
      </c>
      <c r="HY53">
        <v>9999</v>
      </c>
      <c r="HZ53">
        <v>999.9</v>
      </c>
      <c r="IA53">
        <v>9999</v>
      </c>
      <c r="IB53">
        <v>9999</v>
      </c>
      <c r="IC53">
        <v>1.86325</v>
      </c>
      <c r="ID53">
        <v>1.86807</v>
      </c>
      <c r="IE53">
        <v>1.86783</v>
      </c>
      <c r="IF53">
        <v>1.86905</v>
      </c>
      <c r="IG53">
        <v>1.86981</v>
      </c>
      <c r="IH53">
        <v>1.86586</v>
      </c>
      <c r="II53">
        <v>1.86693</v>
      </c>
      <c r="IJ53">
        <v>1.86842</v>
      </c>
      <c r="IK53">
        <v>5</v>
      </c>
      <c r="IL53">
        <v>0</v>
      </c>
      <c r="IM53">
        <v>0</v>
      </c>
      <c r="IN53">
        <v>0</v>
      </c>
      <c r="IO53" t="s">
        <v>441</v>
      </c>
      <c r="IP53" t="s">
        <v>442</v>
      </c>
      <c r="IQ53" t="s">
        <v>443</v>
      </c>
      <c r="IR53" t="s">
        <v>443</v>
      </c>
      <c r="IS53" t="s">
        <v>443</v>
      </c>
      <c r="IT53" t="s">
        <v>443</v>
      </c>
      <c r="IU53">
        <v>0</v>
      </c>
      <c r="IV53">
        <v>100</v>
      </c>
      <c r="IW53">
        <v>100</v>
      </c>
      <c r="IX53">
        <v>3.419</v>
      </c>
      <c r="IY53">
        <v>-0.1099</v>
      </c>
      <c r="IZ53">
        <v>1.12474291219083</v>
      </c>
      <c r="JA53">
        <v>0.00463155566490582</v>
      </c>
      <c r="JB53">
        <v>-1.1358998729424e-06</v>
      </c>
      <c r="JC53">
        <v>3.28704272115545e-10</v>
      </c>
      <c r="JD53">
        <v>-0.0704455108513773</v>
      </c>
      <c r="JE53">
        <v>-0.0251928478371425</v>
      </c>
      <c r="JF53">
        <v>0.00225751704194564</v>
      </c>
      <c r="JG53">
        <v>-3.61734043746866e-05</v>
      </c>
      <c r="JH53">
        <v>1</v>
      </c>
      <c r="JI53">
        <v>2182</v>
      </c>
      <c r="JJ53">
        <v>0</v>
      </c>
      <c r="JK53">
        <v>24</v>
      </c>
      <c r="JL53">
        <v>29349824.4</v>
      </c>
      <c r="JM53">
        <v>29349824.4</v>
      </c>
      <c r="JN53">
        <v>1.36108</v>
      </c>
      <c r="JO53">
        <v>2.62695</v>
      </c>
      <c r="JP53">
        <v>1.54785</v>
      </c>
      <c r="JQ53">
        <v>2.31445</v>
      </c>
      <c r="JR53">
        <v>1.64673</v>
      </c>
      <c r="JS53">
        <v>2.38892</v>
      </c>
      <c r="JT53">
        <v>33.5355</v>
      </c>
      <c r="JU53">
        <v>24.1926</v>
      </c>
      <c r="JV53">
        <v>18</v>
      </c>
      <c r="JW53">
        <v>500.673</v>
      </c>
      <c r="JX53">
        <v>394.348</v>
      </c>
      <c r="JY53">
        <v>12.4689</v>
      </c>
      <c r="JZ53">
        <v>23.9068</v>
      </c>
      <c r="KA53">
        <v>30</v>
      </c>
      <c r="KB53">
        <v>23.925</v>
      </c>
      <c r="KC53">
        <v>23.8952</v>
      </c>
      <c r="KD53">
        <v>27.3082</v>
      </c>
      <c r="KE53">
        <v>5.13428</v>
      </c>
      <c r="KF53">
        <v>23.7343</v>
      </c>
      <c r="KG53">
        <v>12.4812</v>
      </c>
      <c r="KH53">
        <v>622.664</v>
      </c>
      <c r="KI53">
        <v>8.97219</v>
      </c>
      <c r="KJ53">
        <v>97.0442</v>
      </c>
      <c r="KK53">
        <v>95.3024</v>
      </c>
    </row>
    <row r="54" spans="1:297">
      <c r="A54">
        <v>38</v>
      </c>
      <c r="B54">
        <v>1760989467.1</v>
      </c>
      <c r="C54">
        <v>277</v>
      </c>
      <c r="D54" t="s">
        <v>517</v>
      </c>
      <c r="E54" t="s">
        <v>518</v>
      </c>
      <c r="F54">
        <v>5</v>
      </c>
      <c r="G54" t="s">
        <v>435</v>
      </c>
      <c r="H54" t="s">
        <v>436</v>
      </c>
      <c r="I54">
        <v>1760989458.94615</v>
      </c>
      <c r="J54">
        <f>(K54)/1000</f>
        <v>0</v>
      </c>
      <c r="K54">
        <f>IF(DP54, AN54, AH54)</f>
        <v>0</v>
      </c>
      <c r="L54">
        <f>IF(DP54, AI54, AG54)</f>
        <v>0</v>
      </c>
      <c r="M54">
        <f>DR54 - IF(AU54&gt;1, L54*DL54*100.0/(AW54), 0)</f>
        <v>0</v>
      </c>
      <c r="N54">
        <f>((T54-J54/2)*M54-L54)/(T54+J54/2)</f>
        <v>0</v>
      </c>
      <c r="O54">
        <f>N54*(DY54+DZ54)/1000.0</f>
        <v>0</v>
      </c>
      <c r="P54">
        <f>(DR54 - IF(AU54&gt;1, L54*DL54*100.0/(AW54), 0))*(DY54+DZ54)/1000.0</f>
        <v>0</v>
      </c>
      <c r="Q54">
        <f>2.0/((1/S54-1/R54)+SIGN(S54)*SQRT((1/S54-1/R54)*(1/S54-1/R54) + 4*DM54/((DM54+1)*(DM54+1))*(2*1/S54*1/R54-1/R54*1/R54)))</f>
        <v>0</v>
      </c>
      <c r="R54">
        <f>IF(LEFT(DN54,1)&lt;&gt;"0",IF(LEFT(DN54,1)="1",3.0,DO54),$D$5+$E$5*(EF54*DY54/($K$5*1000))+$F$5*(EF54*DY54/($K$5*1000))*MAX(MIN(DL54,$J$5),$I$5)*MAX(MIN(DL54,$J$5),$I$5)+$G$5*MAX(MIN(DL54,$J$5),$I$5)*(EF54*DY54/($K$5*1000))+$H$5*(EF54*DY54/($K$5*1000))*(EF54*DY54/($K$5*1000)))</f>
        <v>0</v>
      </c>
      <c r="S54">
        <f>J54*(1000-(1000*0.61365*exp(17.502*W54/(240.97+W54))/(DY54+DZ54)+DT54)/2)/(1000*0.61365*exp(17.502*W54/(240.97+W54))/(DY54+DZ54)-DT54)</f>
        <v>0</v>
      </c>
      <c r="T54">
        <f>1/((DM54+1)/(Q54/1.6)+1/(R54/1.37)) + DM54/((DM54+1)/(Q54/1.6) + DM54/(R54/1.37))</f>
        <v>0</v>
      </c>
      <c r="U54">
        <f>(DH54*DK54)</f>
        <v>0</v>
      </c>
      <c r="V54">
        <f>(EA54+(U54+2*0.95*5.67E-8*(((EA54+$B$7)+273)^4-(EA54+273)^4)-44100*J54)/(1.84*29.3*R54+8*0.95*5.67E-8*(EA54+273)^3))</f>
        <v>0</v>
      </c>
      <c r="W54">
        <f>($C$7*EB54+$D$7*EC54+$E$7*V54)</f>
        <v>0</v>
      </c>
      <c r="X54">
        <f>0.61365*exp(17.502*W54/(240.97+W54))</f>
        <v>0</v>
      </c>
      <c r="Y54">
        <f>(Z54/AA54*100)</f>
        <v>0</v>
      </c>
      <c r="Z54">
        <f>DT54*(DY54+DZ54)/1000</f>
        <v>0</v>
      </c>
      <c r="AA54">
        <f>0.61365*exp(17.502*EA54/(240.97+EA54))</f>
        <v>0</v>
      </c>
      <c r="AB54">
        <f>(X54-DT54*(DY54+DZ54)/1000)</f>
        <v>0</v>
      </c>
      <c r="AC54">
        <f>(-J54*44100)</f>
        <v>0</v>
      </c>
      <c r="AD54">
        <f>2*29.3*R54*0.92*(EA54-W54)</f>
        <v>0</v>
      </c>
      <c r="AE54">
        <f>2*0.95*5.67E-8*(((EA54+$B$7)+273)^4-(W54+273)^4)</f>
        <v>0</v>
      </c>
      <c r="AF54">
        <f>U54+AE54+AC54+AD54</f>
        <v>0</v>
      </c>
      <c r="AG54">
        <f>DX54*AU54*(DS54-DR54*(1000-AU54*DU54)/(1000-AU54*DT54))/(100*DL54)</f>
        <v>0</v>
      </c>
      <c r="AH54">
        <f>1000*DX54*AU54*(DT54-DU54)/(100*DL54*(1000-AU54*DT54))</f>
        <v>0</v>
      </c>
      <c r="AI54">
        <f>(AJ54 - AK54 - DY54*1E3/(8.314*(EA54+273.15)) * AM54/DX54 * AL54) * DX54/(100*DL54) * (1000 - DU54)/1000</f>
        <v>0</v>
      </c>
      <c r="AJ54">
        <v>613.053305800709</v>
      </c>
      <c r="AK54">
        <v>583.733236363636</v>
      </c>
      <c r="AL54">
        <v>3.4900828117266</v>
      </c>
      <c r="AM54">
        <v>64.8413469339502</v>
      </c>
      <c r="AN54">
        <f>(AP54 - AO54 + DY54*1E3/(8.314*(EA54+273.15)) * AR54/DX54 * AQ54) * DX54/(100*DL54) * 1000/(1000 - AP54)</f>
        <v>0</v>
      </c>
      <c r="AO54">
        <v>9.16807385759476</v>
      </c>
      <c r="AP54">
        <v>11.9127957575758</v>
      </c>
      <c r="AQ54">
        <v>-1.49475069971075e-06</v>
      </c>
      <c r="AR54">
        <v>118.472689631034</v>
      </c>
      <c r="AS54">
        <v>0</v>
      </c>
      <c r="AT54">
        <v>0</v>
      </c>
      <c r="AU54">
        <f>IF(AS54*$H$13&gt;=AW54,1.0,(AW54/(AW54-AS54*$H$13)))</f>
        <v>0</v>
      </c>
      <c r="AV54">
        <f>(AU54-1)*100</f>
        <v>0</v>
      </c>
      <c r="AW54">
        <f>MAX(0,($B$13+$C$13*EF54)/(1+$D$13*EF54)*DY54/(EA54+273)*$E$13)</f>
        <v>0</v>
      </c>
      <c r="AX54" t="s">
        <v>437</v>
      </c>
      <c r="AY54" t="s">
        <v>437</v>
      </c>
      <c r="AZ54">
        <v>0</v>
      </c>
      <c r="BA54">
        <v>0</v>
      </c>
      <c r="BB54">
        <f>1-AZ54/BA54</f>
        <v>0</v>
      </c>
      <c r="BC54">
        <v>0</v>
      </c>
      <c r="BD54" t="s">
        <v>437</v>
      </c>
      <c r="BE54" t="s">
        <v>437</v>
      </c>
      <c r="BF54">
        <v>0</v>
      </c>
      <c r="BG54">
        <v>0</v>
      </c>
      <c r="BH54">
        <f>1-BF54/BG54</f>
        <v>0</v>
      </c>
      <c r="BI54">
        <v>0.5</v>
      </c>
      <c r="BJ54">
        <f>DI54</f>
        <v>0</v>
      </c>
      <c r="BK54">
        <f>L54</f>
        <v>0</v>
      </c>
      <c r="BL54">
        <f>BH54*BI54*BJ54</f>
        <v>0</v>
      </c>
      <c r="BM54">
        <f>(BK54-BC54)/BJ54</f>
        <v>0</v>
      </c>
      <c r="BN54">
        <f>(BA54-BG54)/BG54</f>
        <v>0</v>
      </c>
      <c r="BO54">
        <f>AZ54/(BB54+AZ54/BG54)</f>
        <v>0</v>
      </c>
      <c r="BP54" t="s">
        <v>437</v>
      </c>
      <c r="BQ54">
        <v>0</v>
      </c>
      <c r="BR54">
        <f>IF(BQ54&lt;&gt;0, BQ54, BO54)</f>
        <v>0</v>
      </c>
      <c r="BS54">
        <f>1-BR54/BG54</f>
        <v>0</v>
      </c>
      <c r="BT54">
        <f>(BG54-BF54)/(BG54-BR54)</f>
        <v>0</v>
      </c>
      <c r="BU54">
        <f>(BA54-BG54)/(BA54-BR54)</f>
        <v>0</v>
      </c>
      <c r="BV54">
        <f>(BG54-BF54)/(BG54-AZ54)</f>
        <v>0</v>
      </c>
      <c r="BW54">
        <f>(BA54-BG54)/(BA54-AZ54)</f>
        <v>0</v>
      </c>
      <c r="BX54">
        <f>(BT54*BR54/BF54)</f>
        <v>0</v>
      </c>
      <c r="BY54">
        <f>(1-BX54)</f>
        <v>0</v>
      </c>
      <c r="DH54">
        <f>$B$11*EG54+$C$11*EH54+$F$11*ES54*(1-EV54)</f>
        <v>0</v>
      </c>
      <c r="DI54">
        <f>DH54*DJ54</f>
        <v>0</v>
      </c>
      <c r="DJ54">
        <f>($B$11*$D$9+$C$11*$D$9+$F$11*((FF54+EX54)/MAX(FF54+EX54+FG54, 0.1)*$I$9+FG54/MAX(FF54+EX54+FG54, 0.1)*$J$9))/($B$11+$C$11+$F$11)</f>
        <v>0</v>
      </c>
      <c r="DK54">
        <f>($B$11*$K$9+$C$11*$K$9+$F$11*((FF54+EX54)/MAX(FF54+EX54+FG54, 0.1)*$P$9+FG54/MAX(FF54+EX54+FG54, 0.1)*$Q$9))/($B$11+$C$11+$F$11)</f>
        <v>0</v>
      </c>
      <c r="DL54">
        <v>6</v>
      </c>
      <c r="DM54">
        <v>0.5</v>
      </c>
      <c r="DN54" t="s">
        <v>438</v>
      </c>
      <c r="DO54">
        <v>2</v>
      </c>
      <c r="DP54" t="b">
        <v>1</v>
      </c>
      <c r="DQ54">
        <v>1760989458.94615</v>
      </c>
      <c r="DR54">
        <v>552.604846153846</v>
      </c>
      <c r="DS54">
        <v>591.215615384615</v>
      </c>
      <c r="DT54">
        <v>11.9130307692308</v>
      </c>
      <c r="DU54">
        <v>9.18322307692308</v>
      </c>
      <c r="DV54">
        <v>549.224692307693</v>
      </c>
      <c r="DW54">
        <v>12.0229153846154</v>
      </c>
      <c r="DX54">
        <v>500.020461538462</v>
      </c>
      <c r="DY54">
        <v>89.8718</v>
      </c>
      <c r="DZ54">
        <v>0.00725598230769231</v>
      </c>
      <c r="EA54">
        <v>18.3787384615385</v>
      </c>
      <c r="EB54">
        <v>17.9823076923077</v>
      </c>
      <c r="EC54">
        <v>999.9</v>
      </c>
      <c r="ED54">
        <v>0</v>
      </c>
      <c r="EE54">
        <v>0</v>
      </c>
      <c r="EF54">
        <v>10036.4461538462</v>
      </c>
      <c r="EG54">
        <v>0</v>
      </c>
      <c r="EH54">
        <v>1270.15</v>
      </c>
      <c r="EI54">
        <v>-38.6108153846154</v>
      </c>
      <c r="EJ54">
        <v>559.267384615385</v>
      </c>
      <c r="EK54">
        <v>596.695076923077</v>
      </c>
      <c r="EL54">
        <v>2.72981076923077</v>
      </c>
      <c r="EM54">
        <v>591.215615384615</v>
      </c>
      <c r="EN54">
        <v>9.18322307692308</v>
      </c>
      <c r="EO54">
        <v>1.07064538461538</v>
      </c>
      <c r="EP54">
        <v>0.825312461538462</v>
      </c>
      <c r="EQ54">
        <v>7.91494846153846</v>
      </c>
      <c r="ER54">
        <v>4.15028076923077</v>
      </c>
      <c r="ES54">
        <v>1199.95461538462</v>
      </c>
      <c r="ET54">
        <v>0.967002153846154</v>
      </c>
      <c r="EU54">
        <v>0.0329977461538462</v>
      </c>
      <c r="EV54">
        <v>0</v>
      </c>
      <c r="EW54">
        <v>1333.10769230769</v>
      </c>
      <c r="EX54">
        <v>5.00059</v>
      </c>
      <c r="EY54">
        <v>15630.7153846154</v>
      </c>
      <c r="EZ54">
        <v>10358.3307692308</v>
      </c>
      <c r="FA54">
        <v>36.3987692307692</v>
      </c>
      <c r="FB54">
        <v>38.3266923076923</v>
      </c>
      <c r="FC54">
        <v>36.9709230769231</v>
      </c>
      <c r="FD54">
        <v>37.4516923076923</v>
      </c>
      <c r="FE54">
        <v>37.3843076923077</v>
      </c>
      <c r="FF54">
        <v>1155.52230769231</v>
      </c>
      <c r="FG54">
        <v>39.4315384615385</v>
      </c>
      <c r="FH54">
        <v>0</v>
      </c>
      <c r="FI54">
        <v>1760989436.5</v>
      </c>
      <c r="FJ54">
        <v>0</v>
      </c>
      <c r="FK54">
        <v>1333.2828</v>
      </c>
      <c r="FL54">
        <v>7.25076921843822</v>
      </c>
      <c r="FM54">
        <v>125.146153558284</v>
      </c>
      <c r="FN54">
        <v>15633.188</v>
      </c>
      <c r="FO54">
        <v>15</v>
      </c>
      <c r="FP54">
        <v>0</v>
      </c>
      <c r="FQ54" t="s">
        <v>439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-38.3267619047619</v>
      </c>
      <c r="GD54">
        <v>-4.7916935064935</v>
      </c>
      <c r="GE54">
        <v>0.723550340155563</v>
      </c>
      <c r="GF54">
        <v>0</v>
      </c>
      <c r="GG54">
        <v>1332.90205882353</v>
      </c>
      <c r="GH54">
        <v>6.4829640952945</v>
      </c>
      <c r="GI54">
        <v>0.687209957692398</v>
      </c>
      <c r="GJ54">
        <v>-1</v>
      </c>
      <c r="GK54">
        <v>2.72496428571429</v>
      </c>
      <c r="GL54">
        <v>0.113054025974023</v>
      </c>
      <c r="GM54">
        <v>0.0116118746984975</v>
      </c>
      <c r="GN54">
        <v>0</v>
      </c>
      <c r="GO54">
        <v>0</v>
      </c>
      <c r="GP54">
        <v>2</v>
      </c>
      <c r="GQ54" t="s">
        <v>519</v>
      </c>
      <c r="GR54">
        <v>3.13077</v>
      </c>
      <c r="GS54">
        <v>2.68549</v>
      </c>
      <c r="GT54">
        <v>0.113889</v>
      </c>
      <c r="GU54">
        <v>0.119779</v>
      </c>
      <c r="GV54">
        <v>0.0621063</v>
      </c>
      <c r="GW54">
        <v>0.0505303</v>
      </c>
      <c r="GX54">
        <v>33582.9</v>
      </c>
      <c r="GY54">
        <v>35845.7</v>
      </c>
      <c r="GZ54">
        <v>34266.5</v>
      </c>
      <c r="HA54">
        <v>36848.5</v>
      </c>
      <c r="HB54">
        <v>45334.2</v>
      </c>
      <c r="HC54">
        <v>50171.5</v>
      </c>
      <c r="HD54">
        <v>53340.5</v>
      </c>
      <c r="HE54">
        <v>58775.2</v>
      </c>
      <c r="HF54">
        <v>2.00877</v>
      </c>
      <c r="HG54">
        <v>1.83725</v>
      </c>
      <c r="HH54">
        <v>0.0324994</v>
      </c>
      <c r="HI54">
        <v>0</v>
      </c>
      <c r="HJ54">
        <v>17.4405</v>
      </c>
      <c r="HK54">
        <v>999.9</v>
      </c>
      <c r="HL54">
        <v>26.01</v>
      </c>
      <c r="HM54">
        <v>30.273</v>
      </c>
      <c r="HN54">
        <v>12.5245</v>
      </c>
      <c r="HO54">
        <v>54.3791</v>
      </c>
      <c r="HP54">
        <v>44.2268</v>
      </c>
      <c r="HQ54">
        <v>1</v>
      </c>
      <c r="HR54">
        <v>-0.269573</v>
      </c>
      <c r="HS54">
        <v>3.80327</v>
      </c>
      <c r="HT54">
        <v>20.0968</v>
      </c>
      <c r="HU54">
        <v>5.19917</v>
      </c>
      <c r="HV54">
        <v>12.004</v>
      </c>
      <c r="HW54">
        <v>4.97565</v>
      </c>
      <c r="HX54">
        <v>3.29295</v>
      </c>
      <c r="HY54">
        <v>9999</v>
      </c>
      <c r="HZ54">
        <v>999.9</v>
      </c>
      <c r="IA54">
        <v>9999</v>
      </c>
      <c r="IB54">
        <v>9999</v>
      </c>
      <c r="IC54">
        <v>1.86325</v>
      </c>
      <c r="ID54">
        <v>1.86807</v>
      </c>
      <c r="IE54">
        <v>1.86783</v>
      </c>
      <c r="IF54">
        <v>1.86905</v>
      </c>
      <c r="IG54">
        <v>1.86981</v>
      </c>
      <c r="IH54">
        <v>1.86584</v>
      </c>
      <c r="II54">
        <v>1.86692</v>
      </c>
      <c r="IJ54">
        <v>1.86843</v>
      </c>
      <c r="IK54">
        <v>5</v>
      </c>
      <c r="IL54">
        <v>0</v>
      </c>
      <c r="IM54">
        <v>0</v>
      </c>
      <c r="IN54">
        <v>0</v>
      </c>
      <c r="IO54" t="s">
        <v>441</v>
      </c>
      <c r="IP54" t="s">
        <v>442</v>
      </c>
      <c r="IQ54" t="s">
        <v>443</v>
      </c>
      <c r="IR54" t="s">
        <v>443</v>
      </c>
      <c r="IS54" t="s">
        <v>443</v>
      </c>
      <c r="IT54" t="s">
        <v>443</v>
      </c>
      <c r="IU54">
        <v>0</v>
      </c>
      <c r="IV54">
        <v>100</v>
      </c>
      <c r="IW54">
        <v>100</v>
      </c>
      <c r="IX54">
        <v>3.481</v>
      </c>
      <c r="IY54">
        <v>-0.1099</v>
      </c>
      <c r="IZ54">
        <v>1.12474291219083</v>
      </c>
      <c r="JA54">
        <v>0.00463155566490582</v>
      </c>
      <c r="JB54">
        <v>-1.1358998729424e-06</v>
      </c>
      <c r="JC54">
        <v>3.28704272115545e-10</v>
      </c>
      <c r="JD54">
        <v>-0.0704455108513773</v>
      </c>
      <c r="JE54">
        <v>-0.0251928478371425</v>
      </c>
      <c r="JF54">
        <v>0.00225751704194564</v>
      </c>
      <c r="JG54">
        <v>-3.61734043746866e-05</v>
      </c>
      <c r="JH54">
        <v>1</v>
      </c>
      <c r="JI54">
        <v>2182</v>
      </c>
      <c r="JJ54">
        <v>0</v>
      </c>
      <c r="JK54">
        <v>24</v>
      </c>
      <c r="JL54">
        <v>29349824.5</v>
      </c>
      <c r="JM54">
        <v>29349824.5</v>
      </c>
      <c r="JN54">
        <v>1.38916</v>
      </c>
      <c r="JO54">
        <v>2.62329</v>
      </c>
      <c r="JP54">
        <v>1.54785</v>
      </c>
      <c r="JQ54">
        <v>2.31445</v>
      </c>
      <c r="JR54">
        <v>1.64673</v>
      </c>
      <c r="JS54">
        <v>2.38525</v>
      </c>
      <c r="JT54">
        <v>33.5355</v>
      </c>
      <c r="JU54">
        <v>24.1926</v>
      </c>
      <c r="JV54">
        <v>18</v>
      </c>
      <c r="JW54">
        <v>500.705</v>
      </c>
      <c r="JX54">
        <v>394.23</v>
      </c>
      <c r="JY54">
        <v>12.4803</v>
      </c>
      <c r="JZ54">
        <v>23.9068</v>
      </c>
      <c r="KA54">
        <v>30.0001</v>
      </c>
      <c r="KB54">
        <v>23.925</v>
      </c>
      <c r="KC54">
        <v>23.8952</v>
      </c>
      <c r="KD54">
        <v>27.8198</v>
      </c>
      <c r="KE54">
        <v>6.59094</v>
      </c>
      <c r="KF54">
        <v>23.7343</v>
      </c>
      <c r="KG54">
        <v>12.4954</v>
      </c>
      <c r="KH54">
        <v>642.937</v>
      </c>
      <c r="KI54">
        <v>8.95293</v>
      </c>
      <c r="KJ54">
        <v>97.0436</v>
      </c>
      <c r="KK54">
        <v>95.3016</v>
      </c>
    </row>
    <row r="55" spans="1:297">
      <c r="A55">
        <v>39</v>
      </c>
      <c r="B55">
        <v>1760989472.1</v>
      </c>
      <c r="C55">
        <v>282</v>
      </c>
      <c r="D55" t="s">
        <v>520</v>
      </c>
      <c r="E55" t="s">
        <v>521</v>
      </c>
      <c r="F55">
        <v>5</v>
      </c>
      <c r="G55" t="s">
        <v>435</v>
      </c>
      <c r="H55" t="s">
        <v>436</v>
      </c>
      <c r="I55">
        <v>1760989463.94615</v>
      </c>
      <c r="J55">
        <f>(K55)/1000</f>
        <v>0</v>
      </c>
      <c r="K55">
        <f>IF(DP55, AN55, AH55)</f>
        <v>0</v>
      </c>
      <c r="L55">
        <f>IF(DP55, AI55, AG55)</f>
        <v>0</v>
      </c>
      <c r="M55">
        <f>DR55 - IF(AU55&gt;1, L55*DL55*100.0/(AW55), 0)</f>
        <v>0</v>
      </c>
      <c r="N55">
        <f>((T55-J55/2)*M55-L55)/(T55+J55/2)</f>
        <v>0</v>
      </c>
      <c r="O55">
        <f>N55*(DY55+DZ55)/1000.0</f>
        <v>0</v>
      </c>
      <c r="P55">
        <f>(DR55 - IF(AU55&gt;1, L55*DL55*100.0/(AW55), 0))*(DY55+DZ55)/1000.0</f>
        <v>0</v>
      </c>
      <c r="Q55">
        <f>2.0/((1/S55-1/R55)+SIGN(S55)*SQRT((1/S55-1/R55)*(1/S55-1/R55) + 4*DM55/((DM55+1)*(DM55+1))*(2*1/S55*1/R55-1/R55*1/R55)))</f>
        <v>0</v>
      </c>
      <c r="R55">
        <f>IF(LEFT(DN55,1)&lt;&gt;"0",IF(LEFT(DN55,1)="1",3.0,DO55),$D$5+$E$5*(EF55*DY55/($K$5*1000))+$F$5*(EF55*DY55/($K$5*1000))*MAX(MIN(DL55,$J$5),$I$5)*MAX(MIN(DL55,$J$5),$I$5)+$G$5*MAX(MIN(DL55,$J$5),$I$5)*(EF55*DY55/($K$5*1000))+$H$5*(EF55*DY55/($K$5*1000))*(EF55*DY55/($K$5*1000)))</f>
        <v>0</v>
      </c>
      <c r="S55">
        <f>J55*(1000-(1000*0.61365*exp(17.502*W55/(240.97+W55))/(DY55+DZ55)+DT55)/2)/(1000*0.61365*exp(17.502*W55/(240.97+W55))/(DY55+DZ55)-DT55)</f>
        <v>0</v>
      </c>
      <c r="T55">
        <f>1/((DM55+1)/(Q55/1.6)+1/(R55/1.37)) + DM55/((DM55+1)/(Q55/1.6) + DM55/(R55/1.37))</f>
        <v>0</v>
      </c>
      <c r="U55">
        <f>(DH55*DK55)</f>
        <v>0</v>
      </c>
      <c r="V55">
        <f>(EA55+(U55+2*0.95*5.67E-8*(((EA55+$B$7)+273)^4-(EA55+273)^4)-44100*J55)/(1.84*29.3*R55+8*0.95*5.67E-8*(EA55+273)^3))</f>
        <v>0</v>
      </c>
      <c r="W55">
        <f>($C$7*EB55+$D$7*EC55+$E$7*V55)</f>
        <v>0</v>
      </c>
      <c r="X55">
        <f>0.61365*exp(17.502*W55/(240.97+W55))</f>
        <v>0</v>
      </c>
      <c r="Y55">
        <f>(Z55/AA55*100)</f>
        <v>0</v>
      </c>
      <c r="Z55">
        <f>DT55*(DY55+DZ55)/1000</f>
        <v>0</v>
      </c>
      <c r="AA55">
        <f>0.61365*exp(17.502*EA55/(240.97+EA55))</f>
        <v>0</v>
      </c>
      <c r="AB55">
        <f>(X55-DT55*(DY55+DZ55)/1000)</f>
        <v>0</v>
      </c>
      <c r="AC55">
        <f>(-J55*44100)</f>
        <v>0</v>
      </c>
      <c r="AD55">
        <f>2*29.3*R55*0.92*(EA55-W55)</f>
        <v>0</v>
      </c>
      <c r="AE55">
        <f>2*0.95*5.67E-8*(((EA55+$B$7)+273)^4-(W55+273)^4)</f>
        <v>0</v>
      </c>
      <c r="AF55">
        <f>U55+AE55+AC55+AD55</f>
        <v>0</v>
      </c>
      <c r="AG55">
        <f>DX55*AU55*(DS55-DR55*(1000-AU55*DU55)/(1000-AU55*DT55))/(100*DL55)</f>
        <v>0</v>
      </c>
      <c r="AH55">
        <f>1000*DX55*AU55*(DT55-DU55)/(100*DL55*(1000-AU55*DT55))</f>
        <v>0</v>
      </c>
      <c r="AI55">
        <f>(AJ55 - AK55 - DY55*1E3/(8.314*(EA55+273.15)) * AM55/DX55 * AL55) * DX55/(100*DL55) * (1000 - DU55)/1000</f>
        <v>0</v>
      </c>
      <c r="AJ55">
        <v>629.489828441311</v>
      </c>
      <c r="AK55">
        <v>600.489927272727</v>
      </c>
      <c r="AL55">
        <v>3.32756892949764</v>
      </c>
      <c r="AM55">
        <v>64.8413469339502</v>
      </c>
      <c r="AN55">
        <f>(AP55 - AO55 + DY55*1E3/(8.314*(EA55+273.15)) * AR55/DX55 * AQ55) * DX55/(100*DL55) * 1000/(1000 - AP55)</f>
        <v>0</v>
      </c>
      <c r="AO55">
        <v>9.14049125942107</v>
      </c>
      <c r="AP55">
        <v>11.9075618181818</v>
      </c>
      <c r="AQ55">
        <v>-5.03216302052893e-06</v>
      </c>
      <c r="AR55">
        <v>118.472689631034</v>
      </c>
      <c r="AS55">
        <v>0</v>
      </c>
      <c r="AT55">
        <v>0</v>
      </c>
      <c r="AU55">
        <f>IF(AS55*$H$13&gt;=AW55,1.0,(AW55/(AW55-AS55*$H$13)))</f>
        <v>0</v>
      </c>
      <c r="AV55">
        <f>(AU55-1)*100</f>
        <v>0</v>
      </c>
      <c r="AW55">
        <f>MAX(0,($B$13+$C$13*EF55)/(1+$D$13*EF55)*DY55/(EA55+273)*$E$13)</f>
        <v>0</v>
      </c>
      <c r="AX55" t="s">
        <v>437</v>
      </c>
      <c r="AY55" t="s">
        <v>437</v>
      </c>
      <c r="AZ55">
        <v>0</v>
      </c>
      <c r="BA55">
        <v>0</v>
      </c>
      <c r="BB55">
        <f>1-AZ55/BA55</f>
        <v>0</v>
      </c>
      <c r="BC55">
        <v>0</v>
      </c>
      <c r="BD55" t="s">
        <v>437</v>
      </c>
      <c r="BE55" t="s">
        <v>437</v>
      </c>
      <c r="BF55">
        <v>0</v>
      </c>
      <c r="BG55">
        <v>0</v>
      </c>
      <c r="BH55">
        <f>1-BF55/BG55</f>
        <v>0</v>
      </c>
      <c r="BI55">
        <v>0.5</v>
      </c>
      <c r="BJ55">
        <f>DI55</f>
        <v>0</v>
      </c>
      <c r="BK55">
        <f>L55</f>
        <v>0</v>
      </c>
      <c r="BL55">
        <f>BH55*BI55*BJ55</f>
        <v>0</v>
      </c>
      <c r="BM55">
        <f>(BK55-BC55)/BJ55</f>
        <v>0</v>
      </c>
      <c r="BN55">
        <f>(BA55-BG55)/BG55</f>
        <v>0</v>
      </c>
      <c r="BO55">
        <f>AZ55/(BB55+AZ55/BG55)</f>
        <v>0</v>
      </c>
      <c r="BP55" t="s">
        <v>437</v>
      </c>
      <c r="BQ55">
        <v>0</v>
      </c>
      <c r="BR55">
        <f>IF(BQ55&lt;&gt;0, BQ55, BO55)</f>
        <v>0</v>
      </c>
      <c r="BS55">
        <f>1-BR55/BG55</f>
        <v>0</v>
      </c>
      <c r="BT55">
        <f>(BG55-BF55)/(BG55-BR55)</f>
        <v>0</v>
      </c>
      <c r="BU55">
        <f>(BA55-BG55)/(BA55-BR55)</f>
        <v>0</v>
      </c>
      <c r="BV55">
        <f>(BG55-BF55)/(BG55-AZ55)</f>
        <v>0</v>
      </c>
      <c r="BW55">
        <f>(BA55-BG55)/(BA55-AZ55)</f>
        <v>0</v>
      </c>
      <c r="BX55">
        <f>(BT55*BR55/BF55)</f>
        <v>0</v>
      </c>
      <c r="BY55">
        <f>(1-BX55)</f>
        <v>0</v>
      </c>
      <c r="DH55">
        <f>$B$11*EG55+$C$11*EH55+$F$11*ES55*(1-EV55)</f>
        <v>0</v>
      </c>
      <c r="DI55">
        <f>DH55*DJ55</f>
        <v>0</v>
      </c>
      <c r="DJ55">
        <f>($B$11*$D$9+$C$11*$D$9+$F$11*((FF55+EX55)/MAX(FF55+EX55+FG55, 0.1)*$I$9+FG55/MAX(FF55+EX55+FG55, 0.1)*$J$9))/($B$11+$C$11+$F$11)</f>
        <v>0</v>
      </c>
      <c r="DK55">
        <f>($B$11*$K$9+$C$11*$K$9+$F$11*((FF55+EX55)/MAX(FF55+EX55+FG55, 0.1)*$P$9+FG55/MAX(FF55+EX55+FG55, 0.1)*$Q$9))/($B$11+$C$11+$F$11)</f>
        <v>0</v>
      </c>
      <c r="DL55">
        <v>6</v>
      </c>
      <c r="DM55">
        <v>0.5</v>
      </c>
      <c r="DN55" t="s">
        <v>438</v>
      </c>
      <c r="DO55">
        <v>2</v>
      </c>
      <c r="DP55" t="b">
        <v>1</v>
      </c>
      <c r="DQ55">
        <v>1760989463.94615</v>
      </c>
      <c r="DR55">
        <v>569.421538461538</v>
      </c>
      <c r="DS55">
        <v>607.893461538462</v>
      </c>
      <c r="DT55">
        <v>11.9123384615385</v>
      </c>
      <c r="DU55">
        <v>9.16796076923077</v>
      </c>
      <c r="DV55">
        <v>565.979923076923</v>
      </c>
      <c r="DW55">
        <v>12.0222230769231</v>
      </c>
      <c r="DX55">
        <v>500.029923076923</v>
      </c>
      <c r="DY55">
        <v>89.8712923076923</v>
      </c>
      <c r="DZ55">
        <v>0.00718120692307692</v>
      </c>
      <c r="EA55">
        <v>18.3762</v>
      </c>
      <c r="EB55">
        <v>17.9826</v>
      </c>
      <c r="EC55">
        <v>999.9</v>
      </c>
      <c r="ED55">
        <v>0</v>
      </c>
      <c r="EE55">
        <v>0</v>
      </c>
      <c r="EF55">
        <v>10034.6215384615</v>
      </c>
      <c r="EG55">
        <v>0</v>
      </c>
      <c r="EH55">
        <v>1270.14923076923</v>
      </c>
      <c r="EI55">
        <v>-38.4719</v>
      </c>
      <c r="EJ55">
        <v>576.286461538462</v>
      </c>
      <c r="EK55">
        <v>613.517846153846</v>
      </c>
      <c r="EL55">
        <v>2.74437307692308</v>
      </c>
      <c r="EM55">
        <v>607.893461538462</v>
      </c>
      <c r="EN55">
        <v>9.16796076923077</v>
      </c>
      <c r="EO55">
        <v>1.07057692307692</v>
      </c>
      <c r="EP55">
        <v>0.823936230769231</v>
      </c>
      <c r="EQ55">
        <v>7.91400076923077</v>
      </c>
      <c r="ER55">
        <v>4.12648769230769</v>
      </c>
      <c r="ES55">
        <v>1200.01</v>
      </c>
      <c r="ET55">
        <v>0.967006769230769</v>
      </c>
      <c r="EU55">
        <v>0.0329930692307692</v>
      </c>
      <c r="EV55">
        <v>0</v>
      </c>
      <c r="EW55">
        <v>1333.68769230769</v>
      </c>
      <c r="EX55">
        <v>5.00059</v>
      </c>
      <c r="EY55">
        <v>15641.2846153846</v>
      </c>
      <c r="EZ55">
        <v>10358.8153846154</v>
      </c>
      <c r="FA55">
        <v>36.4804615384615</v>
      </c>
      <c r="FB55">
        <v>38.4853846153846</v>
      </c>
      <c r="FC55">
        <v>37.0717692307692</v>
      </c>
      <c r="FD55">
        <v>37.6103846153846</v>
      </c>
      <c r="FE55">
        <v>37.4853076923077</v>
      </c>
      <c r="FF55">
        <v>1155.58153846154</v>
      </c>
      <c r="FG55">
        <v>39.4269230769231</v>
      </c>
      <c r="FH55">
        <v>0</v>
      </c>
      <c r="FI55">
        <v>1760989441.3</v>
      </c>
      <c r="FJ55">
        <v>0</v>
      </c>
      <c r="FK55">
        <v>1333.7968</v>
      </c>
      <c r="FL55">
        <v>5.67384614789821</v>
      </c>
      <c r="FM55">
        <v>110.623076920049</v>
      </c>
      <c r="FN55">
        <v>15642.572</v>
      </c>
      <c r="FO55">
        <v>15</v>
      </c>
      <c r="FP55">
        <v>0</v>
      </c>
      <c r="FQ55" t="s">
        <v>439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-38.555015</v>
      </c>
      <c r="GD55">
        <v>0.0595804511278518</v>
      </c>
      <c r="GE55">
        <v>0.524118761613244</v>
      </c>
      <c r="GF55">
        <v>1</v>
      </c>
      <c r="GG55">
        <v>1333.39852941176</v>
      </c>
      <c r="GH55">
        <v>6.36684492383354</v>
      </c>
      <c r="GI55">
        <v>0.66486235794886</v>
      </c>
      <c r="GJ55">
        <v>-1</v>
      </c>
      <c r="GK55">
        <v>2.738082</v>
      </c>
      <c r="GL55">
        <v>0.172626766917296</v>
      </c>
      <c r="GM55">
        <v>0.0169279235584285</v>
      </c>
      <c r="GN55">
        <v>0</v>
      </c>
      <c r="GO55">
        <v>1</v>
      </c>
      <c r="GP55">
        <v>2</v>
      </c>
      <c r="GQ55" t="s">
        <v>446</v>
      </c>
      <c r="GR55">
        <v>3.13063</v>
      </c>
      <c r="GS55">
        <v>2.68568</v>
      </c>
      <c r="GT55">
        <v>0.116175</v>
      </c>
      <c r="GU55">
        <v>0.122015</v>
      </c>
      <c r="GV55">
        <v>0.062078</v>
      </c>
      <c r="GW55">
        <v>0.0503804</v>
      </c>
      <c r="GX55">
        <v>33496.4</v>
      </c>
      <c r="GY55">
        <v>35754.9</v>
      </c>
      <c r="GZ55">
        <v>34266.6</v>
      </c>
      <c r="HA55">
        <v>36848.7</v>
      </c>
      <c r="HB55">
        <v>45335.6</v>
      </c>
      <c r="HC55">
        <v>50179.7</v>
      </c>
      <c r="HD55">
        <v>53340.2</v>
      </c>
      <c r="HE55">
        <v>58775.1</v>
      </c>
      <c r="HF55">
        <v>2.00903</v>
      </c>
      <c r="HG55">
        <v>1.83735</v>
      </c>
      <c r="HH55">
        <v>0.0328049</v>
      </c>
      <c r="HI55">
        <v>0</v>
      </c>
      <c r="HJ55">
        <v>17.4421</v>
      </c>
      <c r="HK55">
        <v>999.9</v>
      </c>
      <c r="HL55">
        <v>26.01</v>
      </c>
      <c r="HM55">
        <v>30.273</v>
      </c>
      <c r="HN55">
        <v>12.5266</v>
      </c>
      <c r="HO55">
        <v>54.0891</v>
      </c>
      <c r="HP55">
        <v>44.4511</v>
      </c>
      <c r="HQ55">
        <v>1</v>
      </c>
      <c r="HR55">
        <v>-0.269962</v>
      </c>
      <c r="HS55">
        <v>3.77922</v>
      </c>
      <c r="HT55">
        <v>20.0974</v>
      </c>
      <c r="HU55">
        <v>5.20022</v>
      </c>
      <c r="HV55">
        <v>12.004</v>
      </c>
      <c r="HW55">
        <v>4.97575</v>
      </c>
      <c r="HX55">
        <v>3.293</v>
      </c>
      <c r="HY55">
        <v>9999</v>
      </c>
      <c r="HZ55">
        <v>999.9</v>
      </c>
      <c r="IA55">
        <v>9999</v>
      </c>
      <c r="IB55">
        <v>9999</v>
      </c>
      <c r="IC55">
        <v>1.86325</v>
      </c>
      <c r="ID55">
        <v>1.86808</v>
      </c>
      <c r="IE55">
        <v>1.86783</v>
      </c>
      <c r="IF55">
        <v>1.86905</v>
      </c>
      <c r="IG55">
        <v>1.86982</v>
      </c>
      <c r="IH55">
        <v>1.86586</v>
      </c>
      <c r="II55">
        <v>1.86696</v>
      </c>
      <c r="IJ55">
        <v>1.86842</v>
      </c>
      <c r="IK55">
        <v>5</v>
      </c>
      <c r="IL55">
        <v>0</v>
      </c>
      <c r="IM55">
        <v>0</v>
      </c>
      <c r="IN55">
        <v>0</v>
      </c>
      <c r="IO55" t="s">
        <v>441</v>
      </c>
      <c r="IP55" t="s">
        <v>442</v>
      </c>
      <c r="IQ55" t="s">
        <v>443</v>
      </c>
      <c r="IR55" t="s">
        <v>443</v>
      </c>
      <c r="IS55" t="s">
        <v>443</v>
      </c>
      <c r="IT55" t="s">
        <v>443</v>
      </c>
      <c r="IU55">
        <v>0</v>
      </c>
      <c r="IV55">
        <v>100</v>
      </c>
      <c r="IW55">
        <v>100</v>
      </c>
      <c r="IX55">
        <v>3.541</v>
      </c>
      <c r="IY55">
        <v>-0.1099</v>
      </c>
      <c r="IZ55">
        <v>1.12474291219083</v>
      </c>
      <c r="JA55">
        <v>0.00463155566490582</v>
      </c>
      <c r="JB55">
        <v>-1.1358998729424e-06</v>
      </c>
      <c r="JC55">
        <v>3.28704272115545e-10</v>
      </c>
      <c r="JD55">
        <v>-0.0704455108513773</v>
      </c>
      <c r="JE55">
        <v>-0.0251928478371425</v>
      </c>
      <c r="JF55">
        <v>0.00225751704194564</v>
      </c>
      <c r="JG55">
        <v>-3.61734043746866e-05</v>
      </c>
      <c r="JH55">
        <v>1</v>
      </c>
      <c r="JI55">
        <v>2182</v>
      </c>
      <c r="JJ55">
        <v>0</v>
      </c>
      <c r="JK55">
        <v>24</v>
      </c>
      <c r="JL55">
        <v>29349824.5</v>
      </c>
      <c r="JM55">
        <v>29349824.5</v>
      </c>
      <c r="JN55">
        <v>1.41846</v>
      </c>
      <c r="JO55">
        <v>2.63062</v>
      </c>
      <c r="JP55">
        <v>1.54785</v>
      </c>
      <c r="JQ55">
        <v>2.31445</v>
      </c>
      <c r="JR55">
        <v>1.64673</v>
      </c>
      <c r="JS55">
        <v>2.35962</v>
      </c>
      <c r="JT55">
        <v>33.5355</v>
      </c>
      <c r="JU55">
        <v>24.1926</v>
      </c>
      <c r="JV55">
        <v>18</v>
      </c>
      <c r="JW55">
        <v>500.865</v>
      </c>
      <c r="JX55">
        <v>394.282</v>
      </c>
      <c r="JY55">
        <v>12.4928</v>
      </c>
      <c r="JZ55">
        <v>23.9068</v>
      </c>
      <c r="KA55">
        <v>30</v>
      </c>
      <c r="KB55">
        <v>23.925</v>
      </c>
      <c r="KC55">
        <v>23.8952</v>
      </c>
      <c r="KD55">
        <v>28.473</v>
      </c>
      <c r="KE55">
        <v>7.56158</v>
      </c>
      <c r="KF55">
        <v>23.7343</v>
      </c>
      <c r="KG55">
        <v>12.5057</v>
      </c>
      <c r="KH55">
        <v>656.486</v>
      </c>
      <c r="KI55">
        <v>8.93667</v>
      </c>
      <c r="KJ55">
        <v>97.0433</v>
      </c>
      <c r="KK55">
        <v>95.3017</v>
      </c>
    </row>
    <row r="56" spans="1:297">
      <c r="A56">
        <v>40</v>
      </c>
      <c r="B56">
        <v>1760989477.1</v>
      </c>
      <c r="C56">
        <v>287</v>
      </c>
      <c r="D56" t="s">
        <v>522</v>
      </c>
      <c r="E56" t="s">
        <v>523</v>
      </c>
      <c r="F56">
        <v>5</v>
      </c>
      <c r="G56" t="s">
        <v>435</v>
      </c>
      <c r="H56" t="s">
        <v>436</v>
      </c>
      <c r="I56">
        <v>1760989468.94615</v>
      </c>
      <c r="J56">
        <f>(K56)/1000</f>
        <v>0</v>
      </c>
      <c r="K56">
        <f>IF(DP56, AN56, AH56)</f>
        <v>0</v>
      </c>
      <c r="L56">
        <f>IF(DP56, AI56, AG56)</f>
        <v>0</v>
      </c>
      <c r="M56">
        <f>DR56 - IF(AU56&gt;1, L56*DL56*100.0/(AW56), 0)</f>
        <v>0</v>
      </c>
      <c r="N56">
        <f>((T56-J56/2)*M56-L56)/(T56+J56/2)</f>
        <v>0</v>
      </c>
      <c r="O56">
        <f>N56*(DY56+DZ56)/1000.0</f>
        <v>0</v>
      </c>
      <c r="P56">
        <f>(DR56 - IF(AU56&gt;1, L56*DL56*100.0/(AW56), 0))*(DY56+DZ56)/1000.0</f>
        <v>0</v>
      </c>
      <c r="Q56">
        <f>2.0/((1/S56-1/R56)+SIGN(S56)*SQRT((1/S56-1/R56)*(1/S56-1/R56) + 4*DM56/((DM56+1)*(DM56+1))*(2*1/S56*1/R56-1/R56*1/R56)))</f>
        <v>0</v>
      </c>
      <c r="R56">
        <f>IF(LEFT(DN56,1)&lt;&gt;"0",IF(LEFT(DN56,1)="1",3.0,DO56),$D$5+$E$5*(EF56*DY56/($K$5*1000))+$F$5*(EF56*DY56/($K$5*1000))*MAX(MIN(DL56,$J$5),$I$5)*MAX(MIN(DL56,$J$5),$I$5)+$G$5*MAX(MIN(DL56,$J$5),$I$5)*(EF56*DY56/($K$5*1000))+$H$5*(EF56*DY56/($K$5*1000))*(EF56*DY56/($K$5*1000)))</f>
        <v>0</v>
      </c>
      <c r="S56">
        <f>J56*(1000-(1000*0.61365*exp(17.502*W56/(240.97+W56))/(DY56+DZ56)+DT56)/2)/(1000*0.61365*exp(17.502*W56/(240.97+W56))/(DY56+DZ56)-DT56)</f>
        <v>0</v>
      </c>
      <c r="T56">
        <f>1/((DM56+1)/(Q56/1.6)+1/(R56/1.37)) + DM56/((DM56+1)/(Q56/1.6) + DM56/(R56/1.37))</f>
        <v>0</v>
      </c>
      <c r="U56">
        <f>(DH56*DK56)</f>
        <v>0</v>
      </c>
      <c r="V56">
        <f>(EA56+(U56+2*0.95*5.67E-8*(((EA56+$B$7)+273)^4-(EA56+273)^4)-44100*J56)/(1.84*29.3*R56+8*0.95*5.67E-8*(EA56+273)^3))</f>
        <v>0</v>
      </c>
      <c r="W56">
        <f>($C$7*EB56+$D$7*EC56+$E$7*V56)</f>
        <v>0</v>
      </c>
      <c r="X56">
        <f>0.61365*exp(17.502*W56/(240.97+W56))</f>
        <v>0</v>
      </c>
      <c r="Y56">
        <f>(Z56/AA56*100)</f>
        <v>0</v>
      </c>
      <c r="Z56">
        <f>DT56*(DY56+DZ56)/1000</f>
        <v>0</v>
      </c>
      <c r="AA56">
        <f>0.61365*exp(17.502*EA56/(240.97+EA56))</f>
        <v>0</v>
      </c>
      <c r="AB56">
        <f>(X56-DT56*(DY56+DZ56)/1000)</f>
        <v>0</v>
      </c>
      <c r="AC56">
        <f>(-J56*44100)</f>
        <v>0</v>
      </c>
      <c r="AD56">
        <f>2*29.3*R56*0.92*(EA56-W56)</f>
        <v>0</v>
      </c>
      <c r="AE56">
        <f>2*0.95*5.67E-8*(((EA56+$B$7)+273)^4-(W56+273)^4)</f>
        <v>0</v>
      </c>
      <c r="AF56">
        <f>U56+AE56+AC56+AD56</f>
        <v>0</v>
      </c>
      <c r="AG56">
        <f>DX56*AU56*(DS56-DR56*(1000-AU56*DU56)/(1000-AU56*DT56))/(100*DL56)</f>
        <v>0</v>
      </c>
      <c r="AH56">
        <f>1000*DX56*AU56*(DT56-DU56)/(100*DL56*(1000-AU56*DT56))</f>
        <v>0</v>
      </c>
      <c r="AI56">
        <f>(AJ56 - AK56 - DY56*1E3/(8.314*(EA56+273.15)) * AM56/DX56 * AL56) * DX56/(100*DL56) * (1000 - DU56)/1000</f>
        <v>0</v>
      </c>
      <c r="AJ56">
        <v>646.615483649155</v>
      </c>
      <c r="AK56">
        <v>617.342096969697</v>
      </c>
      <c r="AL56">
        <v>3.38054547871421</v>
      </c>
      <c r="AM56">
        <v>64.8413469339502</v>
      </c>
      <c r="AN56">
        <f>(AP56 - AO56 + DY56*1E3/(8.314*(EA56+273.15)) * AR56/DX56 * AQ56) * DX56/(100*DL56) * 1000/(1000 - AP56)</f>
        <v>0</v>
      </c>
      <c r="AO56">
        <v>9.10182671984894</v>
      </c>
      <c r="AP56">
        <v>11.8962587878788</v>
      </c>
      <c r="AQ56">
        <v>-1.06198794532397e-05</v>
      </c>
      <c r="AR56">
        <v>118.472689631034</v>
      </c>
      <c r="AS56">
        <v>0</v>
      </c>
      <c r="AT56">
        <v>0</v>
      </c>
      <c r="AU56">
        <f>IF(AS56*$H$13&gt;=AW56,1.0,(AW56/(AW56-AS56*$H$13)))</f>
        <v>0</v>
      </c>
      <c r="AV56">
        <f>(AU56-1)*100</f>
        <v>0</v>
      </c>
      <c r="AW56">
        <f>MAX(0,($B$13+$C$13*EF56)/(1+$D$13*EF56)*DY56/(EA56+273)*$E$13)</f>
        <v>0</v>
      </c>
      <c r="AX56" t="s">
        <v>437</v>
      </c>
      <c r="AY56" t="s">
        <v>437</v>
      </c>
      <c r="AZ56">
        <v>0</v>
      </c>
      <c r="BA56">
        <v>0</v>
      </c>
      <c r="BB56">
        <f>1-AZ56/BA56</f>
        <v>0</v>
      </c>
      <c r="BC56">
        <v>0</v>
      </c>
      <c r="BD56" t="s">
        <v>437</v>
      </c>
      <c r="BE56" t="s">
        <v>437</v>
      </c>
      <c r="BF56">
        <v>0</v>
      </c>
      <c r="BG56">
        <v>0</v>
      </c>
      <c r="BH56">
        <f>1-BF56/BG56</f>
        <v>0</v>
      </c>
      <c r="BI56">
        <v>0.5</v>
      </c>
      <c r="BJ56">
        <f>DI56</f>
        <v>0</v>
      </c>
      <c r="BK56">
        <f>L56</f>
        <v>0</v>
      </c>
      <c r="BL56">
        <f>BH56*BI56*BJ56</f>
        <v>0</v>
      </c>
      <c r="BM56">
        <f>(BK56-BC56)/BJ56</f>
        <v>0</v>
      </c>
      <c r="BN56">
        <f>(BA56-BG56)/BG56</f>
        <v>0</v>
      </c>
      <c r="BO56">
        <f>AZ56/(BB56+AZ56/BG56)</f>
        <v>0</v>
      </c>
      <c r="BP56" t="s">
        <v>437</v>
      </c>
      <c r="BQ56">
        <v>0</v>
      </c>
      <c r="BR56">
        <f>IF(BQ56&lt;&gt;0, BQ56, BO56)</f>
        <v>0</v>
      </c>
      <c r="BS56">
        <f>1-BR56/BG56</f>
        <v>0</v>
      </c>
      <c r="BT56">
        <f>(BG56-BF56)/(BG56-BR56)</f>
        <v>0</v>
      </c>
      <c r="BU56">
        <f>(BA56-BG56)/(BA56-BR56)</f>
        <v>0</v>
      </c>
      <c r="BV56">
        <f>(BG56-BF56)/(BG56-AZ56)</f>
        <v>0</v>
      </c>
      <c r="BW56">
        <f>(BA56-BG56)/(BA56-AZ56)</f>
        <v>0</v>
      </c>
      <c r="BX56">
        <f>(BT56*BR56/BF56)</f>
        <v>0</v>
      </c>
      <c r="BY56">
        <f>(1-BX56)</f>
        <v>0</v>
      </c>
      <c r="DH56">
        <f>$B$11*EG56+$C$11*EH56+$F$11*ES56*(1-EV56)</f>
        <v>0</v>
      </c>
      <c r="DI56">
        <f>DH56*DJ56</f>
        <v>0</v>
      </c>
      <c r="DJ56">
        <f>($B$11*$D$9+$C$11*$D$9+$F$11*((FF56+EX56)/MAX(FF56+EX56+FG56, 0.1)*$I$9+FG56/MAX(FF56+EX56+FG56, 0.1)*$J$9))/($B$11+$C$11+$F$11)</f>
        <v>0</v>
      </c>
      <c r="DK56">
        <f>($B$11*$K$9+$C$11*$K$9+$F$11*((FF56+EX56)/MAX(FF56+EX56+FG56, 0.1)*$P$9+FG56/MAX(FF56+EX56+FG56, 0.1)*$Q$9))/($B$11+$C$11+$F$11)</f>
        <v>0</v>
      </c>
      <c r="DL56">
        <v>6</v>
      </c>
      <c r="DM56">
        <v>0.5</v>
      </c>
      <c r="DN56" t="s">
        <v>438</v>
      </c>
      <c r="DO56">
        <v>2</v>
      </c>
      <c r="DP56" t="b">
        <v>1</v>
      </c>
      <c r="DQ56">
        <v>1760989468.94615</v>
      </c>
      <c r="DR56">
        <v>586.124461538461</v>
      </c>
      <c r="DS56">
        <v>624.935</v>
      </c>
      <c r="DT56">
        <v>11.9080384615385</v>
      </c>
      <c r="DU56">
        <v>9.14336692307692</v>
      </c>
      <c r="DV56">
        <v>582.621923076923</v>
      </c>
      <c r="DW56">
        <v>12.0179769230769</v>
      </c>
      <c r="DX56">
        <v>500.034461538462</v>
      </c>
      <c r="DY56">
        <v>89.8697</v>
      </c>
      <c r="DZ56">
        <v>0.00740765846153846</v>
      </c>
      <c r="EA56">
        <v>18.3744692307692</v>
      </c>
      <c r="EB56">
        <v>17.9831384615385</v>
      </c>
      <c r="EC56">
        <v>999.9</v>
      </c>
      <c r="ED56">
        <v>0</v>
      </c>
      <c r="EE56">
        <v>0</v>
      </c>
      <c r="EF56">
        <v>10009.7176923077</v>
      </c>
      <c r="EG56">
        <v>0</v>
      </c>
      <c r="EH56">
        <v>1270.15615384615</v>
      </c>
      <c r="EI56">
        <v>-38.8105923076923</v>
      </c>
      <c r="EJ56">
        <v>593.188230769231</v>
      </c>
      <c r="EK56">
        <v>630.701230769231</v>
      </c>
      <c r="EL56">
        <v>2.76466923076923</v>
      </c>
      <c r="EM56">
        <v>624.935</v>
      </c>
      <c r="EN56">
        <v>9.14336692307692</v>
      </c>
      <c r="EO56">
        <v>1.07017153846154</v>
      </c>
      <c r="EP56">
        <v>0.821711615384615</v>
      </c>
      <c r="EQ56">
        <v>7.90844</v>
      </c>
      <c r="ER56">
        <v>4.08794538461539</v>
      </c>
      <c r="ES56">
        <v>1200.00923076923</v>
      </c>
      <c r="ET56">
        <v>0.967008846153846</v>
      </c>
      <c r="EU56">
        <v>0.0329910846153846</v>
      </c>
      <c r="EV56">
        <v>0</v>
      </c>
      <c r="EW56">
        <v>1334.24769230769</v>
      </c>
      <c r="EX56">
        <v>5.00059</v>
      </c>
      <c r="EY56">
        <v>15650.1461538462</v>
      </c>
      <c r="EZ56">
        <v>10358.8153846154</v>
      </c>
      <c r="FA56">
        <v>36.5526923076923</v>
      </c>
      <c r="FB56">
        <v>38.6392307692308</v>
      </c>
      <c r="FC56">
        <v>37.1583846153846</v>
      </c>
      <c r="FD56">
        <v>37.7642307692308</v>
      </c>
      <c r="FE56">
        <v>37.5718461538462</v>
      </c>
      <c r="FF56">
        <v>1155.58384615385</v>
      </c>
      <c r="FG56">
        <v>39.4238461538462</v>
      </c>
      <c r="FH56">
        <v>0</v>
      </c>
      <c r="FI56">
        <v>1760989446.7</v>
      </c>
      <c r="FJ56">
        <v>0</v>
      </c>
      <c r="FK56">
        <v>1334.24961538462</v>
      </c>
      <c r="FL56">
        <v>4.97401707550601</v>
      </c>
      <c r="FM56">
        <v>99.3538461454077</v>
      </c>
      <c r="FN56">
        <v>15651.5884615385</v>
      </c>
      <c r="FO56">
        <v>15</v>
      </c>
      <c r="FP56">
        <v>0</v>
      </c>
      <c r="FQ56" t="s">
        <v>439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-38.5987</v>
      </c>
      <c r="GD56">
        <v>-2.2428541353383</v>
      </c>
      <c r="GE56">
        <v>0.549312156246337</v>
      </c>
      <c r="GF56">
        <v>0</v>
      </c>
      <c r="GG56">
        <v>1333.80735294118</v>
      </c>
      <c r="GH56">
        <v>6.01359816076732</v>
      </c>
      <c r="GI56">
        <v>0.636004572789373</v>
      </c>
      <c r="GJ56">
        <v>-1</v>
      </c>
      <c r="GK56">
        <v>2.751953</v>
      </c>
      <c r="GL56">
        <v>0.230691428571426</v>
      </c>
      <c r="GM56">
        <v>0.0225993871819569</v>
      </c>
      <c r="GN56">
        <v>0</v>
      </c>
      <c r="GO56">
        <v>0</v>
      </c>
      <c r="GP56">
        <v>2</v>
      </c>
      <c r="GQ56" t="s">
        <v>519</v>
      </c>
      <c r="GR56">
        <v>3.13061</v>
      </c>
      <c r="GS56">
        <v>2.68576</v>
      </c>
      <c r="GT56">
        <v>0.118478</v>
      </c>
      <c r="GU56">
        <v>0.124225</v>
      </c>
      <c r="GV56">
        <v>0.0620289</v>
      </c>
      <c r="GW56">
        <v>0.0502074</v>
      </c>
      <c r="GX56">
        <v>33409.1</v>
      </c>
      <c r="GY56">
        <v>35664.6</v>
      </c>
      <c r="GZ56">
        <v>34266.5</v>
      </c>
      <c r="HA56">
        <v>36848.3</v>
      </c>
      <c r="HB56">
        <v>45338.2</v>
      </c>
      <c r="HC56">
        <v>50189</v>
      </c>
      <c r="HD56">
        <v>53340.1</v>
      </c>
      <c r="HE56">
        <v>58774.9</v>
      </c>
      <c r="HF56">
        <v>2.0086</v>
      </c>
      <c r="HG56">
        <v>1.83745</v>
      </c>
      <c r="HH56">
        <v>0.0327229</v>
      </c>
      <c r="HI56">
        <v>0</v>
      </c>
      <c r="HJ56">
        <v>17.4421</v>
      </c>
      <c r="HK56">
        <v>999.9</v>
      </c>
      <c r="HL56">
        <v>26.01</v>
      </c>
      <c r="HM56">
        <v>30.273</v>
      </c>
      <c r="HN56">
        <v>12.525</v>
      </c>
      <c r="HO56">
        <v>54.0391</v>
      </c>
      <c r="HP56">
        <v>44.2548</v>
      </c>
      <c r="HQ56">
        <v>1</v>
      </c>
      <c r="HR56">
        <v>-0.269848</v>
      </c>
      <c r="HS56">
        <v>3.78329</v>
      </c>
      <c r="HT56">
        <v>20.0976</v>
      </c>
      <c r="HU56">
        <v>5.20022</v>
      </c>
      <c r="HV56">
        <v>12.004</v>
      </c>
      <c r="HW56">
        <v>4.9758</v>
      </c>
      <c r="HX56">
        <v>3.29303</v>
      </c>
      <c r="HY56">
        <v>9999</v>
      </c>
      <c r="HZ56">
        <v>999.9</v>
      </c>
      <c r="IA56">
        <v>9999</v>
      </c>
      <c r="IB56">
        <v>9999</v>
      </c>
      <c r="IC56">
        <v>1.86325</v>
      </c>
      <c r="ID56">
        <v>1.86806</v>
      </c>
      <c r="IE56">
        <v>1.86783</v>
      </c>
      <c r="IF56">
        <v>1.86905</v>
      </c>
      <c r="IG56">
        <v>1.86981</v>
      </c>
      <c r="IH56">
        <v>1.86586</v>
      </c>
      <c r="II56">
        <v>1.86697</v>
      </c>
      <c r="IJ56">
        <v>1.86841</v>
      </c>
      <c r="IK56">
        <v>5</v>
      </c>
      <c r="IL56">
        <v>0</v>
      </c>
      <c r="IM56">
        <v>0</v>
      </c>
      <c r="IN56">
        <v>0</v>
      </c>
      <c r="IO56" t="s">
        <v>441</v>
      </c>
      <c r="IP56" t="s">
        <v>442</v>
      </c>
      <c r="IQ56" t="s">
        <v>443</v>
      </c>
      <c r="IR56" t="s">
        <v>443</v>
      </c>
      <c r="IS56" t="s">
        <v>443</v>
      </c>
      <c r="IT56" t="s">
        <v>443</v>
      </c>
      <c r="IU56">
        <v>0</v>
      </c>
      <c r="IV56">
        <v>100</v>
      </c>
      <c r="IW56">
        <v>100</v>
      </c>
      <c r="IX56">
        <v>3.601</v>
      </c>
      <c r="IY56">
        <v>-0.1101</v>
      </c>
      <c r="IZ56">
        <v>1.12474291219083</v>
      </c>
      <c r="JA56">
        <v>0.00463155566490582</v>
      </c>
      <c r="JB56">
        <v>-1.1358998729424e-06</v>
      </c>
      <c r="JC56">
        <v>3.28704272115545e-10</v>
      </c>
      <c r="JD56">
        <v>-0.0704455108513773</v>
      </c>
      <c r="JE56">
        <v>-0.0251928478371425</v>
      </c>
      <c r="JF56">
        <v>0.00225751704194564</v>
      </c>
      <c r="JG56">
        <v>-3.61734043746866e-05</v>
      </c>
      <c r="JH56">
        <v>1</v>
      </c>
      <c r="JI56">
        <v>2182</v>
      </c>
      <c r="JJ56">
        <v>0</v>
      </c>
      <c r="JK56">
        <v>24</v>
      </c>
      <c r="JL56">
        <v>29349824.6</v>
      </c>
      <c r="JM56">
        <v>29349824.6</v>
      </c>
      <c r="JN56">
        <v>1.44897</v>
      </c>
      <c r="JO56">
        <v>2.62695</v>
      </c>
      <c r="JP56">
        <v>1.54785</v>
      </c>
      <c r="JQ56">
        <v>2.31445</v>
      </c>
      <c r="JR56">
        <v>1.64673</v>
      </c>
      <c r="JS56">
        <v>2.36084</v>
      </c>
      <c r="JT56">
        <v>33.5355</v>
      </c>
      <c r="JU56">
        <v>24.1926</v>
      </c>
      <c r="JV56">
        <v>18</v>
      </c>
      <c r="JW56">
        <v>500.593</v>
      </c>
      <c r="JX56">
        <v>394.335</v>
      </c>
      <c r="JY56">
        <v>12.5057</v>
      </c>
      <c r="JZ56">
        <v>23.9068</v>
      </c>
      <c r="KA56">
        <v>30.0001</v>
      </c>
      <c r="KB56">
        <v>23.925</v>
      </c>
      <c r="KC56">
        <v>23.8952</v>
      </c>
      <c r="KD56">
        <v>29.01</v>
      </c>
      <c r="KE56">
        <v>8.45652</v>
      </c>
      <c r="KF56">
        <v>23.7343</v>
      </c>
      <c r="KG56">
        <v>12.5164</v>
      </c>
      <c r="KH56">
        <v>676.76</v>
      </c>
      <c r="KI56">
        <v>8.92736</v>
      </c>
      <c r="KJ56">
        <v>97.0431</v>
      </c>
      <c r="KK56">
        <v>95.3011</v>
      </c>
    </row>
    <row r="57" spans="1:297">
      <c r="A57">
        <v>41</v>
      </c>
      <c r="B57">
        <v>1760989482.1</v>
      </c>
      <c r="C57">
        <v>292</v>
      </c>
      <c r="D57" t="s">
        <v>524</v>
      </c>
      <c r="E57" t="s">
        <v>525</v>
      </c>
      <c r="F57">
        <v>5</v>
      </c>
      <c r="G57" t="s">
        <v>435</v>
      </c>
      <c r="H57" t="s">
        <v>436</v>
      </c>
      <c r="I57">
        <v>1760989473.94615</v>
      </c>
      <c r="J57">
        <f>(K57)/1000</f>
        <v>0</v>
      </c>
      <c r="K57">
        <f>IF(DP57, AN57, AH57)</f>
        <v>0</v>
      </c>
      <c r="L57">
        <f>IF(DP57, AI57, AG57)</f>
        <v>0</v>
      </c>
      <c r="M57">
        <f>DR57 - IF(AU57&gt;1, L57*DL57*100.0/(AW57), 0)</f>
        <v>0</v>
      </c>
      <c r="N57">
        <f>((T57-J57/2)*M57-L57)/(T57+J57/2)</f>
        <v>0</v>
      </c>
      <c r="O57">
        <f>N57*(DY57+DZ57)/1000.0</f>
        <v>0</v>
      </c>
      <c r="P57">
        <f>(DR57 - IF(AU57&gt;1, L57*DL57*100.0/(AW57), 0))*(DY57+DZ57)/1000.0</f>
        <v>0</v>
      </c>
      <c r="Q57">
        <f>2.0/((1/S57-1/R57)+SIGN(S57)*SQRT((1/S57-1/R57)*(1/S57-1/R57) + 4*DM57/((DM57+1)*(DM57+1))*(2*1/S57*1/R57-1/R57*1/R57)))</f>
        <v>0</v>
      </c>
      <c r="R57">
        <f>IF(LEFT(DN57,1)&lt;&gt;"0",IF(LEFT(DN57,1)="1",3.0,DO57),$D$5+$E$5*(EF57*DY57/($K$5*1000))+$F$5*(EF57*DY57/($K$5*1000))*MAX(MIN(DL57,$J$5),$I$5)*MAX(MIN(DL57,$J$5),$I$5)+$G$5*MAX(MIN(DL57,$J$5),$I$5)*(EF57*DY57/($K$5*1000))+$H$5*(EF57*DY57/($K$5*1000))*(EF57*DY57/($K$5*1000)))</f>
        <v>0</v>
      </c>
      <c r="S57">
        <f>J57*(1000-(1000*0.61365*exp(17.502*W57/(240.97+W57))/(DY57+DZ57)+DT57)/2)/(1000*0.61365*exp(17.502*W57/(240.97+W57))/(DY57+DZ57)-DT57)</f>
        <v>0</v>
      </c>
      <c r="T57">
        <f>1/((DM57+1)/(Q57/1.6)+1/(R57/1.37)) + DM57/((DM57+1)/(Q57/1.6) + DM57/(R57/1.37))</f>
        <v>0</v>
      </c>
      <c r="U57">
        <f>(DH57*DK57)</f>
        <v>0</v>
      </c>
      <c r="V57">
        <f>(EA57+(U57+2*0.95*5.67E-8*(((EA57+$B$7)+273)^4-(EA57+273)^4)-44100*J57)/(1.84*29.3*R57+8*0.95*5.67E-8*(EA57+273)^3))</f>
        <v>0</v>
      </c>
      <c r="W57">
        <f>($C$7*EB57+$D$7*EC57+$E$7*V57)</f>
        <v>0</v>
      </c>
      <c r="X57">
        <f>0.61365*exp(17.502*W57/(240.97+W57))</f>
        <v>0</v>
      </c>
      <c r="Y57">
        <f>(Z57/AA57*100)</f>
        <v>0</v>
      </c>
      <c r="Z57">
        <f>DT57*(DY57+DZ57)/1000</f>
        <v>0</v>
      </c>
      <c r="AA57">
        <f>0.61365*exp(17.502*EA57/(240.97+EA57))</f>
        <v>0</v>
      </c>
      <c r="AB57">
        <f>(X57-DT57*(DY57+DZ57)/1000)</f>
        <v>0</v>
      </c>
      <c r="AC57">
        <f>(-J57*44100)</f>
        <v>0</v>
      </c>
      <c r="AD57">
        <f>2*29.3*R57*0.92*(EA57-W57)</f>
        <v>0</v>
      </c>
      <c r="AE57">
        <f>2*0.95*5.67E-8*(((EA57+$B$7)+273)^4-(W57+273)^4)</f>
        <v>0</v>
      </c>
      <c r="AF57">
        <f>U57+AE57+AC57+AD57</f>
        <v>0</v>
      </c>
      <c r="AG57">
        <f>DX57*AU57*(DS57-DR57*(1000-AU57*DU57)/(1000-AU57*DT57))/(100*DL57)</f>
        <v>0</v>
      </c>
      <c r="AH57">
        <f>1000*DX57*AU57*(DT57-DU57)/(100*DL57*(1000-AU57*DT57))</f>
        <v>0</v>
      </c>
      <c r="AI57">
        <f>(AJ57 - AK57 - DY57*1E3/(8.314*(EA57+273.15)) * AM57/DX57 * AL57) * DX57/(100*DL57) * (1000 - DU57)/1000</f>
        <v>0</v>
      </c>
      <c r="AJ57">
        <v>663.055942654746</v>
      </c>
      <c r="AK57">
        <v>633.87936969697</v>
      </c>
      <c r="AL57">
        <v>3.29648698801843</v>
      </c>
      <c r="AM57">
        <v>64.8413469339502</v>
      </c>
      <c r="AN57">
        <f>(AP57 - AO57 + DY57*1E3/(8.314*(EA57+273.15)) * AR57/DX57 * AQ57) * DX57/(100*DL57) * 1000/(1000 - AP57)</f>
        <v>0</v>
      </c>
      <c r="AO57">
        <v>9.06703562572171</v>
      </c>
      <c r="AP57">
        <v>11.8803509090909</v>
      </c>
      <c r="AQ57">
        <v>-1.4114559614495e-05</v>
      </c>
      <c r="AR57">
        <v>118.472689631034</v>
      </c>
      <c r="AS57">
        <v>0</v>
      </c>
      <c r="AT57">
        <v>0</v>
      </c>
      <c r="AU57">
        <f>IF(AS57*$H$13&gt;=AW57,1.0,(AW57/(AW57-AS57*$H$13)))</f>
        <v>0</v>
      </c>
      <c r="AV57">
        <f>(AU57-1)*100</f>
        <v>0</v>
      </c>
      <c r="AW57">
        <f>MAX(0,($B$13+$C$13*EF57)/(1+$D$13*EF57)*DY57/(EA57+273)*$E$13)</f>
        <v>0</v>
      </c>
      <c r="AX57" t="s">
        <v>437</v>
      </c>
      <c r="AY57" t="s">
        <v>437</v>
      </c>
      <c r="AZ57">
        <v>0</v>
      </c>
      <c r="BA57">
        <v>0</v>
      </c>
      <c r="BB57">
        <f>1-AZ57/BA57</f>
        <v>0</v>
      </c>
      <c r="BC57">
        <v>0</v>
      </c>
      <c r="BD57" t="s">
        <v>437</v>
      </c>
      <c r="BE57" t="s">
        <v>437</v>
      </c>
      <c r="BF57">
        <v>0</v>
      </c>
      <c r="BG57">
        <v>0</v>
      </c>
      <c r="BH57">
        <f>1-BF57/BG57</f>
        <v>0</v>
      </c>
      <c r="BI57">
        <v>0.5</v>
      </c>
      <c r="BJ57">
        <f>DI57</f>
        <v>0</v>
      </c>
      <c r="BK57">
        <f>L57</f>
        <v>0</v>
      </c>
      <c r="BL57">
        <f>BH57*BI57*BJ57</f>
        <v>0</v>
      </c>
      <c r="BM57">
        <f>(BK57-BC57)/BJ57</f>
        <v>0</v>
      </c>
      <c r="BN57">
        <f>(BA57-BG57)/BG57</f>
        <v>0</v>
      </c>
      <c r="BO57">
        <f>AZ57/(BB57+AZ57/BG57)</f>
        <v>0</v>
      </c>
      <c r="BP57" t="s">
        <v>437</v>
      </c>
      <c r="BQ57">
        <v>0</v>
      </c>
      <c r="BR57">
        <f>IF(BQ57&lt;&gt;0, BQ57, BO57)</f>
        <v>0</v>
      </c>
      <c r="BS57">
        <f>1-BR57/BG57</f>
        <v>0</v>
      </c>
      <c r="BT57">
        <f>(BG57-BF57)/(BG57-BR57)</f>
        <v>0</v>
      </c>
      <c r="BU57">
        <f>(BA57-BG57)/(BA57-BR57)</f>
        <v>0</v>
      </c>
      <c r="BV57">
        <f>(BG57-BF57)/(BG57-AZ57)</f>
        <v>0</v>
      </c>
      <c r="BW57">
        <f>(BA57-BG57)/(BA57-AZ57)</f>
        <v>0</v>
      </c>
      <c r="BX57">
        <f>(BT57*BR57/BF57)</f>
        <v>0</v>
      </c>
      <c r="BY57">
        <f>(1-BX57)</f>
        <v>0</v>
      </c>
      <c r="DH57">
        <f>$B$11*EG57+$C$11*EH57+$F$11*ES57*(1-EV57)</f>
        <v>0</v>
      </c>
      <c r="DI57">
        <f>DH57*DJ57</f>
        <v>0</v>
      </c>
      <c r="DJ57">
        <f>($B$11*$D$9+$C$11*$D$9+$F$11*((FF57+EX57)/MAX(FF57+EX57+FG57, 0.1)*$I$9+FG57/MAX(FF57+EX57+FG57, 0.1)*$J$9))/($B$11+$C$11+$F$11)</f>
        <v>0</v>
      </c>
      <c r="DK57">
        <f>($B$11*$K$9+$C$11*$K$9+$F$11*((FF57+EX57)/MAX(FF57+EX57+FG57, 0.1)*$P$9+FG57/MAX(FF57+EX57+FG57, 0.1)*$Q$9))/($B$11+$C$11+$F$11)</f>
        <v>0</v>
      </c>
      <c r="DL57">
        <v>6</v>
      </c>
      <c r="DM57">
        <v>0.5</v>
      </c>
      <c r="DN57" t="s">
        <v>438</v>
      </c>
      <c r="DO57">
        <v>2</v>
      </c>
      <c r="DP57" t="b">
        <v>1</v>
      </c>
      <c r="DQ57">
        <v>1760989473.94615</v>
      </c>
      <c r="DR57">
        <v>602.795615384615</v>
      </c>
      <c r="DS57">
        <v>641.454692307692</v>
      </c>
      <c r="DT57">
        <v>11.8992692307692</v>
      </c>
      <c r="DU57">
        <v>9.11174384615385</v>
      </c>
      <c r="DV57">
        <v>599.232769230769</v>
      </c>
      <c r="DW57">
        <v>12.0093153846154</v>
      </c>
      <c r="DX57">
        <v>500.005461538461</v>
      </c>
      <c r="DY57">
        <v>89.8689</v>
      </c>
      <c r="DZ57">
        <v>0.00764328615384615</v>
      </c>
      <c r="EA57">
        <v>18.3735615384615</v>
      </c>
      <c r="EB57">
        <v>17.9859076923077</v>
      </c>
      <c r="EC57">
        <v>999.9</v>
      </c>
      <c r="ED57">
        <v>0</v>
      </c>
      <c r="EE57">
        <v>0</v>
      </c>
      <c r="EF57">
        <v>10001.1061538462</v>
      </c>
      <c r="EG57">
        <v>0</v>
      </c>
      <c r="EH57">
        <v>1270.16076923077</v>
      </c>
      <c r="EI57">
        <v>-38.6589461538461</v>
      </c>
      <c r="EJ57">
        <v>610.054923076923</v>
      </c>
      <c r="EK57">
        <v>647.352538461539</v>
      </c>
      <c r="EL57">
        <v>2.78751615384615</v>
      </c>
      <c r="EM57">
        <v>641.454692307692</v>
      </c>
      <c r="EN57">
        <v>9.11174384615385</v>
      </c>
      <c r="EO57">
        <v>1.06937384615385</v>
      </c>
      <c r="EP57">
        <v>0.818862384615385</v>
      </c>
      <c r="EQ57">
        <v>7.89747846153846</v>
      </c>
      <c r="ER57">
        <v>4.03847076923077</v>
      </c>
      <c r="ES57">
        <v>1200.00615384615</v>
      </c>
      <c r="ET57">
        <v>0.967006538461538</v>
      </c>
      <c r="EU57">
        <v>0.0329934538461538</v>
      </c>
      <c r="EV57">
        <v>0</v>
      </c>
      <c r="EW57">
        <v>1334.65538461538</v>
      </c>
      <c r="EX57">
        <v>5.00059</v>
      </c>
      <c r="EY57">
        <v>15658.3846153846</v>
      </c>
      <c r="EZ57">
        <v>10358.7846153846</v>
      </c>
      <c r="FA57">
        <v>36.6247692307692</v>
      </c>
      <c r="FB57">
        <v>38.793</v>
      </c>
      <c r="FC57">
        <v>37.2497692307692</v>
      </c>
      <c r="FD57">
        <v>37.9276153846154</v>
      </c>
      <c r="FE57">
        <v>37.6632307692308</v>
      </c>
      <c r="FF57">
        <v>1155.57923076923</v>
      </c>
      <c r="FG57">
        <v>39.4253846153846</v>
      </c>
      <c r="FH57">
        <v>0</v>
      </c>
      <c r="FI57">
        <v>1760989451.5</v>
      </c>
      <c r="FJ57">
        <v>0</v>
      </c>
      <c r="FK57">
        <v>1334.61615384615</v>
      </c>
      <c r="FL57">
        <v>4.15658116909793</v>
      </c>
      <c r="FM57">
        <v>94.246153714029</v>
      </c>
      <c r="FN57">
        <v>15659.6346153846</v>
      </c>
      <c r="FO57">
        <v>15</v>
      </c>
      <c r="FP57">
        <v>0</v>
      </c>
      <c r="FQ57" t="s">
        <v>439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-38.780095</v>
      </c>
      <c r="GD57">
        <v>0.968657142857121</v>
      </c>
      <c r="GE57">
        <v>0.404605725954293</v>
      </c>
      <c r="GF57">
        <v>0</v>
      </c>
      <c r="GG57">
        <v>1334.33441176471</v>
      </c>
      <c r="GH57">
        <v>4.59327729933823</v>
      </c>
      <c r="GI57">
        <v>0.515832799954263</v>
      </c>
      <c r="GJ57">
        <v>-1</v>
      </c>
      <c r="GK57">
        <v>2.776762</v>
      </c>
      <c r="GL57">
        <v>0.285203909774436</v>
      </c>
      <c r="GM57">
        <v>0.0275238114366452</v>
      </c>
      <c r="GN57">
        <v>0</v>
      </c>
      <c r="GO57">
        <v>0</v>
      </c>
      <c r="GP57">
        <v>2</v>
      </c>
      <c r="GQ57" t="s">
        <v>519</v>
      </c>
      <c r="GR57">
        <v>3.13082</v>
      </c>
      <c r="GS57">
        <v>2.68594</v>
      </c>
      <c r="GT57">
        <v>0.120705</v>
      </c>
      <c r="GU57">
        <v>0.12648</v>
      </c>
      <c r="GV57">
        <v>0.0619682</v>
      </c>
      <c r="GW57">
        <v>0.0500684</v>
      </c>
      <c r="GX57">
        <v>33325.1</v>
      </c>
      <c r="GY57">
        <v>35573.2</v>
      </c>
      <c r="GZ57">
        <v>34266.9</v>
      </c>
      <c r="HA57">
        <v>36848.7</v>
      </c>
      <c r="HB57">
        <v>45342</v>
      </c>
      <c r="HC57">
        <v>50197.3</v>
      </c>
      <c r="HD57">
        <v>53340.8</v>
      </c>
      <c r="HE57">
        <v>58775.6</v>
      </c>
      <c r="HF57">
        <v>2.0088</v>
      </c>
      <c r="HG57">
        <v>1.83703</v>
      </c>
      <c r="HH57">
        <v>0.032559</v>
      </c>
      <c r="HI57">
        <v>0</v>
      </c>
      <c r="HJ57">
        <v>17.4421</v>
      </c>
      <c r="HK57">
        <v>999.9</v>
      </c>
      <c r="HL57">
        <v>26.01</v>
      </c>
      <c r="HM57">
        <v>30.273</v>
      </c>
      <c r="HN57">
        <v>12.5265</v>
      </c>
      <c r="HO57">
        <v>54.3491</v>
      </c>
      <c r="HP57">
        <v>44.2388</v>
      </c>
      <c r="HQ57">
        <v>1</v>
      </c>
      <c r="HR57">
        <v>-0.269769</v>
      </c>
      <c r="HS57">
        <v>3.77789</v>
      </c>
      <c r="HT57">
        <v>20.0976</v>
      </c>
      <c r="HU57">
        <v>5.20007</v>
      </c>
      <c r="HV57">
        <v>12.004</v>
      </c>
      <c r="HW57">
        <v>4.97585</v>
      </c>
      <c r="HX57">
        <v>3.293</v>
      </c>
      <c r="HY57">
        <v>9999</v>
      </c>
      <c r="HZ57">
        <v>999.9</v>
      </c>
      <c r="IA57">
        <v>9999</v>
      </c>
      <c r="IB57">
        <v>9999</v>
      </c>
      <c r="IC57">
        <v>1.86325</v>
      </c>
      <c r="ID57">
        <v>1.86805</v>
      </c>
      <c r="IE57">
        <v>1.86783</v>
      </c>
      <c r="IF57">
        <v>1.86905</v>
      </c>
      <c r="IG57">
        <v>1.86981</v>
      </c>
      <c r="IH57">
        <v>1.86588</v>
      </c>
      <c r="II57">
        <v>1.86696</v>
      </c>
      <c r="IJ57">
        <v>1.86842</v>
      </c>
      <c r="IK57">
        <v>5</v>
      </c>
      <c r="IL57">
        <v>0</v>
      </c>
      <c r="IM57">
        <v>0</v>
      </c>
      <c r="IN57">
        <v>0</v>
      </c>
      <c r="IO57" t="s">
        <v>441</v>
      </c>
      <c r="IP57" t="s">
        <v>442</v>
      </c>
      <c r="IQ57" t="s">
        <v>443</v>
      </c>
      <c r="IR57" t="s">
        <v>443</v>
      </c>
      <c r="IS57" t="s">
        <v>443</v>
      </c>
      <c r="IT57" t="s">
        <v>443</v>
      </c>
      <c r="IU57">
        <v>0</v>
      </c>
      <c r="IV57">
        <v>100</v>
      </c>
      <c r="IW57">
        <v>100</v>
      </c>
      <c r="IX57">
        <v>3.659</v>
      </c>
      <c r="IY57">
        <v>-0.1103</v>
      </c>
      <c r="IZ57">
        <v>1.12474291219083</v>
      </c>
      <c r="JA57">
        <v>0.00463155566490582</v>
      </c>
      <c r="JB57">
        <v>-1.1358998729424e-06</v>
      </c>
      <c r="JC57">
        <v>3.28704272115545e-10</v>
      </c>
      <c r="JD57">
        <v>-0.0704455108513773</v>
      </c>
      <c r="JE57">
        <v>-0.0251928478371425</v>
      </c>
      <c r="JF57">
        <v>0.00225751704194564</v>
      </c>
      <c r="JG57">
        <v>-3.61734043746866e-05</v>
      </c>
      <c r="JH57">
        <v>1</v>
      </c>
      <c r="JI57">
        <v>2182</v>
      </c>
      <c r="JJ57">
        <v>0</v>
      </c>
      <c r="JK57">
        <v>24</v>
      </c>
      <c r="JL57">
        <v>29349824.7</v>
      </c>
      <c r="JM57">
        <v>29349824.7</v>
      </c>
      <c r="JN57">
        <v>1.47949</v>
      </c>
      <c r="JO57">
        <v>2.62695</v>
      </c>
      <c r="JP57">
        <v>1.54785</v>
      </c>
      <c r="JQ57">
        <v>2.31445</v>
      </c>
      <c r="JR57">
        <v>1.64551</v>
      </c>
      <c r="JS57">
        <v>2.34497</v>
      </c>
      <c r="JT57">
        <v>33.5355</v>
      </c>
      <c r="JU57">
        <v>24.1926</v>
      </c>
      <c r="JV57">
        <v>18</v>
      </c>
      <c r="JW57">
        <v>500.716</v>
      </c>
      <c r="JX57">
        <v>394.111</v>
      </c>
      <c r="JY57">
        <v>12.516</v>
      </c>
      <c r="JZ57">
        <v>23.9068</v>
      </c>
      <c r="KA57">
        <v>30</v>
      </c>
      <c r="KB57">
        <v>23.9245</v>
      </c>
      <c r="KC57">
        <v>23.8952</v>
      </c>
      <c r="KD57">
        <v>29.6705</v>
      </c>
      <c r="KE57">
        <v>8.77866</v>
      </c>
      <c r="KF57">
        <v>23.7343</v>
      </c>
      <c r="KG57">
        <v>12.5248</v>
      </c>
      <c r="KH57">
        <v>690.337</v>
      </c>
      <c r="KI57">
        <v>8.92746</v>
      </c>
      <c r="KJ57">
        <v>97.0443</v>
      </c>
      <c r="KK57">
        <v>95.3021</v>
      </c>
    </row>
    <row r="58" spans="1:297">
      <c r="A58">
        <v>42</v>
      </c>
      <c r="B58">
        <v>1760989487.1</v>
      </c>
      <c r="C58">
        <v>297</v>
      </c>
      <c r="D58" t="s">
        <v>526</v>
      </c>
      <c r="E58" t="s">
        <v>527</v>
      </c>
      <c r="F58">
        <v>5</v>
      </c>
      <c r="G58" t="s">
        <v>435</v>
      </c>
      <c r="H58" t="s">
        <v>436</v>
      </c>
      <c r="I58">
        <v>1760989478.94615</v>
      </c>
      <c r="J58">
        <f>(K58)/1000</f>
        <v>0</v>
      </c>
      <c r="K58">
        <f>IF(DP58, AN58, AH58)</f>
        <v>0</v>
      </c>
      <c r="L58">
        <f>IF(DP58, AI58, AG58)</f>
        <v>0</v>
      </c>
      <c r="M58">
        <f>DR58 - IF(AU58&gt;1, L58*DL58*100.0/(AW58), 0)</f>
        <v>0</v>
      </c>
      <c r="N58">
        <f>((T58-J58/2)*M58-L58)/(T58+J58/2)</f>
        <v>0</v>
      </c>
      <c r="O58">
        <f>N58*(DY58+DZ58)/1000.0</f>
        <v>0</v>
      </c>
      <c r="P58">
        <f>(DR58 - IF(AU58&gt;1, L58*DL58*100.0/(AW58), 0))*(DY58+DZ58)/1000.0</f>
        <v>0</v>
      </c>
      <c r="Q58">
        <f>2.0/((1/S58-1/R58)+SIGN(S58)*SQRT((1/S58-1/R58)*(1/S58-1/R58) + 4*DM58/((DM58+1)*(DM58+1))*(2*1/S58*1/R58-1/R58*1/R58)))</f>
        <v>0</v>
      </c>
      <c r="R58">
        <f>IF(LEFT(DN58,1)&lt;&gt;"0",IF(LEFT(DN58,1)="1",3.0,DO58),$D$5+$E$5*(EF58*DY58/($K$5*1000))+$F$5*(EF58*DY58/($K$5*1000))*MAX(MIN(DL58,$J$5),$I$5)*MAX(MIN(DL58,$J$5),$I$5)+$G$5*MAX(MIN(DL58,$J$5),$I$5)*(EF58*DY58/($K$5*1000))+$H$5*(EF58*DY58/($K$5*1000))*(EF58*DY58/($K$5*1000)))</f>
        <v>0</v>
      </c>
      <c r="S58">
        <f>J58*(1000-(1000*0.61365*exp(17.502*W58/(240.97+W58))/(DY58+DZ58)+DT58)/2)/(1000*0.61365*exp(17.502*W58/(240.97+W58))/(DY58+DZ58)-DT58)</f>
        <v>0</v>
      </c>
      <c r="T58">
        <f>1/((DM58+1)/(Q58/1.6)+1/(R58/1.37)) + DM58/((DM58+1)/(Q58/1.6) + DM58/(R58/1.37))</f>
        <v>0</v>
      </c>
      <c r="U58">
        <f>(DH58*DK58)</f>
        <v>0</v>
      </c>
      <c r="V58">
        <f>(EA58+(U58+2*0.95*5.67E-8*(((EA58+$B$7)+273)^4-(EA58+273)^4)-44100*J58)/(1.84*29.3*R58+8*0.95*5.67E-8*(EA58+273)^3))</f>
        <v>0</v>
      </c>
      <c r="W58">
        <f>($C$7*EB58+$D$7*EC58+$E$7*V58)</f>
        <v>0</v>
      </c>
      <c r="X58">
        <f>0.61365*exp(17.502*W58/(240.97+W58))</f>
        <v>0</v>
      </c>
      <c r="Y58">
        <f>(Z58/AA58*100)</f>
        <v>0</v>
      </c>
      <c r="Z58">
        <f>DT58*(DY58+DZ58)/1000</f>
        <v>0</v>
      </c>
      <c r="AA58">
        <f>0.61365*exp(17.502*EA58/(240.97+EA58))</f>
        <v>0</v>
      </c>
      <c r="AB58">
        <f>(X58-DT58*(DY58+DZ58)/1000)</f>
        <v>0</v>
      </c>
      <c r="AC58">
        <f>(-J58*44100)</f>
        <v>0</v>
      </c>
      <c r="AD58">
        <f>2*29.3*R58*0.92*(EA58-W58)</f>
        <v>0</v>
      </c>
      <c r="AE58">
        <f>2*0.95*5.67E-8*(((EA58+$B$7)+273)^4-(W58+273)^4)</f>
        <v>0</v>
      </c>
      <c r="AF58">
        <f>U58+AE58+AC58+AD58</f>
        <v>0</v>
      </c>
      <c r="AG58">
        <f>DX58*AU58*(DS58-DR58*(1000-AU58*DU58)/(1000-AU58*DT58))/(100*DL58)</f>
        <v>0</v>
      </c>
      <c r="AH58">
        <f>1000*DX58*AU58*(DT58-DU58)/(100*DL58*(1000-AU58*DT58))</f>
        <v>0</v>
      </c>
      <c r="AI58">
        <f>(AJ58 - AK58 - DY58*1E3/(8.314*(EA58+273.15)) * AM58/DX58 * AL58) * DX58/(100*DL58) * (1000 - DU58)/1000</f>
        <v>0</v>
      </c>
      <c r="AJ58">
        <v>680.668928638725</v>
      </c>
      <c r="AK58">
        <v>651.011333333333</v>
      </c>
      <c r="AL58">
        <v>3.43959809826124</v>
      </c>
      <c r="AM58">
        <v>64.8413469339502</v>
      </c>
      <c r="AN58">
        <f>(AP58 - AO58 + DY58*1E3/(8.314*(EA58+273.15)) * AR58/DX58 * AQ58) * DX58/(100*DL58) * 1000/(1000 - AP58)</f>
        <v>0</v>
      </c>
      <c r="AO58">
        <v>9.0386263178311</v>
      </c>
      <c r="AP58">
        <v>11.8647042424242</v>
      </c>
      <c r="AQ58">
        <v>-1.38668588523393e-05</v>
      </c>
      <c r="AR58">
        <v>118.472689631034</v>
      </c>
      <c r="AS58">
        <v>0</v>
      </c>
      <c r="AT58">
        <v>0</v>
      </c>
      <c r="AU58">
        <f>IF(AS58*$H$13&gt;=AW58,1.0,(AW58/(AW58-AS58*$H$13)))</f>
        <v>0</v>
      </c>
      <c r="AV58">
        <f>(AU58-1)*100</f>
        <v>0</v>
      </c>
      <c r="AW58">
        <f>MAX(0,($B$13+$C$13*EF58)/(1+$D$13*EF58)*DY58/(EA58+273)*$E$13)</f>
        <v>0</v>
      </c>
      <c r="AX58" t="s">
        <v>437</v>
      </c>
      <c r="AY58" t="s">
        <v>437</v>
      </c>
      <c r="AZ58">
        <v>0</v>
      </c>
      <c r="BA58">
        <v>0</v>
      </c>
      <c r="BB58">
        <f>1-AZ58/BA58</f>
        <v>0</v>
      </c>
      <c r="BC58">
        <v>0</v>
      </c>
      <c r="BD58" t="s">
        <v>437</v>
      </c>
      <c r="BE58" t="s">
        <v>437</v>
      </c>
      <c r="BF58">
        <v>0</v>
      </c>
      <c r="BG58">
        <v>0</v>
      </c>
      <c r="BH58">
        <f>1-BF58/BG58</f>
        <v>0</v>
      </c>
      <c r="BI58">
        <v>0.5</v>
      </c>
      <c r="BJ58">
        <f>DI58</f>
        <v>0</v>
      </c>
      <c r="BK58">
        <f>L58</f>
        <v>0</v>
      </c>
      <c r="BL58">
        <f>BH58*BI58*BJ58</f>
        <v>0</v>
      </c>
      <c r="BM58">
        <f>(BK58-BC58)/BJ58</f>
        <v>0</v>
      </c>
      <c r="BN58">
        <f>(BA58-BG58)/BG58</f>
        <v>0</v>
      </c>
      <c r="BO58">
        <f>AZ58/(BB58+AZ58/BG58)</f>
        <v>0</v>
      </c>
      <c r="BP58" t="s">
        <v>437</v>
      </c>
      <c r="BQ58">
        <v>0</v>
      </c>
      <c r="BR58">
        <f>IF(BQ58&lt;&gt;0, BQ58, BO58)</f>
        <v>0</v>
      </c>
      <c r="BS58">
        <f>1-BR58/BG58</f>
        <v>0</v>
      </c>
      <c r="BT58">
        <f>(BG58-BF58)/(BG58-BR58)</f>
        <v>0</v>
      </c>
      <c r="BU58">
        <f>(BA58-BG58)/(BA58-BR58)</f>
        <v>0</v>
      </c>
      <c r="BV58">
        <f>(BG58-BF58)/(BG58-AZ58)</f>
        <v>0</v>
      </c>
      <c r="BW58">
        <f>(BA58-BG58)/(BA58-AZ58)</f>
        <v>0</v>
      </c>
      <c r="BX58">
        <f>(BT58*BR58/BF58)</f>
        <v>0</v>
      </c>
      <c r="BY58">
        <f>(1-BX58)</f>
        <v>0</v>
      </c>
      <c r="DH58">
        <f>$B$11*EG58+$C$11*EH58+$F$11*ES58*(1-EV58)</f>
        <v>0</v>
      </c>
      <c r="DI58">
        <f>DH58*DJ58</f>
        <v>0</v>
      </c>
      <c r="DJ58">
        <f>($B$11*$D$9+$C$11*$D$9+$F$11*((FF58+EX58)/MAX(FF58+EX58+FG58, 0.1)*$I$9+FG58/MAX(FF58+EX58+FG58, 0.1)*$J$9))/($B$11+$C$11+$F$11)</f>
        <v>0</v>
      </c>
      <c r="DK58">
        <f>($B$11*$K$9+$C$11*$K$9+$F$11*((FF58+EX58)/MAX(FF58+EX58+FG58, 0.1)*$P$9+FG58/MAX(FF58+EX58+FG58, 0.1)*$Q$9))/($B$11+$C$11+$F$11)</f>
        <v>0</v>
      </c>
      <c r="DL58">
        <v>6</v>
      </c>
      <c r="DM58">
        <v>0.5</v>
      </c>
      <c r="DN58" t="s">
        <v>438</v>
      </c>
      <c r="DO58">
        <v>2</v>
      </c>
      <c r="DP58" t="b">
        <v>1</v>
      </c>
      <c r="DQ58">
        <v>1760989478.94615</v>
      </c>
      <c r="DR58">
        <v>619.366923076923</v>
      </c>
      <c r="DS58">
        <v>658.445230769231</v>
      </c>
      <c r="DT58">
        <v>11.8866230769231</v>
      </c>
      <c r="DU58">
        <v>9.07781769230769</v>
      </c>
      <c r="DV58">
        <v>615.744384615385</v>
      </c>
      <c r="DW58">
        <v>11.9968307692308</v>
      </c>
      <c r="DX58">
        <v>499.995461538462</v>
      </c>
      <c r="DY58">
        <v>89.8678307692308</v>
      </c>
      <c r="DZ58">
        <v>0.00781305769230769</v>
      </c>
      <c r="EA58">
        <v>18.3762307692308</v>
      </c>
      <c r="EB58">
        <v>17.9835615384615</v>
      </c>
      <c r="EC58">
        <v>999.9</v>
      </c>
      <c r="ED58">
        <v>0</v>
      </c>
      <c r="EE58">
        <v>0</v>
      </c>
      <c r="EF58">
        <v>9992.83307692308</v>
      </c>
      <c r="EG58">
        <v>0</v>
      </c>
      <c r="EH58">
        <v>1270.16769230769</v>
      </c>
      <c r="EI58">
        <v>-39.0781230769231</v>
      </c>
      <c r="EJ58">
        <v>626.817692307692</v>
      </c>
      <c r="EK58">
        <v>664.476615384615</v>
      </c>
      <c r="EL58">
        <v>2.80880461538462</v>
      </c>
      <c r="EM58">
        <v>658.445230769231</v>
      </c>
      <c r="EN58">
        <v>9.07781769230769</v>
      </c>
      <c r="EO58">
        <v>1.06822461538462</v>
      </c>
      <c r="EP58">
        <v>0.815803923076923</v>
      </c>
      <c r="EQ58">
        <v>7.8817</v>
      </c>
      <c r="ER58">
        <v>3.98522923076923</v>
      </c>
      <c r="ES58">
        <v>1200.00230769231</v>
      </c>
      <c r="ET58">
        <v>0.967007923076923</v>
      </c>
      <c r="EU58">
        <v>0.0329921307692308</v>
      </c>
      <c r="EV58">
        <v>0</v>
      </c>
      <c r="EW58">
        <v>1334.98461538462</v>
      </c>
      <c r="EX58">
        <v>5.00059</v>
      </c>
      <c r="EY58">
        <v>15666.3076923077</v>
      </c>
      <c r="EZ58">
        <v>10358.7769230769</v>
      </c>
      <c r="FA58">
        <v>36.7016923076923</v>
      </c>
      <c r="FB58">
        <v>38.9323846153846</v>
      </c>
      <c r="FC58">
        <v>37.3266923076923</v>
      </c>
      <c r="FD58">
        <v>38.0814615384615</v>
      </c>
      <c r="FE58">
        <v>37.7546153846154</v>
      </c>
      <c r="FF58">
        <v>1155.57769230769</v>
      </c>
      <c r="FG58">
        <v>39.4246153846154</v>
      </c>
      <c r="FH58">
        <v>0</v>
      </c>
      <c r="FI58">
        <v>1760989456.3</v>
      </c>
      <c r="FJ58">
        <v>0</v>
      </c>
      <c r="FK58">
        <v>1334.94730769231</v>
      </c>
      <c r="FL58">
        <v>3.44376067124598</v>
      </c>
      <c r="FM58">
        <v>90.499145462406</v>
      </c>
      <c r="FN58">
        <v>15667.2192307692</v>
      </c>
      <c r="FO58">
        <v>15</v>
      </c>
      <c r="FP58">
        <v>0</v>
      </c>
      <c r="FQ58" t="s">
        <v>439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-38.8981380952381</v>
      </c>
      <c r="GD58">
        <v>-3.62647012987014</v>
      </c>
      <c r="GE58">
        <v>0.529496362212595</v>
      </c>
      <c r="GF58">
        <v>0</v>
      </c>
      <c r="GG58">
        <v>1334.69323529412</v>
      </c>
      <c r="GH58">
        <v>4.17158135032598</v>
      </c>
      <c r="GI58">
        <v>0.474203484420642</v>
      </c>
      <c r="GJ58">
        <v>-1</v>
      </c>
      <c r="GK58">
        <v>2.79556380952381</v>
      </c>
      <c r="GL58">
        <v>0.261565714285717</v>
      </c>
      <c r="GM58">
        <v>0.0267191690554055</v>
      </c>
      <c r="GN58">
        <v>0</v>
      </c>
      <c r="GO58">
        <v>0</v>
      </c>
      <c r="GP58">
        <v>2</v>
      </c>
      <c r="GQ58" t="s">
        <v>519</v>
      </c>
      <c r="GR58">
        <v>3.13062</v>
      </c>
      <c r="GS58">
        <v>2.68575</v>
      </c>
      <c r="GT58">
        <v>0.122983</v>
      </c>
      <c r="GU58">
        <v>0.128664</v>
      </c>
      <c r="GV58">
        <v>0.061901</v>
      </c>
      <c r="GW58">
        <v>0.0499599</v>
      </c>
      <c r="GX58">
        <v>33239.1</v>
      </c>
      <c r="GY58">
        <v>35484.3</v>
      </c>
      <c r="GZ58">
        <v>34267.1</v>
      </c>
      <c r="HA58">
        <v>36848.7</v>
      </c>
      <c r="HB58">
        <v>45345.8</v>
      </c>
      <c r="HC58">
        <v>50202.9</v>
      </c>
      <c r="HD58">
        <v>53341.1</v>
      </c>
      <c r="HE58">
        <v>58775.1</v>
      </c>
      <c r="HF58">
        <v>2.00842</v>
      </c>
      <c r="HG58">
        <v>1.83765</v>
      </c>
      <c r="HH58">
        <v>0.0322908</v>
      </c>
      <c r="HI58">
        <v>0</v>
      </c>
      <c r="HJ58">
        <v>17.4421</v>
      </c>
      <c r="HK58">
        <v>999.9</v>
      </c>
      <c r="HL58">
        <v>26.01</v>
      </c>
      <c r="HM58">
        <v>30.273</v>
      </c>
      <c r="HN58">
        <v>12.5253</v>
      </c>
      <c r="HO58">
        <v>53.9391</v>
      </c>
      <c r="HP58">
        <v>44.2147</v>
      </c>
      <c r="HQ58">
        <v>1</v>
      </c>
      <c r="HR58">
        <v>-0.269929</v>
      </c>
      <c r="HS58">
        <v>3.77783</v>
      </c>
      <c r="HT58">
        <v>20.0976</v>
      </c>
      <c r="HU58">
        <v>5.20007</v>
      </c>
      <c r="HV58">
        <v>12.004</v>
      </c>
      <c r="HW58">
        <v>4.9756</v>
      </c>
      <c r="HX58">
        <v>3.29295</v>
      </c>
      <c r="HY58">
        <v>9999</v>
      </c>
      <c r="HZ58">
        <v>999.9</v>
      </c>
      <c r="IA58">
        <v>9999</v>
      </c>
      <c r="IB58">
        <v>9999</v>
      </c>
      <c r="IC58">
        <v>1.86325</v>
      </c>
      <c r="ID58">
        <v>1.86803</v>
      </c>
      <c r="IE58">
        <v>1.86783</v>
      </c>
      <c r="IF58">
        <v>1.86905</v>
      </c>
      <c r="IG58">
        <v>1.86981</v>
      </c>
      <c r="IH58">
        <v>1.86585</v>
      </c>
      <c r="II58">
        <v>1.86694</v>
      </c>
      <c r="IJ58">
        <v>1.8684</v>
      </c>
      <c r="IK58">
        <v>5</v>
      </c>
      <c r="IL58">
        <v>0</v>
      </c>
      <c r="IM58">
        <v>0</v>
      </c>
      <c r="IN58">
        <v>0</v>
      </c>
      <c r="IO58" t="s">
        <v>441</v>
      </c>
      <c r="IP58" t="s">
        <v>442</v>
      </c>
      <c r="IQ58" t="s">
        <v>443</v>
      </c>
      <c r="IR58" t="s">
        <v>443</v>
      </c>
      <c r="IS58" t="s">
        <v>443</v>
      </c>
      <c r="IT58" t="s">
        <v>443</v>
      </c>
      <c r="IU58">
        <v>0</v>
      </c>
      <c r="IV58">
        <v>100</v>
      </c>
      <c r="IW58">
        <v>100</v>
      </c>
      <c r="IX58">
        <v>3.72</v>
      </c>
      <c r="IY58">
        <v>-0.1105</v>
      </c>
      <c r="IZ58">
        <v>1.12474291219083</v>
      </c>
      <c r="JA58">
        <v>0.00463155566490582</v>
      </c>
      <c r="JB58">
        <v>-1.1358998729424e-06</v>
      </c>
      <c r="JC58">
        <v>3.28704272115545e-10</v>
      </c>
      <c r="JD58">
        <v>-0.0704455108513773</v>
      </c>
      <c r="JE58">
        <v>-0.0251928478371425</v>
      </c>
      <c r="JF58">
        <v>0.00225751704194564</v>
      </c>
      <c r="JG58">
        <v>-3.61734043746866e-05</v>
      </c>
      <c r="JH58">
        <v>1</v>
      </c>
      <c r="JI58">
        <v>2182</v>
      </c>
      <c r="JJ58">
        <v>0</v>
      </c>
      <c r="JK58">
        <v>24</v>
      </c>
      <c r="JL58">
        <v>29349824.8</v>
      </c>
      <c r="JM58">
        <v>29349824.8</v>
      </c>
      <c r="JN58">
        <v>1.50391</v>
      </c>
      <c r="JO58">
        <v>2.62939</v>
      </c>
      <c r="JP58">
        <v>1.54785</v>
      </c>
      <c r="JQ58">
        <v>2.31445</v>
      </c>
      <c r="JR58">
        <v>1.64673</v>
      </c>
      <c r="JS58">
        <v>2.29614</v>
      </c>
      <c r="JT58">
        <v>33.558</v>
      </c>
      <c r="JU58">
        <v>24.1838</v>
      </c>
      <c r="JV58">
        <v>18</v>
      </c>
      <c r="JW58">
        <v>500.461</v>
      </c>
      <c r="JX58">
        <v>394.437</v>
      </c>
      <c r="JY58">
        <v>12.5252</v>
      </c>
      <c r="JZ58">
        <v>23.9068</v>
      </c>
      <c r="KA58">
        <v>30.0001</v>
      </c>
      <c r="KB58">
        <v>23.923</v>
      </c>
      <c r="KC58">
        <v>23.8947</v>
      </c>
      <c r="KD58">
        <v>30.1725</v>
      </c>
      <c r="KE58">
        <v>9.34865</v>
      </c>
      <c r="KF58">
        <v>23.7343</v>
      </c>
      <c r="KG58">
        <v>12.5415</v>
      </c>
      <c r="KH58">
        <v>703.853</v>
      </c>
      <c r="KI58">
        <v>8.93118</v>
      </c>
      <c r="KJ58">
        <v>97.0448</v>
      </c>
      <c r="KK58">
        <v>95.3016</v>
      </c>
    </row>
    <row r="59" spans="1:297">
      <c r="A59">
        <v>43</v>
      </c>
      <c r="B59">
        <v>1760989492.1</v>
      </c>
      <c r="C59">
        <v>302</v>
      </c>
      <c r="D59" t="s">
        <v>528</v>
      </c>
      <c r="E59" t="s">
        <v>529</v>
      </c>
      <c r="F59">
        <v>5</v>
      </c>
      <c r="G59" t="s">
        <v>435</v>
      </c>
      <c r="H59" t="s">
        <v>436</v>
      </c>
      <c r="I59">
        <v>1760989483.94615</v>
      </c>
      <c r="J59">
        <f>(K59)/1000</f>
        <v>0</v>
      </c>
      <c r="K59">
        <f>IF(DP59, AN59, AH59)</f>
        <v>0</v>
      </c>
      <c r="L59">
        <f>IF(DP59, AI59, AG59)</f>
        <v>0</v>
      </c>
      <c r="M59">
        <f>DR59 - IF(AU59&gt;1, L59*DL59*100.0/(AW59), 0)</f>
        <v>0</v>
      </c>
      <c r="N59">
        <f>((T59-J59/2)*M59-L59)/(T59+J59/2)</f>
        <v>0</v>
      </c>
      <c r="O59">
        <f>N59*(DY59+DZ59)/1000.0</f>
        <v>0</v>
      </c>
      <c r="P59">
        <f>(DR59 - IF(AU59&gt;1, L59*DL59*100.0/(AW59), 0))*(DY59+DZ59)/1000.0</f>
        <v>0</v>
      </c>
      <c r="Q59">
        <f>2.0/((1/S59-1/R59)+SIGN(S59)*SQRT((1/S59-1/R59)*(1/S59-1/R59) + 4*DM59/((DM59+1)*(DM59+1))*(2*1/S59*1/R59-1/R59*1/R59)))</f>
        <v>0</v>
      </c>
      <c r="R59">
        <f>IF(LEFT(DN59,1)&lt;&gt;"0",IF(LEFT(DN59,1)="1",3.0,DO59),$D$5+$E$5*(EF59*DY59/($K$5*1000))+$F$5*(EF59*DY59/($K$5*1000))*MAX(MIN(DL59,$J$5),$I$5)*MAX(MIN(DL59,$J$5),$I$5)+$G$5*MAX(MIN(DL59,$J$5),$I$5)*(EF59*DY59/($K$5*1000))+$H$5*(EF59*DY59/($K$5*1000))*(EF59*DY59/($K$5*1000)))</f>
        <v>0</v>
      </c>
      <c r="S59">
        <f>J59*(1000-(1000*0.61365*exp(17.502*W59/(240.97+W59))/(DY59+DZ59)+DT59)/2)/(1000*0.61365*exp(17.502*W59/(240.97+W59))/(DY59+DZ59)-DT59)</f>
        <v>0</v>
      </c>
      <c r="T59">
        <f>1/((DM59+1)/(Q59/1.6)+1/(R59/1.37)) + DM59/((DM59+1)/(Q59/1.6) + DM59/(R59/1.37))</f>
        <v>0</v>
      </c>
      <c r="U59">
        <f>(DH59*DK59)</f>
        <v>0</v>
      </c>
      <c r="V59">
        <f>(EA59+(U59+2*0.95*5.67E-8*(((EA59+$B$7)+273)^4-(EA59+273)^4)-44100*J59)/(1.84*29.3*R59+8*0.95*5.67E-8*(EA59+273)^3))</f>
        <v>0</v>
      </c>
      <c r="W59">
        <f>($C$7*EB59+$D$7*EC59+$E$7*V59)</f>
        <v>0</v>
      </c>
      <c r="X59">
        <f>0.61365*exp(17.502*W59/(240.97+W59))</f>
        <v>0</v>
      </c>
      <c r="Y59">
        <f>(Z59/AA59*100)</f>
        <v>0</v>
      </c>
      <c r="Z59">
        <f>DT59*(DY59+DZ59)/1000</f>
        <v>0</v>
      </c>
      <c r="AA59">
        <f>0.61365*exp(17.502*EA59/(240.97+EA59))</f>
        <v>0</v>
      </c>
      <c r="AB59">
        <f>(X59-DT59*(DY59+DZ59)/1000)</f>
        <v>0</v>
      </c>
      <c r="AC59">
        <f>(-J59*44100)</f>
        <v>0</v>
      </c>
      <c r="AD59">
        <f>2*29.3*R59*0.92*(EA59-W59)</f>
        <v>0</v>
      </c>
      <c r="AE59">
        <f>2*0.95*5.67E-8*(((EA59+$B$7)+273)^4-(W59+273)^4)</f>
        <v>0</v>
      </c>
      <c r="AF59">
        <f>U59+AE59+AC59+AD59</f>
        <v>0</v>
      </c>
      <c r="AG59">
        <f>DX59*AU59*(DS59-DR59*(1000-AU59*DU59)/(1000-AU59*DT59))/(100*DL59)</f>
        <v>0</v>
      </c>
      <c r="AH59">
        <f>1000*DX59*AU59*(DT59-DU59)/(100*DL59*(1000-AU59*DT59))</f>
        <v>0</v>
      </c>
      <c r="AI59">
        <f>(AJ59 - AK59 - DY59*1E3/(8.314*(EA59+273.15)) * AM59/DX59 * AL59) * DX59/(100*DL59) * (1000 - DU59)/1000</f>
        <v>0</v>
      </c>
      <c r="AJ59">
        <v>696.995935675814</v>
      </c>
      <c r="AK59">
        <v>667.772242424242</v>
      </c>
      <c r="AL59">
        <v>3.32906507298426</v>
      </c>
      <c r="AM59">
        <v>64.8413469339502</v>
      </c>
      <c r="AN59">
        <f>(AP59 - AO59 + DY59*1E3/(8.314*(EA59+273.15)) * AR59/DX59 * AQ59) * DX59/(100*DL59) * 1000/(1000 - AP59)</f>
        <v>0</v>
      </c>
      <c r="AO59">
        <v>9.02173484263629</v>
      </c>
      <c r="AP59">
        <v>11.848883030303</v>
      </c>
      <c r="AQ59">
        <v>-1.2628548136262e-05</v>
      </c>
      <c r="AR59">
        <v>118.472689631034</v>
      </c>
      <c r="AS59">
        <v>0</v>
      </c>
      <c r="AT59">
        <v>0</v>
      </c>
      <c r="AU59">
        <f>IF(AS59*$H$13&gt;=AW59,1.0,(AW59/(AW59-AS59*$H$13)))</f>
        <v>0</v>
      </c>
      <c r="AV59">
        <f>(AU59-1)*100</f>
        <v>0</v>
      </c>
      <c r="AW59">
        <f>MAX(0,($B$13+$C$13*EF59)/(1+$D$13*EF59)*DY59/(EA59+273)*$E$13)</f>
        <v>0</v>
      </c>
      <c r="AX59" t="s">
        <v>437</v>
      </c>
      <c r="AY59" t="s">
        <v>437</v>
      </c>
      <c r="AZ59">
        <v>0</v>
      </c>
      <c r="BA59">
        <v>0</v>
      </c>
      <c r="BB59">
        <f>1-AZ59/BA59</f>
        <v>0</v>
      </c>
      <c r="BC59">
        <v>0</v>
      </c>
      <c r="BD59" t="s">
        <v>437</v>
      </c>
      <c r="BE59" t="s">
        <v>437</v>
      </c>
      <c r="BF59">
        <v>0</v>
      </c>
      <c r="BG59">
        <v>0</v>
      </c>
      <c r="BH59">
        <f>1-BF59/BG59</f>
        <v>0</v>
      </c>
      <c r="BI59">
        <v>0.5</v>
      </c>
      <c r="BJ59">
        <f>DI59</f>
        <v>0</v>
      </c>
      <c r="BK59">
        <f>L59</f>
        <v>0</v>
      </c>
      <c r="BL59">
        <f>BH59*BI59*BJ59</f>
        <v>0</v>
      </c>
      <c r="BM59">
        <f>(BK59-BC59)/BJ59</f>
        <v>0</v>
      </c>
      <c r="BN59">
        <f>(BA59-BG59)/BG59</f>
        <v>0</v>
      </c>
      <c r="BO59">
        <f>AZ59/(BB59+AZ59/BG59)</f>
        <v>0</v>
      </c>
      <c r="BP59" t="s">
        <v>437</v>
      </c>
      <c r="BQ59">
        <v>0</v>
      </c>
      <c r="BR59">
        <f>IF(BQ59&lt;&gt;0, BQ59, BO59)</f>
        <v>0</v>
      </c>
      <c r="BS59">
        <f>1-BR59/BG59</f>
        <v>0</v>
      </c>
      <c r="BT59">
        <f>(BG59-BF59)/(BG59-BR59)</f>
        <v>0</v>
      </c>
      <c r="BU59">
        <f>(BA59-BG59)/(BA59-BR59)</f>
        <v>0</v>
      </c>
      <c r="BV59">
        <f>(BG59-BF59)/(BG59-AZ59)</f>
        <v>0</v>
      </c>
      <c r="BW59">
        <f>(BA59-BG59)/(BA59-AZ59)</f>
        <v>0</v>
      </c>
      <c r="BX59">
        <f>(BT59*BR59/BF59)</f>
        <v>0</v>
      </c>
      <c r="BY59">
        <f>(1-BX59)</f>
        <v>0</v>
      </c>
      <c r="DH59">
        <f>$B$11*EG59+$C$11*EH59+$F$11*ES59*(1-EV59)</f>
        <v>0</v>
      </c>
      <c r="DI59">
        <f>DH59*DJ59</f>
        <v>0</v>
      </c>
      <c r="DJ59">
        <f>($B$11*$D$9+$C$11*$D$9+$F$11*((FF59+EX59)/MAX(FF59+EX59+FG59, 0.1)*$I$9+FG59/MAX(FF59+EX59+FG59, 0.1)*$J$9))/($B$11+$C$11+$F$11)</f>
        <v>0</v>
      </c>
      <c r="DK59">
        <f>($B$11*$K$9+$C$11*$K$9+$F$11*((FF59+EX59)/MAX(FF59+EX59+FG59, 0.1)*$P$9+FG59/MAX(FF59+EX59+FG59, 0.1)*$Q$9))/($B$11+$C$11+$F$11)</f>
        <v>0</v>
      </c>
      <c r="DL59">
        <v>6</v>
      </c>
      <c r="DM59">
        <v>0.5</v>
      </c>
      <c r="DN59" t="s">
        <v>438</v>
      </c>
      <c r="DO59">
        <v>2</v>
      </c>
      <c r="DP59" t="b">
        <v>1</v>
      </c>
      <c r="DQ59">
        <v>1760989483.94615</v>
      </c>
      <c r="DR59">
        <v>636.031153846154</v>
      </c>
      <c r="DS59">
        <v>674.998</v>
      </c>
      <c r="DT59">
        <v>11.8713615384615</v>
      </c>
      <c r="DU59">
        <v>9.04923230769231</v>
      </c>
      <c r="DV59">
        <v>632.348923076923</v>
      </c>
      <c r="DW59">
        <v>11.9817769230769</v>
      </c>
      <c r="DX59">
        <v>500.003769230769</v>
      </c>
      <c r="DY59">
        <v>89.8671230769231</v>
      </c>
      <c r="DZ59">
        <v>0.00772657846153846</v>
      </c>
      <c r="EA59">
        <v>18.3773230769231</v>
      </c>
      <c r="EB59">
        <v>17.9824769230769</v>
      </c>
      <c r="EC59">
        <v>999.9</v>
      </c>
      <c r="ED59">
        <v>0</v>
      </c>
      <c r="EE59">
        <v>0</v>
      </c>
      <c r="EF59">
        <v>10004.0269230769</v>
      </c>
      <c r="EG59">
        <v>0</v>
      </c>
      <c r="EH59">
        <v>1270.15461538462</v>
      </c>
      <c r="EI59">
        <v>-38.9666461538462</v>
      </c>
      <c r="EJ59">
        <v>643.672307692308</v>
      </c>
      <c r="EK59">
        <v>681.161461538462</v>
      </c>
      <c r="EL59">
        <v>2.82213230769231</v>
      </c>
      <c r="EM59">
        <v>674.998</v>
      </c>
      <c r="EN59">
        <v>9.04923230769231</v>
      </c>
      <c r="EO59">
        <v>1.06684538461538</v>
      </c>
      <c r="EP59">
        <v>0.813228538461539</v>
      </c>
      <c r="EQ59">
        <v>7.86272384615385</v>
      </c>
      <c r="ER59">
        <v>3.94028461538462</v>
      </c>
      <c r="ES59">
        <v>1199.98923076923</v>
      </c>
      <c r="ET59">
        <v>0.967001230769231</v>
      </c>
      <c r="EU59">
        <v>0.0329988846153846</v>
      </c>
      <c r="EV59">
        <v>0</v>
      </c>
      <c r="EW59">
        <v>1335.30769230769</v>
      </c>
      <c r="EX59">
        <v>5.00059</v>
      </c>
      <c r="EY59">
        <v>15673.7307692308</v>
      </c>
      <c r="EZ59">
        <v>10358.6384615385</v>
      </c>
      <c r="FA59">
        <v>36.7737692307692</v>
      </c>
      <c r="FB59">
        <v>39.0622307692308</v>
      </c>
      <c r="FC59">
        <v>37.4036153846154</v>
      </c>
      <c r="FD59">
        <v>38.2353076923077</v>
      </c>
      <c r="FE59">
        <v>37.8363076923077</v>
      </c>
      <c r="FF59">
        <v>1155.55538461538</v>
      </c>
      <c r="FG59">
        <v>39.4338461538462</v>
      </c>
      <c r="FH59">
        <v>0</v>
      </c>
      <c r="FI59">
        <v>1760989461.1</v>
      </c>
      <c r="FJ59">
        <v>0</v>
      </c>
      <c r="FK59">
        <v>1335.27961538462</v>
      </c>
      <c r="FL59">
        <v>4.58974358386678</v>
      </c>
      <c r="FM59">
        <v>93.6649573082993</v>
      </c>
      <c r="FN59">
        <v>15674.0961538462</v>
      </c>
      <c r="FO59">
        <v>15</v>
      </c>
      <c r="FP59">
        <v>0</v>
      </c>
      <c r="FQ59" t="s">
        <v>439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-38.992705</v>
      </c>
      <c r="GD59">
        <v>-0.272332330827099</v>
      </c>
      <c r="GE59">
        <v>0.461510731700792</v>
      </c>
      <c r="GF59">
        <v>1</v>
      </c>
      <c r="GG59">
        <v>1335.07941176471</v>
      </c>
      <c r="GH59">
        <v>4.36333077887388</v>
      </c>
      <c r="GI59">
        <v>0.494320336579144</v>
      </c>
      <c r="GJ59">
        <v>-1</v>
      </c>
      <c r="GK59">
        <v>2.8147465</v>
      </c>
      <c r="GL59">
        <v>0.159194436090226</v>
      </c>
      <c r="GM59">
        <v>0.0163319996555841</v>
      </c>
      <c r="GN59">
        <v>0</v>
      </c>
      <c r="GO59">
        <v>1</v>
      </c>
      <c r="GP59">
        <v>2</v>
      </c>
      <c r="GQ59" t="s">
        <v>446</v>
      </c>
      <c r="GR59">
        <v>3.13071</v>
      </c>
      <c r="GS59">
        <v>2.68556</v>
      </c>
      <c r="GT59">
        <v>0.125153</v>
      </c>
      <c r="GU59">
        <v>0.13076</v>
      </c>
      <c r="GV59">
        <v>0.061844</v>
      </c>
      <c r="GW59">
        <v>0.0498977</v>
      </c>
      <c r="GX59">
        <v>33157.1</v>
      </c>
      <c r="GY59">
        <v>35399.2</v>
      </c>
      <c r="GZ59">
        <v>34267.4</v>
      </c>
      <c r="HA59">
        <v>36848.8</v>
      </c>
      <c r="HB59">
        <v>45349</v>
      </c>
      <c r="HC59">
        <v>50206.9</v>
      </c>
      <c r="HD59">
        <v>53341.2</v>
      </c>
      <c r="HE59">
        <v>58775.6</v>
      </c>
      <c r="HF59">
        <v>2.00875</v>
      </c>
      <c r="HG59">
        <v>1.8374</v>
      </c>
      <c r="HH59">
        <v>0.0327751</v>
      </c>
      <c r="HI59">
        <v>0</v>
      </c>
      <c r="HJ59">
        <v>17.4421</v>
      </c>
      <c r="HK59">
        <v>999.9</v>
      </c>
      <c r="HL59">
        <v>26.01</v>
      </c>
      <c r="HM59">
        <v>30.273</v>
      </c>
      <c r="HN59">
        <v>12.5251</v>
      </c>
      <c r="HO59">
        <v>53.9491</v>
      </c>
      <c r="HP59">
        <v>44.1747</v>
      </c>
      <c r="HQ59">
        <v>1</v>
      </c>
      <c r="HR59">
        <v>-0.269924</v>
      </c>
      <c r="HS59">
        <v>3.73208</v>
      </c>
      <c r="HT59">
        <v>20.0985</v>
      </c>
      <c r="HU59">
        <v>5.20097</v>
      </c>
      <c r="HV59">
        <v>12.0041</v>
      </c>
      <c r="HW59">
        <v>4.97565</v>
      </c>
      <c r="HX59">
        <v>3.29295</v>
      </c>
      <c r="HY59">
        <v>9999</v>
      </c>
      <c r="HZ59">
        <v>999.9</v>
      </c>
      <c r="IA59">
        <v>9999</v>
      </c>
      <c r="IB59">
        <v>9999</v>
      </c>
      <c r="IC59">
        <v>1.86324</v>
      </c>
      <c r="ID59">
        <v>1.86803</v>
      </c>
      <c r="IE59">
        <v>1.86783</v>
      </c>
      <c r="IF59">
        <v>1.86905</v>
      </c>
      <c r="IG59">
        <v>1.86981</v>
      </c>
      <c r="IH59">
        <v>1.86585</v>
      </c>
      <c r="II59">
        <v>1.86692</v>
      </c>
      <c r="IJ59">
        <v>1.8684</v>
      </c>
      <c r="IK59">
        <v>5</v>
      </c>
      <c r="IL59">
        <v>0</v>
      </c>
      <c r="IM59">
        <v>0</v>
      </c>
      <c r="IN59">
        <v>0</v>
      </c>
      <c r="IO59" t="s">
        <v>441</v>
      </c>
      <c r="IP59" t="s">
        <v>442</v>
      </c>
      <c r="IQ59" t="s">
        <v>443</v>
      </c>
      <c r="IR59" t="s">
        <v>443</v>
      </c>
      <c r="IS59" t="s">
        <v>443</v>
      </c>
      <c r="IT59" t="s">
        <v>443</v>
      </c>
      <c r="IU59">
        <v>0</v>
      </c>
      <c r="IV59">
        <v>100</v>
      </c>
      <c r="IW59">
        <v>100</v>
      </c>
      <c r="IX59">
        <v>3.779</v>
      </c>
      <c r="IY59">
        <v>-0.1107</v>
      </c>
      <c r="IZ59">
        <v>1.12474291219083</v>
      </c>
      <c r="JA59">
        <v>0.00463155566490582</v>
      </c>
      <c r="JB59">
        <v>-1.1358998729424e-06</v>
      </c>
      <c r="JC59">
        <v>3.28704272115545e-10</v>
      </c>
      <c r="JD59">
        <v>-0.0704455108513773</v>
      </c>
      <c r="JE59">
        <v>-0.0251928478371425</v>
      </c>
      <c r="JF59">
        <v>0.00225751704194564</v>
      </c>
      <c r="JG59">
        <v>-3.61734043746866e-05</v>
      </c>
      <c r="JH59">
        <v>1</v>
      </c>
      <c r="JI59">
        <v>2182</v>
      </c>
      <c r="JJ59">
        <v>0</v>
      </c>
      <c r="JK59">
        <v>24</v>
      </c>
      <c r="JL59">
        <v>29349824.9</v>
      </c>
      <c r="JM59">
        <v>29349824.9</v>
      </c>
      <c r="JN59">
        <v>1.5332</v>
      </c>
      <c r="JO59">
        <v>2.62939</v>
      </c>
      <c r="JP59">
        <v>1.54785</v>
      </c>
      <c r="JQ59">
        <v>2.31445</v>
      </c>
      <c r="JR59">
        <v>1.64673</v>
      </c>
      <c r="JS59">
        <v>2.2876</v>
      </c>
      <c r="JT59">
        <v>33.558</v>
      </c>
      <c r="JU59">
        <v>24.1838</v>
      </c>
      <c r="JV59">
        <v>18</v>
      </c>
      <c r="JW59">
        <v>500.669</v>
      </c>
      <c r="JX59">
        <v>394.309</v>
      </c>
      <c r="JY59">
        <v>12.537</v>
      </c>
      <c r="JZ59">
        <v>23.9068</v>
      </c>
      <c r="KA59">
        <v>30.0001</v>
      </c>
      <c r="KB59">
        <v>23.923</v>
      </c>
      <c r="KC59">
        <v>23.8952</v>
      </c>
      <c r="KD59">
        <v>30.8062</v>
      </c>
      <c r="KE59">
        <v>9.34865</v>
      </c>
      <c r="KF59">
        <v>23.7343</v>
      </c>
      <c r="KG59">
        <v>12.5534</v>
      </c>
      <c r="KH59">
        <v>724.104</v>
      </c>
      <c r="KI59">
        <v>8.93678</v>
      </c>
      <c r="KJ59">
        <v>97.0453</v>
      </c>
      <c r="KK59">
        <v>95.3023</v>
      </c>
    </row>
    <row r="60" spans="1:297">
      <c r="A60">
        <v>44</v>
      </c>
      <c r="B60">
        <v>1760989497.1</v>
      </c>
      <c r="C60">
        <v>307</v>
      </c>
      <c r="D60" t="s">
        <v>530</v>
      </c>
      <c r="E60" t="s">
        <v>531</v>
      </c>
      <c r="F60">
        <v>5</v>
      </c>
      <c r="G60" t="s">
        <v>435</v>
      </c>
      <c r="H60" t="s">
        <v>436</v>
      </c>
      <c r="I60">
        <v>1760989488.94615</v>
      </c>
      <c r="J60">
        <f>(K60)/1000</f>
        <v>0</v>
      </c>
      <c r="K60">
        <f>IF(DP60, AN60, AH60)</f>
        <v>0</v>
      </c>
      <c r="L60">
        <f>IF(DP60, AI60, AG60)</f>
        <v>0</v>
      </c>
      <c r="M60">
        <f>DR60 - IF(AU60&gt;1, L60*DL60*100.0/(AW60), 0)</f>
        <v>0</v>
      </c>
      <c r="N60">
        <f>((T60-J60/2)*M60-L60)/(T60+J60/2)</f>
        <v>0</v>
      </c>
      <c r="O60">
        <f>N60*(DY60+DZ60)/1000.0</f>
        <v>0</v>
      </c>
      <c r="P60">
        <f>(DR60 - IF(AU60&gt;1, L60*DL60*100.0/(AW60), 0))*(DY60+DZ60)/1000.0</f>
        <v>0</v>
      </c>
      <c r="Q60">
        <f>2.0/((1/S60-1/R60)+SIGN(S60)*SQRT((1/S60-1/R60)*(1/S60-1/R60) + 4*DM60/((DM60+1)*(DM60+1))*(2*1/S60*1/R60-1/R60*1/R60)))</f>
        <v>0</v>
      </c>
      <c r="R60">
        <f>IF(LEFT(DN60,1)&lt;&gt;"0",IF(LEFT(DN60,1)="1",3.0,DO60),$D$5+$E$5*(EF60*DY60/($K$5*1000))+$F$5*(EF60*DY60/($K$5*1000))*MAX(MIN(DL60,$J$5),$I$5)*MAX(MIN(DL60,$J$5),$I$5)+$G$5*MAX(MIN(DL60,$J$5),$I$5)*(EF60*DY60/($K$5*1000))+$H$5*(EF60*DY60/($K$5*1000))*(EF60*DY60/($K$5*1000)))</f>
        <v>0</v>
      </c>
      <c r="S60">
        <f>J60*(1000-(1000*0.61365*exp(17.502*W60/(240.97+W60))/(DY60+DZ60)+DT60)/2)/(1000*0.61365*exp(17.502*W60/(240.97+W60))/(DY60+DZ60)-DT60)</f>
        <v>0</v>
      </c>
      <c r="T60">
        <f>1/((DM60+1)/(Q60/1.6)+1/(R60/1.37)) + DM60/((DM60+1)/(Q60/1.6) + DM60/(R60/1.37))</f>
        <v>0</v>
      </c>
      <c r="U60">
        <f>(DH60*DK60)</f>
        <v>0</v>
      </c>
      <c r="V60">
        <f>(EA60+(U60+2*0.95*5.67E-8*(((EA60+$B$7)+273)^4-(EA60+273)^4)-44100*J60)/(1.84*29.3*R60+8*0.95*5.67E-8*(EA60+273)^3))</f>
        <v>0</v>
      </c>
      <c r="W60">
        <f>($C$7*EB60+$D$7*EC60+$E$7*V60)</f>
        <v>0</v>
      </c>
      <c r="X60">
        <f>0.61365*exp(17.502*W60/(240.97+W60))</f>
        <v>0</v>
      </c>
      <c r="Y60">
        <f>(Z60/AA60*100)</f>
        <v>0</v>
      </c>
      <c r="Z60">
        <f>DT60*(DY60+DZ60)/1000</f>
        <v>0</v>
      </c>
      <c r="AA60">
        <f>0.61365*exp(17.502*EA60/(240.97+EA60))</f>
        <v>0</v>
      </c>
      <c r="AB60">
        <f>(X60-DT60*(DY60+DZ60)/1000)</f>
        <v>0</v>
      </c>
      <c r="AC60">
        <f>(-J60*44100)</f>
        <v>0</v>
      </c>
      <c r="AD60">
        <f>2*29.3*R60*0.92*(EA60-W60)</f>
        <v>0</v>
      </c>
      <c r="AE60">
        <f>2*0.95*5.67E-8*(((EA60+$B$7)+273)^4-(W60+273)^4)</f>
        <v>0</v>
      </c>
      <c r="AF60">
        <f>U60+AE60+AC60+AD60</f>
        <v>0</v>
      </c>
      <c r="AG60">
        <f>DX60*AU60*(DS60-DR60*(1000-AU60*DU60)/(1000-AU60*DT60))/(100*DL60)</f>
        <v>0</v>
      </c>
      <c r="AH60">
        <f>1000*DX60*AU60*(DT60-DU60)/(100*DL60*(1000-AU60*DT60))</f>
        <v>0</v>
      </c>
      <c r="AI60">
        <f>(AJ60 - AK60 - DY60*1E3/(8.314*(EA60+273.15)) * AM60/DX60 * AL60) * DX60/(100*DL60) * (1000 - DU60)/1000</f>
        <v>0</v>
      </c>
      <c r="AJ60">
        <v>713.872239506723</v>
      </c>
      <c r="AK60">
        <v>684.507036363636</v>
      </c>
      <c r="AL60">
        <v>3.36176141642362</v>
      </c>
      <c r="AM60">
        <v>64.8413469339502</v>
      </c>
      <c r="AN60">
        <f>(AP60 - AO60 + DY60*1E3/(8.314*(EA60+273.15)) * AR60/DX60 * AQ60) * DX60/(100*DL60) * 1000/(1000 - AP60)</f>
        <v>0</v>
      </c>
      <c r="AO60">
        <v>9.01337116049026</v>
      </c>
      <c r="AP60">
        <v>11.8393339393939</v>
      </c>
      <c r="AQ60">
        <v>-8.01145795580523e-06</v>
      </c>
      <c r="AR60">
        <v>118.472689631034</v>
      </c>
      <c r="AS60">
        <v>0</v>
      </c>
      <c r="AT60">
        <v>0</v>
      </c>
      <c r="AU60">
        <f>IF(AS60*$H$13&gt;=AW60,1.0,(AW60/(AW60-AS60*$H$13)))</f>
        <v>0</v>
      </c>
      <c r="AV60">
        <f>(AU60-1)*100</f>
        <v>0</v>
      </c>
      <c r="AW60">
        <f>MAX(0,($B$13+$C$13*EF60)/(1+$D$13*EF60)*DY60/(EA60+273)*$E$13)</f>
        <v>0</v>
      </c>
      <c r="AX60" t="s">
        <v>437</v>
      </c>
      <c r="AY60" t="s">
        <v>437</v>
      </c>
      <c r="AZ60">
        <v>0</v>
      </c>
      <c r="BA60">
        <v>0</v>
      </c>
      <c r="BB60">
        <f>1-AZ60/BA60</f>
        <v>0</v>
      </c>
      <c r="BC60">
        <v>0</v>
      </c>
      <c r="BD60" t="s">
        <v>437</v>
      </c>
      <c r="BE60" t="s">
        <v>437</v>
      </c>
      <c r="BF60">
        <v>0</v>
      </c>
      <c r="BG60">
        <v>0</v>
      </c>
      <c r="BH60">
        <f>1-BF60/BG60</f>
        <v>0</v>
      </c>
      <c r="BI60">
        <v>0.5</v>
      </c>
      <c r="BJ60">
        <f>DI60</f>
        <v>0</v>
      </c>
      <c r="BK60">
        <f>L60</f>
        <v>0</v>
      </c>
      <c r="BL60">
        <f>BH60*BI60*BJ60</f>
        <v>0</v>
      </c>
      <c r="BM60">
        <f>(BK60-BC60)/BJ60</f>
        <v>0</v>
      </c>
      <c r="BN60">
        <f>(BA60-BG60)/BG60</f>
        <v>0</v>
      </c>
      <c r="BO60">
        <f>AZ60/(BB60+AZ60/BG60)</f>
        <v>0</v>
      </c>
      <c r="BP60" t="s">
        <v>437</v>
      </c>
      <c r="BQ60">
        <v>0</v>
      </c>
      <c r="BR60">
        <f>IF(BQ60&lt;&gt;0, BQ60, BO60)</f>
        <v>0</v>
      </c>
      <c r="BS60">
        <f>1-BR60/BG60</f>
        <v>0</v>
      </c>
      <c r="BT60">
        <f>(BG60-BF60)/(BG60-BR60)</f>
        <v>0</v>
      </c>
      <c r="BU60">
        <f>(BA60-BG60)/(BA60-BR60)</f>
        <v>0</v>
      </c>
      <c r="BV60">
        <f>(BG60-BF60)/(BG60-AZ60)</f>
        <v>0</v>
      </c>
      <c r="BW60">
        <f>(BA60-BG60)/(BA60-AZ60)</f>
        <v>0</v>
      </c>
      <c r="BX60">
        <f>(BT60*BR60/BF60)</f>
        <v>0</v>
      </c>
      <c r="BY60">
        <f>(1-BX60)</f>
        <v>0</v>
      </c>
      <c r="DH60">
        <f>$B$11*EG60+$C$11*EH60+$F$11*ES60*(1-EV60)</f>
        <v>0</v>
      </c>
      <c r="DI60">
        <f>DH60*DJ60</f>
        <v>0</v>
      </c>
      <c r="DJ60">
        <f>($B$11*$D$9+$C$11*$D$9+$F$11*((FF60+EX60)/MAX(FF60+EX60+FG60, 0.1)*$I$9+FG60/MAX(FF60+EX60+FG60, 0.1)*$J$9))/($B$11+$C$11+$F$11)</f>
        <v>0</v>
      </c>
      <c r="DK60">
        <f>($B$11*$K$9+$C$11*$K$9+$F$11*((FF60+EX60)/MAX(FF60+EX60+FG60, 0.1)*$P$9+FG60/MAX(FF60+EX60+FG60, 0.1)*$Q$9))/($B$11+$C$11+$F$11)</f>
        <v>0</v>
      </c>
      <c r="DL60">
        <v>6</v>
      </c>
      <c r="DM60">
        <v>0.5</v>
      </c>
      <c r="DN60" t="s">
        <v>438</v>
      </c>
      <c r="DO60">
        <v>2</v>
      </c>
      <c r="DP60" t="b">
        <v>1</v>
      </c>
      <c r="DQ60">
        <v>1760989488.94615</v>
      </c>
      <c r="DR60">
        <v>652.651461538461</v>
      </c>
      <c r="DS60">
        <v>691.844923076923</v>
      </c>
      <c r="DT60">
        <v>11.8569</v>
      </c>
      <c r="DU60">
        <v>9.02913615384615</v>
      </c>
      <c r="DV60">
        <v>648.909923076923</v>
      </c>
      <c r="DW60">
        <v>11.9675230769231</v>
      </c>
      <c r="DX60">
        <v>500.032153846154</v>
      </c>
      <c r="DY60">
        <v>89.8656153846154</v>
      </c>
      <c r="DZ60">
        <v>0.00749254923076923</v>
      </c>
      <c r="EA60">
        <v>18.3779153846154</v>
      </c>
      <c r="EB60">
        <v>17.9798461538462</v>
      </c>
      <c r="EC60">
        <v>999.9</v>
      </c>
      <c r="ED60">
        <v>0</v>
      </c>
      <c r="EE60">
        <v>0</v>
      </c>
      <c r="EF60">
        <v>10016.5307692308</v>
      </c>
      <c r="EG60">
        <v>0</v>
      </c>
      <c r="EH60">
        <v>1270.14153846154</v>
      </c>
      <c r="EI60">
        <v>-39.1933615384615</v>
      </c>
      <c r="EJ60">
        <v>660.482615384615</v>
      </c>
      <c r="EK60">
        <v>698.148384615385</v>
      </c>
      <c r="EL60">
        <v>2.82777846153846</v>
      </c>
      <c r="EM60">
        <v>691.844923076923</v>
      </c>
      <c r="EN60">
        <v>9.02913615384615</v>
      </c>
      <c r="EO60">
        <v>1.06552923076923</v>
      </c>
      <c r="EP60">
        <v>0.811408923076923</v>
      </c>
      <c r="EQ60">
        <v>7.84460076923077</v>
      </c>
      <c r="ER60">
        <v>3.90845846153846</v>
      </c>
      <c r="ES60">
        <v>1199.97307692308</v>
      </c>
      <c r="ET60">
        <v>0.966998230769231</v>
      </c>
      <c r="EU60">
        <v>0.0330019153846154</v>
      </c>
      <c r="EV60">
        <v>0</v>
      </c>
      <c r="EW60">
        <v>1335.64461538462</v>
      </c>
      <c r="EX60">
        <v>5.00059</v>
      </c>
      <c r="EY60">
        <v>15680.6923076923</v>
      </c>
      <c r="EZ60">
        <v>10358.4846153846</v>
      </c>
      <c r="FA60">
        <v>36.8458461538462</v>
      </c>
      <c r="FB60">
        <v>39.1872307692308</v>
      </c>
      <c r="FC60">
        <v>37.4804615384615</v>
      </c>
      <c r="FD60">
        <v>38.3843076923077</v>
      </c>
      <c r="FE60">
        <v>37.9132307692308</v>
      </c>
      <c r="FF60">
        <v>1155.53461538462</v>
      </c>
      <c r="FG60">
        <v>39.4384615384615</v>
      </c>
      <c r="FH60">
        <v>0</v>
      </c>
      <c r="FI60">
        <v>1760989466.5</v>
      </c>
      <c r="FJ60">
        <v>0</v>
      </c>
      <c r="FK60">
        <v>1335.7432</v>
      </c>
      <c r="FL60">
        <v>4.63461538187165</v>
      </c>
      <c r="FM60">
        <v>79.8307691254636</v>
      </c>
      <c r="FN60">
        <v>15682.308</v>
      </c>
      <c r="FO60">
        <v>15</v>
      </c>
      <c r="FP60">
        <v>0</v>
      </c>
      <c r="FQ60" t="s">
        <v>439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-39.06</v>
      </c>
      <c r="GD60">
        <v>-1.1610233766234</v>
      </c>
      <c r="GE60">
        <v>0.465160523240045</v>
      </c>
      <c r="GF60">
        <v>0</v>
      </c>
      <c r="GG60">
        <v>1335.45176470588</v>
      </c>
      <c r="GH60">
        <v>4.47272727134982</v>
      </c>
      <c r="GI60">
        <v>0.48376872566424</v>
      </c>
      <c r="GJ60">
        <v>-1</v>
      </c>
      <c r="GK60">
        <v>2.82318238095238</v>
      </c>
      <c r="GL60">
        <v>0.0706940259740248</v>
      </c>
      <c r="GM60">
        <v>0.00877428108831602</v>
      </c>
      <c r="GN60">
        <v>1</v>
      </c>
      <c r="GO60">
        <v>1</v>
      </c>
      <c r="GP60">
        <v>2</v>
      </c>
      <c r="GQ60" t="s">
        <v>446</v>
      </c>
      <c r="GR60">
        <v>3.13073</v>
      </c>
      <c r="GS60">
        <v>2.68547</v>
      </c>
      <c r="GT60">
        <v>0.127334</v>
      </c>
      <c r="GU60">
        <v>0.132872</v>
      </c>
      <c r="GV60">
        <v>0.061804</v>
      </c>
      <c r="GW60">
        <v>0.0498682</v>
      </c>
      <c r="GX60">
        <v>33074.3</v>
      </c>
      <c r="GY60">
        <v>35313.4</v>
      </c>
      <c r="GZ60">
        <v>34267.1</v>
      </c>
      <c r="HA60">
        <v>36848.9</v>
      </c>
      <c r="HB60">
        <v>45351</v>
      </c>
      <c r="HC60">
        <v>50208.8</v>
      </c>
      <c r="HD60">
        <v>53341</v>
      </c>
      <c r="HE60">
        <v>58775.6</v>
      </c>
      <c r="HF60">
        <v>2.00877</v>
      </c>
      <c r="HG60">
        <v>1.83727</v>
      </c>
      <c r="HH60">
        <v>0.0324845</v>
      </c>
      <c r="HI60">
        <v>0</v>
      </c>
      <c r="HJ60">
        <v>17.4421</v>
      </c>
      <c r="HK60">
        <v>999.9</v>
      </c>
      <c r="HL60">
        <v>26.01</v>
      </c>
      <c r="HM60">
        <v>30.273</v>
      </c>
      <c r="HN60">
        <v>12.5261</v>
      </c>
      <c r="HO60">
        <v>54.4391</v>
      </c>
      <c r="HP60">
        <v>44.1306</v>
      </c>
      <c r="HQ60">
        <v>1</v>
      </c>
      <c r="HR60">
        <v>-0.270033</v>
      </c>
      <c r="HS60">
        <v>3.72984</v>
      </c>
      <c r="HT60">
        <v>20.0986</v>
      </c>
      <c r="HU60">
        <v>5.20052</v>
      </c>
      <c r="HV60">
        <v>12.0041</v>
      </c>
      <c r="HW60">
        <v>4.97565</v>
      </c>
      <c r="HX60">
        <v>3.29295</v>
      </c>
      <c r="HY60">
        <v>9999</v>
      </c>
      <c r="HZ60">
        <v>999.9</v>
      </c>
      <c r="IA60">
        <v>9999</v>
      </c>
      <c r="IB60">
        <v>9999</v>
      </c>
      <c r="IC60">
        <v>1.86325</v>
      </c>
      <c r="ID60">
        <v>1.86801</v>
      </c>
      <c r="IE60">
        <v>1.86783</v>
      </c>
      <c r="IF60">
        <v>1.86905</v>
      </c>
      <c r="IG60">
        <v>1.86981</v>
      </c>
      <c r="IH60">
        <v>1.86586</v>
      </c>
      <c r="II60">
        <v>1.86693</v>
      </c>
      <c r="IJ60">
        <v>1.86841</v>
      </c>
      <c r="IK60">
        <v>5</v>
      </c>
      <c r="IL60">
        <v>0</v>
      </c>
      <c r="IM60">
        <v>0</v>
      </c>
      <c r="IN60">
        <v>0</v>
      </c>
      <c r="IO60" t="s">
        <v>441</v>
      </c>
      <c r="IP60" t="s">
        <v>442</v>
      </c>
      <c r="IQ60" t="s">
        <v>443</v>
      </c>
      <c r="IR60" t="s">
        <v>443</v>
      </c>
      <c r="IS60" t="s">
        <v>443</v>
      </c>
      <c r="IT60" t="s">
        <v>443</v>
      </c>
      <c r="IU60">
        <v>0</v>
      </c>
      <c r="IV60">
        <v>100</v>
      </c>
      <c r="IW60">
        <v>100</v>
      </c>
      <c r="IX60">
        <v>3.838</v>
      </c>
      <c r="IY60">
        <v>-0.1109</v>
      </c>
      <c r="IZ60">
        <v>1.12474291219083</v>
      </c>
      <c r="JA60">
        <v>0.00463155566490582</v>
      </c>
      <c r="JB60">
        <v>-1.1358998729424e-06</v>
      </c>
      <c r="JC60">
        <v>3.28704272115545e-10</v>
      </c>
      <c r="JD60">
        <v>-0.0704455108513773</v>
      </c>
      <c r="JE60">
        <v>-0.0251928478371425</v>
      </c>
      <c r="JF60">
        <v>0.00225751704194564</v>
      </c>
      <c r="JG60">
        <v>-3.61734043746866e-05</v>
      </c>
      <c r="JH60">
        <v>1</v>
      </c>
      <c r="JI60">
        <v>2182</v>
      </c>
      <c r="JJ60">
        <v>0</v>
      </c>
      <c r="JK60">
        <v>24</v>
      </c>
      <c r="JL60">
        <v>29349825</v>
      </c>
      <c r="JM60">
        <v>29349825</v>
      </c>
      <c r="JN60">
        <v>1.5625</v>
      </c>
      <c r="JO60">
        <v>2.62573</v>
      </c>
      <c r="JP60">
        <v>1.54785</v>
      </c>
      <c r="JQ60">
        <v>2.31445</v>
      </c>
      <c r="JR60">
        <v>1.64673</v>
      </c>
      <c r="JS60">
        <v>2.27539</v>
      </c>
      <c r="JT60">
        <v>33.558</v>
      </c>
      <c r="JU60">
        <v>24.1838</v>
      </c>
      <c r="JV60">
        <v>18</v>
      </c>
      <c r="JW60">
        <v>500.686</v>
      </c>
      <c r="JX60">
        <v>394.243</v>
      </c>
      <c r="JY60">
        <v>12.5522</v>
      </c>
      <c r="JZ60">
        <v>23.9068</v>
      </c>
      <c r="KA60">
        <v>30</v>
      </c>
      <c r="KB60">
        <v>23.923</v>
      </c>
      <c r="KC60">
        <v>23.8952</v>
      </c>
      <c r="KD60">
        <v>31.3439</v>
      </c>
      <c r="KE60">
        <v>9.63918</v>
      </c>
      <c r="KF60">
        <v>23.7343</v>
      </c>
      <c r="KG60">
        <v>12.5671</v>
      </c>
      <c r="KH60">
        <v>737.643</v>
      </c>
      <c r="KI60">
        <v>8.93872</v>
      </c>
      <c r="KJ60">
        <v>97.0447</v>
      </c>
      <c r="KK60">
        <v>95.3024</v>
      </c>
    </row>
    <row r="61" spans="1:297">
      <c r="A61">
        <v>45</v>
      </c>
      <c r="B61">
        <v>1760989502.1</v>
      </c>
      <c r="C61">
        <v>312</v>
      </c>
      <c r="D61" t="s">
        <v>532</v>
      </c>
      <c r="E61" t="s">
        <v>533</v>
      </c>
      <c r="F61">
        <v>5</v>
      </c>
      <c r="G61" t="s">
        <v>435</v>
      </c>
      <c r="H61" t="s">
        <v>436</v>
      </c>
      <c r="I61">
        <v>1760989493.94615</v>
      </c>
      <c r="J61">
        <f>(K61)/1000</f>
        <v>0</v>
      </c>
      <c r="K61">
        <f>IF(DP61, AN61, AH61)</f>
        <v>0</v>
      </c>
      <c r="L61">
        <f>IF(DP61, AI61, AG61)</f>
        <v>0</v>
      </c>
      <c r="M61">
        <f>DR61 - IF(AU61&gt;1, L61*DL61*100.0/(AW61), 0)</f>
        <v>0</v>
      </c>
      <c r="N61">
        <f>((T61-J61/2)*M61-L61)/(T61+J61/2)</f>
        <v>0</v>
      </c>
      <c r="O61">
        <f>N61*(DY61+DZ61)/1000.0</f>
        <v>0</v>
      </c>
      <c r="P61">
        <f>(DR61 - IF(AU61&gt;1, L61*DL61*100.0/(AW61), 0))*(DY61+DZ61)/1000.0</f>
        <v>0</v>
      </c>
      <c r="Q61">
        <f>2.0/((1/S61-1/R61)+SIGN(S61)*SQRT((1/S61-1/R61)*(1/S61-1/R61) + 4*DM61/((DM61+1)*(DM61+1))*(2*1/S61*1/R61-1/R61*1/R61)))</f>
        <v>0</v>
      </c>
      <c r="R61">
        <f>IF(LEFT(DN61,1)&lt;&gt;"0",IF(LEFT(DN61,1)="1",3.0,DO61),$D$5+$E$5*(EF61*DY61/($K$5*1000))+$F$5*(EF61*DY61/($K$5*1000))*MAX(MIN(DL61,$J$5),$I$5)*MAX(MIN(DL61,$J$5),$I$5)+$G$5*MAX(MIN(DL61,$J$5),$I$5)*(EF61*DY61/($K$5*1000))+$H$5*(EF61*DY61/($K$5*1000))*(EF61*DY61/($K$5*1000)))</f>
        <v>0</v>
      </c>
      <c r="S61">
        <f>J61*(1000-(1000*0.61365*exp(17.502*W61/(240.97+W61))/(DY61+DZ61)+DT61)/2)/(1000*0.61365*exp(17.502*W61/(240.97+W61))/(DY61+DZ61)-DT61)</f>
        <v>0</v>
      </c>
      <c r="T61">
        <f>1/((DM61+1)/(Q61/1.6)+1/(R61/1.37)) + DM61/((DM61+1)/(Q61/1.6) + DM61/(R61/1.37))</f>
        <v>0</v>
      </c>
      <c r="U61">
        <f>(DH61*DK61)</f>
        <v>0</v>
      </c>
      <c r="V61">
        <f>(EA61+(U61+2*0.95*5.67E-8*(((EA61+$B$7)+273)^4-(EA61+273)^4)-44100*J61)/(1.84*29.3*R61+8*0.95*5.67E-8*(EA61+273)^3))</f>
        <v>0</v>
      </c>
      <c r="W61">
        <f>($C$7*EB61+$D$7*EC61+$E$7*V61)</f>
        <v>0</v>
      </c>
      <c r="X61">
        <f>0.61365*exp(17.502*W61/(240.97+W61))</f>
        <v>0</v>
      </c>
      <c r="Y61">
        <f>(Z61/AA61*100)</f>
        <v>0</v>
      </c>
      <c r="Z61">
        <f>DT61*(DY61+DZ61)/1000</f>
        <v>0</v>
      </c>
      <c r="AA61">
        <f>0.61365*exp(17.502*EA61/(240.97+EA61))</f>
        <v>0</v>
      </c>
      <c r="AB61">
        <f>(X61-DT61*(DY61+DZ61)/1000)</f>
        <v>0</v>
      </c>
      <c r="AC61">
        <f>(-J61*44100)</f>
        <v>0</v>
      </c>
      <c r="AD61">
        <f>2*29.3*R61*0.92*(EA61-W61)</f>
        <v>0</v>
      </c>
      <c r="AE61">
        <f>2*0.95*5.67E-8*(((EA61+$B$7)+273)^4-(W61+273)^4)</f>
        <v>0</v>
      </c>
      <c r="AF61">
        <f>U61+AE61+AC61+AD61</f>
        <v>0</v>
      </c>
      <c r="AG61">
        <f>DX61*AU61*(DS61-DR61*(1000-AU61*DU61)/(1000-AU61*DT61))/(100*DL61)</f>
        <v>0</v>
      </c>
      <c r="AH61">
        <f>1000*DX61*AU61*(DT61-DU61)/(100*DL61*(1000-AU61*DT61))</f>
        <v>0</v>
      </c>
      <c r="AI61">
        <f>(AJ61 - AK61 - DY61*1E3/(8.314*(EA61+273.15)) * AM61/DX61 * AL61) * DX61/(100*DL61) * (1000 - DU61)/1000</f>
        <v>0</v>
      </c>
      <c r="AJ61">
        <v>730.365189598487</v>
      </c>
      <c r="AK61">
        <v>701.156006060606</v>
      </c>
      <c r="AL61">
        <v>3.31456736848075</v>
      </c>
      <c r="AM61">
        <v>64.8413469339502</v>
      </c>
      <c r="AN61">
        <f>(AP61 - AO61 + DY61*1E3/(8.314*(EA61+273.15)) * AR61/DX61 * AQ61) * DX61/(100*DL61) * 1000/(1000 - AP61)</f>
        <v>0</v>
      </c>
      <c r="AO61">
        <v>9.00639824661151</v>
      </c>
      <c r="AP61">
        <v>11.8289727272727</v>
      </c>
      <c r="AQ61">
        <v>-8.57433424343052e-06</v>
      </c>
      <c r="AR61">
        <v>118.472689631034</v>
      </c>
      <c r="AS61">
        <v>0</v>
      </c>
      <c r="AT61">
        <v>0</v>
      </c>
      <c r="AU61">
        <f>IF(AS61*$H$13&gt;=AW61,1.0,(AW61/(AW61-AS61*$H$13)))</f>
        <v>0</v>
      </c>
      <c r="AV61">
        <f>(AU61-1)*100</f>
        <v>0</v>
      </c>
      <c r="AW61">
        <f>MAX(0,($B$13+$C$13*EF61)/(1+$D$13*EF61)*DY61/(EA61+273)*$E$13)</f>
        <v>0</v>
      </c>
      <c r="AX61" t="s">
        <v>437</v>
      </c>
      <c r="AY61" t="s">
        <v>437</v>
      </c>
      <c r="AZ61">
        <v>0</v>
      </c>
      <c r="BA61">
        <v>0</v>
      </c>
      <c r="BB61">
        <f>1-AZ61/BA61</f>
        <v>0</v>
      </c>
      <c r="BC61">
        <v>0</v>
      </c>
      <c r="BD61" t="s">
        <v>437</v>
      </c>
      <c r="BE61" t="s">
        <v>437</v>
      </c>
      <c r="BF61">
        <v>0</v>
      </c>
      <c r="BG61">
        <v>0</v>
      </c>
      <c r="BH61">
        <f>1-BF61/BG61</f>
        <v>0</v>
      </c>
      <c r="BI61">
        <v>0.5</v>
      </c>
      <c r="BJ61">
        <f>DI61</f>
        <v>0</v>
      </c>
      <c r="BK61">
        <f>L61</f>
        <v>0</v>
      </c>
      <c r="BL61">
        <f>BH61*BI61*BJ61</f>
        <v>0</v>
      </c>
      <c r="BM61">
        <f>(BK61-BC61)/BJ61</f>
        <v>0</v>
      </c>
      <c r="BN61">
        <f>(BA61-BG61)/BG61</f>
        <v>0</v>
      </c>
      <c r="BO61">
        <f>AZ61/(BB61+AZ61/BG61)</f>
        <v>0</v>
      </c>
      <c r="BP61" t="s">
        <v>437</v>
      </c>
      <c r="BQ61">
        <v>0</v>
      </c>
      <c r="BR61">
        <f>IF(BQ61&lt;&gt;0, BQ61, BO61)</f>
        <v>0</v>
      </c>
      <c r="BS61">
        <f>1-BR61/BG61</f>
        <v>0</v>
      </c>
      <c r="BT61">
        <f>(BG61-BF61)/(BG61-BR61)</f>
        <v>0</v>
      </c>
      <c r="BU61">
        <f>(BA61-BG61)/(BA61-BR61)</f>
        <v>0</v>
      </c>
      <c r="BV61">
        <f>(BG61-BF61)/(BG61-AZ61)</f>
        <v>0</v>
      </c>
      <c r="BW61">
        <f>(BA61-BG61)/(BA61-AZ61)</f>
        <v>0</v>
      </c>
      <c r="BX61">
        <f>(BT61*BR61/BF61)</f>
        <v>0</v>
      </c>
      <c r="BY61">
        <f>(1-BX61)</f>
        <v>0</v>
      </c>
      <c r="DH61">
        <f>$B$11*EG61+$C$11*EH61+$F$11*ES61*(1-EV61)</f>
        <v>0</v>
      </c>
      <c r="DI61">
        <f>DH61*DJ61</f>
        <v>0</v>
      </c>
      <c r="DJ61">
        <f>($B$11*$D$9+$C$11*$D$9+$F$11*((FF61+EX61)/MAX(FF61+EX61+FG61, 0.1)*$I$9+FG61/MAX(FF61+EX61+FG61, 0.1)*$J$9))/($B$11+$C$11+$F$11)</f>
        <v>0</v>
      </c>
      <c r="DK61">
        <f>($B$11*$K$9+$C$11*$K$9+$F$11*((FF61+EX61)/MAX(FF61+EX61+FG61, 0.1)*$P$9+FG61/MAX(FF61+EX61+FG61, 0.1)*$Q$9))/($B$11+$C$11+$F$11)</f>
        <v>0</v>
      </c>
      <c r="DL61">
        <v>6</v>
      </c>
      <c r="DM61">
        <v>0.5</v>
      </c>
      <c r="DN61" t="s">
        <v>438</v>
      </c>
      <c r="DO61">
        <v>2</v>
      </c>
      <c r="DP61" t="b">
        <v>1</v>
      </c>
      <c r="DQ61">
        <v>1760989493.94615</v>
      </c>
      <c r="DR61">
        <v>669.278461538461</v>
      </c>
      <c r="DS61">
        <v>708.225307692308</v>
      </c>
      <c r="DT61">
        <v>11.8441076923077</v>
      </c>
      <c r="DU61">
        <v>9.01651384615385</v>
      </c>
      <c r="DV61">
        <v>665.477846153846</v>
      </c>
      <c r="DW61">
        <v>11.9549</v>
      </c>
      <c r="DX61">
        <v>500.019384615385</v>
      </c>
      <c r="DY61">
        <v>89.8646692307693</v>
      </c>
      <c r="DZ61">
        <v>0.00740822</v>
      </c>
      <c r="EA61">
        <v>18.3764923076923</v>
      </c>
      <c r="EB61">
        <v>17.9814461538462</v>
      </c>
      <c r="EC61">
        <v>999.9</v>
      </c>
      <c r="ED61">
        <v>0</v>
      </c>
      <c r="EE61">
        <v>0</v>
      </c>
      <c r="EF61">
        <v>10011.5307692308</v>
      </c>
      <c r="EG61">
        <v>0</v>
      </c>
      <c r="EH61">
        <v>1270.12615384615</v>
      </c>
      <c r="EI61">
        <v>-38.9466692307692</v>
      </c>
      <c r="EJ61">
        <v>677.300384615385</v>
      </c>
      <c r="EK61">
        <v>714.669</v>
      </c>
      <c r="EL61">
        <v>2.82759846153846</v>
      </c>
      <c r="EM61">
        <v>708.225307692308</v>
      </c>
      <c r="EN61">
        <v>9.01651384615385</v>
      </c>
      <c r="EO61">
        <v>1.06436769230769</v>
      </c>
      <c r="EP61">
        <v>0.810266153846154</v>
      </c>
      <c r="EQ61">
        <v>7.82859461538462</v>
      </c>
      <c r="ER61">
        <v>3.88843384615385</v>
      </c>
      <c r="ES61">
        <v>1199.98692307692</v>
      </c>
      <c r="ET61">
        <v>0.966992076923077</v>
      </c>
      <c r="EU61">
        <v>0.0330080230769231</v>
      </c>
      <c r="EV61">
        <v>0</v>
      </c>
      <c r="EW61">
        <v>1335.92692307692</v>
      </c>
      <c r="EX61">
        <v>5.00059</v>
      </c>
      <c r="EY61">
        <v>15687.6230769231</v>
      </c>
      <c r="EZ61">
        <v>10358.5769230769</v>
      </c>
      <c r="FA61">
        <v>36.9083846153846</v>
      </c>
      <c r="FB61">
        <v>39.3074615384615</v>
      </c>
      <c r="FC61">
        <v>37.543</v>
      </c>
      <c r="FD61">
        <v>38.5285384615385</v>
      </c>
      <c r="FE61">
        <v>37.9853076923077</v>
      </c>
      <c r="FF61">
        <v>1155.53923076923</v>
      </c>
      <c r="FG61">
        <v>39.4461538461538</v>
      </c>
      <c r="FH61">
        <v>0</v>
      </c>
      <c r="FI61">
        <v>1760989471.3</v>
      </c>
      <c r="FJ61">
        <v>0</v>
      </c>
      <c r="FK61">
        <v>1336.0276</v>
      </c>
      <c r="FL61">
        <v>2.27615386038495</v>
      </c>
      <c r="FM61">
        <v>81.9692309042305</v>
      </c>
      <c r="FN61">
        <v>15688.964</v>
      </c>
      <c r="FO61">
        <v>15</v>
      </c>
      <c r="FP61">
        <v>0</v>
      </c>
      <c r="FQ61" t="s">
        <v>439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-39.114925</v>
      </c>
      <c r="GD61">
        <v>2.19562556390976</v>
      </c>
      <c r="GE61">
        <v>0.422303834786046</v>
      </c>
      <c r="GF61">
        <v>0</v>
      </c>
      <c r="GG61">
        <v>1335.74205882353</v>
      </c>
      <c r="GH61">
        <v>3.88647823375239</v>
      </c>
      <c r="GI61">
        <v>0.435787181004722</v>
      </c>
      <c r="GJ61">
        <v>-1</v>
      </c>
      <c r="GK61">
        <v>2.8274575</v>
      </c>
      <c r="GL61">
        <v>-0.00653458646616766</v>
      </c>
      <c r="GM61">
        <v>0.00232410816228504</v>
      </c>
      <c r="GN61">
        <v>1</v>
      </c>
      <c r="GO61">
        <v>1</v>
      </c>
      <c r="GP61">
        <v>2</v>
      </c>
      <c r="GQ61" t="s">
        <v>446</v>
      </c>
      <c r="GR61">
        <v>3.13074</v>
      </c>
      <c r="GS61">
        <v>2.68512</v>
      </c>
      <c r="GT61">
        <v>0.129445</v>
      </c>
      <c r="GU61">
        <v>0.134809</v>
      </c>
      <c r="GV61">
        <v>0.0617676</v>
      </c>
      <c r="GW61">
        <v>0.0498426</v>
      </c>
      <c r="GX61">
        <v>32994.3</v>
      </c>
      <c r="GY61">
        <v>35234.7</v>
      </c>
      <c r="GZ61">
        <v>34267</v>
      </c>
      <c r="HA61">
        <v>36849.1</v>
      </c>
      <c r="HB61">
        <v>45352.9</v>
      </c>
      <c r="HC61">
        <v>50210.8</v>
      </c>
      <c r="HD61">
        <v>53340.9</v>
      </c>
      <c r="HE61">
        <v>58776.1</v>
      </c>
      <c r="HF61">
        <v>2.00882</v>
      </c>
      <c r="HG61">
        <v>1.83733</v>
      </c>
      <c r="HH61">
        <v>0.0329688</v>
      </c>
      <c r="HI61">
        <v>0</v>
      </c>
      <c r="HJ61">
        <v>17.4423</v>
      </c>
      <c r="HK61">
        <v>999.9</v>
      </c>
      <c r="HL61">
        <v>26.01</v>
      </c>
      <c r="HM61">
        <v>30.273</v>
      </c>
      <c r="HN61">
        <v>12.5265</v>
      </c>
      <c r="HO61">
        <v>53.6991</v>
      </c>
      <c r="HP61">
        <v>44.1266</v>
      </c>
      <c r="HQ61">
        <v>1</v>
      </c>
      <c r="HR61">
        <v>-0.270056</v>
      </c>
      <c r="HS61">
        <v>3.71515</v>
      </c>
      <c r="HT61">
        <v>20.0991</v>
      </c>
      <c r="HU61">
        <v>5.20097</v>
      </c>
      <c r="HV61">
        <v>12.004</v>
      </c>
      <c r="HW61">
        <v>4.9757</v>
      </c>
      <c r="HX61">
        <v>3.29295</v>
      </c>
      <c r="HY61">
        <v>9999</v>
      </c>
      <c r="HZ61">
        <v>999.9</v>
      </c>
      <c r="IA61">
        <v>9999</v>
      </c>
      <c r="IB61">
        <v>9999</v>
      </c>
      <c r="IC61">
        <v>1.86324</v>
      </c>
      <c r="ID61">
        <v>1.86805</v>
      </c>
      <c r="IE61">
        <v>1.86783</v>
      </c>
      <c r="IF61">
        <v>1.86905</v>
      </c>
      <c r="IG61">
        <v>1.86981</v>
      </c>
      <c r="IH61">
        <v>1.86584</v>
      </c>
      <c r="II61">
        <v>1.86693</v>
      </c>
      <c r="IJ61">
        <v>1.86844</v>
      </c>
      <c r="IK61">
        <v>5</v>
      </c>
      <c r="IL61">
        <v>0</v>
      </c>
      <c r="IM61">
        <v>0</v>
      </c>
      <c r="IN61">
        <v>0</v>
      </c>
      <c r="IO61" t="s">
        <v>441</v>
      </c>
      <c r="IP61" t="s">
        <v>442</v>
      </c>
      <c r="IQ61" t="s">
        <v>443</v>
      </c>
      <c r="IR61" t="s">
        <v>443</v>
      </c>
      <c r="IS61" t="s">
        <v>443</v>
      </c>
      <c r="IT61" t="s">
        <v>443</v>
      </c>
      <c r="IU61">
        <v>0</v>
      </c>
      <c r="IV61">
        <v>100</v>
      </c>
      <c r="IW61">
        <v>100</v>
      </c>
      <c r="IX61">
        <v>3.896</v>
      </c>
      <c r="IY61">
        <v>-0.111</v>
      </c>
      <c r="IZ61">
        <v>1.12474291219083</v>
      </c>
      <c r="JA61">
        <v>0.00463155566490582</v>
      </c>
      <c r="JB61">
        <v>-1.1358998729424e-06</v>
      </c>
      <c r="JC61">
        <v>3.28704272115545e-10</v>
      </c>
      <c r="JD61">
        <v>-0.0704455108513773</v>
      </c>
      <c r="JE61">
        <v>-0.0251928478371425</v>
      </c>
      <c r="JF61">
        <v>0.00225751704194564</v>
      </c>
      <c r="JG61">
        <v>-3.61734043746866e-05</v>
      </c>
      <c r="JH61">
        <v>1</v>
      </c>
      <c r="JI61">
        <v>2182</v>
      </c>
      <c r="JJ61">
        <v>0</v>
      </c>
      <c r="JK61">
        <v>24</v>
      </c>
      <c r="JL61">
        <v>29349825</v>
      </c>
      <c r="JM61">
        <v>29349825</v>
      </c>
      <c r="JN61">
        <v>1.58936</v>
      </c>
      <c r="JO61">
        <v>2.62939</v>
      </c>
      <c r="JP61">
        <v>1.54785</v>
      </c>
      <c r="JQ61">
        <v>2.31445</v>
      </c>
      <c r="JR61">
        <v>1.64673</v>
      </c>
      <c r="JS61">
        <v>2.24731</v>
      </c>
      <c r="JT61">
        <v>33.558</v>
      </c>
      <c r="JU61">
        <v>24.1838</v>
      </c>
      <c r="JV61">
        <v>18</v>
      </c>
      <c r="JW61">
        <v>500.718</v>
      </c>
      <c r="JX61">
        <v>394.268</v>
      </c>
      <c r="JY61">
        <v>12.5657</v>
      </c>
      <c r="JZ61">
        <v>23.9068</v>
      </c>
      <c r="KA61">
        <v>30</v>
      </c>
      <c r="KB61">
        <v>23.923</v>
      </c>
      <c r="KC61">
        <v>23.8949</v>
      </c>
      <c r="KD61">
        <v>31.9462</v>
      </c>
      <c r="KE61">
        <v>9.63918</v>
      </c>
      <c r="KF61">
        <v>23.7343</v>
      </c>
      <c r="KG61">
        <v>12.578</v>
      </c>
      <c r="KH61">
        <v>757.901</v>
      </c>
      <c r="KI61">
        <v>8.93872</v>
      </c>
      <c r="KJ61">
        <v>97.0445</v>
      </c>
      <c r="KK61">
        <v>95.3031</v>
      </c>
    </row>
    <row r="62" spans="1:297">
      <c r="A62">
        <v>46</v>
      </c>
      <c r="B62">
        <v>1760989507.1</v>
      </c>
      <c r="C62">
        <v>317</v>
      </c>
      <c r="D62" t="s">
        <v>534</v>
      </c>
      <c r="E62" t="s">
        <v>535</v>
      </c>
      <c r="F62">
        <v>5</v>
      </c>
      <c r="G62" t="s">
        <v>435</v>
      </c>
      <c r="H62" t="s">
        <v>436</v>
      </c>
      <c r="I62">
        <v>1760989498.94615</v>
      </c>
      <c r="J62">
        <f>(K62)/1000</f>
        <v>0</v>
      </c>
      <c r="K62">
        <f>IF(DP62, AN62, AH62)</f>
        <v>0</v>
      </c>
      <c r="L62">
        <f>IF(DP62, AI62, AG62)</f>
        <v>0</v>
      </c>
      <c r="M62">
        <f>DR62 - IF(AU62&gt;1, L62*DL62*100.0/(AW62), 0)</f>
        <v>0</v>
      </c>
      <c r="N62">
        <f>((T62-J62/2)*M62-L62)/(T62+J62/2)</f>
        <v>0</v>
      </c>
      <c r="O62">
        <f>N62*(DY62+DZ62)/1000.0</f>
        <v>0</v>
      </c>
      <c r="P62">
        <f>(DR62 - IF(AU62&gt;1, L62*DL62*100.0/(AW62), 0))*(DY62+DZ62)/1000.0</f>
        <v>0</v>
      </c>
      <c r="Q62">
        <f>2.0/((1/S62-1/R62)+SIGN(S62)*SQRT((1/S62-1/R62)*(1/S62-1/R62) + 4*DM62/((DM62+1)*(DM62+1))*(2*1/S62*1/R62-1/R62*1/R62)))</f>
        <v>0</v>
      </c>
      <c r="R62">
        <f>IF(LEFT(DN62,1)&lt;&gt;"0",IF(LEFT(DN62,1)="1",3.0,DO62),$D$5+$E$5*(EF62*DY62/($K$5*1000))+$F$5*(EF62*DY62/($K$5*1000))*MAX(MIN(DL62,$J$5),$I$5)*MAX(MIN(DL62,$J$5),$I$5)+$G$5*MAX(MIN(DL62,$J$5),$I$5)*(EF62*DY62/($K$5*1000))+$H$5*(EF62*DY62/($K$5*1000))*(EF62*DY62/($K$5*1000)))</f>
        <v>0</v>
      </c>
      <c r="S62">
        <f>J62*(1000-(1000*0.61365*exp(17.502*W62/(240.97+W62))/(DY62+DZ62)+DT62)/2)/(1000*0.61365*exp(17.502*W62/(240.97+W62))/(DY62+DZ62)-DT62)</f>
        <v>0</v>
      </c>
      <c r="T62">
        <f>1/((DM62+1)/(Q62/1.6)+1/(R62/1.37)) + DM62/((DM62+1)/(Q62/1.6) + DM62/(R62/1.37))</f>
        <v>0</v>
      </c>
      <c r="U62">
        <f>(DH62*DK62)</f>
        <v>0</v>
      </c>
      <c r="V62">
        <f>(EA62+(U62+2*0.95*5.67E-8*(((EA62+$B$7)+273)^4-(EA62+273)^4)-44100*J62)/(1.84*29.3*R62+8*0.95*5.67E-8*(EA62+273)^3))</f>
        <v>0</v>
      </c>
      <c r="W62">
        <f>($C$7*EB62+$D$7*EC62+$E$7*V62)</f>
        <v>0</v>
      </c>
      <c r="X62">
        <f>0.61365*exp(17.502*W62/(240.97+W62))</f>
        <v>0</v>
      </c>
      <c r="Y62">
        <f>(Z62/AA62*100)</f>
        <v>0</v>
      </c>
      <c r="Z62">
        <f>DT62*(DY62+DZ62)/1000</f>
        <v>0</v>
      </c>
      <c r="AA62">
        <f>0.61365*exp(17.502*EA62/(240.97+EA62))</f>
        <v>0</v>
      </c>
      <c r="AB62">
        <f>(X62-DT62*(DY62+DZ62)/1000)</f>
        <v>0</v>
      </c>
      <c r="AC62">
        <f>(-J62*44100)</f>
        <v>0</v>
      </c>
      <c r="AD62">
        <f>2*29.3*R62*0.92*(EA62-W62)</f>
        <v>0</v>
      </c>
      <c r="AE62">
        <f>2*0.95*5.67E-8*(((EA62+$B$7)+273)^4-(W62+273)^4)</f>
        <v>0</v>
      </c>
      <c r="AF62">
        <f>U62+AE62+AC62+AD62</f>
        <v>0</v>
      </c>
      <c r="AG62">
        <f>DX62*AU62*(DS62-DR62*(1000-AU62*DU62)/(1000-AU62*DT62))/(100*DL62)</f>
        <v>0</v>
      </c>
      <c r="AH62">
        <f>1000*DX62*AU62*(DT62-DU62)/(100*DL62*(1000-AU62*DT62))</f>
        <v>0</v>
      </c>
      <c r="AI62">
        <f>(AJ62 - AK62 - DY62*1E3/(8.314*(EA62+273.15)) * AM62/DX62 * AL62) * DX62/(100*DL62) * (1000 - DU62)/1000</f>
        <v>0</v>
      </c>
      <c r="AJ62">
        <v>746.058016818602</v>
      </c>
      <c r="AK62">
        <v>717.130569696969</v>
      </c>
      <c r="AL62">
        <v>3.18711592291343</v>
      </c>
      <c r="AM62">
        <v>64.8413469339502</v>
      </c>
      <c r="AN62">
        <f>(AP62 - AO62 + DY62*1E3/(8.314*(EA62+273.15)) * AR62/DX62 * AQ62) * DX62/(100*DL62) * 1000/(1000 - AP62)</f>
        <v>0</v>
      </c>
      <c r="AO62">
        <v>9.00292553485029</v>
      </c>
      <c r="AP62">
        <v>11.8233315151515</v>
      </c>
      <c r="AQ62">
        <v>-4.10030664677559e-06</v>
      </c>
      <c r="AR62">
        <v>118.472689631034</v>
      </c>
      <c r="AS62">
        <v>0</v>
      </c>
      <c r="AT62">
        <v>0</v>
      </c>
      <c r="AU62">
        <f>IF(AS62*$H$13&gt;=AW62,1.0,(AW62/(AW62-AS62*$H$13)))</f>
        <v>0</v>
      </c>
      <c r="AV62">
        <f>(AU62-1)*100</f>
        <v>0</v>
      </c>
      <c r="AW62">
        <f>MAX(0,($B$13+$C$13*EF62)/(1+$D$13*EF62)*DY62/(EA62+273)*$E$13)</f>
        <v>0</v>
      </c>
      <c r="AX62" t="s">
        <v>437</v>
      </c>
      <c r="AY62" t="s">
        <v>437</v>
      </c>
      <c r="AZ62">
        <v>0</v>
      </c>
      <c r="BA62">
        <v>0</v>
      </c>
      <c r="BB62">
        <f>1-AZ62/BA62</f>
        <v>0</v>
      </c>
      <c r="BC62">
        <v>0</v>
      </c>
      <c r="BD62" t="s">
        <v>437</v>
      </c>
      <c r="BE62" t="s">
        <v>437</v>
      </c>
      <c r="BF62">
        <v>0</v>
      </c>
      <c r="BG62">
        <v>0</v>
      </c>
      <c r="BH62">
        <f>1-BF62/BG62</f>
        <v>0</v>
      </c>
      <c r="BI62">
        <v>0.5</v>
      </c>
      <c r="BJ62">
        <f>DI62</f>
        <v>0</v>
      </c>
      <c r="BK62">
        <f>L62</f>
        <v>0</v>
      </c>
      <c r="BL62">
        <f>BH62*BI62*BJ62</f>
        <v>0</v>
      </c>
      <c r="BM62">
        <f>(BK62-BC62)/BJ62</f>
        <v>0</v>
      </c>
      <c r="BN62">
        <f>(BA62-BG62)/BG62</f>
        <v>0</v>
      </c>
      <c r="BO62">
        <f>AZ62/(BB62+AZ62/BG62)</f>
        <v>0</v>
      </c>
      <c r="BP62" t="s">
        <v>437</v>
      </c>
      <c r="BQ62">
        <v>0</v>
      </c>
      <c r="BR62">
        <f>IF(BQ62&lt;&gt;0, BQ62, BO62)</f>
        <v>0</v>
      </c>
      <c r="BS62">
        <f>1-BR62/BG62</f>
        <v>0</v>
      </c>
      <c r="BT62">
        <f>(BG62-BF62)/(BG62-BR62)</f>
        <v>0</v>
      </c>
      <c r="BU62">
        <f>(BA62-BG62)/(BA62-BR62)</f>
        <v>0</v>
      </c>
      <c r="BV62">
        <f>(BG62-BF62)/(BG62-AZ62)</f>
        <v>0</v>
      </c>
      <c r="BW62">
        <f>(BA62-BG62)/(BA62-AZ62)</f>
        <v>0</v>
      </c>
      <c r="BX62">
        <f>(BT62*BR62/BF62)</f>
        <v>0</v>
      </c>
      <c r="BY62">
        <f>(1-BX62)</f>
        <v>0</v>
      </c>
      <c r="DH62">
        <f>$B$11*EG62+$C$11*EH62+$F$11*ES62*(1-EV62)</f>
        <v>0</v>
      </c>
      <c r="DI62">
        <f>DH62*DJ62</f>
        <v>0</v>
      </c>
      <c r="DJ62">
        <f>($B$11*$D$9+$C$11*$D$9+$F$11*((FF62+EX62)/MAX(FF62+EX62+FG62, 0.1)*$I$9+FG62/MAX(FF62+EX62+FG62, 0.1)*$J$9))/($B$11+$C$11+$F$11)</f>
        <v>0</v>
      </c>
      <c r="DK62">
        <f>($B$11*$K$9+$C$11*$K$9+$F$11*((FF62+EX62)/MAX(FF62+EX62+FG62, 0.1)*$P$9+FG62/MAX(FF62+EX62+FG62, 0.1)*$Q$9))/($B$11+$C$11+$F$11)</f>
        <v>0</v>
      </c>
      <c r="DL62">
        <v>6</v>
      </c>
      <c r="DM62">
        <v>0.5</v>
      </c>
      <c r="DN62" t="s">
        <v>438</v>
      </c>
      <c r="DO62">
        <v>2</v>
      </c>
      <c r="DP62" t="b">
        <v>1</v>
      </c>
      <c r="DQ62">
        <v>1760989498.94615</v>
      </c>
      <c r="DR62">
        <v>685.622769230769</v>
      </c>
      <c r="DS62">
        <v>724.518307692308</v>
      </c>
      <c r="DT62">
        <v>11.8342</v>
      </c>
      <c r="DU62">
        <v>9.00911</v>
      </c>
      <c r="DV62">
        <v>681.764307692308</v>
      </c>
      <c r="DW62">
        <v>11.9451230769231</v>
      </c>
      <c r="DX62">
        <v>499.997230769231</v>
      </c>
      <c r="DY62">
        <v>89.8639846153846</v>
      </c>
      <c r="DZ62">
        <v>0.0074782</v>
      </c>
      <c r="EA62">
        <v>18.3766</v>
      </c>
      <c r="EB62">
        <v>17.9850846153846</v>
      </c>
      <c r="EC62">
        <v>999.9</v>
      </c>
      <c r="ED62">
        <v>0</v>
      </c>
      <c r="EE62">
        <v>0</v>
      </c>
      <c r="EF62">
        <v>9996.83076923077</v>
      </c>
      <c r="EG62">
        <v>0</v>
      </c>
      <c r="EH62">
        <v>1270.12461538462</v>
      </c>
      <c r="EI62">
        <v>-38.8954307692308</v>
      </c>
      <c r="EJ62">
        <v>693.833615384615</v>
      </c>
      <c r="EK62">
        <v>731.104846153846</v>
      </c>
      <c r="EL62">
        <v>2.82509153846154</v>
      </c>
      <c r="EM62">
        <v>724.518307692308</v>
      </c>
      <c r="EN62">
        <v>9.00911</v>
      </c>
      <c r="EO62">
        <v>1.06346923076923</v>
      </c>
      <c r="EP62">
        <v>0.809594461538461</v>
      </c>
      <c r="EQ62">
        <v>7.81619615384615</v>
      </c>
      <c r="ER62">
        <v>3.87664846153846</v>
      </c>
      <c r="ES62">
        <v>1200.01769230769</v>
      </c>
      <c r="ET62">
        <v>0.966992076923077</v>
      </c>
      <c r="EU62">
        <v>0.0330079076923077</v>
      </c>
      <c r="EV62">
        <v>0</v>
      </c>
      <c r="EW62">
        <v>1336.17307692308</v>
      </c>
      <c r="EX62">
        <v>5.00059</v>
      </c>
      <c r="EY62">
        <v>15694.4</v>
      </c>
      <c r="EZ62">
        <v>10358.8538461538</v>
      </c>
      <c r="FA62">
        <v>36.9804615384615</v>
      </c>
      <c r="FB62">
        <v>39.4227692307692</v>
      </c>
      <c r="FC62">
        <v>37.6102307692308</v>
      </c>
      <c r="FD62">
        <v>38.6679230769231</v>
      </c>
      <c r="FE62">
        <v>38.0622307692308</v>
      </c>
      <c r="FF62">
        <v>1155.57076923077</v>
      </c>
      <c r="FG62">
        <v>39.4453846153846</v>
      </c>
      <c r="FH62">
        <v>0</v>
      </c>
      <c r="FI62">
        <v>1760989476.1</v>
      </c>
      <c r="FJ62">
        <v>0</v>
      </c>
      <c r="FK62">
        <v>1336.2824</v>
      </c>
      <c r="FL62">
        <v>2.22923079047433</v>
      </c>
      <c r="FM62">
        <v>75.0692307504858</v>
      </c>
      <c r="FN62">
        <v>15695.064</v>
      </c>
      <c r="FO62">
        <v>15</v>
      </c>
      <c r="FP62">
        <v>0</v>
      </c>
      <c r="FQ62" t="s">
        <v>439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-38.8773666666667</v>
      </c>
      <c r="GD62">
        <v>1.47059220779215</v>
      </c>
      <c r="GE62">
        <v>0.473715921838368</v>
      </c>
      <c r="GF62">
        <v>0</v>
      </c>
      <c r="GG62">
        <v>1336.09117647059</v>
      </c>
      <c r="GH62">
        <v>3.13368984641669</v>
      </c>
      <c r="GI62">
        <v>0.365881407224052</v>
      </c>
      <c r="GJ62">
        <v>-1</v>
      </c>
      <c r="GK62">
        <v>2.82637761904762</v>
      </c>
      <c r="GL62">
        <v>-0.0302766233766245</v>
      </c>
      <c r="GM62">
        <v>0.00318417800525682</v>
      </c>
      <c r="GN62">
        <v>1</v>
      </c>
      <c r="GO62">
        <v>1</v>
      </c>
      <c r="GP62">
        <v>2</v>
      </c>
      <c r="GQ62" t="s">
        <v>446</v>
      </c>
      <c r="GR62">
        <v>3.13068</v>
      </c>
      <c r="GS62">
        <v>2.68576</v>
      </c>
      <c r="GT62">
        <v>0.13148</v>
      </c>
      <c r="GU62">
        <v>0.137012</v>
      </c>
      <c r="GV62">
        <v>0.0617463</v>
      </c>
      <c r="GW62">
        <v>0.0498221</v>
      </c>
      <c r="GX62">
        <v>32917.6</v>
      </c>
      <c r="GY62">
        <v>35145.3</v>
      </c>
      <c r="GZ62">
        <v>34267.4</v>
      </c>
      <c r="HA62">
        <v>36849.3</v>
      </c>
      <c r="HB62">
        <v>45354.7</v>
      </c>
      <c r="HC62">
        <v>50212.4</v>
      </c>
      <c r="HD62">
        <v>53341.4</v>
      </c>
      <c r="HE62">
        <v>58776.3</v>
      </c>
      <c r="HF62">
        <v>2.00885</v>
      </c>
      <c r="HG62">
        <v>1.83707</v>
      </c>
      <c r="HH62">
        <v>0.0329241</v>
      </c>
      <c r="HI62">
        <v>0</v>
      </c>
      <c r="HJ62">
        <v>17.4436</v>
      </c>
      <c r="HK62">
        <v>999.9</v>
      </c>
      <c r="HL62">
        <v>26.01</v>
      </c>
      <c r="HM62">
        <v>30.283</v>
      </c>
      <c r="HN62">
        <v>12.5328</v>
      </c>
      <c r="HO62">
        <v>54.3991</v>
      </c>
      <c r="HP62">
        <v>44.1466</v>
      </c>
      <c r="HQ62">
        <v>1</v>
      </c>
      <c r="HR62">
        <v>-0.270094</v>
      </c>
      <c r="HS62">
        <v>3.70725</v>
      </c>
      <c r="HT62">
        <v>20.0994</v>
      </c>
      <c r="HU62">
        <v>5.20127</v>
      </c>
      <c r="HV62">
        <v>12.0041</v>
      </c>
      <c r="HW62">
        <v>4.97575</v>
      </c>
      <c r="HX62">
        <v>3.29298</v>
      </c>
      <c r="HY62">
        <v>9999</v>
      </c>
      <c r="HZ62">
        <v>999.9</v>
      </c>
      <c r="IA62">
        <v>9999</v>
      </c>
      <c r="IB62">
        <v>9999</v>
      </c>
      <c r="IC62">
        <v>1.86325</v>
      </c>
      <c r="ID62">
        <v>1.8681</v>
      </c>
      <c r="IE62">
        <v>1.86783</v>
      </c>
      <c r="IF62">
        <v>1.86905</v>
      </c>
      <c r="IG62">
        <v>1.86981</v>
      </c>
      <c r="IH62">
        <v>1.86584</v>
      </c>
      <c r="II62">
        <v>1.86692</v>
      </c>
      <c r="IJ62">
        <v>1.8684</v>
      </c>
      <c r="IK62">
        <v>5</v>
      </c>
      <c r="IL62">
        <v>0</v>
      </c>
      <c r="IM62">
        <v>0</v>
      </c>
      <c r="IN62">
        <v>0</v>
      </c>
      <c r="IO62" t="s">
        <v>441</v>
      </c>
      <c r="IP62" t="s">
        <v>442</v>
      </c>
      <c r="IQ62" t="s">
        <v>443</v>
      </c>
      <c r="IR62" t="s">
        <v>443</v>
      </c>
      <c r="IS62" t="s">
        <v>443</v>
      </c>
      <c r="IT62" t="s">
        <v>443</v>
      </c>
      <c r="IU62">
        <v>0</v>
      </c>
      <c r="IV62">
        <v>100</v>
      </c>
      <c r="IW62">
        <v>100</v>
      </c>
      <c r="IX62">
        <v>3.951</v>
      </c>
      <c r="IY62">
        <v>-0.111</v>
      </c>
      <c r="IZ62">
        <v>1.12474291219083</v>
      </c>
      <c r="JA62">
        <v>0.00463155566490582</v>
      </c>
      <c r="JB62">
        <v>-1.1358998729424e-06</v>
      </c>
      <c r="JC62">
        <v>3.28704272115545e-10</v>
      </c>
      <c r="JD62">
        <v>-0.0704455108513773</v>
      </c>
      <c r="JE62">
        <v>-0.0251928478371425</v>
      </c>
      <c r="JF62">
        <v>0.00225751704194564</v>
      </c>
      <c r="JG62">
        <v>-3.61734043746866e-05</v>
      </c>
      <c r="JH62">
        <v>1</v>
      </c>
      <c r="JI62">
        <v>2182</v>
      </c>
      <c r="JJ62">
        <v>0</v>
      </c>
      <c r="JK62">
        <v>24</v>
      </c>
      <c r="JL62">
        <v>29349825.1</v>
      </c>
      <c r="JM62">
        <v>29349825.1</v>
      </c>
      <c r="JN62">
        <v>1.62109</v>
      </c>
      <c r="JO62">
        <v>2.62451</v>
      </c>
      <c r="JP62">
        <v>1.54785</v>
      </c>
      <c r="JQ62">
        <v>2.31445</v>
      </c>
      <c r="JR62">
        <v>1.64673</v>
      </c>
      <c r="JS62">
        <v>2.29004</v>
      </c>
      <c r="JT62">
        <v>33.558</v>
      </c>
      <c r="JU62">
        <v>24.1838</v>
      </c>
      <c r="JV62">
        <v>18</v>
      </c>
      <c r="JW62">
        <v>500.734</v>
      </c>
      <c r="JX62">
        <v>394.123</v>
      </c>
      <c r="JY62">
        <v>12.577</v>
      </c>
      <c r="JZ62">
        <v>23.9068</v>
      </c>
      <c r="KA62">
        <v>29.9999</v>
      </c>
      <c r="KB62">
        <v>23.923</v>
      </c>
      <c r="KC62">
        <v>23.8932</v>
      </c>
      <c r="KD62">
        <v>32.5043</v>
      </c>
      <c r="KE62">
        <v>9.91517</v>
      </c>
      <c r="KF62">
        <v>23.7343</v>
      </c>
      <c r="KG62">
        <v>12.5838</v>
      </c>
      <c r="KH62">
        <v>771.414</v>
      </c>
      <c r="KI62">
        <v>8.93872</v>
      </c>
      <c r="KJ62">
        <v>97.0455</v>
      </c>
      <c r="KK62">
        <v>95.3035</v>
      </c>
    </row>
    <row r="63" spans="1:297">
      <c r="A63">
        <v>47</v>
      </c>
      <c r="B63">
        <v>1760989512.1</v>
      </c>
      <c r="C63">
        <v>322</v>
      </c>
      <c r="D63" t="s">
        <v>536</v>
      </c>
      <c r="E63" t="s">
        <v>537</v>
      </c>
      <c r="F63">
        <v>5</v>
      </c>
      <c r="G63" t="s">
        <v>435</v>
      </c>
      <c r="H63" t="s">
        <v>436</v>
      </c>
      <c r="I63">
        <v>1760989503.94615</v>
      </c>
      <c r="J63">
        <f>(K63)/1000</f>
        <v>0</v>
      </c>
      <c r="K63">
        <f>IF(DP63, AN63, AH63)</f>
        <v>0</v>
      </c>
      <c r="L63">
        <f>IF(DP63, AI63, AG63)</f>
        <v>0</v>
      </c>
      <c r="M63">
        <f>DR63 - IF(AU63&gt;1, L63*DL63*100.0/(AW63), 0)</f>
        <v>0</v>
      </c>
      <c r="N63">
        <f>((T63-J63/2)*M63-L63)/(T63+J63/2)</f>
        <v>0</v>
      </c>
      <c r="O63">
        <f>N63*(DY63+DZ63)/1000.0</f>
        <v>0</v>
      </c>
      <c r="P63">
        <f>(DR63 - IF(AU63&gt;1, L63*DL63*100.0/(AW63), 0))*(DY63+DZ63)/1000.0</f>
        <v>0</v>
      </c>
      <c r="Q63">
        <f>2.0/((1/S63-1/R63)+SIGN(S63)*SQRT((1/S63-1/R63)*(1/S63-1/R63) + 4*DM63/((DM63+1)*(DM63+1))*(2*1/S63*1/R63-1/R63*1/R63)))</f>
        <v>0</v>
      </c>
      <c r="R63">
        <f>IF(LEFT(DN63,1)&lt;&gt;"0",IF(LEFT(DN63,1)="1",3.0,DO63),$D$5+$E$5*(EF63*DY63/($K$5*1000))+$F$5*(EF63*DY63/($K$5*1000))*MAX(MIN(DL63,$J$5),$I$5)*MAX(MIN(DL63,$J$5),$I$5)+$G$5*MAX(MIN(DL63,$J$5),$I$5)*(EF63*DY63/($K$5*1000))+$H$5*(EF63*DY63/($K$5*1000))*(EF63*DY63/($K$5*1000)))</f>
        <v>0</v>
      </c>
      <c r="S63">
        <f>J63*(1000-(1000*0.61365*exp(17.502*W63/(240.97+W63))/(DY63+DZ63)+DT63)/2)/(1000*0.61365*exp(17.502*W63/(240.97+W63))/(DY63+DZ63)-DT63)</f>
        <v>0</v>
      </c>
      <c r="T63">
        <f>1/((DM63+1)/(Q63/1.6)+1/(R63/1.37)) + DM63/((DM63+1)/(Q63/1.6) + DM63/(R63/1.37))</f>
        <v>0</v>
      </c>
      <c r="U63">
        <f>(DH63*DK63)</f>
        <v>0</v>
      </c>
      <c r="V63">
        <f>(EA63+(U63+2*0.95*5.67E-8*(((EA63+$B$7)+273)^4-(EA63+273)^4)-44100*J63)/(1.84*29.3*R63+8*0.95*5.67E-8*(EA63+273)^3))</f>
        <v>0</v>
      </c>
      <c r="W63">
        <f>($C$7*EB63+$D$7*EC63+$E$7*V63)</f>
        <v>0</v>
      </c>
      <c r="X63">
        <f>0.61365*exp(17.502*W63/(240.97+W63))</f>
        <v>0</v>
      </c>
      <c r="Y63">
        <f>(Z63/AA63*100)</f>
        <v>0</v>
      </c>
      <c r="Z63">
        <f>DT63*(DY63+DZ63)/1000</f>
        <v>0</v>
      </c>
      <c r="AA63">
        <f>0.61365*exp(17.502*EA63/(240.97+EA63))</f>
        <v>0</v>
      </c>
      <c r="AB63">
        <f>(X63-DT63*(DY63+DZ63)/1000)</f>
        <v>0</v>
      </c>
      <c r="AC63">
        <f>(-J63*44100)</f>
        <v>0</v>
      </c>
      <c r="AD63">
        <f>2*29.3*R63*0.92*(EA63-W63)</f>
        <v>0</v>
      </c>
      <c r="AE63">
        <f>2*0.95*5.67E-8*(((EA63+$B$7)+273)^4-(W63+273)^4)</f>
        <v>0</v>
      </c>
      <c r="AF63">
        <f>U63+AE63+AC63+AD63</f>
        <v>0</v>
      </c>
      <c r="AG63">
        <f>DX63*AU63*(DS63-DR63*(1000-AU63*DU63)/(1000-AU63*DT63))/(100*DL63)</f>
        <v>0</v>
      </c>
      <c r="AH63">
        <f>1000*DX63*AU63*(DT63-DU63)/(100*DL63*(1000-AU63*DT63))</f>
        <v>0</v>
      </c>
      <c r="AI63">
        <f>(AJ63 - AK63 - DY63*1E3/(8.314*(EA63+273.15)) * AM63/DX63 * AL63) * DX63/(100*DL63) * (1000 - DU63)/1000</f>
        <v>0</v>
      </c>
      <c r="AJ63">
        <v>764.175150465292</v>
      </c>
      <c r="AK63">
        <v>734.28603030303</v>
      </c>
      <c r="AL63">
        <v>3.44231033684568</v>
      </c>
      <c r="AM63">
        <v>64.8413469339502</v>
      </c>
      <c r="AN63">
        <f>(AP63 - AO63 + DY63*1E3/(8.314*(EA63+273.15)) * AR63/DX63 * AQ63) * DX63/(100*DL63) * 1000/(1000 - AP63)</f>
        <v>0</v>
      </c>
      <c r="AO63">
        <v>8.99232219584311</v>
      </c>
      <c r="AP63">
        <v>11.8195387878788</v>
      </c>
      <c r="AQ63">
        <v>-3.81023840801109e-06</v>
      </c>
      <c r="AR63">
        <v>118.472689631034</v>
      </c>
      <c r="AS63">
        <v>0</v>
      </c>
      <c r="AT63">
        <v>0</v>
      </c>
      <c r="AU63">
        <f>IF(AS63*$H$13&gt;=AW63,1.0,(AW63/(AW63-AS63*$H$13)))</f>
        <v>0</v>
      </c>
      <c r="AV63">
        <f>(AU63-1)*100</f>
        <v>0</v>
      </c>
      <c r="AW63">
        <f>MAX(0,($B$13+$C$13*EF63)/(1+$D$13*EF63)*DY63/(EA63+273)*$E$13)</f>
        <v>0</v>
      </c>
      <c r="AX63" t="s">
        <v>437</v>
      </c>
      <c r="AY63" t="s">
        <v>437</v>
      </c>
      <c r="AZ63">
        <v>0</v>
      </c>
      <c r="BA63">
        <v>0</v>
      </c>
      <c r="BB63">
        <f>1-AZ63/BA63</f>
        <v>0</v>
      </c>
      <c r="BC63">
        <v>0</v>
      </c>
      <c r="BD63" t="s">
        <v>437</v>
      </c>
      <c r="BE63" t="s">
        <v>437</v>
      </c>
      <c r="BF63">
        <v>0</v>
      </c>
      <c r="BG63">
        <v>0</v>
      </c>
      <c r="BH63">
        <f>1-BF63/BG63</f>
        <v>0</v>
      </c>
      <c r="BI63">
        <v>0.5</v>
      </c>
      <c r="BJ63">
        <f>DI63</f>
        <v>0</v>
      </c>
      <c r="BK63">
        <f>L63</f>
        <v>0</v>
      </c>
      <c r="BL63">
        <f>BH63*BI63*BJ63</f>
        <v>0</v>
      </c>
      <c r="BM63">
        <f>(BK63-BC63)/BJ63</f>
        <v>0</v>
      </c>
      <c r="BN63">
        <f>(BA63-BG63)/BG63</f>
        <v>0</v>
      </c>
      <c r="BO63">
        <f>AZ63/(BB63+AZ63/BG63)</f>
        <v>0</v>
      </c>
      <c r="BP63" t="s">
        <v>437</v>
      </c>
      <c r="BQ63">
        <v>0</v>
      </c>
      <c r="BR63">
        <f>IF(BQ63&lt;&gt;0, BQ63, BO63)</f>
        <v>0</v>
      </c>
      <c r="BS63">
        <f>1-BR63/BG63</f>
        <v>0</v>
      </c>
      <c r="BT63">
        <f>(BG63-BF63)/(BG63-BR63)</f>
        <v>0</v>
      </c>
      <c r="BU63">
        <f>(BA63-BG63)/(BA63-BR63)</f>
        <v>0</v>
      </c>
      <c r="BV63">
        <f>(BG63-BF63)/(BG63-AZ63)</f>
        <v>0</v>
      </c>
      <c r="BW63">
        <f>(BA63-BG63)/(BA63-AZ63)</f>
        <v>0</v>
      </c>
      <c r="BX63">
        <f>(BT63*BR63/BF63)</f>
        <v>0</v>
      </c>
      <c r="BY63">
        <f>(1-BX63)</f>
        <v>0</v>
      </c>
      <c r="DH63">
        <f>$B$11*EG63+$C$11*EH63+$F$11*ES63*(1-EV63)</f>
        <v>0</v>
      </c>
      <c r="DI63">
        <f>DH63*DJ63</f>
        <v>0</v>
      </c>
      <c r="DJ63">
        <f>($B$11*$D$9+$C$11*$D$9+$F$11*((FF63+EX63)/MAX(FF63+EX63+FG63, 0.1)*$I$9+FG63/MAX(FF63+EX63+FG63, 0.1)*$J$9))/($B$11+$C$11+$F$11)</f>
        <v>0</v>
      </c>
      <c r="DK63">
        <f>($B$11*$K$9+$C$11*$K$9+$F$11*((FF63+EX63)/MAX(FF63+EX63+FG63, 0.1)*$P$9+FG63/MAX(FF63+EX63+FG63, 0.1)*$Q$9))/($B$11+$C$11+$F$11)</f>
        <v>0</v>
      </c>
      <c r="DL63">
        <v>6</v>
      </c>
      <c r="DM63">
        <v>0.5</v>
      </c>
      <c r="DN63" t="s">
        <v>438</v>
      </c>
      <c r="DO63">
        <v>2</v>
      </c>
      <c r="DP63" t="b">
        <v>1</v>
      </c>
      <c r="DQ63">
        <v>1760989503.94615</v>
      </c>
      <c r="DR63">
        <v>701.996153846154</v>
      </c>
      <c r="DS63">
        <v>741.133461538462</v>
      </c>
      <c r="DT63">
        <v>11.8269615384615</v>
      </c>
      <c r="DU63">
        <v>9.00226076923077</v>
      </c>
      <c r="DV63">
        <v>698.080076923077</v>
      </c>
      <c r="DW63">
        <v>11.9379692307692</v>
      </c>
      <c r="DX63">
        <v>499.991769230769</v>
      </c>
      <c r="DY63">
        <v>89.8640692307692</v>
      </c>
      <c r="DZ63">
        <v>0.00767983153846154</v>
      </c>
      <c r="EA63">
        <v>18.3787384615385</v>
      </c>
      <c r="EB63">
        <v>17.9874153846154</v>
      </c>
      <c r="EC63">
        <v>999.9</v>
      </c>
      <c r="ED63">
        <v>0</v>
      </c>
      <c r="EE63">
        <v>0</v>
      </c>
      <c r="EF63">
        <v>9985.57846153846</v>
      </c>
      <c r="EG63">
        <v>0</v>
      </c>
      <c r="EH63">
        <v>1270.13076923077</v>
      </c>
      <c r="EI63">
        <v>-39.1371692307692</v>
      </c>
      <c r="EJ63">
        <v>710.397923076923</v>
      </c>
      <c r="EK63">
        <v>747.865769230769</v>
      </c>
      <c r="EL63">
        <v>2.82469307692308</v>
      </c>
      <c r="EM63">
        <v>741.133461538462</v>
      </c>
      <c r="EN63">
        <v>9.00226076923077</v>
      </c>
      <c r="EO63">
        <v>1.06281923076923</v>
      </c>
      <c r="EP63">
        <v>0.808979615384615</v>
      </c>
      <c r="EQ63">
        <v>7.80722153846154</v>
      </c>
      <c r="ER63">
        <v>3.86585</v>
      </c>
      <c r="ES63">
        <v>1200.02846153846</v>
      </c>
      <c r="ET63">
        <v>0.966993307692308</v>
      </c>
      <c r="EU63">
        <v>0.0330066</v>
      </c>
      <c r="EV63">
        <v>0</v>
      </c>
      <c r="EW63">
        <v>1336.39769230769</v>
      </c>
      <c r="EX63">
        <v>5.00059</v>
      </c>
      <c r="EY63">
        <v>15700.2692307692</v>
      </c>
      <c r="EZ63">
        <v>10358.9384615385</v>
      </c>
      <c r="FA63">
        <v>37.0478461538462</v>
      </c>
      <c r="FB63">
        <v>39.5286153846154</v>
      </c>
      <c r="FC63">
        <v>37.6728461538462</v>
      </c>
      <c r="FD63">
        <v>38.8073846153846</v>
      </c>
      <c r="FE63">
        <v>38.1391538461538</v>
      </c>
      <c r="FF63">
        <v>1155.58461538462</v>
      </c>
      <c r="FG63">
        <v>39.4423076923077</v>
      </c>
      <c r="FH63">
        <v>0</v>
      </c>
      <c r="FI63">
        <v>1760989481.5</v>
      </c>
      <c r="FJ63">
        <v>0</v>
      </c>
      <c r="FK63">
        <v>1336.47153846154</v>
      </c>
      <c r="FL63">
        <v>3.06393162881769</v>
      </c>
      <c r="FM63">
        <v>63.5931621737128</v>
      </c>
      <c r="FN63">
        <v>15700.9576923077</v>
      </c>
      <c r="FO63">
        <v>15</v>
      </c>
      <c r="FP63">
        <v>0</v>
      </c>
      <c r="FQ63" t="s">
        <v>439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-39.16205</v>
      </c>
      <c r="GD63">
        <v>-2.23589774436094</v>
      </c>
      <c r="GE63">
        <v>0.64291236611221</v>
      </c>
      <c r="GF63">
        <v>0</v>
      </c>
      <c r="GG63">
        <v>1336.34147058824</v>
      </c>
      <c r="GH63">
        <v>2.8105424060702</v>
      </c>
      <c r="GI63">
        <v>0.330615578731038</v>
      </c>
      <c r="GJ63">
        <v>-1</v>
      </c>
      <c r="GK63">
        <v>2.8254195</v>
      </c>
      <c r="GL63">
        <v>-0.0108040601503801</v>
      </c>
      <c r="GM63">
        <v>0.00280820133715522</v>
      </c>
      <c r="GN63">
        <v>1</v>
      </c>
      <c r="GO63">
        <v>1</v>
      </c>
      <c r="GP63">
        <v>2</v>
      </c>
      <c r="GQ63" t="s">
        <v>446</v>
      </c>
      <c r="GR63">
        <v>3.1305</v>
      </c>
      <c r="GS63">
        <v>2.6857</v>
      </c>
      <c r="GT63">
        <v>0.133617</v>
      </c>
      <c r="GU63">
        <v>0.138974</v>
      </c>
      <c r="GV63">
        <v>0.0617255</v>
      </c>
      <c r="GW63">
        <v>0.0497713</v>
      </c>
      <c r="GX63">
        <v>32836.4</v>
      </c>
      <c r="GY63">
        <v>35066</v>
      </c>
      <c r="GZ63">
        <v>34267.1</v>
      </c>
      <c r="HA63">
        <v>36849.8</v>
      </c>
      <c r="HB63">
        <v>45355.6</v>
      </c>
      <c r="HC63">
        <v>50215.8</v>
      </c>
      <c r="HD63">
        <v>53341</v>
      </c>
      <c r="HE63">
        <v>58776.8</v>
      </c>
      <c r="HF63">
        <v>2.00807</v>
      </c>
      <c r="HG63">
        <v>1.8375</v>
      </c>
      <c r="HH63">
        <v>0.0328794</v>
      </c>
      <c r="HI63">
        <v>0</v>
      </c>
      <c r="HJ63">
        <v>17.4446</v>
      </c>
      <c r="HK63">
        <v>999.9</v>
      </c>
      <c r="HL63">
        <v>26.01</v>
      </c>
      <c r="HM63">
        <v>30.273</v>
      </c>
      <c r="HN63">
        <v>12.5257</v>
      </c>
      <c r="HO63">
        <v>54.4091</v>
      </c>
      <c r="HP63">
        <v>44.2788</v>
      </c>
      <c r="HQ63">
        <v>1</v>
      </c>
      <c r="HR63">
        <v>-0.27033</v>
      </c>
      <c r="HS63">
        <v>3.72636</v>
      </c>
      <c r="HT63">
        <v>20.0988</v>
      </c>
      <c r="HU63">
        <v>5.20067</v>
      </c>
      <c r="HV63">
        <v>12.0041</v>
      </c>
      <c r="HW63">
        <v>4.9756</v>
      </c>
      <c r="HX63">
        <v>3.293</v>
      </c>
      <c r="HY63">
        <v>9999</v>
      </c>
      <c r="HZ63">
        <v>999.9</v>
      </c>
      <c r="IA63">
        <v>9999</v>
      </c>
      <c r="IB63">
        <v>9999</v>
      </c>
      <c r="IC63">
        <v>1.86325</v>
      </c>
      <c r="ID63">
        <v>1.8681</v>
      </c>
      <c r="IE63">
        <v>1.86783</v>
      </c>
      <c r="IF63">
        <v>1.86905</v>
      </c>
      <c r="IG63">
        <v>1.86981</v>
      </c>
      <c r="IH63">
        <v>1.86586</v>
      </c>
      <c r="II63">
        <v>1.86694</v>
      </c>
      <c r="IJ63">
        <v>1.86842</v>
      </c>
      <c r="IK63">
        <v>5</v>
      </c>
      <c r="IL63">
        <v>0</v>
      </c>
      <c r="IM63">
        <v>0</v>
      </c>
      <c r="IN63">
        <v>0</v>
      </c>
      <c r="IO63" t="s">
        <v>441</v>
      </c>
      <c r="IP63" t="s">
        <v>442</v>
      </c>
      <c r="IQ63" t="s">
        <v>443</v>
      </c>
      <c r="IR63" t="s">
        <v>443</v>
      </c>
      <c r="IS63" t="s">
        <v>443</v>
      </c>
      <c r="IT63" t="s">
        <v>443</v>
      </c>
      <c r="IU63">
        <v>0</v>
      </c>
      <c r="IV63">
        <v>100</v>
      </c>
      <c r="IW63">
        <v>100</v>
      </c>
      <c r="IX63">
        <v>4.01</v>
      </c>
      <c r="IY63">
        <v>-0.1111</v>
      </c>
      <c r="IZ63">
        <v>1.12474291219083</v>
      </c>
      <c r="JA63">
        <v>0.00463155566490582</v>
      </c>
      <c r="JB63">
        <v>-1.1358998729424e-06</v>
      </c>
      <c r="JC63">
        <v>3.28704272115545e-10</v>
      </c>
      <c r="JD63">
        <v>-0.0704455108513773</v>
      </c>
      <c r="JE63">
        <v>-0.0251928478371425</v>
      </c>
      <c r="JF63">
        <v>0.00225751704194564</v>
      </c>
      <c r="JG63">
        <v>-3.61734043746866e-05</v>
      </c>
      <c r="JH63">
        <v>1</v>
      </c>
      <c r="JI63">
        <v>2182</v>
      </c>
      <c r="JJ63">
        <v>0</v>
      </c>
      <c r="JK63">
        <v>24</v>
      </c>
      <c r="JL63">
        <v>29349825.2</v>
      </c>
      <c r="JM63">
        <v>29349825.2</v>
      </c>
      <c r="JN63">
        <v>1.64551</v>
      </c>
      <c r="JO63">
        <v>2.62451</v>
      </c>
      <c r="JP63">
        <v>1.54785</v>
      </c>
      <c r="JQ63">
        <v>2.31445</v>
      </c>
      <c r="JR63">
        <v>1.64673</v>
      </c>
      <c r="JS63">
        <v>2.34375</v>
      </c>
      <c r="JT63">
        <v>33.558</v>
      </c>
      <c r="JU63">
        <v>24.1926</v>
      </c>
      <c r="JV63">
        <v>18</v>
      </c>
      <c r="JW63">
        <v>500.238</v>
      </c>
      <c r="JX63">
        <v>394.347</v>
      </c>
      <c r="JY63">
        <v>12.5862</v>
      </c>
      <c r="JZ63">
        <v>23.9068</v>
      </c>
      <c r="KA63">
        <v>30.0001</v>
      </c>
      <c r="KB63">
        <v>23.923</v>
      </c>
      <c r="KC63">
        <v>23.8932</v>
      </c>
      <c r="KD63">
        <v>33.0844</v>
      </c>
      <c r="KE63">
        <v>9.91517</v>
      </c>
      <c r="KF63">
        <v>23.7343</v>
      </c>
      <c r="KG63">
        <v>12.5913</v>
      </c>
      <c r="KH63">
        <v>791.728</v>
      </c>
      <c r="KI63">
        <v>8.93872</v>
      </c>
      <c r="KJ63">
        <v>97.0447</v>
      </c>
      <c r="KK63">
        <v>95.3045</v>
      </c>
    </row>
    <row r="64" spans="1:297">
      <c r="A64">
        <v>48</v>
      </c>
      <c r="B64">
        <v>1760989517.1</v>
      </c>
      <c r="C64">
        <v>327</v>
      </c>
      <c r="D64" t="s">
        <v>538</v>
      </c>
      <c r="E64" t="s">
        <v>539</v>
      </c>
      <c r="F64">
        <v>5</v>
      </c>
      <c r="G64" t="s">
        <v>435</v>
      </c>
      <c r="H64" t="s">
        <v>436</v>
      </c>
      <c r="I64">
        <v>1760989508.94615</v>
      </c>
      <c r="J64">
        <f>(K64)/1000</f>
        <v>0</v>
      </c>
      <c r="K64">
        <f>IF(DP64, AN64, AH64)</f>
        <v>0</v>
      </c>
      <c r="L64">
        <f>IF(DP64, AI64, AG64)</f>
        <v>0</v>
      </c>
      <c r="M64">
        <f>DR64 - IF(AU64&gt;1, L64*DL64*100.0/(AW64), 0)</f>
        <v>0</v>
      </c>
      <c r="N64">
        <f>((T64-J64/2)*M64-L64)/(T64+J64/2)</f>
        <v>0</v>
      </c>
      <c r="O64">
        <f>N64*(DY64+DZ64)/1000.0</f>
        <v>0</v>
      </c>
      <c r="P64">
        <f>(DR64 - IF(AU64&gt;1, L64*DL64*100.0/(AW64), 0))*(DY64+DZ64)/1000.0</f>
        <v>0</v>
      </c>
      <c r="Q64">
        <f>2.0/((1/S64-1/R64)+SIGN(S64)*SQRT((1/S64-1/R64)*(1/S64-1/R64) + 4*DM64/((DM64+1)*(DM64+1))*(2*1/S64*1/R64-1/R64*1/R64)))</f>
        <v>0</v>
      </c>
      <c r="R64">
        <f>IF(LEFT(DN64,1)&lt;&gt;"0",IF(LEFT(DN64,1)="1",3.0,DO64),$D$5+$E$5*(EF64*DY64/($K$5*1000))+$F$5*(EF64*DY64/($K$5*1000))*MAX(MIN(DL64,$J$5),$I$5)*MAX(MIN(DL64,$J$5),$I$5)+$G$5*MAX(MIN(DL64,$J$5),$I$5)*(EF64*DY64/($K$5*1000))+$H$5*(EF64*DY64/($K$5*1000))*(EF64*DY64/($K$5*1000)))</f>
        <v>0</v>
      </c>
      <c r="S64">
        <f>J64*(1000-(1000*0.61365*exp(17.502*W64/(240.97+W64))/(DY64+DZ64)+DT64)/2)/(1000*0.61365*exp(17.502*W64/(240.97+W64))/(DY64+DZ64)-DT64)</f>
        <v>0</v>
      </c>
      <c r="T64">
        <f>1/((DM64+1)/(Q64/1.6)+1/(R64/1.37)) + DM64/((DM64+1)/(Q64/1.6) + DM64/(R64/1.37))</f>
        <v>0</v>
      </c>
      <c r="U64">
        <f>(DH64*DK64)</f>
        <v>0</v>
      </c>
      <c r="V64">
        <f>(EA64+(U64+2*0.95*5.67E-8*(((EA64+$B$7)+273)^4-(EA64+273)^4)-44100*J64)/(1.84*29.3*R64+8*0.95*5.67E-8*(EA64+273)^3))</f>
        <v>0</v>
      </c>
      <c r="W64">
        <f>($C$7*EB64+$D$7*EC64+$E$7*V64)</f>
        <v>0</v>
      </c>
      <c r="X64">
        <f>0.61365*exp(17.502*W64/(240.97+W64))</f>
        <v>0</v>
      </c>
      <c r="Y64">
        <f>(Z64/AA64*100)</f>
        <v>0</v>
      </c>
      <c r="Z64">
        <f>DT64*(DY64+DZ64)/1000</f>
        <v>0</v>
      </c>
      <c r="AA64">
        <f>0.61365*exp(17.502*EA64/(240.97+EA64))</f>
        <v>0</v>
      </c>
      <c r="AB64">
        <f>(X64-DT64*(DY64+DZ64)/1000)</f>
        <v>0</v>
      </c>
      <c r="AC64">
        <f>(-J64*44100)</f>
        <v>0</v>
      </c>
      <c r="AD64">
        <f>2*29.3*R64*0.92*(EA64-W64)</f>
        <v>0</v>
      </c>
      <c r="AE64">
        <f>2*0.95*5.67E-8*(((EA64+$B$7)+273)^4-(W64+273)^4)</f>
        <v>0</v>
      </c>
      <c r="AF64">
        <f>U64+AE64+AC64+AD64</f>
        <v>0</v>
      </c>
      <c r="AG64">
        <f>DX64*AU64*(DS64-DR64*(1000-AU64*DU64)/(1000-AU64*DT64))/(100*DL64)</f>
        <v>0</v>
      </c>
      <c r="AH64">
        <f>1000*DX64*AU64*(DT64-DU64)/(100*DL64*(1000-AU64*DT64))</f>
        <v>0</v>
      </c>
      <c r="AI64">
        <f>(AJ64 - AK64 - DY64*1E3/(8.314*(EA64+273.15)) * AM64/DX64 * AL64) * DX64/(100*DL64) * (1000 - DU64)/1000</f>
        <v>0</v>
      </c>
      <c r="AJ64">
        <v>779.864265142059</v>
      </c>
      <c r="AK64">
        <v>750.416521212121</v>
      </c>
      <c r="AL64">
        <v>3.20464645956611</v>
      </c>
      <c r="AM64">
        <v>64.8413469339502</v>
      </c>
      <c r="AN64">
        <f>(AP64 - AO64 + DY64*1E3/(8.314*(EA64+273.15)) * AR64/DX64 * AQ64) * DX64/(100*DL64) * 1000/(1000 - AP64)</f>
        <v>0</v>
      </c>
      <c r="AO64">
        <v>8.98174229778268</v>
      </c>
      <c r="AP64">
        <v>11.8150242424242</v>
      </c>
      <c r="AQ64">
        <v>-2.83189621031287e-06</v>
      </c>
      <c r="AR64">
        <v>118.472689631034</v>
      </c>
      <c r="AS64">
        <v>0</v>
      </c>
      <c r="AT64">
        <v>0</v>
      </c>
      <c r="AU64">
        <f>IF(AS64*$H$13&gt;=AW64,1.0,(AW64/(AW64-AS64*$H$13)))</f>
        <v>0</v>
      </c>
      <c r="AV64">
        <f>(AU64-1)*100</f>
        <v>0</v>
      </c>
      <c r="AW64">
        <f>MAX(0,($B$13+$C$13*EF64)/(1+$D$13*EF64)*DY64/(EA64+273)*$E$13)</f>
        <v>0</v>
      </c>
      <c r="AX64" t="s">
        <v>437</v>
      </c>
      <c r="AY64" t="s">
        <v>437</v>
      </c>
      <c r="AZ64">
        <v>0</v>
      </c>
      <c r="BA64">
        <v>0</v>
      </c>
      <c r="BB64">
        <f>1-AZ64/BA64</f>
        <v>0</v>
      </c>
      <c r="BC64">
        <v>0</v>
      </c>
      <c r="BD64" t="s">
        <v>437</v>
      </c>
      <c r="BE64" t="s">
        <v>437</v>
      </c>
      <c r="BF64">
        <v>0</v>
      </c>
      <c r="BG64">
        <v>0</v>
      </c>
      <c r="BH64">
        <f>1-BF64/BG64</f>
        <v>0</v>
      </c>
      <c r="BI64">
        <v>0.5</v>
      </c>
      <c r="BJ64">
        <f>DI64</f>
        <v>0</v>
      </c>
      <c r="BK64">
        <f>L64</f>
        <v>0</v>
      </c>
      <c r="BL64">
        <f>BH64*BI64*BJ64</f>
        <v>0</v>
      </c>
      <c r="BM64">
        <f>(BK64-BC64)/BJ64</f>
        <v>0</v>
      </c>
      <c r="BN64">
        <f>(BA64-BG64)/BG64</f>
        <v>0</v>
      </c>
      <c r="BO64">
        <f>AZ64/(BB64+AZ64/BG64)</f>
        <v>0</v>
      </c>
      <c r="BP64" t="s">
        <v>437</v>
      </c>
      <c r="BQ64">
        <v>0</v>
      </c>
      <c r="BR64">
        <f>IF(BQ64&lt;&gt;0, BQ64, BO64)</f>
        <v>0</v>
      </c>
      <c r="BS64">
        <f>1-BR64/BG64</f>
        <v>0</v>
      </c>
      <c r="BT64">
        <f>(BG64-BF64)/(BG64-BR64)</f>
        <v>0</v>
      </c>
      <c r="BU64">
        <f>(BA64-BG64)/(BA64-BR64)</f>
        <v>0</v>
      </c>
      <c r="BV64">
        <f>(BG64-BF64)/(BG64-AZ64)</f>
        <v>0</v>
      </c>
      <c r="BW64">
        <f>(BA64-BG64)/(BA64-AZ64)</f>
        <v>0</v>
      </c>
      <c r="BX64">
        <f>(BT64*BR64/BF64)</f>
        <v>0</v>
      </c>
      <c r="BY64">
        <f>(1-BX64)</f>
        <v>0</v>
      </c>
      <c r="DH64">
        <f>$B$11*EG64+$C$11*EH64+$F$11*ES64*(1-EV64)</f>
        <v>0</v>
      </c>
      <c r="DI64">
        <f>DH64*DJ64</f>
        <v>0</v>
      </c>
      <c r="DJ64">
        <f>($B$11*$D$9+$C$11*$D$9+$F$11*((FF64+EX64)/MAX(FF64+EX64+FG64, 0.1)*$I$9+FG64/MAX(FF64+EX64+FG64, 0.1)*$J$9))/($B$11+$C$11+$F$11)</f>
        <v>0</v>
      </c>
      <c r="DK64">
        <f>($B$11*$K$9+$C$11*$K$9+$F$11*((FF64+EX64)/MAX(FF64+EX64+FG64, 0.1)*$P$9+FG64/MAX(FF64+EX64+FG64, 0.1)*$Q$9))/($B$11+$C$11+$F$11)</f>
        <v>0</v>
      </c>
      <c r="DL64">
        <v>6</v>
      </c>
      <c r="DM64">
        <v>0.5</v>
      </c>
      <c r="DN64" t="s">
        <v>438</v>
      </c>
      <c r="DO64">
        <v>2</v>
      </c>
      <c r="DP64" t="b">
        <v>1</v>
      </c>
      <c r="DQ64">
        <v>1760989508.94615</v>
      </c>
      <c r="DR64">
        <v>718.299692307692</v>
      </c>
      <c r="DS64">
        <v>757.463923076923</v>
      </c>
      <c r="DT64">
        <v>11.8213076923077</v>
      </c>
      <c r="DU64">
        <v>8.99434692307692</v>
      </c>
      <c r="DV64">
        <v>714.326538461539</v>
      </c>
      <c r="DW64">
        <v>11.9323923076923</v>
      </c>
      <c r="DX64">
        <v>499.981</v>
      </c>
      <c r="DY64">
        <v>89.8644307692308</v>
      </c>
      <c r="DZ64">
        <v>0.00770973153846154</v>
      </c>
      <c r="EA64">
        <v>18.3839384615385</v>
      </c>
      <c r="EB64">
        <v>17.9909538461539</v>
      </c>
      <c r="EC64">
        <v>999.9</v>
      </c>
      <c r="ED64">
        <v>0</v>
      </c>
      <c r="EE64">
        <v>0</v>
      </c>
      <c r="EF64">
        <v>9994.48230769231</v>
      </c>
      <c r="EG64">
        <v>0</v>
      </c>
      <c r="EH64">
        <v>1270.13</v>
      </c>
      <c r="EI64">
        <v>-39.1640692307692</v>
      </c>
      <c r="EJ64">
        <v>726.892615384616</v>
      </c>
      <c r="EK64">
        <v>764.338461538462</v>
      </c>
      <c r="EL64">
        <v>2.82695307692308</v>
      </c>
      <c r="EM64">
        <v>757.463923076923</v>
      </c>
      <c r="EN64">
        <v>8.99434692307692</v>
      </c>
      <c r="EO64">
        <v>1.06231461538462</v>
      </c>
      <c r="EP64">
        <v>0.808271769230769</v>
      </c>
      <c r="EQ64">
        <v>7.80026230769231</v>
      </c>
      <c r="ER64">
        <v>3.85340307692308</v>
      </c>
      <c r="ES64">
        <v>1199.99076923077</v>
      </c>
      <c r="ET64">
        <v>0.966993307692308</v>
      </c>
      <c r="EU64">
        <v>0.0330065846153846</v>
      </c>
      <c r="EV64">
        <v>0</v>
      </c>
      <c r="EW64">
        <v>1336.58076923077</v>
      </c>
      <c r="EX64">
        <v>5.00059</v>
      </c>
      <c r="EY64">
        <v>15705.1307692308</v>
      </c>
      <c r="EZ64">
        <v>10358.6153846154</v>
      </c>
      <c r="FA64">
        <v>37.1150769230769</v>
      </c>
      <c r="FB64">
        <v>39.6343846153846</v>
      </c>
      <c r="FC64">
        <v>37.7449230769231</v>
      </c>
      <c r="FD64">
        <v>38.9516923076923</v>
      </c>
      <c r="FE64">
        <v>38.2160769230769</v>
      </c>
      <c r="FF64">
        <v>1155.55</v>
      </c>
      <c r="FG64">
        <v>39.44</v>
      </c>
      <c r="FH64">
        <v>0</v>
      </c>
      <c r="FI64">
        <v>1760989486.3</v>
      </c>
      <c r="FJ64">
        <v>0</v>
      </c>
      <c r="FK64">
        <v>1336.64769230769</v>
      </c>
      <c r="FL64">
        <v>1.06529915297635</v>
      </c>
      <c r="FM64">
        <v>60.577777753204</v>
      </c>
      <c r="FN64">
        <v>15705.65</v>
      </c>
      <c r="FO64">
        <v>15</v>
      </c>
      <c r="FP64">
        <v>0</v>
      </c>
      <c r="FQ64" t="s">
        <v>439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-39.1071523809524</v>
      </c>
      <c r="GD64">
        <v>-2.18796623376632</v>
      </c>
      <c r="GE64">
        <v>0.672140561843491</v>
      </c>
      <c r="GF64">
        <v>0</v>
      </c>
      <c r="GG64">
        <v>1336.49882352941</v>
      </c>
      <c r="GH64">
        <v>2.24262797001733</v>
      </c>
      <c r="GI64">
        <v>0.300800546638699</v>
      </c>
      <c r="GJ64">
        <v>-1</v>
      </c>
      <c r="GK64">
        <v>2.82640619047619</v>
      </c>
      <c r="GL64">
        <v>0.0261794805194869</v>
      </c>
      <c r="GM64">
        <v>0.00404012785770159</v>
      </c>
      <c r="GN64">
        <v>1</v>
      </c>
      <c r="GO64">
        <v>1</v>
      </c>
      <c r="GP64">
        <v>2</v>
      </c>
      <c r="GQ64" t="s">
        <v>446</v>
      </c>
      <c r="GR64">
        <v>3.13063</v>
      </c>
      <c r="GS64">
        <v>2.68587</v>
      </c>
      <c r="GT64">
        <v>0.135615</v>
      </c>
      <c r="GU64">
        <v>0.141088</v>
      </c>
      <c r="GV64">
        <v>0.0617104</v>
      </c>
      <c r="GW64">
        <v>0.0497248</v>
      </c>
      <c r="GX64">
        <v>32760.5</v>
      </c>
      <c r="GY64">
        <v>34979.9</v>
      </c>
      <c r="GZ64">
        <v>34266.9</v>
      </c>
      <c r="HA64">
        <v>36849.7</v>
      </c>
      <c r="HB64">
        <v>45356.6</v>
      </c>
      <c r="HC64">
        <v>50218.5</v>
      </c>
      <c r="HD64">
        <v>53341.1</v>
      </c>
      <c r="HE64">
        <v>58776.9</v>
      </c>
      <c r="HF64">
        <v>2.00855</v>
      </c>
      <c r="HG64">
        <v>1.83753</v>
      </c>
      <c r="HH64">
        <v>0.0332817</v>
      </c>
      <c r="HI64">
        <v>0</v>
      </c>
      <c r="HJ64">
        <v>17.4452</v>
      </c>
      <c r="HK64">
        <v>999.9</v>
      </c>
      <c r="HL64">
        <v>26.01</v>
      </c>
      <c r="HM64">
        <v>30.283</v>
      </c>
      <c r="HN64">
        <v>12.5335</v>
      </c>
      <c r="HO64">
        <v>54.1191</v>
      </c>
      <c r="HP64">
        <v>44.2708</v>
      </c>
      <c r="HQ64">
        <v>1</v>
      </c>
      <c r="HR64">
        <v>-0.270076</v>
      </c>
      <c r="HS64">
        <v>3.72544</v>
      </c>
      <c r="HT64">
        <v>20.0991</v>
      </c>
      <c r="HU64">
        <v>5.20082</v>
      </c>
      <c r="HV64">
        <v>12.004</v>
      </c>
      <c r="HW64">
        <v>4.9757</v>
      </c>
      <c r="HX64">
        <v>3.29303</v>
      </c>
      <c r="HY64">
        <v>9999</v>
      </c>
      <c r="HZ64">
        <v>999.9</v>
      </c>
      <c r="IA64">
        <v>9999</v>
      </c>
      <c r="IB64">
        <v>9999</v>
      </c>
      <c r="IC64">
        <v>1.86325</v>
      </c>
      <c r="ID64">
        <v>1.8681</v>
      </c>
      <c r="IE64">
        <v>1.86783</v>
      </c>
      <c r="IF64">
        <v>1.86905</v>
      </c>
      <c r="IG64">
        <v>1.86981</v>
      </c>
      <c r="IH64">
        <v>1.86584</v>
      </c>
      <c r="II64">
        <v>1.86694</v>
      </c>
      <c r="IJ64">
        <v>1.86843</v>
      </c>
      <c r="IK64">
        <v>5</v>
      </c>
      <c r="IL64">
        <v>0</v>
      </c>
      <c r="IM64">
        <v>0</v>
      </c>
      <c r="IN64">
        <v>0</v>
      </c>
      <c r="IO64" t="s">
        <v>441</v>
      </c>
      <c r="IP64" t="s">
        <v>442</v>
      </c>
      <c r="IQ64" t="s">
        <v>443</v>
      </c>
      <c r="IR64" t="s">
        <v>443</v>
      </c>
      <c r="IS64" t="s">
        <v>443</v>
      </c>
      <c r="IT64" t="s">
        <v>443</v>
      </c>
      <c r="IU64">
        <v>0</v>
      </c>
      <c r="IV64">
        <v>100</v>
      </c>
      <c r="IW64">
        <v>100</v>
      </c>
      <c r="IX64">
        <v>4.066</v>
      </c>
      <c r="IY64">
        <v>-0.1112</v>
      </c>
      <c r="IZ64">
        <v>1.12474291219083</v>
      </c>
      <c r="JA64">
        <v>0.00463155566490582</v>
      </c>
      <c r="JB64">
        <v>-1.1358998729424e-06</v>
      </c>
      <c r="JC64">
        <v>3.28704272115545e-10</v>
      </c>
      <c r="JD64">
        <v>-0.0704455108513773</v>
      </c>
      <c r="JE64">
        <v>-0.0251928478371425</v>
      </c>
      <c r="JF64">
        <v>0.00225751704194564</v>
      </c>
      <c r="JG64">
        <v>-3.61734043746866e-05</v>
      </c>
      <c r="JH64">
        <v>1</v>
      </c>
      <c r="JI64">
        <v>2182</v>
      </c>
      <c r="JJ64">
        <v>0</v>
      </c>
      <c r="JK64">
        <v>24</v>
      </c>
      <c r="JL64">
        <v>29349825.3</v>
      </c>
      <c r="JM64">
        <v>29349825.3</v>
      </c>
      <c r="JN64">
        <v>1.67847</v>
      </c>
      <c r="JO64">
        <v>2.62085</v>
      </c>
      <c r="JP64">
        <v>1.54785</v>
      </c>
      <c r="JQ64">
        <v>2.31445</v>
      </c>
      <c r="JR64">
        <v>1.64673</v>
      </c>
      <c r="JS64">
        <v>2.34619</v>
      </c>
      <c r="JT64">
        <v>33.558</v>
      </c>
      <c r="JU64">
        <v>24.1926</v>
      </c>
      <c r="JV64">
        <v>18</v>
      </c>
      <c r="JW64">
        <v>500.542</v>
      </c>
      <c r="JX64">
        <v>394.36</v>
      </c>
      <c r="JY64">
        <v>12.5926</v>
      </c>
      <c r="JZ64">
        <v>23.9068</v>
      </c>
      <c r="KA64">
        <v>30</v>
      </c>
      <c r="KB64">
        <v>23.923</v>
      </c>
      <c r="KC64">
        <v>23.8932</v>
      </c>
      <c r="KD64">
        <v>33.6631</v>
      </c>
      <c r="KE64">
        <v>9.91517</v>
      </c>
      <c r="KF64">
        <v>23.7343</v>
      </c>
      <c r="KG64">
        <v>12.5952</v>
      </c>
      <c r="KH64">
        <v>805.233</v>
      </c>
      <c r="KI64">
        <v>8.93872</v>
      </c>
      <c r="KJ64">
        <v>97.0446</v>
      </c>
      <c r="KK64">
        <v>95.3044</v>
      </c>
    </row>
    <row r="65" spans="1:297">
      <c r="A65">
        <v>49</v>
      </c>
      <c r="B65">
        <v>1760989522.1</v>
      </c>
      <c r="C65">
        <v>332</v>
      </c>
      <c r="D65" t="s">
        <v>540</v>
      </c>
      <c r="E65" t="s">
        <v>541</v>
      </c>
      <c r="F65">
        <v>5</v>
      </c>
      <c r="G65" t="s">
        <v>435</v>
      </c>
      <c r="H65" t="s">
        <v>436</v>
      </c>
      <c r="I65">
        <v>1760989513.94615</v>
      </c>
      <c r="J65">
        <f>(K65)/1000</f>
        <v>0</v>
      </c>
      <c r="K65">
        <f>IF(DP65, AN65, AH65)</f>
        <v>0</v>
      </c>
      <c r="L65">
        <f>IF(DP65, AI65, AG65)</f>
        <v>0</v>
      </c>
      <c r="M65">
        <f>DR65 - IF(AU65&gt;1, L65*DL65*100.0/(AW65), 0)</f>
        <v>0</v>
      </c>
      <c r="N65">
        <f>((T65-J65/2)*M65-L65)/(T65+J65/2)</f>
        <v>0</v>
      </c>
      <c r="O65">
        <f>N65*(DY65+DZ65)/1000.0</f>
        <v>0</v>
      </c>
      <c r="P65">
        <f>(DR65 - IF(AU65&gt;1, L65*DL65*100.0/(AW65), 0))*(DY65+DZ65)/1000.0</f>
        <v>0</v>
      </c>
      <c r="Q65">
        <f>2.0/((1/S65-1/R65)+SIGN(S65)*SQRT((1/S65-1/R65)*(1/S65-1/R65) + 4*DM65/((DM65+1)*(DM65+1))*(2*1/S65*1/R65-1/R65*1/R65)))</f>
        <v>0</v>
      </c>
      <c r="R65">
        <f>IF(LEFT(DN65,1)&lt;&gt;"0",IF(LEFT(DN65,1)="1",3.0,DO65),$D$5+$E$5*(EF65*DY65/($K$5*1000))+$F$5*(EF65*DY65/($K$5*1000))*MAX(MIN(DL65,$J$5),$I$5)*MAX(MIN(DL65,$J$5),$I$5)+$G$5*MAX(MIN(DL65,$J$5),$I$5)*(EF65*DY65/($K$5*1000))+$H$5*(EF65*DY65/($K$5*1000))*(EF65*DY65/($K$5*1000)))</f>
        <v>0</v>
      </c>
      <c r="S65">
        <f>J65*(1000-(1000*0.61365*exp(17.502*W65/(240.97+W65))/(DY65+DZ65)+DT65)/2)/(1000*0.61365*exp(17.502*W65/(240.97+W65))/(DY65+DZ65)-DT65)</f>
        <v>0</v>
      </c>
      <c r="T65">
        <f>1/((DM65+1)/(Q65/1.6)+1/(R65/1.37)) + DM65/((DM65+1)/(Q65/1.6) + DM65/(R65/1.37))</f>
        <v>0</v>
      </c>
      <c r="U65">
        <f>(DH65*DK65)</f>
        <v>0</v>
      </c>
      <c r="V65">
        <f>(EA65+(U65+2*0.95*5.67E-8*(((EA65+$B$7)+273)^4-(EA65+273)^4)-44100*J65)/(1.84*29.3*R65+8*0.95*5.67E-8*(EA65+273)^3))</f>
        <v>0</v>
      </c>
      <c r="W65">
        <f>($C$7*EB65+$D$7*EC65+$E$7*V65)</f>
        <v>0</v>
      </c>
      <c r="X65">
        <f>0.61365*exp(17.502*W65/(240.97+W65))</f>
        <v>0</v>
      </c>
      <c r="Y65">
        <f>(Z65/AA65*100)</f>
        <v>0</v>
      </c>
      <c r="Z65">
        <f>DT65*(DY65+DZ65)/1000</f>
        <v>0</v>
      </c>
      <c r="AA65">
        <f>0.61365*exp(17.502*EA65/(240.97+EA65))</f>
        <v>0</v>
      </c>
      <c r="AB65">
        <f>(X65-DT65*(DY65+DZ65)/1000)</f>
        <v>0</v>
      </c>
      <c r="AC65">
        <f>(-J65*44100)</f>
        <v>0</v>
      </c>
      <c r="AD65">
        <f>2*29.3*R65*0.92*(EA65-W65)</f>
        <v>0</v>
      </c>
      <c r="AE65">
        <f>2*0.95*5.67E-8*(((EA65+$B$7)+273)^4-(W65+273)^4)</f>
        <v>0</v>
      </c>
      <c r="AF65">
        <f>U65+AE65+AC65+AD65</f>
        <v>0</v>
      </c>
      <c r="AG65">
        <f>DX65*AU65*(DS65-DR65*(1000-AU65*DU65)/(1000-AU65*DT65))/(100*DL65)</f>
        <v>0</v>
      </c>
      <c r="AH65">
        <f>1000*DX65*AU65*(DT65-DU65)/(100*DL65*(1000-AU65*DT65))</f>
        <v>0</v>
      </c>
      <c r="AI65">
        <f>(AJ65 - AK65 - DY65*1E3/(8.314*(EA65+273.15)) * AM65/DX65 * AL65) * DX65/(100*DL65) * (1000 - DU65)/1000</f>
        <v>0</v>
      </c>
      <c r="AJ65">
        <v>797.923738867023</v>
      </c>
      <c r="AK65">
        <v>767.737418181818</v>
      </c>
      <c r="AL65">
        <v>3.48746092321028</v>
      </c>
      <c r="AM65">
        <v>64.8413469339502</v>
      </c>
      <c r="AN65">
        <f>(AP65 - AO65 + DY65*1E3/(8.314*(EA65+273.15)) * AR65/DX65 * AQ65) * DX65/(100*DL65) * 1000/(1000 - AP65)</f>
        <v>0</v>
      </c>
      <c r="AO65">
        <v>8.97716760163578</v>
      </c>
      <c r="AP65">
        <v>11.8079072727273</v>
      </c>
      <c r="AQ65">
        <v>-6.33778914584263e-06</v>
      </c>
      <c r="AR65">
        <v>118.472689631034</v>
      </c>
      <c r="AS65">
        <v>0</v>
      </c>
      <c r="AT65">
        <v>0</v>
      </c>
      <c r="AU65">
        <f>IF(AS65*$H$13&gt;=AW65,1.0,(AW65/(AW65-AS65*$H$13)))</f>
        <v>0</v>
      </c>
      <c r="AV65">
        <f>(AU65-1)*100</f>
        <v>0</v>
      </c>
      <c r="AW65">
        <f>MAX(0,($B$13+$C$13*EF65)/(1+$D$13*EF65)*DY65/(EA65+273)*$E$13)</f>
        <v>0</v>
      </c>
      <c r="AX65" t="s">
        <v>437</v>
      </c>
      <c r="AY65" t="s">
        <v>437</v>
      </c>
      <c r="AZ65">
        <v>0</v>
      </c>
      <c r="BA65">
        <v>0</v>
      </c>
      <c r="BB65">
        <f>1-AZ65/BA65</f>
        <v>0</v>
      </c>
      <c r="BC65">
        <v>0</v>
      </c>
      <c r="BD65" t="s">
        <v>437</v>
      </c>
      <c r="BE65" t="s">
        <v>437</v>
      </c>
      <c r="BF65">
        <v>0</v>
      </c>
      <c r="BG65">
        <v>0</v>
      </c>
      <c r="BH65">
        <f>1-BF65/BG65</f>
        <v>0</v>
      </c>
      <c r="BI65">
        <v>0.5</v>
      </c>
      <c r="BJ65">
        <f>DI65</f>
        <v>0</v>
      </c>
      <c r="BK65">
        <f>L65</f>
        <v>0</v>
      </c>
      <c r="BL65">
        <f>BH65*BI65*BJ65</f>
        <v>0</v>
      </c>
      <c r="BM65">
        <f>(BK65-BC65)/BJ65</f>
        <v>0</v>
      </c>
      <c r="BN65">
        <f>(BA65-BG65)/BG65</f>
        <v>0</v>
      </c>
      <c r="BO65">
        <f>AZ65/(BB65+AZ65/BG65)</f>
        <v>0</v>
      </c>
      <c r="BP65" t="s">
        <v>437</v>
      </c>
      <c r="BQ65">
        <v>0</v>
      </c>
      <c r="BR65">
        <f>IF(BQ65&lt;&gt;0, BQ65, BO65)</f>
        <v>0</v>
      </c>
      <c r="BS65">
        <f>1-BR65/BG65</f>
        <v>0</v>
      </c>
      <c r="BT65">
        <f>(BG65-BF65)/(BG65-BR65)</f>
        <v>0</v>
      </c>
      <c r="BU65">
        <f>(BA65-BG65)/(BA65-BR65)</f>
        <v>0</v>
      </c>
      <c r="BV65">
        <f>(BG65-BF65)/(BG65-AZ65)</f>
        <v>0</v>
      </c>
      <c r="BW65">
        <f>(BA65-BG65)/(BA65-AZ65)</f>
        <v>0</v>
      </c>
      <c r="BX65">
        <f>(BT65*BR65/BF65)</f>
        <v>0</v>
      </c>
      <c r="BY65">
        <f>(1-BX65)</f>
        <v>0</v>
      </c>
      <c r="DH65">
        <f>$B$11*EG65+$C$11*EH65+$F$11*ES65*(1-EV65)</f>
        <v>0</v>
      </c>
      <c r="DI65">
        <f>DH65*DJ65</f>
        <v>0</v>
      </c>
      <c r="DJ65">
        <f>($B$11*$D$9+$C$11*$D$9+$F$11*((FF65+EX65)/MAX(FF65+EX65+FG65, 0.1)*$I$9+FG65/MAX(FF65+EX65+FG65, 0.1)*$J$9))/($B$11+$C$11+$F$11)</f>
        <v>0</v>
      </c>
      <c r="DK65">
        <f>($B$11*$K$9+$C$11*$K$9+$F$11*((FF65+EX65)/MAX(FF65+EX65+FG65, 0.1)*$P$9+FG65/MAX(FF65+EX65+FG65, 0.1)*$Q$9))/($B$11+$C$11+$F$11)</f>
        <v>0</v>
      </c>
      <c r="DL65">
        <v>6</v>
      </c>
      <c r="DM65">
        <v>0.5</v>
      </c>
      <c r="DN65" t="s">
        <v>438</v>
      </c>
      <c r="DO65">
        <v>2</v>
      </c>
      <c r="DP65" t="b">
        <v>1</v>
      </c>
      <c r="DQ65">
        <v>1760989513.94615</v>
      </c>
      <c r="DR65">
        <v>734.752615384615</v>
      </c>
      <c r="DS65">
        <v>774.622230769231</v>
      </c>
      <c r="DT65">
        <v>11.8164</v>
      </c>
      <c r="DU65">
        <v>8.98608076923077</v>
      </c>
      <c r="DV65">
        <v>730.721923076923</v>
      </c>
      <c r="DW65">
        <v>11.9275461538462</v>
      </c>
      <c r="DX65">
        <v>500.010923076923</v>
      </c>
      <c r="DY65">
        <v>89.8650230769231</v>
      </c>
      <c r="DZ65">
        <v>0.00769479230769231</v>
      </c>
      <c r="EA65">
        <v>18.3880384615385</v>
      </c>
      <c r="EB65">
        <v>17.9923461538462</v>
      </c>
      <c r="EC65">
        <v>999.9</v>
      </c>
      <c r="ED65">
        <v>0</v>
      </c>
      <c r="EE65">
        <v>0</v>
      </c>
      <c r="EF65">
        <v>10004.8669230769</v>
      </c>
      <c r="EG65">
        <v>0</v>
      </c>
      <c r="EH65">
        <v>1270.12230769231</v>
      </c>
      <c r="EI65">
        <v>-39.8695692307692</v>
      </c>
      <c r="EJ65">
        <v>743.538615384615</v>
      </c>
      <c r="EK65">
        <v>781.646076923077</v>
      </c>
      <c r="EL65">
        <v>2.83031076923077</v>
      </c>
      <c r="EM65">
        <v>774.622230769231</v>
      </c>
      <c r="EN65">
        <v>8.98608076923077</v>
      </c>
      <c r="EO65">
        <v>1.06188</v>
      </c>
      <c r="EP65">
        <v>0.807534461538461</v>
      </c>
      <c r="EQ65">
        <v>7.79426615384615</v>
      </c>
      <c r="ER65">
        <v>3.84043307692308</v>
      </c>
      <c r="ES65">
        <v>1199.93538461538</v>
      </c>
      <c r="ET65">
        <v>0.966992692307692</v>
      </c>
      <c r="EU65">
        <v>0.0330072153846154</v>
      </c>
      <c r="EV65">
        <v>0</v>
      </c>
      <c r="EW65">
        <v>1336.72615384615</v>
      </c>
      <c r="EX65">
        <v>5.00059</v>
      </c>
      <c r="EY65">
        <v>15709.3307692308</v>
      </c>
      <c r="EZ65">
        <v>10358.1307692308</v>
      </c>
      <c r="FA65">
        <v>37.1776923076923</v>
      </c>
      <c r="FB65">
        <v>39.7353846153846</v>
      </c>
      <c r="FC65">
        <v>37.8123076923077</v>
      </c>
      <c r="FD65">
        <v>39.0911538461539</v>
      </c>
      <c r="FE65">
        <v>38.2833846153846</v>
      </c>
      <c r="FF65">
        <v>1155.49538461538</v>
      </c>
      <c r="FG65">
        <v>39.44</v>
      </c>
      <c r="FH65">
        <v>0</v>
      </c>
      <c r="FI65">
        <v>1760989491.1</v>
      </c>
      <c r="FJ65">
        <v>0</v>
      </c>
      <c r="FK65">
        <v>1336.76038461538</v>
      </c>
      <c r="FL65">
        <v>1.02803419461406</v>
      </c>
      <c r="FM65">
        <v>54.5367521647011</v>
      </c>
      <c r="FN65">
        <v>15710.3230769231</v>
      </c>
      <c r="FO65">
        <v>15</v>
      </c>
      <c r="FP65">
        <v>0</v>
      </c>
      <c r="FQ65" t="s">
        <v>439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-39.544065</v>
      </c>
      <c r="GD65">
        <v>-6.38172180451129</v>
      </c>
      <c r="GE65">
        <v>0.910296861070607</v>
      </c>
      <c r="GF65">
        <v>0</v>
      </c>
      <c r="GG65">
        <v>1336.69176470588</v>
      </c>
      <c r="GH65">
        <v>1.4001527919987</v>
      </c>
      <c r="GI65">
        <v>0.25116751602721</v>
      </c>
      <c r="GJ65">
        <v>-1</v>
      </c>
      <c r="GK65">
        <v>2.8284685</v>
      </c>
      <c r="GL65">
        <v>0.0471541353383482</v>
      </c>
      <c r="GM65">
        <v>0.00508561626059226</v>
      </c>
      <c r="GN65">
        <v>1</v>
      </c>
      <c r="GO65">
        <v>1</v>
      </c>
      <c r="GP65">
        <v>2</v>
      </c>
      <c r="GQ65" t="s">
        <v>446</v>
      </c>
      <c r="GR65">
        <v>3.13059</v>
      </c>
      <c r="GS65">
        <v>2.68563</v>
      </c>
      <c r="GT65">
        <v>0.137735</v>
      </c>
      <c r="GU65">
        <v>0.143071</v>
      </c>
      <c r="GV65">
        <v>0.0616835</v>
      </c>
      <c r="GW65">
        <v>0.0497239</v>
      </c>
      <c r="GX65">
        <v>32680.6</v>
      </c>
      <c r="GY65">
        <v>34899.2</v>
      </c>
      <c r="GZ65">
        <v>34267.2</v>
      </c>
      <c r="HA65">
        <v>36849.7</v>
      </c>
      <c r="HB65">
        <v>45358.4</v>
      </c>
      <c r="HC65">
        <v>50218.5</v>
      </c>
      <c r="HD65">
        <v>53341.3</v>
      </c>
      <c r="HE65">
        <v>58776.5</v>
      </c>
      <c r="HF65">
        <v>2.00865</v>
      </c>
      <c r="HG65">
        <v>1.83753</v>
      </c>
      <c r="HH65">
        <v>0.0327453</v>
      </c>
      <c r="HI65">
        <v>0</v>
      </c>
      <c r="HJ65">
        <v>17.4466</v>
      </c>
      <c r="HK65">
        <v>999.9</v>
      </c>
      <c r="HL65">
        <v>26.035</v>
      </c>
      <c r="HM65">
        <v>30.283</v>
      </c>
      <c r="HN65">
        <v>12.5443</v>
      </c>
      <c r="HO65">
        <v>54.0391</v>
      </c>
      <c r="HP65">
        <v>44.3189</v>
      </c>
      <c r="HQ65">
        <v>1</v>
      </c>
      <c r="HR65">
        <v>-0.270107</v>
      </c>
      <c r="HS65">
        <v>3.73433</v>
      </c>
      <c r="HT65">
        <v>20.0987</v>
      </c>
      <c r="HU65">
        <v>5.20052</v>
      </c>
      <c r="HV65">
        <v>12.004</v>
      </c>
      <c r="HW65">
        <v>4.97545</v>
      </c>
      <c r="HX65">
        <v>3.29293</v>
      </c>
      <c r="HY65">
        <v>9999</v>
      </c>
      <c r="HZ65">
        <v>999.9</v>
      </c>
      <c r="IA65">
        <v>9999</v>
      </c>
      <c r="IB65">
        <v>9999</v>
      </c>
      <c r="IC65">
        <v>1.86324</v>
      </c>
      <c r="ID65">
        <v>1.86807</v>
      </c>
      <c r="IE65">
        <v>1.86783</v>
      </c>
      <c r="IF65">
        <v>1.86905</v>
      </c>
      <c r="IG65">
        <v>1.86981</v>
      </c>
      <c r="IH65">
        <v>1.86584</v>
      </c>
      <c r="II65">
        <v>1.86697</v>
      </c>
      <c r="IJ65">
        <v>1.86843</v>
      </c>
      <c r="IK65">
        <v>5</v>
      </c>
      <c r="IL65">
        <v>0</v>
      </c>
      <c r="IM65">
        <v>0</v>
      </c>
      <c r="IN65">
        <v>0</v>
      </c>
      <c r="IO65" t="s">
        <v>441</v>
      </c>
      <c r="IP65" t="s">
        <v>442</v>
      </c>
      <c r="IQ65" t="s">
        <v>443</v>
      </c>
      <c r="IR65" t="s">
        <v>443</v>
      </c>
      <c r="IS65" t="s">
        <v>443</v>
      </c>
      <c r="IT65" t="s">
        <v>443</v>
      </c>
      <c r="IU65">
        <v>0</v>
      </c>
      <c r="IV65">
        <v>100</v>
      </c>
      <c r="IW65">
        <v>100</v>
      </c>
      <c r="IX65">
        <v>4.126</v>
      </c>
      <c r="IY65">
        <v>-0.1113</v>
      </c>
      <c r="IZ65">
        <v>1.12474291219083</v>
      </c>
      <c r="JA65">
        <v>0.00463155566490582</v>
      </c>
      <c r="JB65">
        <v>-1.1358998729424e-06</v>
      </c>
      <c r="JC65">
        <v>3.28704272115545e-10</v>
      </c>
      <c r="JD65">
        <v>-0.0704455108513773</v>
      </c>
      <c r="JE65">
        <v>-0.0251928478371425</v>
      </c>
      <c r="JF65">
        <v>0.00225751704194564</v>
      </c>
      <c r="JG65">
        <v>-3.61734043746866e-05</v>
      </c>
      <c r="JH65">
        <v>1</v>
      </c>
      <c r="JI65">
        <v>2182</v>
      </c>
      <c r="JJ65">
        <v>0</v>
      </c>
      <c r="JK65">
        <v>24</v>
      </c>
      <c r="JL65">
        <v>29349825.4</v>
      </c>
      <c r="JM65">
        <v>29349825.4</v>
      </c>
      <c r="JN65">
        <v>1.7041</v>
      </c>
      <c r="JO65">
        <v>2.61597</v>
      </c>
      <c r="JP65">
        <v>1.54785</v>
      </c>
      <c r="JQ65">
        <v>2.31445</v>
      </c>
      <c r="JR65">
        <v>1.64673</v>
      </c>
      <c r="JS65">
        <v>2.34497</v>
      </c>
      <c r="JT65">
        <v>33.558</v>
      </c>
      <c r="JU65">
        <v>24.1926</v>
      </c>
      <c r="JV65">
        <v>18</v>
      </c>
      <c r="JW65">
        <v>500.606</v>
      </c>
      <c r="JX65">
        <v>394.36</v>
      </c>
      <c r="JY65">
        <v>12.5969</v>
      </c>
      <c r="JZ65">
        <v>23.9064</v>
      </c>
      <c r="KA65">
        <v>30.0002</v>
      </c>
      <c r="KB65">
        <v>23.923</v>
      </c>
      <c r="KC65">
        <v>23.8932</v>
      </c>
      <c r="KD65">
        <v>34.2595</v>
      </c>
      <c r="KE65">
        <v>9.91517</v>
      </c>
      <c r="KF65">
        <v>23.7343</v>
      </c>
      <c r="KG65">
        <v>12.5996</v>
      </c>
      <c r="KH65">
        <v>825.365</v>
      </c>
      <c r="KI65">
        <v>8.93872</v>
      </c>
      <c r="KJ65">
        <v>97.0453</v>
      </c>
      <c r="KK65">
        <v>95.304</v>
      </c>
    </row>
    <row r="66" spans="1:297">
      <c r="A66">
        <v>50</v>
      </c>
      <c r="B66">
        <v>1760989527.1</v>
      </c>
      <c r="C66">
        <v>337</v>
      </c>
      <c r="D66" t="s">
        <v>542</v>
      </c>
      <c r="E66" t="s">
        <v>543</v>
      </c>
      <c r="F66">
        <v>5</v>
      </c>
      <c r="G66" t="s">
        <v>435</v>
      </c>
      <c r="H66" t="s">
        <v>436</v>
      </c>
      <c r="I66">
        <v>1760989518.94615</v>
      </c>
      <c r="J66">
        <f>(K66)/1000</f>
        <v>0</v>
      </c>
      <c r="K66">
        <f>IF(DP66, AN66, AH66)</f>
        <v>0</v>
      </c>
      <c r="L66">
        <f>IF(DP66, AI66, AG66)</f>
        <v>0</v>
      </c>
      <c r="M66">
        <f>DR66 - IF(AU66&gt;1, L66*DL66*100.0/(AW66), 0)</f>
        <v>0</v>
      </c>
      <c r="N66">
        <f>((T66-J66/2)*M66-L66)/(T66+J66/2)</f>
        <v>0</v>
      </c>
      <c r="O66">
        <f>N66*(DY66+DZ66)/1000.0</f>
        <v>0</v>
      </c>
      <c r="P66">
        <f>(DR66 - IF(AU66&gt;1, L66*DL66*100.0/(AW66), 0))*(DY66+DZ66)/1000.0</f>
        <v>0</v>
      </c>
      <c r="Q66">
        <f>2.0/((1/S66-1/R66)+SIGN(S66)*SQRT((1/S66-1/R66)*(1/S66-1/R66) + 4*DM66/((DM66+1)*(DM66+1))*(2*1/S66*1/R66-1/R66*1/R66)))</f>
        <v>0</v>
      </c>
      <c r="R66">
        <f>IF(LEFT(DN66,1)&lt;&gt;"0",IF(LEFT(DN66,1)="1",3.0,DO66),$D$5+$E$5*(EF66*DY66/($K$5*1000))+$F$5*(EF66*DY66/($K$5*1000))*MAX(MIN(DL66,$J$5),$I$5)*MAX(MIN(DL66,$J$5),$I$5)+$G$5*MAX(MIN(DL66,$J$5),$I$5)*(EF66*DY66/($K$5*1000))+$H$5*(EF66*DY66/($K$5*1000))*(EF66*DY66/($K$5*1000)))</f>
        <v>0</v>
      </c>
      <c r="S66">
        <f>J66*(1000-(1000*0.61365*exp(17.502*W66/(240.97+W66))/(DY66+DZ66)+DT66)/2)/(1000*0.61365*exp(17.502*W66/(240.97+W66))/(DY66+DZ66)-DT66)</f>
        <v>0</v>
      </c>
      <c r="T66">
        <f>1/((DM66+1)/(Q66/1.6)+1/(R66/1.37)) + DM66/((DM66+1)/(Q66/1.6) + DM66/(R66/1.37))</f>
        <v>0</v>
      </c>
      <c r="U66">
        <f>(DH66*DK66)</f>
        <v>0</v>
      </c>
      <c r="V66">
        <f>(EA66+(U66+2*0.95*5.67E-8*(((EA66+$B$7)+273)^4-(EA66+273)^4)-44100*J66)/(1.84*29.3*R66+8*0.95*5.67E-8*(EA66+273)^3))</f>
        <v>0</v>
      </c>
      <c r="W66">
        <f>($C$7*EB66+$D$7*EC66+$E$7*V66)</f>
        <v>0</v>
      </c>
      <c r="X66">
        <f>0.61365*exp(17.502*W66/(240.97+W66))</f>
        <v>0</v>
      </c>
      <c r="Y66">
        <f>(Z66/AA66*100)</f>
        <v>0</v>
      </c>
      <c r="Z66">
        <f>DT66*(DY66+DZ66)/1000</f>
        <v>0</v>
      </c>
      <c r="AA66">
        <f>0.61365*exp(17.502*EA66/(240.97+EA66))</f>
        <v>0</v>
      </c>
      <c r="AB66">
        <f>(X66-DT66*(DY66+DZ66)/1000)</f>
        <v>0</v>
      </c>
      <c r="AC66">
        <f>(-J66*44100)</f>
        <v>0</v>
      </c>
      <c r="AD66">
        <f>2*29.3*R66*0.92*(EA66-W66)</f>
        <v>0</v>
      </c>
      <c r="AE66">
        <f>2*0.95*5.67E-8*(((EA66+$B$7)+273)^4-(W66+273)^4)</f>
        <v>0</v>
      </c>
      <c r="AF66">
        <f>U66+AE66+AC66+AD66</f>
        <v>0</v>
      </c>
      <c r="AG66">
        <f>DX66*AU66*(DS66-DR66*(1000-AU66*DU66)/(1000-AU66*DT66))/(100*DL66)</f>
        <v>0</v>
      </c>
      <c r="AH66">
        <f>1000*DX66*AU66*(DT66-DU66)/(100*DL66*(1000-AU66*DT66))</f>
        <v>0</v>
      </c>
      <c r="AI66">
        <f>(AJ66 - AK66 - DY66*1E3/(8.314*(EA66+273.15)) * AM66/DX66 * AL66) * DX66/(100*DL66) * (1000 - DU66)/1000</f>
        <v>0</v>
      </c>
      <c r="AJ66">
        <v>814.332740513172</v>
      </c>
      <c r="AK66">
        <v>784.397381818182</v>
      </c>
      <c r="AL66">
        <v>3.31800830559102</v>
      </c>
      <c r="AM66">
        <v>64.8413469339502</v>
      </c>
      <c r="AN66">
        <f>(AP66 - AO66 + DY66*1E3/(8.314*(EA66+273.15)) * AR66/DX66 * AQ66) * DX66/(100*DL66) * 1000/(1000 - AP66)</f>
        <v>0</v>
      </c>
      <c r="AO66">
        <v>8.97721264222614</v>
      </c>
      <c r="AP66">
        <v>11.80376</v>
      </c>
      <c r="AQ66">
        <v>-2.71001783909709e-06</v>
      </c>
      <c r="AR66">
        <v>118.472689631034</v>
      </c>
      <c r="AS66">
        <v>0</v>
      </c>
      <c r="AT66">
        <v>0</v>
      </c>
      <c r="AU66">
        <f>IF(AS66*$H$13&gt;=AW66,1.0,(AW66/(AW66-AS66*$H$13)))</f>
        <v>0</v>
      </c>
      <c r="AV66">
        <f>(AU66-1)*100</f>
        <v>0</v>
      </c>
      <c r="AW66">
        <f>MAX(0,($B$13+$C$13*EF66)/(1+$D$13*EF66)*DY66/(EA66+273)*$E$13)</f>
        <v>0</v>
      </c>
      <c r="AX66" t="s">
        <v>437</v>
      </c>
      <c r="AY66" t="s">
        <v>437</v>
      </c>
      <c r="AZ66">
        <v>0</v>
      </c>
      <c r="BA66">
        <v>0</v>
      </c>
      <c r="BB66">
        <f>1-AZ66/BA66</f>
        <v>0</v>
      </c>
      <c r="BC66">
        <v>0</v>
      </c>
      <c r="BD66" t="s">
        <v>437</v>
      </c>
      <c r="BE66" t="s">
        <v>437</v>
      </c>
      <c r="BF66">
        <v>0</v>
      </c>
      <c r="BG66">
        <v>0</v>
      </c>
      <c r="BH66">
        <f>1-BF66/BG66</f>
        <v>0</v>
      </c>
      <c r="BI66">
        <v>0.5</v>
      </c>
      <c r="BJ66">
        <f>DI66</f>
        <v>0</v>
      </c>
      <c r="BK66">
        <f>L66</f>
        <v>0</v>
      </c>
      <c r="BL66">
        <f>BH66*BI66*BJ66</f>
        <v>0</v>
      </c>
      <c r="BM66">
        <f>(BK66-BC66)/BJ66</f>
        <v>0</v>
      </c>
      <c r="BN66">
        <f>(BA66-BG66)/BG66</f>
        <v>0</v>
      </c>
      <c r="BO66">
        <f>AZ66/(BB66+AZ66/BG66)</f>
        <v>0</v>
      </c>
      <c r="BP66" t="s">
        <v>437</v>
      </c>
      <c r="BQ66">
        <v>0</v>
      </c>
      <c r="BR66">
        <f>IF(BQ66&lt;&gt;0, BQ66, BO66)</f>
        <v>0</v>
      </c>
      <c r="BS66">
        <f>1-BR66/BG66</f>
        <v>0</v>
      </c>
      <c r="BT66">
        <f>(BG66-BF66)/(BG66-BR66)</f>
        <v>0</v>
      </c>
      <c r="BU66">
        <f>(BA66-BG66)/(BA66-BR66)</f>
        <v>0</v>
      </c>
      <c r="BV66">
        <f>(BG66-BF66)/(BG66-AZ66)</f>
        <v>0</v>
      </c>
      <c r="BW66">
        <f>(BA66-BG66)/(BA66-AZ66)</f>
        <v>0</v>
      </c>
      <c r="BX66">
        <f>(BT66*BR66/BF66)</f>
        <v>0</v>
      </c>
      <c r="BY66">
        <f>(1-BX66)</f>
        <v>0</v>
      </c>
      <c r="DH66">
        <f>$B$11*EG66+$C$11*EH66+$F$11*ES66*(1-EV66)</f>
        <v>0</v>
      </c>
      <c r="DI66">
        <f>DH66*DJ66</f>
        <v>0</v>
      </c>
      <c r="DJ66">
        <f>($B$11*$D$9+$C$11*$D$9+$F$11*((FF66+EX66)/MAX(FF66+EX66+FG66, 0.1)*$I$9+FG66/MAX(FF66+EX66+FG66, 0.1)*$J$9))/($B$11+$C$11+$F$11)</f>
        <v>0</v>
      </c>
      <c r="DK66">
        <f>($B$11*$K$9+$C$11*$K$9+$F$11*((FF66+EX66)/MAX(FF66+EX66+FG66, 0.1)*$P$9+FG66/MAX(FF66+EX66+FG66, 0.1)*$Q$9))/($B$11+$C$11+$F$11)</f>
        <v>0</v>
      </c>
      <c r="DL66">
        <v>6</v>
      </c>
      <c r="DM66">
        <v>0.5</v>
      </c>
      <c r="DN66" t="s">
        <v>438</v>
      </c>
      <c r="DO66">
        <v>2</v>
      </c>
      <c r="DP66" t="b">
        <v>1</v>
      </c>
      <c r="DQ66">
        <v>1760989518.94615</v>
      </c>
      <c r="DR66">
        <v>751.366923076923</v>
      </c>
      <c r="DS66">
        <v>791.225076923077</v>
      </c>
      <c r="DT66">
        <v>11.8110230769231</v>
      </c>
      <c r="DU66">
        <v>8.98004230769231</v>
      </c>
      <c r="DV66">
        <v>747.278230769231</v>
      </c>
      <c r="DW66">
        <v>11.9222461538462</v>
      </c>
      <c r="DX66">
        <v>500.002153846154</v>
      </c>
      <c r="DY66">
        <v>89.866</v>
      </c>
      <c r="DZ66">
        <v>0.00762183076923077</v>
      </c>
      <c r="EA66">
        <v>18.3926461538462</v>
      </c>
      <c r="EB66">
        <v>17.9946769230769</v>
      </c>
      <c r="EC66">
        <v>999.9</v>
      </c>
      <c r="ED66">
        <v>0</v>
      </c>
      <c r="EE66">
        <v>0</v>
      </c>
      <c r="EF66">
        <v>10010.5884615385</v>
      </c>
      <c r="EG66">
        <v>0</v>
      </c>
      <c r="EH66">
        <v>1270.11692307692</v>
      </c>
      <c r="EI66">
        <v>-39.8582538461538</v>
      </c>
      <c r="EJ66">
        <v>760.347384615384</v>
      </c>
      <c r="EK66">
        <v>798.394769230769</v>
      </c>
      <c r="EL66">
        <v>2.83098230769231</v>
      </c>
      <c r="EM66">
        <v>791.225076923077</v>
      </c>
      <c r="EN66">
        <v>8.98004230769231</v>
      </c>
      <c r="EO66">
        <v>1.06140923076923</v>
      </c>
      <c r="EP66">
        <v>0.807000692307692</v>
      </c>
      <c r="EQ66">
        <v>7.78776230769231</v>
      </c>
      <c r="ER66">
        <v>3.83104153846154</v>
      </c>
      <c r="ES66">
        <v>1199.94846153846</v>
      </c>
      <c r="ET66">
        <v>0.966993923076923</v>
      </c>
      <c r="EU66">
        <v>0.0330058769230769</v>
      </c>
      <c r="EV66">
        <v>0</v>
      </c>
      <c r="EW66">
        <v>1336.82461538462</v>
      </c>
      <c r="EX66">
        <v>5.00059</v>
      </c>
      <c r="EY66">
        <v>15714.3</v>
      </c>
      <c r="EZ66">
        <v>10358.2615384615</v>
      </c>
      <c r="FA66">
        <v>37.2449230769231</v>
      </c>
      <c r="FB66">
        <v>39.8410769230769</v>
      </c>
      <c r="FC66">
        <v>37.8746923076923</v>
      </c>
      <c r="FD66">
        <v>39.2257692307692</v>
      </c>
      <c r="FE66">
        <v>38.3554615384615</v>
      </c>
      <c r="FF66">
        <v>1155.50846153846</v>
      </c>
      <c r="FG66">
        <v>39.44</v>
      </c>
      <c r="FH66">
        <v>0</v>
      </c>
      <c r="FI66">
        <v>1760989496.5</v>
      </c>
      <c r="FJ66">
        <v>0</v>
      </c>
      <c r="FK66">
        <v>1336.9044</v>
      </c>
      <c r="FL66">
        <v>2.06384616330143</v>
      </c>
      <c r="FM66">
        <v>61.0999999556012</v>
      </c>
      <c r="FN66">
        <v>15715.724</v>
      </c>
      <c r="FO66">
        <v>15</v>
      </c>
      <c r="FP66">
        <v>0</v>
      </c>
      <c r="FQ66" t="s">
        <v>439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-39.8762</v>
      </c>
      <c r="GD66">
        <v>-1.81373766233769</v>
      </c>
      <c r="GE66">
        <v>0.65957517063204</v>
      </c>
      <c r="GF66">
        <v>0</v>
      </c>
      <c r="GG66">
        <v>1336.81911764706</v>
      </c>
      <c r="GH66">
        <v>1.27440794882487</v>
      </c>
      <c r="GI66">
        <v>0.236224813746917</v>
      </c>
      <c r="GJ66">
        <v>-1</v>
      </c>
      <c r="GK66">
        <v>2.82955571428571</v>
      </c>
      <c r="GL66">
        <v>0.0132716883116897</v>
      </c>
      <c r="GM66">
        <v>0.00394710812938209</v>
      </c>
      <c r="GN66">
        <v>1</v>
      </c>
      <c r="GO66">
        <v>1</v>
      </c>
      <c r="GP66">
        <v>2</v>
      </c>
      <c r="GQ66" t="s">
        <v>446</v>
      </c>
      <c r="GR66">
        <v>3.13061</v>
      </c>
      <c r="GS66">
        <v>2.68579</v>
      </c>
      <c r="GT66">
        <v>0.139757</v>
      </c>
      <c r="GU66">
        <v>0.145178</v>
      </c>
      <c r="GV66">
        <v>0.0616719</v>
      </c>
      <c r="GW66">
        <v>0.0497204</v>
      </c>
      <c r="GX66">
        <v>32604</v>
      </c>
      <c r="GY66">
        <v>34813.3</v>
      </c>
      <c r="GZ66">
        <v>34267.2</v>
      </c>
      <c r="HA66">
        <v>36849.5</v>
      </c>
      <c r="HB66">
        <v>45359.1</v>
      </c>
      <c r="HC66">
        <v>50218.7</v>
      </c>
      <c r="HD66">
        <v>53341.2</v>
      </c>
      <c r="HE66">
        <v>58776.2</v>
      </c>
      <c r="HF66">
        <v>2.00892</v>
      </c>
      <c r="HG66">
        <v>1.8375</v>
      </c>
      <c r="HH66">
        <v>0.0331029</v>
      </c>
      <c r="HI66">
        <v>0</v>
      </c>
      <c r="HJ66">
        <v>17.4467</v>
      </c>
      <c r="HK66">
        <v>999.9</v>
      </c>
      <c r="HL66">
        <v>26.035</v>
      </c>
      <c r="HM66">
        <v>30.283</v>
      </c>
      <c r="HN66">
        <v>12.5448</v>
      </c>
      <c r="HO66">
        <v>53.7491</v>
      </c>
      <c r="HP66">
        <v>44.363</v>
      </c>
      <c r="HQ66">
        <v>1</v>
      </c>
      <c r="HR66">
        <v>-0.270097</v>
      </c>
      <c r="HS66">
        <v>3.73344</v>
      </c>
      <c r="HT66">
        <v>20.0988</v>
      </c>
      <c r="HU66">
        <v>5.20157</v>
      </c>
      <c r="HV66">
        <v>12.004</v>
      </c>
      <c r="HW66">
        <v>4.9756</v>
      </c>
      <c r="HX66">
        <v>3.2929</v>
      </c>
      <c r="HY66">
        <v>9999</v>
      </c>
      <c r="HZ66">
        <v>999.9</v>
      </c>
      <c r="IA66">
        <v>9999</v>
      </c>
      <c r="IB66">
        <v>9999</v>
      </c>
      <c r="IC66">
        <v>1.86325</v>
      </c>
      <c r="ID66">
        <v>1.86807</v>
      </c>
      <c r="IE66">
        <v>1.86783</v>
      </c>
      <c r="IF66">
        <v>1.86905</v>
      </c>
      <c r="IG66">
        <v>1.86981</v>
      </c>
      <c r="IH66">
        <v>1.86584</v>
      </c>
      <c r="II66">
        <v>1.86692</v>
      </c>
      <c r="IJ66">
        <v>1.86841</v>
      </c>
      <c r="IK66">
        <v>5</v>
      </c>
      <c r="IL66">
        <v>0</v>
      </c>
      <c r="IM66">
        <v>0</v>
      </c>
      <c r="IN66">
        <v>0</v>
      </c>
      <c r="IO66" t="s">
        <v>441</v>
      </c>
      <c r="IP66" t="s">
        <v>442</v>
      </c>
      <c r="IQ66" t="s">
        <v>443</v>
      </c>
      <c r="IR66" t="s">
        <v>443</v>
      </c>
      <c r="IS66" t="s">
        <v>443</v>
      </c>
      <c r="IT66" t="s">
        <v>443</v>
      </c>
      <c r="IU66">
        <v>0</v>
      </c>
      <c r="IV66">
        <v>100</v>
      </c>
      <c r="IW66">
        <v>100</v>
      </c>
      <c r="IX66">
        <v>4.183</v>
      </c>
      <c r="IY66">
        <v>-0.1113</v>
      </c>
      <c r="IZ66">
        <v>1.12474291219083</v>
      </c>
      <c r="JA66">
        <v>0.00463155566490582</v>
      </c>
      <c r="JB66">
        <v>-1.1358998729424e-06</v>
      </c>
      <c r="JC66">
        <v>3.28704272115545e-10</v>
      </c>
      <c r="JD66">
        <v>-0.0704455108513773</v>
      </c>
      <c r="JE66">
        <v>-0.0251928478371425</v>
      </c>
      <c r="JF66">
        <v>0.00225751704194564</v>
      </c>
      <c r="JG66">
        <v>-3.61734043746866e-05</v>
      </c>
      <c r="JH66">
        <v>1</v>
      </c>
      <c r="JI66">
        <v>2182</v>
      </c>
      <c r="JJ66">
        <v>0</v>
      </c>
      <c r="JK66">
        <v>24</v>
      </c>
      <c r="JL66">
        <v>29349825.5</v>
      </c>
      <c r="JM66">
        <v>29349825.5</v>
      </c>
      <c r="JN66">
        <v>1.73584</v>
      </c>
      <c r="JO66">
        <v>2.61353</v>
      </c>
      <c r="JP66">
        <v>1.54785</v>
      </c>
      <c r="JQ66">
        <v>2.31445</v>
      </c>
      <c r="JR66">
        <v>1.64673</v>
      </c>
      <c r="JS66">
        <v>2.37793</v>
      </c>
      <c r="JT66">
        <v>33.558</v>
      </c>
      <c r="JU66">
        <v>24.1926</v>
      </c>
      <c r="JV66">
        <v>18</v>
      </c>
      <c r="JW66">
        <v>500.782</v>
      </c>
      <c r="JX66">
        <v>394.347</v>
      </c>
      <c r="JY66">
        <v>12.6003</v>
      </c>
      <c r="JZ66">
        <v>23.9049</v>
      </c>
      <c r="KA66">
        <v>30</v>
      </c>
      <c r="KB66">
        <v>23.923</v>
      </c>
      <c r="KC66">
        <v>23.8932</v>
      </c>
      <c r="KD66">
        <v>34.8139</v>
      </c>
      <c r="KE66">
        <v>9.91517</v>
      </c>
      <c r="KF66">
        <v>23.7343</v>
      </c>
      <c r="KG66">
        <v>12.6016</v>
      </c>
      <c r="KH66">
        <v>838.834</v>
      </c>
      <c r="KI66">
        <v>8.93872</v>
      </c>
      <c r="KJ66">
        <v>97.045</v>
      </c>
      <c r="KK66">
        <v>95.3035</v>
      </c>
    </row>
    <row r="67" spans="1:297">
      <c r="A67">
        <v>51</v>
      </c>
      <c r="B67">
        <v>1760989532.1</v>
      </c>
      <c r="C67">
        <v>342</v>
      </c>
      <c r="D67" t="s">
        <v>544</v>
      </c>
      <c r="E67" t="s">
        <v>545</v>
      </c>
      <c r="F67">
        <v>5</v>
      </c>
      <c r="G67" t="s">
        <v>435</v>
      </c>
      <c r="H67" t="s">
        <v>436</v>
      </c>
      <c r="I67">
        <v>1760989523.94615</v>
      </c>
      <c r="J67">
        <f>(K67)/1000</f>
        <v>0</v>
      </c>
      <c r="K67">
        <f>IF(DP67, AN67, AH67)</f>
        <v>0</v>
      </c>
      <c r="L67">
        <f>IF(DP67, AI67, AG67)</f>
        <v>0</v>
      </c>
      <c r="M67">
        <f>DR67 - IF(AU67&gt;1, L67*DL67*100.0/(AW67), 0)</f>
        <v>0</v>
      </c>
      <c r="N67">
        <f>((T67-J67/2)*M67-L67)/(T67+J67/2)</f>
        <v>0</v>
      </c>
      <c r="O67">
        <f>N67*(DY67+DZ67)/1000.0</f>
        <v>0</v>
      </c>
      <c r="P67">
        <f>(DR67 - IF(AU67&gt;1, L67*DL67*100.0/(AW67), 0))*(DY67+DZ67)/1000.0</f>
        <v>0</v>
      </c>
      <c r="Q67">
        <f>2.0/((1/S67-1/R67)+SIGN(S67)*SQRT((1/S67-1/R67)*(1/S67-1/R67) + 4*DM67/((DM67+1)*(DM67+1))*(2*1/S67*1/R67-1/R67*1/R67)))</f>
        <v>0</v>
      </c>
      <c r="R67">
        <f>IF(LEFT(DN67,1)&lt;&gt;"0",IF(LEFT(DN67,1)="1",3.0,DO67),$D$5+$E$5*(EF67*DY67/($K$5*1000))+$F$5*(EF67*DY67/($K$5*1000))*MAX(MIN(DL67,$J$5),$I$5)*MAX(MIN(DL67,$J$5),$I$5)+$G$5*MAX(MIN(DL67,$J$5),$I$5)*(EF67*DY67/($K$5*1000))+$H$5*(EF67*DY67/($K$5*1000))*(EF67*DY67/($K$5*1000)))</f>
        <v>0</v>
      </c>
      <c r="S67">
        <f>J67*(1000-(1000*0.61365*exp(17.502*W67/(240.97+W67))/(DY67+DZ67)+DT67)/2)/(1000*0.61365*exp(17.502*W67/(240.97+W67))/(DY67+DZ67)-DT67)</f>
        <v>0</v>
      </c>
      <c r="T67">
        <f>1/((DM67+1)/(Q67/1.6)+1/(R67/1.37)) + DM67/((DM67+1)/(Q67/1.6) + DM67/(R67/1.37))</f>
        <v>0</v>
      </c>
      <c r="U67">
        <f>(DH67*DK67)</f>
        <v>0</v>
      </c>
      <c r="V67">
        <f>(EA67+(U67+2*0.95*5.67E-8*(((EA67+$B$7)+273)^4-(EA67+273)^4)-44100*J67)/(1.84*29.3*R67+8*0.95*5.67E-8*(EA67+273)^3))</f>
        <v>0</v>
      </c>
      <c r="W67">
        <f>($C$7*EB67+$D$7*EC67+$E$7*V67)</f>
        <v>0</v>
      </c>
      <c r="X67">
        <f>0.61365*exp(17.502*W67/(240.97+W67))</f>
        <v>0</v>
      </c>
      <c r="Y67">
        <f>(Z67/AA67*100)</f>
        <v>0</v>
      </c>
      <c r="Z67">
        <f>DT67*(DY67+DZ67)/1000</f>
        <v>0</v>
      </c>
      <c r="AA67">
        <f>0.61365*exp(17.502*EA67/(240.97+EA67))</f>
        <v>0</v>
      </c>
      <c r="AB67">
        <f>(X67-DT67*(DY67+DZ67)/1000)</f>
        <v>0</v>
      </c>
      <c r="AC67">
        <f>(-J67*44100)</f>
        <v>0</v>
      </c>
      <c r="AD67">
        <f>2*29.3*R67*0.92*(EA67-W67)</f>
        <v>0</v>
      </c>
      <c r="AE67">
        <f>2*0.95*5.67E-8*(((EA67+$B$7)+273)^4-(W67+273)^4)</f>
        <v>0</v>
      </c>
      <c r="AF67">
        <f>U67+AE67+AC67+AD67</f>
        <v>0</v>
      </c>
      <c r="AG67">
        <f>DX67*AU67*(DS67-DR67*(1000-AU67*DU67)/(1000-AU67*DT67))/(100*DL67)</f>
        <v>0</v>
      </c>
      <c r="AH67">
        <f>1000*DX67*AU67*(DT67-DU67)/(100*DL67*(1000-AU67*DT67))</f>
        <v>0</v>
      </c>
      <c r="AI67">
        <f>(AJ67 - AK67 - DY67*1E3/(8.314*(EA67+273.15)) * AM67/DX67 * AL67) * DX67/(100*DL67) * (1000 - DU67)/1000</f>
        <v>0</v>
      </c>
      <c r="AJ67">
        <v>832.306646083174</v>
      </c>
      <c r="AK67">
        <v>801.871521212121</v>
      </c>
      <c r="AL67">
        <v>3.4960938251189</v>
      </c>
      <c r="AM67">
        <v>64.8413469339502</v>
      </c>
      <c r="AN67">
        <f>(AP67 - AO67 + DY67*1E3/(8.314*(EA67+273.15)) * AR67/DX67 * AQ67) * DX67/(100*DL67) * 1000/(1000 - AP67)</f>
        <v>0</v>
      </c>
      <c r="AO67">
        <v>8.97840079183407</v>
      </c>
      <c r="AP67">
        <v>11.8032715151515</v>
      </c>
      <c r="AQ67">
        <v>-7.86739277260421e-07</v>
      </c>
      <c r="AR67">
        <v>118.472689631034</v>
      </c>
      <c r="AS67">
        <v>0</v>
      </c>
      <c r="AT67">
        <v>0</v>
      </c>
      <c r="AU67">
        <f>IF(AS67*$H$13&gt;=AW67,1.0,(AW67/(AW67-AS67*$H$13)))</f>
        <v>0</v>
      </c>
      <c r="AV67">
        <f>(AU67-1)*100</f>
        <v>0</v>
      </c>
      <c r="AW67">
        <f>MAX(0,($B$13+$C$13*EF67)/(1+$D$13*EF67)*DY67/(EA67+273)*$E$13)</f>
        <v>0</v>
      </c>
      <c r="AX67" t="s">
        <v>437</v>
      </c>
      <c r="AY67" t="s">
        <v>437</v>
      </c>
      <c r="AZ67">
        <v>0</v>
      </c>
      <c r="BA67">
        <v>0</v>
      </c>
      <c r="BB67">
        <f>1-AZ67/BA67</f>
        <v>0</v>
      </c>
      <c r="BC67">
        <v>0</v>
      </c>
      <c r="BD67" t="s">
        <v>437</v>
      </c>
      <c r="BE67" t="s">
        <v>437</v>
      </c>
      <c r="BF67">
        <v>0</v>
      </c>
      <c r="BG67">
        <v>0</v>
      </c>
      <c r="BH67">
        <f>1-BF67/BG67</f>
        <v>0</v>
      </c>
      <c r="BI67">
        <v>0.5</v>
      </c>
      <c r="BJ67">
        <f>DI67</f>
        <v>0</v>
      </c>
      <c r="BK67">
        <f>L67</f>
        <v>0</v>
      </c>
      <c r="BL67">
        <f>BH67*BI67*BJ67</f>
        <v>0</v>
      </c>
      <c r="BM67">
        <f>(BK67-BC67)/BJ67</f>
        <v>0</v>
      </c>
      <c r="BN67">
        <f>(BA67-BG67)/BG67</f>
        <v>0</v>
      </c>
      <c r="BO67">
        <f>AZ67/(BB67+AZ67/BG67)</f>
        <v>0</v>
      </c>
      <c r="BP67" t="s">
        <v>437</v>
      </c>
      <c r="BQ67">
        <v>0</v>
      </c>
      <c r="BR67">
        <f>IF(BQ67&lt;&gt;0, BQ67, BO67)</f>
        <v>0</v>
      </c>
      <c r="BS67">
        <f>1-BR67/BG67</f>
        <v>0</v>
      </c>
      <c r="BT67">
        <f>(BG67-BF67)/(BG67-BR67)</f>
        <v>0</v>
      </c>
      <c r="BU67">
        <f>(BA67-BG67)/(BA67-BR67)</f>
        <v>0</v>
      </c>
      <c r="BV67">
        <f>(BG67-BF67)/(BG67-AZ67)</f>
        <v>0</v>
      </c>
      <c r="BW67">
        <f>(BA67-BG67)/(BA67-AZ67)</f>
        <v>0</v>
      </c>
      <c r="BX67">
        <f>(BT67*BR67/BF67)</f>
        <v>0</v>
      </c>
      <c r="BY67">
        <f>(1-BX67)</f>
        <v>0</v>
      </c>
      <c r="DH67">
        <f>$B$11*EG67+$C$11*EH67+$F$11*ES67*(1-EV67)</f>
        <v>0</v>
      </c>
      <c r="DI67">
        <f>DH67*DJ67</f>
        <v>0</v>
      </c>
      <c r="DJ67">
        <f>($B$11*$D$9+$C$11*$D$9+$F$11*((FF67+EX67)/MAX(FF67+EX67+FG67, 0.1)*$I$9+FG67/MAX(FF67+EX67+FG67, 0.1)*$J$9))/($B$11+$C$11+$F$11)</f>
        <v>0</v>
      </c>
      <c r="DK67">
        <f>($B$11*$K$9+$C$11*$K$9+$F$11*((FF67+EX67)/MAX(FF67+EX67+FG67, 0.1)*$P$9+FG67/MAX(FF67+EX67+FG67, 0.1)*$Q$9))/($B$11+$C$11+$F$11)</f>
        <v>0</v>
      </c>
      <c r="DL67">
        <v>6</v>
      </c>
      <c r="DM67">
        <v>0.5</v>
      </c>
      <c r="DN67" t="s">
        <v>438</v>
      </c>
      <c r="DO67">
        <v>2</v>
      </c>
      <c r="DP67" t="b">
        <v>1</v>
      </c>
      <c r="DQ67">
        <v>1760989523.94615</v>
      </c>
      <c r="DR67">
        <v>768.097307692308</v>
      </c>
      <c r="DS67">
        <v>808.511769230769</v>
      </c>
      <c r="DT67">
        <v>11.8068615384615</v>
      </c>
      <c r="DU67">
        <v>8.97769615384616</v>
      </c>
      <c r="DV67">
        <v>763.950461538461</v>
      </c>
      <c r="DW67">
        <v>11.9181307692308</v>
      </c>
      <c r="DX67">
        <v>500.008692307692</v>
      </c>
      <c r="DY67">
        <v>89.8666</v>
      </c>
      <c r="DZ67">
        <v>0.00766401615384615</v>
      </c>
      <c r="EA67">
        <v>18.3954769230769</v>
      </c>
      <c r="EB67">
        <v>17.9958153846154</v>
      </c>
      <c r="EC67">
        <v>999.9</v>
      </c>
      <c r="ED67">
        <v>0</v>
      </c>
      <c r="EE67">
        <v>0</v>
      </c>
      <c r="EF67">
        <v>10004.7115384615</v>
      </c>
      <c r="EG67">
        <v>0</v>
      </c>
      <c r="EH67">
        <v>1270.11230769231</v>
      </c>
      <c r="EI67">
        <v>-40.4146615384615</v>
      </c>
      <c r="EJ67">
        <v>777.274307692308</v>
      </c>
      <c r="EK67">
        <v>815.836153846154</v>
      </c>
      <c r="EL67">
        <v>2.82916307692308</v>
      </c>
      <c r="EM67">
        <v>808.511769230769</v>
      </c>
      <c r="EN67">
        <v>8.97769615384616</v>
      </c>
      <c r="EO67">
        <v>1.06104230769231</v>
      </c>
      <c r="EP67">
        <v>0.806795076923077</v>
      </c>
      <c r="EQ67">
        <v>7.78268615384615</v>
      </c>
      <c r="ER67">
        <v>3.82742384615385</v>
      </c>
      <c r="ES67">
        <v>1199.98615384615</v>
      </c>
      <c r="ET67">
        <v>0.966995769230769</v>
      </c>
      <c r="EU67">
        <v>0.0330039230769231</v>
      </c>
      <c r="EV67">
        <v>0</v>
      </c>
      <c r="EW67">
        <v>1337.03384615385</v>
      </c>
      <c r="EX67">
        <v>5.00059</v>
      </c>
      <c r="EY67">
        <v>15719.1846153846</v>
      </c>
      <c r="EZ67">
        <v>10358.6</v>
      </c>
      <c r="FA67">
        <v>37.3123076923077</v>
      </c>
      <c r="FB67">
        <v>39.942</v>
      </c>
      <c r="FC67">
        <v>37.9420769230769</v>
      </c>
      <c r="FD67">
        <v>39.3555384615385</v>
      </c>
      <c r="FE67">
        <v>38.4228461538462</v>
      </c>
      <c r="FF67">
        <v>1155.54615384615</v>
      </c>
      <c r="FG67">
        <v>39.44</v>
      </c>
      <c r="FH67">
        <v>0</v>
      </c>
      <c r="FI67">
        <v>1760989501.3</v>
      </c>
      <c r="FJ67">
        <v>0</v>
      </c>
      <c r="FK67">
        <v>1337.0472</v>
      </c>
      <c r="FL67">
        <v>1.08384616149717</v>
      </c>
      <c r="FM67">
        <v>53.4615385491502</v>
      </c>
      <c r="FN67">
        <v>15720.048</v>
      </c>
      <c r="FO67">
        <v>15</v>
      </c>
      <c r="FP67">
        <v>0</v>
      </c>
      <c r="FQ67" t="s">
        <v>439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-40.09344</v>
      </c>
      <c r="GD67">
        <v>-5.52572932330828</v>
      </c>
      <c r="GE67">
        <v>0.789003693527477</v>
      </c>
      <c r="GF67">
        <v>0</v>
      </c>
      <c r="GG67">
        <v>1336.93294117647</v>
      </c>
      <c r="GH67">
        <v>1.76745607756682</v>
      </c>
      <c r="GI67">
        <v>0.291401576681971</v>
      </c>
      <c r="GJ67">
        <v>-1</v>
      </c>
      <c r="GK67">
        <v>2.8298485</v>
      </c>
      <c r="GL67">
        <v>-0.0290467669172923</v>
      </c>
      <c r="GM67">
        <v>0.00354363129430814</v>
      </c>
      <c r="GN67">
        <v>1</v>
      </c>
      <c r="GO67">
        <v>1</v>
      </c>
      <c r="GP67">
        <v>2</v>
      </c>
      <c r="GQ67" t="s">
        <v>446</v>
      </c>
      <c r="GR67">
        <v>3.13045</v>
      </c>
      <c r="GS67">
        <v>2.68571</v>
      </c>
      <c r="GT67">
        <v>0.141828</v>
      </c>
      <c r="GU67">
        <v>0.147073</v>
      </c>
      <c r="GV67">
        <v>0.0616653</v>
      </c>
      <c r="GW67">
        <v>0.049731</v>
      </c>
      <c r="GX67">
        <v>32525.7</v>
      </c>
      <c r="GY67">
        <v>34736.4</v>
      </c>
      <c r="GZ67">
        <v>34267.3</v>
      </c>
      <c r="HA67">
        <v>36849.7</v>
      </c>
      <c r="HB67">
        <v>45359.7</v>
      </c>
      <c r="HC67">
        <v>50218.7</v>
      </c>
      <c r="HD67">
        <v>53341.2</v>
      </c>
      <c r="HE67">
        <v>58776.6</v>
      </c>
      <c r="HF67">
        <v>2.00877</v>
      </c>
      <c r="HG67">
        <v>1.83783</v>
      </c>
      <c r="HH67">
        <v>0.0328943</v>
      </c>
      <c r="HI67">
        <v>0</v>
      </c>
      <c r="HJ67">
        <v>17.4477</v>
      </c>
      <c r="HK67">
        <v>999.9</v>
      </c>
      <c r="HL67">
        <v>26.035</v>
      </c>
      <c r="HM67">
        <v>30.273</v>
      </c>
      <c r="HN67">
        <v>12.5372</v>
      </c>
      <c r="HO67">
        <v>54.2991</v>
      </c>
      <c r="HP67">
        <v>44.4752</v>
      </c>
      <c r="HQ67">
        <v>1</v>
      </c>
      <c r="HR67">
        <v>-0.270038</v>
      </c>
      <c r="HS67">
        <v>3.74072</v>
      </c>
      <c r="HT67">
        <v>20.0986</v>
      </c>
      <c r="HU67">
        <v>5.20112</v>
      </c>
      <c r="HV67">
        <v>12.004</v>
      </c>
      <c r="HW67">
        <v>4.9756</v>
      </c>
      <c r="HX67">
        <v>3.29293</v>
      </c>
      <c r="HY67">
        <v>9999</v>
      </c>
      <c r="HZ67">
        <v>999.9</v>
      </c>
      <c r="IA67">
        <v>9999</v>
      </c>
      <c r="IB67">
        <v>9999</v>
      </c>
      <c r="IC67">
        <v>1.86325</v>
      </c>
      <c r="ID67">
        <v>1.86807</v>
      </c>
      <c r="IE67">
        <v>1.86783</v>
      </c>
      <c r="IF67">
        <v>1.86905</v>
      </c>
      <c r="IG67">
        <v>1.86981</v>
      </c>
      <c r="IH67">
        <v>1.86584</v>
      </c>
      <c r="II67">
        <v>1.86694</v>
      </c>
      <c r="IJ67">
        <v>1.86843</v>
      </c>
      <c r="IK67">
        <v>5</v>
      </c>
      <c r="IL67">
        <v>0</v>
      </c>
      <c r="IM67">
        <v>0</v>
      </c>
      <c r="IN67">
        <v>0</v>
      </c>
      <c r="IO67" t="s">
        <v>441</v>
      </c>
      <c r="IP67" t="s">
        <v>442</v>
      </c>
      <c r="IQ67" t="s">
        <v>443</v>
      </c>
      <c r="IR67" t="s">
        <v>443</v>
      </c>
      <c r="IS67" t="s">
        <v>443</v>
      </c>
      <c r="IT67" t="s">
        <v>443</v>
      </c>
      <c r="IU67">
        <v>0</v>
      </c>
      <c r="IV67">
        <v>100</v>
      </c>
      <c r="IW67">
        <v>100</v>
      </c>
      <c r="IX67">
        <v>4.242</v>
      </c>
      <c r="IY67">
        <v>-0.1114</v>
      </c>
      <c r="IZ67">
        <v>1.12474291219083</v>
      </c>
      <c r="JA67">
        <v>0.00463155566490582</v>
      </c>
      <c r="JB67">
        <v>-1.1358998729424e-06</v>
      </c>
      <c r="JC67">
        <v>3.28704272115545e-10</v>
      </c>
      <c r="JD67">
        <v>-0.0704455108513773</v>
      </c>
      <c r="JE67">
        <v>-0.0251928478371425</v>
      </c>
      <c r="JF67">
        <v>0.00225751704194564</v>
      </c>
      <c r="JG67">
        <v>-3.61734043746866e-05</v>
      </c>
      <c r="JH67">
        <v>1</v>
      </c>
      <c r="JI67">
        <v>2182</v>
      </c>
      <c r="JJ67">
        <v>0</v>
      </c>
      <c r="JK67">
        <v>24</v>
      </c>
      <c r="JL67">
        <v>29349825.5</v>
      </c>
      <c r="JM67">
        <v>29349825.5</v>
      </c>
      <c r="JN67">
        <v>1.7627</v>
      </c>
      <c r="JO67">
        <v>2.6123</v>
      </c>
      <c r="JP67">
        <v>1.54785</v>
      </c>
      <c r="JQ67">
        <v>2.31445</v>
      </c>
      <c r="JR67">
        <v>1.64673</v>
      </c>
      <c r="JS67">
        <v>2.40479</v>
      </c>
      <c r="JT67">
        <v>33.558</v>
      </c>
      <c r="JU67">
        <v>24.2013</v>
      </c>
      <c r="JV67">
        <v>18</v>
      </c>
      <c r="JW67">
        <v>500.686</v>
      </c>
      <c r="JX67">
        <v>394.518</v>
      </c>
      <c r="JY67">
        <v>12.6028</v>
      </c>
      <c r="JZ67">
        <v>23.9048</v>
      </c>
      <c r="KA67">
        <v>30.0002</v>
      </c>
      <c r="KB67">
        <v>23.923</v>
      </c>
      <c r="KC67">
        <v>23.8932</v>
      </c>
      <c r="KD67">
        <v>35.4089</v>
      </c>
      <c r="KE67">
        <v>9.91517</v>
      </c>
      <c r="KF67">
        <v>23.7343</v>
      </c>
      <c r="KG67">
        <v>12.6052</v>
      </c>
      <c r="KH67">
        <v>859.13</v>
      </c>
      <c r="KI67">
        <v>8.93872</v>
      </c>
      <c r="KJ67">
        <v>97.0452</v>
      </c>
      <c r="KK67">
        <v>95.3041</v>
      </c>
    </row>
    <row r="68" spans="1:297">
      <c r="A68">
        <v>52</v>
      </c>
      <c r="B68">
        <v>1760989537.1</v>
      </c>
      <c r="C68">
        <v>347</v>
      </c>
      <c r="D68" t="s">
        <v>546</v>
      </c>
      <c r="E68" t="s">
        <v>547</v>
      </c>
      <c r="F68">
        <v>5</v>
      </c>
      <c r="G68" t="s">
        <v>435</v>
      </c>
      <c r="H68" t="s">
        <v>436</v>
      </c>
      <c r="I68">
        <v>1760989528.94615</v>
      </c>
      <c r="J68">
        <f>(K68)/1000</f>
        <v>0</v>
      </c>
      <c r="K68">
        <f>IF(DP68, AN68, AH68)</f>
        <v>0</v>
      </c>
      <c r="L68">
        <f>IF(DP68, AI68, AG68)</f>
        <v>0</v>
      </c>
      <c r="M68">
        <f>DR68 - IF(AU68&gt;1, L68*DL68*100.0/(AW68), 0)</f>
        <v>0</v>
      </c>
      <c r="N68">
        <f>((T68-J68/2)*M68-L68)/(T68+J68/2)</f>
        <v>0</v>
      </c>
      <c r="O68">
        <f>N68*(DY68+DZ68)/1000.0</f>
        <v>0</v>
      </c>
      <c r="P68">
        <f>(DR68 - IF(AU68&gt;1, L68*DL68*100.0/(AW68), 0))*(DY68+DZ68)/1000.0</f>
        <v>0</v>
      </c>
      <c r="Q68">
        <f>2.0/((1/S68-1/R68)+SIGN(S68)*SQRT((1/S68-1/R68)*(1/S68-1/R68) + 4*DM68/((DM68+1)*(DM68+1))*(2*1/S68*1/R68-1/R68*1/R68)))</f>
        <v>0</v>
      </c>
      <c r="R68">
        <f>IF(LEFT(DN68,1)&lt;&gt;"0",IF(LEFT(DN68,1)="1",3.0,DO68),$D$5+$E$5*(EF68*DY68/($K$5*1000))+$F$5*(EF68*DY68/($K$5*1000))*MAX(MIN(DL68,$J$5),$I$5)*MAX(MIN(DL68,$J$5),$I$5)+$G$5*MAX(MIN(DL68,$J$5),$I$5)*(EF68*DY68/($K$5*1000))+$H$5*(EF68*DY68/($K$5*1000))*(EF68*DY68/($K$5*1000)))</f>
        <v>0</v>
      </c>
      <c r="S68">
        <f>J68*(1000-(1000*0.61365*exp(17.502*W68/(240.97+W68))/(DY68+DZ68)+DT68)/2)/(1000*0.61365*exp(17.502*W68/(240.97+W68))/(DY68+DZ68)-DT68)</f>
        <v>0</v>
      </c>
      <c r="T68">
        <f>1/((DM68+1)/(Q68/1.6)+1/(R68/1.37)) + DM68/((DM68+1)/(Q68/1.6) + DM68/(R68/1.37))</f>
        <v>0</v>
      </c>
      <c r="U68">
        <f>(DH68*DK68)</f>
        <v>0</v>
      </c>
      <c r="V68">
        <f>(EA68+(U68+2*0.95*5.67E-8*(((EA68+$B$7)+273)^4-(EA68+273)^4)-44100*J68)/(1.84*29.3*R68+8*0.95*5.67E-8*(EA68+273)^3))</f>
        <v>0</v>
      </c>
      <c r="W68">
        <f>($C$7*EB68+$D$7*EC68+$E$7*V68)</f>
        <v>0</v>
      </c>
      <c r="X68">
        <f>0.61365*exp(17.502*W68/(240.97+W68))</f>
        <v>0</v>
      </c>
      <c r="Y68">
        <f>(Z68/AA68*100)</f>
        <v>0</v>
      </c>
      <c r="Z68">
        <f>DT68*(DY68+DZ68)/1000</f>
        <v>0</v>
      </c>
      <c r="AA68">
        <f>0.61365*exp(17.502*EA68/(240.97+EA68))</f>
        <v>0</v>
      </c>
      <c r="AB68">
        <f>(X68-DT68*(DY68+DZ68)/1000)</f>
        <v>0</v>
      </c>
      <c r="AC68">
        <f>(-J68*44100)</f>
        <v>0</v>
      </c>
      <c r="AD68">
        <f>2*29.3*R68*0.92*(EA68-W68)</f>
        <v>0</v>
      </c>
      <c r="AE68">
        <f>2*0.95*5.67E-8*(((EA68+$B$7)+273)^4-(W68+273)^4)</f>
        <v>0</v>
      </c>
      <c r="AF68">
        <f>U68+AE68+AC68+AD68</f>
        <v>0</v>
      </c>
      <c r="AG68">
        <f>DX68*AU68*(DS68-DR68*(1000-AU68*DU68)/(1000-AU68*DT68))/(100*DL68)</f>
        <v>0</v>
      </c>
      <c r="AH68">
        <f>1000*DX68*AU68*(DT68-DU68)/(100*DL68*(1000-AU68*DT68))</f>
        <v>0</v>
      </c>
      <c r="AI68">
        <f>(AJ68 - AK68 - DY68*1E3/(8.314*(EA68+273.15)) * AM68/DX68 * AL68) * DX68/(100*DL68) * (1000 - DU68)/1000</f>
        <v>0</v>
      </c>
      <c r="AJ68">
        <v>848.334740205392</v>
      </c>
      <c r="AK68">
        <v>818.332351515151</v>
      </c>
      <c r="AL68">
        <v>3.28548112859163</v>
      </c>
      <c r="AM68">
        <v>64.8413469339502</v>
      </c>
      <c r="AN68">
        <f>(AP68 - AO68 + DY68*1E3/(8.314*(EA68+273.15)) * AR68/DX68 * AQ68) * DX68/(100*DL68) * 1000/(1000 - AP68)</f>
        <v>0</v>
      </c>
      <c r="AO68">
        <v>8.97855088818301</v>
      </c>
      <c r="AP68">
        <v>11.8044157575758</v>
      </c>
      <c r="AQ68">
        <v>2.25038610398249e-06</v>
      </c>
      <c r="AR68">
        <v>118.472689631034</v>
      </c>
      <c r="AS68">
        <v>0</v>
      </c>
      <c r="AT68">
        <v>0</v>
      </c>
      <c r="AU68">
        <f>IF(AS68*$H$13&gt;=AW68,1.0,(AW68/(AW68-AS68*$H$13)))</f>
        <v>0</v>
      </c>
      <c r="AV68">
        <f>(AU68-1)*100</f>
        <v>0</v>
      </c>
      <c r="AW68">
        <f>MAX(0,($B$13+$C$13*EF68)/(1+$D$13*EF68)*DY68/(EA68+273)*$E$13)</f>
        <v>0</v>
      </c>
      <c r="AX68" t="s">
        <v>437</v>
      </c>
      <c r="AY68" t="s">
        <v>437</v>
      </c>
      <c r="AZ68">
        <v>0</v>
      </c>
      <c r="BA68">
        <v>0</v>
      </c>
      <c r="BB68">
        <f>1-AZ68/BA68</f>
        <v>0</v>
      </c>
      <c r="BC68">
        <v>0</v>
      </c>
      <c r="BD68" t="s">
        <v>437</v>
      </c>
      <c r="BE68" t="s">
        <v>437</v>
      </c>
      <c r="BF68">
        <v>0</v>
      </c>
      <c r="BG68">
        <v>0</v>
      </c>
      <c r="BH68">
        <f>1-BF68/BG68</f>
        <v>0</v>
      </c>
      <c r="BI68">
        <v>0.5</v>
      </c>
      <c r="BJ68">
        <f>DI68</f>
        <v>0</v>
      </c>
      <c r="BK68">
        <f>L68</f>
        <v>0</v>
      </c>
      <c r="BL68">
        <f>BH68*BI68*BJ68</f>
        <v>0</v>
      </c>
      <c r="BM68">
        <f>(BK68-BC68)/BJ68</f>
        <v>0</v>
      </c>
      <c r="BN68">
        <f>(BA68-BG68)/BG68</f>
        <v>0</v>
      </c>
      <c r="BO68">
        <f>AZ68/(BB68+AZ68/BG68)</f>
        <v>0</v>
      </c>
      <c r="BP68" t="s">
        <v>437</v>
      </c>
      <c r="BQ68">
        <v>0</v>
      </c>
      <c r="BR68">
        <f>IF(BQ68&lt;&gt;0, BQ68, BO68)</f>
        <v>0</v>
      </c>
      <c r="BS68">
        <f>1-BR68/BG68</f>
        <v>0</v>
      </c>
      <c r="BT68">
        <f>(BG68-BF68)/(BG68-BR68)</f>
        <v>0</v>
      </c>
      <c r="BU68">
        <f>(BA68-BG68)/(BA68-BR68)</f>
        <v>0</v>
      </c>
      <c r="BV68">
        <f>(BG68-BF68)/(BG68-AZ68)</f>
        <v>0</v>
      </c>
      <c r="BW68">
        <f>(BA68-BG68)/(BA68-AZ68)</f>
        <v>0</v>
      </c>
      <c r="BX68">
        <f>(BT68*BR68/BF68)</f>
        <v>0</v>
      </c>
      <c r="BY68">
        <f>(1-BX68)</f>
        <v>0</v>
      </c>
      <c r="DH68">
        <f>$B$11*EG68+$C$11*EH68+$F$11*ES68*(1-EV68)</f>
        <v>0</v>
      </c>
      <c r="DI68">
        <f>DH68*DJ68</f>
        <v>0</v>
      </c>
      <c r="DJ68">
        <f>($B$11*$D$9+$C$11*$D$9+$F$11*((FF68+EX68)/MAX(FF68+EX68+FG68, 0.1)*$I$9+FG68/MAX(FF68+EX68+FG68, 0.1)*$J$9))/($B$11+$C$11+$F$11)</f>
        <v>0</v>
      </c>
      <c r="DK68">
        <f>($B$11*$K$9+$C$11*$K$9+$F$11*((FF68+EX68)/MAX(FF68+EX68+FG68, 0.1)*$P$9+FG68/MAX(FF68+EX68+FG68, 0.1)*$Q$9))/($B$11+$C$11+$F$11)</f>
        <v>0</v>
      </c>
      <c r="DL68">
        <v>6</v>
      </c>
      <c r="DM68">
        <v>0.5</v>
      </c>
      <c r="DN68" t="s">
        <v>438</v>
      </c>
      <c r="DO68">
        <v>2</v>
      </c>
      <c r="DP68" t="b">
        <v>1</v>
      </c>
      <c r="DQ68">
        <v>1760989528.94615</v>
      </c>
      <c r="DR68">
        <v>784.909230769231</v>
      </c>
      <c r="DS68">
        <v>825.168692307692</v>
      </c>
      <c r="DT68">
        <v>11.8043</v>
      </c>
      <c r="DU68">
        <v>8.97804846153846</v>
      </c>
      <c r="DV68">
        <v>780.704307692308</v>
      </c>
      <c r="DW68">
        <v>11.9156076923077</v>
      </c>
      <c r="DX68">
        <v>500.019615384615</v>
      </c>
      <c r="DY68">
        <v>89.8664</v>
      </c>
      <c r="DZ68">
        <v>0.00772392384615385</v>
      </c>
      <c r="EA68">
        <v>18.3995769230769</v>
      </c>
      <c r="EB68">
        <v>17.9956076923077</v>
      </c>
      <c r="EC68">
        <v>999.9</v>
      </c>
      <c r="ED68">
        <v>0</v>
      </c>
      <c r="EE68">
        <v>0</v>
      </c>
      <c r="EF68">
        <v>9999.31923076923</v>
      </c>
      <c r="EG68">
        <v>0</v>
      </c>
      <c r="EH68">
        <v>1270.12923076923</v>
      </c>
      <c r="EI68">
        <v>-40.2596461538462</v>
      </c>
      <c r="EJ68">
        <v>794.285</v>
      </c>
      <c r="EK68">
        <v>832.644307692308</v>
      </c>
      <c r="EL68">
        <v>2.82625307692308</v>
      </c>
      <c r="EM68">
        <v>825.168692307692</v>
      </c>
      <c r="EN68">
        <v>8.97804846153846</v>
      </c>
      <c r="EO68">
        <v>1.06081076923077</v>
      </c>
      <c r="EP68">
        <v>0.806824923076923</v>
      </c>
      <c r="EQ68">
        <v>7.77947461538462</v>
      </c>
      <c r="ER68">
        <v>3.82795</v>
      </c>
      <c r="ES68">
        <v>1199.99538461538</v>
      </c>
      <c r="ET68">
        <v>0.966997</v>
      </c>
      <c r="EU68">
        <v>0.0330026</v>
      </c>
      <c r="EV68">
        <v>0</v>
      </c>
      <c r="EW68">
        <v>1337.10230769231</v>
      </c>
      <c r="EX68">
        <v>5.00059</v>
      </c>
      <c r="EY68">
        <v>15723.5846153846</v>
      </c>
      <c r="EZ68">
        <v>10358.6769230769</v>
      </c>
      <c r="FA68">
        <v>37.3795384615385</v>
      </c>
      <c r="FB68">
        <v>40.0333846153846</v>
      </c>
      <c r="FC68">
        <v>37.9996153846154</v>
      </c>
      <c r="FD68">
        <v>39.4853076923077</v>
      </c>
      <c r="FE68">
        <v>38.4949230769231</v>
      </c>
      <c r="FF68">
        <v>1155.55538461538</v>
      </c>
      <c r="FG68">
        <v>39.44</v>
      </c>
      <c r="FH68">
        <v>0</v>
      </c>
      <c r="FI68">
        <v>1760989506.1</v>
      </c>
      <c r="FJ68">
        <v>0</v>
      </c>
      <c r="FK68">
        <v>1337.1156</v>
      </c>
      <c r="FL68">
        <v>-0.0953846134760357</v>
      </c>
      <c r="FM68">
        <v>42.2230769763527</v>
      </c>
      <c r="FN68">
        <v>15724.068</v>
      </c>
      <c r="FO68">
        <v>15</v>
      </c>
      <c r="FP68">
        <v>0</v>
      </c>
      <c r="FQ68" t="s">
        <v>439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-40.3205666666667</v>
      </c>
      <c r="GD68">
        <v>0.250044155844132</v>
      </c>
      <c r="GE68">
        <v>0.524005321977093</v>
      </c>
      <c r="GF68">
        <v>1</v>
      </c>
      <c r="GG68">
        <v>1337.04058823529</v>
      </c>
      <c r="GH68">
        <v>0.960122232093942</v>
      </c>
      <c r="GI68">
        <v>0.244238807636518</v>
      </c>
      <c r="GJ68">
        <v>-1</v>
      </c>
      <c r="GK68">
        <v>2.82825571428571</v>
      </c>
      <c r="GL68">
        <v>-0.0357249350649301</v>
      </c>
      <c r="GM68">
        <v>0.00399701861681042</v>
      </c>
      <c r="GN68">
        <v>1</v>
      </c>
      <c r="GO68">
        <v>2</v>
      </c>
      <c r="GP68">
        <v>2</v>
      </c>
      <c r="GQ68" t="s">
        <v>440</v>
      </c>
      <c r="GR68">
        <v>3.13064</v>
      </c>
      <c r="GS68">
        <v>2.68559</v>
      </c>
      <c r="GT68">
        <v>0.14379</v>
      </c>
      <c r="GU68">
        <v>0.149142</v>
      </c>
      <c r="GV68">
        <v>0.0616727</v>
      </c>
      <c r="GW68">
        <v>0.0496728</v>
      </c>
      <c r="GX68">
        <v>32451.2</v>
      </c>
      <c r="GY68">
        <v>34652.1</v>
      </c>
      <c r="GZ68">
        <v>34267.1</v>
      </c>
      <c r="HA68">
        <v>36849.4</v>
      </c>
      <c r="HB68">
        <v>45359.3</v>
      </c>
      <c r="HC68">
        <v>50221.8</v>
      </c>
      <c r="HD68">
        <v>53340.9</v>
      </c>
      <c r="HE68">
        <v>58776.3</v>
      </c>
      <c r="HF68">
        <v>2.00912</v>
      </c>
      <c r="HG68">
        <v>1.83755</v>
      </c>
      <c r="HH68">
        <v>0.0334084</v>
      </c>
      <c r="HI68">
        <v>0</v>
      </c>
      <c r="HJ68">
        <v>17.4485</v>
      </c>
      <c r="HK68">
        <v>999.9</v>
      </c>
      <c r="HL68">
        <v>26.035</v>
      </c>
      <c r="HM68">
        <v>30.283</v>
      </c>
      <c r="HN68">
        <v>12.5454</v>
      </c>
      <c r="HO68">
        <v>53.9791</v>
      </c>
      <c r="HP68">
        <v>44.4832</v>
      </c>
      <c r="HQ68">
        <v>1</v>
      </c>
      <c r="HR68">
        <v>-0.270206</v>
      </c>
      <c r="HS68">
        <v>3.73506</v>
      </c>
      <c r="HT68">
        <v>20.0987</v>
      </c>
      <c r="HU68">
        <v>5.20127</v>
      </c>
      <c r="HV68">
        <v>12.004</v>
      </c>
      <c r="HW68">
        <v>4.9757</v>
      </c>
      <c r="HX68">
        <v>3.293</v>
      </c>
      <c r="HY68">
        <v>9999</v>
      </c>
      <c r="HZ68">
        <v>999.9</v>
      </c>
      <c r="IA68">
        <v>9999</v>
      </c>
      <c r="IB68">
        <v>9999</v>
      </c>
      <c r="IC68">
        <v>1.86325</v>
      </c>
      <c r="ID68">
        <v>1.86808</v>
      </c>
      <c r="IE68">
        <v>1.86783</v>
      </c>
      <c r="IF68">
        <v>1.86905</v>
      </c>
      <c r="IG68">
        <v>1.86981</v>
      </c>
      <c r="IH68">
        <v>1.86584</v>
      </c>
      <c r="II68">
        <v>1.86693</v>
      </c>
      <c r="IJ68">
        <v>1.86842</v>
      </c>
      <c r="IK68">
        <v>5</v>
      </c>
      <c r="IL68">
        <v>0</v>
      </c>
      <c r="IM68">
        <v>0</v>
      </c>
      <c r="IN68">
        <v>0</v>
      </c>
      <c r="IO68" t="s">
        <v>441</v>
      </c>
      <c r="IP68" t="s">
        <v>442</v>
      </c>
      <c r="IQ68" t="s">
        <v>443</v>
      </c>
      <c r="IR68" t="s">
        <v>443</v>
      </c>
      <c r="IS68" t="s">
        <v>443</v>
      </c>
      <c r="IT68" t="s">
        <v>443</v>
      </c>
      <c r="IU68">
        <v>0</v>
      </c>
      <c r="IV68">
        <v>100</v>
      </c>
      <c r="IW68">
        <v>100</v>
      </c>
      <c r="IX68">
        <v>4.298</v>
      </c>
      <c r="IY68">
        <v>-0.1113</v>
      </c>
      <c r="IZ68">
        <v>1.12474291219083</v>
      </c>
      <c r="JA68">
        <v>0.00463155566490582</v>
      </c>
      <c r="JB68">
        <v>-1.1358998729424e-06</v>
      </c>
      <c r="JC68">
        <v>3.28704272115545e-10</v>
      </c>
      <c r="JD68">
        <v>-0.0704455108513773</v>
      </c>
      <c r="JE68">
        <v>-0.0251928478371425</v>
      </c>
      <c r="JF68">
        <v>0.00225751704194564</v>
      </c>
      <c r="JG68">
        <v>-3.61734043746866e-05</v>
      </c>
      <c r="JH68">
        <v>1</v>
      </c>
      <c r="JI68">
        <v>2182</v>
      </c>
      <c r="JJ68">
        <v>0</v>
      </c>
      <c r="JK68">
        <v>24</v>
      </c>
      <c r="JL68">
        <v>29349825.6</v>
      </c>
      <c r="JM68">
        <v>29349825.6</v>
      </c>
      <c r="JN68">
        <v>1.79443</v>
      </c>
      <c r="JO68">
        <v>2.61475</v>
      </c>
      <c r="JP68">
        <v>1.54785</v>
      </c>
      <c r="JQ68">
        <v>2.31445</v>
      </c>
      <c r="JR68">
        <v>1.64551</v>
      </c>
      <c r="JS68">
        <v>2.3938</v>
      </c>
      <c r="JT68">
        <v>33.558</v>
      </c>
      <c r="JU68">
        <v>24.1926</v>
      </c>
      <c r="JV68">
        <v>18</v>
      </c>
      <c r="JW68">
        <v>500.91</v>
      </c>
      <c r="JX68">
        <v>394.373</v>
      </c>
      <c r="JY68">
        <v>12.6053</v>
      </c>
      <c r="JZ68">
        <v>23.9048</v>
      </c>
      <c r="KA68">
        <v>30.0001</v>
      </c>
      <c r="KB68">
        <v>23.923</v>
      </c>
      <c r="KC68">
        <v>23.8932</v>
      </c>
      <c r="KD68">
        <v>35.9608</v>
      </c>
      <c r="KE68">
        <v>9.91517</v>
      </c>
      <c r="KF68">
        <v>23.3636</v>
      </c>
      <c r="KG68">
        <v>12.6073</v>
      </c>
      <c r="KH68">
        <v>872.679</v>
      </c>
      <c r="KI68">
        <v>8.93872</v>
      </c>
      <c r="KJ68">
        <v>97.0446</v>
      </c>
      <c r="KK68">
        <v>95.3036</v>
      </c>
    </row>
    <row r="69" spans="1:297">
      <c r="A69">
        <v>53</v>
      </c>
      <c r="B69">
        <v>1760989542.1</v>
      </c>
      <c r="C69">
        <v>352</v>
      </c>
      <c r="D69" t="s">
        <v>548</v>
      </c>
      <c r="E69" t="s">
        <v>549</v>
      </c>
      <c r="F69">
        <v>5</v>
      </c>
      <c r="G69" t="s">
        <v>435</v>
      </c>
      <c r="H69" t="s">
        <v>436</v>
      </c>
      <c r="I69">
        <v>1760989533.94615</v>
      </c>
      <c r="J69">
        <f>(K69)/1000</f>
        <v>0</v>
      </c>
      <c r="K69">
        <f>IF(DP69, AN69, AH69)</f>
        <v>0</v>
      </c>
      <c r="L69">
        <f>IF(DP69, AI69, AG69)</f>
        <v>0</v>
      </c>
      <c r="M69">
        <f>DR69 - IF(AU69&gt;1, L69*DL69*100.0/(AW69), 0)</f>
        <v>0</v>
      </c>
      <c r="N69">
        <f>((T69-J69/2)*M69-L69)/(T69+J69/2)</f>
        <v>0</v>
      </c>
      <c r="O69">
        <f>N69*(DY69+DZ69)/1000.0</f>
        <v>0</v>
      </c>
      <c r="P69">
        <f>(DR69 - IF(AU69&gt;1, L69*DL69*100.0/(AW69), 0))*(DY69+DZ69)/1000.0</f>
        <v>0</v>
      </c>
      <c r="Q69">
        <f>2.0/((1/S69-1/R69)+SIGN(S69)*SQRT((1/S69-1/R69)*(1/S69-1/R69) + 4*DM69/((DM69+1)*(DM69+1))*(2*1/S69*1/R69-1/R69*1/R69)))</f>
        <v>0</v>
      </c>
      <c r="R69">
        <f>IF(LEFT(DN69,1)&lt;&gt;"0",IF(LEFT(DN69,1)="1",3.0,DO69),$D$5+$E$5*(EF69*DY69/($K$5*1000))+$F$5*(EF69*DY69/($K$5*1000))*MAX(MIN(DL69,$J$5),$I$5)*MAX(MIN(DL69,$J$5),$I$5)+$G$5*MAX(MIN(DL69,$J$5),$I$5)*(EF69*DY69/($K$5*1000))+$H$5*(EF69*DY69/($K$5*1000))*(EF69*DY69/($K$5*1000)))</f>
        <v>0</v>
      </c>
      <c r="S69">
        <f>J69*(1000-(1000*0.61365*exp(17.502*W69/(240.97+W69))/(DY69+DZ69)+DT69)/2)/(1000*0.61365*exp(17.502*W69/(240.97+W69))/(DY69+DZ69)-DT69)</f>
        <v>0</v>
      </c>
      <c r="T69">
        <f>1/((DM69+1)/(Q69/1.6)+1/(R69/1.37)) + DM69/((DM69+1)/(Q69/1.6) + DM69/(R69/1.37))</f>
        <v>0</v>
      </c>
      <c r="U69">
        <f>(DH69*DK69)</f>
        <v>0</v>
      </c>
      <c r="V69">
        <f>(EA69+(U69+2*0.95*5.67E-8*(((EA69+$B$7)+273)^4-(EA69+273)^4)-44100*J69)/(1.84*29.3*R69+8*0.95*5.67E-8*(EA69+273)^3))</f>
        <v>0</v>
      </c>
      <c r="W69">
        <f>($C$7*EB69+$D$7*EC69+$E$7*V69)</f>
        <v>0</v>
      </c>
      <c r="X69">
        <f>0.61365*exp(17.502*W69/(240.97+W69))</f>
        <v>0</v>
      </c>
      <c r="Y69">
        <f>(Z69/AA69*100)</f>
        <v>0</v>
      </c>
      <c r="Z69">
        <f>DT69*(DY69+DZ69)/1000</f>
        <v>0</v>
      </c>
      <c r="AA69">
        <f>0.61365*exp(17.502*EA69/(240.97+EA69))</f>
        <v>0</v>
      </c>
      <c r="AB69">
        <f>(X69-DT69*(DY69+DZ69)/1000)</f>
        <v>0</v>
      </c>
      <c r="AC69">
        <f>(-J69*44100)</f>
        <v>0</v>
      </c>
      <c r="AD69">
        <f>2*29.3*R69*0.92*(EA69-W69)</f>
        <v>0</v>
      </c>
      <c r="AE69">
        <f>2*0.95*5.67E-8*(((EA69+$B$7)+273)^4-(W69+273)^4)</f>
        <v>0</v>
      </c>
      <c r="AF69">
        <f>U69+AE69+AC69+AD69</f>
        <v>0</v>
      </c>
      <c r="AG69">
        <f>DX69*AU69*(DS69-DR69*(1000-AU69*DU69)/(1000-AU69*DT69))/(100*DL69)</f>
        <v>0</v>
      </c>
      <c r="AH69">
        <f>1000*DX69*AU69*(DT69-DU69)/(100*DL69*(1000-AU69*DT69))</f>
        <v>0</v>
      </c>
      <c r="AI69">
        <f>(AJ69 - AK69 - DY69*1E3/(8.314*(EA69+273.15)) * AM69/DX69 * AL69) * DX69/(100*DL69) * (1000 - DU69)/1000</f>
        <v>0</v>
      </c>
      <c r="AJ69">
        <v>866.493153804611</v>
      </c>
      <c r="AK69">
        <v>835.854515151515</v>
      </c>
      <c r="AL69">
        <v>3.50875403114621</v>
      </c>
      <c r="AM69">
        <v>64.8413469339502</v>
      </c>
      <c r="AN69">
        <f>(AP69 - AO69 + DY69*1E3/(8.314*(EA69+273.15)) * AR69/DX69 * AQ69) * DX69/(100*DL69) * 1000/(1000 - AP69)</f>
        <v>0</v>
      </c>
      <c r="AO69">
        <v>8.9227308946227</v>
      </c>
      <c r="AP69">
        <v>11.7977018181818</v>
      </c>
      <c r="AQ69">
        <v>-8.97825209177789e-06</v>
      </c>
      <c r="AR69">
        <v>118.472689631034</v>
      </c>
      <c r="AS69">
        <v>0</v>
      </c>
      <c r="AT69">
        <v>0</v>
      </c>
      <c r="AU69">
        <f>IF(AS69*$H$13&gt;=AW69,1.0,(AW69/(AW69-AS69*$H$13)))</f>
        <v>0</v>
      </c>
      <c r="AV69">
        <f>(AU69-1)*100</f>
        <v>0</v>
      </c>
      <c r="AW69">
        <f>MAX(0,($B$13+$C$13*EF69)/(1+$D$13*EF69)*DY69/(EA69+273)*$E$13)</f>
        <v>0</v>
      </c>
      <c r="AX69" t="s">
        <v>437</v>
      </c>
      <c r="AY69" t="s">
        <v>437</v>
      </c>
      <c r="AZ69">
        <v>0</v>
      </c>
      <c r="BA69">
        <v>0</v>
      </c>
      <c r="BB69">
        <f>1-AZ69/BA69</f>
        <v>0</v>
      </c>
      <c r="BC69">
        <v>0</v>
      </c>
      <c r="BD69" t="s">
        <v>437</v>
      </c>
      <c r="BE69" t="s">
        <v>437</v>
      </c>
      <c r="BF69">
        <v>0</v>
      </c>
      <c r="BG69">
        <v>0</v>
      </c>
      <c r="BH69">
        <f>1-BF69/BG69</f>
        <v>0</v>
      </c>
      <c r="BI69">
        <v>0.5</v>
      </c>
      <c r="BJ69">
        <f>DI69</f>
        <v>0</v>
      </c>
      <c r="BK69">
        <f>L69</f>
        <v>0</v>
      </c>
      <c r="BL69">
        <f>BH69*BI69*BJ69</f>
        <v>0</v>
      </c>
      <c r="BM69">
        <f>(BK69-BC69)/BJ69</f>
        <v>0</v>
      </c>
      <c r="BN69">
        <f>(BA69-BG69)/BG69</f>
        <v>0</v>
      </c>
      <c r="BO69">
        <f>AZ69/(BB69+AZ69/BG69)</f>
        <v>0</v>
      </c>
      <c r="BP69" t="s">
        <v>437</v>
      </c>
      <c r="BQ69">
        <v>0</v>
      </c>
      <c r="BR69">
        <f>IF(BQ69&lt;&gt;0, BQ69, BO69)</f>
        <v>0</v>
      </c>
      <c r="BS69">
        <f>1-BR69/BG69</f>
        <v>0</v>
      </c>
      <c r="BT69">
        <f>(BG69-BF69)/(BG69-BR69)</f>
        <v>0</v>
      </c>
      <c r="BU69">
        <f>(BA69-BG69)/(BA69-BR69)</f>
        <v>0</v>
      </c>
      <c r="BV69">
        <f>(BG69-BF69)/(BG69-AZ69)</f>
        <v>0</v>
      </c>
      <c r="BW69">
        <f>(BA69-BG69)/(BA69-AZ69)</f>
        <v>0</v>
      </c>
      <c r="BX69">
        <f>(BT69*BR69/BF69)</f>
        <v>0</v>
      </c>
      <c r="BY69">
        <f>(1-BX69)</f>
        <v>0</v>
      </c>
      <c r="DH69">
        <f>$B$11*EG69+$C$11*EH69+$F$11*ES69*(1-EV69)</f>
        <v>0</v>
      </c>
      <c r="DI69">
        <f>DH69*DJ69</f>
        <v>0</v>
      </c>
      <c r="DJ69">
        <f>($B$11*$D$9+$C$11*$D$9+$F$11*((FF69+EX69)/MAX(FF69+EX69+FG69, 0.1)*$I$9+FG69/MAX(FF69+EX69+FG69, 0.1)*$J$9))/($B$11+$C$11+$F$11)</f>
        <v>0</v>
      </c>
      <c r="DK69">
        <f>($B$11*$K$9+$C$11*$K$9+$F$11*((FF69+EX69)/MAX(FF69+EX69+FG69, 0.1)*$P$9+FG69/MAX(FF69+EX69+FG69, 0.1)*$Q$9))/($B$11+$C$11+$F$11)</f>
        <v>0</v>
      </c>
      <c r="DL69">
        <v>6</v>
      </c>
      <c r="DM69">
        <v>0.5</v>
      </c>
      <c r="DN69" t="s">
        <v>438</v>
      </c>
      <c r="DO69">
        <v>2</v>
      </c>
      <c r="DP69" t="b">
        <v>1</v>
      </c>
      <c r="DQ69">
        <v>1760989533.94615</v>
      </c>
      <c r="DR69">
        <v>801.723846153846</v>
      </c>
      <c r="DS69">
        <v>842.397615384615</v>
      </c>
      <c r="DT69">
        <v>11.8029846153846</v>
      </c>
      <c r="DU69">
        <v>8.96332846153846</v>
      </c>
      <c r="DV69">
        <v>797.461153846154</v>
      </c>
      <c r="DW69">
        <v>11.9143076923077</v>
      </c>
      <c r="DX69">
        <v>500.001923076923</v>
      </c>
      <c r="DY69">
        <v>89.8656769230769</v>
      </c>
      <c r="DZ69">
        <v>0.00781882230769231</v>
      </c>
      <c r="EA69">
        <v>18.4038461538462</v>
      </c>
      <c r="EB69">
        <v>18.0001153846154</v>
      </c>
      <c r="EC69">
        <v>999.9</v>
      </c>
      <c r="ED69">
        <v>0</v>
      </c>
      <c r="EE69">
        <v>0</v>
      </c>
      <c r="EF69">
        <v>9998.06923076923</v>
      </c>
      <c r="EG69">
        <v>0</v>
      </c>
      <c r="EH69">
        <v>1270.15153846154</v>
      </c>
      <c r="EI69">
        <v>-40.6739769230769</v>
      </c>
      <c r="EJ69">
        <v>811.299384615385</v>
      </c>
      <c r="EK69">
        <v>850.016384615385</v>
      </c>
      <c r="EL69">
        <v>2.83965076923077</v>
      </c>
      <c r="EM69">
        <v>842.397615384615</v>
      </c>
      <c r="EN69">
        <v>8.96332846153846</v>
      </c>
      <c r="EO69">
        <v>1.06068307692308</v>
      </c>
      <c r="EP69">
        <v>0.805495461538462</v>
      </c>
      <c r="EQ69">
        <v>7.77771076923077</v>
      </c>
      <c r="ER69">
        <v>3.80447538461538</v>
      </c>
      <c r="ES69">
        <v>1199.96</v>
      </c>
      <c r="ET69">
        <v>0.966997</v>
      </c>
      <c r="EU69">
        <v>0.0330026</v>
      </c>
      <c r="EV69">
        <v>0</v>
      </c>
      <c r="EW69">
        <v>1337.17</v>
      </c>
      <c r="EX69">
        <v>5.00059</v>
      </c>
      <c r="EY69">
        <v>15726.9769230769</v>
      </c>
      <c r="EZ69">
        <v>10358.3615384615</v>
      </c>
      <c r="FA69">
        <v>37.4469230769231</v>
      </c>
      <c r="FB69">
        <v>40.1296153846154</v>
      </c>
      <c r="FC69">
        <v>38.0622307692308</v>
      </c>
      <c r="FD69">
        <v>39.6151538461538</v>
      </c>
      <c r="FE69">
        <v>38.5623076923077</v>
      </c>
      <c r="FF69">
        <v>1155.52</v>
      </c>
      <c r="FG69">
        <v>39.44</v>
      </c>
      <c r="FH69">
        <v>0</v>
      </c>
      <c r="FI69">
        <v>1760989511.5</v>
      </c>
      <c r="FJ69">
        <v>0</v>
      </c>
      <c r="FK69">
        <v>1337.20461538462</v>
      </c>
      <c r="FL69">
        <v>0.819829069120752</v>
      </c>
      <c r="FM69">
        <v>42.2324785840588</v>
      </c>
      <c r="FN69">
        <v>15727.6807692308</v>
      </c>
      <c r="FO69">
        <v>15</v>
      </c>
      <c r="FP69">
        <v>0</v>
      </c>
      <c r="FQ69" t="s">
        <v>439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-40.49152</v>
      </c>
      <c r="GD69">
        <v>-3.75960000000002</v>
      </c>
      <c r="GE69">
        <v>0.655878408395947</v>
      </c>
      <c r="GF69">
        <v>0</v>
      </c>
      <c r="GG69">
        <v>1337.13529411765</v>
      </c>
      <c r="GH69">
        <v>0.991902223200918</v>
      </c>
      <c r="GI69">
        <v>0.255920889593061</v>
      </c>
      <c r="GJ69">
        <v>-1</v>
      </c>
      <c r="GK69">
        <v>2.835818</v>
      </c>
      <c r="GL69">
        <v>0.134806917293231</v>
      </c>
      <c r="GM69">
        <v>0.0190611037455862</v>
      </c>
      <c r="GN69">
        <v>0</v>
      </c>
      <c r="GO69">
        <v>0</v>
      </c>
      <c r="GP69">
        <v>2</v>
      </c>
      <c r="GQ69" t="s">
        <v>519</v>
      </c>
      <c r="GR69">
        <v>3.13058</v>
      </c>
      <c r="GS69">
        <v>2.68597</v>
      </c>
      <c r="GT69">
        <v>0.145825</v>
      </c>
      <c r="GU69">
        <v>0.151017</v>
      </c>
      <c r="GV69">
        <v>0.0616221</v>
      </c>
      <c r="GW69">
        <v>0.0494197</v>
      </c>
      <c r="GX69">
        <v>32374.1</v>
      </c>
      <c r="GY69">
        <v>34575.6</v>
      </c>
      <c r="GZ69">
        <v>34267</v>
      </c>
      <c r="HA69">
        <v>36849.3</v>
      </c>
      <c r="HB69">
        <v>45362.1</v>
      </c>
      <c r="HC69">
        <v>50235.6</v>
      </c>
      <c r="HD69">
        <v>53341</v>
      </c>
      <c r="HE69">
        <v>58776.3</v>
      </c>
      <c r="HF69">
        <v>2.00877</v>
      </c>
      <c r="HG69">
        <v>1.83783</v>
      </c>
      <c r="HH69">
        <v>0.0338405</v>
      </c>
      <c r="HI69">
        <v>0</v>
      </c>
      <c r="HJ69">
        <v>17.4498</v>
      </c>
      <c r="HK69">
        <v>999.9</v>
      </c>
      <c r="HL69">
        <v>26.01</v>
      </c>
      <c r="HM69">
        <v>30.283</v>
      </c>
      <c r="HN69">
        <v>12.5331</v>
      </c>
      <c r="HO69">
        <v>53.9891</v>
      </c>
      <c r="HP69">
        <v>44.4832</v>
      </c>
      <c r="HQ69">
        <v>1</v>
      </c>
      <c r="HR69">
        <v>-0.27002</v>
      </c>
      <c r="HS69">
        <v>3.73568</v>
      </c>
      <c r="HT69">
        <v>20.0987</v>
      </c>
      <c r="HU69">
        <v>5.20217</v>
      </c>
      <c r="HV69">
        <v>12.004</v>
      </c>
      <c r="HW69">
        <v>4.9757</v>
      </c>
      <c r="HX69">
        <v>3.29293</v>
      </c>
      <c r="HY69">
        <v>9999</v>
      </c>
      <c r="HZ69">
        <v>999.9</v>
      </c>
      <c r="IA69">
        <v>9999</v>
      </c>
      <c r="IB69">
        <v>9999</v>
      </c>
      <c r="IC69">
        <v>1.86324</v>
      </c>
      <c r="ID69">
        <v>1.86806</v>
      </c>
      <c r="IE69">
        <v>1.86783</v>
      </c>
      <c r="IF69">
        <v>1.86904</v>
      </c>
      <c r="IG69">
        <v>1.86981</v>
      </c>
      <c r="IH69">
        <v>1.86586</v>
      </c>
      <c r="II69">
        <v>1.86692</v>
      </c>
      <c r="IJ69">
        <v>1.8684</v>
      </c>
      <c r="IK69">
        <v>5</v>
      </c>
      <c r="IL69">
        <v>0</v>
      </c>
      <c r="IM69">
        <v>0</v>
      </c>
      <c r="IN69">
        <v>0</v>
      </c>
      <c r="IO69" t="s">
        <v>441</v>
      </c>
      <c r="IP69" t="s">
        <v>442</v>
      </c>
      <c r="IQ69" t="s">
        <v>443</v>
      </c>
      <c r="IR69" t="s">
        <v>443</v>
      </c>
      <c r="IS69" t="s">
        <v>443</v>
      </c>
      <c r="IT69" t="s">
        <v>443</v>
      </c>
      <c r="IU69">
        <v>0</v>
      </c>
      <c r="IV69">
        <v>100</v>
      </c>
      <c r="IW69">
        <v>100</v>
      </c>
      <c r="IX69">
        <v>4.357</v>
      </c>
      <c r="IY69">
        <v>-0.1114</v>
      </c>
      <c r="IZ69">
        <v>1.12474291219083</v>
      </c>
      <c r="JA69">
        <v>0.00463155566490582</v>
      </c>
      <c r="JB69">
        <v>-1.1358998729424e-06</v>
      </c>
      <c r="JC69">
        <v>3.28704272115545e-10</v>
      </c>
      <c r="JD69">
        <v>-0.0704455108513773</v>
      </c>
      <c r="JE69">
        <v>-0.0251928478371425</v>
      </c>
      <c r="JF69">
        <v>0.00225751704194564</v>
      </c>
      <c r="JG69">
        <v>-3.61734043746866e-05</v>
      </c>
      <c r="JH69">
        <v>1</v>
      </c>
      <c r="JI69">
        <v>2182</v>
      </c>
      <c r="JJ69">
        <v>0</v>
      </c>
      <c r="JK69">
        <v>24</v>
      </c>
      <c r="JL69">
        <v>29349825.7</v>
      </c>
      <c r="JM69">
        <v>29349825.7</v>
      </c>
      <c r="JN69">
        <v>1.82007</v>
      </c>
      <c r="JO69">
        <v>2.6123</v>
      </c>
      <c r="JP69">
        <v>1.54785</v>
      </c>
      <c r="JQ69">
        <v>2.31445</v>
      </c>
      <c r="JR69">
        <v>1.64673</v>
      </c>
      <c r="JS69">
        <v>2.37915</v>
      </c>
      <c r="JT69">
        <v>33.5804</v>
      </c>
      <c r="JU69">
        <v>24.1926</v>
      </c>
      <c r="JV69">
        <v>18</v>
      </c>
      <c r="JW69">
        <v>500.686</v>
      </c>
      <c r="JX69">
        <v>394.518</v>
      </c>
      <c r="JY69">
        <v>12.6075</v>
      </c>
      <c r="JZ69">
        <v>23.9048</v>
      </c>
      <c r="KA69">
        <v>30</v>
      </c>
      <c r="KB69">
        <v>23.923</v>
      </c>
      <c r="KC69">
        <v>23.8932</v>
      </c>
      <c r="KD69">
        <v>36.4378</v>
      </c>
      <c r="KE69">
        <v>9.91517</v>
      </c>
      <c r="KF69">
        <v>23.3636</v>
      </c>
      <c r="KG69">
        <v>12.4186</v>
      </c>
      <c r="KH69">
        <v>892.937</v>
      </c>
      <c r="KI69">
        <v>8.93872</v>
      </c>
      <c r="KJ69">
        <v>97.0447</v>
      </c>
      <c r="KK69">
        <v>95.3035</v>
      </c>
    </row>
    <row r="70" spans="1:297">
      <c r="A70">
        <v>54</v>
      </c>
      <c r="B70">
        <v>1760989547.1</v>
      </c>
      <c r="C70">
        <v>357</v>
      </c>
      <c r="D70" t="s">
        <v>550</v>
      </c>
      <c r="E70" t="s">
        <v>551</v>
      </c>
      <c r="F70">
        <v>5</v>
      </c>
      <c r="G70" t="s">
        <v>435</v>
      </c>
      <c r="H70" t="s">
        <v>436</v>
      </c>
      <c r="I70">
        <v>1760989538.94615</v>
      </c>
      <c r="J70">
        <f>(K70)/1000</f>
        <v>0</v>
      </c>
      <c r="K70">
        <f>IF(DP70, AN70, AH70)</f>
        <v>0</v>
      </c>
      <c r="L70">
        <f>IF(DP70, AI70, AG70)</f>
        <v>0</v>
      </c>
      <c r="M70">
        <f>DR70 - IF(AU70&gt;1, L70*DL70*100.0/(AW70), 0)</f>
        <v>0</v>
      </c>
      <c r="N70">
        <f>((T70-J70/2)*M70-L70)/(T70+J70/2)</f>
        <v>0</v>
      </c>
      <c r="O70">
        <f>N70*(DY70+DZ70)/1000.0</f>
        <v>0</v>
      </c>
      <c r="P70">
        <f>(DR70 - IF(AU70&gt;1, L70*DL70*100.0/(AW70), 0))*(DY70+DZ70)/1000.0</f>
        <v>0</v>
      </c>
      <c r="Q70">
        <f>2.0/((1/S70-1/R70)+SIGN(S70)*SQRT((1/S70-1/R70)*(1/S70-1/R70) + 4*DM70/((DM70+1)*(DM70+1))*(2*1/S70*1/R70-1/R70*1/R70)))</f>
        <v>0</v>
      </c>
      <c r="R70">
        <f>IF(LEFT(DN70,1)&lt;&gt;"0",IF(LEFT(DN70,1)="1",3.0,DO70),$D$5+$E$5*(EF70*DY70/($K$5*1000))+$F$5*(EF70*DY70/($K$5*1000))*MAX(MIN(DL70,$J$5),$I$5)*MAX(MIN(DL70,$J$5),$I$5)+$G$5*MAX(MIN(DL70,$J$5),$I$5)*(EF70*DY70/($K$5*1000))+$H$5*(EF70*DY70/($K$5*1000))*(EF70*DY70/($K$5*1000)))</f>
        <v>0</v>
      </c>
      <c r="S70">
        <f>J70*(1000-(1000*0.61365*exp(17.502*W70/(240.97+W70))/(DY70+DZ70)+DT70)/2)/(1000*0.61365*exp(17.502*W70/(240.97+W70))/(DY70+DZ70)-DT70)</f>
        <v>0</v>
      </c>
      <c r="T70">
        <f>1/((DM70+1)/(Q70/1.6)+1/(R70/1.37)) + DM70/((DM70+1)/(Q70/1.6) + DM70/(R70/1.37))</f>
        <v>0</v>
      </c>
      <c r="U70">
        <f>(DH70*DK70)</f>
        <v>0</v>
      </c>
      <c r="V70">
        <f>(EA70+(U70+2*0.95*5.67E-8*(((EA70+$B$7)+273)^4-(EA70+273)^4)-44100*J70)/(1.84*29.3*R70+8*0.95*5.67E-8*(EA70+273)^3))</f>
        <v>0</v>
      </c>
      <c r="W70">
        <f>($C$7*EB70+$D$7*EC70+$E$7*V70)</f>
        <v>0</v>
      </c>
      <c r="X70">
        <f>0.61365*exp(17.502*W70/(240.97+W70))</f>
        <v>0</v>
      </c>
      <c r="Y70">
        <f>(Z70/AA70*100)</f>
        <v>0</v>
      </c>
      <c r="Z70">
        <f>DT70*(DY70+DZ70)/1000</f>
        <v>0</v>
      </c>
      <c r="AA70">
        <f>0.61365*exp(17.502*EA70/(240.97+EA70))</f>
        <v>0</v>
      </c>
      <c r="AB70">
        <f>(X70-DT70*(DY70+DZ70)/1000)</f>
        <v>0</v>
      </c>
      <c r="AC70">
        <f>(-J70*44100)</f>
        <v>0</v>
      </c>
      <c r="AD70">
        <f>2*29.3*R70*0.92*(EA70-W70)</f>
        <v>0</v>
      </c>
      <c r="AE70">
        <f>2*0.95*5.67E-8*(((EA70+$B$7)+273)^4-(W70+273)^4)</f>
        <v>0</v>
      </c>
      <c r="AF70">
        <f>U70+AE70+AC70+AD70</f>
        <v>0</v>
      </c>
      <c r="AG70">
        <f>DX70*AU70*(DS70-DR70*(1000-AU70*DU70)/(1000-AU70*DT70))/(100*DL70)</f>
        <v>0</v>
      </c>
      <c r="AH70">
        <f>1000*DX70*AU70*(DT70-DU70)/(100*DL70*(1000-AU70*DT70))</f>
        <v>0</v>
      </c>
      <c r="AI70">
        <f>(AJ70 - AK70 - DY70*1E3/(8.314*(EA70+273.15)) * AM70/DX70 * AL70) * DX70/(100*DL70) * (1000 - DU70)/1000</f>
        <v>0</v>
      </c>
      <c r="AJ70">
        <v>882.389255252645</v>
      </c>
      <c r="AK70">
        <v>852.427393939394</v>
      </c>
      <c r="AL70">
        <v>3.29669355915797</v>
      </c>
      <c r="AM70">
        <v>64.8413469339502</v>
      </c>
      <c r="AN70">
        <f>(AP70 - AO70 + DY70*1E3/(8.314*(EA70+273.15)) * AR70/DX70 * AQ70) * DX70/(100*DL70) * 1000/(1000 - AP70)</f>
        <v>0</v>
      </c>
      <c r="AO70">
        <v>8.90557630821286</v>
      </c>
      <c r="AP70">
        <v>11.7794503030303</v>
      </c>
      <c r="AQ70">
        <v>-1.35610180029154e-05</v>
      </c>
      <c r="AR70">
        <v>118.472689631034</v>
      </c>
      <c r="AS70">
        <v>0</v>
      </c>
      <c r="AT70">
        <v>0</v>
      </c>
      <c r="AU70">
        <f>IF(AS70*$H$13&gt;=AW70,1.0,(AW70/(AW70-AS70*$H$13)))</f>
        <v>0</v>
      </c>
      <c r="AV70">
        <f>(AU70-1)*100</f>
        <v>0</v>
      </c>
      <c r="AW70">
        <f>MAX(0,($B$13+$C$13*EF70)/(1+$D$13*EF70)*DY70/(EA70+273)*$E$13)</f>
        <v>0</v>
      </c>
      <c r="AX70" t="s">
        <v>437</v>
      </c>
      <c r="AY70" t="s">
        <v>437</v>
      </c>
      <c r="AZ70">
        <v>0</v>
      </c>
      <c r="BA70">
        <v>0</v>
      </c>
      <c r="BB70">
        <f>1-AZ70/BA70</f>
        <v>0</v>
      </c>
      <c r="BC70">
        <v>0</v>
      </c>
      <c r="BD70" t="s">
        <v>437</v>
      </c>
      <c r="BE70" t="s">
        <v>437</v>
      </c>
      <c r="BF70">
        <v>0</v>
      </c>
      <c r="BG70">
        <v>0</v>
      </c>
      <c r="BH70">
        <f>1-BF70/BG70</f>
        <v>0</v>
      </c>
      <c r="BI70">
        <v>0.5</v>
      </c>
      <c r="BJ70">
        <f>DI70</f>
        <v>0</v>
      </c>
      <c r="BK70">
        <f>L70</f>
        <v>0</v>
      </c>
      <c r="BL70">
        <f>BH70*BI70*BJ70</f>
        <v>0</v>
      </c>
      <c r="BM70">
        <f>(BK70-BC70)/BJ70</f>
        <v>0</v>
      </c>
      <c r="BN70">
        <f>(BA70-BG70)/BG70</f>
        <v>0</v>
      </c>
      <c r="BO70">
        <f>AZ70/(BB70+AZ70/BG70)</f>
        <v>0</v>
      </c>
      <c r="BP70" t="s">
        <v>437</v>
      </c>
      <c r="BQ70">
        <v>0</v>
      </c>
      <c r="BR70">
        <f>IF(BQ70&lt;&gt;0, BQ70, BO70)</f>
        <v>0</v>
      </c>
      <c r="BS70">
        <f>1-BR70/BG70</f>
        <v>0</v>
      </c>
      <c r="BT70">
        <f>(BG70-BF70)/(BG70-BR70)</f>
        <v>0</v>
      </c>
      <c r="BU70">
        <f>(BA70-BG70)/(BA70-BR70)</f>
        <v>0</v>
      </c>
      <c r="BV70">
        <f>(BG70-BF70)/(BG70-AZ70)</f>
        <v>0</v>
      </c>
      <c r="BW70">
        <f>(BA70-BG70)/(BA70-AZ70)</f>
        <v>0</v>
      </c>
      <c r="BX70">
        <f>(BT70*BR70/BF70)</f>
        <v>0</v>
      </c>
      <c r="BY70">
        <f>(1-BX70)</f>
        <v>0</v>
      </c>
      <c r="DH70">
        <f>$B$11*EG70+$C$11*EH70+$F$11*ES70*(1-EV70)</f>
        <v>0</v>
      </c>
      <c r="DI70">
        <f>DH70*DJ70</f>
        <v>0</v>
      </c>
      <c r="DJ70">
        <f>($B$11*$D$9+$C$11*$D$9+$F$11*((FF70+EX70)/MAX(FF70+EX70+FG70, 0.1)*$I$9+FG70/MAX(FF70+EX70+FG70, 0.1)*$J$9))/($B$11+$C$11+$F$11)</f>
        <v>0</v>
      </c>
      <c r="DK70">
        <f>($B$11*$K$9+$C$11*$K$9+$F$11*((FF70+EX70)/MAX(FF70+EX70+FG70, 0.1)*$P$9+FG70/MAX(FF70+EX70+FG70, 0.1)*$Q$9))/($B$11+$C$11+$F$11)</f>
        <v>0</v>
      </c>
      <c r="DL70">
        <v>6</v>
      </c>
      <c r="DM70">
        <v>0.5</v>
      </c>
      <c r="DN70" t="s">
        <v>438</v>
      </c>
      <c r="DO70">
        <v>2</v>
      </c>
      <c r="DP70" t="b">
        <v>1</v>
      </c>
      <c r="DQ70">
        <v>1760989538.94615</v>
      </c>
      <c r="DR70">
        <v>818.529923076923</v>
      </c>
      <c r="DS70">
        <v>858.904769230769</v>
      </c>
      <c r="DT70">
        <v>11.7968923076923</v>
      </c>
      <c r="DU70">
        <v>8.94150076923077</v>
      </c>
      <c r="DV70">
        <v>814.209615384615</v>
      </c>
      <c r="DW70">
        <v>11.9083076923077</v>
      </c>
      <c r="DX70">
        <v>499.992307692308</v>
      </c>
      <c r="DY70">
        <v>89.8642</v>
      </c>
      <c r="DZ70">
        <v>0.00787069923076923</v>
      </c>
      <c r="EA70">
        <v>18.4071153846154</v>
      </c>
      <c r="EB70">
        <v>18.0046615384615</v>
      </c>
      <c r="EC70">
        <v>999.9</v>
      </c>
      <c r="ED70">
        <v>0</v>
      </c>
      <c r="EE70">
        <v>0</v>
      </c>
      <c r="EF70">
        <v>9996.23846153846</v>
      </c>
      <c r="EG70">
        <v>0</v>
      </c>
      <c r="EH70">
        <v>1270.16153846154</v>
      </c>
      <c r="EI70">
        <v>-40.3749846153846</v>
      </c>
      <c r="EJ70">
        <v>828.301</v>
      </c>
      <c r="EK70">
        <v>866.653538461539</v>
      </c>
      <c r="EL70">
        <v>2.85539692307692</v>
      </c>
      <c r="EM70">
        <v>858.904769230769</v>
      </c>
      <c r="EN70">
        <v>8.94150076923077</v>
      </c>
      <c r="EO70">
        <v>1.06011923076923</v>
      </c>
      <c r="EP70">
        <v>0.803520846153846</v>
      </c>
      <c r="EQ70">
        <v>7.76990538461539</v>
      </c>
      <c r="ER70">
        <v>3.76957538461538</v>
      </c>
      <c r="ES70">
        <v>1199.97615384615</v>
      </c>
      <c r="ET70">
        <v>0.966998461538461</v>
      </c>
      <c r="EU70">
        <v>0.0330012461538462</v>
      </c>
      <c r="EV70">
        <v>0</v>
      </c>
      <c r="EW70">
        <v>1337.20538461538</v>
      </c>
      <c r="EX70">
        <v>5.00059</v>
      </c>
      <c r="EY70">
        <v>15730.8769230769</v>
      </c>
      <c r="EZ70">
        <v>10358.4923076923</v>
      </c>
      <c r="FA70">
        <v>37.5093076923077</v>
      </c>
      <c r="FB70">
        <v>40.2160769230769</v>
      </c>
      <c r="FC70">
        <v>38.1294615384615</v>
      </c>
      <c r="FD70">
        <v>39.7401538461539</v>
      </c>
      <c r="FE70">
        <v>38.6295384615385</v>
      </c>
      <c r="FF70">
        <v>1155.53846153846</v>
      </c>
      <c r="FG70">
        <v>39.4369230769231</v>
      </c>
      <c r="FH70">
        <v>0</v>
      </c>
      <c r="FI70">
        <v>1760989516.3</v>
      </c>
      <c r="FJ70">
        <v>0</v>
      </c>
      <c r="FK70">
        <v>1337.24307692308</v>
      </c>
      <c r="FL70">
        <v>1.02495727880846</v>
      </c>
      <c r="FM70">
        <v>45.6581196911722</v>
      </c>
      <c r="FN70">
        <v>15731.2730769231</v>
      </c>
      <c r="FO70">
        <v>15</v>
      </c>
      <c r="FP70">
        <v>0</v>
      </c>
      <c r="FQ70" t="s">
        <v>439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-40.5181</v>
      </c>
      <c r="GD70">
        <v>1.47375584415583</v>
      </c>
      <c r="GE70">
        <v>0.602958502086251</v>
      </c>
      <c r="GF70">
        <v>0</v>
      </c>
      <c r="GG70">
        <v>1337.24411764706</v>
      </c>
      <c r="GH70">
        <v>0.899312457831728</v>
      </c>
      <c r="GI70">
        <v>0.236184345337924</v>
      </c>
      <c r="GJ70">
        <v>-1</v>
      </c>
      <c r="GK70">
        <v>2.84745333333333</v>
      </c>
      <c r="GL70">
        <v>0.218129610389614</v>
      </c>
      <c r="GM70">
        <v>0.0252164933428092</v>
      </c>
      <c r="GN70">
        <v>0</v>
      </c>
      <c r="GO70">
        <v>0</v>
      </c>
      <c r="GP70">
        <v>2</v>
      </c>
      <c r="GQ70" t="s">
        <v>519</v>
      </c>
      <c r="GR70">
        <v>3.13054</v>
      </c>
      <c r="GS70">
        <v>2.68595</v>
      </c>
      <c r="GT70">
        <v>0.147741</v>
      </c>
      <c r="GU70">
        <v>0.152897</v>
      </c>
      <c r="GV70">
        <v>0.0615602</v>
      </c>
      <c r="GW70">
        <v>0.0494053</v>
      </c>
      <c r="GX70">
        <v>32301.6</v>
      </c>
      <c r="GY70">
        <v>34499.2</v>
      </c>
      <c r="GZ70">
        <v>34267.1</v>
      </c>
      <c r="HA70">
        <v>36849.3</v>
      </c>
      <c r="HB70">
        <v>45365.2</v>
      </c>
      <c r="HC70">
        <v>50236.9</v>
      </c>
      <c r="HD70">
        <v>53340.8</v>
      </c>
      <c r="HE70">
        <v>58776.6</v>
      </c>
      <c r="HF70">
        <v>2.00875</v>
      </c>
      <c r="HG70">
        <v>1.83755</v>
      </c>
      <c r="HH70">
        <v>0.0338703</v>
      </c>
      <c r="HI70">
        <v>0</v>
      </c>
      <c r="HJ70">
        <v>17.45</v>
      </c>
      <c r="HK70">
        <v>999.9</v>
      </c>
      <c r="HL70">
        <v>25.98</v>
      </c>
      <c r="HM70">
        <v>30.283</v>
      </c>
      <c r="HN70">
        <v>12.5182</v>
      </c>
      <c r="HO70">
        <v>54.0291</v>
      </c>
      <c r="HP70">
        <v>44.4431</v>
      </c>
      <c r="HQ70">
        <v>1</v>
      </c>
      <c r="HR70">
        <v>-0.267401</v>
      </c>
      <c r="HS70">
        <v>4.54902</v>
      </c>
      <c r="HT70">
        <v>20.0777</v>
      </c>
      <c r="HU70">
        <v>5.20336</v>
      </c>
      <c r="HV70">
        <v>12.004</v>
      </c>
      <c r="HW70">
        <v>4.9756</v>
      </c>
      <c r="HX70">
        <v>3.29303</v>
      </c>
      <c r="HY70">
        <v>9999</v>
      </c>
      <c r="HZ70">
        <v>999.9</v>
      </c>
      <c r="IA70">
        <v>9999</v>
      </c>
      <c r="IB70">
        <v>9999</v>
      </c>
      <c r="IC70">
        <v>1.86325</v>
      </c>
      <c r="ID70">
        <v>1.86804</v>
      </c>
      <c r="IE70">
        <v>1.86783</v>
      </c>
      <c r="IF70">
        <v>1.86905</v>
      </c>
      <c r="IG70">
        <v>1.86981</v>
      </c>
      <c r="IH70">
        <v>1.86584</v>
      </c>
      <c r="II70">
        <v>1.86691</v>
      </c>
      <c r="IJ70">
        <v>1.8684</v>
      </c>
      <c r="IK70">
        <v>5</v>
      </c>
      <c r="IL70">
        <v>0</v>
      </c>
      <c r="IM70">
        <v>0</v>
      </c>
      <c r="IN70">
        <v>0</v>
      </c>
      <c r="IO70" t="s">
        <v>441</v>
      </c>
      <c r="IP70" t="s">
        <v>442</v>
      </c>
      <c r="IQ70" t="s">
        <v>443</v>
      </c>
      <c r="IR70" t="s">
        <v>443</v>
      </c>
      <c r="IS70" t="s">
        <v>443</v>
      </c>
      <c r="IT70" t="s">
        <v>443</v>
      </c>
      <c r="IU70">
        <v>0</v>
      </c>
      <c r="IV70">
        <v>100</v>
      </c>
      <c r="IW70">
        <v>100</v>
      </c>
      <c r="IX70">
        <v>4.413</v>
      </c>
      <c r="IY70">
        <v>-0.1117</v>
      </c>
      <c r="IZ70">
        <v>1.12474291219083</v>
      </c>
      <c r="JA70">
        <v>0.00463155566490582</v>
      </c>
      <c r="JB70">
        <v>-1.1358998729424e-06</v>
      </c>
      <c r="JC70">
        <v>3.28704272115545e-10</v>
      </c>
      <c r="JD70">
        <v>-0.0704455108513773</v>
      </c>
      <c r="JE70">
        <v>-0.0251928478371425</v>
      </c>
      <c r="JF70">
        <v>0.00225751704194564</v>
      </c>
      <c r="JG70">
        <v>-3.61734043746866e-05</v>
      </c>
      <c r="JH70">
        <v>1</v>
      </c>
      <c r="JI70">
        <v>2182</v>
      </c>
      <c r="JJ70">
        <v>0</v>
      </c>
      <c r="JK70">
        <v>24</v>
      </c>
      <c r="JL70">
        <v>29349825.8</v>
      </c>
      <c r="JM70">
        <v>29349825.8</v>
      </c>
      <c r="JN70">
        <v>1.84937</v>
      </c>
      <c r="JO70">
        <v>2.61475</v>
      </c>
      <c r="JP70">
        <v>1.54785</v>
      </c>
      <c r="JQ70">
        <v>2.31445</v>
      </c>
      <c r="JR70">
        <v>1.64673</v>
      </c>
      <c r="JS70">
        <v>2.40479</v>
      </c>
      <c r="JT70">
        <v>33.5804</v>
      </c>
      <c r="JU70">
        <v>24.1926</v>
      </c>
      <c r="JV70">
        <v>18</v>
      </c>
      <c r="JW70">
        <v>500.67</v>
      </c>
      <c r="JX70">
        <v>394.373</v>
      </c>
      <c r="JY70">
        <v>12.5099</v>
      </c>
      <c r="JZ70">
        <v>23.9048</v>
      </c>
      <c r="KA70">
        <v>30.0021</v>
      </c>
      <c r="KB70">
        <v>23.923</v>
      </c>
      <c r="KC70">
        <v>23.8932</v>
      </c>
      <c r="KD70">
        <v>37.0618</v>
      </c>
      <c r="KE70">
        <v>9.91517</v>
      </c>
      <c r="KF70">
        <v>23.3636</v>
      </c>
      <c r="KG70">
        <v>12.4075</v>
      </c>
      <c r="KH70">
        <v>906.47</v>
      </c>
      <c r="KI70">
        <v>8.94945</v>
      </c>
      <c r="KJ70">
        <v>97.0445</v>
      </c>
      <c r="KK70">
        <v>95.3038</v>
      </c>
    </row>
    <row r="71" spans="1:297">
      <c r="A71">
        <v>55</v>
      </c>
      <c r="B71">
        <v>1760989552.1</v>
      </c>
      <c r="C71">
        <v>362</v>
      </c>
      <c r="D71" t="s">
        <v>552</v>
      </c>
      <c r="E71" t="s">
        <v>553</v>
      </c>
      <c r="F71">
        <v>5</v>
      </c>
      <c r="G71" t="s">
        <v>435</v>
      </c>
      <c r="H71" t="s">
        <v>436</v>
      </c>
      <c r="I71">
        <v>1760989543.94615</v>
      </c>
      <c r="J71">
        <f>(K71)/1000</f>
        <v>0</v>
      </c>
      <c r="K71">
        <f>IF(DP71, AN71, AH71)</f>
        <v>0</v>
      </c>
      <c r="L71">
        <f>IF(DP71, AI71, AG71)</f>
        <v>0</v>
      </c>
      <c r="M71">
        <f>DR71 - IF(AU71&gt;1, L71*DL71*100.0/(AW71), 0)</f>
        <v>0</v>
      </c>
      <c r="N71">
        <f>((T71-J71/2)*M71-L71)/(T71+J71/2)</f>
        <v>0</v>
      </c>
      <c r="O71">
        <f>N71*(DY71+DZ71)/1000.0</f>
        <v>0</v>
      </c>
      <c r="P71">
        <f>(DR71 - IF(AU71&gt;1, L71*DL71*100.0/(AW71), 0))*(DY71+DZ71)/1000.0</f>
        <v>0</v>
      </c>
      <c r="Q71">
        <f>2.0/((1/S71-1/R71)+SIGN(S71)*SQRT((1/S71-1/R71)*(1/S71-1/R71) + 4*DM71/((DM71+1)*(DM71+1))*(2*1/S71*1/R71-1/R71*1/R71)))</f>
        <v>0</v>
      </c>
      <c r="R71">
        <f>IF(LEFT(DN71,1)&lt;&gt;"0",IF(LEFT(DN71,1)="1",3.0,DO71),$D$5+$E$5*(EF71*DY71/($K$5*1000))+$F$5*(EF71*DY71/($K$5*1000))*MAX(MIN(DL71,$J$5),$I$5)*MAX(MIN(DL71,$J$5),$I$5)+$G$5*MAX(MIN(DL71,$J$5),$I$5)*(EF71*DY71/($K$5*1000))+$H$5*(EF71*DY71/($K$5*1000))*(EF71*DY71/($K$5*1000)))</f>
        <v>0</v>
      </c>
      <c r="S71">
        <f>J71*(1000-(1000*0.61365*exp(17.502*W71/(240.97+W71))/(DY71+DZ71)+DT71)/2)/(1000*0.61365*exp(17.502*W71/(240.97+W71))/(DY71+DZ71)-DT71)</f>
        <v>0</v>
      </c>
      <c r="T71">
        <f>1/((DM71+1)/(Q71/1.6)+1/(R71/1.37)) + DM71/((DM71+1)/(Q71/1.6) + DM71/(R71/1.37))</f>
        <v>0</v>
      </c>
      <c r="U71">
        <f>(DH71*DK71)</f>
        <v>0</v>
      </c>
      <c r="V71">
        <f>(EA71+(U71+2*0.95*5.67E-8*(((EA71+$B$7)+273)^4-(EA71+273)^4)-44100*J71)/(1.84*29.3*R71+8*0.95*5.67E-8*(EA71+273)^3))</f>
        <v>0</v>
      </c>
      <c r="W71">
        <f>($C$7*EB71+$D$7*EC71+$E$7*V71)</f>
        <v>0</v>
      </c>
      <c r="X71">
        <f>0.61365*exp(17.502*W71/(240.97+W71))</f>
        <v>0</v>
      </c>
      <c r="Y71">
        <f>(Z71/AA71*100)</f>
        <v>0</v>
      </c>
      <c r="Z71">
        <f>DT71*(DY71+DZ71)/1000</f>
        <v>0</v>
      </c>
      <c r="AA71">
        <f>0.61365*exp(17.502*EA71/(240.97+EA71))</f>
        <v>0</v>
      </c>
      <c r="AB71">
        <f>(X71-DT71*(DY71+DZ71)/1000)</f>
        <v>0</v>
      </c>
      <c r="AC71">
        <f>(-J71*44100)</f>
        <v>0</v>
      </c>
      <c r="AD71">
        <f>2*29.3*R71*0.92*(EA71-W71)</f>
        <v>0</v>
      </c>
      <c r="AE71">
        <f>2*0.95*5.67E-8*(((EA71+$B$7)+273)^4-(W71+273)^4)</f>
        <v>0</v>
      </c>
      <c r="AF71">
        <f>U71+AE71+AC71+AD71</f>
        <v>0</v>
      </c>
      <c r="AG71">
        <f>DX71*AU71*(DS71-DR71*(1000-AU71*DU71)/(1000-AU71*DT71))/(100*DL71)</f>
        <v>0</v>
      </c>
      <c r="AH71">
        <f>1000*DX71*AU71*(DT71-DU71)/(100*DL71*(1000-AU71*DT71))</f>
        <v>0</v>
      </c>
      <c r="AI71">
        <f>(AJ71 - AK71 - DY71*1E3/(8.314*(EA71+273.15)) * AM71/DX71 * AL71) * DX71/(100*DL71) * (1000 - DU71)/1000</f>
        <v>0</v>
      </c>
      <c r="AJ71">
        <v>899.484146556164</v>
      </c>
      <c r="AK71">
        <v>869.219066666667</v>
      </c>
      <c r="AL71">
        <v>3.36824094633156</v>
      </c>
      <c r="AM71">
        <v>64.8413469339502</v>
      </c>
      <c r="AN71">
        <f>(AP71 - AO71 + DY71*1E3/(8.314*(EA71+273.15)) * AR71/DX71 * AQ71) * DX71/(100*DL71) * 1000/(1000 - AP71)</f>
        <v>0</v>
      </c>
      <c r="AO71">
        <v>8.90576838072143</v>
      </c>
      <c r="AP71">
        <v>11.7557375757576</v>
      </c>
      <c r="AQ71">
        <v>-0.00539560202474738</v>
      </c>
      <c r="AR71">
        <v>118.472689631034</v>
      </c>
      <c r="AS71">
        <v>0</v>
      </c>
      <c r="AT71">
        <v>0</v>
      </c>
      <c r="AU71">
        <f>IF(AS71*$H$13&gt;=AW71,1.0,(AW71/(AW71-AS71*$H$13)))</f>
        <v>0</v>
      </c>
      <c r="AV71">
        <f>(AU71-1)*100</f>
        <v>0</v>
      </c>
      <c r="AW71">
        <f>MAX(0,($B$13+$C$13*EF71)/(1+$D$13*EF71)*DY71/(EA71+273)*$E$13)</f>
        <v>0</v>
      </c>
      <c r="AX71" t="s">
        <v>437</v>
      </c>
      <c r="AY71" t="s">
        <v>437</v>
      </c>
      <c r="AZ71">
        <v>0</v>
      </c>
      <c r="BA71">
        <v>0</v>
      </c>
      <c r="BB71">
        <f>1-AZ71/BA71</f>
        <v>0</v>
      </c>
      <c r="BC71">
        <v>0</v>
      </c>
      <c r="BD71" t="s">
        <v>437</v>
      </c>
      <c r="BE71" t="s">
        <v>437</v>
      </c>
      <c r="BF71">
        <v>0</v>
      </c>
      <c r="BG71">
        <v>0</v>
      </c>
      <c r="BH71">
        <f>1-BF71/BG71</f>
        <v>0</v>
      </c>
      <c r="BI71">
        <v>0.5</v>
      </c>
      <c r="BJ71">
        <f>DI71</f>
        <v>0</v>
      </c>
      <c r="BK71">
        <f>L71</f>
        <v>0</v>
      </c>
      <c r="BL71">
        <f>BH71*BI71*BJ71</f>
        <v>0</v>
      </c>
      <c r="BM71">
        <f>(BK71-BC71)/BJ71</f>
        <v>0</v>
      </c>
      <c r="BN71">
        <f>(BA71-BG71)/BG71</f>
        <v>0</v>
      </c>
      <c r="BO71">
        <f>AZ71/(BB71+AZ71/BG71)</f>
        <v>0</v>
      </c>
      <c r="BP71" t="s">
        <v>437</v>
      </c>
      <c r="BQ71">
        <v>0</v>
      </c>
      <c r="BR71">
        <f>IF(BQ71&lt;&gt;0, BQ71, BO71)</f>
        <v>0</v>
      </c>
      <c r="BS71">
        <f>1-BR71/BG71</f>
        <v>0</v>
      </c>
      <c r="BT71">
        <f>(BG71-BF71)/(BG71-BR71)</f>
        <v>0</v>
      </c>
      <c r="BU71">
        <f>(BA71-BG71)/(BA71-BR71)</f>
        <v>0</v>
      </c>
      <c r="BV71">
        <f>(BG71-BF71)/(BG71-AZ71)</f>
        <v>0</v>
      </c>
      <c r="BW71">
        <f>(BA71-BG71)/(BA71-AZ71)</f>
        <v>0</v>
      </c>
      <c r="BX71">
        <f>(BT71*BR71/BF71)</f>
        <v>0</v>
      </c>
      <c r="BY71">
        <f>(1-BX71)</f>
        <v>0</v>
      </c>
      <c r="DH71">
        <f>$B$11*EG71+$C$11*EH71+$F$11*ES71*(1-EV71)</f>
        <v>0</v>
      </c>
      <c r="DI71">
        <f>DH71*DJ71</f>
        <v>0</v>
      </c>
      <c r="DJ71">
        <f>($B$11*$D$9+$C$11*$D$9+$F$11*((FF71+EX71)/MAX(FF71+EX71+FG71, 0.1)*$I$9+FG71/MAX(FF71+EX71+FG71, 0.1)*$J$9))/($B$11+$C$11+$F$11)</f>
        <v>0</v>
      </c>
      <c r="DK71">
        <f>($B$11*$K$9+$C$11*$K$9+$F$11*((FF71+EX71)/MAX(FF71+EX71+FG71, 0.1)*$P$9+FG71/MAX(FF71+EX71+FG71, 0.1)*$Q$9))/($B$11+$C$11+$F$11)</f>
        <v>0</v>
      </c>
      <c r="DL71">
        <v>6</v>
      </c>
      <c r="DM71">
        <v>0.5</v>
      </c>
      <c r="DN71" t="s">
        <v>438</v>
      </c>
      <c r="DO71">
        <v>2</v>
      </c>
      <c r="DP71" t="b">
        <v>1</v>
      </c>
      <c r="DQ71">
        <v>1760989543.94615</v>
      </c>
      <c r="DR71">
        <v>835.219384615385</v>
      </c>
      <c r="DS71">
        <v>875.873538461538</v>
      </c>
      <c r="DT71">
        <v>11.7847230769231</v>
      </c>
      <c r="DU71">
        <v>8.91884384615385</v>
      </c>
      <c r="DV71">
        <v>830.842153846154</v>
      </c>
      <c r="DW71">
        <v>11.8963</v>
      </c>
      <c r="DX71">
        <v>500.006538461538</v>
      </c>
      <c r="DY71">
        <v>89.8637461538462</v>
      </c>
      <c r="DZ71">
        <v>0.00779747384615385</v>
      </c>
      <c r="EA71">
        <v>18.4098923076923</v>
      </c>
      <c r="EB71">
        <v>18.0071</v>
      </c>
      <c r="EC71">
        <v>999.9</v>
      </c>
      <c r="ED71">
        <v>0</v>
      </c>
      <c r="EE71">
        <v>0</v>
      </c>
      <c r="EF71">
        <v>10002.1884615385</v>
      </c>
      <c r="EG71">
        <v>0</v>
      </c>
      <c r="EH71">
        <v>1270.16307692308</v>
      </c>
      <c r="EI71">
        <v>-40.6543076923077</v>
      </c>
      <c r="EJ71">
        <v>845.179153846154</v>
      </c>
      <c r="EK71">
        <v>883.755307692308</v>
      </c>
      <c r="EL71">
        <v>2.86588307692308</v>
      </c>
      <c r="EM71">
        <v>875.873538461538</v>
      </c>
      <c r="EN71">
        <v>8.91884384615385</v>
      </c>
      <c r="EO71">
        <v>1.05902</v>
      </c>
      <c r="EP71">
        <v>0.801480923076923</v>
      </c>
      <c r="EQ71">
        <v>7.75468384615385</v>
      </c>
      <c r="ER71">
        <v>3.73352307692308</v>
      </c>
      <c r="ES71">
        <v>1199.99</v>
      </c>
      <c r="ET71">
        <v>0.966999846153846</v>
      </c>
      <c r="EU71">
        <v>0.0329999384615385</v>
      </c>
      <c r="EV71">
        <v>0</v>
      </c>
      <c r="EW71">
        <v>1337.26538461538</v>
      </c>
      <c r="EX71">
        <v>5.00059</v>
      </c>
      <c r="EY71">
        <v>15734.5461538462</v>
      </c>
      <c r="EZ71">
        <v>10358.6153846154</v>
      </c>
      <c r="FA71">
        <v>37.5671538461538</v>
      </c>
      <c r="FB71">
        <v>40.3073846153846</v>
      </c>
      <c r="FC71">
        <v>38.1968461538462</v>
      </c>
      <c r="FD71">
        <v>39.8603846153846</v>
      </c>
      <c r="FE71">
        <v>38.6921538461538</v>
      </c>
      <c r="FF71">
        <v>1155.55538461538</v>
      </c>
      <c r="FG71">
        <v>39.4338461538462</v>
      </c>
      <c r="FH71">
        <v>0</v>
      </c>
      <c r="FI71">
        <v>1760989521.7</v>
      </c>
      <c r="FJ71">
        <v>0</v>
      </c>
      <c r="FK71">
        <v>1337.338</v>
      </c>
      <c r="FL71">
        <v>0.529230778037054</v>
      </c>
      <c r="FM71">
        <v>43.2230768295336</v>
      </c>
      <c r="FN71">
        <v>15735.416</v>
      </c>
      <c r="FO71">
        <v>15</v>
      </c>
      <c r="FP71">
        <v>0</v>
      </c>
      <c r="FQ71" t="s">
        <v>439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-40.4925714285714</v>
      </c>
      <c r="GD71">
        <v>-0.688161038961035</v>
      </c>
      <c r="GE71">
        <v>0.592950748892558</v>
      </c>
      <c r="GF71">
        <v>0</v>
      </c>
      <c r="GG71">
        <v>1337.24</v>
      </c>
      <c r="GH71">
        <v>0.889839580473435</v>
      </c>
      <c r="GI71">
        <v>0.247885172657699</v>
      </c>
      <c r="GJ71">
        <v>-1</v>
      </c>
      <c r="GK71">
        <v>2.85434714285714</v>
      </c>
      <c r="GL71">
        <v>0.176537142857145</v>
      </c>
      <c r="GM71">
        <v>0.0236354153444233</v>
      </c>
      <c r="GN71">
        <v>0</v>
      </c>
      <c r="GO71">
        <v>0</v>
      </c>
      <c r="GP71">
        <v>2</v>
      </c>
      <c r="GQ71" t="s">
        <v>519</v>
      </c>
      <c r="GR71">
        <v>3.13072</v>
      </c>
      <c r="GS71">
        <v>2.68559</v>
      </c>
      <c r="GT71">
        <v>0.149679</v>
      </c>
      <c r="GU71">
        <v>0.154773</v>
      </c>
      <c r="GV71">
        <v>0.0614654</v>
      </c>
      <c r="GW71">
        <v>0.0494079</v>
      </c>
      <c r="GX71">
        <v>32228</v>
      </c>
      <c r="GY71">
        <v>34422.5</v>
      </c>
      <c r="GZ71">
        <v>34266.8</v>
      </c>
      <c r="HA71">
        <v>36848.8</v>
      </c>
      <c r="HB71">
        <v>45370</v>
      </c>
      <c r="HC71">
        <v>50235.9</v>
      </c>
      <c r="HD71">
        <v>53340.7</v>
      </c>
      <c r="HE71">
        <v>58775.4</v>
      </c>
      <c r="HF71">
        <v>2.00898</v>
      </c>
      <c r="HG71">
        <v>1.83745</v>
      </c>
      <c r="HH71">
        <v>0.0329688</v>
      </c>
      <c r="HI71">
        <v>0</v>
      </c>
      <c r="HJ71">
        <v>17.4513</v>
      </c>
      <c r="HK71">
        <v>999.9</v>
      </c>
      <c r="HL71">
        <v>25.931</v>
      </c>
      <c r="HM71">
        <v>30.283</v>
      </c>
      <c r="HN71">
        <v>12.4953</v>
      </c>
      <c r="HO71">
        <v>54.1591</v>
      </c>
      <c r="HP71">
        <v>44.1346</v>
      </c>
      <c r="HQ71">
        <v>1</v>
      </c>
      <c r="HR71">
        <v>-0.267607</v>
      </c>
      <c r="HS71">
        <v>4.24491</v>
      </c>
      <c r="HT71">
        <v>20.0861</v>
      </c>
      <c r="HU71">
        <v>5.20202</v>
      </c>
      <c r="HV71">
        <v>12.004</v>
      </c>
      <c r="HW71">
        <v>4.9758</v>
      </c>
      <c r="HX71">
        <v>3.293</v>
      </c>
      <c r="HY71">
        <v>9999</v>
      </c>
      <c r="HZ71">
        <v>999.9</v>
      </c>
      <c r="IA71">
        <v>9999</v>
      </c>
      <c r="IB71">
        <v>9999</v>
      </c>
      <c r="IC71">
        <v>1.86325</v>
      </c>
      <c r="ID71">
        <v>1.86804</v>
      </c>
      <c r="IE71">
        <v>1.86783</v>
      </c>
      <c r="IF71">
        <v>1.86905</v>
      </c>
      <c r="IG71">
        <v>1.86981</v>
      </c>
      <c r="IH71">
        <v>1.86584</v>
      </c>
      <c r="II71">
        <v>1.86692</v>
      </c>
      <c r="IJ71">
        <v>1.86838</v>
      </c>
      <c r="IK71">
        <v>5</v>
      </c>
      <c r="IL71">
        <v>0</v>
      </c>
      <c r="IM71">
        <v>0</v>
      </c>
      <c r="IN71">
        <v>0</v>
      </c>
      <c r="IO71" t="s">
        <v>441</v>
      </c>
      <c r="IP71" t="s">
        <v>442</v>
      </c>
      <c r="IQ71" t="s">
        <v>443</v>
      </c>
      <c r="IR71" t="s">
        <v>443</v>
      </c>
      <c r="IS71" t="s">
        <v>443</v>
      </c>
      <c r="IT71" t="s">
        <v>443</v>
      </c>
      <c r="IU71">
        <v>0</v>
      </c>
      <c r="IV71">
        <v>100</v>
      </c>
      <c r="IW71">
        <v>100</v>
      </c>
      <c r="IX71">
        <v>4.47</v>
      </c>
      <c r="IY71">
        <v>-0.112</v>
      </c>
      <c r="IZ71">
        <v>1.12474291219083</v>
      </c>
      <c r="JA71">
        <v>0.00463155566490582</v>
      </c>
      <c r="JB71">
        <v>-1.1358998729424e-06</v>
      </c>
      <c r="JC71">
        <v>3.28704272115545e-10</v>
      </c>
      <c r="JD71">
        <v>-0.0704455108513773</v>
      </c>
      <c r="JE71">
        <v>-0.0251928478371425</v>
      </c>
      <c r="JF71">
        <v>0.00225751704194564</v>
      </c>
      <c r="JG71">
        <v>-3.61734043746866e-05</v>
      </c>
      <c r="JH71">
        <v>1</v>
      </c>
      <c r="JI71">
        <v>2182</v>
      </c>
      <c r="JJ71">
        <v>0</v>
      </c>
      <c r="JK71">
        <v>24</v>
      </c>
      <c r="JL71">
        <v>29349825.9</v>
      </c>
      <c r="JM71">
        <v>29349825.9</v>
      </c>
      <c r="JN71">
        <v>1.87622</v>
      </c>
      <c r="JO71">
        <v>2.61719</v>
      </c>
      <c r="JP71">
        <v>1.54785</v>
      </c>
      <c r="JQ71">
        <v>2.31445</v>
      </c>
      <c r="JR71">
        <v>1.64673</v>
      </c>
      <c r="JS71">
        <v>2.41333</v>
      </c>
      <c r="JT71">
        <v>33.5804</v>
      </c>
      <c r="JU71">
        <v>24.1926</v>
      </c>
      <c r="JV71">
        <v>18</v>
      </c>
      <c r="JW71">
        <v>500.815</v>
      </c>
      <c r="JX71">
        <v>394.321</v>
      </c>
      <c r="JY71">
        <v>12.403</v>
      </c>
      <c r="JZ71">
        <v>23.9048</v>
      </c>
      <c r="KA71">
        <v>30.0005</v>
      </c>
      <c r="KB71">
        <v>23.923</v>
      </c>
      <c r="KC71">
        <v>23.8932</v>
      </c>
      <c r="KD71">
        <v>37.5686</v>
      </c>
      <c r="KE71">
        <v>9.91517</v>
      </c>
      <c r="KF71">
        <v>23.3636</v>
      </c>
      <c r="KG71">
        <v>12.4061</v>
      </c>
      <c r="KH71">
        <v>926.796</v>
      </c>
      <c r="KI71">
        <v>8.97254</v>
      </c>
      <c r="KJ71">
        <v>97.0441</v>
      </c>
      <c r="KK71">
        <v>95.3021</v>
      </c>
    </row>
    <row r="72" spans="1:297">
      <c r="A72">
        <v>56</v>
      </c>
      <c r="B72">
        <v>1760989557.1</v>
      </c>
      <c r="C72">
        <v>367</v>
      </c>
      <c r="D72" t="s">
        <v>554</v>
      </c>
      <c r="E72" t="s">
        <v>555</v>
      </c>
      <c r="F72">
        <v>5</v>
      </c>
      <c r="G72" t="s">
        <v>435</v>
      </c>
      <c r="H72" t="s">
        <v>436</v>
      </c>
      <c r="I72">
        <v>1760989548.94615</v>
      </c>
      <c r="J72">
        <f>(K72)/1000</f>
        <v>0</v>
      </c>
      <c r="K72">
        <f>IF(DP72, AN72, AH72)</f>
        <v>0</v>
      </c>
      <c r="L72">
        <f>IF(DP72, AI72, AG72)</f>
        <v>0</v>
      </c>
      <c r="M72">
        <f>DR72 - IF(AU72&gt;1, L72*DL72*100.0/(AW72), 0)</f>
        <v>0</v>
      </c>
      <c r="N72">
        <f>((T72-J72/2)*M72-L72)/(T72+J72/2)</f>
        <v>0</v>
      </c>
      <c r="O72">
        <f>N72*(DY72+DZ72)/1000.0</f>
        <v>0</v>
      </c>
      <c r="P72">
        <f>(DR72 - IF(AU72&gt;1, L72*DL72*100.0/(AW72), 0))*(DY72+DZ72)/1000.0</f>
        <v>0</v>
      </c>
      <c r="Q72">
        <f>2.0/((1/S72-1/R72)+SIGN(S72)*SQRT((1/S72-1/R72)*(1/S72-1/R72) + 4*DM72/((DM72+1)*(DM72+1))*(2*1/S72*1/R72-1/R72*1/R72)))</f>
        <v>0</v>
      </c>
      <c r="R72">
        <f>IF(LEFT(DN72,1)&lt;&gt;"0",IF(LEFT(DN72,1)="1",3.0,DO72),$D$5+$E$5*(EF72*DY72/($K$5*1000))+$F$5*(EF72*DY72/($K$5*1000))*MAX(MIN(DL72,$J$5),$I$5)*MAX(MIN(DL72,$J$5),$I$5)+$G$5*MAX(MIN(DL72,$J$5),$I$5)*(EF72*DY72/($K$5*1000))+$H$5*(EF72*DY72/($K$5*1000))*(EF72*DY72/($K$5*1000)))</f>
        <v>0</v>
      </c>
      <c r="S72">
        <f>J72*(1000-(1000*0.61365*exp(17.502*W72/(240.97+W72))/(DY72+DZ72)+DT72)/2)/(1000*0.61365*exp(17.502*W72/(240.97+W72))/(DY72+DZ72)-DT72)</f>
        <v>0</v>
      </c>
      <c r="T72">
        <f>1/((DM72+1)/(Q72/1.6)+1/(R72/1.37)) + DM72/((DM72+1)/(Q72/1.6) + DM72/(R72/1.37))</f>
        <v>0</v>
      </c>
      <c r="U72">
        <f>(DH72*DK72)</f>
        <v>0</v>
      </c>
      <c r="V72">
        <f>(EA72+(U72+2*0.95*5.67E-8*(((EA72+$B$7)+273)^4-(EA72+273)^4)-44100*J72)/(1.84*29.3*R72+8*0.95*5.67E-8*(EA72+273)^3))</f>
        <v>0</v>
      </c>
      <c r="W72">
        <f>($C$7*EB72+$D$7*EC72+$E$7*V72)</f>
        <v>0</v>
      </c>
      <c r="X72">
        <f>0.61365*exp(17.502*W72/(240.97+W72))</f>
        <v>0</v>
      </c>
      <c r="Y72">
        <f>(Z72/AA72*100)</f>
        <v>0</v>
      </c>
      <c r="Z72">
        <f>DT72*(DY72+DZ72)/1000</f>
        <v>0</v>
      </c>
      <c r="AA72">
        <f>0.61365*exp(17.502*EA72/(240.97+EA72))</f>
        <v>0</v>
      </c>
      <c r="AB72">
        <f>(X72-DT72*(DY72+DZ72)/1000)</f>
        <v>0</v>
      </c>
      <c r="AC72">
        <f>(-J72*44100)</f>
        <v>0</v>
      </c>
      <c r="AD72">
        <f>2*29.3*R72*0.92*(EA72-W72)</f>
        <v>0</v>
      </c>
      <c r="AE72">
        <f>2*0.95*5.67E-8*(((EA72+$B$7)+273)^4-(W72+273)^4)</f>
        <v>0</v>
      </c>
      <c r="AF72">
        <f>U72+AE72+AC72+AD72</f>
        <v>0</v>
      </c>
      <c r="AG72">
        <f>DX72*AU72*(DS72-DR72*(1000-AU72*DU72)/(1000-AU72*DT72))/(100*DL72)</f>
        <v>0</v>
      </c>
      <c r="AH72">
        <f>1000*DX72*AU72*(DT72-DU72)/(100*DL72*(1000-AU72*DT72))</f>
        <v>0</v>
      </c>
      <c r="AI72">
        <f>(AJ72 - AK72 - DY72*1E3/(8.314*(EA72+273.15)) * AM72/DX72 * AL72) * DX72/(100*DL72) * (1000 - DU72)/1000</f>
        <v>0</v>
      </c>
      <c r="AJ72">
        <v>915.964282005704</v>
      </c>
      <c r="AK72">
        <v>885.763393939394</v>
      </c>
      <c r="AL72">
        <v>3.2879875108233</v>
      </c>
      <c r="AM72">
        <v>64.8413469339502</v>
      </c>
      <c r="AN72">
        <f>(AP72 - AO72 + DY72*1E3/(8.314*(EA72+273.15)) * AR72/DX72 * AQ72) * DX72/(100*DL72) * 1000/(1000 - AP72)</f>
        <v>0</v>
      </c>
      <c r="AO72">
        <v>8.90730953043645</v>
      </c>
      <c r="AP72">
        <v>11.7430854545454</v>
      </c>
      <c r="AQ72">
        <v>-0.000928109110363688</v>
      </c>
      <c r="AR72">
        <v>118.472689631034</v>
      </c>
      <c r="AS72">
        <v>0</v>
      </c>
      <c r="AT72">
        <v>0</v>
      </c>
      <c r="AU72">
        <f>IF(AS72*$H$13&gt;=AW72,1.0,(AW72/(AW72-AS72*$H$13)))</f>
        <v>0</v>
      </c>
      <c r="AV72">
        <f>(AU72-1)*100</f>
        <v>0</v>
      </c>
      <c r="AW72">
        <f>MAX(0,($B$13+$C$13*EF72)/(1+$D$13*EF72)*DY72/(EA72+273)*$E$13)</f>
        <v>0</v>
      </c>
      <c r="AX72" t="s">
        <v>437</v>
      </c>
      <c r="AY72" t="s">
        <v>437</v>
      </c>
      <c r="AZ72">
        <v>0</v>
      </c>
      <c r="BA72">
        <v>0</v>
      </c>
      <c r="BB72">
        <f>1-AZ72/BA72</f>
        <v>0</v>
      </c>
      <c r="BC72">
        <v>0</v>
      </c>
      <c r="BD72" t="s">
        <v>437</v>
      </c>
      <c r="BE72" t="s">
        <v>437</v>
      </c>
      <c r="BF72">
        <v>0</v>
      </c>
      <c r="BG72">
        <v>0</v>
      </c>
      <c r="BH72">
        <f>1-BF72/BG72</f>
        <v>0</v>
      </c>
      <c r="BI72">
        <v>0.5</v>
      </c>
      <c r="BJ72">
        <f>DI72</f>
        <v>0</v>
      </c>
      <c r="BK72">
        <f>L72</f>
        <v>0</v>
      </c>
      <c r="BL72">
        <f>BH72*BI72*BJ72</f>
        <v>0</v>
      </c>
      <c r="BM72">
        <f>(BK72-BC72)/BJ72</f>
        <v>0</v>
      </c>
      <c r="BN72">
        <f>(BA72-BG72)/BG72</f>
        <v>0</v>
      </c>
      <c r="BO72">
        <f>AZ72/(BB72+AZ72/BG72)</f>
        <v>0</v>
      </c>
      <c r="BP72" t="s">
        <v>437</v>
      </c>
      <c r="BQ72">
        <v>0</v>
      </c>
      <c r="BR72">
        <f>IF(BQ72&lt;&gt;0, BQ72, BO72)</f>
        <v>0</v>
      </c>
      <c r="BS72">
        <f>1-BR72/BG72</f>
        <v>0</v>
      </c>
      <c r="BT72">
        <f>(BG72-BF72)/(BG72-BR72)</f>
        <v>0</v>
      </c>
      <c r="BU72">
        <f>(BA72-BG72)/(BA72-BR72)</f>
        <v>0</v>
      </c>
      <c r="BV72">
        <f>(BG72-BF72)/(BG72-AZ72)</f>
        <v>0</v>
      </c>
      <c r="BW72">
        <f>(BA72-BG72)/(BA72-AZ72)</f>
        <v>0</v>
      </c>
      <c r="BX72">
        <f>(BT72*BR72/BF72)</f>
        <v>0</v>
      </c>
      <c r="BY72">
        <f>(1-BX72)</f>
        <v>0</v>
      </c>
      <c r="DH72">
        <f>$B$11*EG72+$C$11*EH72+$F$11*ES72*(1-EV72)</f>
        <v>0</v>
      </c>
      <c r="DI72">
        <f>DH72*DJ72</f>
        <v>0</v>
      </c>
      <c r="DJ72">
        <f>($B$11*$D$9+$C$11*$D$9+$F$11*((FF72+EX72)/MAX(FF72+EX72+FG72, 0.1)*$I$9+FG72/MAX(FF72+EX72+FG72, 0.1)*$J$9))/($B$11+$C$11+$F$11)</f>
        <v>0</v>
      </c>
      <c r="DK72">
        <f>($B$11*$K$9+$C$11*$K$9+$F$11*((FF72+EX72)/MAX(FF72+EX72+FG72, 0.1)*$P$9+FG72/MAX(FF72+EX72+FG72, 0.1)*$Q$9))/($B$11+$C$11+$F$11)</f>
        <v>0</v>
      </c>
      <c r="DL72">
        <v>6</v>
      </c>
      <c r="DM72">
        <v>0.5</v>
      </c>
      <c r="DN72" t="s">
        <v>438</v>
      </c>
      <c r="DO72">
        <v>2</v>
      </c>
      <c r="DP72" t="b">
        <v>1</v>
      </c>
      <c r="DQ72">
        <v>1760989548.94615</v>
      </c>
      <c r="DR72">
        <v>851.850615384615</v>
      </c>
      <c r="DS72">
        <v>892.241538461539</v>
      </c>
      <c r="DT72">
        <v>11.7671461538462</v>
      </c>
      <c r="DU72">
        <v>8.90706538461538</v>
      </c>
      <c r="DV72">
        <v>847.416769230769</v>
      </c>
      <c r="DW72">
        <v>11.8789461538462</v>
      </c>
      <c r="DX72">
        <v>500.004923076923</v>
      </c>
      <c r="DY72">
        <v>89.8637461538462</v>
      </c>
      <c r="DZ72">
        <v>0.00782531538461538</v>
      </c>
      <c r="EA72">
        <v>18.4103307692308</v>
      </c>
      <c r="EB72">
        <v>18.0032076923077</v>
      </c>
      <c r="EC72">
        <v>999.9</v>
      </c>
      <c r="ED72">
        <v>0</v>
      </c>
      <c r="EE72">
        <v>0</v>
      </c>
      <c r="EF72">
        <v>9998.92307692308</v>
      </c>
      <c r="EG72">
        <v>0</v>
      </c>
      <c r="EH72">
        <v>1270.15153846154</v>
      </c>
      <c r="EI72">
        <v>-40.3910769230769</v>
      </c>
      <c r="EJ72">
        <v>861.993461538461</v>
      </c>
      <c r="EK72">
        <v>900.260230769231</v>
      </c>
      <c r="EL72">
        <v>2.86009230769231</v>
      </c>
      <c r="EM72">
        <v>892.241538461539</v>
      </c>
      <c r="EN72">
        <v>8.90706538461538</v>
      </c>
      <c r="EO72">
        <v>1.05744076923077</v>
      </c>
      <c r="EP72">
        <v>0.800422384615385</v>
      </c>
      <c r="EQ72">
        <v>7.73279692307692</v>
      </c>
      <c r="ER72">
        <v>3.71479461538462</v>
      </c>
      <c r="ES72">
        <v>1200.02923076923</v>
      </c>
      <c r="ET72">
        <v>0.967001923076923</v>
      </c>
      <c r="EU72">
        <v>0.0329979461538462</v>
      </c>
      <c r="EV72">
        <v>0</v>
      </c>
      <c r="EW72">
        <v>1337.35307692308</v>
      </c>
      <c r="EX72">
        <v>5.00059</v>
      </c>
      <c r="EY72">
        <v>15738.5846153846</v>
      </c>
      <c r="EZ72">
        <v>10358.9538461538</v>
      </c>
      <c r="FA72">
        <v>37.6343846153846</v>
      </c>
      <c r="FB72">
        <v>40.3891538461538</v>
      </c>
      <c r="FC72">
        <v>38.2640769230769</v>
      </c>
      <c r="FD72">
        <v>39.9805384615385</v>
      </c>
      <c r="FE72">
        <v>38.7545384615385</v>
      </c>
      <c r="FF72">
        <v>1155.59769230769</v>
      </c>
      <c r="FG72">
        <v>39.4307692307692</v>
      </c>
      <c r="FH72">
        <v>0</v>
      </c>
      <c r="FI72">
        <v>1760989526.5</v>
      </c>
      <c r="FJ72">
        <v>0</v>
      </c>
      <c r="FK72">
        <v>1337.3572</v>
      </c>
      <c r="FL72">
        <v>0.437692310570344</v>
      </c>
      <c r="FM72">
        <v>44.6615382209957</v>
      </c>
      <c r="FN72">
        <v>15739.072</v>
      </c>
      <c r="FO72">
        <v>15</v>
      </c>
      <c r="FP72">
        <v>0</v>
      </c>
      <c r="FQ72" t="s">
        <v>439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-40.5917714285714</v>
      </c>
      <c r="GD72">
        <v>1.98748051948053</v>
      </c>
      <c r="GE72">
        <v>0.51194535063893</v>
      </c>
      <c r="GF72">
        <v>0</v>
      </c>
      <c r="GG72">
        <v>1337.33147058824</v>
      </c>
      <c r="GH72">
        <v>0.427960281678398</v>
      </c>
      <c r="GI72">
        <v>0.229540876187315</v>
      </c>
      <c r="GJ72">
        <v>-1</v>
      </c>
      <c r="GK72">
        <v>2.85954095238095</v>
      </c>
      <c r="GL72">
        <v>-0.0620041558441524</v>
      </c>
      <c r="GM72">
        <v>0.0178251077348676</v>
      </c>
      <c r="GN72">
        <v>1</v>
      </c>
      <c r="GO72">
        <v>1</v>
      </c>
      <c r="GP72">
        <v>2</v>
      </c>
      <c r="GQ72" t="s">
        <v>446</v>
      </c>
      <c r="GR72">
        <v>3.13053</v>
      </c>
      <c r="GS72">
        <v>2.68614</v>
      </c>
      <c r="GT72">
        <v>0.151556</v>
      </c>
      <c r="GU72">
        <v>0.156666</v>
      </c>
      <c r="GV72">
        <v>0.0614177</v>
      </c>
      <c r="GW72">
        <v>0.0494099</v>
      </c>
      <c r="GX72">
        <v>32157</v>
      </c>
      <c r="GY72">
        <v>34345.2</v>
      </c>
      <c r="GZ72">
        <v>34266.9</v>
      </c>
      <c r="HA72">
        <v>36848.5</v>
      </c>
      <c r="HB72">
        <v>45372.6</v>
      </c>
      <c r="HC72">
        <v>50235.8</v>
      </c>
      <c r="HD72">
        <v>53340.7</v>
      </c>
      <c r="HE72">
        <v>58775.1</v>
      </c>
      <c r="HF72">
        <v>2.0088</v>
      </c>
      <c r="HG72">
        <v>1.83777</v>
      </c>
      <c r="HH72">
        <v>0.0325069</v>
      </c>
      <c r="HI72">
        <v>0</v>
      </c>
      <c r="HJ72">
        <v>17.4513</v>
      </c>
      <c r="HK72">
        <v>999.9</v>
      </c>
      <c r="HL72">
        <v>25.931</v>
      </c>
      <c r="HM72">
        <v>30.283</v>
      </c>
      <c r="HN72">
        <v>12.4958</v>
      </c>
      <c r="HO72">
        <v>54.6491</v>
      </c>
      <c r="HP72">
        <v>44.2788</v>
      </c>
      <c r="HQ72">
        <v>1</v>
      </c>
      <c r="HR72">
        <v>-0.268303</v>
      </c>
      <c r="HS72">
        <v>4.04565</v>
      </c>
      <c r="HT72">
        <v>20.0911</v>
      </c>
      <c r="HU72">
        <v>5.20142</v>
      </c>
      <c r="HV72">
        <v>12.0041</v>
      </c>
      <c r="HW72">
        <v>4.9757</v>
      </c>
      <c r="HX72">
        <v>3.293</v>
      </c>
      <c r="HY72">
        <v>9999</v>
      </c>
      <c r="HZ72">
        <v>999.9</v>
      </c>
      <c r="IA72">
        <v>9999</v>
      </c>
      <c r="IB72">
        <v>9999</v>
      </c>
      <c r="IC72">
        <v>1.86325</v>
      </c>
      <c r="ID72">
        <v>1.86809</v>
      </c>
      <c r="IE72">
        <v>1.86783</v>
      </c>
      <c r="IF72">
        <v>1.86905</v>
      </c>
      <c r="IG72">
        <v>1.86981</v>
      </c>
      <c r="IH72">
        <v>1.86585</v>
      </c>
      <c r="II72">
        <v>1.86692</v>
      </c>
      <c r="IJ72">
        <v>1.8684</v>
      </c>
      <c r="IK72">
        <v>5</v>
      </c>
      <c r="IL72">
        <v>0</v>
      </c>
      <c r="IM72">
        <v>0</v>
      </c>
      <c r="IN72">
        <v>0</v>
      </c>
      <c r="IO72" t="s">
        <v>441</v>
      </c>
      <c r="IP72" t="s">
        <v>442</v>
      </c>
      <c r="IQ72" t="s">
        <v>443</v>
      </c>
      <c r="IR72" t="s">
        <v>443</v>
      </c>
      <c r="IS72" t="s">
        <v>443</v>
      </c>
      <c r="IT72" t="s">
        <v>443</v>
      </c>
      <c r="IU72">
        <v>0</v>
      </c>
      <c r="IV72">
        <v>100</v>
      </c>
      <c r="IW72">
        <v>100</v>
      </c>
      <c r="IX72">
        <v>4.525</v>
      </c>
      <c r="IY72">
        <v>-0.1121</v>
      </c>
      <c r="IZ72">
        <v>1.12474291219083</v>
      </c>
      <c r="JA72">
        <v>0.00463155566490582</v>
      </c>
      <c r="JB72">
        <v>-1.1358998729424e-06</v>
      </c>
      <c r="JC72">
        <v>3.28704272115545e-10</v>
      </c>
      <c r="JD72">
        <v>-0.0704455108513773</v>
      </c>
      <c r="JE72">
        <v>-0.0251928478371425</v>
      </c>
      <c r="JF72">
        <v>0.00225751704194564</v>
      </c>
      <c r="JG72">
        <v>-3.61734043746866e-05</v>
      </c>
      <c r="JH72">
        <v>1</v>
      </c>
      <c r="JI72">
        <v>2182</v>
      </c>
      <c r="JJ72">
        <v>0</v>
      </c>
      <c r="JK72">
        <v>24</v>
      </c>
      <c r="JL72">
        <v>29349826</v>
      </c>
      <c r="JM72">
        <v>29349826</v>
      </c>
      <c r="JN72">
        <v>1.9043</v>
      </c>
      <c r="JO72">
        <v>2.61597</v>
      </c>
      <c r="JP72">
        <v>1.54785</v>
      </c>
      <c r="JQ72">
        <v>2.31445</v>
      </c>
      <c r="JR72">
        <v>1.64673</v>
      </c>
      <c r="JS72">
        <v>2.37305</v>
      </c>
      <c r="JT72">
        <v>33.5804</v>
      </c>
      <c r="JU72">
        <v>24.1926</v>
      </c>
      <c r="JV72">
        <v>18</v>
      </c>
      <c r="JW72">
        <v>500.702</v>
      </c>
      <c r="JX72">
        <v>394.492</v>
      </c>
      <c r="JY72">
        <v>12.3787</v>
      </c>
      <c r="JZ72">
        <v>23.9048</v>
      </c>
      <c r="KA72">
        <v>29.9999</v>
      </c>
      <c r="KB72">
        <v>23.923</v>
      </c>
      <c r="KC72">
        <v>23.8932</v>
      </c>
      <c r="KD72">
        <v>38.1805</v>
      </c>
      <c r="KE72">
        <v>9.61423</v>
      </c>
      <c r="KF72">
        <v>23.3636</v>
      </c>
      <c r="KG72">
        <v>12.3986</v>
      </c>
      <c r="KH72">
        <v>940.367</v>
      </c>
      <c r="KI72">
        <v>8.99528</v>
      </c>
      <c r="KJ72">
        <v>97.0442</v>
      </c>
      <c r="KK72">
        <v>95.3015</v>
      </c>
    </row>
    <row r="73" spans="1:297">
      <c r="A73">
        <v>57</v>
      </c>
      <c r="B73">
        <v>1760989562.1</v>
      </c>
      <c r="C73">
        <v>372</v>
      </c>
      <c r="D73" t="s">
        <v>556</v>
      </c>
      <c r="E73" t="s">
        <v>557</v>
      </c>
      <c r="F73">
        <v>5</v>
      </c>
      <c r="G73" t="s">
        <v>435</v>
      </c>
      <c r="H73" t="s">
        <v>436</v>
      </c>
      <c r="I73">
        <v>1760989553.94615</v>
      </c>
      <c r="J73">
        <f>(K73)/1000</f>
        <v>0</v>
      </c>
      <c r="K73">
        <f>IF(DP73, AN73, AH73)</f>
        <v>0</v>
      </c>
      <c r="L73">
        <f>IF(DP73, AI73, AG73)</f>
        <v>0</v>
      </c>
      <c r="M73">
        <f>DR73 - IF(AU73&gt;1, L73*DL73*100.0/(AW73), 0)</f>
        <v>0</v>
      </c>
      <c r="N73">
        <f>((T73-J73/2)*M73-L73)/(T73+J73/2)</f>
        <v>0</v>
      </c>
      <c r="O73">
        <f>N73*(DY73+DZ73)/1000.0</f>
        <v>0</v>
      </c>
      <c r="P73">
        <f>(DR73 - IF(AU73&gt;1, L73*DL73*100.0/(AW73), 0))*(DY73+DZ73)/1000.0</f>
        <v>0</v>
      </c>
      <c r="Q73">
        <f>2.0/((1/S73-1/R73)+SIGN(S73)*SQRT((1/S73-1/R73)*(1/S73-1/R73) + 4*DM73/((DM73+1)*(DM73+1))*(2*1/S73*1/R73-1/R73*1/R73)))</f>
        <v>0</v>
      </c>
      <c r="R73">
        <f>IF(LEFT(DN73,1)&lt;&gt;"0",IF(LEFT(DN73,1)="1",3.0,DO73),$D$5+$E$5*(EF73*DY73/($K$5*1000))+$F$5*(EF73*DY73/($K$5*1000))*MAX(MIN(DL73,$J$5),$I$5)*MAX(MIN(DL73,$J$5),$I$5)+$G$5*MAX(MIN(DL73,$J$5),$I$5)*(EF73*DY73/($K$5*1000))+$H$5*(EF73*DY73/($K$5*1000))*(EF73*DY73/($K$5*1000)))</f>
        <v>0</v>
      </c>
      <c r="S73">
        <f>J73*(1000-(1000*0.61365*exp(17.502*W73/(240.97+W73))/(DY73+DZ73)+DT73)/2)/(1000*0.61365*exp(17.502*W73/(240.97+W73))/(DY73+DZ73)-DT73)</f>
        <v>0</v>
      </c>
      <c r="T73">
        <f>1/((DM73+1)/(Q73/1.6)+1/(R73/1.37)) + DM73/((DM73+1)/(Q73/1.6) + DM73/(R73/1.37))</f>
        <v>0</v>
      </c>
      <c r="U73">
        <f>(DH73*DK73)</f>
        <v>0</v>
      </c>
      <c r="V73">
        <f>(EA73+(U73+2*0.95*5.67E-8*(((EA73+$B$7)+273)^4-(EA73+273)^4)-44100*J73)/(1.84*29.3*R73+8*0.95*5.67E-8*(EA73+273)^3))</f>
        <v>0</v>
      </c>
      <c r="W73">
        <f>($C$7*EB73+$D$7*EC73+$E$7*V73)</f>
        <v>0</v>
      </c>
      <c r="X73">
        <f>0.61365*exp(17.502*W73/(240.97+W73))</f>
        <v>0</v>
      </c>
      <c r="Y73">
        <f>(Z73/AA73*100)</f>
        <v>0</v>
      </c>
      <c r="Z73">
        <f>DT73*(DY73+DZ73)/1000</f>
        <v>0</v>
      </c>
      <c r="AA73">
        <f>0.61365*exp(17.502*EA73/(240.97+EA73))</f>
        <v>0</v>
      </c>
      <c r="AB73">
        <f>(X73-DT73*(DY73+DZ73)/1000)</f>
        <v>0</v>
      </c>
      <c r="AC73">
        <f>(-J73*44100)</f>
        <v>0</v>
      </c>
      <c r="AD73">
        <f>2*29.3*R73*0.92*(EA73-W73)</f>
        <v>0</v>
      </c>
      <c r="AE73">
        <f>2*0.95*5.67E-8*(((EA73+$B$7)+273)^4-(W73+273)^4)</f>
        <v>0</v>
      </c>
      <c r="AF73">
        <f>U73+AE73+AC73+AD73</f>
        <v>0</v>
      </c>
      <c r="AG73">
        <f>DX73*AU73*(DS73-DR73*(1000-AU73*DU73)/(1000-AU73*DT73))/(100*DL73)</f>
        <v>0</v>
      </c>
      <c r="AH73">
        <f>1000*DX73*AU73*(DT73-DU73)/(100*DL73*(1000-AU73*DT73))</f>
        <v>0</v>
      </c>
      <c r="AI73">
        <f>(AJ73 - AK73 - DY73*1E3/(8.314*(EA73+273.15)) * AM73/DX73 * AL73) * DX73/(100*DL73) * (1000 - DU73)/1000</f>
        <v>0</v>
      </c>
      <c r="AJ73">
        <v>933.045206448696</v>
      </c>
      <c r="AK73">
        <v>902.689951515152</v>
      </c>
      <c r="AL73">
        <v>3.38825945175028</v>
      </c>
      <c r="AM73">
        <v>64.8413469339502</v>
      </c>
      <c r="AN73">
        <f>(AP73 - AO73 + DY73*1E3/(8.314*(EA73+273.15)) * AR73/DX73 * AQ73) * DX73/(100*DL73) * 1000/(1000 - AP73)</f>
        <v>0</v>
      </c>
      <c r="AO73">
        <v>8.9096339230267</v>
      </c>
      <c r="AP73">
        <v>11.7387175757576</v>
      </c>
      <c r="AQ73">
        <v>-8.24838157324942e-05</v>
      </c>
      <c r="AR73">
        <v>118.472689631034</v>
      </c>
      <c r="AS73">
        <v>0</v>
      </c>
      <c r="AT73">
        <v>0</v>
      </c>
      <c r="AU73">
        <f>IF(AS73*$H$13&gt;=AW73,1.0,(AW73/(AW73-AS73*$H$13)))</f>
        <v>0</v>
      </c>
      <c r="AV73">
        <f>(AU73-1)*100</f>
        <v>0</v>
      </c>
      <c r="AW73">
        <f>MAX(0,($B$13+$C$13*EF73)/(1+$D$13*EF73)*DY73/(EA73+273)*$E$13)</f>
        <v>0</v>
      </c>
      <c r="AX73" t="s">
        <v>437</v>
      </c>
      <c r="AY73" t="s">
        <v>437</v>
      </c>
      <c r="AZ73">
        <v>0</v>
      </c>
      <c r="BA73">
        <v>0</v>
      </c>
      <c r="BB73">
        <f>1-AZ73/BA73</f>
        <v>0</v>
      </c>
      <c r="BC73">
        <v>0</v>
      </c>
      <c r="BD73" t="s">
        <v>437</v>
      </c>
      <c r="BE73" t="s">
        <v>437</v>
      </c>
      <c r="BF73">
        <v>0</v>
      </c>
      <c r="BG73">
        <v>0</v>
      </c>
      <c r="BH73">
        <f>1-BF73/BG73</f>
        <v>0</v>
      </c>
      <c r="BI73">
        <v>0.5</v>
      </c>
      <c r="BJ73">
        <f>DI73</f>
        <v>0</v>
      </c>
      <c r="BK73">
        <f>L73</f>
        <v>0</v>
      </c>
      <c r="BL73">
        <f>BH73*BI73*BJ73</f>
        <v>0</v>
      </c>
      <c r="BM73">
        <f>(BK73-BC73)/BJ73</f>
        <v>0</v>
      </c>
      <c r="BN73">
        <f>(BA73-BG73)/BG73</f>
        <v>0</v>
      </c>
      <c r="BO73">
        <f>AZ73/(BB73+AZ73/BG73)</f>
        <v>0</v>
      </c>
      <c r="BP73" t="s">
        <v>437</v>
      </c>
      <c r="BQ73">
        <v>0</v>
      </c>
      <c r="BR73">
        <f>IF(BQ73&lt;&gt;0, BQ73, BO73)</f>
        <v>0</v>
      </c>
      <c r="BS73">
        <f>1-BR73/BG73</f>
        <v>0</v>
      </c>
      <c r="BT73">
        <f>(BG73-BF73)/(BG73-BR73)</f>
        <v>0</v>
      </c>
      <c r="BU73">
        <f>(BA73-BG73)/(BA73-BR73)</f>
        <v>0</v>
      </c>
      <c r="BV73">
        <f>(BG73-BF73)/(BG73-AZ73)</f>
        <v>0</v>
      </c>
      <c r="BW73">
        <f>(BA73-BG73)/(BA73-AZ73)</f>
        <v>0</v>
      </c>
      <c r="BX73">
        <f>(BT73*BR73/BF73)</f>
        <v>0</v>
      </c>
      <c r="BY73">
        <f>(1-BX73)</f>
        <v>0</v>
      </c>
      <c r="DH73">
        <f>$B$11*EG73+$C$11*EH73+$F$11*ES73*(1-EV73)</f>
        <v>0</v>
      </c>
      <c r="DI73">
        <f>DH73*DJ73</f>
        <v>0</v>
      </c>
      <c r="DJ73">
        <f>($B$11*$D$9+$C$11*$D$9+$F$11*((FF73+EX73)/MAX(FF73+EX73+FG73, 0.1)*$I$9+FG73/MAX(FF73+EX73+FG73, 0.1)*$J$9))/($B$11+$C$11+$F$11)</f>
        <v>0</v>
      </c>
      <c r="DK73">
        <f>($B$11*$K$9+$C$11*$K$9+$F$11*((FF73+EX73)/MAX(FF73+EX73+FG73, 0.1)*$P$9+FG73/MAX(FF73+EX73+FG73, 0.1)*$Q$9))/($B$11+$C$11+$F$11)</f>
        <v>0</v>
      </c>
      <c r="DL73">
        <v>6</v>
      </c>
      <c r="DM73">
        <v>0.5</v>
      </c>
      <c r="DN73" t="s">
        <v>438</v>
      </c>
      <c r="DO73">
        <v>2</v>
      </c>
      <c r="DP73" t="b">
        <v>1</v>
      </c>
      <c r="DQ73">
        <v>1760989553.94615</v>
      </c>
      <c r="DR73">
        <v>868.354153846154</v>
      </c>
      <c r="DS73">
        <v>908.980538461538</v>
      </c>
      <c r="DT73">
        <v>11.7519384615385</v>
      </c>
      <c r="DU73">
        <v>8.90732230769231</v>
      </c>
      <c r="DV73">
        <v>863.864230769231</v>
      </c>
      <c r="DW73">
        <v>11.8639230769231</v>
      </c>
      <c r="DX73">
        <v>500.012</v>
      </c>
      <c r="DY73">
        <v>89.8639076923077</v>
      </c>
      <c r="DZ73">
        <v>0.00778198538461539</v>
      </c>
      <c r="EA73">
        <v>18.4107</v>
      </c>
      <c r="EB73">
        <v>17.9962461538462</v>
      </c>
      <c r="EC73">
        <v>999.9</v>
      </c>
      <c r="ED73">
        <v>0</v>
      </c>
      <c r="EE73">
        <v>0</v>
      </c>
      <c r="EF73">
        <v>10008.3038461538</v>
      </c>
      <c r="EG73">
        <v>0</v>
      </c>
      <c r="EH73">
        <v>1270.15384615385</v>
      </c>
      <c r="EI73">
        <v>-40.6264461538461</v>
      </c>
      <c r="EJ73">
        <v>878.680230769231</v>
      </c>
      <c r="EK73">
        <v>917.149923076923</v>
      </c>
      <c r="EL73">
        <v>2.84462076923077</v>
      </c>
      <c r="EM73">
        <v>908.980538461538</v>
      </c>
      <c r="EN73">
        <v>8.90732230769231</v>
      </c>
      <c r="EO73">
        <v>1.05607538461538</v>
      </c>
      <c r="EP73">
        <v>0.800446923076923</v>
      </c>
      <c r="EQ73">
        <v>7.71385538461538</v>
      </c>
      <c r="ER73">
        <v>3.71523076923077</v>
      </c>
      <c r="ES73">
        <v>1200.02076923077</v>
      </c>
      <c r="ET73">
        <v>0.967002538461538</v>
      </c>
      <c r="EU73">
        <v>0.0329973076923077</v>
      </c>
      <c r="EV73">
        <v>0</v>
      </c>
      <c r="EW73">
        <v>1337.35153846154</v>
      </c>
      <c r="EX73">
        <v>5.00059</v>
      </c>
      <c r="EY73">
        <v>15742.0230769231</v>
      </c>
      <c r="EZ73">
        <v>10358.8846153846</v>
      </c>
      <c r="FA73">
        <v>37.7065384615385</v>
      </c>
      <c r="FB73">
        <v>40.4708461538462</v>
      </c>
      <c r="FC73">
        <v>38.3266923076923</v>
      </c>
      <c r="FD73">
        <v>40.1007692307692</v>
      </c>
      <c r="FE73">
        <v>38.8171538461538</v>
      </c>
      <c r="FF73">
        <v>1155.59076923077</v>
      </c>
      <c r="FG73">
        <v>39.43</v>
      </c>
      <c r="FH73">
        <v>0</v>
      </c>
      <c r="FI73">
        <v>1760989531.3</v>
      </c>
      <c r="FJ73">
        <v>0</v>
      </c>
      <c r="FK73">
        <v>1337.3848</v>
      </c>
      <c r="FL73">
        <v>0.36999999923891</v>
      </c>
      <c r="FM73">
        <v>41.7230768329623</v>
      </c>
      <c r="FN73">
        <v>15742.196</v>
      </c>
      <c r="FO73">
        <v>15</v>
      </c>
      <c r="FP73">
        <v>0</v>
      </c>
      <c r="FQ73" t="s">
        <v>439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-40.479475</v>
      </c>
      <c r="GD73">
        <v>-2.53211278195496</v>
      </c>
      <c r="GE73">
        <v>0.410134563131419</v>
      </c>
      <c r="GF73">
        <v>0</v>
      </c>
      <c r="GG73">
        <v>1337.37529411765</v>
      </c>
      <c r="GH73">
        <v>0.288464476227226</v>
      </c>
      <c r="GI73">
        <v>0.191145698880971</v>
      </c>
      <c r="GJ73">
        <v>-1</v>
      </c>
      <c r="GK73">
        <v>2.852526</v>
      </c>
      <c r="GL73">
        <v>-0.194747368421052</v>
      </c>
      <c r="GM73">
        <v>0.0189912236046022</v>
      </c>
      <c r="GN73">
        <v>0</v>
      </c>
      <c r="GO73">
        <v>0</v>
      </c>
      <c r="GP73">
        <v>2</v>
      </c>
      <c r="GQ73" t="s">
        <v>519</v>
      </c>
      <c r="GR73">
        <v>3.1308</v>
      </c>
      <c r="GS73">
        <v>2.68563</v>
      </c>
      <c r="GT73">
        <v>0.153452</v>
      </c>
      <c r="GU73">
        <v>0.158499</v>
      </c>
      <c r="GV73">
        <v>0.0614089</v>
      </c>
      <c r="GW73">
        <v>0.0494293</v>
      </c>
      <c r="GX73">
        <v>32085.6</v>
      </c>
      <c r="GY73">
        <v>34271.3</v>
      </c>
      <c r="GZ73">
        <v>34267.3</v>
      </c>
      <c r="HA73">
        <v>36849.3</v>
      </c>
      <c r="HB73">
        <v>45373.7</v>
      </c>
      <c r="HC73">
        <v>50235.8</v>
      </c>
      <c r="HD73">
        <v>53341.3</v>
      </c>
      <c r="HE73">
        <v>58776.1</v>
      </c>
      <c r="HF73">
        <v>2.00912</v>
      </c>
      <c r="HG73">
        <v>1.8377</v>
      </c>
      <c r="HH73">
        <v>0.0323206</v>
      </c>
      <c r="HI73">
        <v>0</v>
      </c>
      <c r="HJ73">
        <v>17.4529</v>
      </c>
      <c r="HK73">
        <v>999.9</v>
      </c>
      <c r="HL73">
        <v>25.906</v>
      </c>
      <c r="HM73">
        <v>30.283</v>
      </c>
      <c r="HN73">
        <v>12.4842</v>
      </c>
      <c r="HO73">
        <v>54.4191</v>
      </c>
      <c r="HP73">
        <v>44.1386</v>
      </c>
      <c r="HQ73">
        <v>1</v>
      </c>
      <c r="HR73">
        <v>-0.269037</v>
      </c>
      <c r="HS73">
        <v>3.96433</v>
      </c>
      <c r="HT73">
        <v>20.0932</v>
      </c>
      <c r="HU73">
        <v>5.20187</v>
      </c>
      <c r="HV73">
        <v>12.004</v>
      </c>
      <c r="HW73">
        <v>4.9755</v>
      </c>
      <c r="HX73">
        <v>3.29295</v>
      </c>
      <c r="HY73">
        <v>9999</v>
      </c>
      <c r="HZ73">
        <v>999.9</v>
      </c>
      <c r="IA73">
        <v>9999</v>
      </c>
      <c r="IB73">
        <v>9999</v>
      </c>
      <c r="IC73">
        <v>1.86325</v>
      </c>
      <c r="ID73">
        <v>1.86808</v>
      </c>
      <c r="IE73">
        <v>1.86783</v>
      </c>
      <c r="IF73">
        <v>1.86905</v>
      </c>
      <c r="IG73">
        <v>1.86981</v>
      </c>
      <c r="IH73">
        <v>1.86585</v>
      </c>
      <c r="II73">
        <v>1.86692</v>
      </c>
      <c r="IJ73">
        <v>1.86838</v>
      </c>
      <c r="IK73">
        <v>5</v>
      </c>
      <c r="IL73">
        <v>0</v>
      </c>
      <c r="IM73">
        <v>0</v>
      </c>
      <c r="IN73">
        <v>0</v>
      </c>
      <c r="IO73" t="s">
        <v>441</v>
      </c>
      <c r="IP73" t="s">
        <v>442</v>
      </c>
      <c r="IQ73" t="s">
        <v>443</v>
      </c>
      <c r="IR73" t="s">
        <v>443</v>
      </c>
      <c r="IS73" t="s">
        <v>443</v>
      </c>
      <c r="IT73" t="s">
        <v>443</v>
      </c>
      <c r="IU73">
        <v>0</v>
      </c>
      <c r="IV73">
        <v>100</v>
      </c>
      <c r="IW73">
        <v>100</v>
      </c>
      <c r="IX73">
        <v>4.582</v>
      </c>
      <c r="IY73">
        <v>-0.1121</v>
      </c>
      <c r="IZ73">
        <v>1.12474291219083</v>
      </c>
      <c r="JA73">
        <v>0.00463155566490582</v>
      </c>
      <c r="JB73">
        <v>-1.1358998729424e-06</v>
      </c>
      <c r="JC73">
        <v>3.28704272115545e-10</v>
      </c>
      <c r="JD73">
        <v>-0.0704455108513773</v>
      </c>
      <c r="JE73">
        <v>-0.0251928478371425</v>
      </c>
      <c r="JF73">
        <v>0.00225751704194564</v>
      </c>
      <c r="JG73">
        <v>-3.61734043746866e-05</v>
      </c>
      <c r="JH73">
        <v>1</v>
      </c>
      <c r="JI73">
        <v>2182</v>
      </c>
      <c r="JJ73">
        <v>0</v>
      </c>
      <c r="JK73">
        <v>24</v>
      </c>
      <c r="JL73">
        <v>29349826</v>
      </c>
      <c r="JM73">
        <v>29349826</v>
      </c>
      <c r="JN73">
        <v>1.92993</v>
      </c>
      <c r="JO73">
        <v>2.62207</v>
      </c>
      <c r="JP73">
        <v>1.54785</v>
      </c>
      <c r="JQ73">
        <v>2.31445</v>
      </c>
      <c r="JR73">
        <v>1.64673</v>
      </c>
      <c r="JS73">
        <v>2.36328</v>
      </c>
      <c r="JT73">
        <v>33.5804</v>
      </c>
      <c r="JU73">
        <v>24.1838</v>
      </c>
      <c r="JV73">
        <v>18</v>
      </c>
      <c r="JW73">
        <v>500.91</v>
      </c>
      <c r="JX73">
        <v>394.452</v>
      </c>
      <c r="JY73">
        <v>12.3776</v>
      </c>
      <c r="JZ73">
        <v>23.9048</v>
      </c>
      <c r="KA73">
        <v>29.9995</v>
      </c>
      <c r="KB73">
        <v>23.923</v>
      </c>
      <c r="KC73">
        <v>23.8932</v>
      </c>
      <c r="KD73">
        <v>38.6786</v>
      </c>
      <c r="KE73">
        <v>9.33466</v>
      </c>
      <c r="KF73">
        <v>23.3636</v>
      </c>
      <c r="KG73">
        <v>12.4066</v>
      </c>
      <c r="KH73">
        <v>953.877</v>
      </c>
      <c r="KI73">
        <v>9.00803</v>
      </c>
      <c r="KJ73">
        <v>97.0453</v>
      </c>
      <c r="KK73">
        <v>95.3033</v>
      </c>
    </row>
    <row r="74" spans="1:297">
      <c r="A74">
        <v>58</v>
      </c>
      <c r="B74">
        <v>1760989567.1</v>
      </c>
      <c r="C74">
        <v>377</v>
      </c>
      <c r="D74" t="s">
        <v>558</v>
      </c>
      <c r="E74" t="s">
        <v>559</v>
      </c>
      <c r="F74">
        <v>5</v>
      </c>
      <c r="G74" t="s">
        <v>435</v>
      </c>
      <c r="H74" t="s">
        <v>436</v>
      </c>
      <c r="I74">
        <v>1760989558.94615</v>
      </c>
      <c r="J74">
        <f>(K74)/1000</f>
        <v>0</v>
      </c>
      <c r="K74">
        <f>IF(DP74, AN74, AH74)</f>
        <v>0</v>
      </c>
      <c r="L74">
        <f>IF(DP74, AI74, AG74)</f>
        <v>0</v>
      </c>
      <c r="M74">
        <f>DR74 - IF(AU74&gt;1, L74*DL74*100.0/(AW74), 0)</f>
        <v>0</v>
      </c>
      <c r="N74">
        <f>((T74-J74/2)*M74-L74)/(T74+J74/2)</f>
        <v>0</v>
      </c>
      <c r="O74">
        <f>N74*(DY74+DZ74)/1000.0</f>
        <v>0</v>
      </c>
      <c r="P74">
        <f>(DR74 - IF(AU74&gt;1, L74*DL74*100.0/(AW74), 0))*(DY74+DZ74)/1000.0</f>
        <v>0</v>
      </c>
      <c r="Q74">
        <f>2.0/((1/S74-1/R74)+SIGN(S74)*SQRT((1/S74-1/R74)*(1/S74-1/R74) + 4*DM74/((DM74+1)*(DM74+1))*(2*1/S74*1/R74-1/R74*1/R74)))</f>
        <v>0</v>
      </c>
      <c r="R74">
        <f>IF(LEFT(DN74,1)&lt;&gt;"0",IF(LEFT(DN74,1)="1",3.0,DO74),$D$5+$E$5*(EF74*DY74/($K$5*1000))+$F$5*(EF74*DY74/($K$5*1000))*MAX(MIN(DL74,$J$5),$I$5)*MAX(MIN(DL74,$J$5),$I$5)+$G$5*MAX(MIN(DL74,$J$5),$I$5)*(EF74*DY74/($K$5*1000))+$H$5*(EF74*DY74/($K$5*1000))*(EF74*DY74/($K$5*1000)))</f>
        <v>0</v>
      </c>
      <c r="S74">
        <f>J74*(1000-(1000*0.61365*exp(17.502*W74/(240.97+W74))/(DY74+DZ74)+DT74)/2)/(1000*0.61365*exp(17.502*W74/(240.97+W74))/(DY74+DZ74)-DT74)</f>
        <v>0</v>
      </c>
      <c r="T74">
        <f>1/((DM74+1)/(Q74/1.6)+1/(R74/1.37)) + DM74/((DM74+1)/(Q74/1.6) + DM74/(R74/1.37))</f>
        <v>0</v>
      </c>
      <c r="U74">
        <f>(DH74*DK74)</f>
        <v>0</v>
      </c>
      <c r="V74">
        <f>(EA74+(U74+2*0.95*5.67E-8*(((EA74+$B$7)+273)^4-(EA74+273)^4)-44100*J74)/(1.84*29.3*R74+8*0.95*5.67E-8*(EA74+273)^3))</f>
        <v>0</v>
      </c>
      <c r="W74">
        <f>($C$7*EB74+$D$7*EC74+$E$7*V74)</f>
        <v>0</v>
      </c>
      <c r="X74">
        <f>0.61365*exp(17.502*W74/(240.97+W74))</f>
        <v>0</v>
      </c>
      <c r="Y74">
        <f>(Z74/AA74*100)</f>
        <v>0</v>
      </c>
      <c r="Z74">
        <f>DT74*(DY74+DZ74)/1000</f>
        <v>0</v>
      </c>
      <c r="AA74">
        <f>0.61365*exp(17.502*EA74/(240.97+EA74))</f>
        <v>0</v>
      </c>
      <c r="AB74">
        <f>(X74-DT74*(DY74+DZ74)/1000)</f>
        <v>0</v>
      </c>
      <c r="AC74">
        <f>(-J74*44100)</f>
        <v>0</v>
      </c>
      <c r="AD74">
        <f>2*29.3*R74*0.92*(EA74-W74)</f>
        <v>0</v>
      </c>
      <c r="AE74">
        <f>2*0.95*5.67E-8*(((EA74+$B$7)+273)^4-(W74+273)^4)</f>
        <v>0</v>
      </c>
      <c r="AF74">
        <f>U74+AE74+AC74+AD74</f>
        <v>0</v>
      </c>
      <c r="AG74">
        <f>DX74*AU74*(DS74-DR74*(1000-AU74*DU74)/(1000-AU74*DT74))/(100*DL74)</f>
        <v>0</v>
      </c>
      <c r="AH74">
        <f>1000*DX74*AU74*(DT74-DU74)/(100*DL74*(1000-AU74*DT74))</f>
        <v>0</v>
      </c>
      <c r="AI74">
        <f>(AJ74 - AK74 - DY74*1E3/(8.314*(EA74+273.15)) * AM74/DX74 * AL74) * DX74/(100*DL74) * (1000 - DU74)/1000</f>
        <v>0</v>
      </c>
      <c r="AJ74">
        <v>949.468606677422</v>
      </c>
      <c r="AK74">
        <v>919.311484848485</v>
      </c>
      <c r="AL74">
        <v>3.31971578464491</v>
      </c>
      <c r="AM74">
        <v>64.8413469339502</v>
      </c>
      <c r="AN74">
        <f>(AP74 - AO74 + DY74*1E3/(8.314*(EA74+273.15)) * AR74/DX74 * AQ74) * DX74/(100*DL74) * 1000/(1000 - AP74)</f>
        <v>0</v>
      </c>
      <c r="AO74">
        <v>8.92240248634509</v>
      </c>
      <c r="AP74">
        <v>11.7438127272727</v>
      </c>
      <c r="AQ74">
        <v>0.000302934481152001</v>
      </c>
      <c r="AR74">
        <v>118.472689631034</v>
      </c>
      <c r="AS74">
        <v>0</v>
      </c>
      <c r="AT74">
        <v>0</v>
      </c>
      <c r="AU74">
        <f>IF(AS74*$H$13&gt;=AW74,1.0,(AW74/(AW74-AS74*$H$13)))</f>
        <v>0</v>
      </c>
      <c r="AV74">
        <f>(AU74-1)*100</f>
        <v>0</v>
      </c>
      <c r="AW74">
        <f>MAX(0,($B$13+$C$13*EF74)/(1+$D$13*EF74)*DY74/(EA74+273)*$E$13)</f>
        <v>0</v>
      </c>
      <c r="AX74" t="s">
        <v>437</v>
      </c>
      <c r="AY74" t="s">
        <v>437</v>
      </c>
      <c r="AZ74">
        <v>0</v>
      </c>
      <c r="BA74">
        <v>0</v>
      </c>
      <c r="BB74">
        <f>1-AZ74/BA74</f>
        <v>0</v>
      </c>
      <c r="BC74">
        <v>0</v>
      </c>
      <c r="BD74" t="s">
        <v>437</v>
      </c>
      <c r="BE74" t="s">
        <v>437</v>
      </c>
      <c r="BF74">
        <v>0</v>
      </c>
      <c r="BG74">
        <v>0</v>
      </c>
      <c r="BH74">
        <f>1-BF74/BG74</f>
        <v>0</v>
      </c>
      <c r="BI74">
        <v>0.5</v>
      </c>
      <c r="BJ74">
        <f>DI74</f>
        <v>0</v>
      </c>
      <c r="BK74">
        <f>L74</f>
        <v>0</v>
      </c>
      <c r="BL74">
        <f>BH74*BI74*BJ74</f>
        <v>0</v>
      </c>
      <c r="BM74">
        <f>(BK74-BC74)/BJ74</f>
        <v>0</v>
      </c>
      <c r="BN74">
        <f>(BA74-BG74)/BG74</f>
        <v>0</v>
      </c>
      <c r="BO74">
        <f>AZ74/(BB74+AZ74/BG74)</f>
        <v>0</v>
      </c>
      <c r="BP74" t="s">
        <v>437</v>
      </c>
      <c r="BQ74">
        <v>0</v>
      </c>
      <c r="BR74">
        <f>IF(BQ74&lt;&gt;0, BQ74, BO74)</f>
        <v>0</v>
      </c>
      <c r="BS74">
        <f>1-BR74/BG74</f>
        <v>0</v>
      </c>
      <c r="BT74">
        <f>(BG74-BF74)/(BG74-BR74)</f>
        <v>0</v>
      </c>
      <c r="BU74">
        <f>(BA74-BG74)/(BA74-BR74)</f>
        <v>0</v>
      </c>
      <c r="BV74">
        <f>(BG74-BF74)/(BG74-AZ74)</f>
        <v>0</v>
      </c>
      <c r="BW74">
        <f>(BA74-BG74)/(BA74-AZ74)</f>
        <v>0</v>
      </c>
      <c r="BX74">
        <f>(BT74*BR74/BF74)</f>
        <v>0</v>
      </c>
      <c r="BY74">
        <f>(1-BX74)</f>
        <v>0</v>
      </c>
      <c r="DH74">
        <f>$B$11*EG74+$C$11*EH74+$F$11*ES74*(1-EV74)</f>
        <v>0</v>
      </c>
      <c r="DI74">
        <f>DH74*DJ74</f>
        <v>0</v>
      </c>
      <c r="DJ74">
        <f>($B$11*$D$9+$C$11*$D$9+$F$11*((FF74+EX74)/MAX(FF74+EX74+FG74, 0.1)*$I$9+FG74/MAX(FF74+EX74+FG74, 0.1)*$J$9))/($B$11+$C$11+$F$11)</f>
        <v>0</v>
      </c>
      <c r="DK74">
        <f>($B$11*$K$9+$C$11*$K$9+$F$11*((FF74+EX74)/MAX(FF74+EX74+FG74, 0.1)*$P$9+FG74/MAX(FF74+EX74+FG74, 0.1)*$Q$9))/($B$11+$C$11+$F$11)</f>
        <v>0</v>
      </c>
      <c r="DL74">
        <v>6</v>
      </c>
      <c r="DM74">
        <v>0.5</v>
      </c>
      <c r="DN74" t="s">
        <v>438</v>
      </c>
      <c r="DO74">
        <v>2</v>
      </c>
      <c r="DP74" t="b">
        <v>1</v>
      </c>
      <c r="DQ74">
        <v>1760989558.94615</v>
      </c>
      <c r="DR74">
        <v>884.905692307692</v>
      </c>
      <c r="DS74">
        <v>925.411230769231</v>
      </c>
      <c r="DT74">
        <v>11.7433076923077</v>
      </c>
      <c r="DU74">
        <v>8.91177384615385</v>
      </c>
      <c r="DV74">
        <v>880.359615384616</v>
      </c>
      <c r="DW74">
        <v>11.8554153846154</v>
      </c>
      <c r="DX74">
        <v>499.993846153846</v>
      </c>
      <c r="DY74">
        <v>89.8626615384615</v>
      </c>
      <c r="DZ74">
        <v>0.00779692153846154</v>
      </c>
      <c r="EA74">
        <v>18.4070769230769</v>
      </c>
      <c r="EB74">
        <v>17.9904230769231</v>
      </c>
      <c r="EC74">
        <v>999.9</v>
      </c>
      <c r="ED74">
        <v>0</v>
      </c>
      <c r="EE74">
        <v>0</v>
      </c>
      <c r="EF74">
        <v>10008.66</v>
      </c>
      <c r="EG74">
        <v>0</v>
      </c>
      <c r="EH74">
        <v>1270.15307692308</v>
      </c>
      <c r="EI74">
        <v>-40.5056769230769</v>
      </c>
      <c r="EJ74">
        <v>895.421</v>
      </c>
      <c r="EK74">
        <v>933.732615384615</v>
      </c>
      <c r="EL74">
        <v>2.83153692307692</v>
      </c>
      <c r="EM74">
        <v>925.411230769231</v>
      </c>
      <c r="EN74">
        <v>8.91177384615385</v>
      </c>
      <c r="EO74">
        <v>1.05528461538462</v>
      </c>
      <c r="EP74">
        <v>0.800835538461538</v>
      </c>
      <c r="EQ74">
        <v>7.70288230769231</v>
      </c>
      <c r="ER74">
        <v>3.72211923076923</v>
      </c>
      <c r="ES74">
        <v>1200.01615384615</v>
      </c>
      <c r="ET74">
        <v>0.967003230769231</v>
      </c>
      <c r="EU74">
        <v>0.0329966230769231</v>
      </c>
      <c r="EV74">
        <v>0</v>
      </c>
      <c r="EW74">
        <v>1337.38769230769</v>
      </c>
      <c r="EX74">
        <v>5.00059</v>
      </c>
      <c r="EY74">
        <v>15745.4153846154</v>
      </c>
      <c r="EZ74">
        <v>10358.8538461538</v>
      </c>
      <c r="FA74">
        <v>37.7737692307692</v>
      </c>
      <c r="FB74">
        <v>40.5478461538462</v>
      </c>
      <c r="FC74">
        <v>38.3794615384615</v>
      </c>
      <c r="FD74">
        <v>40.221</v>
      </c>
      <c r="FE74">
        <v>38.8746923076923</v>
      </c>
      <c r="FF74">
        <v>1155.58615384615</v>
      </c>
      <c r="FG74">
        <v>39.43</v>
      </c>
      <c r="FH74">
        <v>0</v>
      </c>
      <c r="FI74">
        <v>1760989536.1</v>
      </c>
      <c r="FJ74">
        <v>0</v>
      </c>
      <c r="FK74">
        <v>1337.3988</v>
      </c>
      <c r="FL74">
        <v>0.143076930055761</v>
      </c>
      <c r="FM74">
        <v>43.984615415119</v>
      </c>
      <c r="FN74">
        <v>15745.652</v>
      </c>
      <c r="FO74">
        <v>15</v>
      </c>
      <c r="FP74">
        <v>0</v>
      </c>
      <c r="FQ74" t="s">
        <v>439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-40.5666666666667</v>
      </c>
      <c r="GD74">
        <v>0.306857142857152</v>
      </c>
      <c r="GE74">
        <v>0.302081441767477</v>
      </c>
      <c r="GF74">
        <v>1</v>
      </c>
      <c r="GG74">
        <v>1337.37029411765</v>
      </c>
      <c r="GH74">
        <v>0.730481284807254</v>
      </c>
      <c r="GI74">
        <v>0.208333517877664</v>
      </c>
      <c r="GJ74">
        <v>-1</v>
      </c>
      <c r="GK74">
        <v>2.84018380952381</v>
      </c>
      <c r="GL74">
        <v>-0.157022337662334</v>
      </c>
      <c r="GM74">
        <v>0.0163474732214377</v>
      </c>
      <c r="GN74">
        <v>0</v>
      </c>
      <c r="GO74">
        <v>1</v>
      </c>
      <c r="GP74">
        <v>2</v>
      </c>
      <c r="GQ74" t="s">
        <v>446</v>
      </c>
      <c r="GR74">
        <v>3.13069</v>
      </c>
      <c r="GS74">
        <v>2.68585</v>
      </c>
      <c r="GT74">
        <v>0.155287</v>
      </c>
      <c r="GU74">
        <v>0.160211</v>
      </c>
      <c r="GV74">
        <v>0.0614329</v>
      </c>
      <c r="GW74">
        <v>0.0495016</v>
      </c>
      <c r="GX74">
        <v>32015.9</v>
      </c>
      <c r="GY74">
        <v>34201.5</v>
      </c>
      <c r="GZ74">
        <v>34267</v>
      </c>
      <c r="HA74">
        <v>36849.1</v>
      </c>
      <c r="HB74">
        <v>45372.6</v>
      </c>
      <c r="HC74">
        <v>50231.9</v>
      </c>
      <c r="HD74">
        <v>53341.1</v>
      </c>
      <c r="HE74">
        <v>58775.8</v>
      </c>
      <c r="HF74">
        <v>2.0085</v>
      </c>
      <c r="HG74">
        <v>1.83785</v>
      </c>
      <c r="HH74">
        <v>0.0322312</v>
      </c>
      <c r="HI74">
        <v>0</v>
      </c>
      <c r="HJ74">
        <v>17.4529</v>
      </c>
      <c r="HK74">
        <v>999.9</v>
      </c>
      <c r="HL74">
        <v>25.906</v>
      </c>
      <c r="HM74">
        <v>30.283</v>
      </c>
      <c r="HN74">
        <v>12.4836</v>
      </c>
      <c r="HO74">
        <v>53.6491</v>
      </c>
      <c r="HP74">
        <v>44.1466</v>
      </c>
      <c r="HQ74">
        <v>1</v>
      </c>
      <c r="HR74">
        <v>-0.269627</v>
      </c>
      <c r="HS74">
        <v>3.87474</v>
      </c>
      <c r="HT74">
        <v>20.0953</v>
      </c>
      <c r="HU74">
        <v>5.20127</v>
      </c>
      <c r="HV74">
        <v>12.004</v>
      </c>
      <c r="HW74">
        <v>4.97565</v>
      </c>
      <c r="HX74">
        <v>3.29295</v>
      </c>
      <c r="HY74">
        <v>9999</v>
      </c>
      <c r="HZ74">
        <v>999.9</v>
      </c>
      <c r="IA74">
        <v>9999</v>
      </c>
      <c r="IB74">
        <v>9999</v>
      </c>
      <c r="IC74">
        <v>1.86325</v>
      </c>
      <c r="ID74">
        <v>1.86807</v>
      </c>
      <c r="IE74">
        <v>1.86783</v>
      </c>
      <c r="IF74">
        <v>1.86905</v>
      </c>
      <c r="IG74">
        <v>1.86981</v>
      </c>
      <c r="IH74">
        <v>1.86585</v>
      </c>
      <c r="II74">
        <v>1.86693</v>
      </c>
      <c r="IJ74">
        <v>1.86836</v>
      </c>
      <c r="IK74">
        <v>5</v>
      </c>
      <c r="IL74">
        <v>0</v>
      </c>
      <c r="IM74">
        <v>0</v>
      </c>
      <c r="IN74">
        <v>0</v>
      </c>
      <c r="IO74" t="s">
        <v>441</v>
      </c>
      <c r="IP74" t="s">
        <v>442</v>
      </c>
      <c r="IQ74" t="s">
        <v>443</v>
      </c>
      <c r="IR74" t="s">
        <v>443</v>
      </c>
      <c r="IS74" t="s">
        <v>443</v>
      </c>
      <c r="IT74" t="s">
        <v>443</v>
      </c>
      <c r="IU74">
        <v>0</v>
      </c>
      <c r="IV74">
        <v>100</v>
      </c>
      <c r="IW74">
        <v>100</v>
      </c>
      <c r="IX74">
        <v>4.637</v>
      </c>
      <c r="IY74">
        <v>-0.1121</v>
      </c>
      <c r="IZ74">
        <v>1.12474291219083</v>
      </c>
      <c r="JA74">
        <v>0.00463155566490582</v>
      </c>
      <c r="JB74">
        <v>-1.1358998729424e-06</v>
      </c>
      <c r="JC74">
        <v>3.28704272115545e-10</v>
      </c>
      <c r="JD74">
        <v>-0.0704455108513773</v>
      </c>
      <c r="JE74">
        <v>-0.0251928478371425</v>
      </c>
      <c r="JF74">
        <v>0.00225751704194564</v>
      </c>
      <c r="JG74">
        <v>-3.61734043746866e-05</v>
      </c>
      <c r="JH74">
        <v>1</v>
      </c>
      <c r="JI74">
        <v>2182</v>
      </c>
      <c r="JJ74">
        <v>0</v>
      </c>
      <c r="JK74">
        <v>24</v>
      </c>
      <c r="JL74">
        <v>29349826.1</v>
      </c>
      <c r="JM74">
        <v>29349826.1</v>
      </c>
      <c r="JN74">
        <v>1.95679</v>
      </c>
      <c r="JO74">
        <v>2.62085</v>
      </c>
      <c r="JP74">
        <v>1.54785</v>
      </c>
      <c r="JQ74">
        <v>2.31445</v>
      </c>
      <c r="JR74">
        <v>1.64673</v>
      </c>
      <c r="JS74">
        <v>2.30591</v>
      </c>
      <c r="JT74">
        <v>33.5804</v>
      </c>
      <c r="JU74">
        <v>24.1838</v>
      </c>
      <c r="JV74">
        <v>18</v>
      </c>
      <c r="JW74">
        <v>500.51</v>
      </c>
      <c r="JX74">
        <v>394.531</v>
      </c>
      <c r="JY74">
        <v>12.3884</v>
      </c>
      <c r="JZ74">
        <v>23.9048</v>
      </c>
      <c r="KA74">
        <v>29.9995</v>
      </c>
      <c r="KB74">
        <v>23.923</v>
      </c>
      <c r="KC74">
        <v>23.8932</v>
      </c>
      <c r="KD74">
        <v>39.2799</v>
      </c>
      <c r="KE74">
        <v>9.0491</v>
      </c>
      <c r="KF74">
        <v>23.3636</v>
      </c>
      <c r="KG74">
        <v>12.4156</v>
      </c>
      <c r="KH74">
        <v>974.067</v>
      </c>
      <c r="KI74">
        <v>9.01462</v>
      </c>
      <c r="KJ74">
        <v>97.0448</v>
      </c>
      <c r="KK74">
        <v>95.3028</v>
      </c>
    </row>
    <row r="75" spans="1:297">
      <c r="A75">
        <v>59</v>
      </c>
      <c r="B75">
        <v>1760989572.1</v>
      </c>
      <c r="C75">
        <v>382</v>
      </c>
      <c r="D75" t="s">
        <v>560</v>
      </c>
      <c r="E75" t="s">
        <v>561</v>
      </c>
      <c r="F75">
        <v>5</v>
      </c>
      <c r="G75" t="s">
        <v>435</v>
      </c>
      <c r="H75" t="s">
        <v>436</v>
      </c>
      <c r="I75">
        <v>1760989563.94615</v>
      </c>
      <c r="J75">
        <f>(K75)/1000</f>
        <v>0</v>
      </c>
      <c r="K75">
        <f>IF(DP75, AN75, AH75)</f>
        <v>0</v>
      </c>
      <c r="L75">
        <f>IF(DP75, AI75, AG75)</f>
        <v>0</v>
      </c>
      <c r="M75">
        <f>DR75 - IF(AU75&gt;1, L75*DL75*100.0/(AW75), 0)</f>
        <v>0</v>
      </c>
      <c r="N75">
        <f>((T75-J75/2)*M75-L75)/(T75+J75/2)</f>
        <v>0</v>
      </c>
      <c r="O75">
        <f>N75*(DY75+DZ75)/1000.0</f>
        <v>0</v>
      </c>
      <c r="P75">
        <f>(DR75 - IF(AU75&gt;1, L75*DL75*100.0/(AW75), 0))*(DY75+DZ75)/1000.0</f>
        <v>0</v>
      </c>
      <c r="Q75">
        <f>2.0/((1/S75-1/R75)+SIGN(S75)*SQRT((1/S75-1/R75)*(1/S75-1/R75) + 4*DM75/((DM75+1)*(DM75+1))*(2*1/S75*1/R75-1/R75*1/R75)))</f>
        <v>0</v>
      </c>
      <c r="R75">
        <f>IF(LEFT(DN75,1)&lt;&gt;"0",IF(LEFT(DN75,1)="1",3.0,DO75),$D$5+$E$5*(EF75*DY75/($K$5*1000))+$F$5*(EF75*DY75/($K$5*1000))*MAX(MIN(DL75,$J$5),$I$5)*MAX(MIN(DL75,$J$5),$I$5)+$G$5*MAX(MIN(DL75,$J$5),$I$5)*(EF75*DY75/($K$5*1000))+$H$5*(EF75*DY75/($K$5*1000))*(EF75*DY75/($K$5*1000)))</f>
        <v>0</v>
      </c>
      <c r="S75">
        <f>J75*(1000-(1000*0.61365*exp(17.502*W75/(240.97+W75))/(DY75+DZ75)+DT75)/2)/(1000*0.61365*exp(17.502*W75/(240.97+W75))/(DY75+DZ75)-DT75)</f>
        <v>0</v>
      </c>
      <c r="T75">
        <f>1/((DM75+1)/(Q75/1.6)+1/(R75/1.37)) + DM75/((DM75+1)/(Q75/1.6) + DM75/(R75/1.37))</f>
        <v>0</v>
      </c>
      <c r="U75">
        <f>(DH75*DK75)</f>
        <v>0</v>
      </c>
      <c r="V75">
        <f>(EA75+(U75+2*0.95*5.67E-8*(((EA75+$B$7)+273)^4-(EA75+273)^4)-44100*J75)/(1.84*29.3*R75+8*0.95*5.67E-8*(EA75+273)^3))</f>
        <v>0</v>
      </c>
      <c r="W75">
        <f>($C$7*EB75+$D$7*EC75+$E$7*V75)</f>
        <v>0</v>
      </c>
      <c r="X75">
        <f>0.61365*exp(17.502*W75/(240.97+W75))</f>
        <v>0</v>
      </c>
      <c r="Y75">
        <f>(Z75/AA75*100)</f>
        <v>0</v>
      </c>
      <c r="Z75">
        <f>DT75*(DY75+DZ75)/1000</f>
        <v>0</v>
      </c>
      <c r="AA75">
        <f>0.61365*exp(17.502*EA75/(240.97+EA75))</f>
        <v>0</v>
      </c>
      <c r="AB75">
        <f>(X75-DT75*(DY75+DZ75)/1000)</f>
        <v>0</v>
      </c>
      <c r="AC75">
        <f>(-J75*44100)</f>
        <v>0</v>
      </c>
      <c r="AD75">
        <f>2*29.3*R75*0.92*(EA75-W75)</f>
        <v>0</v>
      </c>
      <c r="AE75">
        <f>2*0.95*5.67E-8*(((EA75+$B$7)+273)^4-(W75+273)^4)</f>
        <v>0</v>
      </c>
      <c r="AF75">
        <f>U75+AE75+AC75+AD75</f>
        <v>0</v>
      </c>
      <c r="AG75">
        <f>DX75*AU75*(DS75-DR75*(1000-AU75*DU75)/(1000-AU75*DT75))/(100*DL75)</f>
        <v>0</v>
      </c>
      <c r="AH75">
        <f>1000*DX75*AU75*(DT75-DU75)/(100*DL75*(1000-AU75*DT75))</f>
        <v>0</v>
      </c>
      <c r="AI75">
        <f>(AJ75 - AK75 - DY75*1E3/(8.314*(EA75+273.15)) * AM75/DX75 * AL75) * DX75/(100*DL75) * (1000 - DU75)/1000</f>
        <v>0</v>
      </c>
      <c r="AJ75">
        <v>965.607024010421</v>
      </c>
      <c r="AK75">
        <v>935.598727272727</v>
      </c>
      <c r="AL75">
        <v>3.26562492531716</v>
      </c>
      <c r="AM75">
        <v>64.8413469339502</v>
      </c>
      <c r="AN75">
        <f>(AP75 - AO75 + DY75*1E3/(8.314*(EA75+273.15)) * AR75/DX75 * AQ75) * DX75/(100*DL75) * 1000/(1000 - AP75)</f>
        <v>0</v>
      </c>
      <c r="AO75">
        <v>8.93485492227478</v>
      </c>
      <c r="AP75">
        <v>11.7516260606061</v>
      </c>
      <c r="AQ75">
        <v>0.000254347635422178</v>
      </c>
      <c r="AR75">
        <v>118.472689631034</v>
      </c>
      <c r="AS75">
        <v>0</v>
      </c>
      <c r="AT75">
        <v>0</v>
      </c>
      <c r="AU75">
        <f>IF(AS75*$H$13&gt;=AW75,1.0,(AW75/(AW75-AS75*$H$13)))</f>
        <v>0</v>
      </c>
      <c r="AV75">
        <f>(AU75-1)*100</f>
        <v>0</v>
      </c>
      <c r="AW75">
        <f>MAX(0,($B$13+$C$13*EF75)/(1+$D$13*EF75)*DY75/(EA75+273)*$E$13)</f>
        <v>0</v>
      </c>
      <c r="AX75" t="s">
        <v>437</v>
      </c>
      <c r="AY75" t="s">
        <v>437</v>
      </c>
      <c r="AZ75">
        <v>0</v>
      </c>
      <c r="BA75">
        <v>0</v>
      </c>
      <c r="BB75">
        <f>1-AZ75/BA75</f>
        <v>0</v>
      </c>
      <c r="BC75">
        <v>0</v>
      </c>
      <c r="BD75" t="s">
        <v>437</v>
      </c>
      <c r="BE75" t="s">
        <v>437</v>
      </c>
      <c r="BF75">
        <v>0</v>
      </c>
      <c r="BG75">
        <v>0</v>
      </c>
      <c r="BH75">
        <f>1-BF75/BG75</f>
        <v>0</v>
      </c>
      <c r="BI75">
        <v>0.5</v>
      </c>
      <c r="BJ75">
        <f>DI75</f>
        <v>0</v>
      </c>
      <c r="BK75">
        <f>L75</f>
        <v>0</v>
      </c>
      <c r="BL75">
        <f>BH75*BI75*BJ75</f>
        <v>0</v>
      </c>
      <c r="BM75">
        <f>(BK75-BC75)/BJ75</f>
        <v>0</v>
      </c>
      <c r="BN75">
        <f>(BA75-BG75)/BG75</f>
        <v>0</v>
      </c>
      <c r="BO75">
        <f>AZ75/(BB75+AZ75/BG75)</f>
        <v>0</v>
      </c>
      <c r="BP75" t="s">
        <v>437</v>
      </c>
      <c r="BQ75">
        <v>0</v>
      </c>
      <c r="BR75">
        <f>IF(BQ75&lt;&gt;0, BQ75, BO75)</f>
        <v>0</v>
      </c>
      <c r="BS75">
        <f>1-BR75/BG75</f>
        <v>0</v>
      </c>
      <c r="BT75">
        <f>(BG75-BF75)/(BG75-BR75)</f>
        <v>0</v>
      </c>
      <c r="BU75">
        <f>(BA75-BG75)/(BA75-BR75)</f>
        <v>0</v>
      </c>
      <c r="BV75">
        <f>(BG75-BF75)/(BG75-AZ75)</f>
        <v>0</v>
      </c>
      <c r="BW75">
        <f>(BA75-BG75)/(BA75-AZ75)</f>
        <v>0</v>
      </c>
      <c r="BX75">
        <f>(BT75*BR75/BF75)</f>
        <v>0</v>
      </c>
      <c r="BY75">
        <f>(1-BX75)</f>
        <v>0</v>
      </c>
      <c r="DH75">
        <f>$B$11*EG75+$C$11*EH75+$F$11*ES75*(1-EV75)</f>
        <v>0</v>
      </c>
      <c r="DI75">
        <f>DH75*DJ75</f>
        <v>0</v>
      </c>
      <c r="DJ75">
        <f>($B$11*$D$9+$C$11*$D$9+$F$11*((FF75+EX75)/MAX(FF75+EX75+FG75, 0.1)*$I$9+FG75/MAX(FF75+EX75+FG75, 0.1)*$J$9))/($B$11+$C$11+$F$11)</f>
        <v>0</v>
      </c>
      <c r="DK75">
        <f>($B$11*$K$9+$C$11*$K$9+$F$11*((FF75+EX75)/MAX(FF75+EX75+FG75, 0.1)*$P$9+FG75/MAX(FF75+EX75+FG75, 0.1)*$Q$9))/($B$11+$C$11+$F$11)</f>
        <v>0</v>
      </c>
      <c r="DL75">
        <v>6</v>
      </c>
      <c r="DM75">
        <v>0.5</v>
      </c>
      <c r="DN75" t="s">
        <v>438</v>
      </c>
      <c r="DO75">
        <v>2</v>
      </c>
      <c r="DP75" t="b">
        <v>1</v>
      </c>
      <c r="DQ75">
        <v>1760989563.94615</v>
      </c>
      <c r="DR75">
        <v>901.314384615385</v>
      </c>
      <c r="DS75">
        <v>941.903</v>
      </c>
      <c r="DT75">
        <v>11.7432307692308</v>
      </c>
      <c r="DU75">
        <v>8.91988076923077</v>
      </c>
      <c r="DV75">
        <v>896.712769230769</v>
      </c>
      <c r="DW75">
        <v>11.8553307692308</v>
      </c>
      <c r="DX75">
        <v>499.995461538462</v>
      </c>
      <c r="DY75">
        <v>89.8615615384616</v>
      </c>
      <c r="DZ75">
        <v>0.00779093230769231</v>
      </c>
      <c r="EA75">
        <v>18.4069846153846</v>
      </c>
      <c r="EB75">
        <v>17.9870384615385</v>
      </c>
      <c r="EC75">
        <v>999.9</v>
      </c>
      <c r="ED75">
        <v>0</v>
      </c>
      <c r="EE75">
        <v>0</v>
      </c>
      <c r="EF75">
        <v>10014.7153846154</v>
      </c>
      <c r="EG75">
        <v>0</v>
      </c>
      <c r="EH75">
        <v>1270.15384615385</v>
      </c>
      <c r="EI75">
        <v>-40.5887384615385</v>
      </c>
      <c r="EJ75">
        <v>912.024538461538</v>
      </c>
      <c r="EK75">
        <v>950.380384615385</v>
      </c>
      <c r="EL75">
        <v>2.82334615384615</v>
      </c>
      <c r="EM75">
        <v>941.903</v>
      </c>
      <c r="EN75">
        <v>8.91988076923077</v>
      </c>
      <c r="EO75">
        <v>1.05526307692308</v>
      </c>
      <c r="EP75">
        <v>0.801554230769231</v>
      </c>
      <c r="EQ75">
        <v>7.7026</v>
      </c>
      <c r="ER75">
        <v>3.73485076923077</v>
      </c>
      <c r="ES75">
        <v>1199.98692307692</v>
      </c>
      <c r="ET75">
        <v>0.967003307692308</v>
      </c>
      <c r="EU75">
        <v>0.0329965923076923</v>
      </c>
      <c r="EV75">
        <v>0</v>
      </c>
      <c r="EW75">
        <v>1337.44461538462</v>
      </c>
      <c r="EX75">
        <v>5.00059</v>
      </c>
      <c r="EY75">
        <v>15748.0538461538</v>
      </c>
      <c r="EZ75">
        <v>10358.6153846154</v>
      </c>
      <c r="FA75">
        <v>37.8410769230769</v>
      </c>
      <c r="FB75">
        <v>40.6199230769231</v>
      </c>
      <c r="FC75">
        <v>38.4373076923077</v>
      </c>
      <c r="FD75">
        <v>40.3411538461539</v>
      </c>
      <c r="FE75">
        <v>38.9468461538462</v>
      </c>
      <c r="FF75">
        <v>1155.55692307692</v>
      </c>
      <c r="FG75">
        <v>39.43</v>
      </c>
      <c r="FH75">
        <v>0</v>
      </c>
      <c r="FI75">
        <v>1760989541.5</v>
      </c>
      <c r="FJ75">
        <v>0</v>
      </c>
      <c r="FK75">
        <v>1337.40576923077</v>
      </c>
      <c r="FL75">
        <v>0.0673504240711465</v>
      </c>
      <c r="FM75">
        <v>34.140170912114</v>
      </c>
      <c r="FN75">
        <v>15748.7153846154</v>
      </c>
      <c r="FO75">
        <v>15</v>
      </c>
      <c r="FP75">
        <v>0</v>
      </c>
      <c r="FQ75" t="s">
        <v>439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-40.513385</v>
      </c>
      <c r="GD75">
        <v>-0.181917293233052</v>
      </c>
      <c r="GE75">
        <v>0.360398022018712</v>
      </c>
      <c r="GF75">
        <v>1</v>
      </c>
      <c r="GG75">
        <v>1337.41529411765</v>
      </c>
      <c r="GH75">
        <v>0.0751718870584184</v>
      </c>
      <c r="GI75">
        <v>0.145263154595521</v>
      </c>
      <c r="GJ75">
        <v>-1</v>
      </c>
      <c r="GK75">
        <v>2.8274785</v>
      </c>
      <c r="GL75">
        <v>-0.0974512781954957</v>
      </c>
      <c r="GM75">
        <v>0.00949230861013276</v>
      </c>
      <c r="GN75">
        <v>1</v>
      </c>
      <c r="GO75">
        <v>2</v>
      </c>
      <c r="GP75">
        <v>2</v>
      </c>
      <c r="GQ75" t="s">
        <v>440</v>
      </c>
      <c r="GR75">
        <v>3.13071</v>
      </c>
      <c r="GS75">
        <v>2.68573</v>
      </c>
      <c r="GT75">
        <v>0.157114</v>
      </c>
      <c r="GU75">
        <v>0.162136</v>
      </c>
      <c r="GV75">
        <v>0.0614673</v>
      </c>
      <c r="GW75">
        <v>0.0495518</v>
      </c>
      <c r="GX75">
        <v>31947</v>
      </c>
      <c r="GY75">
        <v>34123.5</v>
      </c>
      <c r="GZ75">
        <v>34267.2</v>
      </c>
      <c r="HA75">
        <v>36849.3</v>
      </c>
      <c r="HB75">
        <v>45371.2</v>
      </c>
      <c r="HC75">
        <v>50229.5</v>
      </c>
      <c r="HD75">
        <v>53341.2</v>
      </c>
      <c r="HE75">
        <v>58775.9</v>
      </c>
      <c r="HF75">
        <v>2.00923</v>
      </c>
      <c r="HG75">
        <v>1.83783</v>
      </c>
      <c r="HH75">
        <v>0.032194</v>
      </c>
      <c r="HI75">
        <v>0</v>
      </c>
      <c r="HJ75">
        <v>17.4529</v>
      </c>
      <c r="HK75">
        <v>999.9</v>
      </c>
      <c r="HL75">
        <v>25.906</v>
      </c>
      <c r="HM75">
        <v>30.283</v>
      </c>
      <c r="HN75">
        <v>12.4841</v>
      </c>
      <c r="HO75">
        <v>54.1991</v>
      </c>
      <c r="HP75">
        <v>44.0986</v>
      </c>
      <c r="HQ75">
        <v>1</v>
      </c>
      <c r="HR75">
        <v>-0.269695</v>
      </c>
      <c r="HS75">
        <v>3.83301</v>
      </c>
      <c r="HT75">
        <v>20.0967</v>
      </c>
      <c r="HU75">
        <v>5.20172</v>
      </c>
      <c r="HV75">
        <v>12.004</v>
      </c>
      <c r="HW75">
        <v>4.97575</v>
      </c>
      <c r="HX75">
        <v>3.29305</v>
      </c>
      <c r="HY75">
        <v>9999</v>
      </c>
      <c r="HZ75">
        <v>999.9</v>
      </c>
      <c r="IA75">
        <v>9999</v>
      </c>
      <c r="IB75">
        <v>9999</v>
      </c>
      <c r="IC75">
        <v>1.86325</v>
      </c>
      <c r="ID75">
        <v>1.86808</v>
      </c>
      <c r="IE75">
        <v>1.86783</v>
      </c>
      <c r="IF75">
        <v>1.86905</v>
      </c>
      <c r="IG75">
        <v>1.86981</v>
      </c>
      <c r="IH75">
        <v>1.86585</v>
      </c>
      <c r="II75">
        <v>1.86693</v>
      </c>
      <c r="IJ75">
        <v>1.86838</v>
      </c>
      <c r="IK75">
        <v>5</v>
      </c>
      <c r="IL75">
        <v>0</v>
      </c>
      <c r="IM75">
        <v>0</v>
      </c>
      <c r="IN75">
        <v>0</v>
      </c>
      <c r="IO75" t="s">
        <v>441</v>
      </c>
      <c r="IP75" t="s">
        <v>442</v>
      </c>
      <c r="IQ75" t="s">
        <v>443</v>
      </c>
      <c r="IR75" t="s">
        <v>443</v>
      </c>
      <c r="IS75" t="s">
        <v>443</v>
      </c>
      <c r="IT75" t="s">
        <v>443</v>
      </c>
      <c r="IU75">
        <v>0</v>
      </c>
      <c r="IV75">
        <v>100</v>
      </c>
      <c r="IW75">
        <v>100</v>
      </c>
      <c r="IX75">
        <v>4.692</v>
      </c>
      <c r="IY75">
        <v>-0.112</v>
      </c>
      <c r="IZ75">
        <v>1.12474291219083</v>
      </c>
      <c r="JA75">
        <v>0.00463155566490582</v>
      </c>
      <c r="JB75">
        <v>-1.1358998729424e-06</v>
      </c>
      <c r="JC75">
        <v>3.28704272115545e-10</v>
      </c>
      <c r="JD75">
        <v>-0.0704455108513773</v>
      </c>
      <c r="JE75">
        <v>-0.0251928478371425</v>
      </c>
      <c r="JF75">
        <v>0.00225751704194564</v>
      </c>
      <c r="JG75">
        <v>-3.61734043746866e-05</v>
      </c>
      <c r="JH75">
        <v>1</v>
      </c>
      <c r="JI75">
        <v>2182</v>
      </c>
      <c r="JJ75">
        <v>0</v>
      </c>
      <c r="JK75">
        <v>24</v>
      </c>
      <c r="JL75">
        <v>29349826.2</v>
      </c>
      <c r="JM75">
        <v>29349826.2</v>
      </c>
      <c r="JN75">
        <v>1.98608</v>
      </c>
      <c r="JO75">
        <v>2.62451</v>
      </c>
      <c r="JP75">
        <v>1.54785</v>
      </c>
      <c r="JQ75">
        <v>2.31445</v>
      </c>
      <c r="JR75">
        <v>1.64673</v>
      </c>
      <c r="JS75">
        <v>2.29614</v>
      </c>
      <c r="JT75">
        <v>33.5804</v>
      </c>
      <c r="JU75">
        <v>24.1838</v>
      </c>
      <c r="JV75">
        <v>18</v>
      </c>
      <c r="JW75">
        <v>500.974</v>
      </c>
      <c r="JX75">
        <v>394.518</v>
      </c>
      <c r="JY75">
        <v>12.4044</v>
      </c>
      <c r="JZ75">
        <v>23.9029</v>
      </c>
      <c r="KA75">
        <v>29.9998</v>
      </c>
      <c r="KB75">
        <v>23.923</v>
      </c>
      <c r="KC75">
        <v>23.8932</v>
      </c>
      <c r="KD75">
        <v>39.7895</v>
      </c>
      <c r="KE75">
        <v>8.77818</v>
      </c>
      <c r="KF75">
        <v>23.3636</v>
      </c>
      <c r="KG75">
        <v>12.4261</v>
      </c>
      <c r="KH75">
        <v>987.543</v>
      </c>
      <c r="KI75">
        <v>9.01682</v>
      </c>
      <c r="KJ75">
        <v>97.0452</v>
      </c>
      <c r="KK75">
        <v>95.3031</v>
      </c>
    </row>
    <row r="76" spans="1:297">
      <c r="A76">
        <v>60</v>
      </c>
      <c r="B76">
        <v>1760989577.1</v>
      </c>
      <c r="C76">
        <v>387</v>
      </c>
      <c r="D76" t="s">
        <v>562</v>
      </c>
      <c r="E76" t="s">
        <v>563</v>
      </c>
      <c r="F76">
        <v>5</v>
      </c>
      <c r="G76" t="s">
        <v>435</v>
      </c>
      <c r="H76" t="s">
        <v>436</v>
      </c>
      <c r="I76">
        <v>1760989568.94615</v>
      </c>
      <c r="J76">
        <f>(K76)/1000</f>
        <v>0</v>
      </c>
      <c r="K76">
        <f>IF(DP76, AN76, AH76)</f>
        <v>0</v>
      </c>
      <c r="L76">
        <f>IF(DP76, AI76, AG76)</f>
        <v>0</v>
      </c>
      <c r="M76">
        <f>DR76 - IF(AU76&gt;1, L76*DL76*100.0/(AW76), 0)</f>
        <v>0</v>
      </c>
      <c r="N76">
        <f>((T76-J76/2)*M76-L76)/(T76+J76/2)</f>
        <v>0</v>
      </c>
      <c r="O76">
        <f>N76*(DY76+DZ76)/1000.0</f>
        <v>0</v>
      </c>
      <c r="P76">
        <f>(DR76 - IF(AU76&gt;1, L76*DL76*100.0/(AW76), 0))*(DY76+DZ76)/1000.0</f>
        <v>0</v>
      </c>
      <c r="Q76">
        <f>2.0/((1/S76-1/R76)+SIGN(S76)*SQRT((1/S76-1/R76)*(1/S76-1/R76) + 4*DM76/((DM76+1)*(DM76+1))*(2*1/S76*1/R76-1/R76*1/R76)))</f>
        <v>0</v>
      </c>
      <c r="R76">
        <f>IF(LEFT(DN76,1)&lt;&gt;"0",IF(LEFT(DN76,1)="1",3.0,DO76),$D$5+$E$5*(EF76*DY76/($K$5*1000))+$F$5*(EF76*DY76/($K$5*1000))*MAX(MIN(DL76,$J$5),$I$5)*MAX(MIN(DL76,$J$5),$I$5)+$G$5*MAX(MIN(DL76,$J$5),$I$5)*(EF76*DY76/($K$5*1000))+$H$5*(EF76*DY76/($K$5*1000))*(EF76*DY76/($K$5*1000)))</f>
        <v>0</v>
      </c>
      <c r="S76">
        <f>J76*(1000-(1000*0.61365*exp(17.502*W76/(240.97+W76))/(DY76+DZ76)+DT76)/2)/(1000*0.61365*exp(17.502*W76/(240.97+W76))/(DY76+DZ76)-DT76)</f>
        <v>0</v>
      </c>
      <c r="T76">
        <f>1/((DM76+1)/(Q76/1.6)+1/(R76/1.37)) + DM76/((DM76+1)/(Q76/1.6) + DM76/(R76/1.37))</f>
        <v>0</v>
      </c>
      <c r="U76">
        <f>(DH76*DK76)</f>
        <v>0</v>
      </c>
      <c r="V76">
        <f>(EA76+(U76+2*0.95*5.67E-8*(((EA76+$B$7)+273)^4-(EA76+273)^4)-44100*J76)/(1.84*29.3*R76+8*0.95*5.67E-8*(EA76+273)^3))</f>
        <v>0</v>
      </c>
      <c r="W76">
        <f>($C$7*EB76+$D$7*EC76+$E$7*V76)</f>
        <v>0</v>
      </c>
      <c r="X76">
        <f>0.61365*exp(17.502*W76/(240.97+W76))</f>
        <v>0</v>
      </c>
      <c r="Y76">
        <f>(Z76/AA76*100)</f>
        <v>0</v>
      </c>
      <c r="Z76">
        <f>DT76*(DY76+DZ76)/1000</f>
        <v>0</v>
      </c>
      <c r="AA76">
        <f>0.61365*exp(17.502*EA76/(240.97+EA76))</f>
        <v>0</v>
      </c>
      <c r="AB76">
        <f>(X76-DT76*(DY76+DZ76)/1000)</f>
        <v>0</v>
      </c>
      <c r="AC76">
        <f>(-J76*44100)</f>
        <v>0</v>
      </c>
      <c r="AD76">
        <f>2*29.3*R76*0.92*(EA76-W76)</f>
        <v>0</v>
      </c>
      <c r="AE76">
        <f>2*0.95*5.67E-8*(((EA76+$B$7)+273)^4-(W76+273)^4)</f>
        <v>0</v>
      </c>
      <c r="AF76">
        <f>U76+AE76+AC76+AD76</f>
        <v>0</v>
      </c>
      <c r="AG76">
        <f>DX76*AU76*(DS76-DR76*(1000-AU76*DU76)/(1000-AU76*DT76))/(100*DL76)</f>
        <v>0</v>
      </c>
      <c r="AH76">
        <f>1000*DX76*AU76*(DT76-DU76)/(100*DL76*(1000-AU76*DT76))</f>
        <v>0</v>
      </c>
      <c r="AI76">
        <f>(AJ76 - AK76 - DY76*1E3/(8.314*(EA76+273.15)) * AM76/DX76 * AL76) * DX76/(100*DL76) * (1000 - DU76)/1000</f>
        <v>0</v>
      </c>
      <c r="AJ76">
        <v>983.267820563935</v>
      </c>
      <c r="AK76">
        <v>952.770466666666</v>
      </c>
      <c r="AL76">
        <v>3.42210550698259</v>
      </c>
      <c r="AM76">
        <v>64.8413469339502</v>
      </c>
      <c r="AN76">
        <f>(AP76 - AO76 + DY76*1E3/(8.314*(EA76+273.15)) * AR76/DX76 * AQ76) * DX76/(100*DL76) * 1000/(1000 - AP76)</f>
        <v>0</v>
      </c>
      <c r="AO76">
        <v>8.94901565753763</v>
      </c>
      <c r="AP76">
        <v>11.7648090909091</v>
      </c>
      <c r="AQ76">
        <v>0.000383088569110026</v>
      </c>
      <c r="AR76">
        <v>118.472689631034</v>
      </c>
      <c r="AS76">
        <v>0</v>
      </c>
      <c r="AT76">
        <v>0</v>
      </c>
      <c r="AU76">
        <f>IF(AS76*$H$13&gt;=AW76,1.0,(AW76/(AW76-AS76*$H$13)))</f>
        <v>0</v>
      </c>
      <c r="AV76">
        <f>(AU76-1)*100</f>
        <v>0</v>
      </c>
      <c r="AW76">
        <f>MAX(0,($B$13+$C$13*EF76)/(1+$D$13*EF76)*DY76/(EA76+273)*$E$13)</f>
        <v>0</v>
      </c>
      <c r="AX76" t="s">
        <v>437</v>
      </c>
      <c r="AY76" t="s">
        <v>437</v>
      </c>
      <c r="AZ76">
        <v>0</v>
      </c>
      <c r="BA76">
        <v>0</v>
      </c>
      <c r="BB76">
        <f>1-AZ76/BA76</f>
        <v>0</v>
      </c>
      <c r="BC76">
        <v>0</v>
      </c>
      <c r="BD76" t="s">
        <v>437</v>
      </c>
      <c r="BE76" t="s">
        <v>437</v>
      </c>
      <c r="BF76">
        <v>0</v>
      </c>
      <c r="BG76">
        <v>0</v>
      </c>
      <c r="BH76">
        <f>1-BF76/BG76</f>
        <v>0</v>
      </c>
      <c r="BI76">
        <v>0.5</v>
      </c>
      <c r="BJ76">
        <f>DI76</f>
        <v>0</v>
      </c>
      <c r="BK76">
        <f>L76</f>
        <v>0</v>
      </c>
      <c r="BL76">
        <f>BH76*BI76*BJ76</f>
        <v>0</v>
      </c>
      <c r="BM76">
        <f>(BK76-BC76)/BJ76</f>
        <v>0</v>
      </c>
      <c r="BN76">
        <f>(BA76-BG76)/BG76</f>
        <v>0</v>
      </c>
      <c r="BO76">
        <f>AZ76/(BB76+AZ76/BG76)</f>
        <v>0</v>
      </c>
      <c r="BP76" t="s">
        <v>437</v>
      </c>
      <c r="BQ76">
        <v>0</v>
      </c>
      <c r="BR76">
        <f>IF(BQ76&lt;&gt;0, BQ76, BO76)</f>
        <v>0</v>
      </c>
      <c r="BS76">
        <f>1-BR76/BG76</f>
        <v>0</v>
      </c>
      <c r="BT76">
        <f>(BG76-BF76)/(BG76-BR76)</f>
        <v>0</v>
      </c>
      <c r="BU76">
        <f>(BA76-BG76)/(BA76-BR76)</f>
        <v>0</v>
      </c>
      <c r="BV76">
        <f>(BG76-BF76)/(BG76-AZ76)</f>
        <v>0</v>
      </c>
      <c r="BW76">
        <f>(BA76-BG76)/(BA76-AZ76)</f>
        <v>0</v>
      </c>
      <c r="BX76">
        <f>(BT76*BR76/BF76)</f>
        <v>0</v>
      </c>
      <c r="BY76">
        <f>(1-BX76)</f>
        <v>0</v>
      </c>
      <c r="DH76">
        <f>$B$11*EG76+$C$11*EH76+$F$11*ES76*(1-EV76)</f>
        <v>0</v>
      </c>
      <c r="DI76">
        <f>DH76*DJ76</f>
        <v>0</v>
      </c>
      <c r="DJ76">
        <f>($B$11*$D$9+$C$11*$D$9+$F$11*((FF76+EX76)/MAX(FF76+EX76+FG76, 0.1)*$I$9+FG76/MAX(FF76+EX76+FG76, 0.1)*$J$9))/($B$11+$C$11+$F$11)</f>
        <v>0</v>
      </c>
      <c r="DK76">
        <f>($B$11*$K$9+$C$11*$K$9+$F$11*((FF76+EX76)/MAX(FF76+EX76+FG76, 0.1)*$P$9+FG76/MAX(FF76+EX76+FG76, 0.1)*$Q$9))/($B$11+$C$11+$F$11)</f>
        <v>0</v>
      </c>
      <c r="DL76">
        <v>6</v>
      </c>
      <c r="DM76">
        <v>0.5</v>
      </c>
      <c r="DN76" t="s">
        <v>438</v>
      </c>
      <c r="DO76">
        <v>2</v>
      </c>
      <c r="DP76" t="b">
        <v>1</v>
      </c>
      <c r="DQ76">
        <v>1760989568.94615</v>
      </c>
      <c r="DR76">
        <v>917.808615384615</v>
      </c>
      <c r="DS76">
        <v>958.436923076923</v>
      </c>
      <c r="DT76">
        <v>11.7496461538462</v>
      </c>
      <c r="DU76">
        <v>8.93177692307692</v>
      </c>
      <c r="DV76">
        <v>913.151384615385</v>
      </c>
      <c r="DW76">
        <v>11.8616538461538</v>
      </c>
      <c r="DX76">
        <v>500.022</v>
      </c>
      <c r="DY76">
        <v>89.8595923076923</v>
      </c>
      <c r="DZ76">
        <v>0.00771585538461538</v>
      </c>
      <c r="EA76">
        <v>18.4071692307692</v>
      </c>
      <c r="EB76">
        <v>17.9864461538462</v>
      </c>
      <c r="EC76">
        <v>999.9</v>
      </c>
      <c r="ED76">
        <v>0</v>
      </c>
      <c r="EE76">
        <v>0</v>
      </c>
      <c r="EF76">
        <v>10005.3807692308</v>
      </c>
      <c r="EG76">
        <v>0</v>
      </c>
      <c r="EH76">
        <v>1270.15461538462</v>
      </c>
      <c r="EI76">
        <v>-40.6284076923077</v>
      </c>
      <c r="EJ76">
        <v>928.720769230769</v>
      </c>
      <c r="EK76">
        <v>967.074846153846</v>
      </c>
      <c r="EL76">
        <v>2.81785692307692</v>
      </c>
      <c r="EM76">
        <v>958.436923076923</v>
      </c>
      <c r="EN76">
        <v>8.93177692307692</v>
      </c>
      <c r="EO76">
        <v>1.05581615384615</v>
      </c>
      <c r="EP76">
        <v>0.802605692307692</v>
      </c>
      <c r="EQ76">
        <v>7.71027538461539</v>
      </c>
      <c r="ER76">
        <v>3.75346153846154</v>
      </c>
      <c r="ES76">
        <v>1199.98538461538</v>
      </c>
      <c r="ET76">
        <v>0.967004</v>
      </c>
      <c r="EU76">
        <v>0.0329959076923077</v>
      </c>
      <c r="EV76">
        <v>0</v>
      </c>
      <c r="EW76">
        <v>1337.37153846154</v>
      </c>
      <c r="EX76">
        <v>5.00059</v>
      </c>
      <c r="EY76">
        <v>15750.7692307692</v>
      </c>
      <c r="EZ76">
        <v>10358.6153846154</v>
      </c>
      <c r="FA76">
        <v>37.8987692307692</v>
      </c>
      <c r="FB76">
        <v>40.6920769230769</v>
      </c>
      <c r="FC76">
        <v>38.4948461538462</v>
      </c>
      <c r="FD76">
        <v>40.4565384615385</v>
      </c>
      <c r="FE76">
        <v>39.0092307692308</v>
      </c>
      <c r="FF76">
        <v>1155.55538461538</v>
      </c>
      <c r="FG76">
        <v>39.43</v>
      </c>
      <c r="FH76">
        <v>0</v>
      </c>
      <c r="FI76">
        <v>1760989546.3</v>
      </c>
      <c r="FJ76">
        <v>0</v>
      </c>
      <c r="FK76">
        <v>1337.39846153846</v>
      </c>
      <c r="FL76">
        <v>-0.406837593328146</v>
      </c>
      <c r="FM76">
        <v>29.9145299743644</v>
      </c>
      <c r="FN76">
        <v>15751.2384615385</v>
      </c>
      <c r="FO76">
        <v>15</v>
      </c>
      <c r="FP76">
        <v>0</v>
      </c>
      <c r="FQ76" t="s">
        <v>439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-40.6892047619048</v>
      </c>
      <c r="GD76">
        <v>-0.444849350649378</v>
      </c>
      <c r="GE76">
        <v>0.386250061459315</v>
      </c>
      <c r="GF76">
        <v>1</v>
      </c>
      <c r="GG76">
        <v>1337.40323529412</v>
      </c>
      <c r="GH76">
        <v>-0.0817417829262407</v>
      </c>
      <c r="GI76">
        <v>0.183891281631861</v>
      </c>
      <c r="GJ76">
        <v>-1</v>
      </c>
      <c r="GK76">
        <v>2.82156142857143</v>
      </c>
      <c r="GL76">
        <v>-0.0705405194805187</v>
      </c>
      <c r="GM76">
        <v>0.0073729707689088</v>
      </c>
      <c r="GN76">
        <v>1</v>
      </c>
      <c r="GO76">
        <v>2</v>
      </c>
      <c r="GP76">
        <v>2</v>
      </c>
      <c r="GQ76" t="s">
        <v>440</v>
      </c>
      <c r="GR76">
        <v>3.13064</v>
      </c>
      <c r="GS76">
        <v>2.68545</v>
      </c>
      <c r="GT76">
        <v>0.15896</v>
      </c>
      <c r="GU76">
        <v>0.163802</v>
      </c>
      <c r="GV76">
        <v>0.0615173</v>
      </c>
      <c r="GW76">
        <v>0.0496236</v>
      </c>
      <c r="GX76">
        <v>31877.3</v>
      </c>
      <c r="GY76">
        <v>34056.1</v>
      </c>
      <c r="GZ76">
        <v>34267.4</v>
      </c>
      <c r="HA76">
        <v>36849.7</v>
      </c>
      <c r="HB76">
        <v>45369.3</v>
      </c>
      <c r="HC76">
        <v>50226.4</v>
      </c>
      <c r="HD76">
        <v>53341.7</v>
      </c>
      <c r="HE76">
        <v>58776.5</v>
      </c>
      <c r="HF76">
        <v>2.0087</v>
      </c>
      <c r="HG76">
        <v>1.83777</v>
      </c>
      <c r="HH76">
        <v>0.0321791</v>
      </c>
      <c r="HI76">
        <v>0</v>
      </c>
      <c r="HJ76">
        <v>17.4529</v>
      </c>
      <c r="HK76">
        <v>999.9</v>
      </c>
      <c r="HL76">
        <v>25.906</v>
      </c>
      <c r="HM76">
        <v>30.283</v>
      </c>
      <c r="HN76">
        <v>12.4849</v>
      </c>
      <c r="HO76">
        <v>54.1791</v>
      </c>
      <c r="HP76">
        <v>44.1707</v>
      </c>
      <c r="HQ76">
        <v>1</v>
      </c>
      <c r="HR76">
        <v>-0.270165</v>
      </c>
      <c r="HS76">
        <v>3.81959</v>
      </c>
      <c r="HT76">
        <v>20.0971</v>
      </c>
      <c r="HU76">
        <v>5.20142</v>
      </c>
      <c r="HV76">
        <v>12.004</v>
      </c>
      <c r="HW76">
        <v>4.9757</v>
      </c>
      <c r="HX76">
        <v>3.29298</v>
      </c>
      <c r="HY76">
        <v>9999</v>
      </c>
      <c r="HZ76">
        <v>999.9</v>
      </c>
      <c r="IA76">
        <v>9999</v>
      </c>
      <c r="IB76">
        <v>9999</v>
      </c>
      <c r="IC76">
        <v>1.86324</v>
      </c>
      <c r="ID76">
        <v>1.86807</v>
      </c>
      <c r="IE76">
        <v>1.86783</v>
      </c>
      <c r="IF76">
        <v>1.86905</v>
      </c>
      <c r="IG76">
        <v>1.86981</v>
      </c>
      <c r="IH76">
        <v>1.86584</v>
      </c>
      <c r="II76">
        <v>1.86691</v>
      </c>
      <c r="IJ76">
        <v>1.86837</v>
      </c>
      <c r="IK76">
        <v>5</v>
      </c>
      <c r="IL76">
        <v>0</v>
      </c>
      <c r="IM76">
        <v>0</v>
      </c>
      <c r="IN76">
        <v>0</v>
      </c>
      <c r="IO76" t="s">
        <v>441</v>
      </c>
      <c r="IP76" t="s">
        <v>442</v>
      </c>
      <c r="IQ76" t="s">
        <v>443</v>
      </c>
      <c r="IR76" t="s">
        <v>443</v>
      </c>
      <c r="IS76" t="s">
        <v>443</v>
      </c>
      <c r="IT76" t="s">
        <v>443</v>
      </c>
      <c r="IU76">
        <v>0</v>
      </c>
      <c r="IV76">
        <v>100</v>
      </c>
      <c r="IW76">
        <v>100</v>
      </c>
      <c r="IX76">
        <v>4.748</v>
      </c>
      <c r="IY76">
        <v>-0.1117</v>
      </c>
      <c r="IZ76">
        <v>1.12474291219083</v>
      </c>
      <c r="JA76">
        <v>0.00463155566490582</v>
      </c>
      <c r="JB76">
        <v>-1.1358998729424e-06</v>
      </c>
      <c r="JC76">
        <v>3.28704272115545e-10</v>
      </c>
      <c r="JD76">
        <v>-0.0704455108513773</v>
      </c>
      <c r="JE76">
        <v>-0.0251928478371425</v>
      </c>
      <c r="JF76">
        <v>0.00225751704194564</v>
      </c>
      <c r="JG76">
        <v>-3.61734043746866e-05</v>
      </c>
      <c r="JH76">
        <v>1</v>
      </c>
      <c r="JI76">
        <v>2182</v>
      </c>
      <c r="JJ76">
        <v>0</v>
      </c>
      <c r="JK76">
        <v>24</v>
      </c>
      <c r="JL76">
        <v>29349826.3</v>
      </c>
      <c r="JM76">
        <v>29349826.3</v>
      </c>
      <c r="JN76">
        <v>2.00928</v>
      </c>
      <c r="JO76">
        <v>2.62207</v>
      </c>
      <c r="JP76">
        <v>1.54785</v>
      </c>
      <c r="JQ76">
        <v>2.31445</v>
      </c>
      <c r="JR76">
        <v>1.64673</v>
      </c>
      <c r="JS76">
        <v>2.28516</v>
      </c>
      <c r="JT76">
        <v>33.5804</v>
      </c>
      <c r="JU76">
        <v>24.1838</v>
      </c>
      <c r="JV76">
        <v>18</v>
      </c>
      <c r="JW76">
        <v>500.638</v>
      </c>
      <c r="JX76">
        <v>394.492</v>
      </c>
      <c r="JY76">
        <v>12.421</v>
      </c>
      <c r="JZ76">
        <v>23.9028</v>
      </c>
      <c r="KA76">
        <v>29.9998</v>
      </c>
      <c r="KB76">
        <v>23.923</v>
      </c>
      <c r="KC76">
        <v>23.8932</v>
      </c>
      <c r="KD76">
        <v>40.3383</v>
      </c>
      <c r="KE76">
        <v>8.77818</v>
      </c>
      <c r="KF76">
        <v>23.3636</v>
      </c>
      <c r="KG76">
        <v>12.4349</v>
      </c>
      <c r="KH76">
        <v>1007.82</v>
      </c>
      <c r="KI76">
        <v>9.01494</v>
      </c>
      <c r="KJ76">
        <v>97.0458</v>
      </c>
      <c r="KK76">
        <v>95.304</v>
      </c>
    </row>
    <row r="77" spans="1:297">
      <c r="A77">
        <v>61</v>
      </c>
      <c r="B77">
        <v>1760989582.1</v>
      </c>
      <c r="C77">
        <v>392</v>
      </c>
      <c r="D77" t="s">
        <v>564</v>
      </c>
      <c r="E77" t="s">
        <v>565</v>
      </c>
      <c r="F77">
        <v>5</v>
      </c>
      <c r="G77" t="s">
        <v>435</v>
      </c>
      <c r="H77" t="s">
        <v>436</v>
      </c>
      <c r="I77">
        <v>1760989573.94615</v>
      </c>
      <c r="J77">
        <f>(K77)/1000</f>
        <v>0</v>
      </c>
      <c r="K77">
        <f>IF(DP77, AN77, AH77)</f>
        <v>0</v>
      </c>
      <c r="L77">
        <f>IF(DP77, AI77, AG77)</f>
        <v>0</v>
      </c>
      <c r="M77">
        <f>DR77 - IF(AU77&gt;1, L77*DL77*100.0/(AW77), 0)</f>
        <v>0</v>
      </c>
      <c r="N77">
        <f>((T77-J77/2)*M77-L77)/(T77+J77/2)</f>
        <v>0</v>
      </c>
      <c r="O77">
        <f>N77*(DY77+DZ77)/1000.0</f>
        <v>0</v>
      </c>
      <c r="P77">
        <f>(DR77 - IF(AU77&gt;1, L77*DL77*100.0/(AW77), 0))*(DY77+DZ77)/1000.0</f>
        <v>0</v>
      </c>
      <c r="Q77">
        <f>2.0/((1/S77-1/R77)+SIGN(S77)*SQRT((1/S77-1/R77)*(1/S77-1/R77) + 4*DM77/((DM77+1)*(DM77+1))*(2*1/S77*1/R77-1/R77*1/R77)))</f>
        <v>0</v>
      </c>
      <c r="R77">
        <f>IF(LEFT(DN77,1)&lt;&gt;"0",IF(LEFT(DN77,1)="1",3.0,DO77),$D$5+$E$5*(EF77*DY77/($K$5*1000))+$F$5*(EF77*DY77/($K$5*1000))*MAX(MIN(DL77,$J$5),$I$5)*MAX(MIN(DL77,$J$5),$I$5)+$G$5*MAX(MIN(DL77,$J$5),$I$5)*(EF77*DY77/($K$5*1000))+$H$5*(EF77*DY77/($K$5*1000))*(EF77*DY77/($K$5*1000)))</f>
        <v>0</v>
      </c>
      <c r="S77">
        <f>J77*(1000-(1000*0.61365*exp(17.502*W77/(240.97+W77))/(DY77+DZ77)+DT77)/2)/(1000*0.61365*exp(17.502*W77/(240.97+W77))/(DY77+DZ77)-DT77)</f>
        <v>0</v>
      </c>
      <c r="T77">
        <f>1/((DM77+1)/(Q77/1.6)+1/(R77/1.37)) + DM77/((DM77+1)/(Q77/1.6) + DM77/(R77/1.37))</f>
        <v>0</v>
      </c>
      <c r="U77">
        <f>(DH77*DK77)</f>
        <v>0</v>
      </c>
      <c r="V77">
        <f>(EA77+(U77+2*0.95*5.67E-8*(((EA77+$B$7)+273)^4-(EA77+273)^4)-44100*J77)/(1.84*29.3*R77+8*0.95*5.67E-8*(EA77+273)^3))</f>
        <v>0</v>
      </c>
      <c r="W77">
        <f>($C$7*EB77+$D$7*EC77+$E$7*V77)</f>
        <v>0</v>
      </c>
      <c r="X77">
        <f>0.61365*exp(17.502*W77/(240.97+W77))</f>
        <v>0</v>
      </c>
      <c r="Y77">
        <f>(Z77/AA77*100)</f>
        <v>0</v>
      </c>
      <c r="Z77">
        <f>DT77*(DY77+DZ77)/1000</f>
        <v>0</v>
      </c>
      <c r="AA77">
        <f>0.61365*exp(17.502*EA77/(240.97+EA77))</f>
        <v>0</v>
      </c>
      <c r="AB77">
        <f>(X77-DT77*(DY77+DZ77)/1000)</f>
        <v>0</v>
      </c>
      <c r="AC77">
        <f>(-J77*44100)</f>
        <v>0</v>
      </c>
      <c r="AD77">
        <f>2*29.3*R77*0.92*(EA77-W77)</f>
        <v>0</v>
      </c>
      <c r="AE77">
        <f>2*0.95*5.67E-8*(((EA77+$B$7)+273)^4-(W77+273)^4)</f>
        <v>0</v>
      </c>
      <c r="AF77">
        <f>U77+AE77+AC77+AD77</f>
        <v>0</v>
      </c>
      <c r="AG77">
        <f>DX77*AU77*(DS77-DR77*(1000-AU77*DU77)/(1000-AU77*DT77))/(100*DL77)</f>
        <v>0</v>
      </c>
      <c r="AH77">
        <f>1000*DX77*AU77*(DT77-DU77)/(100*DL77*(1000-AU77*DT77))</f>
        <v>0</v>
      </c>
      <c r="AI77">
        <f>(AJ77 - AK77 - DY77*1E3/(8.314*(EA77+273.15)) * AM77/DX77 * AL77) * DX77/(100*DL77) * (1000 - DU77)/1000</f>
        <v>0</v>
      </c>
      <c r="AJ77">
        <v>998.634458474769</v>
      </c>
      <c r="AK77">
        <v>968.824490909091</v>
      </c>
      <c r="AL77">
        <v>3.19886965043172</v>
      </c>
      <c r="AM77">
        <v>64.8413469339502</v>
      </c>
      <c r="AN77">
        <f>(AP77 - AO77 + DY77*1E3/(8.314*(EA77+273.15)) * AR77/DX77 * AQ77) * DX77/(100*DL77) * 1000/(1000 - AP77)</f>
        <v>0</v>
      </c>
      <c r="AO77">
        <v>8.96145142635681</v>
      </c>
      <c r="AP77">
        <v>11.7771884848485</v>
      </c>
      <c r="AQ77">
        <v>0.000304735484982825</v>
      </c>
      <c r="AR77">
        <v>118.472689631034</v>
      </c>
      <c r="AS77">
        <v>0</v>
      </c>
      <c r="AT77">
        <v>0</v>
      </c>
      <c r="AU77">
        <f>IF(AS77*$H$13&gt;=AW77,1.0,(AW77/(AW77-AS77*$H$13)))</f>
        <v>0</v>
      </c>
      <c r="AV77">
        <f>(AU77-1)*100</f>
        <v>0</v>
      </c>
      <c r="AW77">
        <f>MAX(0,($B$13+$C$13*EF77)/(1+$D$13*EF77)*DY77/(EA77+273)*$E$13)</f>
        <v>0</v>
      </c>
      <c r="AX77" t="s">
        <v>437</v>
      </c>
      <c r="AY77" t="s">
        <v>437</v>
      </c>
      <c r="AZ77">
        <v>0</v>
      </c>
      <c r="BA77">
        <v>0</v>
      </c>
      <c r="BB77">
        <f>1-AZ77/BA77</f>
        <v>0</v>
      </c>
      <c r="BC77">
        <v>0</v>
      </c>
      <c r="BD77" t="s">
        <v>437</v>
      </c>
      <c r="BE77" t="s">
        <v>437</v>
      </c>
      <c r="BF77">
        <v>0</v>
      </c>
      <c r="BG77">
        <v>0</v>
      </c>
      <c r="BH77">
        <f>1-BF77/BG77</f>
        <v>0</v>
      </c>
      <c r="BI77">
        <v>0.5</v>
      </c>
      <c r="BJ77">
        <f>DI77</f>
        <v>0</v>
      </c>
      <c r="BK77">
        <f>L77</f>
        <v>0</v>
      </c>
      <c r="BL77">
        <f>BH77*BI77*BJ77</f>
        <v>0</v>
      </c>
      <c r="BM77">
        <f>(BK77-BC77)/BJ77</f>
        <v>0</v>
      </c>
      <c r="BN77">
        <f>(BA77-BG77)/BG77</f>
        <v>0</v>
      </c>
      <c r="BO77">
        <f>AZ77/(BB77+AZ77/BG77)</f>
        <v>0</v>
      </c>
      <c r="BP77" t="s">
        <v>437</v>
      </c>
      <c r="BQ77">
        <v>0</v>
      </c>
      <c r="BR77">
        <f>IF(BQ77&lt;&gt;0, BQ77, BO77)</f>
        <v>0</v>
      </c>
      <c r="BS77">
        <f>1-BR77/BG77</f>
        <v>0</v>
      </c>
      <c r="BT77">
        <f>(BG77-BF77)/(BG77-BR77)</f>
        <v>0</v>
      </c>
      <c r="BU77">
        <f>(BA77-BG77)/(BA77-BR77)</f>
        <v>0</v>
      </c>
      <c r="BV77">
        <f>(BG77-BF77)/(BG77-AZ77)</f>
        <v>0</v>
      </c>
      <c r="BW77">
        <f>(BA77-BG77)/(BA77-AZ77)</f>
        <v>0</v>
      </c>
      <c r="BX77">
        <f>(BT77*BR77/BF77)</f>
        <v>0</v>
      </c>
      <c r="BY77">
        <f>(1-BX77)</f>
        <v>0</v>
      </c>
      <c r="DH77">
        <f>$B$11*EG77+$C$11*EH77+$F$11*ES77*(1-EV77)</f>
        <v>0</v>
      </c>
      <c r="DI77">
        <f>DH77*DJ77</f>
        <v>0</v>
      </c>
      <c r="DJ77">
        <f>($B$11*$D$9+$C$11*$D$9+$F$11*((FF77+EX77)/MAX(FF77+EX77+FG77, 0.1)*$I$9+FG77/MAX(FF77+EX77+FG77, 0.1)*$J$9))/($B$11+$C$11+$F$11)</f>
        <v>0</v>
      </c>
      <c r="DK77">
        <f>($B$11*$K$9+$C$11*$K$9+$F$11*((FF77+EX77)/MAX(FF77+EX77+FG77, 0.1)*$P$9+FG77/MAX(FF77+EX77+FG77, 0.1)*$Q$9))/($B$11+$C$11+$F$11)</f>
        <v>0</v>
      </c>
      <c r="DL77">
        <v>6</v>
      </c>
      <c r="DM77">
        <v>0.5</v>
      </c>
      <c r="DN77" t="s">
        <v>438</v>
      </c>
      <c r="DO77">
        <v>2</v>
      </c>
      <c r="DP77" t="b">
        <v>1</v>
      </c>
      <c r="DQ77">
        <v>1760989573.94615</v>
      </c>
      <c r="DR77">
        <v>934.182923076923</v>
      </c>
      <c r="DS77">
        <v>974.662153846154</v>
      </c>
      <c r="DT77">
        <v>11.7597846153846</v>
      </c>
      <c r="DU77">
        <v>8.94534307692308</v>
      </c>
      <c r="DV77">
        <v>929.470615384616</v>
      </c>
      <c r="DW77">
        <v>11.8716538461538</v>
      </c>
      <c r="DX77">
        <v>500.012307692308</v>
      </c>
      <c r="DY77">
        <v>89.8586615384615</v>
      </c>
      <c r="DZ77">
        <v>0.00777258692307692</v>
      </c>
      <c r="EA77">
        <v>18.4110692307692</v>
      </c>
      <c r="EB77">
        <v>17.9857</v>
      </c>
      <c r="EC77">
        <v>999.9</v>
      </c>
      <c r="ED77">
        <v>0</v>
      </c>
      <c r="EE77">
        <v>0</v>
      </c>
      <c r="EF77">
        <v>9991.91692307692</v>
      </c>
      <c r="EG77">
        <v>0</v>
      </c>
      <c r="EH77">
        <v>1270.17384615385</v>
      </c>
      <c r="EI77">
        <v>-40.4792923076923</v>
      </c>
      <c r="EJ77">
        <v>945.299384615385</v>
      </c>
      <c r="EK77">
        <v>983.459538461539</v>
      </c>
      <c r="EL77">
        <v>2.81443384615385</v>
      </c>
      <c r="EM77">
        <v>974.662153846154</v>
      </c>
      <c r="EN77">
        <v>8.94534307692308</v>
      </c>
      <c r="EO77">
        <v>1.05671769230769</v>
      </c>
      <c r="EP77">
        <v>0.803816461538462</v>
      </c>
      <c r="EQ77">
        <v>7.72277538461539</v>
      </c>
      <c r="ER77">
        <v>3.77486923076923</v>
      </c>
      <c r="ES77">
        <v>1199.98</v>
      </c>
      <c r="ET77">
        <v>0.967004692307692</v>
      </c>
      <c r="EU77">
        <v>0.0329952230769231</v>
      </c>
      <c r="EV77">
        <v>0</v>
      </c>
      <c r="EW77">
        <v>1337.38461538462</v>
      </c>
      <c r="EX77">
        <v>5.00059</v>
      </c>
      <c r="EY77">
        <v>15753.0538461538</v>
      </c>
      <c r="EZ77">
        <v>10358.5692307692</v>
      </c>
      <c r="FA77">
        <v>37.9613076923077</v>
      </c>
      <c r="FB77">
        <v>40.769</v>
      </c>
      <c r="FC77">
        <v>38.5526923076923</v>
      </c>
      <c r="FD77">
        <v>40.5622307692308</v>
      </c>
      <c r="FE77">
        <v>39.0718461538462</v>
      </c>
      <c r="FF77">
        <v>1155.55</v>
      </c>
      <c r="FG77">
        <v>39.43</v>
      </c>
      <c r="FH77">
        <v>0</v>
      </c>
      <c r="FI77">
        <v>1760989551.1</v>
      </c>
      <c r="FJ77">
        <v>0</v>
      </c>
      <c r="FK77">
        <v>1337.37807692308</v>
      </c>
      <c r="FL77">
        <v>-0.331282040220929</v>
      </c>
      <c r="FM77">
        <v>27.8324786239573</v>
      </c>
      <c r="FN77">
        <v>15753.4192307692</v>
      </c>
      <c r="FO77">
        <v>15</v>
      </c>
      <c r="FP77">
        <v>0</v>
      </c>
      <c r="FQ77" t="s">
        <v>439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-40.477295</v>
      </c>
      <c r="GD77">
        <v>0.524918796992417</v>
      </c>
      <c r="GE77">
        <v>0.521537706666546</v>
      </c>
      <c r="GF77">
        <v>0</v>
      </c>
      <c r="GG77">
        <v>1337.38911764706</v>
      </c>
      <c r="GH77">
        <v>-0.0612681384653241</v>
      </c>
      <c r="GI77">
        <v>0.195604156804435</v>
      </c>
      <c r="GJ77">
        <v>-1</v>
      </c>
      <c r="GK77">
        <v>2.8162855</v>
      </c>
      <c r="GL77">
        <v>-0.0394470676691656</v>
      </c>
      <c r="GM77">
        <v>0.00441755302741234</v>
      </c>
      <c r="GN77">
        <v>1</v>
      </c>
      <c r="GO77">
        <v>1</v>
      </c>
      <c r="GP77">
        <v>2</v>
      </c>
      <c r="GQ77" t="s">
        <v>446</v>
      </c>
      <c r="GR77">
        <v>3.13065</v>
      </c>
      <c r="GS77">
        <v>2.68549</v>
      </c>
      <c r="GT77">
        <v>0.160704</v>
      </c>
      <c r="GU77">
        <v>0.16566</v>
      </c>
      <c r="GV77">
        <v>0.0615716</v>
      </c>
      <c r="GW77">
        <v>0.0496473</v>
      </c>
      <c r="GX77">
        <v>31811.1</v>
      </c>
      <c r="GY77">
        <v>33980.5</v>
      </c>
      <c r="GZ77">
        <v>34267.2</v>
      </c>
      <c r="HA77">
        <v>36849.6</v>
      </c>
      <c r="HB77">
        <v>45366.5</v>
      </c>
      <c r="HC77">
        <v>50225.2</v>
      </c>
      <c r="HD77">
        <v>53341.3</v>
      </c>
      <c r="HE77">
        <v>58776.4</v>
      </c>
      <c r="HF77">
        <v>2.00882</v>
      </c>
      <c r="HG77">
        <v>1.83792</v>
      </c>
      <c r="HH77">
        <v>0.0322536</v>
      </c>
      <c r="HI77">
        <v>0</v>
      </c>
      <c r="HJ77">
        <v>17.4529</v>
      </c>
      <c r="HK77">
        <v>999.9</v>
      </c>
      <c r="HL77">
        <v>25.906</v>
      </c>
      <c r="HM77">
        <v>30.283</v>
      </c>
      <c r="HN77">
        <v>12.4842</v>
      </c>
      <c r="HO77">
        <v>54.4291</v>
      </c>
      <c r="HP77">
        <v>44.2708</v>
      </c>
      <c r="HQ77">
        <v>1</v>
      </c>
      <c r="HR77">
        <v>-0.270079</v>
      </c>
      <c r="HS77">
        <v>3.82236</v>
      </c>
      <c r="HT77">
        <v>20.0966</v>
      </c>
      <c r="HU77">
        <v>5.20142</v>
      </c>
      <c r="HV77">
        <v>12.004</v>
      </c>
      <c r="HW77">
        <v>4.9756</v>
      </c>
      <c r="HX77">
        <v>3.293</v>
      </c>
      <c r="HY77">
        <v>9999</v>
      </c>
      <c r="HZ77">
        <v>999.9</v>
      </c>
      <c r="IA77">
        <v>9999</v>
      </c>
      <c r="IB77">
        <v>9999</v>
      </c>
      <c r="IC77">
        <v>1.86323</v>
      </c>
      <c r="ID77">
        <v>1.8681</v>
      </c>
      <c r="IE77">
        <v>1.86783</v>
      </c>
      <c r="IF77">
        <v>1.86904</v>
      </c>
      <c r="IG77">
        <v>1.86981</v>
      </c>
      <c r="IH77">
        <v>1.86584</v>
      </c>
      <c r="II77">
        <v>1.86693</v>
      </c>
      <c r="IJ77">
        <v>1.86843</v>
      </c>
      <c r="IK77">
        <v>5</v>
      </c>
      <c r="IL77">
        <v>0</v>
      </c>
      <c r="IM77">
        <v>0</v>
      </c>
      <c r="IN77">
        <v>0</v>
      </c>
      <c r="IO77" t="s">
        <v>441</v>
      </c>
      <c r="IP77" t="s">
        <v>442</v>
      </c>
      <c r="IQ77" t="s">
        <v>443</v>
      </c>
      <c r="IR77" t="s">
        <v>443</v>
      </c>
      <c r="IS77" t="s">
        <v>443</v>
      </c>
      <c r="IT77" t="s">
        <v>443</v>
      </c>
      <c r="IU77">
        <v>0</v>
      </c>
      <c r="IV77">
        <v>100</v>
      </c>
      <c r="IW77">
        <v>100</v>
      </c>
      <c r="IX77">
        <v>4.801</v>
      </c>
      <c r="IY77">
        <v>-0.1116</v>
      </c>
      <c r="IZ77">
        <v>1.12474291219083</v>
      </c>
      <c r="JA77">
        <v>0.00463155566490582</v>
      </c>
      <c r="JB77">
        <v>-1.1358998729424e-06</v>
      </c>
      <c r="JC77">
        <v>3.28704272115545e-10</v>
      </c>
      <c r="JD77">
        <v>-0.0704455108513773</v>
      </c>
      <c r="JE77">
        <v>-0.0251928478371425</v>
      </c>
      <c r="JF77">
        <v>0.00225751704194564</v>
      </c>
      <c r="JG77">
        <v>-3.61734043746866e-05</v>
      </c>
      <c r="JH77">
        <v>1</v>
      </c>
      <c r="JI77">
        <v>2182</v>
      </c>
      <c r="JJ77">
        <v>0</v>
      </c>
      <c r="JK77">
        <v>24</v>
      </c>
      <c r="JL77">
        <v>29349826.4</v>
      </c>
      <c r="JM77">
        <v>29349826.4</v>
      </c>
      <c r="JN77">
        <v>2.04102</v>
      </c>
      <c r="JO77">
        <v>2.62329</v>
      </c>
      <c r="JP77">
        <v>1.54785</v>
      </c>
      <c r="JQ77">
        <v>2.31445</v>
      </c>
      <c r="JR77">
        <v>1.64673</v>
      </c>
      <c r="JS77">
        <v>2.2583</v>
      </c>
      <c r="JT77">
        <v>33.5804</v>
      </c>
      <c r="JU77">
        <v>24.1838</v>
      </c>
      <c r="JV77">
        <v>18</v>
      </c>
      <c r="JW77">
        <v>500.718</v>
      </c>
      <c r="JX77">
        <v>394.571</v>
      </c>
      <c r="JY77">
        <v>12.4339</v>
      </c>
      <c r="JZ77">
        <v>23.9028</v>
      </c>
      <c r="KA77">
        <v>29.9999</v>
      </c>
      <c r="KB77">
        <v>23.923</v>
      </c>
      <c r="KC77">
        <v>23.8932</v>
      </c>
      <c r="KD77">
        <v>40.8862</v>
      </c>
      <c r="KE77">
        <v>8.77818</v>
      </c>
      <c r="KF77">
        <v>23.3636</v>
      </c>
      <c r="KG77">
        <v>12.4452</v>
      </c>
      <c r="KH77">
        <v>1021.28</v>
      </c>
      <c r="KI77">
        <v>9.0085</v>
      </c>
      <c r="KJ77">
        <v>97.0452</v>
      </c>
      <c r="KK77">
        <v>95.3039</v>
      </c>
    </row>
    <row r="78" spans="1:297">
      <c r="A78">
        <v>62</v>
      </c>
      <c r="B78">
        <v>1760989587.1</v>
      </c>
      <c r="C78">
        <v>397</v>
      </c>
      <c r="D78" t="s">
        <v>566</v>
      </c>
      <c r="E78" t="s">
        <v>567</v>
      </c>
      <c r="F78">
        <v>5</v>
      </c>
      <c r="G78" t="s">
        <v>435</v>
      </c>
      <c r="H78" t="s">
        <v>436</v>
      </c>
      <c r="I78">
        <v>1760989578.94615</v>
      </c>
      <c r="J78">
        <f>(K78)/1000</f>
        <v>0</v>
      </c>
      <c r="K78">
        <f>IF(DP78, AN78, AH78)</f>
        <v>0</v>
      </c>
      <c r="L78">
        <f>IF(DP78, AI78, AG78)</f>
        <v>0</v>
      </c>
      <c r="M78">
        <f>DR78 - IF(AU78&gt;1, L78*DL78*100.0/(AW78), 0)</f>
        <v>0</v>
      </c>
      <c r="N78">
        <f>((T78-J78/2)*M78-L78)/(T78+J78/2)</f>
        <v>0</v>
      </c>
      <c r="O78">
        <f>N78*(DY78+DZ78)/1000.0</f>
        <v>0</v>
      </c>
      <c r="P78">
        <f>(DR78 - IF(AU78&gt;1, L78*DL78*100.0/(AW78), 0))*(DY78+DZ78)/1000.0</f>
        <v>0</v>
      </c>
      <c r="Q78">
        <f>2.0/((1/S78-1/R78)+SIGN(S78)*SQRT((1/S78-1/R78)*(1/S78-1/R78) + 4*DM78/((DM78+1)*(DM78+1))*(2*1/S78*1/R78-1/R78*1/R78)))</f>
        <v>0</v>
      </c>
      <c r="R78">
        <f>IF(LEFT(DN78,1)&lt;&gt;"0",IF(LEFT(DN78,1)="1",3.0,DO78),$D$5+$E$5*(EF78*DY78/($K$5*1000))+$F$5*(EF78*DY78/($K$5*1000))*MAX(MIN(DL78,$J$5),$I$5)*MAX(MIN(DL78,$J$5),$I$5)+$G$5*MAX(MIN(DL78,$J$5),$I$5)*(EF78*DY78/($K$5*1000))+$H$5*(EF78*DY78/($K$5*1000))*(EF78*DY78/($K$5*1000)))</f>
        <v>0</v>
      </c>
      <c r="S78">
        <f>J78*(1000-(1000*0.61365*exp(17.502*W78/(240.97+W78))/(DY78+DZ78)+DT78)/2)/(1000*0.61365*exp(17.502*W78/(240.97+W78))/(DY78+DZ78)-DT78)</f>
        <v>0</v>
      </c>
      <c r="T78">
        <f>1/((DM78+1)/(Q78/1.6)+1/(R78/1.37)) + DM78/((DM78+1)/(Q78/1.6) + DM78/(R78/1.37))</f>
        <v>0</v>
      </c>
      <c r="U78">
        <f>(DH78*DK78)</f>
        <v>0</v>
      </c>
      <c r="V78">
        <f>(EA78+(U78+2*0.95*5.67E-8*(((EA78+$B$7)+273)^4-(EA78+273)^4)-44100*J78)/(1.84*29.3*R78+8*0.95*5.67E-8*(EA78+273)^3))</f>
        <v>0</v>
      </c>
      <c r="W78">
        <f>($C$7*EB78+$D$7*EC78+$E$7*V78)</f>
        <v>0</v>
      </c>
      <c r="X78">
        <f>0.61365*exp(17.502*W78/(240.97+W78))</f>
        <v>0</v>
      </c>
      <c r="Y78">
        <f>(Z78/AA78*100)</f>
        <v>0</v>
      </c>
      <c r="Z78">
        <f>DT78*(DY78+DZ78)/1000</f>
        <v>0</v>
      </c>
      <c r="AA78">
        <f>0.61365*exp(17.502*EA78/(240.97+EA78))</f>
        <v>0</v>
      </c>
      <c r="AB78">
        <f>(X78-DT78*(DY78+DZ78)/1000)</f>
        <v>0</v>
      </c>
      <c r="AC78">
        <f>(-J78*44100)</f>
        <v>0</v>
      </c>
      <c r="AD78">
        <f>2*29.3*R78*0.92*(EA78-W78)</f>
        <v>0</v>
      </c>
      <c r="AE78">
        <f>2*0.95*5.67E-8*(((EA78+$B$7)+273)^4-(W78+273)^4)</f>
        <v>0</v>
      </c>
      <c r="AF78">
        <f>U78+AE78+AC78+AD78</f>
        <v>0</v>
      </c>
      <c r="AG78">
        <f>DX78*AU78*(DS78-DR78*(1000-AU78*DU78)/(1000-AU78*DT78))/(100*DL78)</f>
        <v>0</v>
      </c>
      <c r="AH78">
        <f>1000*DX78*AU78*(DT78-DU78)/(100*DL78*(1000-AU78*DT78))</f>
        <v>0</v>
      </c>
      <c r="AI78">
        <f>(AJ78 - AK78 - DY78*1E3/(8.314*(EA78+273.15)) * AM78/DX78 * AL78) * DX78/(100*DL78) * (1000 - DU78)/1000</f>
        <v>0</v>
      </c>
      <c r="AJ78">
        <v>1016.68083548814</v>
      </c>
      <c r="AK78">
        <v>985.963375757576</v>
      </c>
      <c r="AL78">
        <v>3.46103777615921</v>
      </c>
      <c r="AM78">
        <v>64.8413469339502</v>
      </c>
      <c r="AN78">
        <f>(AP78 - AO78 + DY78*1E3/(8.314*(EA78+273.15)) * AR78/DX78 * AQ78) * DX78/(100*DL78) * 1000/(1000 - AP78)</f>
        <v>0</v>
      </c>
      <c r="AO78">
        <v>8.96334872932634</v>
      </c>
      <c r="AP78">
        <v>11.7874515151515</v>
      </c>
      <c r="AQ78">
        <v>0.000170791007231353</v>
      </c>
      <c r="AR78">
        <v>118.472689631034</v>
      </c>
      <c r="AS78">
        <v>0</v>
      </c>
      <c r="AT78">
        <v>0</v>
      </c>
      <c r="AU78">
        <f>IF(AS78*$H$13&gt;=AW78,1.0,(AW78/(AW78-AS78*$H$13)))</f>
        <v>0</v>
      </c>
      <c r="AV78">
        <f>(AU78-1)*100</f>
        <v>0</v>
      </c>
      <c r="AW78">
        <f>MAX(0,($B$13+$C$13*EF78)/(1+$D$13*EF78)*DY78/(EA78+273)*$E$13)</f>
        <v>0</v>
      </c>
      <c r="AX78" t="s">
        <v>437</v>
      </c>
      <c r="AY78" t="s">
        <v>437</v>
      </c>
      <c r="AZ78">
        <v>0</v>
      </c>
      <c r="BA78">
        <v>0</v>
      </c>
      <c r="BB78">
        <f>1-AZ78/BA78</f>
        <v>0</v>
      </c>
      <c r="BC78">
        <v>0</v>
      </c>
      <c r="BD78" t="s">
        <v>437</v>
      </c>
      <c r="BE78" t="s">
        <v>437</v>
      </c>
      <c r="BF78">
        <v>0</v>
      </c>
      <c r="BG78">
        <v>0</v>
      </c>
      <c r="BH78">
        <f>1-BF78/BG78</f>
        <v>0</v>
      </c>
      <c r="BI78">
        <v>0.5</v>
      </c>
      <c r="BJ78">
        <f>DI78</f>
        <v>0</v>
      </c>
      <c r="BK78">
        <f>L78</f>
        <v>0</v>
      </c>
      <c r="BL78">
        <f>BH78*BI78*BJ78</f>
        <v>0</v>
      </c>
      <c r="BM78">
        <f>(BK78-BC78)/BJ78</f>
        <v>0</v>
      </c>
      <c r="BN78">
        <f>(BA78-BG78)/BG78</f>
        <v>0</v>
      </c>
      <c r="BO78">
        <f>AZ78/(BB78+AZ78/BG78)</f>
        <v>0</v>
      </c>
      <c r="BP78" t="s">
        <v>437</v>
      </c>
      <c r="BQ78">
        <v>0</v>
      </c>
      <c r="BR78">
        <f>IF(BQ78&lt;&gt;0, BQ78, BO78)</f>
        <v>0</v>
      </c>
      <c r="BS78">
        <f>1-BR78/BG78</f>
        <v>0</v>
      </c>
      <c r="BT78">
        <f>(BG78-BF78)/(BG78-BR78)</f>
        <v>0</v>
      </c>
      <c r="BU78">
        <f>(BA78-BG78)/(BA78-BR78)</f>
        <v>0</v>
      </c>
      <c r="BV78">
        <f>(BG78-BF78)/(BG78-AZ78)</f>
        <v>0</v>
      </c>
      <c r="BW78">
        <f>(BA78-BG78)/(BA78-AZ78)</f>
        <v>0</v>
      </c>
      <c r="BX78">
        <f>(BT78*BR78/BF78)</f>
        <v>0</v>
      </c>
      <c r="BY78">
        <f>(1-BX78)</f>
        <v>0</v>
      </c>
      <c r="DH78">
        <f>$B$11*EG78+$C$11*EH78+$F$11*ES78*(1-EV78)</f>
        <v>0</v>
      </c>
      <c r="DI78">
        <f>DH78*DJ78</f>
        <v>0</v>
      </c>
      <c r="DJ78">
        <f>($B$11*$D$9+$C$11*$D$9+$F$11*((FF78+EX78)/MAX(FF78+EX78+FG78, 0.1)*$I$9+FG78/MAX(FF78+EX78+FG78, 0.1)*$J$9))/($B$11+$C$11+$F$11)</f>
        <v>0</v>
      </c>
      <c r="DK78">
        <f>($B$11*$K$9+$C$11*$K$9+$F$11*((FF78+EX78)/MAX(FF78+EX78+FG78, 0.1)*$P$9+FG78/MAX(FF78+EX78+FG78, 0.1)*$Q$9))/($B$11+$C$11+$F$11)</f>
        <v>0</v>
      </c>
      <c r="DL78">
        <v>6</v>
      </c>
      <c r="DM78">
        <v>0.5</v>
      </c>
      <c r="DN78" t="s">
        <v>438</v>
      </c>
      <c r="DO78">
        <v>2</v>
      </c>
      <c r="DP78" t="b">
        <v>1</v>
      </c>
      <c r="DQ78">
        <v>1760989578.94615</v>
      </c>
      <c r="DR78">
        <v>950.629923076923</v>
      </c>
      <c r="DS78">
        <v>991.555153846154</v>
      </c>
      <c r="DT78">
        <v>11.7713923076923</v>
      </c>
      <c r="DU78">
        <v>8.9553</v>
      </c>
      <c r="DV78">
        <v>945.862461538462</v>
      </c>
      <c r="DW78">
        <v>11.8831153846154</v>
      </c>
      <c r="DX78">
        <v>499.996307692308</v>
      </c>
      <c r="DY78">
        <v>89.8578307692308</v>
      </c>
      <c r="DZ78">
        <v>0.00767812230769231</v>
      </c>
      <c r="EA78">
        <v>18.4149230769231</v>
      </c>
      <c r="EB78">
        <v>17.9852769230769</v>
      </c>
      <c r="EC78">
        <v>999.9</v>
      </c>
      <c r="ED78">
        <v>0</v>
      </c>
      <c r="EE78">
        <v>0</v>
      </c>
      <c r="EF78">
        <v>9985.04461538462</v>
      </c>
      <c r="EG78">
        <v>0</v>
      </c>
      <c r="EH78">
        <v>1270.19230769231</v>
      </c>
      <c r="EI78">
        <v>-40.9256846153846</v>
      </c>
      <c r="EJ78">
        <v>961.953461538462</v>
      </c>
      <c r="EK78">
        <v>1000.51569230769</v>
      </c>
      <c r="EL78">
        <v>2.81608538461538</v>
      </c>
      <c r="EM78">
        <v>991.555153846154</v>
      </c>
      <c r="EN78">
        <v>8.9553</v>
      </c>
      <c r="EO78">
        <v>1.05775230769231</v>
      </c>
      <c r="EP78">
        <v>0.804703769230769</v>
      </c>
      <c r="EQ78">
        <v>7.73710615384616</v>
      </c>
      <c r="ER78">
        <v>3.79054384615385</v>
      </c>
      <c r="ES78">
        <v>1199.97461538462</v>
      </c>
      <c r="ET78">
        <v>0.967005307692308</v>
      </c>
      <c r="EU78">
        <v>0.0329945692307692</v>
      </c>
      <c r="EV78">
        <v>0</v>
      </c>
      <c r="EW78">
        <v>1337.21461538462</v>
      </c>
      <c r="EX78">
        <v>5.00059</v>
      </c>
      <c r="EY78">
        <v>15755.0307692308</v>
      </c>
      <c r="EZ78">
        <v>10358.5076923077</v>
      </c>
      <c r="FA78">
        <v>38.0286153846154</v>
      </c>
      <c r="FB78">
        <v>40.8506923076923</v>
      </c>
      <c r="FC78">
        <v>38.6150769230769</v>
      </c>
      <c r="FD78">
        <v>40.6727692307692</v>
      </c>
      <c r="FE78">
        <v>39.1343076923077</v>
      </c>
      <c r="FF78">
        <v>1155.54461538462</v>
      </c>
      <c r="FG78">
        <v>39.43</v>
      </c>
      <c r="FH78">
        <v>0</v>
      </c>
      <c r="FI78">
        <v>1760989556.5</v>
      </c>
      <c r="FJ78">
        <v>0</v>
      </c>
      <c r="FK78">
        <v>1337.2852</v>
      </c>
      <c r="FL78">
        <v>-1.46076920858535</v>
      </c>
      <c r="FM78">
        <v>17.561538442006</v>
      </c>
      <c r="FN78">
        <v>15755.492</v>
      </c>
      <c r="FO78">
        <v>15</v>
      </c>
      <c r="FP78">
        <v>0</v>
      </c>
      <c r="FQ78" t="s">
        <v>439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-40.7735333333333</v>
      </c>
      <c r="GD78">
        <v>-3.42186233766232</v>
      </c>
      <c r="GE78">
        <v>0.730470104556506</v>
      </c>
      <c r="GF78">
        <v>0</v>
      </c>
      <c r="GG78">
        <v>1337.33294117647</v>
      </c>
      <c r="GH78">
        <v>-0.949121459788452</v>
      </c>
      <c r="GI78">
        <v>0.232018374168005</v>
      </c>
      <c r="GJ78">
        <v>-1</v>
      </c>
      <c r="GK78">
        <v>2.81611571428571</v>
      </c>
      <c r="GL78">
        <v>0.0129070129870118</v>
      </c>
      <c r="GM78">
        <v>0.0036543054469105</v>
      </c>
      <c r="GN78">
        <v>1</v>
      </c>
      <c r="GO78">
        <v>1</v>
      </c>
      <c r="GP78">
        <v>2</v>
      </c>
      <c r="GQ78" t="s">
        <v>446</v>
      </c>
      <c r="GR78">
        <v>3.13081</v>
      </c>
      <c r="GS78">
        <v>2.68495</v>
      </c>
      <c r="GT78">
        <v>0.162562</v>
      </c>
      <c r="GU78">
        <v>0.16737</v>
      </c>
      <c r="GV78">
        <v>0.0616087</v>
      </c>
      <c r="GW78">
        <v>0.0496618</v>
      </c>
      <c r="GX78">
        <v>31740.7</v>
      </c>
      <c r="GY78">
        <v>33911.1</v>
      </c>
      <c r="GZ78">
        <v>34267.1</v>
      </c>
      <c r="HA78">
        <v>36849.8</v>
      </c>
      <c r="HB78">
        <v>45365</v>
      </c>
      <c r="HC78">
        <v>50225</v>
      </c>
      <c r="HD78">
        <v>53341.5</v>
      </c>
      <c r="HE78">
        <v>58776.8</v>
      </c>
      <c r="HF78">
        <v>2.0093</v>
      </c>
      <c r="HG78">
        <v>1.8377</v>
      </c>
      <c r="HH78">
        <v>0.0317432</v>
      </c>
      <c r="HI78">
        <v>0</v>
      </c>
      <c r="HJ78">
        <v>17.4529</v>
      </c>
      <c r="HK78">
        <v>999.9</v>
      </c>
      <c r="HL78">
        <v>25.906</v>
      </c>
      <c r="HM78">
        <v>30.283</v>
      </c>
      <c r="HN78">
        <v>12.485</v>
      </c>
      <c r="HO78">
        <v>54.1091</v>
      </c>
      <c r="HP78">
        <v>44.3429</v>
      </c>
      <c r="HQ78">
        <v>1</v>
      </c>
      <c r="HR78">
        <v>-0.270066</v>
      </c>
      <c r="HS78">
        <v>3.80924</v>
      </c>
      <c r="HT78">
        <v>20.0962</v>
      </c>
      <c r="HU78">
        <v>5.19962</v>
      </c>
      <c r="HV78">
        <v>12.004</v>
      </c>
      <c r="HW78">
        <v>4.9751</v>
      </c>
      <c r="HX78">
        <v>3.29275</v>
      </c>
      <c r="HY78">
        <v>9999</v>
      </c>
      <c r="HZ78">
        <v>999.9</v>
      </c>
      <c r="IA78">
        <v>9999</v>
      </c>
      <c r="IB78">
        <v>9999</v>
      </c>
      <c r="IC78">
        <v>1.86325</v>
      </c>
      <c r="ID78">
        <v>1.86806</v>
      </c>
      <c r="IE78">
        <v>1.86783</v>
      </c>
      <c r="IF78">
        <v>1.86905</v>
      </c>
      <c r="IG78">
        <v>1.86981</v>
      </c>
      <c r="IH78">
        <v>1.86585</v>
      </c>
      <c r="II78">
        <v>1.86692</v>
      </c>
      <c r="IJ78">
        <v>1.86841</v>
      </c>
      <c r="IK78">
        <v>5</v>
      </c>
      <c r="IL78">
        <v>0</v>
      </c>
      <c r="IM78">
        <v>0</v>
      </c>
      <c r="IN78">
        <v>0</v>
      </c>
      <c r="IO78" t="s">
        <v>441</v>
      </c>
      <c r="IP78" t="s">
        <v>442</v>
      </c>
      <c r="IQ78" t="s">
        <v>443</v>
      </c>
      <c r="IR78" t="s">
        <v>443</v>
      </c>
      <c r="IS78" t="s">
        <v>443</v>
      </c>
      <c r="IT78" t="s">
        <v>443</v>
      </c>
      <c r="IU78">
        <v>0</v>
      </c>
      <c r="IV78">
        <v>100</v>
      </c>
      <c r="IW78">
        <v>100</v>
      </c>
      <c r="IX78">
        <v>4.859</v>
      </c>
      <c r="IY78">
        <v>-0.1115</v>
      </c>
      <c r="IZ78">
        <v>1.12474291219083</v>
      </c>
      <c r="JA78">
        <v>0.00463155566490582</v>
      </c>
      <c r="JB78">
        <v>-1.1358998729424e-06</v>
      </c>
      <c r="JC78">
        <v>3.28704272115545e-10</v>
      </c>
      <c r="JD78">
        <v>-0.0704455108513773</v>
      </c>
      <c r="JE78">
        <v>-0.0251928478371425</v>
      </c>
      <c r="JF78">
        <v>0.00225751704194564</v>
      </c>
      <c r="JG78">
        <v>-3.61734043746866e-05</v>
      </c>
      <c r="JH78">
        <v>1</v>
      </c>
      <c r="JI78">
        <v>2182</v>
      </c>
      <c r="JJ78">
        <v>0</v>
      </c>
      <c r="JK78">
        <v>24</v>
      </c>
      <c r="JL78">
        <v>29349826.5</v>
      </c>
      <c r="JM78">
        <v>29349826.5</v>
      </c>
      <c r="JN78">
        <v>2.06543</v>
      </c>
      <c r="JO78">
        <v>2.61597</v>
      </c>
      <c r="JP78">
        <v>1.54785</v>
      </c>
      <c r="JQ78">
        <v>2.31445</v>
      </c>
      <c r="JR78">
        <v>1.64673</v>
      </c>
      <c r="JS78">
        <v>2.34619</v>
      </c>
      <c r="JT78">
        <v>33.5804</v>
      </c>
      <c r="JU78">
        <v>24.1926</v>
      </c>
      <c r="JV78">
        <v>18</v>
      </c>
      <c r="JW78">
        <v>501.022</v>
      </c>
      <c r="JX78">
        <v>394.452</v>
      </c>
      <c r="JY78">
        <v>12.4437</v>
      </c>
      <c r="JZ78">
        <v>23.9028</v>
      </c>
      <c r="KA78">
        <v>30</v>
      </c>
      <c r="KB78">
        <v>23.923</v>
      </c>
      <c r="KC78">
        <v>23.8932</v>
      </c>
      <c r="KD78">
        <v>41.4808</v>
      </c>
      <c r="KE78">
        <v>8.77818</v>
      </c>
      <c r="KF78">
        <v>23.3636</v>
      </c>
      <c r="KG78">
        <v>12.4567</v>
      </c>
      <c r="KH78">
        <v>1041.55</v>
      </c>
      <c r="KI78">
        <v>9.0085</v>
      </c>
      <c r="KJ78">
        <v>97.0453</v>
      </c>
      <c r="KK78">
        <v>95.3044</v>
      </c>
    </row>
    <row r="79" spans="1:297">
      <c r="A79">
        <v>63</v>
      </c>
      <c r="B79">
        <v>1760989592.1</v>
      </c>
      <c r="C79">
        <v>402</v>
      </c>
      <c r="D79" t="s">
        <v>568</v>
      </c>
      <c r="E79" t="s">
        <v>569</v>
      </c>
      <c r="F79">
        <v>5</v>
      </c>
      <c r="G79" t="s">
        <v>435</v>
      </c>
      <c r="H79" t="s">
        <v>436</v>
      </c>
      <c r="I79">
        <v>1760989583.94615</v>
      </c>
      <c r="J79">
        <f>(K79)/1000</f>
        <v>0</v>
      </c>
      <c r="K79">
        <f>IF(DP79, AN79, AH79)</f>
        <v>0</v>
      </c>
      <c r="L79">
        <f>IF(DP79, AI79, AG79)</f>
        <v>0</v>
      </c>
      <c r="M79">
        <f>DR79 - IF(AU79&gt;1, L79*DL79*100.0/(AW79), 0)</f>
        <v>0</v>
      </c>
      <c r="N79">
        <f>((T79-J79/2)*M79-L79)/(T79+J79/2)</f>
        <v>0</v>
      </c>
      <c r="O79">
        <f>N79*(DY79+DZ79)/1000.0</f>
        <v>0</v>
      </c>
      <c r="P79">
        <f>(DR79 - IF(AU79&gt;1, L79*DL79*100.0/(AW79), 0))*(DY79+DZ79)/1000.0</f>
        <v>0</v>
      </c>
      <c r="Q79">
        <f>2.0/((1/S79-1/R79)+SIGN(S79)*SQRT((1/S79-1/R79)*(1/S79-1/R79) + 4*DM79/((DM79+1)*(DM79+1))*(2*1/S79*1/R79-1/R79*1/R79)))</f>
        <v>0</v>
      </c>
      <c r="R79">
        <f>IF(LEFT(DN79,1)&lt;&gt;"0",IF(LEFT(DN79,1)="1",3.0,DO79),$D$5+$E$5*(EF79*DY79/($K$5*1000))+$F$5*(EF79*DY79/($K$5*1000))*MAX(MIN(DL79,$J$5),$I$5)*MAX(MIN(DL79,$J$5),$I$5)+$G$5*MAX(MIN(DL79,$J$5),$I$5)*(EF79*DY79/($K$5*1000))+$H$5*(EF79*DY79/($K$5*1000))*(EF79*DY79/($K$5*1000)))</f>
        <v>0</v>
      </c>
      <c r="S79">
        <f>J79*(1000-(1000*0.61365*exp(17.502*W79/(240.97+W79))/(DY79+DZ79)+DT79)/2)/(1000*0.61365*exp(17.502*W79/(240.97+W79))/(DY79+DZ79)-DT79)</f>
        <v>0</v>
      </c>
      <c r="T79">
        <f>1/((DM79+1)/(Q79/1.6)+1/(R79/1.37)) + DM79/((DM79+1)/(Q79/1.6) + DM79/(R79/1.37))</f>
        <v>0</v>
      </c>
      <c r="U79">
        <f>(DH79*DK79)</f>
        <v>0</v>
      </c>
      <c r="V79">
        <f>(EA79+(U79+2*0.95*5.67E-8*(((EA79+$B$7)+273)^4-(EA79+273)^4)-44100*J79)/(1.84*29.3*R79+8*0.95*5.67E-8*(EA79+273)^3))</f>
        <v>0</v>
      </c>
      <c r="W79">
        <f>($C$7*EB79+$D$7*EC79+$E$7*V79)</f>
        <v>0</v>
      </c>
      <c r="X79">
        <f>0.61365*exp(17.502*W79/(240.97+W79))</f>
        <v>0</v>
      </c>
      <c r="Y79">
        <f>(Z79/AA79*100)</f>
        <v>0</v>
      </c>
      <c r="Z79">
        <f>DT79*(DY79+DZ79)/1000</f>
        <v>0</v>
      </c>
      <c r="AA79">
        <f>0.61365*exp(17.502*EA79/(240.97+EA79))</f>
        <v>0</v>
      </c>
      <c r="AB79">
        <f>(X79-DT79*(DY79+DZ79)/1000)</f>
        <v>0</v>
      </c>
      <c r="AC79">
        <f>(-J79*44100)</f>
        <v>0</v>
      </c>
      <c r="AD79">
        <f>2*29.3*R79*0.92*(EA79-W79)</f>
        <v>0</v>
      </c>
      <c r="AE79">
        <f>2*0.95*5.67E-8*(((EA79+$B$7)+273)^4-(W79+273)^4)</f>
        <v>0</v>
      </c>
      <c r="AF79">
        <f>U79+AE79+AC79+AD79</f>
        <v>0</v>
      </c>
      <c r="AG79">
        <f>DX79*AU79*(DS79-DR79*(1000-AU79*DU79)/(1000-AU79*DT79))/(100*DL79)</f>
        <v>0</v>
      </c>
      <c r="AH79">
        <f>1000*DX79*AU79*(DT79-DU79)/(100*DL79*(1000-AU79*DT79))</f>
        <v>0</v>
      </c>
      <c r="AI79">
        <f>(AJ79 - AK79 - DY79*1E3/(8.314*(EA79+273.15)) * AM79/DX79 * AL79) * DX79/(100*DL79) * (1000 - DU79)/1000</f>
        <v>0</v>
      </c>
      <c r="AJ79">
        <v>1032.53776011317</v>
      </c>
      <c r="AK79">
        <v>1002.15085454545</v>
      </c>
      <c r="AL79">
        <v>3.2065005833429</v>
      </c>
      <c r="AM79">
        <v>64.8413469339502</v>
      </c>
      <c r="AN79">
        <f>(AP79 - AO79 + DY79*1E3/(8.314*(EA79+273.15)) * AR79/DX79 * AQ79) * DX79/(100*DL79) * 1000/(1000 - AP79)</f>
        <v>0</v>
      </c>
      <c r="AO79">
        <v>8.96533789659703</v>
      </c>
      <c r="AP79">
        <v>11.7943521212121</v>
      </c>
      <c r="AQ79">
        <v>0.000106562051826533</v>
      </c>
      <c r="AR79">
        <v>118.472689631034</v>
      </c>
      <c r="AS79">
        <v>0</v>
      </c>
      <c r="AT79">
        <v>0</v>
      </c>
      <c r="AU79">
        <f>IF(AS79*$H$13&gt;=AW79,1.0,(AW79/(AW79-AS79*$H$13)))</f>
        <v>0</v>
      </c>
      <c r="AV79">
        <f>(AU79-1)*100</f>
        <v>0</v>
      </c>
      <c r="AW79">
        <f>MAX(0,($B$13+$C$13*EF79)/(1+$D$13*EF79)*DY79/(EA79+273)*$E$13)</f>
        <v>0</v>
      </c>
      <c r="AX79" t="s">
        <v>437</v>
      </c>
      <c r="AY79" t="s">
        <v>437</v>
      </c>
      <c r="AZ79">
        <v>0</v>
      </c>
      <c r="BA79">
        <v>0</v>
      </c>
      <c r="BB79">
        <f>1-AZ79/BA79</f>
        <v>0</v>
      </c>
      <c r="BC79">
        <v>0</v>
      </c>
      <c r="BD79" t="s">
        <v>437</v>
      </c>
      <c r="BE79" t="s">
        <v>437</v>
      </c>
      <c r="BF79">
        <v>0</v>
      </c>
      <c r="BG79">
        <v>0</v>
      </c>
      <c r="BH79">
        <f>1-BF79/BG79</f>
        <v>0</v>
      </c>
      <c r="BI79">
        <v>0.5</v>
      </c>
      <c r="BJ79">
        <f>DI79</f>
        <v>0</v>
      </c>
      <c r="BK79">
        <f>L79</f>
        <v>0</v>
      </c>
      <c r="BL79">
        <f>BH79*BI79*BJ79</f>
        <v>0</v>
      </c>
      <c r="BM79">
        <f>(BK79-BC79)/BJ79</f>
        <v>0</v>
      </c>
      <c r="BN79">
        <f>(BA79-BG79)/BG79</f>
        <v>0</v>
      </c>
      <c r="BO79">
        <f>AZ79/(BB79+AZ79/BG79)</f>
        <v>0</v>
      </c>
      <c r="BP79" t="s">
        <v>437</v>
      </c>
      <c r="BQ79">
        <v>0</v>
      </c>
      <c r="BR79">
        <f>IF(BQ79&lt;&gt;0, BQ79, BO79)</f>
        <v>0</v>
      </c>
      <c r="BS79">
        <f>1-BR79/BG79</f>
        <v>0</v>
      </c>
      <c r="BT79">
        <f>(BG79-BF79)/(BG79-BR79)</f>
        <v>0</v>
      </c>
      <c r="BU79">
        <f>(BA79-BG79)/(BA79-BR79)</f>
        <v>0</v>
      </c>
      <c r="BV79">
        <f>(BG79-BF79)/(BG79-AZ79)</f>
        <v>0</v>
      </c>
      <c r="BW79">
        <f>(BA79-BG79)/(BA79-AZ79)</f>
        <v>0</v>
      </c>
      <c r="BX79">
        <f>(BT79*BR79/BF79)</f>
        <v>0</v>
      </c>
      <c r="BY79">
        <f>(1-BX79)</f>
        <v>0</v>
      </c>
      <c r="DH79">
        <f>$B$11*EG79+$C$11*EH79+$F$11*ES79*(1-EV79)</f>
        <v>0</v>
      </c>
      <c r="DI79">
        <f>DH79*DJ79</f>
        <v>0</v>
      </c>
      <c r="DJ79">
        <f>($B$11*$D$9+$C$11*$D$9+$F$11*((FF79+EX79)/MAX(FF79+EX79+FG79, 0.1)*$I$9+FG79/MAX(FF79+EX79+FG79, 0.1)*$J$9))/($B$11+$C$11+$F$11)</f>
        <v>0</v>
      </c>
      <c r="DK79">
        <f>($B$11*$K$9+$C$11*$K$9+$F$11*((FF79+EX79)/MAX(FF79+EX79+FG79, 0.1)*$P$9+FG79/MAX(FF79+EX79+FG79, 0.1)*$Q$9))/($B$11+$C$11+$F$11)</f>
        <v>0</v>
      </c>
      <c r="DL79">
        <v>6</v>
      </c>
      <c r="DM79">
        <v>0.5</v>
      </c>
      <c r="DN79" t="s">
        <v>438</v>
      </c>
      <c r="DO79">
        <v>2</v>
      </c>
      <c r="DP79" t="b">
        <v>1</v>
      </c>
      <c r="DQ79">
        <v>1760989583.94615</v>
      </c>
      <c r="DR79">
        <v>967.043153846154</v>
      </c>
      <c r="DS79">
        <v>1007.85623076923</v>
      </c>
      <c r="DT79">
        <v>11.7822</v>
      </c>
      <c r="DU79">
        <v>8.96203615384615</v>
      </c>
      <c r="DV79">
        <v>962.220769230769</v>
      </c>
      <c r="DW79">
        <v>11.8937923076923</v>
      </c>
      <c r="DX79">
        <v>499.983076923077</v>
      </c>
      <c r="DY79">
        <v>89.8582538461539</v>
      </c>
      <c r="DZ79">
        <v>0.00772177692307692</v>
      </c>
      <c r="EA79">
        <v>18.4170923076923</v>
      </c>
      <c r="EB79">
        <v>17.9844769230769</v>
      </c>
      <c r="EC79">
        <v>999.9</v>
      </c>
      <c r="ED79">
        <v>0</v>
      </c>
      <c r="EE79">
        <v>0</v>
      </c>
      <c r="EF79">
        <v>9965.81615384616</v>
      </c>
      <c r="EG79">
        <v>0</v>
      </c>
      <c r="EH79">
        <v>1270.20230769231</v>
      </c>
      <c r="EI79">
        <v>-40.8131846153846</v>
      </c>
      <c r="EJ79">
        <v>978.573230769231</v>
      </c>
      <c r="EK79">
        <v>1016.971</v>
      </c>
      <c r="EL79">
        <v>2.82016230769231</v>
      </c>
      <c r="EM79">
        <v>1007.85623076923</v>
      </c>
      <c r="EN79">
        <v>8.96203615384615</v>
      </c>
      <c r="EO79">
        <v>1.05872923076923</v>
      </c>
      <c r="EP79">
        <v>0.805312769230769</v>
      </c>
      <c r="EQ79">
        <v>7.75064384615385</v>
      </c>
      <c r="ER79">
        <v>3.80129538461538</v>
      </c>
      <c r="ES79">
        <v>1199.99307692308</v>
      </c>
      <c r="ET79">
        <v>0.967006692307692</v>
      </c>
      <c r="EU79">
        <v>0.0329932384615385</v>
      </c>
      <c r="EV79">
        <v>0</v>
      </c>
      <c r="EW79">
        <v>1337.16</v>
      </c>
      <c r="EX79">
        <v>5.00059</v>
      </c>
      <c r="EY79">
        <v>15756.8307692308</v>
      </c>
      <c r="EZ79">
        <v>10358.6692307692</v>
      </c>
      <c r="FA79">
        <v>38.0863846153846</v>
      </c>
      <c r="FB79">
        <v>40.9228461538462</v>
      </c>
      <c r="FC79">
        <v>38.6776923076923</v>
      </c>
      <c r="FD79">
        <v>40.7785384615385</v>
      </c>
      <c r="FE79">
        <v>39.2016923076923</v>
      </c>
      <c r="FF79">
        <v>1155.56307692308</v>
      </c>
      <c r="FG79">
        <v>39.43</v>
      </c>
      <c r="FH79">
        <v>0</v>
      </c>
      <c r="FI79">
        <v>1760989561.3</v>
      </c>
      <c r="FJ79">
        <v>0</v>
      </c>
      <c r="FK79">
        <v>1337.2052</v>
      </c>
      <c r="FL79">
        <v>-1.96307691880681</v>
      </c>
      <c r="FM79">
        <v>12.5384615028658</v>
      </c>
      <c r="FN79">
        <v>15756.812</v>
      </c>
      <c r="FO79">
        <v>15</v>
      </c>
      <c r="FP79">
        <v>0</v>
      </c>
      <c r="FQ79" t="s">
        <v>439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-40.85929</v>
      </c>
      <c r="GD79">
        <v>-1.20524210526321</v>
      </c>
      <c r="GE79">
        <v>0.785453806343823</v>
      </c>
      <c r="GF79">
        <v>0</v>
      </c>
      <c r="GG79">
        <v>1337.26058823529</v>
      </c>
      <c r="GH79">
        <v>-1.10190984670547</v>
      </c>
      <c r="GI79">
        <v>0.243466885977296</v>
      </c>
      <c r="GJ79">
        <v>-1</v>
      </c>
      <c r="GK79">
        <v>2.8187565</v>
      </c>
      <c r="GL79">
        <v>0.0570203007518792</v>
      </c>
      <c r="GM79">
        <v>0.00613471130127571</v>
      </c>
      <c r="GN79">
        <v>1</v>
      </c>
      <c r="GO79">
        <v>1</v>
      </c>
      <c r="GP79">
        <v>2</v>
      </c>
      <c r="GQ79" t="s">
        <v>446</v>
      </c>
      <c r="GR79">
        <v>3.13042</v>
      </c>
      <c r="GS79">
        <v>2.68551</v>
      </c>
      <c r="GT79">
        <v>0.164301</v>
      </c>
      <c r="GU79">
        <v>0.169321</v>
      </c>
      <c r="GV79">
        <v>0.0616322</v>
      </c>
      <c r="GW79">
        <v>0.0496732</v>
      </c>
      <c r="GX79">
        <v>31674.9</v>
      </c>
      <c r="GY79">
        <v>33831.6</v>
      </c>
      <c r="GZ79">
        <v>34267.1</v>
      </c>
      <c r="HA79">
        <v>36849.6</v>
      </c>
      <c r="HB79">
        <v>45363.7</v>
      </c>
      <c r="HC79">
        <v>50224.6</v>
      </c>
      <c r="HD79">
        <v>53341.1</v>
      </c>
      <c r="HE79">
        <v>58776.7</v>
      </c>
      <c r="HF79">
        <v>2.00868</v>
      </c>
      <c r="HG79">
        <v>1.83827</v>
      </c>
      <c r="HH79">
        <v>0.0321269</v>
      </c>
      <c r="HI79">
        <v>0</v>
      </c>
      <c r="HJ79">
        <v>17.4529</v>
      </c>
      <c r="HK79">
        <v>999.9</v>
      </c>
      <c r="HL79">
        <v>25.906</v>
      </c>
      <c r="HM79">
        <v>30.283</v>
      </c>
      <c r="HN79">
        <v>12.4843</v>
      </c>
      <c r="HO79">
        <v>53.8191</v>
      </c>
      <c r="HP79">
        <v>44.4471</v>
      </c>
      <c r="HQ79">
        <v>1</v>
      </c>
      <c r="HR79">
        <v>-0.270292</v>
      </c>
      <c r="HS79">
        <v>3.79989</v>
      </c>
      <c r="HT79">
        <v>20.0973</v>
      </c>
      <c r="HU79">
        <v>5.20112</v>
      </c>
      <c r="HV79">
        <v>12.004</v>
      </c>
      <c r="HW79">
        <v>4.9756</v>
      </c>
      <c r="HX79">
        <v>3.29298</v>
      </c>
      <c r="HY79">
        <v>9999</v>
      </c>
      <c r="HZ79">
        <v>999.9</v>
      </c>
      <c r="IA79">
        <v>9999</v>
      </c>
      <c r="IB79">
        <v>9999</v>
      </c>
      <c r="IC79">
        <v>1.86325</v>
      </c>
      <c r="ID79">
        <v>1.86811</v>
      </c>
      <c r="IE79">
        <v>1.86783</v>
      </c>
      <c r="IF79">
        <v>1.86904</v>
      </c>
      <c r="IG79">
        <v>1.86981</v>
      </c>
      <c r="IH79">
        <v>1.86585</v>
      </c>
      <c r="II79">
        <v>1.86692</v>
      </c>
      <c r="IJ79">
        <v>1.86837</v>
      </c>
      <c r="IK79">
        <v>5</v>
      </c>
      <c r="IL79">
        <v>0</v>
      </c>
      <c r="IM79">
        <v>0</v>
      </c>
      <c r="IN79">
        <v>0</v>
      </c>
      <c r="IO79" t="s">
        <v>441</v>
      </c>
      <c r="IP79" t="s">
        <v>442</v>
      </c>
      <c r="IQ79" t="s">
        <v>443</v>
      </c>
      <c r="IR79" t="s">
        <v>443</v>
      </c>
      <c r="IS79" t="s">
        <v>443</v>
      </c>
      <c r="IT79" t="s">
        <v>443</v>
      </c>
      <c r="IU79">
        <v>0</v>
      </c>
      <c r="IV79">
        <v>100</v>
      </c>
      <c r="IW79">
        <v>100</v>
      </c>
      <c r="IX79">
        <v>4.911</v>
      </c>
      <c r="IY79">
        <v>-0.1114</v>
      </c>
      <c r="IZ79">
        <v>1.12474291219083</v>
      </c>
      <c r="JA79">
        <v>0.00463155566490582</v>
      </c>
      <c r="JB79">
        <v>-1.1358998729424e-06</v>
      </c>
      <c r="JC79">
        <v>3.28704272115545e-10</v>
      </c>
      <c r="JD79">
        <v>-0.0704455108513773</v>
      </c>
      <c r="JE79">
        <v>-0.0251928478371425</v>
      </c>
      <c r="JF79">
        <v>0.00225751704194564</v>
      </c>
      <c r="JG79">
        <v>-3.61734043746866e-05</v>
      </c>
      <c r="JH79">
        <v>1</v>
      </c>
      <c r="JI79">
        <v>2182</v>
      </c>
      <c r="JJ79">
        <v>0</v>
      </c>
      <c r="JK79">
        <v>24</v>
      </c>
      <c r="JL79">
        <v>29349826.5</v>
      </c>
      <c r="JM79">
        <v>29349826.5</v>
      </c>
      <c r="JN79">
        <v>2.09595</v>
      </c>
      <c r="JO79">
        <v>2.60986</v>
      </c>
      <c r="JP79">
        <v>1.54785</v>
      </c>
      <c r="JQ79">
        <v>2.31445</v>
      </c>
      <c r="JR79">
        <v>1.64673</v>
      </c>
      <c r="JS79">
        <v>2.39624</v>
      </c>
      <c r="JT79">
        <v>33.5804</v>
      </c>
      <c r="JU79">
        <v>24.1926</v>
      </c>
      <c r="JV79">
        <v>18</v>
      </c>
      <c r="JW79">
        <v>500.622</v>
      </c>
      <c r="JX79">
        <v>394.755</v>
      </c>
      <c r="JY79">
        <v>12.4558</v>
      </c>
      <c r="JZ79">
        <v>23.9028</v>
      </c>
      <c r="KA79">
        <v>30</v>
      </c>
      <c r="KB79">
        <v>23.923</v>
      </c>
      <c r="KC79">
        <v>23.8932</v>
      </c>
      <c r="KD79">
        <v>41.9995</v>
      </c>
      <c r="KE79">
        <v>8.77818</v>
      </c>
      <c r="KF79">
        <v>23.3636</v>
      </c>
      <c r="KG79">
        <v>12.4677</v>
      </c>
      <c r="KH79">
        <v>1055.24</v>
      </c>
      <c r="KI79">
        <v>9.0085</v>
      </c>
      <c r="KJ79">
        <v>97.0449</v>
      </c>
      <c r="KK79">
        <v>95.3042</v>
      </c>
    </row>
    <row r="80" spans="1:297">
      <c r="A80">
        <v>64</v>
      </c>
      <c r="B80">
        <v>1760989597.1</v>
      </c>
      <c r="C80">
        <v>407</v>
      </c>
      <c r="D80" t="s">
        <v>570</v>
      </c>
      <c r="E80" t="s">
        <v>571</v>
      </c>
      <c r="F80">
        <v>5</v>
      </c>
      <c r="G80" t="s">
        <v>435</v>
      </c>
      <c r="H80" t="s">
        <v>436</v>
      </c>
      <c r="I80">
        <v>1760989588.94615</v>
      </c>
      <c r="J80">
        <f>(K80)/1000</f>
        <v>0</v>
      </c>
      <c r="K80">
        <f>IF(DP80, AN80, AH80)</f>
        <v>0</v>
      </c>
      <c r="L80">
        <f>IF(DP80, AI80, AG80)</f>
        <v>0</v>
      </c>
      <c r="M80">
        <f>DR80 - IF(AU80&gt;1, L80*DL80*100.0/(AW80), 0)</f>
        <v>0</v>
      </c>
      <c r="N80">
        <f>((T80-J80/2)*M80-L80)/(T80+J80/2)</f>
        <v>0</v>
      </c>
      <c r="O80">
        <f>N80*(DY80+DZ80)/1000.0</f>
        <v>0</v>
      </c>
      <c r="P80">
        <f>(DR80 - IF(AU80&gt;1, L80*DL80*100.0/(AW80), 0))*(DY80+DZ80)/1000.0</f>
        <v>0</v>
      </c>
      <c r="Q80">
        <f>2.0/((1/S80-1/R80)+SIGN(S80)*SQRT((1/S80-1/R80)*(1/S80-1/R80) + 4*DM80/((DM80+1)*(DM80+1))*(2*1/S80*1/R80-1/R80*1/R80)))</f>
        <v>0</v>
      </c>
      <c r="R80">
        <f>IF(LEFT(DN80,1)&lt;&gt;"0",IF(LEFT(DN80,1)="1",3.0,DO80),$D$5+$E$5*(EF80*DY80/($K$5*1000))+$F$5*(EF80*DY80/($K$5*1000))*MAX(MIN(DL80,$J$5),$I$5)*MAX(MIN(DL80,$J$5),$I$5)+$G$5*MAX(MIN(DL80,$J$5),$I$5)*(EF80*DY80/($K$5*1000))+$H$5*(EF80*DY80/($K$5*1000))*(EF80*DY80/($K$5*1000)))</f>
        <v>0</v>
      </c>
      <c r="S80">
        <f>J80*(1000-(1000*0.61365*exp(17.502*W80/(240.97+W80))/(DY80+DZ80)+DT80)/2)/(1000*0.61365*exp(17.502*W80/(240.97+W80))/(DY80+DZ80)-DT80)</f>
        <v>0</v>
      </c>
      <c r="T80">
        <f>1/((DM80+1)/(Q80/1.6)+1/(R80/1.37)) + DM80/((DM80+1)/(Q80/1.6) + DM80/(R80/1.37))</f>
        <v>0</v>
      </c>
      <c r="U80">
        <f>(DH80*DK80)</f>
        <v>0</v>
      </c>
      <c r="V80">
        <f>(EA80+(U80+2*0.95*5.67E-8*(((EA80+$B$7)+273)^4-(EA80+273)^4)-44100*J80)/(1.84*29.3*R80+8*0.95*5.67E-8*(EA80+273)^3))</f>
        <v>0</v>
      </c>
      <c r="W80">
        <f>($C$7*EB80+$D$7*EC80+$E$7*V80)</f>
        <v>0</v>
      </c>
      <c r="X80">
        <f>0.61365*exp(17.502*W80/(240.97+W80))</f>
        <v>0</v>
      </c>
      <c r="Y80">
        <f>(Z80/AA80*100)</f>
        <v>0</v>
      </c>
      <c r="Z80">
        <f>DT80*(DY80+DZ80)/1000</f>
        <v>0</v>
      </c>
      <c r="AA80">
        <f>0.61365*exp(17.502*EA80/(240.97+EA80))</f>
        <v>0</v>
      </c>
      <c r="AB80">
        <f>(X80-DT80*(DY80+DZ80)/1000)</f>
        <v>0</v>
      </c>
      <c r="AC80">
        <f>(-J80*44100)</f>
        <v>0</v>
      </c>
      <c r="AD80">
        <f>2*29.3*R80*0.92*(EA80-W80)</f>
        <v>0</v>
      </c>
      <c r="AE80">
        <f>2*0.95*5.67E-8*(((EA80+$B$7)+273)^4-(W80+273)^4)</f>
        <v>0</v>
      </c>
      <c r="AF80">
        <f>U80+AE80+AC80+AD80</f>
        <v>0</v>
      </c>
      <c r="AG80">
        <f>DX80*AU80*(DS80-DR80*(1000-AU80*DU80)/(1000-AU80*DT80))/(100*DL80)</f>
        <v>0</v>
      </c>
      <c r="AH80">
        <f>1000*DX80*AU80*(DT80-DU80)/(100*DL80*(1000-AU80*DT80))</f>
        <v>0</v>
      </c>
      <c r="AI80">
        <f>(AJ80 - AK80 - DY80*1E3/(8.314*(EA80+273.15)) * AM80/DX80 * AL80) * DX80/(100*DL80) * (1000 - DU80)/1000</f>
        <v>0</v>
      </c>
      <c r="AJ80">
        <v>1051.51859643125</v>
      </c>
      <c r="AK80">
        <v>1020.13107272727</v>
      </c>
      <c r="AL80">
        <v>3.61485317376693</v>
      </c>
      <c r="AM80">
        <v>64.8413469339502</v>
      </c>
      <c r="AN80">
        <f>(AP80 - AO80 + DY80*1E3/(8.314*(EA80+273.15)) * AR80/DX80 * AQ80) * DX80/(100*DL80) * 1000/(1000 - AP80)</f>
        <v>0</v>
      </c>
      <c r="AO80">
        <v>8.96902219982064</v>
      </c>
      <c r="AP80">
        <v>11.8037036363636</v>
      </c>
      <c r="AQ80">
        <v>0.000179208622696861</v>
      </c>
      <c r="AR80">
        <v>118.472689631034</v>
      </c>
      <c r="AS80">
        <v>0</v>
      </c>
      <c r="AT80">
        <v>0</v>
      </c>
      <c r="AU80">
        <f>IF(AS80*$H$13&gt;=AW80,1.0,(AW80/(AW80-AS80*$H$13)))</f>
        <v>0</v>
      </c>
      <c r="AV80">
        <f>(AU80-1)*100</f>
        <v>0</v>
      </c>
      <c r="AW80">
        <f>MAX(0,($B$13+$C$13*EF80)/(1+$D$13*EF80)*DY80/(EA80+273)*$E$13)</f>
        <v>0</v>
      </c>
      <c r="AX80" t="s">
        <v>437</v>
      </c>
      <c r="AY80" t="s">
        <v>437</v>
      </c>
      <c r="AZ80">
        <v>0</v>
      </c>
      <c r="BA80">
        <v>0</v>
      </c>
      <c r="BB80">
        <f>1-AZ80/BA80</f>
        <v>0</v>
      </c>
      <c r="BC80">
        <v>0</v>
      </c>
      <c r="BD80" t="s">
        <v>437</v>
      </c>
      <c r="BE80" t="s">
        <v>437</v>
      </c>
      <c r="BF80">
        <v>0</v>
      </c>
      <c r="BG80">
        <v>0</v>
      </c>
      <c r="BH80">
        <f>1-BF80/BG80</f>
        <v>0</v>
      </c>
      <c r="BI80">
        <v>0.5</v>
      </c>
      <c r="BJ80">
        <f>DI80</f>
        <v>0</v>
      </c>
      <c r="BK80">
        <f>L80</f>
        <v>0</v>
      </c>
      <c r="BL80">
        <f>BH80*BI80*BJ80</f>
        <v>0</v>
      </c>
      <c r="BM80">
        <f>(BK80-BC80)/BJ80</f>
        <v>0</v>
      </c>
      <c r="BN80">
        <f>(BA80-BG80)/BG80</f>
        <v>0</v>
      </c>
      <c r="BO80">
        <f>AZ80/(BB80+AZ80/BG80)</f>
        <v>0</v>
      </c>
      <c r="BP80" t="s">
        <v>437</v>
      </c>
      <c r="BQ80">
        <v>0</v>
      </c>
      <c r="BR80">
        <f>IF(BQ80&lt;&gt;0, BQ80, BO80)</f>
        <v>0</v>
      </c>
      <c r="BS80">
        <f>1-BR80/BG80</f>
        <v>0</v>
      </c>
      <c r="BT80">
        <f>(BG80-BF80)/(BG80-BR80)</f>
        <v>0</v>
      </c>
      <c r="BU80">
        <f>(BA80-BG80)/(BA80-BR80)</f>
        <v>0</v>
      </c>
      <c r="BV80">
        <f>(BG80-BF80)/(BG80-AZ80)</f>
        <v>0</v>
      </c>
      <c r="BW80">
        <f>(BA80-BG80)/(BA80-AZ80)</f>
        <v>0</v>
      </c>
      <c r="BX80">
        <f>(BT80*BR80/BF80)</f>
        <v>0</v>
      </c>
      <c r="BY80">
        <f>(1-BX80)</f>
        <v>0</v>
      </c>
      <c r="DH80">
        <f>$B$11*EG80+$C$11*EH80+$F$11*ES80*(1-EV80)</f>
        <v>0</v>
      </c>
      <c r="DI80">
        <f>DH80*DJ80</f>
        <v>0</v>
      </c>
      <c r="DJ80">
        <f>($B$11*$D$9+$C$11*$D$9+$F$11*((FF80+EX80)/MAX(FF80+EX80+FG80, 0.1)*$I$9+FG80/MAX(FF80+EX80+FG80, 0.1)*$J$9))/($B$11+$C$11+$F$11)</f>
        <v>0</v>
      </c>
      <c r="DK80">
        <f>($B$11*$K$9+$C$11*$K$9+$F$11*((FF80+EX80)/MAX(FF80+EX80+FG80, 0.1)*$P$9+FG80/MAX(FF80+EX80+FG80, 0.1)*$Q$9))/($B$11+$C$11+$F$11)</f>
        <v>0</v>
      </c>
      <c r="DL80">
        <v>6</v>
      </c>
      <c r="DM80">
        <v>0.5</v>
      </c>
      <c r="DN80" t="s">
        <v>438</v>
      </c>
      <c r="DO80">
        <v>2</v>
      </c>
      <c r="DP80" t="b">
        <v>1</v>
      </c>
      <c r="DQ80">
        <v>1760989588.94615</v>
      </c>
      <c r="DR80">
        <v>983.644846153846</v>
      </c>
      <c r="DS80">
        <v>1025.29092307692</v>
      </c>
      <c r="DT80">
        <v>11.7915615384615</v>
      </c>
      <c r="DU80">
        <v>8.96523384615385</v>
      </c>
      <c r="DV80">
        <v>978.766615384615</v>
      </c>
      <c r="DW80">
        <v>11.9030461538462</v>
      </c>
      <c r="DX80">
        <v>499.984538461538</v>
      </c>
      <c r="DY80">
        <v>89.8584846153846</v>
      </c>
      <c r="DZ80">
        <v>0.00766803461538462</v>
      </c>
      <c r="EA80">
        <v>18.4198615384615</v>
      </c>
      <c r="EB80">
        <v>17.9865538461538</v>
      </c>
      <c r="EC80">
        <v>999.9</v>
      </c>
      <c r="ED80">
        <v>0</v>
      </c>
      <c r="EE80">
        <v>0</v>
      </c>
      <c r="EF80">
        <v>9972.73923076923</v>
      </c>
      <c r="EG80">
        <v>0</v>
      </c>
      <c r="EH80">
        <v>1270.18846153846</v>
      </c>
      <c r="EI80">
        <v>-41.6458923076923</v>
      </c>
      <c r="EJ80">
        <v>995.380769230769</v>
      </c>
      <c r="EK80">
        <v>1034.56538461538</v>
      </c>
      <c r="EL80">
        <v>2.82633230769231</v>
      </c>
      <c r="EM80">
        <v>1025.29092307692</v>
      </c>
      <c r="EN80">
        <v>8.96523384615385</v>
      </c>
      <c r="EO80">
        <v>1.05957307692308</v>
      </c>
      <c r="EP80">
        <v>0.805602153846154</v>
      </c>
      <c r="EQ80">
        <v>7.76234</v>
      </c>
      <c r="ER80">
        <v>3.80639846153846</v>
      </c>
      <c r="ES80">
        <v>1200.01</v>
      </c>
      <c r="ET80">
        <v>0.967008076923077</v>
      </c>
      <c r="EU80">
        <v>0.0329919153846154</v>
      </c>
      <c r="EV80">
        <v>0</v>
      </c>
      <c r="EW80">
        <v>1337.02461538462</v>
      </c>
      <c r="EX80">
        <v>5.00059</v>
      </c>
      <c r="EY80">
        <v>15758.3153846154</v>
      </c>
      <c r="EZ80">
        <v>10358.8153846154</v>
      </c>
      <c r="FA80">
        <v>38.1488461538462</v>
      </c>
      <c r="FB80">
        <v>40.9900769230769</v>
      </c>
      <c r="FC80">
        <v>38.7353076923077</v>
      </c>
      <c r="FD80">
        <v>40.8795384615385</v>
      </c>
      <c r="FE80">
        <v>39.2592307692308</v>
      </c>
      <c r="FF80">
        <v>1155.58153846154</v>
      </c>
      <c r="FG80">
        <v>39.4269230769231</v>
      </c>
      <c r="FH80">
        <v>0</v>
      </c>
      <c r="FI80">
        <v>1760989566.1</v>
      </c>
      <c r="FJ80">
        <v>0</v>
      </c>
      <c r="FK80">
        <v>1337.0816</v>
      </c>
      <c r="FL80">
        <v>-1.24692307584188</v>
      </c>
      <c r="FM80">
        <v>14.2538460703037</v>
      </c>
      <c r="FN80">
        <v>15757.856</v>
      </c>
      <c r="FO80">
        <v>15</v>
      </c>
      <c r="FP80">
        <v>0</v>
      </c>
      <c r="FQ80" t="s">
        <v>439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-41.2460142857143</v>
      </c>
      <c r="GD80">
        <v>-7.6827428571429</v>
      </c>
      <c r="GE80">
        <v>1.12635348181039</v>
      </c>
      <c r="GF80">
        <v>0</v>
      </c>
      <c r="GG80">
        <v>1337.16264705882</v>
      </c>
      <c r="GH80">
        <v>-1.5784568351534</v>
      </c>
      <c r="GI80">
        <v>0.234650037584513</v>
      </c>
      <c r="GJ80">
        <v>-1</v>
      </c>
      <c r="GK80">
        <v>2.8225180952381</v>
      </c>
      <c r="GL80">
        <v>0.0723833766233701</v>
      </c>
      <c r="GM80">
        <v>0.00745009467440488</v>
      </c>
      <c r="GN80">
        <v>1</v>
      </c>
      <c r="GO80">
        <v>1</v>
      </c>
      <c r="GP80">
        <v>2</v>
      </c>
      <c r="GQ80" t="s">
        <v>446</v>
      </c>
      <c r="GR80">
        <v>3.13053</v>
      </c>
      <c r="GS80">
        <v>2.68579</v>
      </c>
      <c r="GT80">
        <v>0.166182</v>
      </c>
      <c r="GU80">
        <v>0.170966</v>
      </c>
      <c r="GV80">
        <v>0.061672</v>
      </c>
      <c r="GW80">
        <v>0.0496872</v>
      </c>
      <c r="GX80">
        <v>31603.8</v>
      </c>
      <c r="GY80">
        <v>33764.4</v>
      </c>
      <c r="GZ80">
        <v>34267.3</v>
      </c>
      <c r="HA80">
        <v>36849.2</v>
      </c>
      <c r="HB80">
        <v>45362.1</v>
      </c>
      <c r="HC80">
        <v>50223.8</v>
      </c>
      <c r="HD80">
        <v>53341.4</v>
      </c>
      <c r="HE80">
        <v>58776.4</v>
      </c>
      <c r="HF80">
        <v>2.009</v>
      </c>
      <c r="HG80">
        <v>1.83788</v>
      </c>
      <c r="HH80">
        <v>0.0329763</v>
      </c>
      <c r="HI80">
        <v>0</v>
      </c>
      <c r="HJ80">
        <v>17.4529</v>
      </c>
      <c r="HK80">
        <v>999.9</v>
      </c>
      <c r="HL80">
        <v>25.906</v>
      </c>
      <c r="HM80">
        <v>30.283</v>
      </c>
      <c r="HN80">
        <v>12.484</v>
      </c>
      <c r="HO80">
        <v>54.0391</v>
      </c>
      <c r="HP80">
        <v>44.5152</v>
      </c>
      <c r="HQ80">
        <v>1</v>
      </c>
      <c r="HR80">
        <v>-0.26997</v>
      </c>
      <c r="HS80">
        <v>3.79386</v>
      </c>
      <c r="HT80">
        <v>20.0972</v>
      </c>
      <c r="HU80">
        <v>5.20112</v>
      </c>
      <c r="HV80">
        <v>12.004</v>
      </c>
      <c r="HW80">
        <v>4.9757</v>
      </c>
      <c r="HX80">
        <v>3.29303</v>
      </c>
      <c r="HY80">
        <v>9999</v>
      </c>
      <c r="HZ80">
        <v>999.9</v>
      </c>
      <c r="IA80">
        <v>9999</v>
      </c>
      <c r="IB80">
        <v>9999</v>
      </c>
      <c r="IC80">
        <v>1.86325</v>
      </c>
      <c r="ID80">
        <v>1.86808</v>
      </c>
      <c r="IE80">
        <v>1.86783</v>
      </c>
      <c r="IF80">
        <v>1.86905</v>
      </c>
      <c r="IG80">
        <v>1.86981</v>
      </c>
      <c r="IH80">
        <v>1.86586</v>
      </c>
      <c r="II80">
        <v>1.86693</v>
      </c>
      <c r="IJ80">
        <v>1.86838</v>
      </c>
      <c r="IK80">
        <v>5</v>
      </c>
      <c r="IL80">
        <v>0</v>
      </c>
      <c r="IM80">
        <v>0</v>
      </c>
      <c r="IN80">
        <v>0</v>
      </c>
      <c r="IO80" t="s">
        <v>441</v>
      </c>
      <c r="IP80" t="s">
        <v>442</v>
      </c>
      <c r="IQ80" t="s">
        <v>443</v>
      </c>
      <c r="IR80" t="s">
        <v>443</v>
      </c>
      <c r="IS80" t="s">
        <v>443</v>
      </c>
      <c r="IT80" t="s">
        <v>443</v>
      </c>
      <c r="IU80">
        <v>0</v>
      </c>
      <c r="IV80">
        <v>100</v>
      </c>
      <c r="IW80">
        <v>100</v>
      </c>
      <c r="IX80">
        <v>4.97</v>
      </c>
      <c r="IY80">
        <v>-0.1113</v>
      </c>
      <c r="IZ80">
        <v>1.12474291219083</v>
      </c>
      <c r="JA80">
        <v>0.00463155566490582</v>
      </c>
      <c r="JB80">
        <v>-1.1358998729424e-06</v>
      </c>
      <c r="JC80">
        <v>3.28704272115545e-10</v>
      </c>
      <c r="JD80">
        <v>-0.0704455108513773</v>
      </c>
      <c r="JE80">
        <v>-0.0251928478371425</v>
      </c>
      <c r="JF80">
        <v>0.00225751704194564</v>
      </c>
      <c r="JG80">
        <v>-3.61734043746866e-05</v>
      </c>
      <c r="JH80">
        <v>1</v>
      </c>
      <c r="JI80">
        <v>2182</v>
      </c>
      <c r="JJ80">
        <v>0</v>
      </c>
      <c r="JK80">
        <v>24</v>
      </c>
      <c r="JL80">
        <v>29349826.6</v>
      </c>
      <c r="JM80">
        <v>29349826.6</v>
      </c>
      <c r="JN80">
        <v>2.11914</v>
      </c>
      <c r="JO80">
        <v>2.6123</v>
      </c>
      <c r="JP80">
        <v>1.54785</v>
      </c>
      <c r="JQ80">
        <v>2.31445</v>
      </c>
      <c r="JR80">
        <v>1.64673</v>
      </c>
      <c r="JS80">
        <v>2.39502</v>
      </c>
      <c r="JT80">
        <v>33.6029</v>
      </c>
      <c r="JU80">
        <v>24.1926</v>
      </c>
      <c r="JV80">
        <v>18</v>
      </c>
      <c r="JW80">
        <v>500.814</v>
      </c>
      <c r="JX80">
        <v>394.545</v>
      </c>
      <c r="JY80">
        <v>12.4673</v>
      </c>
      <c r="JZ80">
        <v>23.9028</v>
      </c>
      <c r="KA80">
        <v>30.0001</v>
      </c>
      <c r="KB80">
        <v>23.9213</v>
      </c>
      <c r="KC80">
        <v>23.8932</v>
      </c>
      <c r="KD80">
        <v>42.546</v>
      </c>
      <c r="KE80">
        <v>8.77818</v>
      </c>
      <c r="KF80">
        <v>23.3636</v>
      </c>
      <c r="KG80">
        <v>12.4722</v>
      </c>
      <c r="KH80">
        <v>1075.4</v>
      </c>
      <c r="KI80">
        <v>9.0085</v>
      </c>
      <c r="KJ80">
        <v>97.0453</v>
      </c>
      <c r="KK80">
        <v>95.3035</v>
      </c>
    </row>
    <row r="81" spans="1:297">
      <c r="A81">
        <v>65</v>
      </c>
      <c r="B81">
        <v>1760989602.1</v>
      </c>
      <c r="C81">
        <v>412</v>
      </c>
      <c r="D81" t="s">
        <v>572</v>
      </c>
      <c r="E81" t="s">
        <v>573</v>
      </c>
      <c r="F81">
        <v>5</v>
      </c>
      <c r="G81" t="s">
        <v>435</v>
      </c>
      <c r="H81" t="s">
        <v>436</v>
      </c>
      <c r="I81">
        <v>1760989593.94615</v>
      </c>
      <c r="J81">
        <f>(K81)/1000</f>
        <v>0</v>
      </c>
      <c r="K81">
        <f>IF(DP81, AN81, AH81)</f>
        <v>0</v>
      </c>
      <c r="L81">
        <f>IF(DP81, AI81, AG81)</f>
        <v>0</v>
      </c>
      <c r="M81">
        <f>DR81 - IF(AU81&gt;1, L81*DL81*100.0/(AW81), 0)</f>
        <v>0</v>
      </c>
      <c r="N81">
        <f>((T81-J81/2)*M81-L81)/(T81+J81/2)</f>
        <v>0</v>
      </c>
      <c r="O81">
        <f>N81*(DY81+DZ81)/1000.0</f>
        <v>0</v>
      </c>
      <c r="P81">
        <f>(DR81 - IF(AU81&gt;1, L81*DL81*100.0/(AW81), 0))*(DY81+DZ81)/1000.0</f>
        <v>0</v>
      </c>
      <c r="Q81">
        <f>2.0/((1/S81-1/R81)+SIGN(S81)*SQRT((1/S81-1/R81)*(1/S81-1/R81) + 4*DM81/((DM81+1)*(DM81+1))*(2*1/S81*1/R81-1/R81*1/R81)))</f>
        <v>0</v>
      </c>
      <c r="R81">
        <f>IF(LEFT(DN81,1)&lt;&gt;"0",IF(LEFT(DN81,1)="1",3.0,DO81),$D$5+$E$5*(EF81*DY81/($K$5*1000))+$F$5*(EF81*DY81/($K$5*1000))*MAX(MIN(DL81,$J$5),$I$5)*MAX(MIN(DL81,$J$5),$I$5)+$G$5*MAX(MIN(DL81,$J$5),$I$5)*(EF81*DY81/($K$5*1000))+$H$5*(EF81*DY81/($K$5*1000))*(EF81*DY81/($K$5*1000)))</f>
        <v>0</v>
      </c>
      <c r="S81">
        <f>J81*(1000-(1000*0.61365*exp(17.502*W81/(240.97+W81))/(DY81+DZ81)+DT81)/2)/(1000*0.61365*exp(17.502*W81/(240.97+W81))/(DY81+DZ81)-DT81)</f>
        <v>0</v>
      </c>
      <c r="T81">
        <f>1/((DM81+1)/(Q81/1.6)+1/(R81/1.37)) + DM81/((DM81+1)/(Q81/1.6) + DM81/(R81/1.37))</f>
        <v>0</v>
      </c>
      <c r="U81">
        <f>(DH81*DK81)</f>
        <v>0</v>
      </c>
      <c r="V81">
        <f>(EA81+(U81+2*0.95*5.67E-8*(((EA81+$B$7)+273)^4-(EA81+273)^4)-44100*J81)/(1.84*29.3*R81+8*0.95*5.67E-8*(EA81+273)^3))</f>
        <v>0</v>
      </c>
      <c r="W81">
        <f>($C$7*EB81+$D$7*EC81+$E$7*V81)</f>
        <v>0</v>
      </c>
      <c r="X81">
        <f>0.61365*exp(17.502*W81/(240.97+W81))</f>
        <v>0</v>
      </c>
      <c r="Y81">
        <f>(Z81/AA81*100)</f>
        <v>0</v>
      </c>
      <c r="Z81">
        <f>DT81*(DY81+DZ81)/1000</f>
        <v>0</v>
      </c>
      <c r="AA81">
        <f>0.61365*exp(17.502*EA81/(240.97+EA81))</f>
        <v>0</v>
      </c>
      <c r="AB81">
        <f>(X81-DT81*(DY81+DZ81)/1000)</f>
        <v>0</v>
      </c>
      <c r="AC81">
        <f>(-J81*44100)</f>
        <v>0</v>
      </c>
      <c r="AD81">
        <f>2*29.3*R81*0.92*(EA81-W81)</f>
        <v>0</v>
      </c>
      <c r="AE81">
        <f>2*0.95*5.67E-8*(((EA81+$B$7)+273)^4-(W81+273)^4)</f>
        <v>0</v>
      </c>
      <c r="AF81">
        <f>U81+AE81+AC81+AD81</f>
        <v>0</v>
      </c>
      <c r="AG81">
        <f>DX81*AU81*(DS81-DR81*(1000-AU81*DU81)/(1000-AU81*DT81))/(100*DL81)</f>
        <v>0</v>
      </c>
      <c r="AH81">
        <f>1000*DX81*AU81*(DT81-DU81)/(100*DL81*(1000-AU81*DT81))</f>
        <v>0</v>
      </c>
      <c r="AI81">
        <f>(AJ81 - AK81 - DY81*1E3/(8.314*(EA81+273.15)) * AM81/DX81 * AL81) * DX81/(100*DL81) * (1000 - DU81)/1000</f>
        <v>0</v>
      </c>
      <c r="AJ81">
        <v>1066.93086459655</v>
      </c>
      <c r="AK81">
        <v>1036.42781818182</v>
      </c>
      <c r="AL81">
        <v>3.23380134194411</v>
      </c>
      <c r="AM81">
        <v>64.8413469339502</v>
      </c>
      <c r="AN81">
        <f>(AP81 - AO81 + DY81*1E3/(8.314*(EA81+273.15)) * AR81/DX81 * AQ81) * DX81/(100*DL81) * 1000/(1000 - AP81)</f>
        <v>0</v>
      </c>
      <c r="AO81">
        <v>8.97095486620787</v>
      </c>
      <c r="AP81">
        <v>11.8082060606061</v>
      </c>
      <c r="AQ81">
        <v>4.29744361058685e-05</v>
      </c>
      <c r="AR81">
        <v>118.472689631034</v>
      </c>
      <c r="AS81">
        <v>0</v>
      </c>
      <c r="AT81">
        <v>0</v>
      </c>
      <c r="AU81">
        <f>IF(AS81*$H$13&gt;=AW81,1.0,(AW81/(AW81-AS81*$H$13)))</f>
        <v>0</v>
      </c>
      <c r="AV81">
        <f>(AU81-1)*100</f>
        <v>0</v>
      </c>
      <c r="AW81">
        <f>MAX(0,($B$13+$C$13*EF81)/(1+$D$13*EF81)*DY81/(EA81+273)*$E$13)</f>
        <v>0</v>
      </c>
      <c r="AX81" t="s">
        <v>437</v>
      </c>
      <c r="AY81" t="s">
        <v>437</v>
      </c>
      <c r="AZ81">
        <v>0</v>
      </c>
      <c r="BA81">
        <v>0</v>
      </c>
      <c r="BB81">
        <f>1-AZ81/BA81</f>
        <v>0</v>
      </c>
      <c r="BC81">
        <v>0</v>
      </c>
      <c r="BD81" t="s">
        <v>437</v>
      </c>
      <c r="BE81" t="s">
        <v>437</v>
      </c>
      <c r="BF81">
        <v>0</v>
      </c>
      <c r="BG81">
        <v>0</v>
      </c>
      <c r="BH81">
        <f>1-BF81/BG81</f>
        <v>0</v>
      </c>
      <c r="BI81">
        <v>0.5</v>
      </c>
      <c r="BJ81">
        <f>DI81</f>
        <v>0</v>
      </c>
      <c r="BK81">
        <f>L81</f>
        <v>0</v>
      </c>
      <c r="BL81">
        <f>BH81*BI81*BJ81</f>
        <v>0</v>
      </c>
      <c r="BM81">
        <f>(BK81-BC81)/BJ81</f>
        <v>0</v>
      </c>
      <c r="BN81">
        <f>(BA81-BG81)/BG81</f>
        <v>0</v>
      </c>
      <c r="BO81">
        <f>AZ81/(BB81+AZ81/BG81)</f>
        <v>0</v>
      </c>
      <c r="BP81" t="s">
        <v>437</v>
      </c>
      <c r="BQ81">
        <v>0</v>
      </c>
      <c r="BR81">
        <f>IF(BQ81&lt;&gt;0, BQ81, BO81)</f>
        <v>0</v>
      </c>
      <c r="BS81">
        <f>1-BR81/BG81</f>
        <v>0</v>
      </c>
      <c r="BT81">
        <f>(BG81-BF81)/(BG81-BR81)</f>
        <v>0</v>
      </c>
      <c r="BU81">
        <f>(BA81-BG81)/(BA81-BR81)</f>
        <v>0</v>
      </c>
      <c r="BV81">
        <f>(BG81-BF81)/(BG81-AZ81)</f>
        <v>0</v>
      </c>
      <c r="BW81">
        <f>(BA81-BG81)/(BA81-AZ81)</f>
        <v>0</v>
      </c>
      <c r="BX81">
        <f>(BT81*BR81/BF81)</f>
        <v>0</v>
      </c>
      <c r="BY81">
        <f>(1-BX81)</f>
        <v>0</v>
      </c>
      <c r="DH81">
        <f>$B$11*EG81+$C$11*EH81+$F$11*ES81*(1-EV81)</f>
        <v>0</v>
      </c>
      <c r="DI81">
        <f>DH81*DJ81</f>
        <v>0</v>
      </c>
      <c r="DJ81">
        <f>($B$11*$D$9+$C$11*$D$9+$F$11*((FF81+EX81)/MAX(FF81+EX81+FG81, 0.1)*$I$9+FG81/MAX(FF81+EX81+FG81, 0.1)*$J$9))/($B$11+$C$11+$F$11)</f>
        <v>0</v>
      </c>
      <c r="DK81">
        <f>($B$11*$K$9+$C$11*$K$9+$F$11*((FF81+EX81)/MAX(FF81+EX81+FG81, 0.1)*$P$9+FG81/MAX(FF81+EX81+FG81, 0.1)*$Q$9))/($B$11+$C$11+$F$11)</f>
        <v>0</v>
      </c>
      <c r="DL81">
        <v>6</v>
      </c>
      <c r="DM81">
        <v>0.5</v>
      </c>
      <c r="DN81" t="s">
        <v>438</v>
      </c>
      <c r="DO81">
        <v>2</v>
      </c>
      <c r="DP81" t="b">
        <v>1</v>
      </c>
      <c r="DQ81">
        <v>1760989593.94615</v>
      </c>
      <c r="DR81">
        <v>1000.42123076923</v>
      </c>
      <c r="DS81">
        <v>1041.84230769231</v>
      </c>
      <c r="DT81">
        <v>11.7992</v>
      </c>
      <c r="DU81">
        <v>8.96783230769231</v>
      </c>
      <c r="DV81">
        <v>995.486923076923</v>
      </c>
      <c r="DW81">
        <v>11.9105846153846</v>
      </c>
      <c r="DX81">
        <v>500.040384615385</v>
      </c>
      <c r="DY81">
        <v>89.8590692307692</v>
      </c>
      <c r="DZ81">
        <v>0.00765528307692308</v>
      </c>
      <c r="EA81">
        <v>18.4223923076923</v>
      </c>
      <c r="EB81">
        <v>17.9905153846154</v>
      </c>
      <c r="EC81">
        <v>999.9</v>
      </c>
      <c r="ED81">
        <v>0</v>
      </c>
      <c r="EE81">
        <v>0</v>
      </c>
      <c r="EF81">
        <v>9984.66384615385</v>
      </c>
      <c r="EG81">
        <v>0</v>
      </c>
      <c r="EH81">
        <v>1270.18692307692</v>
      </c>
      <c r="EI81">
        <v>-41.4214461538462</v>
      </c>
      <c r="EJ81">
        <v>1012.36484615385</v>
      </c>
      <c r="EK81">
        <v>1051.26846153846</v>
      </c>
      <c r="EL81">
        <v>2.83137615384615</v>
      </c>
      <c r="EM81">
        <v>1041.84230769231</v>
      </c>
      <c r="EN81">
        <v>8.96783230769231</v>
      </c>
      <c r="EO81">
        <v>1.06026692307692</v>
      </c>
      <c r="EP81">
        <v>0.805841</v>
      </c>
      <c r="EQ81">
        <v>7.77194461538461</v>
      </c>
      <c r="ER81">
        <v>3.81061076923077</v>
      </c>
      <c r="ES81">
        <v>1199.97923076923</v>
      </c>
      <c r="ET81">
        <v>0.967008076923077</v>
      </c>
      <c r="EU81">
        <v>0.0329919</v>
      </c>
      <c r="EV81">
        <v>0</v>
      </c>
      <c r="EW81">
        <v>1336.94769230769</v>
      </c>
      <c r="EX81">
        <v>5.00059</v>
      </c>
      <c r="EY81">
        <v>15758.9153846154</v>
      </c>
      <c r="EZ81">
        <v>10358.5538461538</v>
      </c>
      <c r="FA81">
        <v>38.2113076923077</v>
      </c>
      <c r="FB81">
        <v>41.0526923076923</v>
      </c>
      <c r="FC81">
        <v>38.7930769230769</v>
      </c>
      <c r="FD81">
        <v>40.9853846153846</v>
      </c>
      <c r="FE81">
        <v>39.3170769230769</v>
      </c>
      <c r="FF81">
        <v>1155.55384615385</v>
      </c>
      <c r="FG81">
        <v>39.4238461538462</v>
      </c>
      <c r="FH81">
        <v>0</v>
      </c>
      <c r="FI81">
        <v>1760989571.5</v>
      </c>
      <c r="FJ81">
        <v>0</v>
      </c>
      <c r="FK81">
        <v>1336.97769230769</v>
      </c>
      <c r="FL81">
        <v>-1.513162396871</v>
      </c>
      <c r="FM81">
        <v>11.0598290162197</v>
      </c>
      <c r="FN81">
        <v>15758.8192307692</v>
      </c>
      <c r="FO81">
        <v>15</v>
      </c>
      <c r="FP81">
        <v>0</v>
      </c>
      <c r="FQ81" t="s">
        <v>439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-41.50467</v>
      </c>
      <c r="GD81">
        <v>0.140544360902209</v>
      </c>
      <c r="GE81">
        <v>0.943012950123168</v>
      </c>
      <c r="GF81">
        <v>1</v>
      </c>
      <c r="GG81">
        <v>1337.04852941176</v>
      </c>
      <c r="GH81">
        <v>-1.24751718761025</v>
      </c>
      <c r="GI81">
        <v>0.211550749758025</v>
      </c>
      <c r="GJ81">
        <v>-1</v>
      </c>
      <c r="GK81">
        <v>2.82902</v>
      </c>
      <c r="GL81">
        <v>0.0577172932330818</v>
      </c>
      <c r="GM81">
        <v>0.00558515801029834</v>
      </c>
      <c r="GN81">
        <v>1</v>
      </c>
      <c r="GO81">
        <v>2</v>
      </c>
      <c r="GP81">
        <v>2</v>
      </c>
      <c r="GQ81" t="s">
        <v>440</v>
      </c>
      <c r="GR81">
        <v>3.1306</v>
      </c>
      <c r="GS81">
        <v>2.68556</v>
      </c>
      <c r="GT81">
        <v>0.167895</v>
      </c>
      <c r="GU81">
        <v>0.172762</v>
      </c>
      <c r="GV81">
        <v>0.06169</v>
      </c>
      <c r="GW81">
        <v>0.0496964</v>
      </c>
      <c r="GX81">
        <v>31538.7</v>
      </c>
      <c r="GY81">
        <v>33691.5</v>
      </c>
      <c r="GZ81">
        <v>34266.9</v>
      </c>
      <c r="HA81">
        <v>36849.4</v>
      </c>
      <c r="HB81">
        <v>45361.4</v>
      </c>
      <c r="HC81">
        <v>50223.6</v>
      </c>
      <c r="HD81">
        <v>53341.3</v>
      </c>
      <c r="HE81">
        <v>58776.5</v>
      </c>
      <c r="HF81">
        <v>2.00872</v>
      </c>
      <c r="HG81">
        <v>1.8379</v>
      </c>
      <c r="HH81">
        <v>0.0328496</v>
      </c>
      <c r="HI81">
        <v>0</v>
      </c>
      <c r="HJ81">
        <v>17.4529</v>
      </c>
      <c r="HK81">
        <v>999.9</v>
      </c>
      <c r="HL81">
        <v>25.882</v>
      </c>
      <c r="HM81">
        <v>30.283</v>
      </c>
      <c r="HN81">
        <v>12.4722</v>
      </c>
      <c r="HO81">
        <v>53.8391</v>
      </c>
      <c r="HP81">
        <v>44.4551</v>
      </c>
      <c r="HQ81">
        <v>1</v>
      </c>
      <c r="HR81">
        <v>-0.270218</v>
      </c>
      <c r="HS81">
        <v>3.81318</v>
      </c>
      <c r="HT81">
        <v>20.0969</v>
      </c>
      <c r="HU81">
        <v>5.20097</v>
      </c>
      <c r="HV81">
        <v>12.004</v>
      </c>
      <c r="HW81">
        <v>4.9755</v>
      </c>
      <c r="HX81">
        <v>3.29293</v>
      </c>
      <c r="HY81">
        <v>9999</v>
      </c>
      <c r="HZ81">
        <v>999.9</v>
      </c>
      <c r="IA81">
        <v>9999</v>
      </c>
      <c r="IB81">
        <v>9999</v>
      </c>
      <c r="IC81">
        <v>1.86325</v>
      </c>
      <c r="ID81">
        <v>1.86812</v>
      </c>
      <c r="IE81">
        <v>1.86783</v>
      </c>
      <c r="IF81">
        <v>1.86905</v>
      </c>
      <c r="IG81">
        <v>1.86981</v>
      </c>
      <c r="IH81">
        <v>1.86589</v>
      </c>
      <c r="II81">
        <v>1.86694</v>
      </c>
      <c r="IJ81">
        <v>1.86842</v>
      </c>
      <c r="IK81">
        <v>5</v>
      </c>
      <c r="IL81">
        <v>0</v>
      </c>
      <c r="IM81">
        <v>0</v>
      </c>
      <c r="IN81">
        <v>0</v>
      </c>
      <c r="IO81" t="s">
        <v>441</v>
      </c>
      <c r="IP81" t="s">
        <v>442</v>
      </c>
      <c r="IQ81" t="s">
        <v>443</v>
      </c>
      <c r="IR81" t="s">
        <v>443</v>
      </c>
      <c r="IS81" t="s">
        <v>443</v>
      </c>
      <c r="IT81" t="s">
        <v>443</v>
      </c>
      <c r="IU81">
        <v>0</v>
      </c>
      <c r="IV81">
        <v>100</v>
      </c>
      <c r="IW81">
        <v>100</v>
      </c>
      <c r="IX81">
        <v>5.02</v>
      </c>
      <c r="IY81">
        <v>-0.1112</v>
      </c>
      <c r="IZ81">
        <v>1.12474291219083</v>
      </c>
      <c r="JA81">
        <v>0.00463155566490582</v>
      </c>
      <c r="JB81">
        <v>-1.1358998729424e-06</v>
      </c>
      <c r="JC81">
        <v>3.28704272115545e-10</v>
      </c>
      <c r="JD81">
        <v>-0.0704455108513773</v>
      </c>
      <c r="JE81">
        <v>-0.0251928478371425</v>
      </c>
      <c r="JF81">
        <v>0.00225751704194564</v>
      </c>
      <c r="JG81">
        <v>-3.61734043746866e-05</v>
      </c>
      <c r="JH81">
        <v>1</v>
      </c>
      <c r="JI81">
        <v>2182</v>
      </c>
      <c r="JJ81">
        <v>0</v>
      </c>
      <c r="JK81">
        <v>24</v>
      </c>
      <c r="JL81">
        <v>29349826.7</v>
      </c>
      <c r="JM81">
        <v>29349826.7</v>
      </c>
      <c r="JN81">
        <v>2.15088</v>
      </c>
      <c r="JO81">
        <v>2.60376</v>
      </c>
      <c r="JP81">
        <v>1.54785</v>
      </c>
      <c r="JQ81">
        <v>2.31445</v>
      </c>
      <c r="JR81">
        <v>1.64673</v>
      </c>
      <c r="JS81">
        <v>2.39136</v>
      </c>
      <c r="JT81">
        <v>33.6029</v>
      </c>
      <c r="JU81">
        <v>24.1926</v>
      </c>
      <c r="JV81">
        <v>18</v>
      </c>
      <c r="JW81">
        <v>500.635</v>
      </c>
      <c r="JX81">
        <v>394.558</v>
      </c>
      <c r="JY81">
        <v>12.4748</v>
      </c>
      <c r="JZ81">
        <v>23.9028</v>
      </c>
      <c r="KA81">
        <v>30.0002</v>
      </c>
      <c r="KB81">
        <v>23.921</v>
      </c>
      <c r="KC81">
        <v>23.8932</v>
      </c>
      <c r="KD81">
        <v>43.0938</v>
      </c>
      <c r="KE81">
        <v>8.77818</v>
      </c>
      <c r="KF81">
        <v>23.3636</v>
      </c>
      <c r="KG81">
        <v>12.473</v>
      </c>
      <c r="KH81">
        <v>1088.93</v>
      </c>
      <c r="KI81">
        <v>9.0085</v>
      </c>
      <c r="KJ81">
        <v>97.0448</v>
      </c>
      <c r="KK81">
        <v>95.3038</v>
      </c>
    </row>
    <row r="82" spans="1:297">
      <c r="A82">
        <v>66</v>
      </c>
      <c r="B82">
        <v>1760989607.1</v>
      </c>
      <c r="C82">
        <v>417</v>
      </c>
      <c r="D82" t="s">
        <v>574</v>
      </c>
      <c r="E82" t="s">
        <v>575</v>
      </c>
      <c r="F82">
        <v>5</v>
      </c>
      <c r="G82" t="s">
        <v>435</v>
      </c>
      <c r="H82" t="s">
        <v>436</v>
      </c>
      <c r="I82">
        <v>1760989598.94615</v>
      </c>
      <c r="J82">
        <f>(K82)/1000</f>
        <v>0</v>
      </c>
      <c r="K82">
        <f>IF(DP82, AN82, AH82)</f>
        <v>0</v>
      </c>
      <c r="L82">
        <f>IF(DP82, AI82, AG82)</f>
        <v>0</v>
      </c>
      <c r="M82">
        <f>DR82 - IF(AU82&gt;1, L82*DL82*100.0/(AW82), 0)</f>
        <v>0</v>
      </c>
      <c r="N82">
        <f>((T82-J82/2)*M82-L82)/(T82+J82/2)</f>
        <v>0</v>
      </c>
      <c r="O82">
        <f>N82*(DY82+DZ82)/1000.0</f>
        <v>0</v>
      </c>
      <c r="P82">
        <f>(DR82 - IF(AU82&gt;1, L82*DL82*100.0/(AW82), 0))*(DY82+DZ82)/1000.0</f>
        <v>0</v>
      </c>
      <c r="Q82">
        <f>2.0/((1/S82-1/R82)+SIGN(S82)*SQRT((1/S82-1/R82)*(1/S82-1/R82) + 4*DM82/((DM82+1)*(DM82+1))*(2*1/S82*1/R82-1/R82*1/R82)))</f>
        <v>0</v>
      </c>
      <c r="R82">
        <f>IF(LEFT(DN82,1)&lt;&gt;"0",IF(LEFT(DN82,1)="1",3.0,DO82),$D$5+$E$5*(EF82*DY82/($K$5*1000))+$F$5*(EF82*DY82/($K$5*1000))*MAX(MIN(DL82,$J$5),$I$5)*MAX(MIN(DL82,$J$5),$I$5)+$G$5*MAX(MIN(DL82,$J$5),$I$5)*(EF82*DY82/($K$5*1000))+$H$5*(EF82*DY82/($K$5*1000))*(EF82*DY82/($K$5*1000)))</f>
        <v>0</v>
      </c>
      <c r="S82">
        <f>J82*(1000-(1000*0.61365*exp(17.502*W82/(240.97+W82))/(DY82+DZ82)+DT82)/2)/(1000*0.61365*exp(17.502*W82/(240.97+W82))/(DY82+DZ82)-DT82)</f>
        <v>0</v>
      </c>
      <c r="T82">
        <f>1/((DM82+1)/(Q82/1.6)+1/(R82/1.37)) + DM82/((DM82+1)/(Q82/1.6) + DM82/(R82/1.37))</f>
        <v>0</v>
      </c>
      <c r="U82">
        <f>(DH82*DK82)</f>
        <v>0</v>
      </c>
      <c r="V82">
        <f>(EA82+(U82+2*0.95*5.67E-8*(((EA82+$B$7)+273)^4-(EA82+273)^4)-44100*J82)/(1.84*29.3*R82+8*0.95*5.67E-8*(EA82+273)^3))</f>
        <v>0</v>
      </c>
      <c r="W82">
        <f>($C$7*EB82+$D$7*EC82+$E$7*V82)</f>
        <v>0</v>
      </c>
      <c r="X82">
        <f>0.61365*exp(17.502*W82/(240.97+W82))</f>
        <v>0</v>
      </c>
      <c r="Y82">
        <f>(Z82/AA82*100)</f>
        <v>0</v>
      </c>
      <c r="Z82">
        <f>DT82*(DY82+DZ82)/1000</f>
        <v>0</v>
      </c>
      <c r="AA82">
        <f>0.61365*exp(17.502*EA82/(240.97+EA82))</f>
        <v>0</v>
      </c>
      <c r="AB82">
        <f>(X82-DT82*(DY82+DZ82)/1000)</f>
        <v>0</v>
      </c>
      <c r="AC82">
        <f>(-J82*44100)</f>
        <v>0</v>
      </c>
      <c r="AD82">
        <f>2*29.3*R82*0.92*(EA82-W82)</f>
        <v>0</v>
      </c>
      <c r="AE82">
        <f>2*0.95*5.67E-8*(((EA82+$B$7)+273)^4-(W82+273)^4)</f>
        <v>0</v>
      </c>
      <c r="AF82">
        <f>U82+AE82+AC82+AD82</f>
        <v>0</v>
      </c>
      <c r="AG82">
        <f>DX82*AU82*(DS82-DR82*(1000-AU82*DU82)/(1000-AU82*DT82))/(100*DL82)</f>
        <v>0</v>
      </c>
      <c r="AH82">
        <f>1000*DX82*AU82*(DT82-DU82)/(100*DL82*(1000-AU82*DT82))</f>
        <v>0</v>
      </c>
      <c r="AI82">
        <f>(AJ82 - AK82 - DY82*1E3/(8.314*(EA82+273.15)) * AM82/DX82 * AL82) * DX82/(100*DL82) * (1000 - DU82)/1000</f>
        <v>0</v>
      </c>
      <c r="AJ82">
        <v>1085.00039166094</v>
      </c>
      <c r="AK82">
        <v>1053.81515151515</v>
      </c>
      <c r="AL82">
        <v>3.50209311033226</v>
      </c>
      <c r="AM82">
        <v>64.8413469339502</v>
      </c>
      <c r="AN82">
        <f>(AP82 - AO82 + DY82*1E3/(8.314*(EA82+273.15)) * AR82/DX82 * AQ82) * DX82/(100*DL82) * 1000/(1000 - AP82)</f>
        <v>0</v>
      </c>
      <c r="AO82">
        <v>8.9739023034706</v>
      </c>
      <c r="AP82">
        <v>11.8132284848485</v>
      </c>
      <c r="AQ82">
        <v>7.28503893794473e-05</v>
      </c>
      <c r="AR82">
        <v>118.472689631034</v>
      </c>
      <c r="AS82">
        <v>0</v>
      </c>
      <c r="AT82">
        <v>0</v>
      </c>
      <c r="AU82">
        <f>IF(AS82*$H$13&gt;=AW82,1.0,(AW82/(AW82-AS82*$H$13)))</f>
        <v>0</v>
      </c>
      <c r="AV82">
        <f>(AU82-1)*100</f>
        <v>0</v>
      </c>
      <c r="AW82">
        <f>MAX(0,($B$13+$C$13*EF82)/(1+$D$13*EF82)*DY82/(EA82+273)*$E$13)</f>
        <v>0</v>
      </c>
      <c r="AX82" t="s">
        <v>437</v>
      </c>
      <c r="AY82" t="s">
        <v>437</v>
      </c>
      <c r="AZ82">
        <v>0</v>
      </c>
      <c r="BA82">
        <v>0</v>
      </c>
      <c r="BB82">
        <f>1-AZ82/BA82</f>
        <v>0</v>
      </c>
      <c r="BC82">
        <v>0</v>
      </c>
      <c r="BD82" t="s">
        <v>437</v>
      </c>
      <c r="BE82" t="s">
        <v>437</v>
      </c>
      <c r="BF82">
        <v>0</v>
      </c>
      <c r="BG82">
        <v>0</v>
      </c>
      <c r="BH82">
        <f>1-BF82/BG82</f>
        <v>0</v>
      </c>
      <c r="BI82">
        <v>0.5</v>
      </c>
      <c r="BJ82">
        <f>DI82</f>
        <v>0</v>
      </c>
      <c r="BK82">
        <f>L82</f>
        <v>0</v>
      </c>
      <c r="BL82">
        <f>BH82*BI82*BJ82</f>
        <v>0</v>
      </c>
      <c r="BM82">
        <f>(BK82-BC82)/BJ82</f>
        <v>0</v>
      </c>
      <c r="BN82">
        <f>(BA82-BG82)/BG82</f>
        <v>0</v>
      </c>
      <c r="BO82">
        <f>AZ82/(BB82+AZ82/BG82)</f>
        <v>0</v>
      </c>
      <c r="BP82" t="s">
        <v>437</v>
      </c>
      <c r="BQ82">
        <v>0</v>
      </c>
      <c r="BR82">
        <f>IF(BQ82&lt;&gt;0, BQ82, BO82)</f>
        <v>0</v>
      </c>
      <c r="BS82">
        <f>1-BR82/BG82</f>
        <v>0</v>
      </c>
      <c r="BT82">
        <f>(BG82-BF82)/(BG82-BR82)</f>
        <v>0</v>
      </c>
      <c r="BU82">
        <f>(BA82-BG82)/(BA82-BR82)</f>
        <v>0</v>
      </c>
      <c r="BV82">
        <f>(BG82-BF82)/(BG82-AZ82)</f>
        <v>0</v>
      </c>
      <c r="BW82">
        <f>(BA82-BG82)/(BA82-AZ82)</f>
        <v>0</v>
      </c>
      <c r="BX82">
        <f>(BT82*BR82/BF82)</f>
        <v>0</v>
      </c>
      <c r="BY82">
        <f>(1-BX82)</f>
        <v>0</v>
      </c>
      <c r="DH82">
        <f>$B$11*EG82+$C$11*EH82+$F$11*ES82*(1-EV82)</f>
        <v>0</v>
      </c>
      <c r="DI82">
        <f>DH82*DJ82</f>
        <v>0</v>
      </c>
      <c r="DJ82">
        <f>($B$11*$D$9+$C$11*$D$9+$F$11*((FF82+EX82)/MAX(FF82+EX82+FG82, 0.1)*$I$9+FG82/MAX(FF82+EX82+FG82, 0.1)*$J$9))/($B$11+$C$11+$F$11)</f>
        <v>0</v>
      </c>
      <c r="DK82">
        <f>($B$11*$K$9+$C$11*$K$9+$F$11*((FF82+EX82)/MAX(FF82+EX82+FG82, 0.1)*$P$9+FG82/MAX(FF82+EX82+FG82, 0.1)*$Q$9))/($B$11+$C$11+$F$11)</f>
        <v>0</v>
      </c>
      <c r="DL82">
        <v>6</v>
      </c>
      <c r="DM82">
        <v>0.5</v>
      </c>
      <c r="DN82" t="s">
        <v>438</v>
      </c>
      <c r="DO82">
        <v>2</v>
      </c>
      <c r="DP82" t="b">
        <v>1</v>
      </c>
      <c r="DQ82">
        <v>1760989598.94615</v>
      </c>
      <c r="DR82">
        <v>1017.19330769231</v>
      </c>
      <c r="DS82">
        <v>1059.22615384615</v>
      </c>
      <c r="DT82">
        <v>11.8055461538462</v>
      </c>
      <c r="DU82">
        <v>8.97060846153846</v>
      </c>
      <c r="DV82">
        <v>1012.20315384615</v>
      </c>
      <c r="DW82">
        <v>11.9168461538462</v>
      </c>
      <c r="DX82">
        <v>500.029846153846</v>
      </c>
      <c r="DY82">
        <v>89.8594923076923</v>
      </c>
      <c r="DZ82">
        <v>0.00767662307692308</v>
      </c>
      <c r="EA82">
        <v>18.4290307692308</v>
      </c>
      <c r="EB82">
        <v>17.9968615384615</v>
      </c>
      <c r="EC82">
        <v>999.9</v>
      </c>
      <c r="ED82">
        <v>0</v>
      </c>
      <c r="EE82">
        <v>0</v>
      </c>
      <c r="EF82">
        <v>9990.57923076923</v>
      </c>
      <c r="EG82">
        <v>0</v>
      </c>
      <c r="EH82">
        <v>1270.19153846154</v>
      </c>
      <c r="EI82">
        <v>-42.0337153846154</v>
      </c>
      <c r="EJ82">
        <v>1029.34307692308</v>
      </c>
      <c r="EK82">
        <v>1068.81307692308</v>
      </c>
      <c r="EL82">
        <v>2.83494307692308</v>
      </c>
      <c r="EM82">
        <v>1059.22615384615</v>
      </c>
      <c r="EN82">
        <v>8.97060846153846</v>
      </c>
      <c r="EO82">
        <v>1.06084230769231</v>
      </c>
      <c r="EP82">
        <v>0.806094461538461</v>
      </c>
      <c r="EQ82">
        <v>7.77990153846154</v>
      </c>
      <c r="ER82">
        <v>3.81507846153846</v>
      </c>
      <c r="ES82">
        <v>1200.02076923077</v>
      </c>
      <c r="ET82">
        <v>0.967010076923077</v>
      </c>
      <c r="EU82">
        <v>0.0329899307692308</v>
      </c>
      <c r="EV82">
        <v>0</v>
      </c>
      <c r="EW82">
        <v>1336.86461538462</v>
      </c>
      <c r="EX82">
        <v>5.00059</v>
      </c>
      <c r="EY82">
        <v>15760.5076923077</v>
      </c>
      <c r="EZ82">
        <v>10358.9153846154</v>
      </c>
      <c r="FA82">
        <v>38.2785384615385</v>
      </c>
      <c r="FB82">
        <v>41.1150769230769</v>
      </c>
      <c r="FC82">
        <v>38.8506923076923</v>
      </c>
      <c r="FD82">
        <v>41.0766923076923</v>
      </c>
      <c r="FE82">
        <v>39.3698461538462</v>
      </c>
      <c r="FF82">
        <v>1155.59846153846</v>
      </c>
      <c r="FG82">
        <v>39.4207692307692</v>
      </c>
      <c r="FH82">
        <v>0</v>
      </c>
      <c r="FI82">
        <v>1760989576.3</v>
      </c>
      <c r="FJ82">
        <v>0</v>
      </c>
      <c r="FK82">
        <v>1336.79769230769</v>
      </c>
      <c r="FL82">
        <v>-2.6646153993878</v>
      </c>
      <c r="FM82">
        <v>11.8153845928339</v>
      </c>
      <c r="FN82">
        <v>15759.9</v>
      </c>
      <c r="FO82">
        <v>15</v>
      </c>
      <c r="FP82">
        <v>0</v>
      </c>
      <c r="FQ82" t="s">
        <v>439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-41.6866476190476</v>
      </c>
      <c r="GD82">
        <v>-3.95904935064933</v>
      </c>
      <c r="GE82">
        <v>1.01810150799887</v>
      </c>
      <c r="GF82">
        <v>0</v>
      </c>
      <c r="GG82">
        <v>1336.905</v>
      </c>
      <c r="GH82">
        <v>-1.70007639917443</v>
      </c>
      <c r="GI82">
        <v>0.258812332645511</v>
      </c>
      <c r="GJ82">
        <v>-1</v>
      </c>
      <c r="GK82">
        <v>2.83263666666667</v>
      </c>
      <c r="GL82">
        <v>0.0463714285714314</v>
      </c>
      <c r="GM82">
        <v>0.00479734681964274</v>
      </c>
      <c r="GN82">
        <v>1</v>
      </c>
      <c r="GO82">
        <v>1</v>
      </c>
      <c r="GP82">
        <v>2</v>
      </c>
      <c r="GQ82" t="s">
        <v>446</v>
      </c>
      <c r="GR82">
        <v>3.13065</v>
      </c>
      <c r="GS82">
        <v>2.68545</v>
      </c>
      <c r="GT82">
        <v>0.169706</v>
      </c>
      <c r="GU82">
        <v>0.174464</v>
      </c>
      <c r="GV82">
        <v>0.0617084</v>
      </c>
      <c r="GW82">
        <v>0.0497087</v>
      </c>
      <c r="GX82">
        <v>31470.3</v>
      </c>
      <c r="GY82">
        <v>33622.6</v>
      </c>
      <c r="GZ82">
        <v>34267.1</v>
      </c>
      <c r="HA82">
        <v>36849.8</v>
      </c>
      <c r="HB82">
        <v>45360.6</v>
      </c>
      <c r="HC82">
        <v>50223.6</v>
      </c>
      <c r="HD82">
        <v>53341.2</v>
      </c>
      <c r="HE82">
        <v>58777.1</v>
      </c>
      <c r="HF82">
        <v>2.00923</v>
      </c>
      <c r="HG82">
        <v>1.83818</v>
      </c>
      <c r="HH82">
        <v>0.0329688</v>
      </c>
      <c r="HI82">
        <v>0</v>
      </c>
      <c r="HJ82">
        <v>17.4529</v>
      </c>
      <c r="HK82">
        <v>999.9</v>
      </c>
      <c r="HL82">
        <v>25.882</v>
      </c>
      <c r="HM82">
        <v>30.283</v>
      </c>
      <c r="HN82">
        <v>12.4718</v>
      </c>
      <c r="HO82">
        <v>53.3991</v>
      </c>
      <c r="HP82">
        <v>44.347</v>
      </c>
      <c r="HQ82">
        <v>1</v>
      </c>
      <c r="HR82">
        <v>-0.270036</v>
      </c>
      <c r="HS82">
        <v>3.83652</v>
      </c>
      <c r="HT82">
        <v>20.0961</v>
      </c>
      <c r="HU82">
        <v>5.20112</v>
      </c>
      <c r="HV82">
        <v>12.004</v>
      </c>
      <c r="HW82">
        <v>4.97565</v>
      </c>
      <c r="HX82">
        <v>3.29303</v>
      </c>
      <c r="HY82">
        <v>9999</v>
      </c>
      <c r="HZ82">
        <v>999.9</v>
      </c>
      <c r="IA82">
        <v>9999</v>
      </c>
      <c r="IB82">
        <v>9999</v>
      </c>
      <c r="IC82">
        <v>1.86324</v>
      </c>
      <c r="ID82">
        <v>1.8681</v>
      </c>
      <c r="IE82">
        <v>1.86783</v>
      </c>
      <c r="IF82">
        <v>1.86905</v>
      </c>
      <c r="IG82">
        <v>1.86981</v>
      </c>
      <c r="IH82">
        <v>1.86585</v>
      </c>
      <c r="II82">
        <v>1.86695</v>
      </c>
      <c r="IJ82">
        <v>1.86841</v>
      </c>
      <c r="IK82">
        <v>5</v>
      </c>
      <c r="IL82">
        <v>0</v>
      </c>
      <c r="IM82">
        <v>0</v>
      </c>
      <c r="IN82">
        <v>0</v>
      </c>
      <c r="IO82" t="s">
        <v>441</v>
      </c>
      <c r="IP82" t="s">
        <v>442</v>
      </c>
      <c r="IQ82" t="s">
        <v>443</v>
      </c>
      <c r="IR82" t="s">
        <v>443</v>
      </c>
      <c r="IS82" t="s">
        <v>443</v>
      </c>
      <c r="IT82" t="s">
        <v>443</v>
      </c>
      <c r="IU82">
        <v>0</v>
      </c>
      <c r="IV82">
        <v>100</v>
      </c>
      <c r="IW82">
        <v>100</v>
      </c>
      <c r="IX82">
        <v>5.08</v>
      </c>
      <c r="IY82">
        <v>-0.1112</v>
      </c>
      <c r="IZ82">
        <v>1.12474291219083</v>
      </c>
      <c r="JA82">
        <v>0.00463155566490582</v>
      </c>
      <c r="JB82">
        <v>-1.1358998729424e-06</v>
      </c>
      <c r="JC82">
        <v>3.28704272115545e-10</v>
      </c>
      <c r="JD82">
        <v>-0.0704455108513773</v>
      </c>
      <c r="JE82">
        <v>-0.0251928478371425</v>
      </c>
      <c r="JF82">
        <v>0.00225751704194564</v>
      </c>
      <c r="JG82">
        <v>-3.61734043746866e-05</v>
      </c>
      <c r="JH82">
        <v>1</v>
      </c>
      <c r="JI82">
        <v>2182</v>
      </c>
      <c r="JJ82">
        <v>0</v>
      </c>
      <c r="JK82">
        <v>24</v>
      </c>
      <c r="JL82">
        <v>29349826.8</v>
      </c>
      <c r="JM82">
        <v>29349826.8</v>
      </c>
      <c r="JN82">
        <v>2.17407</v>
      </c>
      <c r="JO82">
        <v>2.60986</v>
      </c>
      <c r="JP82">
        <v>1.54785</v>
      </c>
      <c r="JQ82">
        <v>2.31445</v>
      </c>
      <c r="JR82">
        <v>1.64551</v>
      </c>
      <c r="JS82">
        <v>2.36816</v>
      </c>
      <c r="JT82">
        <v>33.6029</v>
      </c>
      <c r="JU82">
        <v>24.1926</v>
      </c>
      <c r="JV82">
        <v>18</v>
      </c>
      <c r="JW82">
        <v>500.955</v>
      </c>
      <c r="JX82">
        <v>394.703</v>
      </c>
      <c r="JY82">
        <v>12.477</v>
      </c>
      <c r="JZ82">
        <v>23.9028</v>
      </c>
      <c r="KA82">
        <v>30</v>
      </c>
      <c r="KB82">
        <v>23.921</v>
      </c>
      <c r="KC82">
        <v>23.8932</v>
      </c>
      <c r="KD82">
        <v>43.6353</v>
      </c>
      <c r="KE82">
        <v>8.77818</v>
      </c>
      <c r="KF82">
        <v>23.3636</v>
      </c>
      <c r="KG82">
        <v>12.4378</v>
      </c>
      <c r="KH82">
        <v>1109.19</v>
      </c>
      <c r="KI82">
        <v>9.0085</v>
      </c>
      <c r="KJ82">
        <v>97.045</v>
      </c>
      <c r="KK82">
        <v>95.3048</v>
      </c>
    </row>
    <row r="83" spans="1:297">
      <c r="A83">
        <v>67</v>
      </c>
      <c r="B83">
        <v>1760989612.1</v>
      </c>
      <c r="C83">
        <v>422</v>
      </c>
      <c r="D83" t="s">
        <v>576</v>
      </c>
      <c r="E83" t="s">
        <v>577</v>
      </c>
      <c r="F83">
        <v>5</v>
      </c>
      <c r="G83" t="s">
        <v>435</v>
      </c>
      <c r="H83" t="s">
        <v>436</v>
      </c>
      <c r="I83">
        <v>1760989603.94615</v>
      </c>
      <c r="J83">
        <f>(K83)/1000</f>
        <v>0</v>
      </c>
      <c r="K83">
        <f>IF(DP83, AN83, AH83)</f>
        <v>0</v>
      </c>
      <c r="L83">
        <f>IF(DP83, AI83, AG83)</f>
        <v>0</v>
      </c>
      <c r="M83">
        <f>DR83 - IF(AU83&gt;1, L83*DL83*100.0/(AW83), 0)</f>
        <v>0</v>
      </c>
      <c r="N83">
        <f>((T83-J83/2)*M83-L83)/(T83+J83/2)</f>
        <v>0</v>
      </c>
      <c r="O83">
        <f>N83*(DY83+DZ83)/1000.0</f>
        <v>0</v>
      </c>
      <c r="P83">
        <f>(DR83 - IF(AU83&gt;1, L83*DL83*100.0/(AW83), 0))*(DY83+DZ83)/1000.0</f>
        <v>0</v>
      </c>
      <c r="Q83">
        <f>2.0/((1/S83-1/R83)+SIGN(S83)*SQRT((1/S83-1/R83)*(1/S83-1/R83) + 4*DM83/((DM83+1)*(DM83+1))*(2*1/S83*1/R83-1/R83*1/R83)))</f>
        <v>0</v>
      </c>
      <c r="R83">
        <f>IF(LEFT(DN83,1)&lt;&gt;"0",IF(LEFT(DN83,1)="1",3.0,DO83),$D$5+$E$5*(EF83*DY83/($K$5*1000))+$F$5*(EF83*DY83/($K$5*1000))*MAX(MIN(DL83,$J$5),$I$5)*MAX(MIN(DL83,$J$5),$I$5)+$G$5*MAX(MIN(DL83,$J$5),$I$5)*(EF83*DY83/($K$5*1000))+$H$5*(EF83*DY83/($K$5*1000))*(EF83*DY83/($K$5*1000)))</f>
        <v>0</v>
      </c>
      <c r="S83">
        <f>J83*(1000-(1000*0.61365*exp(17.502*W83/(240.97+W83))/(DY83+DZ83)+DT83)/2)/(1000*0.61365*exp(17.502*W83/(240.97+W83))/(DY83+DZ83)-DT83)</f>
        <v>0</v>
      </c>
      <c r="T83">
        <f>1/((DM83+1)/(Q83/1.6)+1/(R83/1.37)) + DM83/((DM83+1)/(Q83/1.6) + DM83/(R83/1.37))</f>
        <v>0</v>
      </c>
      <c r="U83">
        <f>(DH83*DK83)</f>
        <v>0</v>
      </c>
      <c r="V83">
        <f>(EA83+(U83+2*0.95*5.67E-8*(((EA83+$B$7)+273)^4-(EA83+273)^4)-44100*J83)/(1.84*29.3*R83+8*0.95*5.67E-8*(EA83+273)^3))</f>
        <v>0</v>
      </c>
      <c r="W83">
        <f>($C$7*EB83+$D$7*EC83+$E$7*V83)</f>
        <v>0</v>
      </c>
      <c r="X83">
        <f>0.61365*exp(17.502*W83/(240.97+W83))</f>
        <v>0</v>
      </c>
      <c r="Y83">
        <f>(Z83/AA83*100)</f>
        <v>0</v>
      </c>
      <c r="Z83">
        <f>DT83*(DY83+DZ83)/1000</f>
        <v>0</v>
      </c>
      <c r="AA83">
        <f>0.61365*exp(17.502*EA83/(240.97+EA83))</f>
        <v>0</v>
      </c>
      <c r="AB83">
        <f>(X83-DT83*(DY83+DZ83)/1000)</f>
        <v>0</v>
      </c>
      <c r="AC83">
        <f>(-J83*44100)</f>
        <v>0</v>
      </c>
      <c r="AD83">
        <f>2*29.3*R83*0.92*(EA83-W83)</f>
        <v>0</v>
      </c>
      <c r="AE83">
        <f>2*0.95*5.67E-8*(((EA83+$B$7)+273)^4-(W83+273)^4)</f>
        <v>0</v>
      </c>
      <c r="AF83">
        <f>U83+AE83+AC83+AD83</f>
        <v>0</v>
      </c>
      <c r="AG83">
        <f>DX83*AU83*(DS83-DR83*(1000-AU83*DU83)/(1000-AU83*DT83))/(100*DL83)</f>
        <v>0</v>
      </c>
      <c r="AH83">
        <f>1000*DX83*AU83*(DT83-DU83)/(100*DL83*(1000-AU83*DT83))</f>
        <v>0</v>
      </c>
      <c r="AI83">
        <f>(AJ83 - AK83 - DY83*1E3/(8.314*(EA83+273.15)) * AM83/DX83 * AL83) * DX83/(100*DL83) * (1000 - DU83)/1000</f>
        <v>0</v>
      </c>
      <c r="AJ83">
        <v>1101.04123949571</v>
      </c>
      <c r="AK83">
        <v>1070.43163636364</v>
      </c>
      <c r="AL83">
        <v>3.29039384741702</v>
      </c>
      <c r="AM83">
        <v>64.8413469339502</v>
      </c>
      <c r="AN83">
        <f>(AP83 - AO83 + DY83*1E3/(8.314*(EA83+273.15)) * AR83/DX83 * AQ83) * DX83/(100*DL83) * 1000/(1000 - AP83)</f>
        <v>0</v>
      </c>
      <c r="AO83">
        <v>8.97708550688522</v>
      </c>
      <c r="AP83">
        <v>11.8169478787879</v>
      </c>
      <c r="AQ83">
        <v>4.18551070776419e-05</v>
      </c>
      <c r="AR83">
        <v>118.472689631034</v>
      </c>
      <c r="AS83">
        <v>0</v>
      </c>
      <c r="AT83">
        <v>0</v>
      </c>
      <c r="AU83">
        <f>IF(AS83*$H$13&gt;=AW83,1.0,(AW83/(AW83-AS83*$H$13)))</f>
        <v>0</v>
      </c>
      <c r="AV83">
        <f>(AU83-1)*100</f>
        <v>0</v>
      </c>
      <c r="AW83">
        <f>MAX(0,($B$13+$C$13*EF83)/(1+$D$13*EF83)*DY83/(EA83+273)*$E$13)</f>
        <v>0</v>
      </c>
      <c r="AX83" t="s">
        <v>437</v>
      </c>
      <c r="AY83" t="s">
        <v>437</v>
      </c>
      <c r="AZ83">
        <v>0</v>
      </c>
      <c r="BA83">
        <v>0</v>
      </c>
      <c r="BB83">
        <f>1-AZ83/BA83</f>
        <v>0</v>
      </c>
      <c r="BC83">
        <v>0</v>
      </c>
      <c r="BD83" t="s">
        <v>437</v>
      </c>
      <c r="BE83" t="s">
        <v>437</v>
      </c>
      <c r="BF83">
        <v>0</v>
      </c>
      <c r="BG83">
        <v>0</v>
      </c>
      <c r="BH83">
        <f>1-BF83/BG83</f>
        <v>0</v>
      </c>
      <c r="BI83">
        <v>0.5</v>
      </c>
      <c r="BJ83">
        <f>DI83</f>
        <v>0</v>
      </c>
      <c r="BK83">
        <f>L83</f>
        <v>0</v>
      </c>
      <c r="BL83">
        <f>BH83*BI83*BJ83</f>
        <v>0</v>
      </c>
      <c r="BM83">
        <f>(BK83-BC83)/BJ83</f>
        <v>0</v>
      </c>
      <c r="BN83">
        <f>(BA83-BG83)/BG83</f>
        <v>0</v>
      </c>
      <c r="BO83">
        <f>AZ83/(BB83+AZ83/BG83)</f>
        <v>0</v>
      </c>
      <c r="BP83" t="s">
        <v>437</v>
      </c>
      <c r="BQ83">
        <v>0</v>
      </c>
      <c r="BR83">
        <f>IF(BQ83&lt;&gt;0, BQ83, BO83)</f>
        <v>0</v>
      </c>
      <c r="BS83">
        <f>1-BR83/BG83</f>
        <v>0</v>
      </c>
      <c r="BT83">
        <f>(BG83-BF83)/(BG83-BR83)</f>
        <v>0</v>
      </c>
      <c r="BU83">
        <f>(BA83-BG83)/(BA83-BR83)</f>
        <v>0</v>
      </c>
      <c r="BV83">
        <f>(BG83-BF83)/(BG83-AZ83)</f>
        <v>0</v>
      </c>
      <c r="BW83">
        <f>(BA83-BG83)/(BA83-AZ83)</f>
        <v>0</v>
      </c>
      <c r="BX83">
        <f>(BT83*BR83/BF83)</f>
        <v>0</v>
      </c>
      <c r="BY83">
        <f>(1-BX83)</f>
        <v>0</v>
      </c>
      <c r="DH83">
        <f>$B$11*EG83+$C$11*EH83+$F$11*ES83*(1-EV83)</f>
        <v>0</v>
      </c>
      <c r="DI83">
        <f>DH83*DJ83</f>
        <v>0</v>
      </c>
      <c r="DJ83">
        <f>($B$11*$D$9+$C$11*$D$9+$F$11*((FF83+EX83)/MAX(FF83+EX83+FG83, 0.1)*$I$9+FG83/MAX(FF83+EX83+FG83, 0.1)*$J$9))/($B$11+$C$11+$F$11)</f>
        <v>0</v>
      </c>
      <c r="DK83">
        <f>($B$11*$K$9+$C$11*$K$9+$F$11*((FF83+EX83)/MAX(FF83+EX83+FG83, 0.1)*$P$9+FG83/MAX(FF83+EX83+FG83, 0.1)*$Q$9))/($B$11+$C$11+$F$11)</f>
        <v>0</v>
      </c>
      <c r="DL83">
        <v>6</v>
      </c>
      <c r="DM83">
        <v>0.5</v>
      </c>
      <c r="DN83" t="s">
        <v>438</v>
      </c>
      <c r="DO83">
        <v>2</v>
      </c>
      <c r="DP83" t="b">
        <v>1</v>
      </c>
      <c r="DQ83">
        <v>1760989603.94615</v>
      </c>
      <c r="DR83">
        <v>1034.01461538462</v>
      </c>
      <c r="DS83">
        <v>1075.53923076923</v>
      </c>
      <c r="DT83">
        <v>11.8110230769231</v>
      </c>
      <c r="DU83">
        <v>8.9733723076923</v>
      </c>
      <c r="DV83">
        <v>1028.96923076923</v>
      </c>
      <c r="DW83">
        <v>11.9222461538462</v>
      </c>
      <c r="DX83">
        <v>500.027076923077</v>
      </c>
      <c r="DY83">
        <v>89.8593846153846</v>
      </c>
      <c r="DZ83">
        <v>0.00776683307692308</v>
      </c>
      <c r="EA83">
        <v>18.4361153846154</v>
      </c>
      <c r="EB83">
        <v>17.9999307692308</v>
      </c>
      <c r="EC83">
        <v>999.9</v>
      </c>
      <c r="ED83">
        <v>0</v>
      </c>
      <c r="EE83">
        <v>0</v>
      </c>
      <c r="EF83">
        <v>9983.17538461538</v>
      </c>
      <c r="EG83">
        <v>0</v>
      </c>
      <c r="EH83">
        <v>1270.21461538462</v>
      </c>
      <c r="EI83">
        <v>-41.5256615384615</v>
      </c>
      <c r="EJ83">
        <v>1046.37230769231</v>
      </c>
      <c r="EK83">
        <v>1085.27846153846</v>
      </c>
      <c r="EL83">
        <v>2.83765538461538</v>
      </c>
      <c r="EM83">
        <v>1075.53923076923</v>
      </c>
      <c r="EN83">
        <v>8.9733723076923</v>
      </c>
      <c r="EO83">
        <v>1.06133230769231</v>
      </c>
      <c r="EP83">
        <v>0.806341769230769</v>
      </c>
      <c r="EQ83">
        <v>7.78668769230769</v>
      </c>
      <c r="ER83">
        <v>3.81943692307692</v>
      </c>
      <c r="ES83">
        <v>1199.97230769231</v>
      </c>
      <c r="ET83">
        <v>0.967007538461538</v>
      </c>
      <c r="EU83">
        <v>0.0329924538461538</v>
      </c>
      <c r="EV83">
        <v>0</v>
      </c>
      <c r="EW83">
        <v>1336.69153846154</v>
      </c>
      <c r="EX83">
        <v>5.00059</v>
      </c>
      <c r="EY83">
        <v>15760.5384615385</v>
      </c>
      <c r="EZ83">
        <v>10358.4923076923</v>
      </c>
      <c r="FA83">
        <v>38.3410769230769</v>
      </c>
      <c r="FB83">
        <v>41.1824615384615</v>
      </c>
      <c r="FC83">
        <v>38.9132307692308</v>
      </c>
      <c r="FD83">
        <v>41.1728461538462</v>
      </c>
      <c r="FE83">
        <v>39.4276923076923</v>
      </c>
      <c r="FF83">
        <v>1155.55</v>
      </c>
      <c r="FG83">
        <v>39.4223076923077</v>
      </c>
      <c r="FH83">
        <v>0</v>
      </c>
      <c r="FI83">
        <v>1760989581.1</v>
      </c>
      <c r="FJ83">
        <v>0</v>
      </c>
      <c r="FK83">
        <v>1336.63423076923</v>
      </c>
      <c r="FL83">
        <v>-2.52273505915894</v>
      </c>
      <c r="FM83">
        <v>7.73675225467816</v>
      </c>
      <c r="FN83">
        <v>15760.65</v>
      </c>
      <c r="FO83">
        <v>15</v>
      </c>
      <c r="FP83">
        <v>0</v>
      </c>
      <c r="FQ83" t="s">
        <v>439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-41.7931285714286</v>
      </c>
      <c r="GD83">
        <v>2.39323636363635</v>
      </c>
      <c r="GE83">
        <v>0.882854410767848</v>
      </c>
      <c r="GF83">
        <v>0</v>
      </c>
      <c r="GG83">
        <v>1336.785</v>
      </c>
      <c r="GH83">
        <v>-2.17249809708978</v>
      </c>
      <c r="GI83">
        <v>0.275171069785782</v>
      </c>
      <c r="GJ83">
        <v>-1</v>
      </c>
      <c r="GK83">
        <v>2.83520761904762</v>
      </c>
      <c r="GL83">
        <v>0.0361675324675381</v>
      </c>
      <c r="GM83">
        <v>0.00385711081703329</v>
      </c>
      <c r="GN83">
        <v>1</v>
      </c>
      <c r="GO83">
        <v>1</v>
      </c>
      <c r="GP83">
        <v>2</v>
      </c>
      <c r="GQ83" t="s">
        <v>446</v>
      </c>
      <c r="GR83">
        <v>3.1306</v>
      </c>
      <c r="GS83">
        <v>2.6858</v>
      </c>
      <c r="GT83">
        <v>0.171403</v>
      </c>
      <c r="GU83">
        <v>0.176182</v>
      </c>
      <c r="GV83">
        <v>0.0617196</v>
      </c>
      <c r="GW83">
        <v>0.0497201</v>
      </c>
      <c r="GX83">
        <v>31406.1</v>
      </c>
      <c r="GY83">
        <v>33552.7</v>
      </c>
      <c r="GZ83">
        <v>34267.1</v>
      </c>
      <c r="HA83">
        <v>36849.7</v>
      </c>
      <c r="HB83">
        <v>45360.4</v>
      </c>
      <c r="HC83">
        <v>50223</v>
      </c>
      <c r="HD83">
        <v>53341.4</v>
      </c>
      <c r="HE83">
        <v>58776.8</v>
      </c>
      <c r="HF83">
        <v>2.00905</v>
      </c>
      <c r="HG83">
        <v>1.8383</v>
      </c>
      <c r="HH83">
        <v>0.0332072</v>
      </c>
      <c r="HI83">
        <v>0</v>
      </c>
      <c r="HJ83">
        <v>17.4529</v>
      </c>
      <c r="HK83">
        <v>999.9</v>
      </c>
      <c r="HL83">
        <v>25.882</v>
      </c>
      <c r="HM83">
        <v>30.283</v>
      </c>
      <c r="HN83">
        <v>12.4713</v>
      </c>
      <c r="HO83">
        <v>54.0391</v>
      </c>
      <c r="HP83">
        <v>44.3269</v>
      </c>
      <c r="HQ83">
        <v>1</v>
      </c>
      <c r="HR83">
        <v>-0.269527</v>
      </c>
      <c r="HS83">
        <v>3.99287</v>
      </c>
      <c r="HT83">
        <v>20.0928</v>
      </c>
      <c r="HU83">
        <v>5.20172</v>
      </c>
      <c r="HV83">
        <v>12.004</v>
      </c>
      <c r="HW83">
        <v>4.97565</v>
      </c>
      <c r="HX83">
        <v>3.29298</v>
      </c>
      <c r="HY83">
        <v>9999</v>
      </c>
      <c r="HZ83">
        <v>999.9</v>
      </c>
      <c r="IA83">
        <v>9999</v>
      </c>
      <c r="IB83">
        <v>9999</v>
      </c>
      <c r="IC83">
        <v>1.86325</v>
      </c>
      <c r="ID83">
        <v>1.86808</v>
      </c>
      <c r="IE83">
        <v>1.86783</v>
      </c>
      <c r="IF83">
        <v>1.86904</v>
      </c>
      <c r="IG83">
        <v>1.86981</v>
      </c>
      <c r="IH83">
        <v>1.86586</v>
      </c>
      <c r="II83">
        <v>1.86693</v>
      </c>
      <c r="IJ83">
        <v>1.8684</v>
      </c>
      <c r="IK83">
        <v>5</v>
      </c>
      <c r="IL83">
        <v>0</v>
      </c>
      <c r="IM83">
        <v>0</v>
      </c>
      <c r="IN83">
        <v>0</v>
      </c>
      <c r="IO83" t="s">
        <v>441</v>
      </c>
      <c r="IP83" t="s">
        <v>442</v>
      </c>
      <c r="IQ83" t="s">
        <v>443</v>
      </c>
      <c r="IR83" t="s">
        <v>443</v>
      </c>
      <c r="IS83" t="s">
        <v>443</v>
      </c>
      <c r="IT83" t="s">
        <v>443</v>
      </c>
      <c r="IU83">
        <v>0</v>
      </c>
      <c r="IV83">
        <v>100</v>
      </c>
      <c r="IW83">
        <v>100</v>
      </c>
      <c r="IX83">
        <v>5.14</v>
      </c>
      <c r="IY83">
        <v>-0.1112</v>
      </c>
      <c r="IZ83">
        <v>1.12474291219083</v>
      </c>
      <c r="JA83">
        <v>0.00463155566490582</v>
      </c>
      <c r="JB83">
        <v>-1.1358998729424e-06</v>
      </c>
      <c r="JC83">
        <v>3.28704272115545e-10</v>
      </c>
      <c r="JD83">
        <v>-0.0704455108513773</v>
      </c>
      <c r="JE83">
        <v>-0.0251928478371425</v>
      </c>
      <c r="JF83">
        <v>0.00225751704194564</v>
      </c>
      <c r="JG83">
        <v>-3.61734043746866e-05</v>
      </c>
      <c r="JH83">
        <v>1</v>
      </c>
      <c r="JI83">
        <v>2182</v>
      </c>
      <c r="JJ83">
        <v>0</v>
      </c>
      <c r="JK83">
        <v>24</v>
      </c>
      <c r="JL83">
        <v>29349826.9</v>
      </c>
      <c r="JM83">
        <v>29349826.9</v>
      </c>
      <c r="JN83">
        <v>2.20459</v>
      </c>
      <c r="JO83">
        <v>2.60742</v>
      </c>
      <c r="JP83">
        <v>1.54785</v>
      </c>
      <c r="JQ83">
        <v>2.31445</v>
      </c>
      <c r="JR83">
        <v>1.64551</v>
      </c>
      <c r="JS83">
        <v>2.39258</v>
      </c>
      <c r="JT83">
        <v>33.6029</v>
      </c>
      <c r="JU83">
        <v>24.1926</v>
      </c>
      <c r="JV83">
        <v>18</v>
      </c>
      <c r="JW83">
        <v>500.844</v>
      </c>
      <c r="JX83">
        <v>394.769</v>
      </c>
      <c r="JY83">
        <v>12.4563</v>
      </c>
      <c r="JZ83">
        <v>23.9028</v>
      </c>
      <c r="KA83">
        <v>30.0006</v>
      </c>
      <c r="KB83">
        <v>23.921</v>
      </c>
      <c r="KC83">
        <v>23.8932</v>
      </c>
      <c r="KD83">
        <v>44.1709</v>
      </c>
      <c r="KE83">
        <v>8.77818</v>
      </c>
      <c r="KF83">
        <v>23.3636</v>
      </c>
      <c r="KG83">
        <v>12.4471</v>
      </c>
      <c r="KH83">
        <v>1122.75</v>
      </c>
      <c r="KI83">
        <v>9.0085</v>
      </c>
      <c r="KJ83">
        <v>97.0451</v>
      </c>
      <c r="KK83">
        <v>95.3044</v>
      </c>
    </row>
    <row r="84" spans="1:297">
      <c r="A84">
        <v>68</v>
      </c>
      <c r="B84">
        <v>1760989617.1</v>
      </c>
      <c r="C84">
        <v>427</v>
      </c>
      <c r="D84" t="s">
        <v>578</v>
      </c>
      <c r="E84" t="s">
        <v>579</v>
      </c>
      <c r="F84">
        <v>5</v>
      </c>
      <c r="G84" t="s">
        <v>435</v>
      </c>
      <c r="H84" t="s">
        <v>436</v>
      </c>
      <c r="I84">
        <v>1760989608.94615</v>
      </c>
      <c r="J84">
        <f>(K84)/1000</f>
        <v>0</v>
      </c>
      <c r="K84">
        <f>IF(DP84, AN84, AH84)</f>
        <v>0</v>
      </c>
      <c r="L84">
        <f>IF(DP84, AI84, AG84)</f>
        <v>0</v>
      </c>
      <c r="M84">
        <f>DR84 - IF(AU84&gt;1, L84*DL84*100.0/(AW84), 0)</f>
        <v>0</v>
      </c>
      <c r="N84">
        <f>((T84-J84/2)*M84-L84)/(T84+J84/2)</f>
        <v>0</v>
      </c>
      <c r="O84">
        <f>N84*(DY84+DZ84)/1000.0</f>
        <v>0</v>
      </c>
      <c r="P84">
        <f>(DR84 - IF(AU84&gt;1, L84*DL84*100.0/(AW84), 0))*(DY84+DZ84)/1000.0</f>
        <v>0</v>
      </c>
      <c r="Q84">
        <f>2.0/((1/S84-1/R84)+SIGN(S84)*SQRT((1/S84-1/R84)*(1/S84-1/R84) + 4*DM84/((DM84+1)*(DM84+1))*(2*1/S84*1/R84-1/R84*1/R84)))</f>
        <v>0</v>
      </c>
      <c r="R84">
        <f>IF(LEFT(DN84,1)&lt;&gt;"0",IF(LEFT(DN84,1)="1",3.0,DO84),$D$5+$E$5*(EF84*DY84/($K$5*1000))+$F$5*(EF84*DY84/($K$5*1000))*MAX(MIN(DL84,$J$5),$I$5)*MAX(MIN(DL84,$J$5),$I$5)+$G$5*MAX(MIN(DL84,$J$5),$I$5)*(EF84*DY84/($K$5*1000))+$H$5*(EF84*DY84/($K$5*1000))*(EF84*DY84/($K$5*1000)))</f>
        <v>0</v>
      </c>
      <c r="S84">
        <f>J84*(1000-(1000*0.61365*exp(17.502*W84/(240.97+W84))/(DY84+DZ84)+DT84)/2)/(1000*0.61365*exp(17.502*W84/(240.97+W84))/(DY84+DZ84)-DT84)</f>
        <v>0</v>
      </c>
      <c r="T84">
        <f>1/((DM84+1)/(Q84/1.6)+1/(R84/1.37)) + DM84/((DM84+1)/(Q84/1.6) + DM84/(R84/1.37))</f>
        <v>0</v>
      </c>
      <c r="U84">
        <f>(DH84*DK84)</f>
        <v>0</v>
      </c>
      <c r="V84">
        <f>(EA84+(U84+2*0.95*5.67E-8*(((EA84+$B$7)+273)^4-(EA84+273)^4)-44100*J84)/(1.84*29.3*R84+8*0.95*5.67E-8*(EA84+273)^3))</f>
        <v>0</v>
      </c>
      <c r="W84">
        <f>($C$7*EB84+$D$7*EC84+$E$7*V84)</f>
        <v>0</v>
      </c>
      <c r="X84">
        <f>0.61365*exp(17.502*W84/(240.97+W84))</f>
        <v>0</v>
      </c>
      <c r="Y84">
        <f>(Z84/AA84*100)</f>
        <v>0</v>
      </c>
      <c r="Z84">
        <f>DT84*(DY84+DZ84)/1000</f>
        <v>0</v>
      </c>
      <c r="AA84">
        <f>0.61365*exp(17.502*EA84/(240.97+EA84))</f>
        <v>0</v>
      </c>
      <c r="AB84">
        <f>(X84-DT84*(DY84+DZ84)/1000)</f>
        <v>0</v>
      </c>
      <c r="AC84">
        <f>(-J84*44100)</f>
        <v>0</v>
      </c>
      <c r="AD84">
        <f>2*29.3*R84*0.92*(EA84-W84)</f>
        <v>0</v>
      </c>
      <c r="AE84">
        <f>2*0.95*5.67E-8*(((EA84+$B$7)+273)^4-(W84+273)^4)</f>
        <v>0</v>
      </c>
      <c r="AF84">
        <f>U84+AE84+AC84+AD84</f>
        <v>0</v>
      </c>
      <c r="AG84">
        <f>DX84*AU84*(DS84-DR84*(1000-AU84*DU84)/(1000-AU84*DT84))/(100*DL84)</f>
        <v>0</v>
      </c>
      <c r="AH84">
        <f>1000*DX84*AU84*(DT84-DU84)/(100*DL84*(1000-AU84*DT84))</f>
        <v>0</v>
      </c>
      <c r="AI84">
        <f>(AJ84 - AK84 - DY84*1E3/(8.314*(EA84+273.15)) * AM84/DX84 * AL84) * DX84/(100*DL84) * (1000 - DU84)/1000</f>
        <v>0</v>
      </c>
      <c r="AJ84">
        <v>1118.71265546352</v>
      </c>
      <c r="AK84">
        <v>1087.61012121212</v>
      </c>
      <c r="AL84">
        <v>3.46060838082051</v>
      </c>
      <c r="AM84">
        <v>64.8413469339502</v>
      </c>
      <c r="AN84">
        <f>(AP84 - AO84 + DY84*1E3/(8.314*(EA84+273.15)) * AR84/DX84 * AQ84) * DX84/(100*DL84) * 1000/(1000 - AP84)</f>
        <v>0</v>
      </c>
      <c r="AO84">
        <v>8.97850562516427</v>
      </c>
      <c r="AP84">
        <v>11.8172272727273</v>
      </c>
      <c r="AQ84">
        <v>3.09040317424383e-07</v>
      </c>
      <c r="AR84">
        <v>118.472689631034</v>
      </c>
      <c r="AS84">
        <v>0</v>
      </c>
      <c r="AT84">
        <v>0</v>
      </c>
      <c r="AU84">
        <f>IF(AS84*$H$13&gt;=AW84,1.0,(AW84/(AW84-AS84*$H$13)))</f>
        <v>0</v>
      </c>
      <c r="AV84">
        <f>(AU84-1)*100</f>
        <v>0</v>
      </c>
      <c r="AW84">
        <f>MAX(0,($B$13+$C$13*EF84)/(1+$D$13*EF84)*DY84/(EA84+273)*$E$13)</f>
        <v>0</v>
      </c>
      <c r="AX84" t="s">
        <v>437</v>
      </c>
      <c r="AY84" t="s">
        <v>437</v>
      </c>
      <c r="AZ84">
        <v>0</v>
      </c>
      <c r="BA84">
        <v>0</v>
      </c>
      <c r="BB84">
        <f>1-AZ84/BA84</f>
        <v>0</v>
      </c>
      <c r="BC84">
        <v>0</v>
      </c>
      <c r="BD84" t="s">
        <v>437</v>
      </c>
      <c r="BE84" t="s">
        <v>437</v>
      </c>
      <c r="BF84">
        <v>0</v>
      </c>
      <c r="BG84">
        <v>0</v>
      </c>
      <c r="BH84">
        <f>1-BF84/BG84</f>
        <v>0</v>
      </c>
      <c r="BI84">
        <v>0.5</v>
      </c>
      <c r="BJ84">
        <f>DI84</f>
        <v>0</v>
      </c>
      <c r="BK84">
        <f>L84</f>
        <v>0</v>
      </c>
      <c r="BL84">
        <f>BH84*BI84*BJ84</f>
        <v>0</v>
      </c>
      <c r="BM84">
        <f>(BK84-BC84)/BJ84</f>
        <v>0</v>
      </c>
      <c r="BN84">
        <f>(BA84-BG84)/BG84</f>
        <v>0</v>
      </c>
      <c r="BO84">
        <f>AZ84/(BB84+AZ84/BG84)</f>
        <v>0</v>
      </c>
      <c r="BP84" t="s">
        <v>437</v>
      </c>
      <c r="BQ84">
        <v>0</v>
      </c>
      <c r="BR84">
        <f>IF(BQ84&lt;&gt;0, BQ84, BO84)</f>
        <v>0</v>
      </c>
      <c r="BS84">
        <f>1-BR84/BG84</f>
        <v>0</v>
      </c>
      <c r="BT84">
        <f>(BG84-BF84)/(BG84-BR84)</f>
        <v>0</v>
      </c>
      <c r="BU84">
        <f>(BA84-BG84)/(BA84-BR84)</f>
        <v>0</v>
      </c>
      <c r="BV84">
        <f>(BG84-BF84)/(BG84-AZ84)</f>
        <v>0</v>
      </c>
      <c r="BW84">
        <f>(BA84-BG84)/(BA84-AZ84)</f>
        <v>0</v>
      </c>
      <c r="BX84">
        <f>(BT84*BR84/BF84)</f>
        <v>0</v>
      </c>
      <c r="BY84">
        <f>(1-BX84)</f>
        <v>0</v>
      </c>
      <c r="DH84">
        <f>$B$11*EG84+$C$11*EH84+$F$11*ES84*(1-EV84)</f>
        <v>0</v>
      </c>
      <c r="DI84">
        <f>DH84*DJ84</f>
        <v>0</v>
      </c>
      <c r="DJ84">
        <f>($B$11*$D$9+$C$11*$D$9+$F$11*((FF84+EX84)/MAX(FF84+EX84+FG84, 0.1)*$I$9+FG84/MAX(FF84+EX84+FG84, 0.1)*$J$9))/($B$11+$C$11+$F$11)</f>
        <v>0</v>
      </c>
      <c r="DK84">
        <f>($B$11*$K$9+$C$11*$K$9+$F$11*((FF84+EX84)/MAX(FF84+EX84+FG84, 0.1)*$P$9+FG84/MAX(FF84+EX84+FG84, 0.1)*$Q$9))/($B$11+$C$11+$F$11)</f>
        <v>0</v>
      </c>
      <c r="DL84">
        <v>6</v>
      </c>
      <c r="DM84">
        <v>0.5</v>
      </c>
      <c r="DN84" t="s">
        <v>438</v>
      </c>
      <c r="DO84">
        <v>2</v>
      </c>
      <c r="DP84" t="b">
        <v>1</v>
      </c>
      <c r="DQ84">
        <v>1760989608.94615</v>
      </c>
      <c r="DR84">
        <v>1050.68692307692</v>
      </c>
      <c r="DS84">
        <v>1092.69076923077</v>
      </c>
      <c r="DT84">
        <v>11.8144076923077</v>
      </c>
      <c r="DU84">
        <v>8.97579615384615</v>
      </c>
      <c r="DV84">
        <v>1045.58538461538</v>
      </c>
      <c r="DW84">
        <v>11.9255846153846</v>
      </c>
      <c r="DX84">
        <v>500.018153846154</v>
      </c>
      <c r="DY84">
        <v>89.8600538461538</v>
      </c>
      <c r="DZ84">
        <v>0.00782012230769231</v>
      </c>
      <c r="EA84">
        <v>18.4431461538462</v>
      </c>
      <c r="EB84">
        <v>18.0007153846154</v>
      </c>
      <c r="EC84">
        <v>999.9</v>
      </c>
      <c r="ED84">
        <v>0</v>
      </c>
      <c r="EE84">
        <v>0</v>
      </c>
      <c r="EF84">
        <v>9977.46</v>
      </c>
      <c r="EG84">
        <v>0</v>
      </c>
      <c r="EH84">
        <v>1270.22846153846</v>
      </c>
      <c r="EI84">
        <v>-42.0034307692308</v>
      </c>
      <c r="EJ84">
        <v>1063.24846153846</v>
      </c>
      <c r="EK84">
        <v>1102.58846153846</v>
      </c>
      <c r="EL84">
        <v>2.83861615384615</v>
      </c>
      <c r="EM84">
        <v>1092.69076923077</v>
      </c>
      <c r="EN84">
        <v>8.97579615384615</v>
      </c>
      <c r="EO84">
        <v>1.06164461538462</v>
      </c>
      <c r="EP84">
        <v>0.806565461538462</v>
      </c>
      <c r="EQ84">
        <v>7.79099846153846</v>
      </c>
      <c r="ER84">
        <v>3.82337769230769</v>
      </c>
      <c r="ES84">
        <v>1199.99923076923</v>
      </c>
      <c r="ET84">
        <v>0.967005230769231</v>
      </c>
      <c r="EU84">
        <v>0.0329948307692308</v>
      </c>
      <c r="EV84">
        <v>0</v>
      </c>
      <c r="EW84">
        <v>1336.53</v>
      </c>
      <c r="EX84">
        <v>5.00059</v>
      </c>
      <c r="EY84">
        <v>15761.6076923077</v>
      </c>
      <c r="EZ84">
        <v>10358.7307692308</v>
      </c>
      <c r="FA84">
        <v>38.4036153846154</v>
      </c>
      <c r="FB84">
        <v>41.2448461538462</v>
      </c>
      <c r="FC84">
        <v>38.9709230769231</v>
      </c>
      <c r="FD84">
        <v>41.2642307692308</v>
      </c>
      <c r="FE84">
        <v>39.4900769230769</v>
      </c>
      <c r="FF84">
        <v>1155.57230769231</v>
      </c>
      <c r="FG84">
        <v>39.4269230769231</v>
      </c>
      <c r="FH84">
        <v>0</v>
      </c>
      <c r="FI84">
        <v>1760989586.5</v>
      </c>
      <c r="FJ84">
        <v>0</v>
      </c>
      <c r="FK84">
        <v>1336.414</v>
      </c>
      <c r="FL84">
        <v>-1.9284615473028</v>
      </c>
      <c r="FM84">
        <v>4.14615392387155</v>
      </c>
      <c r="FN84">
        <v>15761.836</v>
      </c>
      <c r="FO84">
        <v>15</v>
      </c>
      <c r="FP84">
        <v>0</v>
      </c>
      <c r="FQ84" t="s">
        <v>439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-41.7537333333333</v>
      </c>
      <c r="GD84">
        <v>-3.10316883116886</v>
      </c>
      <c r="GE84">
        <v>0.773223321608554</v>
      </c>
      <c r="GF84">
        <v>0</v>
      </c>
      <c r="GG84">
        <v>1336.58147058824</v>
      </c>
      <c r="GH84">
        <v>-1.99434683478435</v>
      </c>
      <c r="GI84">
        <v>0.275831708633881</v>
      </c>
      <c r="GJ84">
        <v>-1</v>
      </c>
      <c r="GK84">
        <v>2.83788809523809</v>
      </c>
      <c r="GL84">
        <v>0.0131181818181806</v>
      </c>
      <c r="GM84">
        <v>0.00152614241065387</v>
      </c>
      <c r="GN84">
        <v>1</v>
      </c>
      <c r="GO84">
        <v>1</v>
      </c>
      <c r="GP84">
        <v>2</v>
      </c>
      <c r="GQ84" t="s">
        <v>446</v>
      </c>
      <c r="GR84">
        <v>3.13067</v>
      </c>
      <c r="GS84">
        <v>2.68585</v>
      </c>
      <c r="GT84">
        <v>0.173174</v>
      </c>
      <c r="GU84">
        <v>0.17786</v>
      </c>
      <c r="GV84">
        <v>0.0617246</v>
      </c>
      <c r="GW84">
        <v>0.0497293</v>
      </c>
      <c r="GX84">
        <v>31339</v>
      </c>
      <c r="GY84">
        <v>33484.6</v>
      </c>
      <c r="GZ84">
        <v>34267</v>
      </c>
      <c r="HA84">
        <v>36849.8</v>
      </c>
      <c r="HB84">
        <v>45360.1</v>
      </c>
      <c r="HC84">
        <v>50222.9</v>
      </c>
      <c r="HD84">
        <v>53341.1</v>
      </c>
      <c r="HE84">
        <v>58777</v>
      </c>
      <c r="HF84">
        <v>2.00915</v>
      </c>
      <c r="HG84">
        <v>1.838</v>
      </c>
      <c r="HH84">
        <v>0.0327975</v>
      </c>
      <c r="HI84">
        <v>0</v>
      </c>
      <c r="HJ84">
        <v>17.4537</v>
      </c>
      <c r="HK84">
        <v>999.9</v>
      </c>
      <c r="HL84">
        <v>25.906</v>
      </c>
      <c r="HM84">
        <v>30.283</v>
      </c>
      <c r="HN84">
        <v>12.4827</v>
      </c>
      <c r="HO84">
        <v>54.0191</v>
      </c>
      <c r="HP84">
        <v>44.2508</v>
      </c>
      <c r="HQ84">
        <v>1</v>
      </c>
      <c r="HR84">
        <v>-0.269878</v>
      </c>
      <c r="HS84">
        <v>3.89213</v>
      </c>
      <c r="HT84">
        <v>20.0949</v>
      </c>
      <c r="HU84">
        <v>5.20142</v>
      </c>
      <c r="HV84">
        <v>12.004</v>
      </c>
      <c r="HW84">
        <v>4.9756</v>
      </c>
      <c r="HX84">
        <v>3.29298</v>
      </c>
      <c r="HY84">
        <v>9999</v>
      </c>
      <c r="HZ84">
        <v>999.9</v>
      </c>
      <c r="IA84">
        <v>9999</v>
      </c>
      <c r="IB84">
        <v>9999</v>
      </c>
      <c r="IC84">
        <v>1.86325</v>
      </c>
      <c r="ID84">
        <v>1.86807</v>
      </c>
      <c r="IE84">
        <v>1.86783</v>
      </c>
      <c r="IF84">
        <v>1.86905</v>
      </c>
      <c r="IG84">
        <v>1.86981</v>
      </c>
      <c r="IH84">
        <v>1.86586</v>
      </c>
      <c r="II84">
        <v>1.86695</v>
      </c>
      <c r="IJ84">
        <v>1.86843</v>
      </c>
      <c r="IK84">
        <v>5</v>
      </c>
      <c r="IL84">
        <v>0</v>
      </c>
      <c r="IM84">
        <v>0</v>
      </c>
      <c r="IN84">
        <v>0</v>
      </c>
      <c r="IO84" t="s">
        <v>441</v>
      </c>
      <c r="IP84" t="s">
        <v>442</v>
      </c>
      <c r="IQ84" t="s">
        <v>443</v>
      </c>
      <c r="IR84" t="s">
        <v>443</v>
      </c>
      <c r="IS84" t="s">
        <v>443</v>
      </c>
      <c r="IT84" t="s">
        <v>443</v>
      </c>
      <c r="IU84">
        <v>0</v>
      </c>
      <c r="IV84">
        <v>100</v>
      </c>
      <c r="IW84">
        <v>100</v>
      </c>
      <c r="IX84">
        <v>5.19</v>
      </c>
      <c r="IY84">
        <v>-0.1112</v>
      </c>
      <c r="IZ84">
        <v>1.12474291219083</v>
      </c>
      <c r="JA84">
        <v>0.00463155566490582</v>
      </c>
      <c r="JB84">
        <v>-1.1358998729424e-06</v>
      </c>
      <c r="JC84">
        <v>3.28704272115545e-10</v>
      </c>
      <c r="JD84">
        <v>-0.0704455108513773</v>
      </c>
      <c r="JE84">
        <v>-0.0251928478371425</v>
      </c>
      <c r="JF84">
        <v>0.00225751704194564</v>
      </c>
      <c r="JG84">
        <v>-3.61734043746866e-05</v>
      </c>
      <c r="JH84">
        <v>1</v>
      </c>
      <c r="JI84">
        <v>2182</v>
      </c>
      <c r="JJ84">
        <v>0</v>
      </c>
      <c r="JK84">
        <v>24</v>
      </c>
      <c r="JL84">
        <v>29349827</v>
      </c>
      <c r="JM84">
        <v>29349827</v>
      </c>
      <c r="JN84">
        <v>2.23022</v>
      </c>
      <c r="JO84">
        <v>2.6062</v>
      </c>
      <c r="JP84">
        <v>1.54785</v>
      </c>
      <c r="JQ84">
        <v>2.31445</v>
      </c>
      <c r="JR84">
        <v>1.64673</v>
      </c>
      <c r="JS84">
        <v>2.40356</v>
      </c>
      <c r="JT84">
        <v>33.6029</v>
      </c>
      <c r="JU84">
        <v>24.1926</v>
      </c>
      <c r="JV84">
        <v>18</v>
      </c>
      <c r="JW84">
        <v>500.907</v>
      </c>
      <c r="JX84">
        <v>394.61</v>
      </c>
      <c r="JY84">
        <v>12.4419</v>
      </c>
      <c r="JZ84">
        <v>23.9028</v>
      </c>
      <c r="KA84">
        <v>30.0001</v>
      </c>
      <c r="KB84">
        <v>23.921</v>
      </c>
      <c r="KC84">
        <v>23.8932</v>
      </c>
      <c r="KD84">
        <v>44.6486</v>
      </c>
      <c r="KE84">
        <v>8.77818</v>
      </c>
      <c r="KF84">
        <v>23.3636</v>
      </c>
      <c r="KG84">
        <v>12.4445</v>
      </c>
      <c r="KH84">
        <v>1143.1</v>
      </c>
      <c r="KI84">
        <v>9.0085</v>
      </c>
      <c r="KJ84">
        <v>97.0447</v>
      </c>
      <c r="KK84">
        <v>95.3047</v>
      </c>
    </row>
    <row r="85" spans="1:297">
      <c r="A85">
        <v>69</v>
      </c>
      <c r="B85">
        <v>1760989622.1</v>
      </c>
      <c r="C85">
        <v>432</v>
      </c>
      <c r="D85" t="s">
        <v>580</v>
      </c>
      <c r="E85" t="s">
        <v>581</v>
      </c>
      <c r="F85">
        <v>5</v>
      </c>
      <c r="G85" t="s">
        <v>435</v>
      </c>
      <c r="H85" t="s">
        <v>436</v>
      </c>
      <c r="I85">
        <v>1760989613.94615</v>
      </c>
      <c r="J85">
        <f>(K85)/1000</f>
        <v>0</v>
      </c>
      <c r="K85">
        <f>IF(DP85, AN85, AH85)</f>
        <v>0</v>
      </c>
      <c r="L85">
        <f>IF(DP85, AI85, AG85)</f>
        <v>0</v>
      </c>
      <c r="M85">
        <f>DR85 - IF(AU85&gt;1, L85*DL85*100.0/(AW85), 0)</f>
        <v>0</v>
      </c>
      <c r="N85">
        <f>((T85-J85/2)*M85-L85)/(T85+J85/2)</f>
        <v>0</v>
      </c>
      <c r="O85">
        <f>N85*(DY85+DZ85)/1000.0</f>
        <v>0</v>
      </c>
      <c r="P85">
        <f>(DR85 - IF(AU85&gt;1, L85*DL85*100.0/(AW85), 0))*(DY85+DZ85)/1000.0</f>
        <v>0</v>
      </c>
      <c r="Q85">
        <f>2.0/((1/S85-1/R85)+SIGN(S85)*SQRT((1/S85-1/R85)*(1/S85-1/R85) + 4*DM85/((DM85+1)*(DM85+1))*(2*1/S85*1/R85-1/R85*1/R85)))</f>
        <v>0</v>
      </c>
      <c r="R85">
        <f>IF(LEFT(DN85,1)&lt;&gt;"0",IF(LEFT(DN85,1)="1",3.0,DO85),$D$5+$E$5*(EF85*DY85/($K$5*1000))+$F$5*(EF85*DY85/($K$5*1000))*MAX(MIN(DL85,$J$5),$I$5)*MAX(MIN(DL85,$J$5),$I$5)+$G$5*MAX(MIN(DL85,$J$5),$I$5)*(EF85*DY85/($K$5*1000))+$H$5*(EF85*DY85/($K$5*1000))*(EF85*DY85/($K$5*1000)))</f>
        <v>0</v>
      </c>
      <c r="S85">
        <f>J85*(1000-(1000*0.61365*exp(17.502*W85/(240.97+W85))/(DY85+DZ85)+DT85)/2)/(1000*0.61365*exp(17.502*W85/(240.97+W85))/(DY85+DZ85)-DT85)</f>
        <v>0</v>
      </c>
      <c r="T85">
        <f>1/((DM85+1)/(Q85/1.6)+1/(R85/1.37)) + DM85/((DM85+1)/(Q85/1.6) + DM85/(R85/1.37))</f>
        <v>0</v>
      </c>
      <c r="U85">
        <f>(DH85*DK85)</f>
        <v>0</v>
      </c>
      <c r="V85">
        <f>(EA85+(U85+2*0.95*5.67E-8*(((EA85+$B$7)+273)^4-(EA85+273)^4)-44100*J85)/(1.84*29.3*R85+8*0.95*5.67E-8*(EA85+273)^3))</f>
        <v>0</v>
      </c>
      <c r="W85">
        <f>($C$7*EB85+$D$7*EC85+$E$7*V85)</f>
        <v>0</v>
      </c>
      <c r="X85">
        <f>0.61365*exp(17.502*W85/(240.97+W85))</f>
        <v>0</v>
      </c>
      <c r="Y85">
        <f>(Z85/AA85*100)</f>
        <v>0</v>
      </c>
      <c r="Z85">
        <f>DT85*(DY85+DZ85)/1000</f>
        <v>0</v>
      </c>
      <c r="AA85">
        <f>0.61365*exp(17.502*EA85/(240.97+EA85))</f>
        <v>0</v>
      </c>
      <c r="AB85">
        <f>(X85-DT85*(DY85+DZ85)/1000)</f>
        <v>0</v>
      </c>
      <c r="AC85">
        <f>(-J85*44100)</f>
        <v>0</v>
      </c>
      <c r="AD85">
        <f>2*29.3*R85*0.92*(EA85-W85)</f>
        <v>0</v>
      </c>
      <c r="AE85">
        <f>2*0.95*5.67E-8*(((EA85+$B$7)+273)^4-(W85+273)^4)</f>
        <v>0</v>
      </c>
      <c r="AF85">
        <f>U85+AE85+AC85+AD85</f>
        <v>0</v>
      </c>
      <c r="AG85">
        <f>DX85*AU85*(DS85-DR85*(1000-AU85*DU85)/(1000-AU85*DT85))/(100*DL85)</f>
        <v>0</v>
      </c>
      <c r="AH85">
        <f>1000*DX85*AU85*(DT85-DU85)/(100*DL85*(1000-AU85*DT85))</f>
        <v>0</v>
      </c>
      <c r="AI85">
        <f>(AJ85 - AK85 - DY85*1E3/(8.314*(EA85+273.15)) * AM85/DX85 * AL85) * DX85/(100*DL85) * (1000 - DU85)/1000</f>
        <v>0</v>
      </c>
      <c r="AJ85">
        <v>1134.95314980551</v>
      </c>
      <c r="AK85">
        <v>1104.29733333333</v>
      </c>
      <c r="AL85">
        <v>3.31109728912487</v>
      </c>
      <c r="AM85">
        <v>64.8413469339502</v>
      </c>
      <c r="AN85">
        <f>(AP85 - AO85 + DY85*1E3/(8.314*(EA85+273.15)) * AR85/DX85 * AQ85) * DX85/(100*DL85) * 1000/(1000 - AP85)</f>
        <v>0</v>
      </c>
      <c r="AO85">
        <v>8.98047832915174</v>
      </c>
      <c r="AP85">
        <v>11.8207375757576</v>
      </c>
      <c r="AQ85">
        <v>4.50178605431553e-05</v>
      </c>
      <c r="AR85">
        <v>118.472689631034</v>
      </c>
      <c r="AS85">
        <v>0</v>
      </c>
      <c r="AT85">
        <v>0</v>
      </c>
      <c r="AU85">
        <f>IF(AS85*$H$13&gt;=AW85,1.0,(AW85/(AW85-AS85*$H$13)))</f>
        <v>0</v>
      </c>
      <c r="AV85">
        <f>(AU85-1)*100</f>
        <v>0</v>
      </c>
      <c r="AW85">
        <f>MAX(0,($B$13+$C$13*EF85)/(1+$D$13*EF85)*DY85/(EA85+273)*$E$13)</f>
        <v>0</v>
      </c>
      <c r="AX85" t="s">
        <v>437</v>
      </c>
      <c r="AY85" t="s">
        <v>437</v>
      </c>
      <c r="AZ85">
        <v>0</v>
      </c>
      <c r="BA85">
        <v>0</v>
      </c>
      <c r="BB85">
        <f>1-AZ85/BA85</f>
        <v>0</v>
      </c>
      <c r="BC85">
        <v>0</v>
      </c>
      <c r="BD85" t="s">
        <v>437</v>
      </c>
      <c r="BE85" t="s">
        <v>437</v>
      </c>
      <c r="BF85">
        <v>0</v>
      </c>
      <c r="BG85">
        <v>0</v>
      </c>
      <c r="BH85">
        <f>1-BF85/BG85</f>
        <v>0</v>
      </c>
      <c r="BI85">
        <v>0.5</v>
      </c>
      <c r="BJ85">
        <f>DI85</f>
        <v>0</v>
      </c>
      <c r="BK85">
        <f>L85</f>
        <v>0</v>
      </c>
      <c r="BL85">
        <f>BH85*BI85*BJ85</f>
        <v>0</v>
      </c>
      <c r="BM85">
        <f>(BK85-BC85)/BJ85</f>
        <v>0</v>
      </c>
      <c r="BN85">
        <f>(BA85-BG85)/BG85</f>
        <v>0</v>
      </c>
      <c r="BO85">
        <f>AZ85/(BB85+AZ85/BG85)</f>
        <v>0</v>
      </c>
      <c r="BP85" t="s">
        <v>437</v>
      </c>
      <c r="BQ85">
        <v>0</v>
      </c>
      <c r="BR85">
        <f>IF(BQ85&lt;&gt;0, BQ85, BO85)</f>
        <v>0</v>
      </c>
      <c r="BS85">
        <f>1-BR85/BG85</f>
        <v>0</v>
      </c>
      <c r="BT85">
        <f>(BG85-BF85)/(BG85-BR85)</f>
        <v>0</v>
      </c>
      <c r="BU85">
        <f>(BA85-BG85)/(BA85-BR85)</f>
        <v>0</v>
      </c>
      <c r="BV85">
        <f>(BG85-BF85)/(BG85-AZ85)</f>
        <v>0</v>
      </c>
      <c r="BW85">
        <f>(BA85-BG85)/(BA85-AZ85)</f>
        <v>0</v>
      </c>
      <c r="BX85">
        <f>(BT85*BR85/BF85)</f>
        <v>0</v>
      </c>
      <c r="BY85">
        <f>(1-BX85)</f>
        <v>0</v>
      </c>
      <c r="DH85">
        <f>$B$11*EG85+$C$11*EH85+$F$11*ES85*(1-EV85)</f>
        <v>0</v>
      </c>
      <c r="DI85">
        <f>DH85*DJ85</f>
        <v>0</v>
      </c>
      <c r="DJ85">
        <f>($B$11*$D$9+$C$11*$D$9+$F$11*((FF85+EX85)/MAX(FF85+EX85+FG85, 0.1)*$I$9+FG85/MAX(FF85+EX85+FG85, 0.1)*$J$9))/($B$11+$C$11+$F$11)</f>
        <v>0</v>
      </c>
      <c r="DK85">
        <f>($B$11*$K$9+$C$11*$K$9+$F$11*((FF85+EX85)/MAX(FF85+EX85+FG85, 0.1)*$P$9+FG85/MAX(FF85+EX85+FG85, 0.1)*$Q$9))/($B$11+$C$11+$F$11)</f>
        <v>0</v>
      </c>
      <c r="DL85">
        <v>6</v>
      </c>
      <c r="DM85">
        <v>0.5</v>
      </c>
      <c r="DN85" t="s">
        <v>438</v>
      </c>
      <c r="DO85">
        <v>2</v>
      </c>
      <c r="DP85" t="b">
        <v>1</v>
      </c>
      <c r="DQ85">
        <v>1760989613.94615</v>
      </c>
      <c r="DR85">
        <v>1067.46692307692</v>
      </c>
      <c r="DS85">
        <v>1109.14384615385</v>
      </c>
      <c r="DT85">
        <v>11.8171769230769</v>
      </c>
      <c r="DU85">
        <v>8.97807923076923</v>
      </c>
      <c r="DV85">
        <v>1062.31153846154</v>
      </c>
      <c r="DW85">
        <v>11.9283153846154</v>
      </c>
      <c r="DX85">
        <v>500.006769230769</v>
      </c>
      <c r="DY85">
        <v>89.8599</v>
      </c>
      <c r="DZ85">
        <v>0.00775828923076923</v>
      </c>
      <c r="EA85">
        <v>18.4458</v>
      </c>
      <c r="EB85">
        <v>18.0011461538462</v>
      </c>
      <c r="EC85">
        <v>999.9</v>
      </c>
      <c r="ED85">
        <v>0</v>
      </c>
      <c r="EE85">
        <v>0</v>
      </c>
      <c r="EF85">
        <v>9982.7</v>
      </c>
      <c r="EG85">
        <v>0</v>
      </c>
      <c r="EH85">
        <v>1270.22461538462</v>
      </c>
      <c r="EI85">
        <v>-41.6758230769231</v>
      </c>
      <c r="EJ85">
        <v>1080.23230769231</v>
      </c>
      <c r="EK85">
        <v>1119.19230769231</v>
      </c>
      <c r="EL85">
        <v>2.83910384615385</v>
      </c>
      <c r="EM85">
        <v>1109.14384615385</v>
      </c>
      <c r="EN85">
        <v>8.97807923076923</v>
      </c>
      <c r="EO85">
        <v>1.06189076923077</v>
      </c>
      <c r="EP85">
        <v>0.806769230769231</v>
      </c>
      <c r="EQ85">
        <v>7.79441307692308</v>
      </c>
      <c r="ER85">
        <v>3.82696846153846</v>
      </c>
      <c r="ES85">
        <v>1200.00153846154</v>
      </c>
      <c r="ET85">
        <v>0.967002307692308</v>
      </c>
      <c r="EU85">
        <v>0.0329978615384615</v>
      </c>
      <c r="EV85">
        <v>0</v>
      </c>
      <c r="EW85">
        <v>1336.37307692308</v>
      </c>
      <c r="EX85">
        <v>5.00059</v>
      </c>
      <c r="EY85">
        <v>15762.1076923077</v>
      </c>
      <c r="EZ85">
        <v>10358.7384615385</v>
      </c>
      <c r="FA85">
        <v>38.4613846153846</v>
      </c>
      <c r="FB85">
        <v>41.3122307692308</v>
      </c>
      <c r="FC85">
        <v>39.0237692307692</v>
      </c>
      <c r="FD85">
        <v>41.3603846153846</v>
      </c>
      <c r="FE85">
        <v>39.5526923076923</v>
      </c>
      <c r="FF85">
        <v>1155.57</v>
      </c>
      <c r="FG85">
        <v>39.4315384615385</v>
      </c>
      <c r="FH85">
        <v>0</v>
      </c>
      <c r="FI85">
        <v>1760989591.3</v>
      </c>
      <c r="FJ85">
        <v>0</v>
      </c>
      <c r="FK85">
        <v>1336.3064</v>
      </c>
      <c r="FL85">
        <v>-1.81153846963941</v>
      </c>
      <c r="FM85">
        <v>7.93076935771375</v>
      </c>
      <c r="FN85">
        <v>15762.48</v>
      </c>
      <c r="FO85">
        <v>15</v>
      </c>
      <c r="FP85">
        <v>0</v>
      </c>
      <c r="FQ85" t="s">
        <v>439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-41.868</v>
      </c>
      <c r="GD85">
        <v>2.14073684210534</v>
      </c>
      <c r="GE85">
        <v>0.66035908792111</v>
      </c>
      <c r="GF85">
        <v>0</v>
      </c>
      <c r="GG85">
        <v>1336.39235294118</v>
      </c>
      <c r="GH85">
        <v>-1.60397250419638</v>
      </c>
      <c r="GI85">
        <v>0.2548362660442</v>
      </c>
      <c r="GJ85">
        <v>-1</v>
      </c>
      <c r="GK85">
        <v>2.838786</v>
      </c>
      <c r="GL85">
        <v>0.00444451127819509</v>
      </c>
      <c r="GM85">
        <v>0.000703252444005756</v>
      </c>
      <c r="GN85">
        <v>1</v>
      </c>
      <c r="GO85">
        <v>1</v>
      </c>
      <c r="GP85">
        <v>2</v>
      </c>
      <c r="GQ85" t="s">
        <v>446</v>
      </c>
      <c r="GR85">
        <v>3.1306</v>
      </c>
      <c r="GS85">
        <v>2.68535</v>
      </c>
      <c r="GT85">
        <v>0.17485</v>
      </c>
      <c r="GU85">
        <v>0.179559</v>
      </c>
      <c r="GV85">
        <v>0.0617372</v>
      </c>
      <c r="GW85">
        <v>0.0497354</v>
      </c>
      <c r="GX85">
        <v>31275.5</v>
      </c>
      <c r="GY85">
        <v>33415.2</v>
      </c>
      <c r="GZ85">
        <v>34266.9</v>
      </c>
      <c r="HA85">
        <v>36849.5</v>
      </c>
      <c r="HB85">
        <v>45359.7</v>
      </c>
      <c r="HC85">
        <v>50222.4</v>
      </c>
      <c r="HD85">
        <v>53341.2</v>
      </c>
      <c r="HE85">
        <v>58776.6</v>
      </c>
      <c r="HF85">
        <v>2.00907</v>
      </c>
      <c r="HG85">
        <v>1.83838</v>
      </c>
      <c r="HH85">
        <v>0.033237</v>
      </c>
      <c r="HI85">
        <v>0</v>
      </c>
      <c r="HJ85">
        <v>17.4544</v>
      </c>
      <c r="HK85">
        <v>999.9</v>
      </c>
      <c r="HL85">
        <v>25.882</v>
      </c>
      <c r="HM85">
        <v>30.293</v>
      </c>
      <c r="HN85">
        <v>12.4795</v>
      </c>
      <c r="HO85">
        <v>53.7591</v>
      </c>
      <c r="HP85">
        <v>44.2027</v>
      </c>
      <c r="HQ85">
        <v>1</v>
      </c>
      <c r="HR85">
        <v>-0.269832</v>
      </c>
      <c r="HS85">
        <v>3.88991</v>
      </c>
      <c r="HT85">
        <v>20.095</v>
      </c>
      <c r="HU85">
        <v>5.20067</v>
      </c>
      <c r="HV85">
        <v>12.004</v>
      </c>
      <c r="HW85">
        <v>4.97555</v>
      </c>
      <c r="HX85">
        <v>3.29295</v>
      </c>
      <c r="HY85">
        <v>9999</v>
      </c>
      <c r="HZ85">
        <v>999.9</v>
      </c>
      <c r="IA85">
        <v>9999</v>
      </c>
      <c r="IB85">
        <v>9999</v>
      </c>
      <c r="IC85">
        <v>1.86325</v>
      </c>
      <c r="ID85">
        <v>1.86807</v>
      </c>
      <c r="IE85">
        <v>1.86783</v>
      </c>
      <c r="IF85">
        <v>1.86902</v>
      </c>
      <c r="IG85">
        <v>1.86981</v>
      </c>
      <c r="IH85">
        <v>1.86586</v>
      </c>
      <c r="II85">
        <v>1.86691</v>
      </c>
      <c r="IJ85">
        <v>1.86843</v>
      </c>
      <c r="IK85">
        <v>5</v>
      </c>
      <c r="IL85">
        <v>0</v>
      </c>
      <c r="IM85">
        <v>0</v>
      </c>
      <c r="IN85">
        <v>0</v>
      </c>
      <c r="IO85" t="s">
        <v>441</v>
      </c>
      <c r="IP85" t="s">
        <v>442</v>
      </c>
      <c r="IQ85" t="s">
        <v>443</v>
      </c>
      <c r="IR85" t="s">
        <v>443</v>
      </c>
      <c r="IS85" t="s">
        <v>443</v>
      </c>
      <c r="IT85" t="s">
        <v>443</v>
      </c>
      <c r="IU85">
        <v>0</v>
      </c>
      <c r="IV85">
        <v>100</v>
      </c>
      <c r="IW85">
        <v>100</v>
      </c>
      <c r="IX85">
        <v>5.25</v>
      </c>
      <c r="IY85">
        <v>-0.1111</v>
      </c>
      <c r="IZ85">
        <v>1.12474291219083</v>
      </c>
      <c r="JA85">
        <v>0.00463155566490582</v>
      </c>
      <c r="JB85">
        <v>-1.1358998729424e-06</v>
      </c>
      <c r="JC85">
        <v>3.28704272115545e-10</v>
      </c>
      <c r="JD85">
        <v>-0.0704455108513773</v>
      </c>
      <c r="JE85">
        <v>-0.0251928478371425</v>
      </c>
      <c r="JF85">
        <v>0.00225751704194564</v>
      </c>
      <c r="JG85">
        <v>-3.61734043746866e-05</v>
      </c>
      <c r="JH85">
        <v>1</v>
      </c>
      <c r="JI85">
        <v>2182</v>
      </c>
      <c r="JJ85">
        <v>0</v>
      </c>
      <c r="JK85">
        <v>24</v>
      </c>
      <c r="JL85">
        <v>29349827</v>
      </c>
      <c r="JM85">
        <v>29349827</v>
      </c>
      <c r="JN85">
        <v>2.2583</v>
      </c>
      <c r="JO85">
        <v>2.61108</v>
      </c>
      <c r="JP85">
        <v>1.54785</v>
      </c>
      <c r="JQ85">
        <v>2.31445</v>
      </c>
      <c r="JR85">
        <v>1.64673</v>
      </c>
      <c r="JS85">
        <v>2.39014</v>
      </c>
      <c r="JT85">
        <v>33.6029</v>
      </c>
      <c r="JU85">
        <v>24.1926</v>
      </c>
      <c r="JV85">
        <v>18</v>
      </c>
      <c r="JW85">
        <v>500.86</v>
      </c>
      <c r="JX85">
        <v>394.807</v>
      </c>
      <c r="JY85">
        <v>12.442</v>
      </c>
      <c r="JZ85">
        <v>23.9025</v>
      </c>
      <c r="KA85">
        <v>30.0001</v>
      </c>
      <c r="KB85">
        <v>23.921</v>
      </c>
      <c r="KC85">
        <v>23.893</v>
      </c>
      <c r="KD85">
        <v>45.2559</v>
      </c>
      <c r="KE85">
        <v>8.77818</v>
      </c>
      <c r="KF85">
        <v>23.3636</v>
      </c>
      <c r="KG85">
        <v>12.441</v>
      </c>
      <c r="KH85">
        <v>1156.71</v>
      </c>
      <c r="KI85">
        <v>9.0085</v>
      </c>
      <c r="KJ85">
        <v>97.0448</v>
      </c>
      <c r="KK85">
        <v>95.304</v>
      </c>
    </row>
    <row r="86" spans="1:297">
      <c r="A86">
        <v>70</v>
      </c>
      <c r="B86">
        <v>1760989627.1</v>
      </c>
      <c r="C86">
        <v>437</v>
      </c>
      <c r="D86" t="s">
        <v>582</v>
      </c>
      <c r="E86" t="s">
        <v>583</v>
      </c>
      <c r="F86">
        <v>5</v>
      </c>
      <c r="G86" t="s">
        <v>435</v>
      </c>
      <c r="H86" t="s">
        <v>436</v>
      </c>
      <c r="I86">
        <v>1760989618.94615</v>
      </c>
      <c r="J86">
        <f>(K86)/1000</f>
        <v>0</v>
      </c>
      <c r="K86">
        <f>IF(DP86, AN86, AH86)</f>
        <v>0</v>
      </c>
      <c r="L86">
        <f>IF(DP86, AI86, AG86)</f>
        <v>0</v>
      </c>
      <c r="M86">
        <f>DR86 - IF(AU86&gt;1, L86*DL86*100.0/(AW86), 0)</f>
        <v>0</v>
      </c>
      <c r="N86">
        <f>((T86-J86/2)*M86-L86)/(T86+J86/2)</f>
        <v>0</v>
      </c>
      <c r="O86">
        <f>N86*(DY86+DZ86)/1000.0</f>
        <v>0</v>
      </c>
      <c r="P86">
        <f>(DR86 - IF(AU86&gt;1, L86*DL86*100.0/(AW86), 0))*(DY86+DZ86)/1000.0</f>
        <v>0</v>
      </c>
      <c r="Q86">
        <f>2.0/((1/S86-1/R86)+SIGN(S86)*SQRT((1/S86-1/R86)*(1/S86-1/R86) + 4*DM86/((DM86+1)*(DM86+1))*(2*1/S86*1/R86-1/R86*1/R86)))</f>
        <v>0</v>
      </c>
      <c r="R86">
        <f>IF(LEFT(DN86,1)&lt;&gt;"0",IF(LEFT(DN86,1)="1",3.0,DO86),$D$5+$E$5*(EF86*DY86/($K$5*1000))+$F$5*(EF86*DY86/($K$5*1000))*MAX(MIN(DL86,$J$5),$I$5)*MAX(MIN(DL86,$J$5),$I$5)+$G$5*MAX(MIN(DL86,$J$5),$I$5)*(EF86*DY86/($K$5*1000))+$H$5*(EF86*DY86/($K$5*1000))*(EF86*DY86/($K$5*1000)))</f>
        <v>0</v>
      </c>
      <c r="S86">
        <f>J86*(1000-(1000*0.61365*exp(17.502*W86/(240.97+W86))/(DY86+DZ86)+DT86)/2)/(1000*0.61365*exp(17.502*W86/(240.97+W86))/(DY86+DZ86)-DT86)</f>
        <v>0</v>
      </c>
      <c r="T86">
        <f>1/((DM86+1)/(Q86/1.6)+1/(R86/1.37)) + DM86/((DM86+1)/(Q86/1.6) + DM86/(R86/1.37))</f>
        <v>0</v>
      </c>
      <c r="U86">
        <f>(DH86*DK86)</f>
        <v>0</v>
      </c>
      <c r="V86">
        <f>(EA86+(U86+2*0.95*5.67E-8*(((EA86+$B$7)+273)^4-(EA86+273)^4)-44100*J86)/(1.84*29.3*R86+8*0.95*5.67E-8*(EA86+273)^3))</f>
        <v>0</v>
      </c>
      <c r="W86">
        <f>($C$7*EB86+$D$7*EC86+$E$7*V86)</f>
        <v>0</v>
      </c>
      <c r="X86">
        <f>0.61365*exp(17.502*W86/(240.97+W86))</f>
        <v>0</v>
      </c>
      <c r="Y86">
        <f>(Z86/AA86*100)</f>
        <v>0</v>
      </c>
      <c r="Z86">
        <f>DT86*(DY86+DZ86)/1000</f>
        <v>0</v>
      </c>
      <c r="AA86">
        <f>0.61365*exp(17.502*EA86/(240.97+EA86))</f>
        <v>0</v>
      </c>
      <c r="AB86">
        <f>(X86-DT86*(DY86+DZ86)/1000)</f>
        <v>0</v>
      </c>
      <c r="AC86">
        <f>(-J86*44100)</f>
        <v>0</v>
      </c>
      <c r="AD86">
        <f>2*29.3*R86*0.92*(EA86-W86)</f>
        <v>0</v>
      </c>
      <c r="AE86">
        <f>2*0.95*5.67E-8*(((EA86+$B$7)+273)^4-(W86+273)^4)</f>
        <v>0</v>
      </c>
      <c r="AF86">
        <f>U86+AE86+AC86+AD86</f>
        <v>0</v>
      </c>
      <c r="AG86">
        <f>DX86*AU86*(DS86-DR86*(1000-AU86*DU86)/(1000-AU86*DT86))/(100*DL86)</f>
        <v>0</v>
      </c>
      <c r="AH86">
        <f>1000*DX86*AU86*(DT86-DU86)/(100*DL86*(1000-AU86*DT86))</f>
        <v>0</v>
      </c>
      <c r="AI86">
        <f>(AJ86 - AK86 - DY86*1E3/(8.314*(EA86+273.15)) * AM86/DX86 * AL86) * DX86/(100*DL86) * (1000 - DU86)/1000</f>
        <v>0</v>
      </c>
      <c r="AJ86">
        <v>1152.52428987674</v>
      </c>
      <c r="AK86">
        <v>1121.42727272727</v>
      </c>
      <c r="AL86">
        <v>3.44872227362568</v>
      </c>
      <c r="AM86">
        <v>64.8413469339502</v>
      </c>
      <c r="AN86">
        <f>(AP86 - AO86 + DY86*1E3/(8.314*(EA86+273.15)) * AR86/DX86 * AQ86) * DX86/(100*DL86) * 1000/(1000 - AP86)</f>
        <v>0</v>
      </c>
      <c r="AO86">
        <v>8.98305355821039</v>
      </c>
      <c r="AP86">
        <v>11.8241884848485</v>
      </c>
      <c r="AQ86">
        <v>3.95420014605248e-05</v>
      </c>
      <c r="AR86">
        <v>118.472689631034</v>
      </c>
      <c r="AS86">
        <v>0</v>
      </c>
      <c r="AT86">
        <v>0</v>
      </c>
      <c r="AU86">
        <f>IF(AS86*$H$13&gt;=AW86,1.0,(AW86/(AW86-AS86*$H$13)))</f>
        <v>0</v>
      </c>
      <c r="AV86">
        <f>(AU86-1)*100</f>
        <v>0</v>
      </c>
      <c r="AW86">
        <f>MAX(0,($B$13+$C$13*EF86)/(1+$D$13*EF86)*DY86/(EA86+273)*$E$13)</f>
        <v>0</v>
      </c>
      <c r="AX86" t="s">
        <v>437</v>
      </c>
      <c r="AY86" t="s">
        <v>437</v>
      </c>
      <c r="AZ86">
        <v>0</v>
      </c>
      <c r="BA86">
        <v>0</v>
      </c>
      <c r="BB86">
        <f>1-AZ86/BA86</f>
        <v>0</v>
      </c>
      <c r="BC86">
        <v>0</v>
      </c>
      <c r="BD86" t="s">
        <v>437</v>
      </c>
      <c r="BE86" t="s">
        <v>437</v>
      </c>
      <c r="BF86">
        <v>0</v>
      </c>
      <c r="BG86">
        <v>0</v>
      </c>
      <c r="BH86">
        <f>1-BF86/BG86</f>
        <v>0</v>
      </c>
      <c r="BI86">
        <v>0.5</v>
      </c>
      <c r="BJ86">
        <f>DI86</f>
        <v>0</v>
      </c>
      <c r="BK86">
        <f>L86</f>
        <v>0</v>
      </c>
      <c r="BL86">
        <f>BH86*BI86*BJ86</f>
        <v>0</v>
      </c>
      <c r="BM86">
        <f>(BK86-BC86)/BJ86</f>
        <v>0</v>
      </c>
      <c r="BN86">
        <f>(BA86-BG86)/BG86</f>
        <v>0</v>
      </c>
      <c r="BO86">
        <f>AZ86/(BB86+AZ86/BG86)</f>
        <v>0</v>
      </c>
      <c r="BP86" t="s">
        <v>437</v>
      </c>
      <c r="BQ86">
        <v>0</v>
      </c>
      <c r="BR86">
        <f>IF(BQ86&lt;&gt;0, BQ86, BO86)</f>
        <v>0</v>
      </c>
      <c r="BS86">
        <f>1-BR86/BG86</f>
        <v>0</v>
      </c>
      <c r="BT86">
        <f>(BG86-BF86)/(BG86-BR86)</f>
        <v>0</v>
      </c>
      <c r="BU86">
        <f>(BA86-BG86)/(BA86-BR86)</f>
        <v>0</v>
      </c>
      <c r="BV86">
        <f>(BG86-BF86)/(BG86-AZ86)</f>
        <v>0</v>
      </c>
      <c r="BW86">
        <f>(BA86-BG86)/(BA86-AZ86)</f>
        <v>0</v>
      </c>
      <c r="BX86">
        <f>(BT86*BR86/BF86)</f>
        <v>0</v>
      </c>
      <c r="BY86">
        <f>(1-BX86)</f>
        <v>0</v>
      </c>
      <c r="DH86">
        <f>$B$11*EG86+$C$11*EH86+$F$11*ES86*(1-EV86)</f>
        <v>0</v>
      </c>
      <c r="DI86">
        <f>DH86*DJ86</f>
        <v>0</v>
      </c>
      <c r="DJ86">
        <f>($B$11*$D$9+$C$11*$D$9+$F$11*((FF86+EX86)/MAX(FF86+EX86+FG86, 0.1)*$I$9+FG86/MAX(FF86+EX86+FG86, 0.1)*$J$9))/($B$11+$C$11+$F$11)</f>
        <v>0</v>
      </c>
      <c r="DK86">
        <f>($B$11*$K$9+$C$11*$K$9+$F$11*((FF86+EX86)/MAX(FF86+EX86+FG86, 0.1)*$P$9+FG86/MAX(FF86+EX86+FG86, 0.1)*$Q$9))/($B$11+$C$11+$F$11)</f>
        <v>0</v>
      </c>
      <c r="DL86">
        <v>6</v>
      </c>
      <c r="DM86">
        <v>0.5</v>
      </c>
      <c r="DN86" t="s">
        <v>438</v>
      </c>
      <c r="DO86">
        <v>2</v>
      </c>
      <c r="DP86" t="b">
        <v>1</v>
      </c>
      <c r="DQ86">
        <v>1760989618.94615</v>
      </c>
      <c r="DR86">
        <v>1084.13384615385</v>
      </c>
      <c r="DS86">
        <v>1126.22769230769</v>
      </c>
      <c r="DT86">
        <v>11.8196307692308</v>
      </c>
      <c r="DU86">
        <v>8.98016923076923</v>
      </c>
      <c r="DV86">
        <v>1078.92153846154</v>
      </c>
      <c r="DW86">
        <v>11.9307384615385</v>
      </c>
      <c r="DX86">
        <v>500.001153846154</v>
      </c>
      <c r="DY86">
        <v>89.8595153846154</v>
      </c>
      <c r="DZ86">
        <v>0.00763851</v>
      </c>
      <c r="EA86">
        <v>18.4470846153846</v>
      </c>
      <c r="EB86">
        <v>18.0028692307692</v>
      </c>
      <c r="EC86">
        <v>999.9</v>
      </c>
      <c r="ED86">
        <v>0</v>
      </c>
      <c r="EE86">
        <v>0</v>
      </c>
      <c r="EF86">
        <v>9997.46538461539</v>
      </c>
      <c r="EG86">
        <v>0</v>
      </c>
      <c r="EH86">
        <v>1270.22846153846</v>
      </c>
      <c r="EI86">
        <v>-42.0935846153846</v>
      </c>
      <c r="EJ86">
        <v>1097.10076923077</v>
      </c>
      <c r="EK86">
        <v>1136.43384615385</v>
      </c>
      <c r="EL86">
        <v>2.83946384615385</v>
      </c>
      <c r="EM86">
        <v>1126.22769230769</v>
      </c>
      <c r="EN86">
        <v>8.98016923076923</v>
      </c>
      <c r="EO86">
        <v>1.06210692307692</v>
      </c>
      <c r="EP86">
        <v>0.806953538461538</v>
      </c>
      <c r="EQ86">
        <v>7.79739076923077</v>
      </c>
      <c r="ER86">
        <v>3.83021461538462</v>
      </c>
      <c r="ES86">
        <v>1200.00307692308</v>
      </c>
      <c r="ET86">
        <v>0.966999307692308</v>
      </c>
      <c r="EU86">
        <v>0.0330009153846154</v>
      </c>
      <c r="EV86">
        <v>0</v>
      </c>
      <c r="EW86">
        <v>1336.09538461538</v>
      </c>
      <c r="EX86">
        <v>5.00059</v>
      </c>
      <c r="EY86">
        <v>15762.7538461538</v>
      </c>
      <c r="EZ86">
        <v>10358.7461538462</v>
      </c>
      <c r="FA86">
        <v>38.519</v>
      </c>
      <c r="FB86">
        <v>41.3843076923077</v>
      </c>
      <c r="FC86">
        <v>39.0719230769231</v>
      </c>
      <c r="FD86">
        <v>41.4516923076923</v>
      </c>
      <c r="FE86">
        <v>39.6150769230769</v>
      </c>
      <c r="FF86">
        <v>1155.56692307692</v>
      </c>
      <c r="FG86">
        <v>39.4361538461539</v>
      </c>
      <c r="FH86">
        <v>0</v>
      </c>
      <c r="FI86">
        <v>1760989596.7</v>
      </c>
      <c r="FJ86">
        <v>0</v>
      </c>
      <c r="FK86">
        <v>1336.07615384615</v>
      </c>
      <c r="FL86">
        <v>-3.01948717177719</v>
      </c>
      <c r="FM86">
        <v>-0.560683652044387</v>
      </c>
      <c r="FN86">
        <v>15762.8692307692</v>
      </c>
      <c r="FO86">
        <v>15</v>
      </c>
      <c r="FP86">
        <v>0</v>
      </c>
      <c r="FQ86" t="s">
        <v>439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-41.8819904761905</v>
      </c>
      <c r="GD86">
        <v>-2.76025714285708</v>
      </c>
      <c r="GE86">
        <v>0.64282424607187</v>
      </c>
      <c r="GF86">
        <v>0</v>
      </c>
      <c r="GG86">
        <v>1336.20147058824</v>
      </c>
      <c r="GH86">
        <v>-2.31764705569295</v>
      </c>
      <c r="GI86">
        <v>0.314456883352689</v>
      </c>
      <c r="GJ86">
        <v>-1</v>
      </c>
      <c r="GK86">
        <v>2.83934523809524</v>
      </c>
      <c r="GL86">
        <v>0.00393350649351125</v>
      </c>
      <c r="GM86">
        <v>0.000623596473978367</v>
      </c>
      <c r="GN86">
        <v>1</v>
      </c>
      <c r="GO86">
        <v>1</v>
      </c>
      <c r="GP86">
        <v>2</v>
      </c>
      <c r="GQ86" t="s">
        <v>446</v>
      </c>
      <c r="GR86">
        <v>3.13068</v>
      </c>
      <c r="GS86">
        <v>2.68549</v>
      </c>
      <c r="GT86">
        <v>0.176581</v>
      </c>
      <c r="GU86">
        <v>0.181238</v>
      </c>
      <c r="GV86">
        <v>0.061752</v>
      </c>
      <c r="GW86">
        <v>0.0497485</v>
      </c>
      <c r="GX86">
        <v>31210.2</v>
      </c>
      <c r="GY86">
        <v>33347</v>
      </c>
      <c r="GZ86">
        <v>34267.1</v>
      </c>
      <c r="HA86">
        <v>36849.5</v>
      </c>
      <c r="HB86">
        <v>45359.5</v>
      </c>
      <c r="HC86">
        <v>50221.8</v>
      </c>
      <c r="HD86">
        <v>53341.6</v>
      </c>
      <c r="HE86">
        <v>58776.4</v>
      </c>
      <c r="HF86">
        <v>2.00898</v>
      </c>
      <c r="HG86">
        <v>1.8382</v>
      </c>
      <c r="HH86">
        <v>0.03317</v>
      </c>
      <c r="HI86">
        <v>0</v>
      </c>
      <c r="HJ86">
        <v>17.4544</v>
      </c>
      <c r="HK86">
        <v>999.9</v>
      </c>
      <c r="HL86">
        <v>25.882</v>
      </c>
      <c r="HM86">
        <v>30.283</v>
      </c>
      <c r="HN86">
        <v>12.4719</v>
      </c>
      <c r="HO86">
        <v>54.0091</v>
      </c>
      <c r="HP86">
        <v>44.3229</v>
      </c>
      <c r="HQ86">
        <v>1</v>
      </c>
      <c r="HR86">
        <v>-0.269878</v>
      </c>
      <c r="HS86">
        <v>3.89444</v>
      </c>
      <c r="HT86">
        <v>20.0947</v>
      </c>
      <c r="HU86">
        <v>5.20067</v>
      </c>
      <c r="HV86">
        <v>12.004</v>
      </c>
      <c r="HW86">
        <v>4.9754</v>
      </c>
      <c r="HX86">
        <v>3.29293</v>
      </c>
      <c r="HY86">
        <v>9999</v>
      </c>
      <c r="HZ86">
        <v>999.9</v>
      </c>
      <c r="IA86">
        <v>9999</v>
      </c>
      <c r="IB86">
        <v>9999</v>
      </c>
      <c r="IC86">
        <v>1.86325</v>
      </c>
      <c r="ID86">
        <v>1.86806</v>
      </c>
      <c r="IE86">
        <v>1.86783</v>
      </c>
      <c r="IF86">
        <v>1.86905</v>
      </c>
      <c r="IG86">
        <v>1.86981</v>
      </c>
      <c r="IH86">
        <v>1.86585</v>
      </c>
      <c r="II86">
        <v>1.86693</v>
      </c>
      <c r="IJ86">
        <v>1.86843</v>
      </c>
      <c r="IK86">
        <v>5</v>
      </c>
      <c r="IL86">
        <v>0</v>
      </c>
      <c r="IM86">
        <v>0</v>
      </c>
      <c r="IN86">
        <v>0</v>
      </c>
      <c r="IO86" t="s">
        <v>441</v>
      </c>
      <c r="IP86" t="s">
        <v>442</v>
      </c>
      <c r="IQ86" t="s">
        <v>443</v>
      </c>
      <c r="IR86" t="s">
        <v>443</v>
      </c>
      <c r="IS86" t="s">
        <v>443</v>
      </c>
      <c r="IT86" t="s">
        <v>443</v>
      </c>
      <c r="IU86">
        <v>0</v>
      </c>
      <c r="IV86">
        <v>100</v>
      </c>
      <c r="IW86">
        <v>100</v>
      </c>
      <c r="IX86">
        <v>5.31</v>
      </c>
      <c r="IY86">
        <v>-0.111</v>
      </c>
      <c r="IZ86">
        <v>1.12474291219083</v>
      </c>
      <c r="JA86">
        <v>0.00463155566490582</v>
      </c>
      <c r="JB86">
        <v>-1.1358998729424e-06</v>
      </c>
      <c r="JC86">
        <v>3.28704272115545e-10</v>
      </c>
      <c r="JD86">
        <v>-0.0704455108513773</v>
      </c>
      <c r="JE86">
        <v>-0.0251928478371425</v>
      </c>
      <c r="JF86">
        <v>0.00225751704194564</v>
      </c>
      <c r="JG86">
        <v>-3.61734043746866e-05</v>
      </c>
      <c r="JH86">
        <v>1</v>
      </c>
      <c r="JI86">
        <v>2182</v>
      </c>
      <c r="JJ86">
        <v>0</v>
      </c>
      <c r="JK86">
        <v>24</v>
      </c>
      <c r="JL86">
        <v>29349827.1</v>
      </c>
      <c r="JM86">
        <v>29349827.1</v>
      </c>
      <c r="JN86">
        <v>2.28516</v>
      </c>
      <c r="JO86">
        <v>2.61475</v>
      </c>
      <c r="JP86">
        <v>1.54785</v>
      </c>
      <c r="JQ86">
        <v>2.31445</v>
      </c>
      <c r="JR86">
        <v>1.64673</v>
      </c>
      <c r="JS86">
        <v>2.38525</v>
      </c>
      <c r="JT86">
        <v>33.6029</v>
      </c>
      <c r="JU86">
        <v>24.1926</v>
      </c>
      <c r="JV86">
        <v>18</v>
      </c>
      <c r="JW86">
        <v>500.795</v>
      </c>
      <c r="JX86">
        <v>394.716</v>
      </c>
      <c r="JY86">
        <v>12.4405</v>
      </c>
      <c r="JZ86">
        <v>23.9008</v>
      </c>
      <c r="KA86">
        <v>30.0001</v>
      </c>
      <c r="KB86">
        <v>23.921</v>
      </c>
      <c r="KC86">
        <v>23.8932</v>
      </c>
      <c r="KD86">
        <v>45.7342</v>
      </c>
      <c r="KE86">
        <v>8.77818</v>
      </c>
      <c r="KF86">
        <v>23.3636</v>
      </c>
      <c r="KG86">
        <v>12.4361</v>
      </c>
      <c r="KH86">
        <v>1176.99</v>
      </c>
      <c r="KI86">
        <v>9.0085</v>
      </c>
      <c r="KJ86">
        <v>97.0454</v>
      </c>
      <c r="KK86">
        <v>95.3038</v>
      </c>
    </row>
    <row r="87" spans="1:297">
      <c r="A87">
        <v>71</v>
      </c>
      <c r="B87">
        <v>1760989632.1</v>
      </c>
      <c r="C87">
        <v>442</v>
      </c>
      <c r="D87" t="s">
        <v>584</v>
      </c>
      <c r="E87" t="s">
        <v>585</v>
      </c>
      <c r="F87">
        <v>5</v>
      </c>
      <c r="G87" t="s">
        <v>435</v>
      </c>
      <c r="H87" t="s">
        <v>436</v>
      </c>
      <c r="I87">
        <v>1760989623.94615</v>
      </c>
      <c r="J87">
        <f>(K87)/1000</f>
        <v>0</v>
      </c>
      <c r="K87">
        <f>IF(DP87, AN87, AH87)</f>
        <v>0</v>
      </c>
      <c r="L87">
        <f>IF(DP87, AI87, AG87)</f>
        <v>0</v>
      </c>
      <c r="M87">
        <f>DR87 - IF(AU87&gt;1, L87*DL87*100.0/(AW87), 0)</f>
        <v>0</v>
      </c>
      <c r="N87">
        <f>((T87-J87/2)*M87-L87)/(T87+J87/2)</f>
        <v>0</v>
      </c>
      <c r="O87">
        <f>N87*(DY87+DZ87)/1000.0</f>
        <v>0</v>
      </c>
      <c r="P87">
        <f>(DR87 - IF(AU87&gt;1, L87*DL87*100.0/(AW87), 0))*(DY87+DZ87)/1000.0</f>
        <v>0</v>
      </c>
      <c r="Q87">
        <f>2.0/((1/S87-1/R87)+SIGN(S87)*SQRT((1/S87-1/R87)*(1/S87-1/R87) + 4*DM87/((DM87+1)*(DM87+1))*(2*1/S87*1/R87-1/R87*1/R87)))</f>
        <v>0</v>
      </c>
      <c r="R87">
        <f>IF(LEFT(DN87,1)&lt;&gt;"0",IF(LEFT(DN87,1)="1",3.0,DO87),$D$5+$E$5*(EF87*DY87/($K$5*1000))+$F$5*(EF87*DY87/($K$5*1000))*MAX(MIN(DL87,$J$5),$I$5)*MAX(MIN(DL87,$J$5),$I$5)+$G$5*MAX(MIN(DL87,$J$5),$I$5)*(EF87*DY87/($K$5*1000))+$H$5*(EF87*DY87/($K$5*1000))*(EF87*DY87/($K$5*1000)))</f>
        <v>0</v>
      </c>
      <c r="S87">
        <f>J87*(1000-(1000*0.61365*exp(17.502*W87/(240.97+W87))/(DY87+DZ87)+DT87)/2)/(1000*0.61365*exp(17.502*W87/(240.97+W87))/(DY87+DZ87)-DT87)</f>
        <v>0</v>
      </c>
      <c r="T87">
        <f>1/((DM87+1)/(Q87/1.6)+1/(R87/1.37)) + DM87/((DM87+1)/(Q87/1.6) + DM87/(R87/1.37))</f>
        <v>0</v>
      </c>
      <c r="U87">
        <f>(DH87*DK87)</f>
        <v>0</v>
      </c>
      <c r="V87">
        <f>(EA87+(U87+2*0.95*5.67E-8*(((EA87+$B$7)+273)^4-(EA87+273)^4)-44100*J87)/(1.84*29.3*R87+8*0.95*5.67E-8*(EA87+273)^3))</f>
        <v>0</v>
      </c>
      <c r="W87">
        <f>($C$7*EB87+$D$7*EC87+$E$7*V87)</f>
        <v>0</v>
      </c>
      <c r="X87">
        <f>0.61365*exp(17.502*W87/(240.97+W87))</f>
        <v>0</v>
      </c>
      <c r="Y87">
        <f>(Z87/AA87*100)</f>
        <v>0</v>
      </c>
      <c r="Z87">
        <f>DT87*(DY87+DZ87)/1000</f>
        <v>0</v>
      </c>
      <c r="AA87">
        <f>0.61365*exp(17.502*EA87/(240.97+EA87))</f>
        <v>0</v>
      </c>
      <c r="AB87">
        <f>(X87-DT87*(DY87+DZ87)/1000)</f>
        <v>0</v>
      </c>
      <c r="AC87">
        <f>(-J87*44100)</f>
        <v>0</v>
      </c>
      <c r="AD87">
        <f>2*29.3*R87*0.92*(EA87-W87)</f>
        <v>0</v>
      </c>
      <c r="AE87">
        <f>2*0.95*5.67E-8*(((EA87+$B$7)+273)^4-(W87+273)^4)</f>
        <v>0</v>
      </c>
      <c r="AF87">
        <f>U87+AE87+AC87+AD87</f>
        <v>0</v>
      </c>
      <c r="AG87">
        <f>DX87*AU87*(DS87-DR87*(1000-AU87*DU87)/(1000-AU87*DT87))/(100*DL87)</f>
        <v>0</v>
      </c>
      <c r="AH87">
        <f>1000*DX87*AU87*(DT87-DU87)/(100*DL87*(1000-AU87*DT87))</f>
        <v>0</v>
      </c>
      <c r="AI87">
        <f>(AJ87 - AK87 - DY87*1E3/(8.314*(EA87+273.15)) * AM87/DX87 * AL87) * DX87/(100*DL87) * (1000 - DU87)/1000</f>
        <v>0</v>
      </c>
      <c r="AJ87">
        <v>1169.14120641916</v>
      </c>
      <c r="AK87">
        <v>1138.24054545454</v>
      </c>
      <c r="AL87">
        <v>3.33903349754663</v>
      </c>
      <c r="AM87">
        <v>64.8413469339502</v>
      </c>
      <c r="AN87">
        <f>(AP87 - AO87 + DY87*1E3/(8.314*(EA87+273.15)) * AR87/DX87 * AQ87) * DX87/(100*DL87) * 1000/(1000 - AP87)</f>
        <v>0</v>
      </c>
      <c r="AO87">
        <v>8.98566920202078</v>
      </c>
      <c r="AP87">
        <v>11.8283272727273</v>
      </c>
      <c r="AQ87">
        <v>4.18112168736606e-05</v>
      </c>
      <c r="AR87">
        <v>118.472689631034</v>
      </c>
      <c r="AS87">
        <v>0</v>
      </c>
      <c r="AT87">
        <v>0</v>
      </c>
      <c r="AU87">
        <f>IF(AS87*$H$13&gt;=AW87,1.0,(AW87/(AW87-AS87*$H$13)))</f>
        <v>0</v>
      </c>
      <c r="AV87">
        <f>(AU87-1)*100</f>
        <v>0</v>
      </c>
      <c r="AW87">
        <f>MAX(0,($B$13+$C$13*EF87)/(1+$D$13*EF87)*DY87/(EA87+273)*$E$13)</f>
        <v>0</v>
      </c>
      <c r="AX87" t="s">
        <v>437</v>
      </c>
      <c r="AY87" t="s">
        <v>437</v>
      </c>
      <c r="AZ87">
        <v>0</v>
      </c>
      <c r="BA87">
        <v>0</v>
      </c>
      <c r="BB87">
        <f>1-AZ87/BA87</f>
        <v>0</v>
      </c>
      <c r="BC87">
        <v>0</v>
      </c>
      <c r="BD87" t="s">
        <v>437</v>
      </c>
      <c r="BE87" t="s">
        <v>437</v>
      </c>
      <c r="BF87">
        <v>0</v>
      </c>
      <c r="BG87">
        <v>0</v>
      </c>
      <c r="BH87">
        <f>1-BF87/BG87</f>
        <v>0</v>
      </c>
      <c r="BI87">
        <v>0.5</v>
      </c>
      <c r="BJ87">
        <f>DI87</f>
        <v>0</v>
      </c>
      <c r="BK87">
        <f>L87</f>
        <v>0</v>
      </c>
      <c r="BL87">
        <f>BH87*BI87*BJ87</f>
        <v>0</v>
      </c>
      <c r="BM87">
        <f>(BK87-BC87)/BJ87</f>
        <v>0</v>
      </c>
      <c r="BN87">
        <f>(BA87-BG87)/BG87</f>
        <v>0</v>
      </c>
      <c r="BO87">
        <f>AZ87/(BB87+AZ87/BG87)</f>
        <v>0</v>
      </c>
      <c r="BP87" t="s">
        <v>437</v>
      </c>
      <c r="BQ87">
        <v>0</v>
      </c>
      <c r="BR87">
        <f>IF(BQ87&lt;&gt;0, BQ87, BO87)</f>
        <v>0</v>
      </c>
      <c r="BS87">
        <f>1-BR87/BG87</f>
        <v>0</v>
      </c>
      <c r="BT87">
        <f>(BG87-BF87)/(BG87-BR87)</f>
        <v>0</v>
      </c>
      <c r="BU87">
        <f>(BA87-BG87)/(BA87-BR87)</f>
        <v>0</v>
      </c>
      <c r="BV87">
        <f>(BG87-BF87)/(BG87-AZ87)</f>
        <v>0</v>
      </c>
      <c r="BW87">
        <f>(BA87-BG87)/(BA87-AZ87)</f>
        <v>0</v>
      </c>
      <c r="BX87">
        <f>(BT87*BR87/BF87)</f>
        <v>0</v>
      </c>
      <c r="BY87">
        <f>(1-BX87)</f>
        <v>0</v>
      </c>
      <c r="DH87">
        <f>$B$11*EG87+$C$11*EH87+$F$11*ES87*(1-EV87)</f>
        <v>0</v>
      </c>
      <c r="DI87">
        <f>DH87*DJ87</f>
        <v>0</v>
      </c>
      <c r="DJ87">
        <f>($B$11*$D$9+$C$11*$D$9+$F$11*((FF87+EX87)/MAX(FF87+EX87+FG87, 0.1)*$I$9+FG87/MAX(FF87+EX87+FG87, 0.1)*$J$9))/($B$11+$C$11+$F$11)</f>
        <v>0</v>
      </c>
      <c r="DK87">
        <f>($B$11*$K$9+$C$11*$K$9+$F$11*((FF87+EX87)/MAX(FF87+EX87+FG87, 0.1)*$P$9+FG87/MAX(FF87+EX87+FG87, 0.1)*$Q$9))/($B$11+$C$11+$F$11)</f>
        <v>0</v>
      </c>
      <c r="DL87">
        <v>6</v>
      </c>
      <c r="DM87">
        <v>0.5</v>
      </c>
      <c r="DN87" t="s">
        <v>438</v>
      </c>
      <c r="DO87">
        <v>2</v>
      </c>
      <c r="DP87" t="b">
        <v>1</v>
      </c>
      <c r="DQ87">
        <v>1760989623.94615</v>
      </c>
      <c r="DR87">
        <v>1100.91</v>
      </c>
      <c r="DS87">
        <v>1142.81769230769</v>
      </c>
      <c r="DT87">
        <v>11.8226769230769</v>
      </c>
      <c r="DU87">
        <v>8.98244307692308</v>
      </c>
      <c r="DV87">
        <v>1095.64307692308</v>
      </c>
      <c r="DW87">
        <v>11.9337461538462</v>
      </c>
      <c r="DX87">
        <v>500.015461538462</v>
      </c>
      <c r="DY87">
        <v>89.8589461538462</v>
      </c>
      <c r="DZ87">
        <v>0.00751682615384615</v>
      </c>
      <c r="EA87">
        <v>18.4508307692308</v>
      </c>
      <c r="EB87">
        <v>18.0072692307692</v>
      </c>
      <c r="EC87">
        <v>999.9</v>
      </c>
      <c r="ED87">
        <v>0</v>
      </c>
      <c r="EE87">
        <v>0</v>
      </c>
      <c r="EF87">
        <v>10002.7023076923</v>
      </c>
      <c r="EG87">
        <v>0</v>
      </c>
      <c r="EH87">
        <v>1270.23</v>
      </c>
      <c r="EI87">
        <v>-41.9075923076923</v>
      </c>
      <c r="EJ87">
        <v>1114.08076923077</v>
      </c>
      <c r="EK87">
        <v>1153.17615384615</v>
      </c>
      <c r="EL87">
        <v>2.84023461538462</v>
      </c>
      <c r="EM87">
        <v>1142.81769230769</v>
      </c>
      <c r="EN87">
        <v>8.98244307692308</v>
      </c>
      <c r="EO87">
        <v>1.06237384615385</v>
      </c>
      <c r="EP87">
        <v>0.807152846153846</v>
      </c>
      <c r="EQ87">
        <v>7.80107923076923</v>
      </c>
      <c r="ER87">
        <v>3.83372461538462</v>
      </c>
      <c r="ES87">
        <v>1200.02384615385</v>
      </c>
      <c r="ET87">
        <v>0.966998846153846</v>
      </c>
      <c r="EU87">
        <v>0.0330014153846154</v>
      </c>
      <c r="EV87">
        <v>0</v>
      </c>
      <c r="EW87">
        <v>1335.93384615385</v>
      </c>
      <c r="EX87">
        <v>5.00059</v>
      </c>
      <c r="EY87">
        <v>15763.4923076923</v>
      </c>
      <c r="EZ87">
        <v>10358.9230769231</v>
      </c>
      <c r="FA87">
        <v>38.5719230769231</v>
      </c>
      <c r="FB87">
        <v>41.4421538461539</v>
      </c>
      <c r="FC87">
        <v>39.1246923076923</v>
      </c>
      <c r="FD87">
        <v>41.5382307692308</v>
      </c>
      <c r="FE87">
        <v>39.6776923076923</v>
      </c>
      <c r="FF87">
        <v>1155.58538461538</v>
      </c>
      <c r="FG87">
        <v>39.4384615384615</v>
      </c>
      <c r="FH87">
        <v>0</v>
      </c>
      <c r="FI87">
        <v>1760989601.5</v>
      </c>
      <c r="FJ87">
        <v>0</v>
      </c>
      <c r="FK87">
        <v>1335.91615384615</v>
      </c>
      <c r="FL87">
        <v>-2.22153845180483</v>
      </c>
      <c r="FM87">
        <v>7.55213683547641</v>
      </c>
      <c r="FN87">
        <v>15763.2346153846</v>
      </c>
      <c r="FO87">
        <v>15</v>
      </c>
      <c r="FP87">
        <v>0</v>
      </c>
      <c r="FQ87" t="s">
        <v>439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-41.9489047619048</v>
      </c>
      <c r="GD87">
        <v>-0.293890909090921</v>
      </c>
      <c r="GE87">
        <v>0.547921297334355</v>
      </c>
      <c r="GF87">
        <v>1</v>
      </c>
      <c r="GG87">
        <v>1336.08941176471</v>
      </c>
      <c r="GH87">
        <v>-2.26646294814548</v>
      </c>
      <c r="GI87">
        <v>0.308487211828288</v>
      </c>
      <c r="GJ87">
        <v>-1</v>
      </c>
      <c r="GK87">
        <v>2.83977190476191</v>
      </c>
      <c r="GL87">
        <v>0.00777350649350937</v>
      </c>
      <c r="GM87">
        <v>0.000944031976090868</v>
      </c>
      <c r="GN87">
        <v>1</v>
      </c>
      <c r="GO87">
        <v>2</v>
      </c>
      <c r="GP87">
        <v>2</v>
      </c>
      <c r="GQ87" t="s">
        <v>440</v>
      </c>
      <c r="GR87">
        <v>3.13067</v>
      </c>
      <c r="GS87">
        <v>2.68563</v>
      </c>
      <c r="GT87">
        <v>0.178249</v>
      </c>
      <c r="GU87">
        <v>0.182907</v>
      </c>
      <c r="GV87">
        <v>0.0617696</v>
      </c>
      <c r="GW87">
        <v>0.0497588</v>
      </c>
      <c r="GX87">
        <v>31146.9</v>
      </c>
      <c r="GY87">
        <v>33279.4</v>
      </c>
      <c r="GZ87">
        <v>34266.8</v>
      </c>
      <c r="HA87">
        <v>36849.8</v>
      </c>
      <c r="HB87">
        <v>45358.4</v>
      </c>
      <c r="HC87">
        <v>50221.9</v>
      </c>
      <c r="HD87">
        <v>53341.1</v>
      </c>
      <c r="HE87">
        <v>58777</v>
      </c>
      <c r="HF87">
        <v>2.00915</v>
      </c>
      <c r="HG87">
        <v>1.8384</v>
      </c>
      <c r="HH87">
        <v>0.0336468</v>
      </c>
      <c r="HI87">
        <v>0</v>
      </c>
      <c r="HJ87">
        <v>17.4557</v>
      </c>
      <c r="HK87">
        <v>999.9</v>
      </c>
      <c r="HL87">
        <v>25.882</v>
      </c>
      <c r="HM87">
        <v>30.283</v>
      </c>
      <c r="HN87">
        <v>12.4721</v>
      </c>
      <c r="HO87">
        <v>53.9891</v>
      </c>
      <c r="HP87">
        <v>44.1106</v>
      </c>
      <c r="HQ87">
        <v>1</v>
      </c>
      <c r="HR87">
        <v>-0.26984</v>
      </c>
      <c r="HS87">
        <v>3.90779</v>
      </c>
      <c r="HT87">
        <v>20.0944</v>
      </c>
      <c r="HU87">
        <v>5.20127</v>
      </c>
      <c r="HV87">
        <v>12.004</v>
      </c>
      <c r="HW87">
        <v>4.97565</v>
      </c>
      <c r="HX87">
        <v>3.29303</v>
      </c>
      <c r="HY87">
        <v>9999</v>
      </c>
      <c r="HZ87">
        <v>999.9</v>
      </c>
      <c r="IA87">
        <v>9999</v>
      </c>
      <c r="IB87">
        <v>9999</v>
      </c>
      <c r="IC87">
        <v>1.86325</v>
      </c>
      <c r="ID87">
        <v>1.86807</v>
      </c>
      <c r="IE87">
        <v>1.86783</v>
      </c>
      <c r="IF87">
        <v>1.86904</v>
      </c>
      <c r="IG87">
        <v>1.86981</v>
      </c>
      <c r="IH87">
        <v>1.86586</v>
      </c>
      <c r="II87">
        <v>1.86692</v>
      </c>
      <c r="IJ87">
        <v>1.86843</v>
      </c>
      <c r="IK87">
        <v>5</v>
      </c>
      <c r="IL87">
        <v>0</v>
      </c>
      <c r="IM87">
        <v>0</v>
      </c>
      <c r="IN87">
        <v>0</v>
      </c>
      <c r="IO87" t="s">
        <v>441</v>
      </c>
      <c r="IP87" t="s">
        <v>442</v>
      </c>
      <c r="IQ87" t="s">
        <v>443</v>
      </c>
      <c r="IR87" t="s">
        <v>443</v>
      </c>
      <c r="IS87" t="s">
        <v>443</v>
      </c>
      <c r="IT87" t="s">
        <v>443</v>
      </c>
      <c r="IU87">
        <v>0</v>
      </c>
      <c r="IV87">
        <v>100</v>
      </c>
      <c r="IW87">
        <v>100</v>
      </c>
      <c r="IX87">
        <v>5.36</v>
      </c>
      <c r="IY87">
        <v>-0.1109</v>
      </c>
      <c r="IZ87">
        <v>1.12474291219083</v>
      </c>
      <c r="JA87">
        <v>0.00463155566490582</v>
      </c>
      <c r="JB87">
        <v>-1.1358998729424e-06</v>
      </c>
      <c r="JC87">
        <v>3.28704272115545e-10</v>
      </c>
      <c r="JD87">
        <v>-0.0704455108513773</v>
      </c>
      <c r="JE87">
        <v>-0.0251928478371425</v>
      </c>
      <c r="JF87">
        <v>0.00225751704194564</v>
      </c>
      <c r="JG87">
        <v>-3.61734043746866e-05</v>
      </c>
      <c r="JH87">
        <v>1</v>
      </c>
      <c r="JI87">
        <v>2182</v>
      </c>
      <c r="JJ87">
        <v>0</v>
      </c>
      <c r="JK87">
        <v>24</v>
      </c>
      <c r="JL87">
        <v>29349827.2</v>
      </c>
      <c r="JM87">
        <v>29349827.2</v>
      </c>
      <c r="JN87">
        <v>2.31079</v>
      </c>
      <c r="JO87">
        <v>2.61475</v>
      </c>
      <c r="JP87">
        <v>1.54785</v>
      </c>
      <c r="JQ87">
        <v>2.31445</v>
      </c>
      <c r="JR87">
        <v>1.64673</v>
      </c>
      <c r="JS87">
        <v>2.323</v>
      </c>
      <c r="JT87">
        <v>33.6029</v>
      </c>
      <c r="JU87">
        <v>24.1838</v>
      </c>
      <c r="JV87">
        <v>18</v>
      </c>
      <c r="JW87">
        <v>500.907</v>
      </c>
      <c r="JX87">
        <v>394.821</v>
      </c>
      <c r="JY87">
        <v>12.4374</v>
      </c>
      <c r="JZ87">
        <v>23.9008</v>
      </c>
      <c r="KA87">
        <v>30.0001</v>
      </c>
      <c r="KB87">
        <v>23.921</v>
      </c>
      <c r="KC87">
        <v>23.8932</v>
      </c>
      <c r="KD87">
        <v>46.2883</v>
      </c>
      <c r="KE87">
        <v>8.77818</v>
      </c>
      <c r="KF87">
        <v>23.3636</v>
      </c>
      <c r="KG87">
        <v>12.4197</v>
      </c>
      <c r="KH87">
        <v>1190.51</v>
      </c>
      <c r="KI87">
        <v>9.0085</v>
      </c>
      <c r="KJ87">
        <v>97.0445</v>
      </c>
      <c r="KK87">
        <v>95.3046</v>
      </c>
    </row>
    <row r="88" spans="1:297">
      <c r="A88">
        <v>72</v>
      </c>
      <c r="B88">
        <v>1760989637.1</v>
      </c>
      <c r="C88">
        <v>447</v>
      </c>
      <c r="D88" t="s">
        <v>586</v>
      </c>
      <c r="E88" t="s">
        <v>587</v>
      </c>
      <c r="F88">
        <v>5</v>
      </c>
      <c r="G88" t="s">
        <v>435</v>
      </c>
      <c r="H88" t="s">
        <v>436</v>
      </c>
      <c r="I88">
        <v>1760989628.94615</v>
      </c>
      <c r="J88">
        <f>(K88)/1000</f>
        <v>0</v>
      </c>
      <c r="K88">
        <f>IF(DP88, AN88, AH88)</f>
        <v>0</v>
      </c>
      <c r="L88">
        <f>IF(DP88, AI88, AG88)</f>
        <v>0</v>
      </c>
      <c r="M88">
        <f>DR88 - IF(AU88&gt;1, L88*DL88*100.0/(AW88), 0)</f>
        <v>0</v>
      </c>
      <c r="N88">
        <f>((T88-J88/2)*M88-L88)/(T88+J88/2)</f>
        <v>0</v>
      </c>
      <c r="O88">
        <f>N88*(DY88+DZ88)/1000.0</f>
        <v>0</v>
      </c>
      <c r="P88">
        <f>(DR88 - IF(AU88&gt;1, L88*DL88*100.0/(AW88), 0))*(DY88+DZ88)/1000.0</f>
        <v>0</v>
      </c>
      <c r="Q88">
        <f>2.0/((1/S88-1/R88)+SIGN(S88)*SQRT((1/S88-1/R88)*(1/S88-1/R88) + 4*DM88/((DM88+1)*(DM88+1))*(2*1/S88*1/R88-1/R88*1/R88)))</f>
        <v>0</v>
      </c>
      <c r="R88">
        <f>IF(LEFT(DN88,1)&lt;&gt;"0",IF(LEFT(DN88,1)="1",3.0,DO88),$D$5+$E$5*(EF88*DY88/($K$5*1000))+$F$5*(EF88*DY88/($K$5*1000))*MAX(MIN(DL88,$J$5),$I$5)*MAX(MIN(DL88,$J$5),$I$5)+$G$5*MAX(MIN(DL88,$J$5),$I$5)*(EF88*DY88/($K$5*1000))+$H$5*(EF88*DY88/($K$5*1000))*(EF88*DY88/($K$5*1000)))</f>
        <v>0</v>
      </c>
      <c r="S88">
        <f>J88*(1000-(1000*0.61365*exp(17.502*W88/(240.97+W88))/(DY88+DZ88)+DT88)/2)/(1000*0.61365*exp(17.502*W88/(240.97+W88))/(DY88+DZ88)-DT88)</f>
        <v>0</v>
      </c>
      <c r="T88">
        <f>1/((DM88+1)/(Q88/1.6)+1/(R88/1.37)) + DM88/((DM88+1)/(Q88/1.6) + DM88/(R88/1.37))</f>
        <v>0</v>
      </c>
      <c r="U88">
        <f>(DH88*DK88)</f>
        <v>0</v>
      </c>
      <c r="V88">
        <f>(EA88+(U88+2*0.95*5.67E-8*(((EA88+$B$7)+273)^4-(EA88+273)^4)-44100*J88)/(1.84*29.3*R88+8*0.95*5.67E-8*(EA88+273)^3))</f>
        <v>0</v>
      </c>
      <c r="W88">
        <f>($C$7*EB88+$D$7*EC88+$E$7*V88)</f>
        <v>0</v>
      </c>
      <c r="X88">
        <f>0.61365*exp(17.502*W88/(240.97+W88))</f>
        <v>0</v>
      </c>
      <c r="Y88">
        <f>(Z88/AA88*100)</f>
        <v>0</v>
      </c>
      <c r="Z88">
        <f>DT88*(DY88+DZ88)/1000</f>
        <v>0</v>
      </c>
      <c r="AA88">
        <f>0.61365*exp(17.502*EA88/(240.97+EA88))</f>
        <v>0</v>
      </c>
      <c r="AB88">
        <f>(X88-DT88*(DY88+DZ88)/1000)</f>
        <v>0</v>
      </c>
      <c r="AC88">
        <f>(-J88*44100)</f>
        <v>0</v>
      </c>
      <c r="AD88">
        <f>2*29.3*R88*0.92*(EA88-W88)</f>
        <v>0</v>
      </c>
      <c r="AE88">
        <f>2*0.95*5.67E-8*(((EA88+$B$7)+273)^4-(W88+273)^4)</f>
        <v>0</v>
      </c>
      <c r="AF88">
        <f>U88+AE88+AC88+AD88</f>
        <v>0</v>
      </c>
      <c r="AG88">
        <f>DX88*AU88*(DS88-DR88*(1000-AU88*DU88)/(1000-AU88*DT88))/(100*DL88)</f>
        <v>0</v>
      </c>
      <c r="AH88">
        <f>1000*DX88*AU88*(DT88-DU88)/(100*DL88*(1000-AU88*DT88))</f>
        <v>0</v>
      </c>
      <c r="AI88">
        <f>(AJ88 - AK88 - DY88*1E3/(8.314*(EA88+273.15)) * AM88/DX88 * AL88) * DX88/(100*DL88) * (1000 - DU88)/1000</f>
        <v>0</v>
      </c>
      <c r="AJ88">
        <v>1186.15521470504</v>
      </c>
      <c r="AK88">
        <v>1155.24448484848</v>
      </c>
      <c r="AL88">
        <v>3.39707671035595</v>
      </c>
      <c r="AM88">
        <v>64.8413469339502</v>
      </c>
      <c r="AN88">
        <f>(AP88 - AO88 + DY88*1E3/(8.314*(EA88+273.15)) * AR88/DX88 * AQ88) * DX88/(100*DL88) * 1000/(1000 - AP88)</f>
        <v>0</v>
      </c>
      <c r="AO88">
        <v>8.98818893822692</v>
      </c>
      <c r="AP88">
        <v>11.8313412121212</v>
      </c>
      <c r="AQ88">
        <v>1.69858603160595e-05</v>
      </c>
      <c r="AR88">
        <v>118.472689631034</v>
      </c>
      <c r="AS88">
        <v>0</v>
      </c>
      <c r="AT88">
        <v>0</v>
      </c>
      <c r="AU88">
        <f>IF(AS88*$H$13&gt;=AW88,1.0,(AW88/(AW88-AS88*$H$13)))</f>
        <v>0</v>
      </c>
      <c r="AV88">
        <f>(AU88-1)*100</f>
        <v>0</v>
      </c>
      <c r="AW88">
        <f>MAX(0,($B$13+$C$13*EF88)/(1+$D$13*EF88)*DY88/(EA88+273)*$E$13)</f>
        <v>0</v>
      </c>
      <c r="AX88" t="s">
        <v>437</v>
      </c>
      <c r="AY88" t="s">
        <v>437</v>
      </c>
      <c r="AZ88">
        <v>0</v>
      </c>
      <c r="BA88">
        <v>0</v>
      </c>
      <c r="BB88">
        <f>1-AZ88/BA88</f>
        <v>0</v>
      </c>
      <c r="BC88">
        <v>0</v>
      </c>
      <c r="BD88" t="s">
        <v>437</v>
      </c>
      <c r="BE88" t="s">
        <v>437</v>
      </c>
      <c r="BF88">
        <v>0</v>
      </c>
      <c r="BG88">
        <v>0</v>
      </c>
      <c r="BH88">
        <f>1-BF88/BG88</f>
        <v>0</v>
      </c>
      <c r="BI88">
        <v>0.5</v>
      </c>
      <c r="BJ88">
        <f>DI88</f>
        <v>0</v>
      </c>
      <c r="BK88">
        <f>L88</f>
        <v>0</v>
      </c>
      <c r="BL88">
        <f>BH88*BI88*BJ88</f>
        <v>0</v>
      </c>
      <c r="BM88">
        <f>(BK88-BC88)/BJ88</f>
        <v>0</v>
      </c>
      <c r="BN88">
        <f>(BA88-BG88)/BG88</f>
        <v>0</v>
      </c>
      <c r="BO88">
        <f>AZ88/(BB88+AZ88/BG88)</f>
        <v>0</v>
      </c>
      <c r="BP88" t="s">
        <v>437</v>
      </c>
      <c r="BQ88">
        <v>0</v>
      </c>
      <c r="BR88">
        <f>IF(BQ88&lt;&gt;0, BQ88, BO88)</f>
        <v>0</v>
      </c>
      <c r="BS88">
        <f>1-BR88/BG88</f>
        <v>0</v>
      </c>
      <c r="BT88">
        <f>(BG88-BF88)/(BG88-BR88)</f>
        <v>0</v>
      </c>
      <c r="BU88">
        <f>(BA88-BG88)/(BA88-BR88)</f>
        <v>0</v>
      </c>
      <c r="BV88">
        <f>(BG88-BF88)/(BG88-AZ88)</f>
        <v>0</v>
      </c>
      <c r="BW88">
        <f>(BA88-BG88)/(BA88-AZ88)</f>
        <v>0</v>
      </c>
      <c r="BX88">
        <f>(BT88*BR88/BF88)</f>
        <v>0</v>
      </c>
      <c r="BY88">
        <f>(1-BX88)</f>
        <v>0</v>
      </c>
      <c r="DH88">
        <f>$B$11*EG88+$C$11*EH88+$F$11*ES88*(1-EV88)</f>
        <v>0</v>
      </c>
      <c r="DI88">
        <f>DH88*DJ88</f>
        <v>0</v>
      </c>
      <c r="DJ88">
        <f>($B$11*$D$9+$C$11*$D$9+$F$11*((FF88+EX88)/MAX(FF88+EX88+FG88, 0.1)*$I$9+FG88/MAX(FF88+EX88+FG88, 0.1)*$J$9))/($B$11+$C$11+$F$11)</f>
        <v>0</v>
      </c>
      <c r="DK88">
        <f>($B$11*$K$9+$C$11*$K$9+$F$11*((FF88+EX88)/MAX(FF88+EX88+FG88, 0.1)*$P$9+FG88/MAX(FF88+EX88+FG88, 0.1)*$Q$9))/($B$11+$C$11+$F$11)</f>
        <v>0</v>
      </c>
      <c r="DL88">
        <v>6</v>
      </c>
      <c r="DM88">
        <v>0.5</v>
      </c>
      <c r="DN88" t="s">
        <v>438</v>
      </c>
      <c r="DO88">
        <v>2</v>
      </c>
      <c r="DP88" t="b">
        <v>1</v>
      </c>
      <c r="DQ88">
        <v>1760989628.94615</v>
      </c>
      <c r="DR88">
        <v>1117.61461538462</v>
      </c>
      <c r="DS88">
        <v>1159.68230769231</v>
      </c>
      <c r="DT88">
        <v>11.8264230769231</v>
      </c>
      <c r="DU88">
        <v>8.98489538461538</v>
      </c>
      <c r="DV88">
        <v>1112.29</v>
      </c>
      <c r="DW88">
        <v>11.9374384615385</v>
      </c>
      <c r="DX88">
        <v>499.993615384615</v>
      </c>
      <c r="DY88">
        <v>89.8580923076923</v>
      </c>
      <c r="DZ88">
        <v>0.00759315538461538</v>
      </c>
      <c r="EA88">
        <v>18.4559153846154</v>
      </c>
      <c r="EB88">
        <v>18.0108076923077</v>
      </c>
      <c r="EC88">
        <v>999.9</v>
      </c>
      <c r="ED88">
        <v>0</v>
      </c>
      <c r="EE88">
        <v>0</v>
      </c>
      <c r="EF88">
        <v>9993.46769230769</v>
      </c>
      <c r="EG88">
        <v>0</v>
      </c>
      <c r="EH88">
        <v>1270.24461538462</v>
      </c>
      <c r="EI88">
        <v>-42.0680153846154</v>
      </c>
      <c r="EJ88">
        <v>1130.98923076923</v>
      </c>
      <c r="EK88">
        <v>1170.19615384615</v>
      </c>
      <c r="EL88">
        <v>2.84151846153846</v>
      </c>
      <c r="EM88">
        <v>1159.68230769231</v>
      </c>
      <c r="EN88">
        <v>8.98489538461538</v>
      </c>
      <c r="EO88">
        <v>1.0627</v>
      </c>
      <c r="EP88">
        <v>0.807365692307692</v>
      </c>
      <c r="EQ88">
        <v>7.80557846153846</v>
      </c>
      <c r="ER88">
        <v>3.83746846153846</v>
      </c>
      <c r="ES88">
        <v>1200.01384615385</v>
      </c>
      <c r="ET88">
        <v>0.967003230769231</v>
      </c>
      <c r="EU88">
        <v>0.0329970692307692</v>
      </c>
      <c r="EV88">
        <v>0</v>
      </c>
      <c r="EW88">
        <v>1335.69692307692</v>
      </c>
      <c r="EX88">
        <v>5.00059</v>
      </c>
      <c r="EY88">
        <v>15763.9461538462</v>
      </c>
      <c r="EZ88">
        <v>10358.8538461538</v>
      </c>
      <c r="FA88">
        <v>38.6294615384615</v>
      </c>
      <c r="FB88">
        <v>41.5045384615385</v>
      </c>
      <c r="FC88">
        <v>39.1825384615385</v>
      </c>
      <c r="FD88">
        <v>41.6296153846154</v>
      </c>
      <c r="FE88">
        <v>39.7353076923077</v>
      </c>
      <c r="FF88">
        <v>1155.58</v>
      </c>
      <c r="FG88">
        <v>39.4338461538462</v>
      </c>
      <c r="FH88">
        <v>0</v>
      </c>
      <c r="FI88">
        <v>1760989606.3</v>
      </c>
      <c r="FJ88">
        <v>0</v>
      </c>
      <c r="FK88">
        <v>1335.66461538462</v>
      </c>
      <c r="FL88">
        <v>-2.42871794318946</v>
      </c>
      <c r="FM88">
        <v>8.59829070801663</v>
      </c>
      <c r="FN88">
        <v>15763.6576923077</v>
      </c>
      <c r="FO88">
        <v>15</v>
      </c>
      <c r="FP88">
        <v>0</v>
      </c>
      <c r="FQ88" t="s">
        <v>439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-41.9599</v>
      </c>
      <c r="GD88">
        <v>-1.42383157894733</v>
      </c>
      <c r="GE88">
        <v>0.470195481688201</v>
      </c>
      <c r="GF88">
        <v>0</v>
      </c>
      <c r="GG88">
        <v>1335.86264705882</v>
      </c>
      <c r="GH88">
        <v>-2.15691367423127</v>
      </c>
      <c r="GI88">
        <v>0.294920815130482</v>
      </c>
      <c r="GJ88">
        <v>-1</v>
      </c>
      <c r="GK88">
        <v>2.840783</v>
      </c>
      <c r="GL88">
        <v>0.0164778947368489</v>
      </c>
      <c r="GM88">
        <v>0.00163046343105262</v>
      </c>
      <c r="GN88">
        <v>1</v>
      </c>
      <c r="GO88">
        <v>1</v>
      </c>
      <c r="GP88">
        <v>2</v>
      </c>
      <c r="GQ88" t="s">
        <v>446</v>
      </c>
      <c r="GR88">
        <v>3.13049</v>
      </c>
      <c r="GS88">
        <v>2.68581</v>
      </c>
      <c r="GT88">
        <v>0.17992</v>
      </c>
      <c r="GU88">
        <v>0.184477</v>
      </c>
      <c r="GV88">
        <v>0.0617801</v>
      </c>
      <c r="GW88">
        <v>0.0497709</v>
      </c>
      <c r="GX88">
        <v>31083.4</v>
      </c>
      <c r="GY88">
        <v>33215.6</v>
      </c>
      <c r="GZ88">
        <v>34266.5</v>
      </c>
      <c r="HA88">
        <v>36849.8</v>
      </c>
      <c r="HB88">
        <v>45357.8</v>
      </c>
      <c r="HC88">
        <v>50221.6</v>
      </c>
      <c r="HD88">
        <v>53340.8</v>
      </c>
      <c r="HE88">
        <v>58777.2</v>
      </c>
      <c r="HF88">
        <v>2.00872</v>
      </c>
      <c r="HG88">
        <v>1.8385</v>
      </c>
      <c r="HH88">
        <v>0.033848</v>
      </c>
      <c r="HI88">
        <v>0</v>
      </c>
      <c r="HJ88">
        <v>17.4561</v>
      </c>
      <c r="HK88">
        <v>999.9</v>
      </c>
      <c r="HL88">
        <v>25.882</v>
      </c>
      <c r="HM88">
        <v>30.293</v>
      </c>
      <c r="HN88">
        <v>12.4792</v>
      </c>
      <c r="HO88">
        <v>54.2391</v>
      </c>
      <c r="HP88">
        <v>44.2308</v>
      </c>
      <c r="HQ88">
        <v>1</v>
      </c>
      <c r="HR88">
        <v>-0.269428</v>
      </c>
      <c r="HS88">
        <v>3.95626</v>
      </c>
      <c r="HT88">
        <v>20.0933</v>
      </c>
      <c r="HU88">
        <v>5.20187</v>
      </c>
      <c r="HV88">
        <v>12.004</v>
      </c>
      <c r="HW88">
        <v>4.9755</v>
      </c>
      <c r="HX88">
        <v>3.293</v>
      </c>
      <c r="HY88">
        <v>9999</v>
      </c>
      <c r="HZ88">
        <v>999.9</v>
      </c>
      <c r="IA88">
        <v>9999</v>
      </c>
      <c r="IB88">
        <v>9999</v>
      </c>
      <c r="IC88">
        <v>1.86324</v>
      </c>
      <c r="ID88">
        <v>1.86805</v>
      </c>
      <c r="IE88">
        <v>1.86783</v>
      </c>
      <c r="IF88">
        <v>1.86905</v>
      </c>
      <c r="IG88">
        <v>1.86981</v>
      </c>
      <c r="IH88">
        <v>1.86585</v>
      </c>
      <c r="II88">
        <v>1.86692</v>
      </c>
      <c r="IJ88">
        <v>1.86843</v>
      </c>
      <c r="IK88">
        <v>5</v>
      </c>
      <c r="IL88">
        <v>0</v>
      </c>
      <c r="IM88">
        <v>0</v>
      </c>
      <c r="IN88">
        <v>0</v>
      </c>
      <c r="IO88" t="s">
        <v>441</v>
      </c>
      <c r="IP88" t="s">
        <v>442</v>
      </c>
      <c r="IQ88" t="s">
        <v>443</v>
      </c>
      <c r="IR88" t="s">
        <v>443</v>
      </c>
      <c r="IS88" t="s">
        <v>443</v>
      </c>
      <c r="IT88" t="s">
        <v>443</v>
      </c>
      <c r="IU88">
        <v>0</v>
      </c>
      <c r="IV88">
        <v>100</v>
      </c>
      <c r="IW88">
        <v>100</v>
      </c>
      <c r="IX88">
        <v>5.41</v>
      </c>
      <c r="IY88">
        <v>-0.111</v>
      </c>
      <c r="IZ88">
        <v>1.12474291219083</v>
      </c>
      <c r="JA88">
        <v>0.00463155566490582</v>
      </c>
      <c r="JB88">
        <v>-1.1358998729424e-06</v>
      </c>
      <c r="JC88">
        <v>3.28704272115545e-10</v>
      </c>
      <c r="JD88">
        <v>-0.0704455108513773</v>
      </c>
      <c r="JE88">
        <v>-0.0251928478371425</v>
      </c>
      <c r="JF88">
        <v>0.00225751704194564</v>
      </c>
      <c r="JG88">
        <v>-3.61734043746866e-05</v>
      </c>
      <c r="JH88">
        <v>1</v>
      </c>
      <c r="JI88">
        <v>2182</v>
      </c>
      <c r="JJ88">
        <v>0</v>
      </c>
      <c r="JK88">
        <v>24</v>
      </c>
      <c r="JL88">
        <v>29349827.3</v>
      </c>
      <c r="JM88">
        <v>29349827.3</v>
      </c>
      <c r="JN88">
        <v>2.33521</v>
      </c>
      <c r="JO88">
        <v>2.61841</v>
      </c>
      <c r="JP88">
        <v>1.54785</v>
      </c>
      <c r="JQ88">
        <v>2.31445</v>
      </c>
      <c r="JR88">
        <v>1.64673</v>
      </c>
      <c r="JS88">
        <v>2.31567</v>
      </c>
      <c r="JT88">
        <v>33.6029</v>
      </c>
      <c r="JU88">
        <v>24.1838</v>
      </c>
      <c r="JV88">
        <v>18</v>
      </c>
      <c r="JW88">
        <v>500.635</v>
      </c>
      <c r="JX88">
        <v>394.87</v>
      </c>
      <c r="JY88">
        <v>12.425</v>
      </c>
      <c r="JZ88">
        <v>23.9008</v>
      </c>
      <c r="KA88">
        <v>30.0002</v>
      </c>
      <c r="KB88">
        <v>23.921</v>
      </c>
      <c r="KC88">
        <v>23.8927</v>
      </c>
      <c r="KD88">
        <v>46.7804</v>
      </c>
      <c r="KE88">
        <v>8.77818</v>
      </c>
      <c r="KF88">
        <v>23.3636</v>
      </c>
      <c r="KG88">
        <v>12.4062</v>
      </c>
      <c r="KH88">
        <v>1204.02</v>
      </c>
      <c r="KI88">
        <v>9.0085</v>
      </c>
      <c r="KJ88">
        <v>97.0438</v>
      </c>
      <c r="KK88">
        <v>95.3049</v>
      </c>
    </row>
    <row r="89" spans="1:297">
      <c r="A89">
        <v>73</v>
      </c>
      <c r="B89">
        <v>1760989642.1</v>
      </c>
      <c r="C89">
        <v>452</v>
      </c>
      <c r="D89" t="s">
        <v>588</v>
      </c>
      <c r="E89" t="s">
        <v>589</v>
      </c>
      <c r="F89">
        <v>5</v>
      </c>
      <c r="G89" t="s">
        <v>435</v>
      </c>
      <c r="H89" t="s">
        <v>436</v>
      </c>
      <c r="I89">
        <v>1760989633.94615</v>
      </c>
      <c r="J89">
        <f>(K89)/1000</f>
        <v>0</v>
      </c>
      <c r="K89">
        <f>IF(DP89, AN89, AH89)</f>
        <v>0</v>
      </c>
      <c r="L89">
        <f>IF(DP89, AI89, AG89)</f>
        <v>0</v>
      </c>
      <c r="M89">
        <f>DR89 - IF(AU89&gt;1, L89*DL89*100.0/(AW89), 0)</f>
        <v>0</v>
      </c>
      <c r="N89">
        <f>((T89-J89/2)*M89-L89)/(T89+J89/2)</f>
        <v>0</v>
      </c>
      <c r="O89">
        <f>N89*(DY89+DZ89)/1000.0</f>
        <v>0</v>
      </c>
      <c r="P89">
        <f>(DR89 - IF(AU89&gt;1, L89*DL89*100.0/(AW89), 0))*(DY89+DZ89)/1000.0</f>
        <v>0</v>
      </c>
      <c r="Q89">
        <f>2.0/((1/S89-1/R89)+SIGN(S89)*SQRT((1/S89-1/R89)*(1/S89-1/R89) + 4*DM89/((DM89+1)*(DM89+1))*(2*1/S89*1/R89-1/R89*1/R89)))</f>
        <v>0</v>
      </c>
      <c r="R89">
        <f>IF(LEFT(DN89,1)&lt;&gt;"0",IF(LEFT(DN89,1)="1",3.0,DO89),$D$5+$E$5*(EF89*DY89/($K$5*1000))+$F$5*(EF89*DY89/($K$5*1000))*MAX(MIN(DL89,$J$5),$I$5)*MAX(MIN(DL89,$J$5),$I$5)+$G$5*MAX(MIN(DL89,$J$5),$I$5)*(EF89*DY89/($K$5*1000))+$H$5*(EF89*DY89/($K$5*1000))*(EF89*DY89/($K$5*1000)))</f>
        <v>0</v>
      </c>
      <c r="S89">
        <f>J89*(1000-(1000*0.61365*exp(17.502*W89/(240.97+W89))/(DY89+DZ89)+DT89)/2)/(1000*0.61365*exp(17.502*W89/(240.97+W89))/(DY89+DZ89)-DT89)</f>
        <v>0</v>
      </c>
      <c r="T89">
        <f>1/((DM89+1)/(Q89/1.6)+1/(R89/1.37)) + DM89/((DM89+1)/(Q89/1.6) + DM89/(R89/1.37))</f>
        <v>0</v>
      </c>
      <c r="U89">
        <f>(DH89*DK89)</f>
        <v>0</v>
      </c>
      <c r="V89">
        <f>(EA89+(U89+2*0.95*5.67E-8*(((EA89+$B$7)+273)^4-(EA89+273)^4)-44100*J89)/(1.84*29.3*R89+8*0.95*5.67E-8*(EA89+273)^3))</f>
        <v>0</v>
      </c>
      <c r="W89">
        <f>($C$7*EB89+$D$7*EC89+$E$7*V89)</f>
        <v>0</v>
      </c>
      <c r="X89">
        <f>0.61365*exp(17.502*W89/(240.97+W89))</f>
        <v>0</v>
      </c>
      <c r="Y89">
        <f>(Z89/AA89*100)</f>
        <v>0</v>
      </c>
      <c r="Z89">
        <f>DT89*(DY89+DZ89)/1000</f>
        <v>0</v>
      </c>
      <c r="AA89">
        <f>0.61365*exp(17.502*EA89/(240.97+EA89))</f>
        <v>0</v>
      </c>
      <c r="AB89">
        <f>(X89-DT89*(DY89+DZ89)/1000)</f>
        <v>0</v>
      </c>
      <c r="AC89">
        <f>(-J89*44100)</f>
        <v>0</v>
      </c>
      <c r="AD89">
        <f>2*29.3*R89*0.92*(EA89-W89)</f>
        <v>0</v>
      </c>
      <c r="AE89">
        <f>2*0.95*5.67E-8*(((EA89+$B$7)+273)^4-(W89+273)^4)</f>
        <v>0</v>
      </c>
      <c r="AF89">
        <f>U89+AE89+AC89+AD89</f>
        <v>0</v>
      </c>
      <c r="AG89">
        <f>DX89*AU89*(DS89-DR89*(1000-AU89*DU89)/(1000-AU89*DT89))/(100*DL89)</f>
        <v>0</v>
      </c>
      <c r="AH89">
        <f>1000*DX89*AU89*(DT89-DU89)/(100*DL89*(1000-AU89*DT89))</f>
        <v>0</v>
      </c>
      <c r="AI89">
        <f>(AJ89 - AK89 - DY89*1E3/(8.314*(EA89+273.15)) * AM89/DX89 * AL89) * DX89/(100*DL89) * (1000 - DU89)/1000</f>
        <v>0</v>
      </c>
      <c r="AJ89">
        <v>1202.12287940719</v>
      </c>
      <c r="AK89">
        <v>1171.63551515152</v>
      </c>
      <c r="AL89">
        <v>3.26971790363295</v>
      </c>
      <c r="AM89">
        <v>64.8413469339502</v>
      </c>
      <c r="AN89">
        <f>(AP89 - AO89 + DY89*1E3/(8.314*(EA89+273.15)) * AR89/DX89 * AQ89) * DX89/(100*DL89) * 1000/(1000 - AP89)</f>
        <v>0</v>
      </c>
      <c r="AO89">
        <v>8.99015451852993</v>
      </c>
      <c r="AP89">
        <v>11.8352915151515</v>
      </c>
      <c r="AQ89">
        <v>3.91150970315566e-05</v>
      </c>
      <c r="AR89">
        <v>118.472689631034</v>
      </c>
      <c r="AS89">
        <v>0</v>
      </c>
      <c r="AT89">
        <v>0</v>
      </c>
      <c r="AU89">
        <f>IF(AS89*$H$13&gt;=AW89,1.0,(AW89/(AW89-AS89*$H$13)))</f>
        <v>0</v>
      </c>
      <c r="AV89">
        <f>(AU89-1)*100</f>
        <v>0</v>
      </c>
      <c r="AW89">
        <f>MAX(0,($B$13+$C$13*EF89)/(1+$D$13*EF89)*DY89/(EA89+273)*$E$13)</f>
        <v>0</v>
      </c>
      <c r="AX89" t="s">
        <v>437</v>
      </c>
      <c r="AY89" t="s">
        <v>437</v>
      </c>
      <c r="AZ89">
        <v>0</v>
      </c>
      <c r="BA89">
        <v>0</v>
      </c>
      <c r="BB89">
        <f>1-AZ89/BA89</f>
        <v>0</v>
      </c>
      <c r="BC89">
        <v>0</v>
      </c>
      <c r="BD89" t="s">
        <v>437</v>
      </c>
      <c r="BE89" t="s">
        <v>437</v>
      </c>
      <c r="BF89">
        <v>0</v>
      </c>
      <c r="BG89">
        <v>0</v>
      </c>
      <c r="BH89">
        <f>1-BF89/BG89</f>
        <v>0</v>
      </c>
      <c r="BI89">
        <v>0.5</v>
      </c>
      <c r="BJ89">
        <f>DI89</f>
        <v>0</v>
      </c>
      <c r="BK89">
        <f>L89</f>
        <v>0</v>
      </c>
      <c r="BL89">
        <f>BH89*BI89*BJ89</f>
        <v>0</v>
      </c>
      <c r="BM89">
        <f>(BK89-BC89)/BJ89</f>
        <v>0</v>
      </c>
      <c r="BN89">
        <f>(BA89-BG89)/BG89</f>
        <v>0</v>
      </c>
      <c r="BO89">
        <f>AZ89/(BB89+AZ89/BG89)</f>
        <v>0</v>
      </c>
      <c r="BP89" t="s">
        <v>437</v>
      </c>
      <c r="BQ89">
        <v>0</v>
      </c>
      <c r="BR89">
        <f>IF(BQ89&lt;&gt;0, BQ89, BO89)</f>
        <v>0</v>
      </c>
      <c r="BS89">
        <f>1-BR89/BG89</f>
        <v>0</v>
      </c>
      <c r="BT89">
        <f>(BG89-BF89)/(BG89-BR89)</f>
        <v>0</v>
      </c>
      <c r="BU89">
        <f>(BA89-BG89)/(BA89-BR89)</f>
        <v>0</v>
      </c>
      <c r="BV89">
        <f>(BG89-BF89)/(BG89-AZ89)</f>
        <v>0</v>
      </c>
      <c r="BW89">
        <f>(BA89-BG89)/(BA89-AZ89)</f>
        <v>0</v>
      </c>
      <c r="BX89">
        <f>(BT89*BR89/BF89)</f>
        <v>0</v>
      </c>
      <c r="BY89">
        <f>(1-BX89)</f>
        <v>0</v>
      </c>
      <c r="DH89">
        <f>$B$11*EG89+$C$11*EH89+$F$11*ES89*(1-EV89)</f>
        <v>0</v>
      </c>
      <c r="DI89">
        <f>DH89*DJ89</f>
        <v>0</v>
      </c>
      <c r="DJ89">
        <f>($B$11*$D$9+$C$11*$D$9+$F$11*((FF89+EX89)/MAX(FF89+EX89+FG89, 0.1)*$I$9+FG89/MAX(FF89+EX89+FG89, 0.1)*$J$9))/($B$11+$C$11+$F$11)</f>
        <v>0</v>
      </c>
      <c r="DK89">
        <f>($B$11*$K$9+$C$11*$K$9+$F$11*((FF89+EX89)/MAX(FF89+EX89+FG89, 0.1)*$P$9+FG89/MAX(FF89+EX89+FG89, 0.1)*$Q$9))/($B$11+$C$11+$F$11)</f>
        <v>0</v>
      </c>
      <c r="DL89">
        <v>6</v>
      </c>
      <c r="DM89">
        <v>0.5</v>
      </c>
      <c r="DN89" t="s">
        <v>438</v>
      </c>
      <c r="DO89">
        <v>2</v>
      </c>
      <c r="DP89" t="b">
        <v>1</v>
      </c>
      <c r="DQ89">
        <v>1760989633.94615</v>
      </c>
      <c r="DR89">
        <v>1134.27923076923</v>
      </c>
      <c r="DS89">
        <v>1176.01</v>
      </c>
      <c r="DT89">
        <v>11.8300846153846</v>
      </c>
      <c r="DU89">
        <v>8.98737461538462</v>
      </c>
      <c r="DV89">
        <v>1128.90076923077</v>
      </c>
      <c r="DW89">
        <v>11.9410615384615</v>
      </c>
      <c r="DX89">
        <v>500.010923076923</v>
      </c>
      <c r="DY89">
        <v>89.8582461538461</v>
      </c>
      <c r="DZ89">
        <v>0.00764827307692308</v>
      </c>
      <c r="EA89">
        <v>18.4604846153846</v>
      </c>
      <c r="EB89">
        <v>18.0122384615385</v>
      </c>
      <c r="EC89">
        <v>999.9</v>
      </c>
      <c r="ED89">
        <v>0</v>
      </c>
      <c r="EE89">
        <v>0</v>
      </c>
      <c r="EF89">
        <v>9996.30230769231</v>
      </c>
      <c r="EG89">
        <v>0</v>
      </c>
      <c r="EH89">
        <v>1270.24307692308</v>
      </c>
      <c r="EI89">
        <v>-41.7295076923077</v>
      </c>
      <c r="EJ89">
        <v>1147.85846153846</v>
      </c>
      <c r="EK89">
        <v>1186.67384615385</v>
      </c>
      <c r="EL89">
        <v>2.84270769230769</v>
      </c>
      <c r="EM89">
        <v>1176.01</v>
      </c>
      <c r="EN89">
        <v>8.98737461538462</v>
      </c>
      <c r="EO89">
        <v>1.06303153846154</v>
      </c>
      <c r="EP89">
        <v>0.807589846153846</v>
      </c>
      <c r="EQ89">
        <v>7.81015461538461</v>
      </c>
      <c r="ER89">
        <v>3.84141307692308</v>
      </c>
      <c r="ES89">
        <v>1200.00923076923</v>
      </c>
      <c r="ET89">
        <v>0.967005769230769</v>
      </c>
      <c r="EU89">
        <v>0.0329945692307692</v>
      </c>
      <c r="EV89">
        <v>0</v>
      </c>
      <c r="EW89">
        <v>1335.54384615385</v>
      </c>
      <c r="EX89">
        <v>5.00059</v>
      </c>
      <c r="EY89">
        <v>15764.3384615385</v>
      </c>
      <c r="EZ89">
        <v>10358.8230769231</v>
      </c>
      <c r="FA89">
        <v>38.6872307692308</v>
      </c>
      <c r="FB89">
        <v>41.5575384615385</v>
      </c>
      <c r="FC89">
        <v>39.2400769230769</v>
      </c>
      <c r="FD89">
        <v>41.7209230769231</v>
      </c>
      <c r="FE89">
        <v>39.7930769230769</v>
      </c>
      <c r="FF89">
        <v>1155.57769230769</v>
      </c>
      <c r="FG89">
        <v>39.4315384615385</v>
      </c>
      <c r="FH89">
        <v>0</v>
      </c>
      <c r="FI89">
        <v>1760989611.1</v>
      </c>
      <c r="FJ89">
        <v>0</v>
      </c>
      <c r="FK89">
        <v>1335.53807692308</v>
      </c>
      <c r="FL89">
        <v>-2.38735043372915</v>
      </c>
      <c r="FM89">
        <v>3.91794876924733</v>
      </c>
      <c r="FN89">
        <v>15764.0692307692</v>
      </c>
      <c r="FO89">
        <v>15</v>
      </c>
      <c r="FP89">
        <v>0</v>
      </c>
      <c r="FQ89" t="s">
        <v>439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-41.93102</v>
      </c>
      <c r="GD89">
        <v>3.59782556390971</v>
      </c>
      <c r="GE89">
        <v>0.467778589291986</v>
      </c>
      <c r="GF89">
        <v>0</v>
      </c>
      <c r="GG89">
        <v>1335.62294117647</v>
      </c>
      <c r="GH89">
        <v>-2.25362872034293</v>
      </c>
      <c r="GI89">
        <v>0.294533823202653</v>
      </c>
      <c r="GJ89">
        <v>-1</v>
      </c>
      <c r="GK89">
        <v>2.8421325</v>
      </c>
      <c r="GL89">
        <v>0.0142019548872163</v>
      </c>
      <c r="GM89">
        <v>0.00147229030764995</v>
      </c>
      <c r="GN89">
        <v>1</v>
      </c>
      <c r="GO89">
        <v>1</v>
      </c>
      <c r="GP89">
        <v>2</v>
      </c>
      <c r="GQ89" t="s">
        <v>446</v>
      </c>
      <c r="GR89">
        <v>3.13059</v>
      </c>
      <c r="GS89">
        <v>2.68556</v>
      </c>
      <c r="GT89">
        <v>0.18152</v>
      </c>
      <c r="GU89">
        <v>0.185962</v>
      </c>
      <c r="GV89">
        <v>0.0617945</v>
      </c>
      <c r="GW89">
        <v>0.0497765</v>
      </c>
      <c r="GX89">
        <v>31022.6</v>
      </c>
      <c r="GY89">
        <v>33155.4</v>
      </c>
      <c r="GZ89">
        <v>34266.3</v>
      </c>
      <c r="HA89">
        <v>36850</v>
      </c>
      <c r="HB89">
        <v>45357.2</v>
      </c>
      <c r="HC89">
        <v>50221.3</v>
      </c>
      <c r="HD89">
        <v>53340.7</v>
      </c>
      <c r="HE89">
        <v>58777</v>
      </c>
      <c r="HF89">
        <v>2.00895</v>
      </c>
      <c r="HG89">
        <v>1.83838</v>
      </c>
      <c r="HH89">
        <v>0.0328571</v>
      </c>
      <c r="HI89">
        <v>0</v>
      </c>
      <c r="HJ89">
        <v>17.4575</v>
      </c>
      <c r="HK89">
        <v>999.9</v>
      </c>
      <c r="HL89">
        <v>25.906</v>
      </c>
      <c r="HM89">
        <v>30.293</v>
      </c>
      <c r="HN89">
        <v>12.4919</v>
      </c>
      <c r="HO89">
        <v>54.3091</v>
      </c>
      <c r="HP89">
        <v>44.2909</v>
      </c>
      <c r="HQ89">
        <v>1</v>
      </c>
      <c r="HR89">
        <v>-0.269779</v>
      </c>
      <c r="HS89">
        <v>3.97221</v>
      </c>
      <c r="HT89">
        <v>20.0929</v>
      </c>
      <c r="HU89">
        <v>5.20097</v>
      </c>
      <c r="HV89">
        <v>12.004</v>
      </c>
      <c r="HW89">
        <v>4.9755</v>
      </c>
      <c r="HX89">
        <v>3.29293</v>
      </c>
      <c r="HY89">
        <v>9999</v>
      </c>
      <c r="HZ89">
        <v>999.9</v>
      </c>
      <c r="IA89">
        <v>9999</v>
      </c>
      <c r="IB89">
        <v>9999</v>
      </c>
      <c r="IC89">
        <v>1.86325</v>
      </c>
      <c r="ID89">
        <v>1.86806</v>
      </c>
      <c r="IE89">
        <v>1.86783</v>
      </c>
      <c r="IF89">
        <v>1.86905</v>
      </c>
      <c r="IG89">
        <v>1.86981</v>
      </c>
      <c r="IH89">
        <v>1.86586</v>
      </c>
      <c r="II89">
        <v>1.86692</v>
      </c>
      <c r="IJ89">
        <v>1.86842</v>
      </c>
      <c r="IK89">
        <v>5</v>
      </c>
      <c r="IL89">
        <v>0</v>
      </c>
      <c r="IM89">
        <v>0</v>
      </c>
      <c r="IN89">
        <v>0</v>
      </c>
      <c r="IO89" t="s">
        <v>441</v>
      </c>
      <c r="IP89" t="s">
        <v>442</v>
      </c>
      <c r="IQ89" t="s">
        <v>443</v>
      </c>
      <c r="IR89" t="s">
        <v>443</v>
      </c>
      <c r="IS89" t="s">
        <v>443</v>
      </c>
      <c r="IT89" t="s">
        <v>443</v>
      </c>
      <c r="IU89">
        <v>0</v>
      </c>
      <c r="IV89">
        <v>100</v>
      </c>
      <c r="IW89">
        <v>100</v>
      </c>
      <c r="IX89">
        <v>5.47</v>
      </c>
      <c r="IY89">
        <v>-0.1109</v>
      </c>
      <c r="IZ89">
        <v>1.12474291219083</v>
      </c>
      <c r="JA89">
        <v>0.00463155566490582</v>
      </c>
      <c r="JB89">
        <v>-1.1358998729424e-06</v>
      </c>
      <c r="JC89">
        <v>3.28704272115545e-10</v>
      </c>
      <c r="JD89">
        <v>-0.0704455108513773</v>
      </c>
      <c r="JE89">
        <v>-0.0251928478371425</v>
      </c>
      <c r="JF89">
        <v>0.00225751704194564</v>
      </c>
      <c r="JG89">
        <v>-3.61734043746866e-05</v>
      </c>
      <c r="JH89">
        <v>1</v>
      </c>
      <c r="JI89">
        <v>2182</v>
      </c>
      <c r="JJ89">
        <v>0</v>
      </c>
      <c r="JK89">
        <v>24</v>
      </c>
      <c r="JL89">
        <v>29349827.4</v>
      </c>
      <c r="JM89">
        <v>29349827.4</v>
      </c>
      <c r="JN89">
        <v>2.3584</v>
      </c>
      <c r="JO89">
        <v>2.61597</v>
      </c>
      <c r="JP89">
        <v>1.54785</v>
      </c>
      <c r="JQ89">
        <v>2.31445</v>
      </c>
      <c r="JR89">
        <v>1.64673</v>
      </c>
      <c r="JS89">
        <v>2.31323</v>
      </c>
      <c r="JT89">
        <v>33.6254</v>
      </c>
      <c r="JU89">
        <v>24.1838</v>
      </c>
      <c r="JV89">
        <v>18</v>
      </c>
      <c r="JW89">
        <v>500.779</v>
      </c>
      <c r="JX89">
        <v>394.808</v>
      </c>
      <c r="JY89">
        <v>12.4092</v>
      </c>
      <c r="JZ89">
        <v>23.9008</v>
      </c>
      <c r="KA89">
        <v>29.9999</v>
      </c>
      <c r="KB89">
        <v>23.921</v>
      </c>
      <c r="KC89">
        <v>23.8932</v>
      </c>
      <c r="KD89">
        <v>47.3231</v>
      </c>
      <c r="KE89">
        <v>8.77818</v>
      </c>
      <c r="KF89">
        <v>23.3636</v>
      </c>
      <c r="KG89">
        <v>12.3977</v>
      </c>
      <c r="KH89">
        <v>1224.68</v>
      </c>
      <c r="KI89">
        <v>9.0085</v>
      </c>
      <c r="KJ89">
        <v>97.0435</v>
      </c>
      <c r="KK89">
        <v>95.3049</v>
      </c>
    </row>
    <row r="90" spans="1:297">
      <c r="A90">
        <v>74</v>
      </c>
      <c r="B90">
        <v>1760989647.1</v>
      </c>
      <c r="C90">
        <v>457</v>
      </c>
      <c r="D90" t="s">
        <v>590</v>
      </c>
      <c r="E90" t="s">
        <v>591</v>
      </c>
      <c r="F90">
        <v>5</v>
      </c>
      <c r="G90" t="s">
        <v>435</v>
      </c>
      <c r="H90" t="s">
        <v>436</v>
      </c>
      <c r="I90">
        <v>1760989638.94615</v>
      </c>
      <c r="J90">
        <f>(K90)/1000</f>
        <v>0</v>
      </c>
      <c r="K90">
        <f>IF(DP90, AN90, AH90)</f>
        <v>0</v>
      </c>
      <c r="L90">
        <f>IF(DP90, AI90, AG90)</f>
        <v>0</v>
      </c>
      <c r="M90">
        <f>DR90 - IF(AU90&gt;1, L90*DL90*100.0/(AW90), 0)</f>
        <v>0</v>
      </c>
      <c r="N90">
        <f>((T90-J90/2)*M90-L90)/(T90+J90/2)</f>
        <v>0</v>
      </c>
      <c r="O90">
        <f>N90*(DY90+DZ90)/1000.0</f>
        <v>0</v>
      </c>
      <c r="P90">
        <f>(DR90 - IF(AU90&gt;1, L90*DL90*100.0/(AW90), 0))*(DY90+DZ90)/1000.0</f>
        <v>0</v>
      </c>
      <c r="Q90">
        <f>2.0/((1/S90-1/R90)+SIGN(S90)*SQRT((1/S90-1/R90)*(1/S90-1/R90) + 4*DM90/((DM90+1)*(DM90+1))*(2*1/S90*1/R90-1/R90*1/R90)))</f>
        <v>0</v>
      </c>
      <c r="R90">
        <f>IF(LEFT(DN90,1)&lt;&gt;"0",IF(LEFT(DN90,1)="1",3.0,DO90),$D$5+$E$5*(EF90*DY90/($K$5*1000))+$F$5*(EF90*DY90/($K$5*1000))*MAX(MIN(DL90,$J$5),$I$5)*MAX(MIN(DL90,$J$5),$I$5)+$G$5*MAX(MIN(DL90,$J$5),$I$5)*(EF90*DY90/($K$5*1000))+$H$5*(EF90*DY90/($K$5*1000))*(EF90*DY90/($K$5*1000)))</f>
        <v>0</v>
      </c>
      <c r="S90">
        <f>J90*(1000-(1000*0.61365*exp(17.502*W90/(240.97+W90))/(DY90+DZ90)+DT90)/2)/(1000*0.61365*exp(17.502*W90/(240.97+W90))/(DY90+DZ90)-DT90)</f>
        <v>0</v>
      </c>
      <c r="T90">
        <f>1/((DM90+1)/(Q90/1.6)+1/(R90/1.37)) + DM90/((DM90+1)/(Q90/1.6) + DM90/(R90/1.37))</f>
        <v>0</v>
      </c>
      <c r="U90">
        <f>(DH90*DK90)</f>
        <v>0</v>
      </c>
      <c r="V90">
        <f>(EA90+(U90+2*0.95*5.67E-8*(((EA90+$B$7)+273)^4-(EA90+273)^4)-44100*J90)/(1.84*29.3*R90+8*0.95*5.67E-8*(EA90+273)^3))</f>
        <v>0</v>
      </c>
      <c r="W90">
        <f>($C$7*EB90+$D$7*EC90+$E$7*V90)</f>
        <v>0</v>
      </c>
      <c r="X90">
        <f>0.61365*exp(17.502*W90/(240.97+W90))</f>
        <v>0</v>
      </c>
      <c r="Y90">
        <f>(Z90/AA90*100)</f>
        <v>0</v>
      </c>
      <c r="Z90">
        <f>DT90*(DY90+DZ90)/1000</f>
        <v>0</v>
      </c>
      <c r="AA90">
        <f>0.61365*exp(17.502*EA90/(240.97+EA90))</f>
        <v>0</v>
      </c>
      <c r="AB90">
        <f>(X90-DT90*(DY90+DZ90)/1000)</f>
        <v>0</v>
      </c>
      <c r="AC90">
        <f>(-J90*44100)</f>
        <v>0</v>
      </c>
      <c r="AD90">
        <f>2*29.3*R90*0.92*(EA90-W90)</f>
        <v>0</v>
      </c>
      <c r="AE90">
        <f>2*0.95*5.67E-8*(((EA90+$B$7)+273)^4-(W90+273)^4)</f>
        <v>0</v>
      </c>
      <c r="AF90">
        <f>U90+AE90+AC90+AD90</f>
        <v>0</v>
      </c>
      <c r="AG90">
        <f>DX90*AU90*(DS90-DR90*(1000-AU90*DU90)/(1000-AU90*DT90))/(100*DL90)</f>
        <v>0</v>
      </c>
      <c r="AH90">
        <f>1000*DX90*AU90*(DT90-DU90)/(100*DL90*(1000-AU90*DT90))</f>
        <v>0</v>
      </c>
      <c r="AI90">
        <f>(AJ90 - AK90 - DY90*1E3/(8.314*(EA90+273.15)) * AM90/DX90 * AL90) * DX90/(100*DL90) * (1000 - DU90)/1000</f>
        <v>0</v>
      </c>
      <c r="AJ90">
        <v>1217.73002760287</v>
      </c>
      <c r="AK90">
        <v>1187.47642424242</v>
      </c>
      <c r="AL90">
        <v>3.16157813003054</v>
      </c>
      <c r="AM90">
        <v>64.8413469339502</v>
      </c>
      <c r="AN90">
        <f>(AP90 - AO90 + DY90*1E3/(8.314*(EA90+273.15)) * AR90/DX90 * AQ90) * DX90/(100*DL90) * 1000/(1000 - AP90)</f>
        <v>0</v>
      </c>
      <c r="AO90">
        <v>8.99298333137423</v>
      </c>
      <c r="AP90">
        <v>11.8351660606061</v>
      </c>
      <c r="AQ90">
        <v>-9.7229935815418e-06</v>
      </c>
      <c r="AR90">
        <v>118.472689631034</v>
      </c>
      <c r="AS90">
        <v>0</v>
      </c>
      <c r="AT90">
        <v>0</v>
      </c>
      <c r="AU90">
        <f>IF(AS90*$H$13&gt;=AW90,1.0,(AW90/(AW90-AS90*$H$13)))</f>
        <v>0</v>
      </c>
      <c r="AV90">
        <f>(AU90-1)*100</f>
        <v>0</v>
      </c>
      <c r="AW90">
        <f>MAX(0,($B$13+$C$13*EF90)/(1+$D$13*EF90)*DY90/(EA90+273)*$E$13)</f>
        <v>0</v>
      </c>
      <c r="AX90" t="s">
        <v>437</v>
      </c>
      <c r="AY90" t="s">
        <v>437</v>
      </c>
      <c r="AZ90">
        <v>0</v>
      </c>
      <c r="BA90">
        <v>0</v>
      </c>
      <c r="BB90">
        <f>1-AZ90/BA90</f>
        <v>0</v>
      </c>
      <c r="BC90">
        <v>0</v>
      </c>
      <c r="BD90" t="s">
        <v>437</v>
      </c>
      <c r="BE90" t="s">
        <v>437</v>
      </c>
      <c r="BF90">
        <v>0</v>
      </c>
      <c r="BG90">
        <v>0</v>
      </c>
      <c r="BH90">
        <f>1-BF90/BG90</f>
        <v>0</v>
      </c>
      <c r="BI90">
        <v>0.5</v>
      </c>
      <c r="BJ90">
        <f>DI90</f>
        <v>0</v>
      </c>
      <c r="BK90">
        <f>L90</f>
        <v>0</v>
      </c>
      <c r="BL90">
        <f>BH90*BI90*BJ90</f>
        <v>0</v>
      </c>
      <c r="BM90">
        <f>(BK90-BC90)/BJ90</f>
        <v>0</v>
      </c>
      <c r="BN90">
        <f>(BA90-BG90)/BG90</f>
        <v>0</v>
      </c>
      <c r="BO90">
        <f>AZ90/(BB90+AZ90/BG90)</f>
        <v>0</v>
      </c>
      <c r="BP90" t="s">
        <v>437</v>
      </c>
      <c r="BQ90">
        <v>0</v>
      </c>
      <c r="BR90">
        <f>IF(BQ90&lt;&gt;0, BQ90, BO90)</f>
        <v>0</v>
      </c>
      <c r="BS90">
        <f>1-BR90/BG90</f>
        <v>0</v>
      </c>
      <c r="BT90">
        <f>(BG90-BF90)/(BG90-BR90)</f>
        <v>0</v>
      </c>
      <c r="BU90">
        <f>(BA90-BG90)/(BA90-BR90)</f>
        <v>0</v>
      </c>
      <c r="BV90">
        <f>(BG90-BF90)/(BG90-AZ90)</f>
        <v>0</v>
      </c>
      <c r="BW90">
        <f>(BA90-BG90)/(BA90-AZ90)</f>
        <v>0</v>
      </c>
      <c r="BX90">
        <f>(BT90*BR90/BF90)</f>
        <v>0</v>
      </c>
      <c r="BY90">
        <f>(1-BX90)</f>
        <v>0</v>
      </c>
      <c r="DH90">
        <f>$B$11*EG90+$C$11*EH90+$F$11*ES90*(1-EV90)</f>
        <v>0</v>
      </c>
      <c r="DI90">
        <f>DH90*DJ90</f>
        <v>0</v>
      </c>
      <c r="DJ90">
        <f>($B$11*$D$9+$C$11*$D$9+$F$11*((FF90+EX90)/MAX(FF90+EX90+FG90, 0.1)*$I$9+FG90/MAX(FF90+EX90+FG90, 0.1)*$J$9))/($B$11+$C$11+$F$11)</f>
        <v>0</v>
      </c>
      <c r="DK90">
        <f>($B$11*$K$9+$C$11*$K$9+$F$11*((FF90+EX90)/MAX(FF90+EX90+FG90, 0.1)*$P$9+FG90/MAX(FF90+EX90+FG90, 0.1)*$Q$9))/($B$11+$C$11+$F$11)</f>
        <v>0</v>
      </c>
      <c r="DL90">
        <v>6</v>
      </c>
      <c r="DM90">
        <v>0.5</v>
      </c>
      <c r="DN90" t="s">
        <v>438</v>
      </c>
      <c r="DO90">
        <v>2</v>
      </c>
      <c r="DP90" t="b">
        <v>1</v>
      </c>
      <c r="DQ90">
        <v>1760989638.94615</v>
      </c>
      <c r="DR90">
        <v>1150.59384615385</v>
      </c>
      <c r="DS90">
        <v>1192.13230769231</v>
      </c>
      <c r="DT90">
        <v>11.8330307692308</v>
      </c>
      <c r="DU90">
        <v>8.98978153846154</v>
      </c>
      <c r="DV90">
        <v>1145.16307692308</v>
      </c>
      <c r="DW90">
        <v>11.9439692307692</v>
      </c>
      <c r="DX90">
        <v>500.007846153846</v>
      </c>
      <c r="DY90">
        <v>89.8583923076923</v>
      </c>
      <c r="DZ90">
        <v>0.00769474846153846</v>
      </c>
      <c r="EA90">
        <v>18.4639692307692</v>
      </c>
      <c r="EB90">
        <v>18.0116307692308</v>
      </c>
      <c r="EC90">
        <v>999.9</v>
      </c>
      <c r="ED90">
        <v>0</v>
      </c>
      <c r="EE90">
        <v>0</v>
      </c>
      <c r="EF90">
        <v>10000.7653846154</v>
      </c>
      <c r="EG90">
        <v>0</v>
      </c>
      <c r="EH90">
        <v>1270.24230769231</v>
      </c>
      <c r="EI90">
        <v>-41.5366153846154</v>
      </c>
      <c r="EJ90">
        <v>1164.37384615385</v>
      </c>
      <c r="EK90">
        <v>1202.94615384615</v>
      </c>
      <c r="EL90">
        <v>2.84325692307692</v>
      </c>
      <c r="EM90">
        <v>1192.13230769231</v>
      </c>
      <c r="EN90">
        <v>8.98978153846154</v>
      </c>
      <c r="EO90">
        <v>1.06329923076923</v>
      </c>
      <c r="EP90">
        <v>0.807807461538462</v>
      </c>
      <c r="EQ90">
        <v>7.81384461538461</v>
      </c>
      <c r="ER90">
        <v>3.84524230769231</v>
      </c>
      <c r="ES90">
        <v>1199.98615384615</v>
      </c>
      <c r="ET90">
        <v>0.967003923076923</v>
      </c>
      <c r="EU90">
        <v>0.0329964230769231</v>
      </c>
      <c r="EV90">
        <v>0</v>
      </c>
      <c r="EW90">
        <v>1335.35076923077</v>
      </c>
      <c r="EX90">
        <v>5.00059</v>
      </c>
      <c r="EY90">
        <v>15764.3769230769</v>
      </c>
      <c r="EZ90">
        <v>10358.6153846154</v>
      </c>
      <c r="FA90">
        <v>38.7496153846154</v>
      </c>
      <c r="FB90">
        <v>41.6150769230769</v>
      </c>
      <c r="FC90">
        <v>39.3026923076923</v>
      </c>
      <c r="FD90">
        <v>41.817</v>
      </c>
      <c r="FE90">
        <v>39.8554615384615</v>
      </c>
      <c r="FF90">
        <v>1155.55230769231</v>
      </c>
      <c r="FG90">
        <v>39.4330769230769</v>
      </c>
      <c r="FH90">
        <v>0</v>
      </c>
      <c r="FI90">
        <v>1760989616.5</v>
      </c>
      <c r="FJ90">
        <v>0</v>
      </c>
      <c r="FK90">
        <v>1335.2804</v>
      </c>
      <c r="FL90">
        <v>-1.69461539289227</v>
      </c>
      <c r="FM90">
        <v>4.14615384808726</v>
      </c>
      <c r="FN90">
        <v>15764.452</v>
      </c>
      <c r="FO90">
        <v>15</v>
      </c>
      <c r="FP90">
        <v>0</v>
      </c>
      <c r="FQ90" t="s">
        <v>439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-41.6353571428571</v>
      </c>
      <c r="GD90">
        <v>3.35068051948042</v>
      </c>
      <c r="GE90">
        <v>0.52326449250417</v>
      </c>
      <c r="GF90">
        <v>0</v>
      </c>
      <c r="GG90">
        <v>1335.44235294118</v>
      </c>
      <c r="GH90">
        <v>-2.34224599485642</v>
      </c>
      <c r="GI90">
        <v>0.30478593088892</v>
      </c>
      <c r="GJ90">
        <v>-1</v>
      </c>
      <c r="GK90">
        <v>2.84281476190476</v>
      </c>
      <c r="GL90">
        <v>0.00779766233766084</v>
      </c>
      <c r="GM90">
        <v>0.00127966743837396</v>
      </c>
      <c r="GN90">
        <v>1</v>
      </c>
      <c r="GO90">
        <v>1</v>
      </c>
      <c r="GP90">
        <v>2</v>
      </c>
      <c r="GQ90" t="s">
        <v>446</v>
      </c>
      <c r="GR90">
        <v>3.13064</v>
      </c>
      <c r="GS90">
        <v>2.68563</v>
      </c>
      <c r="GT90">
        <v>0.183077</v>
      </c>
      <c r="GU90">
        <v>0.187644</v>
      </c>
      <c r="GV90">
        <v>0.0617954</v>
      </c>
      <c r="GW90">
        <v>0.0497891</v>
      </c>
      <c r="GX90">
        <v>30963.8</v>
      </c>
      <c r="GY90">
        <v>33087.1</v>
      </c>
      <c r="GZ90">
        <v>34266.4</v>
      </c>
      <c r="HA90">
        <v>36850</v>
      </c>
      <c r="HB90">
        <v>45357.2</v>
      </c>
      <c r="HC90">
        <v>50221.2</v>
      </c>
      <c r="HD90">
        <v>53340.6</v>
      </c>
      <c r="HE90">
        <v>58777.4</v>
      </c>
      <c r="HF90">
        <v>2.0093</v>
      </c>
      <c r="HG90">
        <v>1.83832</v>
      </c>
      <c r="HH90">
        <v>0.0329539</v>
      </c>
      <c r="HI90">
        <v>0</v>
      </c>
      <c r="HJ90">
        <v>17.4575</v>
      </c>
      <c r="HK90">
        <v>999.9</v>
      </c>
      <c r="HL90">
        <v>25.906</v>
      </c>
      <c r="HM90">
        <v>30.293</v>
      </c>
      <c r="HN90">
        <v>12.4917</v>
      </c>
      <c r="HO90">
        <v>54.1691</v>
      </c>
      <c r="HP90">
        <v>44.355</v>
      </c>
      <c r="HQ90">
        <v>1</v>
      </c>
      <c r="HR90">
        <v>-0.269466</v>
      </c>
      <c r="HS90">
        <v>3.96566</v>
      </c>
      <c r="HT90">
        <v>20.0932</v>
      </c>
      <c r="HU90">
        <v>5.20246</v>
      </c>
      <c r="HV90">
        <v>12.004</v>
      </c>
      <c r="HW90">
        <v>4.9756</v>
      </c>
      <c r="HX90">
        <v>3.29295</v>
      </c>
      <c r="HY90">
        <v>9999</v>
      </c>
      <c r="HZ90">
        <v>999.9</v>
      </c>
      <c r="IA90">
        <v>9999</v>
      </c>
      <c r="IB90">
        <v>9999</v>
      </c>
      <c r="IC90">
        <v>1.86325</v>
      </c>
      <c r="ID90">
        <v>1.86805</v>
      </c>
      <c r="IE90">
        <v>1.86783</v>
      </c>
      <c r="IF90">
        <v>1.86904</v>
      </c>
      <c r="IG90">
        <v>1.86981</v>
      </c>
      <c r="IH90">
        <v>1.86584</v>
      </c>
      <c r="II90">
        <v>1.86692</v>
      </c>
      <c r="IJ90">
        <v>1.8684</v>
      </c>
      <c r="IK90">
        <v>5</v>
      </c>
      <c r="IL90">
        <v>0</v>
      </c>
      <c r="IM90">
        <v>0</v>
      </c>
      <c r="IN90">
        <v>0</v>
      </c>
      <c r="IO90" t="s">
        <v>441</v>
      </c>
      <c r="IP90" t="s">
        <v>442</v>
      </c>
      <c r="IQ90" t="s">
        <v>443</v>
      </c>
      <c r="IR90" t="s">
        <v>443</v>
      </c>
      <c r="IS90" t="s">
        <v>443</v>
      </c>
      <c r="IT90" t="s">
        <v>443</v>
      </c>
      <c r="IU90">
        <v>0</v>
      </c>
      <c r="IV90">
        <v>100</v>
      </c>
      <c r="IW90">
        <v>100</v>
      </c>
      <c r="IX90">
        <v>5.52</v>
      </c>
      <c r="IY90">
        <v>-0.1109</v>
      </c>
      <c r="IZ90">
        <v>1.12474291219083</v>
      </c>
      <c r="JA90">
        <v>0.00463155566490582</v>
      </c>
      <c r="JB90">
        <v>-1.1358998729424e-06</v>
      </c>
      <c r="JC90">
        <v>3.28704272115545e-10</v>
      </c>
      <c r="JD90">
        <v>-0.0704455108513773</v>
      </c>
      <c r="JE90">
        <v>-0.0251928478371425</v>
      </c>
      <c r="JF90">
        <v>0.00225751704194564</v>
      </c>
      <c r="JG90">
        <v>-3.61734043746866e-05</v>
      </c>
      <c r="JH90">
        <v>1</v>
      </c>
      <c r="JI90">
        <v>2182</v>
      </c>
      <c r="JJ90">
        <v>0</v>
      </c>
      <c r="JK90">
        <v>24</v>
      </c>
      <c r="JL90">
        <v>29349827.5</v>
      </c>
      <c r="JM90">
        <v>29349827.5</v>
      </c>
      <c r="JN90">
        <v>2.39136</v>
      </c>
      <c r="JO90">
        <v>2.61108</v>
      </c>
      <c r="JP90">
        <v>1.54785</v>
      </c>
      <c r="JQ90">
        <v>2.31445</v>
      </c>
      <c r="JR90">
        <v>1.64673</v>
      </c>
      <c r="JS90">
        <v>2.28882</v>
      </c>
      <c r="JT90">
        <v>33.6254</v>
      </c>
      <c r="JU90">
        <v>24.1838</v>
      </c>
      <c r="JV90">
        <v>18</v>
      </c>
      <c r="JW90">
        <v>501.003</v>
      </c>
      <c r="JX90">
        <v>394.777</v>
      </c>
      <c r="JY90">
        <v>12.3974</v>
      </c>
      <c r="JZ90">
        <v>23.9008</v>
      </c>
      <c r="KA90">
        <v>30.0002</v>
      </c>
      <c r="KB90">
        <v>23.921</v>
      </c>
      <c r="KC90">
        <v>23.8925</v>
      </c>
      <c r="KD90">
        <v>47.8645</v>
      </c>
      <c r="KE90">
        <v>8.77818</v>
      </c>
      <c r="KF90">
        <v>23.3636</v>
      </c>
      <c r="KG90">
        <v>12.3882</v>
      </c>
      <c r="KH90">
        <v>1238.28</v>
      </c>
      <c r="KI90">
        <v>9.0085</v>
      </c>
      <c r="KJ90">
        <v>97.0435</v>
      </c>
      <c r="KK90">
        <v>95.3053</v>
      </c>
    </row>
    <row r="91" spans="1:297">
      <c r="A91">
        <v>75</v>
      </c>
      <c r="B91">
        <v>1760989652.1</v>
      </c>
      <c r="C91">
        <v>462</v>
      </c>
      <c r="D91" t="s">
        <v>592</v>
      </c>
      <c r="E91" t="s">
        <v>593</v>
      </c>
      <c r="F91">
        <v>5</v>
      </c>
      <c r="G91" t="s">
        <v>435</v>
      </c>
      <c r="H91" t="s">
        <v>436</v>
      </c>
      <c r="I91">
        <v>1760989643.94615</v>
      </c>
      <c r="J91">
        <f>(K91)/1000</f>
        <v>0</v>
      </c>
      <c r="K91">
        <f>IF(DP91, AN91, AH91)</f>
        <v>0</v>
      </c>
      <c r="L91">
        <f>IF(DP91, AI91, AG91)</f>
        <v>0</v>
      </c>
      <c r="M91">
        <f>DR91 - IF(AU91&gt;1, L91*DL91*100.0/(AW91), 0)</f>
        <v>0</v>
      </c>
      <c r="N91">
        <f>((T91-J91/2)*M91-L91)/(T91+J91/2)</f>
        <v>0</v>
      </c>
      <c r="O91">
        <f>N91*(DY91+DZ91)/1000.0</f>
        <v>0</v>
      </c>
      <c r="P91">
        <f>(DR91 - IF(AU91&gt;1, L91*DL91*100.0/(AW91), 0))*(DY91+DZ91)/1000.0</f>
        <v>0</v>
      </c>
      <c r="Q91">
        <f>2.0/((1/S91-1/R91)+SIGN(S91)*SQRT((1/S91-1/R91)*(1/S91-1/R91) + 4*DM91/((DM91+1)*(DM91+1))*(2*1/S91*1/R91-1/R91*1/R91)))</f>
        <v>0</v>
      </c>
      <c r="R91">
        <f>IF(LEFT(DN91,1)&lt;&gt;"0",IF(LEFT(DN91,1)="1",3.0,DO91),$D$5+$E$5*(EF91*DY91/($K$5*1000))+$F$5*(EF91*DY91/($K$5*1000))*MAX(MIN(DL91,$J$5),$I$5)*MAX(MIN(DL91,$J$5),$I$5)+$G$5*MAX(MIN(DL91,$J$5),$I$5)*(EF91*DY91/($K$5*1000))+$H$5*(EF91*DY91/($K$5*1000))*(EF91*DY91/($K$5*1000)))</f>
        <v>0</v>
      </c>
      <c r="S91">
        <f>J91*(1000-(1000*0.61365*exp(17.502*W91/(240.97+W91))/(DY91+DZ91)+DT91)/2)/(1000*0.61365*exp(17.502*W91/(240.97+W91))/(DY91+DZ91)-DT91)</f>
        <v>0</v>
      </c>
      <c r="T91">
        <f>1/((DM91+1)/(Q91/1.6)+1/(R91/1.37)) + DM91/((DM91+1)/(Q91/1.6) + DM91/(R91/1.37))</f>
        <v>0</v>
      </c>
      <c r="U91">
        <f>(DH91*DK91)</f>
        <v>0</v>
      </c>
      <c r="V91">
        <f>(EA91+(U91+2*0.95*5.67E-8*(((EA91+$B$7)+273)^4-(EA91+273)^4)-44100*J91)/(1.84*29.3*R91+8*0.95*5.67E-8*(EA91+273)^3))</f>
        <v>0</v>
      </c>
      <c r="W91">
        <f>($C$7*EB91+$D$7*EC91+$E$7*V91)</f>
        <v>0</v>
      </c>
      <c r="X91">
        <f>0.61365*exp(17.502*W91/(240.97+W91))</f>
        <v>0</v>
      </c>
      <c r="Y91">
        <f>(Z91/AA91*100)</f>
        <v>0</v>
      </c>
      <c r="Z91">
        <f>DT91*(DY91+DZ91)/1000</f>
        <v>0</v>
      </c>
      <c r="AA91">
        <f>0.61365*exp(17.502*EA91/(240.97+EA91))</f>
        <v>0</v>
      </c>
      <c r="AB91">
        <f>(X91-DT91*(DY91+DZ91)/1000)</f>
        <v>0</v>
      </c>
      <c r="AC91">
        <f>(-J91*44100)</f>
        <v>0</v>
      </c>
      <c r="AD91">
        <f>2*29.3*R91*0.92*(EA91-W91)</f>
        <v>0</v>
      </c>
      <c r="AE91">
        <f>2*0.95*5.67E-8*(((EA91+$B$7)+273)^4-(W91+273)^4)</f>
        <v>0</v>
      </c>
      <c r="AF91">
        <f>U91+AE91+AC91+AD91</f>
        <v>0</v>
      </c>
      <c r="AG91">
        <f>DX91*AU91*(DS91-DR91*(1000-AU91*DU91)/(1000-AU91*DT91))/(100*DL91)</f>
        <v>0</v>
      </c>
      <c r="AH91">
        <f>1000*DX91*AU91*(DT91-DU91)/(100*DL91*(1000-AU91*DT91))</f>
        <v>0</v>
      </c>
      <c r="AI91">
        <f>(AJ91 - AK91 - DY91*1E3/(8.314*(EA91+273.15)) * AM91/DX91 * AL91) * DX91/(100*DL91) * (1000 - DU91)/1000</f>
        <v>0</v>
      </c>
      <c r="AJ91">
        <v>1235.80845713452</v>
      </c>
      <c r="AK91">
        <v>1204.54466666667</v>
      </c>
      <c r="AL91">
        <v>3.43291230891667</v>
      </c>
      <c r="AM91">
        <v>64.8413469339502</v>
      </c>
      <c r="AN91">
        <f>(AP91 - AO91 + DY91*1E3/(8.314*(EA91+273.15)) * AR91/DX91 * AQ91) * DX91/(100*DL91) * 1000/(1000 - AP91)</f>
        <v>0</v>
      </c>
      <c r="AO91">
        <v>8.99468773927693</v>
      </c>
      <c r="AP91">
        <v>11.838416969697</v>
      </c>
      <c r="AQ91">
        <v>2.563989457646e-05</v>
      </c>
      <c r="AR91">
        <v>118.472689631034</v>
      </c>
      <c r="AS91">
        <v>0</v>
      </c>
      <c r="AT91">
        <v>0</v>
      </c>
      <c r="AU91">
        <f>IF(AS91*$H$13&gt;=AW91,1.0,(AW91/(AW91-AS91*$H$13)))</f>
        <v>0</v>
      </c>
      <c r="AV91">
        <f>(AU91-1)*100</f>
        <v>0</v>
      </c>
      <c r="AW91">
        <f>MAX(0,($B$13+$C$13*EF91)/(1+$D$13*EF91)*DY91/(EA91+273)*$E$13)</f>
        <v>0</v>
      </c>
      <c r="AX91" t="s">
        <v>437</v>
      </c>
      <c r="AY91" t="s">
        <v>437</v>
      </c>
      <c r="AZ91">
        <v>0</v>
      </c>
      <c r="BA91">
        <v>0</v>
      </c>
      <c r="BB91">
        <f>1-AZ91/BA91</f>
        <v>0</v>
      </c>
      <c r="BC91">
        <v>0</v>
      </c>
      <c r="BD91" t="s">
        <v>437</v>
      </c>
      <c r="BE91" t="s">
        <v>437</v>
      </c>
      <c r="BF91">
        <v>0</v>
      </c>
      <c r="BG91">
        <v>0</v>
      </c>
      <c r="BH91">
        <f>1-BF91/BG91</f>
        <v>0</v>
      </c>
      <c r="BI91">
        <v>0.5</v>
      </c>
      <c r="BJ91">
        <f>DI91</f>
        <v>0</v>
      </c>
      <c r="BK91">
        <f>L91</f>
        <v>0</v>
      </c>
      <c r="BL91">
        <f>BH91*BI91*BJ91</f>
        <v>0</v>
      </c>
      <c r="BM91">
        <f>(BK91-BC91)/BJ91</f>
        <v>0</v>
      </c>
      <c r="BN91">
        <f>(BA91-BG91)/BG91</f>
        <v>0</v>
      </c>
      <c r="BO91">
        <f>AZ91/(BB91+AZ91/BG91)</f>
        <v>0</v>
      </c>
      <c r="BP91" t="s">
        <v>437</v>
      </c>
      <c r="BQ91">
        <v>0</v>
      </c>
      <c r="BR91">
        <f>IF(BQ91&lt;&gt;0, BQ91, BO91)</f>
        <v>0</v>
      </c>
      <c r="BS91">
        <f>1-BR91/BG91</f>
        <v>0</v>
      </c>
      <c r="BT91">
        <f>(BG91-BF91)/(BG91-BR91)</f>
        <v>0</v>
      </c>
      <c r="BU91">
        <f>(BA91-BG91)/(BA91-BR91)</f>
        <v>0</v>
      </c>
      <c r="BV91">
        <f>(BG91-BF91)/(BG91-AZ91)</f>
        <v>0</v>
      </c>
      <c r="BW91">
        <f>(BA91-BG91)/(BA91-AZ91)</f>
        <v>0</v>
      </c>
      <c r="BX91">
        <f>(BT91*BR91/BF91)</f>
        <v>0</v>
      </c>
      <c r="BY91">
        <f>(1-BX91)</f>
        <v>0</v>
      </c>
      <c r="DH91">
        <f>$B$11*EG91+$C$11*EH91+$F$11*ES91*(1-EV91)</f>
        <v>0</v>
      </c>
      <c r="DI91">
        <f>DH91*DJ91</f>
        <v>0</v>
      </c>
      <c r="DJ91">
        <f>($B$11*$D$9+$C$11*$D$9+$F$11*((FF91+EX91)/MAX(FF91+EX91+FG91, 0.1)*$I$9+FG91/MAX(FF91+EX91+FG91, 0.1)*$J$9))/($B$11+$C$11+$F$11)</f>
        <v>0</v>
      </c>
      <c r="DK91">
        <f>($B$11*$K$9+$C$11*$K$9+$F$11*((FF91+EX91)/MAX(FF91+EX91+FG91, 0.1)*$P$9+FG91/MAX(FF91+EX91+FG91, 0.1)*$Q$9))/($B$11+$C$11+$F$11)</f>
        <v>0</v>
      </c>
      <c r="DL91">
        <v>6</v>
      </c>
      <c r="DM91">
        <v>0.5</v>
      </c>
      <c r="DN91" t="s">
        <v>438</v>
      </c>
      <c r="DO91">
        <v>2</v>
      </c>
      <c r="DP91" t="b">
        <v>1</v>
      </c>
      <c r="DQ91">
        <v>1760989643.94615</v>
      </c>
      <c r="DR91">
        <v>1166.84</v>
      </c>
      <c r="DS91">
        <v>1208.62307692308</v>
      </c>
      <c r="DT91">
        <v>11.8353</v>
      </c>
      <c r="DU91">
        <v>8.99206692307692</v>
      </c>
      <c r="DV91">
        <v>1161.35615384615</v>
      </c>
      <c r="DW91">
        <v>11.9462153846154</v>
      </c>
      <c r="DX91">
        <v>500.000615384615</v>
      </c>
      <c r="DY91">
        <v>89.8580615384615</v>
      </c>
      <c r="DZ91">
        <v>0.00770829153846154</v>
      </c>
      <c r="EA91">
        <v>18.4646461538462</v>
      </c>
      <c r="EB91">
        <v>18.0063923076923</v>
      </c>
      <c r="EC91">
        <v>999.9</v>
      </c>
      <c r="ED91">
        <v>0</v>
      </c>
      <c r="EE91">
        <v>0</v>
      </c>
      <c r="EF91">
        <v>10002.3507692308</v>
      </c>
      <c r="EG91">
        <v>0</v>
      </c>
      <c r="EH91">
        <v>1270.22923076923</v>
      </c>
      <c r="EI91">
        <v>-41.7811076923077</v>
      </c>
      <c r="EJ91">
        <v>1180.81769230769</v>
      </c>
      <c r="EK91">
        <v>1219.59</v>
      </c>
      <c r="EL91">
        <v>2.84324230769231</v>
      </c>
      <c r="EM91">
        <v>1208.62307692308</v>
      </c>
      <c r="EN91">
        <v>8.99206692307692</v>
      </c>
      <c r="EO91">
        <v>1.06349923076923</v>
      </c>
      <c r="EP91">
        <v>0.808009846153846</v>
      </c>
      <c r="EQ91">
        <v>7.81660692307692</v>
      </c>
      <c r="ER91">
        <v>3.84880230769231</v>
      </c>
      <c r="ES91">
        <v>1199.97461538462</v>
      </c>
      <c r="ET91">
        <v>0.966996538461539</v>
      </c>
      <c r="EU91">
        <v>0.0330038384615385</v>
      </c>
      <c r="EV91">
        <v>0</v>
      </c>
      <c r="EW91">
        <v>1335.13615384615</v>
      </c>
      <c r="EX91">
        <v>5.00059</v>
      </c>
      <c r="EY91">
        <v>15764.6615384615</v>
      </c>
      <c r="EZ91">
        <v>10358.4923076923</v>
      </c>
      <c r="FA91">
        <v>38.8074615384615</v>
      </c>
      <c r="FB91">
        <v>41.6776923076923</v>
      </c>
      <c r="FC91">
        <v>39.3650769230769</v>
      </c>
      <c r="FD91">
        <v>41.8987692307692</v>
      </c>
      <c r="FE91">
        <v>39.918</v>
      </c>
      <c r="FF91">
        <v>1155.53307692308</v>
      </c>
      <c r="FG91">
        <v>39.4407692307692</v>
      </c>
      <c r="FH91">
        <v>0</v>
      </c>
      <c r="FI91">
        <v>1760989621.3</v>
      </c>
      <c r="FJ91">
        <v>0</v>
      </c>
      <c r="FK91">
        <v>1335.1216</v>
      </c>
      <c r="FL91">
        <v>-2.60000001057305</v>
      </c>
      <c r="FM91">
        <v>4.23076925592413</v>
      </c>
      <c r="FN91">
        <v>15764.7</v>
      </c>
      <c r="FO91">
        <v>15</v>
      </c>
      <c r="FP91">
        <v>0</v>
      </c>
      <c r="FQ91" t="s">
        <v>439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-41.84474</v>
      </c>
      <c r="GD91">
        <v>-2.3274135338346</v>
      </c>
      <c r="GE91">
        <v>0.728445580259774</v>
      </c>
      <c r="GF91">
        <v>0</v>
      </c>
      <c r="GG91">
        <v>1335.245</v>
      </c>
      <c r="GH91">
        <v>-2.15905271532263</v>
      </c>
      <c r="GI91">
        <v>0.305587669138372</v>
      </c>
      <c r="GJ91">
        <v>-1</v>
      </c>
      <c r="GK91">
        <v>2.843299</v>
      </c>
      <c r="GL91">
        <v>-0.00108451127819377</v>
      </c>
      <c r="GM91">
        <v>0.000877011402434423</v>
      </c>
      <c r="GN91">
        <v>1</v>
      </c>
      <c r="GO91">
        <v>1</v>
      </c>
      <c r="GP91">
        <v>2</v>
      </c>
      <c r="GQ91" t="s">
        <v>446</v>
      </c>
      <c r="GR91">
        <v>3.13051</v>
      </c>
      <c r="GS91">
        <v>2.68564</v>
      </c>
      <c r="GT91">
        <v>0.184731</v>
      </c>
      <c r="GU91">
        <v>0.189249</v>
      </c>
      <c r="GV91">
        <v>0.0618044</v>
      </c>
      <c r="GW91">
        <v>0.0497978</v>
      </c>
      <c r="GX91">
        <v>30901.2</v>
      </c>
      <c r="GY91">
        <v>33021.8</v>
      </c>
      <c r="GZ91">
        <v>34266.4</v>
      </c>
      <c r="HA91">
        <v>36850</v>
      </c>
      <c r="HB91">
        <v>45356.9</v>
      </c>
      <c r="HC91">
        <v>50220.7</v>
      </c>
      <c r="HD91">
        <v>53340.5</v>
      </c>
      <c r="HE91">
        <v>58777.1</v>
      </c>
      <c r="HF91">
        <v>2.00905</v>
      </c>
      <c r="HG91">
        <v>1.83833</v>
      </c>
      <c r="HH91">
        <v>0.0328347</v>
      </c>
      <c r="HI91">
        <v>0</v>
      </c>
      <c r="HJ91">
        <v>17.4575</v>
      </c>
      <c r="HK91">
        <v>999.9</v>
      </c>
      <c r="HL91">
        <v>25.882</v>
      </c>
      <c r="HM91">
        <v>30.293</v>
      </c>
      <c r="HN91">
        <v>12.4793</v>
      </c>
      <c r="HO91">
        <v>54.2391</v>
      </c>
      <c r="HP91">
        <v>44.4271</v>
      </c>
      <c r="HQ91">
        <v>1</v>
      </c>
      <c r="HR91">
        <v>-0.269832</v>
      </c>
      <c r="HS91">
        <v>3.97589</v>
      </c>
      <c r="HT91">
        <v>20.0929</v>
      </c>
      <c r="HU91">
        <v>5.20097</v>
      </c>
      <c r="HV91">
        <v>12.004</v>
      </c>
      <c r="HW91">
        <v>4.9756</v>
      </c>
      <c r="HX91">
        <v>3.29295</v>
      </c>
      <c r="HY91">
        <v>9999</v>
      </c>
      <c r="HZ91">
        <v>999.9</v>
      </c>
      <c r="IA91">
        <v>9999</v>
      </c>
      <c r="IB91">
        <v>9999</v>
      </c>
      <c r="IC91">
        <v>1.86325</v>
      </c>
      <c r="ID91">
        <v>1.8681</v>
      </c>
      <c r="IE91">
        <v>1.86783</v>
      </c>
      <c r="IF91">
        <v>1.86905</v>
      </c>
      <c r="IG91">
        <v>1.86981</v>
      </c>
      <c r="IH91">
        <v>1.86584</v>
      </c>
      <c r="II91">
        <v>1.86693</v>
      </c>
      <c r="IJ91">
        <v>1.86842</v>
      </c>
      <c r="IK91">
        <v>5</v>
      </c>
      <c r="IL91">
        <v>0</v>
      </c>
      <c r="IM91">
        <v>0</v>
      </c>
      <c r="IN91">
        <v>0</v>
      </c>
      <c r="IO91" t="s">
        <v>441</v>
      </c>
      <c r="IP91" t="s">
        <v>442</v>
      </c>
      <c r="IQ91" t="s">
        <v>443</v>
      </c>
      <c r="IR91" t="s">
        <v>443</v>
      </c>
      <c r="IS91" t="s">
        <v>443</v>
      </c>
      <c r="IT91" t="s">
        <v>443</v>
      </c>
      <c r="IU91">
        <v>0</v>
      </c>
      <c r="IV91">
        <v>100</v>
      </c>
      <c r="IW91">
        <v>100</v>
      </c>
      <c r="IX91">
        <v>5.57</v>
      </c>
      <c r="IY91">
        <v>-0.1109</v>
      </c>
      <c r="IZ91">
        <v>1.12474291219083</v>
      </c>
      <c r="JA91">
        <v>0.00463155566490582</v>
      </c>
      <c r="JB91">
        <v>-1.1358998729424e-06</v>
      </c>
      <c r="JC91">
        <v>3.28704272115545e-10</v>
      </c>
      <c r="JD91">
        <v>-0.0704455108513773</v>
      </c>
      <c r="JE91">
        <v>-0.0251928478371425</v>
      </c>
      <c r="JF91">
        <v>0.00225751704194564</v>
      </c>
      <c r="JG91">
        <v>-3.61734043746866e-05</v>
      </c>
      <c r="JH91">
        <v>1</v>
      </c>
      <c r="JI91">
        <v>2182</v>
      </c>
      <c r="JJ91">
        <v>0</v>
      </c>
      <c r="JK91">
        <v>24</v>
      </c>
      <c r="JL91">
        <v>29349827.5</v>
      </c>
      <c r="JM91">
        <v>29349827.5</v>
      </c>
      <c r="JN91">
        <v>2.41211</v>
      </c>
      <c r="JO91">
        <v>2.61475</v>
      </c>
      <c r="JP91">
        <v>1.54785</v>
      </c>
      <c r="JQ91">
        <v>2.31445</v>
      </c>
      <c r="JR91">
        <v>1.64673</v>
      </c>
      <c r="JS91">
        <v>2.27295</v>
      </c>
      <c r="JT91">
        <v>33.6254</v>
      </c>
      <c r="JU91">
        <v>24.1838</v>
      </c>
      <c r="JV91">
        <v>18</v>
      </c>
      <c r="JW91">
        <v>500.843</v>
      </c>
      <c r="JX91">
        <v>394.767</v>
      </c>
      <c r="JY91">
        <v>12.3886</v>
      </c>
      <c r="JZ91">
        <v>23.9008</v>
      </c>
      <c r="KA91">
        <v>30.0001</v>
      </c>
      <c r="KB91">
        <v>23.921</v>
      </c>
      <c r="KC91">
        <v>23.8912</v>
      </c>
      <c r="KD91">
        <v>48.3943</v>
      </c>
      <c r="KE91">
        <v>8.77818</v>
      </c>
      <c r="KF91">
        <v>23.3636</v>
      </c>
      <c r="KG91">
        <v>12.4165</v>
      </c>
      <c r="KH91">
        <v>1258.63</v>
      </c>
      <c r="KI91">
        <v>9.0085</v>
      </c>
      <c r="KJ91">
        <v>97.0434</v>
      </c>
      <c r="KK91">
        <v>95.305</v>
      </c>
    </row>
    <row r="92" spans="1:297">
      <c r="A92">
        <v>76</v>
      </c>
      <c r="B92">
        <v>1760989657.1</v>
      </c>
      <c r="C92">
        <v>467</v>
      </c>
      <c r="D92" t="s">
        <v>594</v>
      </c>
      <c r="E92" t="s">
        <v>595</v>
      </c>
      <c r="F92">
        <v>5</v>
      </c>
      <c r="G92" t="s">
        <v>435</v>
      </c>
      <c r="H92" t="s">
        <v>436</v>
      </c>
      <c r="I92">
        <v>1760989648.94615</v>
      </c>
      <c r="J92">
        <f>(K92)/1000</f>
        <v>0</v>
      </c>
      <c r="K92">
        <f>IF(DP92, AN92, AH92)</f>
        <v>0</v>
      </c>
      <c r="L92">
        <f>IF(DP92, AI92, AG92)</f>
        <v>0</v>
      </c>
      <c r="M92">
        <f>DR92 - IF(AU92&gt;1, L92*DL92*100.0/(AW92), 0)</f>
        <v>0</v>
      </c>
      <c r="N92">
        <f>((T92-J92/2)*M92-L92)/(T92+J92/2)</f>
        <v>0</v>
      </c>
      <c r="O92">
        <f>N92*(DY92+DZ92)/1000.0</f>
        <v>0</v>
      </c>
      <c r="P92">
        <f>(DR92 - IF(AU92&gt;1, L92*DL92*100.0/(AW92), 0))*(DY92+DZ92)/1000.0</f>
        <v>0</v>
      </c>
      <c r="Q92">
        <f>2.0/((1/S92-1/R92)+SIGN(S92)*SQRT((1/S92-1/R92)*(1/S92-1/R92) + 4*DM92/((DM92+1)*(DM92+1))*(2*1/S92*1/R92-1/R92*1/R92)))</f>
        <v>0</v>
      </c>
      <c r="R92">
        <f>IF(LEFT(DN92,1)&lt;&gt;"0",IF(LEFT(DN92,1)="1",3.0,DO92),$D$5+$E$5*(EF92*DY92/($K$5*1000))+$F$5*(EF92*DY92/($K$5*1000))*MAX(MIN(DL92,$J$5),$I$5)*MAX(MIN(DL92,$J$5),$I$5)+$G$5*MAX(MIN(DL92,$J$5),$I$5)*(EF92*DY92/($K$5*1000))+$H$5*(EF92*DY92/($K$5*1000))*(EF92*DY92/($K$5*1000)))</f>
        <v>0</v>
      </c>
      <c r="S92">
        <f>J92*(1000-(1000*0.61365*exp(17.502*W92/(240.97+W92))/(DY92+DZ92)+DT92)/2)/(1000*0.61365*exp(17.502*W92/(240.97+W92))/(DY92+DZ92)-DT92)</f>
        <v>0</v>
      </c>
      <c r="T92">
        <f>1/((DM92+1)/(Q92/1.6)+1/(R92/1.37)) + DM92/((DM92+1)/(Q92/1.6) + DM92/(R92/1.37))</f>
        <v>0</v>
      </c>
      <c r="U92">
        <f>(DH92*DK92)</f>
        <v>0</v>
      </c>
      <c r="V92">
        <f>(EA92+(U92+2*0.95*5.67E-8*(((EA92+$B$7)+273)^4-(EA92+273)^4)-44100*J92)/(1.84*29.3*R92+8*0.95*5.67E-8*(EA92+273)^3))</f>
        <v>0</v>
      </c>
      <c r="W92">
        <f>($C$7*EB92+$D$7*EC92+$E$7*V92)</f>
        <v>0</v>
      </c>
      <c r="X92">
        <f>0.61365*exp(17.502*W92/(240.97+W92))</f>
        <v>0</v>
      </c>
      <c r="Y92">
        <f>(Z92/AA92*100)</f>
        <v>0</v>
      </c>
      <c r="Z92">
        <f>DT92*(DY92+DZ92)/1000</f>
        <v>0</v>
      </c>
      <c r="AA92">
        <f>0.61365*exp(17.502*EA92/(240.97+EA92))</f>
        <v>0</v>
      </c>
      <c r="AB92">
        <f>(X92-DT92*(DY92+DZ92)/1000)</f>
        <v>0</v>
      </c>
      <c r="AC92">
        <f>(-J92*44100)</f>
        <v>0</v>
      </c>
      <c r="AD92">
        <f>2*29.3*R92*0.92*(EA92-W92)</f>
        <v>0</v>
      </c>
      <c r="AE92">
        <f>2*0.95*5.67E-8*(((EA92+$B$7)+273)^4-(W92+273)^4)</f>
        <v>0</v>
      </c>
      <c r="AF92">
        <f>U92+AE92+AC92+AD92</f>
        <v>0</v>
      </c>
      <c r="AG92">
        <f>DX92*AU92*(DS92-DR92*(1000-AU92*DU92)/(1000-AU92*DT92))/(100*DL92)</f>
        <v>0</v>
      </c>
      <c r="AH92">
        <f>1000*DX92*AU92*(DT92-DU92)/(100*DL92*(1000-AU92*DT92))</f>
        <v>0</v>
      </c>
      <c r="AI92">
        <f>(AJ92 - AK92 - DY92*1E3/(8.314*(EA92+273.15)) * AM92/DX92 * AL92) * DX92/(100*DL92) * (1000 - DU92)/1000</f>
        <v>0</v>
      </c>
      <c r="AJ92">
        <v>1252.28316424969</v>
      </c>
      <c r="AK92">
        <v>1221.21745454545</v>
      </c>
      <c r="AL92">
        <v>3.3190780497996</v>
      </c>
      <c r="AM92">
        <v>64.8413469339502</v>
      </c>
      <c r="AN92">
        <f>(AP92 - AO92 + DY92*1E3/(8.314*(EA92+273.15)) * AR92/DX92 * AQ92) * DX92/(100*DL92) * 1000/(1000 - AP92)</f>
        <v>0</v>
      </c>
      <c r="AO92">
        <v>8.99632985655649</v>
      </c>
      <c r="AP92">
        <v>11.839783030303</v>
      </c>
      <c r="AQ92">
        <v>1.42223225659995e-05</v>
      </c>
      <c r="AR92">
        <v>118.472689631034</v>
      </c>
      <c r="AS92">
        <v>0</v>
      </c>
      <c r="AT92">
        <v>0</v>
      </c>
      <c r="AU92">
        <f>IF(AS92*$H$13&gt;=AW92,1.0,(AW92/(AW92-AS92*$H$13)))</f>
        <v>0</v>
      </c>
      <c r="AV92">
        <f>(AU92-1)*100</f>
        <v>0</v>
      </c>
      <c r="AW92">
        <f>MAX(0,($B$13+$C$13*EF92)/(1+$D$13*EF92)*DY92/(EA92+273)*$E$13)</f>
        <v>0</v>
      </c>
      <c r="AX92" t="s">
        <v>437</v>
      </c>
      <c r="AY92" t="s">
        <v>437</v>
      </c>
      <c r="AZ92">
        <v>0</v>
      </c>
      <c r="BA92">
        <v>0</v>
      </c>
      <c r="BB92">
        <f>1-AZ92/BA92</f>
        <v>0</v>
      </c>
      <c r="BC92">
        <v>0</v>
      </c>
      <c r="BD92" t="s">
        <v>437</v>
      </c>
      <c r="BE92" t="s">
        <v>437</v>
      </c>
      <c r="BF92">
        <v>0</v>
      </c>
      <c r="BG92">
        <v>0</v>
      </c>
      <c r="BH92">
        <f>1-BF92/BG92</f>
        <v>0</v>
      </c>
      <c r="BI92">
        <v>0.5</v>
      </c>
      <c r="BJ92">
        <f>DI92</f>
        <v>0</v>
      </c>
      <c r="BK92">
        <f>L92</f>
        <v>0</v>
      </c>
      <c r="BL92">
        <f>BH92*BI92*BJ92</f>
        <v>0</v>
      </c>
      <c r="BM92">
        <f>(BK92-BC92)/BJ92</f>
        <v>0</v>
      </c>
      <c r="BN92">
        <f>(BA92-BG92)/BG92</f>
        <v>0</v>
      </c>
      <c r="BO92">
        <f>AZ92/(BB92+AZ92/BG92)</f>
        <v>0</v>
      </c>
      <c r="BP92" t="s">
        <v>437</v>
      </c>
      <c r="BQ92">
        <v>0</v>
      </c>
      <c r="BR92">
        <f>IF(BQ92&lt;&gt;0, BQ92, BO92)</f>
        <v>0</v>
      </c>
      <c r="BS92">
        <f>1-BR92/BG92</f>
        <v>0</v>
      </c>
      <c r="BT92">
        <f>(BG92-BF92)/(BG92-BR92)</f>
        <v>0</v>
      </c>
      <c r="BU92">
        <f>(BA92-BG92)/(BA92-BR92)</f>
        <v>0</v>
      </c>
      <c r="BV92">
        <f>(BG92-BF92)/(BG92-AZ92)</f>
        <v>0</v>
      </c>
      <c r="BW92">
        <f>(BA92-BG92)/(BA92-AZ92)</f>
        <v>0</v>
      </c>
      <c r="BX92">
        <f>(BT92*BR92/BF92)</f>
        <v>0</v>
      </c>
      <c r="BY92">
        <f>(1-BX92)</f>
        <v>0</v>
      </c>
      <c r="DH92">
        <f>$B$11*EG92+$C$11*EH92+$F$11*ES92*(1-EV92)</f>
        <v>0</v>
      </c>
      <c r="DI92">
        <f>DH92*DJ92</f>
        <v>0</v>
      </c>
      <c r="DJ92">
        <f>($B$11*$D$9+$C$11*$D$9+$F$11*((FF92+EX92)/MAX(FF92+EX92+FG92, 0.1)*$I$9+FG92/MAX(FF92+EX92+FG92, 0.1)*$J$9))/($B$11+$C$11+$F$11)</f>
        <v>0</v>
      </c>
      <c r="DK92">
        <f>($B$11*$K$9+$C$11*$K$9+$F$11*((FF92+EX92)/MAX(FF92+EX92+FG92, 0.1)*$P$9+FG92/MAX(FF92+EX92+FG92, 0.1)*$Q$9))/($B$11+$C$11+$F$11)</f>
        <v>0</v>
      </c>
      <c r="DL92">
        <v>6</v>
      </c>
      <c r="DM92">
        <v>0.5</v>
      </c>
      <c r="DN92" t="s">
        <v>438</v>
      </c>
      <c r="DO92">
        <v>2</v>
      </c>
      <c r="DP92" t="b">
        <v>1</v>
      </c>
      <c r="DQ92">
        <v>1760989648.94615</v>
      </c>
      <c r="DR92">
        <v>1183.14230769231</v>
      </c>
      <c r="DS92">
        <v>1225.15384615385</v>
      </c>
      <c r="DT92">
        <v>11.8372</v>
      </c>
      <c r="DU92">
        <v>8.99407692307692</v>
      </c>
      <c r="DV92">
        <v>1177.60461538462</v>
      </c>
      <c r="DW92">
        <v>11.9480692307692</v>
      </c>
      <c r="DX92">
        <v>500.030230769231</v>
      </c>
      <c r="DY92">
        <v>89.8574153846154</v>
      </c>
      <c r="DZ92">
        <v>0.00759607384615385</v>
      </c>
      <c r="EA92">
        <v>18.4674538461538</v>
      </c>
      <c r="EB92">
        <v>18.0046076923077</v>
      </c>
      <c r="EC92">
        <v>999.9</v>
      </c>
      <c r="ED92">
        <v>0</v>
      </c>
      <c r="EE92">
        <v>0</v>
      </c>
      <c r="EF92">
        <v>10014.7984615385</v>
      </c>
      <c r="EG92">
        <v>0</v>
      </c>
      <c r="EH92">
        <v>1270.22230769231</v>
      </c>
      <c r="EI92">
        <v>-42.0091615384615</v>
      </c>
      <c r="EJ92">
        <v>1197.31769230769</v>
      </c>
      <c r="EK92">
        <v>1236.27230769231</v>
      </c>
      <c r="EL92">
        <v>2.84312307692308</v>
      </c>
      <c r="EM92">
        <v>1225.15384615385</v>
      </c>
      <c r="EN92">
        <v>8.99407692307692</v>
      </c>
      <c r="EO92">
        <v>1.06366153846154</v>
      </c>
      <c r="EP92">
        <v>0.808184615384615</v>
      </c>
      <c r="EQ92">
        <v>7.81884692307692</v>
      </c>
      <c r="ER92">
        <v>3.85187846153846</v>
      </c>
      <c r="ES92">
        <v>1199.99615384615</v>
      </c>
      <c r="ET92">
        <v>0.966991615384615</v>
      </c>
      <c r="EU92">
        <v>0.0330087384615385</v>
      </c>
      <c r="EV92">
        <v>0</v>
      </c>
      <c r="EW92">
        <v>1334.92769230769</v>
      </c>
      <c r="EX92">
        <v>5.00059</v>
      </c>
      <c r="EY92">
        <v>15764.9692307692</v>
      </c>
      <c r="EZ92">
        <v>10358.6538461538</v>
      </c>
      <c r="FA92">
        <v>38.8698461538462</v>
      </c>
      <c r="FB92">
        <v>41.7257692307692</v>
      </c>
      <c r="FC92">
        <v>39.4276923076923</v>
      </c>
      <c r="FD92">
        <v>41.9660769230769</v>
      </c>
      <c r="FE92">
        <v>39.9709230769231</v>
      </c>
      <c r="FF92">
        <v>1155.54846153846</v>
      </c>
      <c r="FG92">
        <v>39.4461538461538</v>
      </c>
      <c r="FH92">
        <v>0</v>
      </c>
      <c r="FI92">
        <v>1760989626.1</v>
      </c>
      <c r="FJ92">
        <v>0</v>
      </c>
      <c r="FK92">
        <v>1334.898</v>
      </c>
      <c r="FL92">
        <v>-2.33076923881125</v>
      </c>
      <c r="FM92">
        <v>-1.36923081682647</v>
      </c>
      <c r="FN92">
        <v>15764.816</v>
      </c>
      <c r="FO92">
        <v>15</v>
      </c>
      <c r="FP92">
        <v>0</v>
      </c>
      <c r="FQ92" t="s">
        <v>439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-41.8791666666667</v>
      </c>
      <c r="GD92">
        <v>-4.46848831168835</v>
      </c>
      <c r="GE92">
        <v>0.738677895737238</v>
      </c>
      <c r="GF92">
        <v>0</v>
      </c>
      <c r="GG92">
        <v>1335.04441176471</v>
      </c>
      <c r="GH92">
        <v>-2.55110771942677</v>
      </c>
      <c r="GI92">
        <v>0.348080375914657</v>
      </c>
      <c r="GJ92">
        <v>-1</v>
      </c>
      <c r="GK92">
        <v>2.84320428571429</v>
      </c>
      <c r="GL92">
        <v>-0.00206103896103175</v>
      </c>
      <c r="GM92">
        <v>0.000889331324131579</v>
      </c>
      <c r="GN92">
        <v>1</v>
      </c>
      <c r="GO92">
        <v>1</v>
      </c>
      <c r="GP92">
        <v>2</v>
      </c>
      <c r="GQ92" t="s">
        <v>446</v>
      </c>
      <c r="GR92">
        <v>3.13055</v>
      </c>
      <c r="GS92">
        <v>2.68582</v>
      </c>
      <c r="GT92">
        <v>0.186337</v>
      </c>
      <c r="GU92">
        <v>0.1909</v>
      </c>
      <c r="GV92">
        <v>0.0618171</v>
      </c>
      <c r="GW92">
        <v>0.0498036</v>
      </c>
      <c r="GX92">
        <v>30840.9</v>
      </c>
      <c r="GY92">
        <v>32954.6</v>
      </c>
      <c r="GZ92">
        <v>34266.9</v>
      </c>
      <c r="HA92">
        <v>36849.9</v>
      </c>
      <c r="HB92">
        <v>45357.1</v>
      </c>
      <c r="HC92">
        <v>50220.7</v>
      </c>
      <c r="HD92">
        <v>53341.3</v>
      </c>
      <c r="HE92">
        <v>58777.3</v>
      </c>
      <c r="HF92">
        <v>2.00912</v>
      </c>
      <c r="HG92">
        <v>1.83832</v>
      </c>
      <c r="HH92">
        <v>0.0328198</v>
      </c>
      <c r="HI92">
        <v>0</v>
      </c>
      <c r="HJ92">
        <v>17.4575</v>
      </c>
      <c r="HK92">
        <v>999.9</v>
      </c>
      <c r="HL92">
        <v>25.906</v>
      </c>
      <c r="HM92">
        <v>30.293</v>
      </c>
      <c r="HN92">
        <v>12.4909</v>
      </c>
      <c r="HO92">
        <v>54.2491</v>
      </c>
      <c r="HP92">
        <v>44.4471</v>
      </c>
      <c r="HQ92">
        <v>1</v>
      </c>
      <c r="HR92">
        <v>-0.270107</v>
      </c>
      <c r="HS92">
        <v>3.81915</v>
      </c>
      <c r="HT92">
        <v>20.0947</v>
      </c>
      <c r="HU92">
        <v>5.20172</v>
      </c>
      <c r="HV92">
        <v>12.004</v>
      </c>
      <c r="HW92">
        <v>4.97565</v>
      </c>
      <c r="HX92">
        <v>3.29295</v>
      </c>
      <c r="HY92">
        <v>9999</v>
      </c>
      <c r="HZ92">
        <v>999.9</v>
      </c>
      <c r="IA92">
        <v>9999</v>
      </c>
      <c r="IB92">
        <v>9999</v>
      </c>
      <c r="IC92">
        <v>1.86324</v>
      </c>
      <c r="ID92">
        <v>1.86808</v>
      </c>
      <c r="IE92">
        <v>1.86783</v>
      </c>
      <c r="IF92">
        <v>1.86904</v>
      </c>
      <c r="IG92">
        <v>1.86981</v>
      </c>
      <c r="IH92">
        <v>1.86586</v>
      </c>
      <c r="II92">
        <v>1.86692</v>
      </c>
      <c r="IJ92">
        <v>1.86843</v>
      </c>
      <c r="IK92">
        <v>5</v>
      </c>
      <c r="IL92">
        <v>0</v>
      </c>
      <c r="IM92">
        <v>0</v>
      </c>
      <c r="IN92">
        <v>0</v>
      </c>
      <c r="IO92" t="s">
        <v>441</v>
      </c>
      <c r="IP92" t="s">
        <v>442</v>
      </c>
      <c r="IQ92" t="s">
        <v>443</v>
      </c>
      <c r="IR92" t="s">
        <v>443</v>
      </c>
      <c r="IS92" t="s">
        <v>443</v>
      </c>
      <c r="IT92" t="s">
        <v>443</v>
      </c>
      <c r="IU92">
        <v>0</v>
      </c>
      <c r="IV92">
        <v>100</v>
      </c>
      <c r="IW92">
        <v>100</v>
      </c>
      <c r="IX92">
        <v>5.63</v>
      </c>
      <c r="IY92">
        <v>-0.1108</v>
      </c>
      <c r="IZ92">
        <v>1.12474291219083</v>
      </c>
      <c r="JA92">
        <v>0.00463155566490582</v>
      </c>
      <c r="JB92">
        <v>-1.1358998729424e-06</v>
      </c>
      <c r="JC92">
        <v>3.28704272115545e-10</v>
      </c>
      <c r="JD92">
        <v>-0.0704455108513773</v>
      </c>
      <c r="JE92">
        <v>-0.0251928478371425</v>
      </c>
      <c r="JF92">
        <v>0.00225751704194564</v>
      </c>
      <c r="JG92">
        <v>-3.61734043746866e-05</v>
      </c>
      <c r="JH92">
        <v>1</v>
      </c>
      <c r="JI92">
        <v>2182</v>
      </c>
      <c r="JJ92">
        <v>0</v>
      </c>
      <c r="JK92">
        <v>24</v>
      </c>
      <c r="JL92">
        <v>29349827.6</v>
      </c>
      <c r="JM92">
        <v>29349827.6</v>
      </c>
      <c r="JN92">
        <v>2.44263</v>
      </c>
      <c r="JO92">
        <v>2.60986</v>
      </c>
      <c r="JP92">
        <v>1.54785</v>
      </c>
      <c r="JQ92">
        <v>2.31445</v>
      </c>
      <c r="JR92">
        <v>1.64673</v>
      </c>
      <c r="JS92">
        <v>2.31934</v>
      </c>
      <c r="JT92">
        <v>33.6254</v>
      </c>
      <c r="JU92">
        <v>24.1838</v>
      </c>
      <c r="JV92">
        <v>18</v>
      </c>
      <c r="JW92">
        <v>500.891</v>
      </c>
      <c r="JX92">
        <v>394.767</v>
      </c>
      <c r="JY92">
        <v>12.3989</v>
      </c>
      <c r="JZ92">
        <v>23.9008</v>
      </c>
      <c r="KA92">
        <v>29.9998</v>
      </c>
      <c r="KB92">
        <v>23.921</v>
      </c>
      <c r="KC92">
        <v>23.8912</v>
      </c>
      <c r="KD92">
        <v>48.932</v>
      </c>
      <c r="KE92">
        <v>8.77818</v>
      </c>
      <c r="KF92">
        <v>23.3636</v>
      </c>
      <c r="KG92">
        <v>12.4077</v>
      </c>
      <c r="KH92">
        <v>1272.17</v>
      </c>
      <c r="KI92">
        <v>9.00775</v>
      </c>
      <c r="KJ92">
        <v>97.0449</v>
      </c>
      <c r="KK92">
        <v>95.3051</v>
      </c>
    </row>
    <row r="93" spans="1:297">
      <c r="A93">
        <v>77</v>
      </c>
      <c r="B93">
        <v>1760989662.1</v>
      </c>
      <c r="C93">
        <v>472</v>
      </c>
      <c r="D93" t="s">
        <v>596</v>
      </c>
      <c r="E93" t="s">
        <v>597</v>
      </c>
      <c r="F93">
        <v>5</v>
      </c>
      <c r="G93" t="s">
        <v>435</v>
      </c>
      <c r="H93" t="s">
        <v>436</v>
      </c>
      <c r="I93">
        <v>1760989653.94615</v>
      </c>
      <c r="J93">
        <f>(K93)/1000</f>
        <v>0</v>
      </c>
      <c r="K93">
        <f>IF(DP93, AN93, AH93)</f>
        <v>0</v>
      </c>
      <c r="L93">
        <f>IF(DP93, AI93, AG93)</f>
        <v>0</v>
      </c>
      <c r="M93">
        <f>DR93 - IF(AU93&gt;1, L93*DL93*100.0/(AW93), 0)</f>
        <v>0</v>
      </c>
      <c r="N93">
        <f>((T93-J93/2)*M93-L93)/(T93+J93/2)</f>
        <v>0</v>
      </c>
      <c r="O93">
        <f>N93*(DY93+DZ93)/1000.0</f>
        <v>0</v>
      </c>
      <c r="P93">
        <f>(DR93 - IF(AU93&gt;1, L93*DL93*100.0/(AW93), 0))*(DY93+DZ93)/1000.0</f>
        <v>0</v>
      </c>
      <c r="Q93">
        <f>2.0/((1/S93-1/R93)+SIGN(S93)*SQRT((1/S93-1/R93)*(1/S93-1/R93) + 4*DM93/((DM93+1)*(DM93+1))*(2*1/S93*1/R93-1/R93*1/R93)))</f>
        <v>0</v>
      </c>
      <c r="R93">
        <f>IF(LEFT(DN93,1)&lt;&gt;"0",IF(LEFT(DN93,1)="1",3.0,DO93),$D$5+$E$5*(EF93*DY93/($K$5*1000))+$F$5*(EF93*DY93/($K$5*1000))*MAX(MIN(DL93,$J$5),$I$5)*MAX(MIN(DL93,$J$5),$I$5)+$G$5*MAX(MIN(DL93,$J$5),$I$5)*(EF93*DY93/($K$5*1000))+$H$5*(EF93*DY93/($K$5*1000))*(EF93*DY93/($K$5*1000)))</f>
        <v>0</v>
      </c>
      <c r="S93">
        <f>J93*(1000-(1000*0.61365*exp(17.502*W93/(240.97+W93))/(DY93+DZ93)+DT93)/2)/(1000*0.61365*exp(17.502*W93/(240.97+W93))/(DY93+DZ93)-DT93)</f>
        <v>0</v>
      </c>
      <c r="T93">
        <f>1/((DM93+1)/(Q93/1.6)+1/(R93/1.37)) + DM93/((DM93+1)/(Q93/1.6) + DM93/(R93/1.37))</f>
        <v>0</v>
      </c>
      <c r="U93">
        <f>(DH93*DK93)</f>
        <v>0</v>
      </c>
      <c r="V93">
        <f>(EA93+(U93+2*0.95*5.67E-8*(((EA93+$B$7)+273)^4-(EA93+273)^4)-44100*J93)/(1.84*29.3*R93+8*0.95*5.67E-8*(EA93+273)^3))</f>
        <v>0</v>
      </c>
      <c r="W93">
        <f>($C$7*EB93+$D$7*EC93+$E$7*V93)</f>
        <v>0</v>
      </c>
      <c r="X93">
        <f>0.61365*exp(17.502*W93/(240.97+W93))</f>
        <v>0</v>
      </c>
      <c r="Y93">
        <f>(Z93/AA93*100)</f>
        <v>0</v>
      </c>
      <c r="Z93">
        <f>DT93*(DY93+DZ93)/1000</f>
        <v>0</v>
      </c>
      <c r="AA93">
        <f>0.61365*exp(17.502*EA93/(240.97+EA93))</f>
        <v>0</v>
      </c>
      <c r="AB93">
        <f>(X93-DT93*(DY93+DZ93)/1000)</f>
        <v>0</v>
      </c>
      <c r="AC93">
        <f>(-J93*44100)</f>
        <v>0</v>
      </c>
      <c r="AD93">
        <f>2*29.3*R93*0.92*(EA93-W93)</f>
        <v>0</v>
      </c>
      <c r="AE93">
        <f>2*0.95*5.67E-8*(((EA93+$B$7)+273)^4-(W93+273)^4)</f>
        <v>0</v>
      </c>
      <c r="AF93">
        <f>U93+AE93+AC93+AD93</f>
        <v>0</v>
      </c>
      <c r="AG93">
        <f>DX93*AU93*(DS93-DR93*(1000-AU93*DU93)/(1000-AU93*DT93))/(100*DL93)</f>
        <v>0</v>
      </c>
      <c r="AH93">
        <f>1000*DX93*AU93*(DT93-DU93)/(100*DL93*(1000-AU93*DT93))</f>
        <v>0</v>
      </c>
      <c r="AI93">
        <f>(AJ93 - AK93 - DY93*1E3/(8.314*(EA93+273.15)) * AM93/DX93 * AL93) * DX93/(100*DL93) * (1000 - DU93)/1000</f>
        <v>0</v>
      </c>
      <c r="AJ93">
        <v>1270.21365242898</v>
      </c>
      <c r="AK93">
        <v>1238.7316969697</v>
      </c>
      <c r="AL93">
        <v>3.52227375128542</v>
      </c>
      <c r="AM93">
        <v>64.8413469339502</v>
      </c>
      <c r="AN93">
        <f>(AP93 - AO93 + DY93*1E3/(8.314*(EA93+273.15)) * AR93/DX93 * AQ93) * DX93/(100*DL93) * 1000/(1000 - AP93)</f>
        <v>0</v>
      </c>
      <c r="AO93">
        <v>8.99744157250825</v>
      </c>
      <c r="AP93">
        <v>11.8468739393939</v>
      </c>
      <c r="AQ93">
        <v>4.99121905071805e-05</v>
      </c>
      <c r="AR93">
        <v>118.472689631034</v>
      </c>
      <c r="AS93">
        <v>0</v>
      </c>
      <c r="AT93">
        <v>0</v>
      </c>
      <c r="AU93">
        <f>IF(AS93*$H$13&gt;=AW93,1.0,(AW93/(AW93-AS93*$H$13)))</f>
        <v>0</v>
      </c>
      <c r="AV93">
        <f>(AU93-1)*100</f>
        <v>0</v>
      </c>
      <c r="AW93">
        <f>MAX(0,($B$13+$C$13*EF93)/(1+$D$13*EF93)*DY93/(EA93+273)*$E$13)</f>
        <v>0</v>
      </c>
      <c r="AX93" t="s">
        <v>437</v>
      </c>
      <c r="AY93" t="s">
        <v>437</v>
      </c>
      <c r="AZ93">
        <v>0</v>
      </c>
      <c r="BA93">
        <v>0</v>
      </c>
      <c r="BB93">
        <f>1-AZ93/BA93</f>
        <v>0</v>
      </c>
      <c r="BC93">
        <v>0</v>
      </c>
      <c r="BD93" t="s">
        <v>437</v>
      </c>
      <c r="BE93" t="s">
        <v>437</v>
      </c>
      <c r="BF93">
        <v>0</v>
      </c>
      <c r="BG93">
        <v>0</v>
      </c>
      <c r="BH93">
        <f>1-BF93/BG93</f>
        <v>0</v>
      </c>
      <c r="BI93">
        <v>0.5</v>
      </c>
      <c r="BJ93">
        <f>DI93</f>
        <v>0</v>
      </c>
      <c r="BK93">
        <f>L93</f>
        <v>0</v>
      </c>
      <c r="BL93">
        <f>BH93*BI93*BJ93</f>
        <v>0</v>
      </c>
      <c r="BM93">
        <f>(BK93-BC93)/BJ93</f>
        <v>0</v>
      </c>
      <c r="BN93">
        <f>(BA93-BG93)/BG93</f>
        <v>0</v>
      </c>
      <c r="BO93">
        <f>AZ93/(BB93+AZ93/BG93)</f>
        <v>0</v>
      </c>
      <c r="BP93" t="s">
        <v>437</v>
      </c>
      <c r="BQ93">
        <v>0</v>
      </c>
      <c r="BR93">
        <f>IF(BQ93&lt;&gt;0, BQ93, BO93)</f>
        <v>0</v>
      </c>
      <c r="BS93">
        <f>1-BR93/BG93</f>
        <v>0</v>
      </c>
      <c r="BT93">
        <f>(BG93-BF93)/(BG93-BR93)</f>
        <v>0</v>
      </c>
      <c r="BU93">
        <f>(BA93-BG93)/(BA93-BR93)</f>
        <v>0</v>
      </c>
      <c r="BV93">
        <f>(BG93-BF93)/(BG93-AZ93)</f>
        <v>0</v>
      </c>
      <c r="BW93">
        <f>(BA93-BG93)/(BA93-AZ93)</f>
        <v>0</v>
      </c>
      <c r="BX93">
        <f>(BT93*BR93/BF93)</f>
        <v>0</v>
      </c>
      <c r="BY93">
        <f>(1-BX93)</f>
        <v>0</v>
      </c>
      <c r="DH93">
        <f>$B$11*EG93+$C$11*EH93+$F$11*ES93*(1-EV93)</f>
        <v>0</v>
      </c>
      <c r="DI93">
        <f>DH93*DJ93</f>
        <v>0</v>
      </c>
      <c r="DJ93">
        <f>($B$11*$D$9+$C$11*$D$9+$F$11*((FF93+EX93)/MAX(FF93+EX93+FG93, 0.1)*$I$9+FG93/MAX(FF93+EX93+FG93, 0.1)*$J$9))/($B$11+$C$11+$F$11)</f>
        <v>0</v>
      </c>
      <c r="DK93">
        <f>($B$11*$K$9+$C$11*$K$9+$F$11*((FF93+EX93)/MAX(FF93+EX93+FG93, 0.1)*$P$9+FG93/MAX(FF93+EX93+FG93, 0.1)*$Q$9))/($B$11+$C$11+$F$11)</f>
        <v>0</v>
      </c>
      <c r="DL93">
        <v>6</v>
      </c>
      <c r="DM93">
        <v>0.5</v>
      </c>
      <c r="DN93" t="s">
        <v>438</v>
      </c>
      <c r="DO93">
        <v>2</v>
      </c>
      <c r="DP93" t="b">
        <v>1</v>
      </c>
      <c r="DQ93">
        <v>1760989653.94615</v>
      </c>
      <c r="DR93">
        <v>1199.75384615385</v>
      </c>
      <c r="DS93">
        <v>1242.50538461538</v>
      </c>
      <c r="DT93">
        <v>11.8401076923077</v>
      </c>
      <c r="DU93">
        <v>8.99579692307692</v>
      </c>
      <c r="DV93">
        <v>1194.15923076923</v>
      </c>
      <c r="DW93">
        <v>11.9509384615385</v>
      </c>
      <c r="DX93">
        <v>499.997692307692</v>
      </c>
      <c r="DY93">
        <v>89.8570076923077</v>
      </c>
      <c r="DZ93">
        <v>0.00766979615384615</v>
      </c>
      <c r="EA93">
        <v>18.4708692307692</v>
      </c>
      <c r="EB93">
        <v>18.0019076923077</v>
      </c>
      <c r="EC93">
        <v>999.9</v>
      </c>
      <c r="ED93">
        <v>0</v>
      </c>
      <c r="EE93">
        <v>0</v>
      </c>
      <c r="EF93">
        <v>10014.6076923077</v>
      </c>
      <c r="EG93">
        <v>0</v>
      </c>
      <c r="EH93">
        <v>1270.21153846154</v>
      </c>
      <c r="EI93">
        <v>-42.7496615384615</v>
      </c>
      <c r="EJ93">
        <v>1214.13076923077</v>
      </c>
      <c r="EK93">
        <v>1253.78307692308</v>
      </c>
      <c r="EL93">
        <v>2.84430846153846</v>
      </c>
      <c r="EM93">
        <v>1242.50538461538</v>
      </c>
      <c r="EN93">
        <v>8.99579692307692</v>
      </c>
      <c r="EO93">
        <v>1.06391692307692</v>
      </c>
      <c r="EP93">
        <v>0.808335384615385</v>
      </c>
      <c r="EQ93">
        <v>7.82237923076923</v>
      </c>
      <c r="ER93">
        <v>3.85452846153846</v>
      </c>
      <c r="ES93">
        <v>1199.99923076923</v>
      </c>
      <c r="ET93">
        <v>0.966995076923077</v>
      </c>
      <c r="EU93">
        <v>0.0330051461538462</v>
      </c>
      <c r="EV93">
        <v>0</v>
      </c>
      <c r="EW93">
        <v>1334.70076923077</v>
      </c>
      <c r="EX93">
        <v>5.00059</v>
      </c>
      <c r="EY93">
        <v>15763.6307692308</v>
      </c>
      <c r="EZ93">
        <v>10358.6846153846</v>
      </c>
      <c r="FA93">
        <v>38.894</v>
      </c>
      <c r="FB93">
        <v>41.6969230769231</v>
      </c>
      <c r="FC93">
        <v>39.4516153846154</v>
      </c>
      <c r="FD93">
        <v>41.918</v>
      </c>
      <c r="FE93">
        <v>39.9757692307692</v>
      </c>
      <c r="FF93">
        <v>1155.55615384615</v>
      </c>
      <c r="FG93">
        <v>39.4407692307692</v>
      </c>
      <c r="FH93">
        <v>0</v>
      </c>
      <c r="FI93">
        <v>1760989631.5</v>
      </c>
      <c r="FJ93">
        <v>0</v>
      </c>
      <c r="FK93">
        <v>1334.75076923077</v>
      </c>
      <c r="FL93">
        <v>-1.71076921856561</v>
      </c>
      <c r="FM93">
        <v>-27.1247862978055</v>
      </c>
      <c r="FN93">
        <v>15763.4615384615</v>
      </c>
      <c r="FO93">
        <v>15</v>
      </c>
      <c r="FP93">
        <v>0</v>
      </c>
      <c r="FQ93" t="s">
        <v>439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-42.3721</v>
      </c>
      <c r="GD93">
        <v>-7.21717894736844</v>
      </c>
      <c r="GE93">
        <v>0.883664353699978</v>
      </c>
      <c r="GF93">
        <v>0</v>
      </c>
      <c r="GG93">
        <v>1334.85588235294</v>
      </c>
      <c r="GH93">
        <v>-2.3529411782653</v>
      </c>
      <c r="GI93">
        <v>0.348679168620318</v>
      </c>
      <c r="GJ93">
        <v>-1</v>
      </c>
      <c r="GK93">
        <v>2.8440775</v>
      </c>
      <c r="GL93">
        <v>0.0124055639097635</v>
      </c>
      <c r="GM93">
        <v>0.00197865326674482</v>
      </c>
      <c r="GN93">
        <v>1</v>
      </c>
      <c r="GO93">
        <v>1</v>
      </c>
      <c r="GP93">
        <v>2</v>
      </c>
      <c r="GQ93" t="s">
        <v>446</v>
      </c>
      <c r="GR93">
        <v>3.13069</v>
      </c>
      <c r="GS93">
        <v>2.6858</v>
      </c>
      <c r="GT93">
        <v>0.188004</v>
      </c>
      <c r="GU93">
        <v>0.192482</v>
      </c>
      <c r="GV93">
        <v>0.061839</v>
      </c>
      <c r="GW93">
        <v>0.0498071</v>
      </c>
      <c r="GX93">
        <v>30777.8</v>
      </c>
      <c r="GY93">
        <v>32890.5</v>
      </c>
      <c r="GZ93">
        <v>34266.9</v>
      </c>
      <c r="HA93">
        <v>36850.1</v>
      </c>
      <c r="HB93">
        <v>45356.3</v>
      </c>
      <c r="HC93">
        <v>50220.4</v>
      </c>
      <c r="HD93">
        <v>53341.4</v>
      </c>
      <c r="HE93">
        <v>58776.9</v>
      </c>
      <c r="HF93">
        <v>2.00955</v>
      </c>
      <c r="HG93">
        <v>1.83827</v>
      </c>
      <c r="HH93">
        <v>0.0329316</v>
      </c>
      <c r="HI93">
        <v>0</v>
      </c>
      <c r="HJ93">
        <v>17.4584</v>
      </c>
      <c r="HK93">
        <v>999.9</v>
      </c>
      <c r="HL93">
        <v>25.906</v>
      </c>
      <c r="HM93">
        <v>30.293</v>
      </c>
      <c r="HN93">
        <v>12.4918</v>
      </c>
      <c r="HO93">
        <v>54.4991</v>
      </c>
      <c r="HP93">
        <v>44.4311</v>
      </c>
      <c r="HQ93">
        <v>1</v>
      </c>
      <c r="HR93">
        <v>-0.270097</v>
      </c>
      <c r="HS93">
        <v>3.89665</v>
      </c>
      <c r="HT93">
        <v>20.0929</v>
      </c>
      <c r="HU93">
        <v>5.20097</v>
      </c>
      <c r="HV93">
        <v>12.004</v>
      </c>
      <c r="HW93">
        <v>4.97555</v>
      </c>
      <c r="HX93">
        <v>3.293</v>
      </c>
      <c r="HY93">
        <v>9999</v>
      </c>
      <c r="HZ93">
        <v>999.9</v>
      </c>
      <c r="IA93">
        <v>9999</v>
      </c>
      <c r="IB93">
        <v>9999</v>
      </c>
      <c r="IC93">
        <v>1.86324</v>
      </c>
      <c r="ID93">
        <v>1.86807</v>
      </c>
      <c r="IE93">
        <v>1.86783</v>
      </c>
      <c r="IF93">
        <v>1.86905</v>
      </c>
      <c r="IG93">
        <v>1.86981</v>
      </c>
      <c r="IH93">
        <v>1.86584</v>
      </c>
      <c r="II93">
        <v>1.86694</v>
      </c>
      <c r="IJ93">
        <v>1.86842</v>
      </c>
      <c r="IK93">
        <v>5</v>
      </c>
      <c r="IL93">
        <v>0</v>
      </c>
      <c r="IM93">
        <v>0</v>
      </c>
      <c r="IN93">
        <v>0</v>
      </c>
      <c r="IO93" t="s">
        <v>441</v>
      </c>
      <c r="IP93" t="s">
        <v>442</v>
      </c>
      <c r="IQ93" t="s">
        <v>443</v>
      </c>
      <c r="IR93" t="s">
        <v>443</v>
      </c>
      <c r="IS93" t="s">
        <v>443</v>
      </c>
      <c r="IT93" t="s">
        <v>443</v>
      </c>
      <c r="IU93">
        <v>0</v>
      </c>
      <c r="IV93">
        <v>100</v>
      </c>
      <c r="IW93">
        <v>100</v>
      </c>
      <c r="IX93">
        <v>5.68</v>
      </c>
      <c r="IY93">
        <v>-0.1107</v>
      </c>
      <c r="IZ93">
        <v>1.12474291219083</v>
      </c>
      <c r="JA93">
        <v>0.00463155566490582</v>
      </c>
      <c r="JB93">
        <v>-1.1358998729424e-06</v>
      </c>
      <c r="JC93">
        <v>3.28704272115545e-10</v>
      </c>
      <c r="JD93">
        <v>-0.0704455108513773</v>
      </c>
      <c r="JE93">
        <v>-0.0251928478371425</v>
      </c>
      <c r="JF93">
        <v>0.00225751704194564</v>
      </c>
      <c r="JG93">
        <v>-3.61734043746866e-05</v>
      </c>
      <c r="JH93">
        <v>1</v>
      </c>
      <c r="JI93">
        <v>2182</v>
      </c>
      <c r="JJ93">
        <v>0</v>
      </c>
      <c r="JK93">
        <v>24</v>
      </c>
      <c r="JL93">
        <v>29349827.7</v>
      </c>
      <c r="JM93">
        <v>29349827.7</v>
      </c>
      <c r="JN93">
        <v>2.4646</v>
      </c>
      <c r="JO93">
        <v>2.6062</v>
      </c>
      <c r="JP93">
        <v>1.54785</v>
      </c>
      <c r="JQ93">
        <v>2.31445</v>
      </c>
      <c r="JR93">
        <v>1.64673</v>
      </c>
      <c r="JS93">
        <v>2.33887</v>
      </c>
      <c r="JT93">
        <v>33.6254</v>
      </c>
      <c r="JU93">
        <v>24.1926</v>
      </c>
      <c r="JV93">
        <v>18</v>
      </c>
      <c r="JW93">
        <v>501.164</v>
      </c>
      <c r="JX93">
        <v>394.741</v>
      </c>
      <c r="JY93">
        <v>12.4102</v>
      </c>
      <c r="JZ93">
        <v>23.9008</v>
      </c>
      <c r="KA93">
        <v>29.9999</v>
      </c>
      <c r="KB93">
        <v>23.921</v>
      </c>
      <c r="KC93">
        <v>23.8912</v>
      </c>
      <c r="KD93">
        <v>49.4565</v>
      </c>
      <c r="KE93">
        <v>8.77818</v>
      </c>
      <c r="KF93">
        <v>23.3636</v>
      </c>
      <c r="KG93">
        <v>12.4066</v>
      </c>
      <c r="KH93">
        <v>1292.59</v>
      </c>
      <c r="KI93">
        <v>9.00774</v>
      </c>
      <c r="KJ93">
        <v>97.0449</v>
      </c>
      <c r="KK93">
        <v>95.3049</v>
      </c>
    </row>
    <row r="94" spans="1:297">
      <c r="A94">
        <v>78</v>
      </c>
      <c r="B94">
        <v>1760989667.1</v>
      </c>
      <c r="C94">
        <v>477</v>
      </c>
      <c r="D94" t="s">
        <v>598</v>
      </c>
      <c r="E94" t="s">
        <v>599</v>
      </c>
      <c r="F94">
        <v>5</v>
      </c>
      <c r="G94" t="s">
        <v>435</v>
      </c>
      <c r="H94" t="s">
        <v>436</v>
      </c>
      <c r="I94">
        <v>1760989658.94615</v>
      </c>
      <c r="J94">
        <f>(K94)/1000</f>
        <v>0</v>
      </c>
      <c r="K94">
        <f>IF(DP94, AN94, AH94)</f>
        <v>0</v>
      </c>
      <c r="L94">
        <f>IF(DP94, AI94, AG94)</f>
        <v>0</v>
      </c>
      <c r="M94">
        <f>DR94 - IF(AU94&gt;1, L94*DL94*100.0/(AW94), 0)</f>
        <v>0</v>
      </c>
      <c r="N94">
        <f>((T94-J94/2)*M94-L94)/(T94+J94/2)</f>
        <v>0</v>
      </c>
      <c r="O94">
        <f>N94*(DY94+DZ94)/1000.0</f>
        <v>0</v>
      </c>
      <c r="P94">
        <f>(DR94 - IF(AU94&gt;1, L94*DL94*100.0/(AW94), 0))*(DY94+DZ94)/1000.0</f>
        <v>0</v>
      </c>
      <c r="Q94">
        <f>2.0/((1/S94-1/R94)+SIGN(S94)*SQRT((1/S94-1/R94)*(1/S94-1/R94) + 4*DM94/((DM94+1)*(DM94+1))*(2*1/S94*1/R94-1/R94*1/R94)))</f>
        <v>0</v>
      </c>
      <c r="R94">
        <f>IF(LEFT(DN94,1)&lt;&gt;"0",IF(LEFT(DN94,1)="1",3.0,DO94),$D$5+$E$5*(EF94*DY94/($K$5*1000))+$F$5*(EF94*DY94/($K$5*1000))*MAX(MIN(DL94,$J$5),$I$5)*MAX(MIN(DL94,$J$5),$I$5)+$G$5*MAX(MIN(DL94,$J$5),$I$5)*(EF94*DY94/($K$5*1000))+$H$5*(EF94*DY94/($K$5*1000))*(EF94*DY94/($K$5*1000)))</f>
        <v>0</v>
      </c>
      <c r="S94">
        <f>J94*(1000-(1000*0.61365*exp(17.502*W94/(240.97+W94))/(DY94+DZ94)+DT94)/2)/(1000*0.61365*exp(17.502*W94/(240.97+W94))/(DY94+DZ94)-DT94)</f>
        <v>0</v>
      </c>
      <c r="T94">
        <f>1/((DM94+1)/(Q94/1.6)+1/(R94/1.37)) + DM94/((DM94+1)/(Q94/1.6) + DM94/(R94/1.37))</f>
        <v>0</v>
      </c>
      <c r="U94">
        <f>(DH94*DK94)</f>
        <v>0</v>
      </c>
      <c r="V94">
        <f>(EA94+(U94+2*0.95*5.67E-8*(((EA94+$B$7)+273)^4-(EA94+273)^4)-44100*J94)/(1.84*29.3*R94+8*0.95*5.67E-8*(EA94+273)^3))</f>
        <v>0</v>
      </c>
      <c r="W94">
        <f>($C$7*EB94+$D$7*EC94+$E$7*V94)</f>
        <v>0</v>
      </c>
      <c r="X94">
        <f>0.61365*exp(17.502*W94/(240.97+W94))</f>
        <v>0</v>
      </c>
      <c r="Y94">
        <f>(Z94/AA94*100)</f>
        <v>0</v>
      </c>
      <c r="Z94">
        <f>DT94*(DY94+DZ94)/1000</f>
        <v>0</v>
      </c>
      <c r="AA94">
        <f>0.61365*exp(17.502*EA94/(240.97+EA94))</f>
        <v>0</v>
      </c>
      <c r="AB94">
        <f>(X94-DT94*(DY94+DZ94)/1000)</f>
        <v>0</v>
      </c>
      <c r="AC94">
        <f>(-J94*44100)</f>
        <v>0</v>
      </c>
      <c r="AD94">
        <f>2*29.3*R94*0.92*(EA94-W94)</f>
        <v>0</v>
      </c>
      <c r="AE94">
        <f>2*0.95*5.67E-8*(((EA94+$B$7)+273)^4-(W94+273)^4)</f>
        <v>0</v>
      </c>
      <c r="AF94">
        <f>U94+AE94+AC94+AD94</f>
        <v>0</v>
      </c>
      <c r="AG94">
        <f>DX94*AU94*(DS94-DR94*(1000-AU94*DU94)/(1000-AU94*DT94))/(100*DL94)</f>
        <v>0</v>
      </c>
      <c r="AH94">
        <f>1000*DX94*AU94*(DT94-DU94)/(100*DL94*(1000-AU94*DT94))</f>
        <v>0</v>
      </c>
      <c r="AI94">
        <f>(AJ94 - AK94 - DY94*1E3/(8.314*(EA94+273.15)) * AM94/DX94 * AL94) * DX94/(100*DL94) * (1000 - DU94)/1000</f>
        <v>0</v>
      </c>
      <c r="AJ94">
        <v>1286.47801179697</v>
      </c>
      <c r="AK94">
        <v>1255.42563636364</v>
      </c>
      <c r="AL94">
        <v>3.31711689261625</v>
      </c>
      <c r="AM94">
        <v>64.8413469339502</v>
      </c>
      <c r="AN94">
        <f>(AP94 - AO94 + DY94*1E3/(8.314*(EA94+273.15)) * AR94/DX94 * AQ94) * DX94/(100*DL94) * 1000/(1000 - AP94)</f>
        <v>0</v>
      </c>
      <c r="AO94">
        <v>8.99881523188428</v>
      </c>
      <c r="AP94">
        <v>11.8508193939394</v>
      </c>
      <c r="AQ94">
        <v>3.27888414486076e-05</v>
      </c>
      <c r="AR94">
        <v>118.472689631034</v>
      </c>
      <c r="AS94">
        <v>0</v>
      </c>
      <c r="AT94">
        <v>0</v>
      </c>
      <c r="AU94">
        <f>IF(AS94*$H$13&gt;=AW94,1.0,(AW94/(AW94-AS94*$H$13)))</f>
        <v>0</v>
      </c>
      <c r="AV94">
        <f>(AU94-1)*100</f>
        <v>0</v>
      </c>
      <c r="AW94">
        <f>MAX(0,($B$13+$C$13*EF94)/(1+$D$13*EF94)*DY94/(EA94+273)*$E$13)</f>
        <v>0</v>
      </c>
      <c r="AX94" t="s">
        <v>437</v>
      </c>
      <c r="AY94" t="s">
        <v>437</v>
      </c>
      <c r="AZ94">
        <v>0</v>
      </c>
      <c r="BA94">
        <v>0</v>
      </c>
      <c r="BB94">
        <f>1-AZ94/BA94</f>
        <v>0</v>
      </c>
      <c r="BC94">
        <v>0</v>
      </c>
      <c r="BD94" t="s">
        <v>437</v>
      </c>
      <c r="BE94" t="s">
        <v>437</v>
      </c>
      <c r="BF94">
        <v>0</v>
      </c>
      <c r="BG94">
        <v>0</v>
      </c>
      <c r="BH94">
        <f>1-BF94/BG94</f>
        <v>0</v>
      </c>
      <c r="BI94">
        <v>0.5</v>
      </c>
      <c r="BJ94">
        <f>DI94</f>
        <v>0</v>
      </c>
      <c r="BK94">
        <f>L94</f>
        <v>0</v>
      </c>
      <c r="BL94">
        <f>BH94*BI94*BJ94</f>
        <v>0</v>
      </c>
      <c r="BM94">
        <f>(BK94-BC94)/BJ94</f>
        <v>0</v>
      </c>
      <c r="BN94">
        <f>(BA94-BG94)/BG94</f>
        <v>0</v>
      </c>
      <c r="BO94">
        <f>AZ94/(BB94+AZ94/BG94)</f>
        <v>0</v>
      </c>
      <c r="BP94" t="s">
        <v>437</v>
      </c>
      <c r="BQ94">
        <v>0</v>
      </c>
      <c r="BR94">
        <f>IF(BQ94&lt;&gt;0, BQ94, BO94)</f>
        <v>0</v>
      </c>
      <c r="BS94">
        <f>1-BR94/BG94</f>
        <v>0</v>
      </c>
      <c r="BT94">
        <f>(BG94-BF94)/(BG94-BR94)</f>
        <v>0</v>
      </c>
      <c r="BU94">
        <f>(BA94-BG94)/(BA94-BR94)</f>
        <v>0</v>
      </c>
      <c r="BV94">
        <f>(BG94-BF94)/(BG94-AZ94)</f>
        <v>0</v>
      </c>
      <c r="BW94">
        <f>(BA94-BG94)/(BA94-AZ94)</f>
        <v>0</v>
      </c>
      <c r="BX94">
        <f>(BT94*BR94/BF94)</f>
        <v>0</v>
      </c>
      <c r="BY94">
        <f>(1-BX94)</f>
        <v>0</v>
      </c>
      <c r="DH94">
        <f>$B$11*EG94+$C$11*EH94+$F$11*ES94*(1-EV94)</f>
        <v>0</v>
      </c>
      <c r="DI94">
        <f>DH94*DJ94</f>
        <v>0</v>
      </c>
      <c r="DJ94">
        <f>($B$11*$D$9+$C$11*$D$9+$F$11*((FF94+EX94)/MAX(FF94+EX94+FG94, 0.1)*$I$9+FG94/MAX(FF94+EX94+FG94, 0.1)*$J$9))/($B$11+$C$11+$F$11)</f>
        <v>0</v>
      </c>
      <c r="DK94">
        <f>($B$11*$K$9+$C$11*$K$9+$F$11*((FF94+EX94)/MAX(FF94+EX94+FG94, 0.1)*$P$9+FG94/MAX(FF94+EX94+FG94, 0.1)*$Q$9))/($B$11+$C$11+$F$11)</f>
        <v>0</v>
      </c>
      <c r="DL94">
        <v>6</v>
      </c>
      <c r="DM94">
        <v>0.5</v>
      </c>
      <c r="DN94" t="s">
        <v>438</v>
      </c>
      <c r="DO94">
        <v>2</v>
      </c>
      <c r="DP94" t="b">
        <v>1</v>
      </c>
      <c r="DQ94">
        <v>1760989658.94615</v>
      </c>
      <c r="DR94">
        <v>1216.59461538462</v>
      </c>
      <c r="DS94">
        <v>1259.15615384615</v>
      </c>
      <c r="DT94">
        <v>11.8439230769231</v>
      </c>
      <c r="DU94">
        <v>8.99719</v>
      </c>
      <c r="DV94">
        <v>1210.94307692308</v>
      </c>
      <c r="DW94">
        <v>11.9547153846154</v>
      </c>
      <c r="DX94">
        <v>500.018461538462</v>
      </c>
      <c r="DY94">
        <v>89.8571307692308</v>
      </c>
      <c r="DZ94">
        <v>0.00756934076923077</v>
      </c>
      <c r="EA94">
        <v>18.4751</v>
      </c>
      <c r="EB94">
        <v>18.0033615384615</v>
      </c>
      <c r="EC94">
        <v>999.9</v>
      </c>
      <c r="ED94">
        <v>0</v>
      </c>
      <c r="EE94">
        <v>0</v>
      </c>
      <c r="EF94">
        <v>10027.5015384615</v>
      </c>
      <c r="EG94">
        <v>0</v>
      </c>
      <c r="EH94">
        <v>1270.20153846154</v>
      </c>
      <c r="EI94">
        <v>-42.5605</v>
      </c>
      <c r="EJ94">
        <v>1231.17615384615</v>
      </c>
      <c r="EK94">
        <v>1270.58692307692</v>
      </c>
      <c r="EL94">
        <v>2.84673846153846</v>
      </c>
      <c r="EM94">
        <v>1259.15615384615</v>
      </c>
      <c r="EN94">
        <v>8.99719</v>
      </c>
      <c r="EO94">
        <v>1.06426153846154</v>
      </c>
      <c r="EP94">
        <v>0.808461461538462</v>
      </c>
      <c r="EQ94">
        <v>7.82713615384615</v>
      </c>
      <c r="ER94">
        <v>3.85674615384615</v>
      </c>
      <c r="ES94">
        <v>1200.02769230769</v>
      </c>
      <c r="ET94">
        <v>0.966999</v>
      </c>
      <c r="EU94">
        <v>0.0330010461538462</v>
      </c>
      <c r="EV94">
        <v>0</v>
      </c>
      <c r="EW94">
        <v>1334.63230769231</v>
      </c>
      <c r="EX94">
        <v>5.00059</v>
      </c>
      <c r="EY94">
        <v>15760.9923076923</v>
      </c>
      <c r="EZ94">
        <v>10358.9307692308</v>
      </c>
      <c r="FA94">
        <v>38.8891538461538</v>
      </c>
      <c r="FB94">
        <v>41.6007692307692</v>
      </c>
      <c r="FC94">
        <v>39.4373076923077</v>
      </c>
      <c r="FD94">
        <v>41.7737692307692</v>
      </c>
      <c r="FE94">
        <v>39.9324615384615</v>
      </c>
      <c r="FF94">
        <v>1155.59</v>
      </c>
      <c r="FG94">
        <v>39.4361538461538</v>
      </c>
      <c r="FH94">
        <v>0</v>
      </c>
      <c r="FI94">
        <v>1760989636.3</v>
      </c>
      <c r="FJ94">
        <v>0</v>
      </c>
      <c r="FK94">
        <v>1334.66923076923</v>
      </c>
      <c r="FL94">
        <v>-0.332991459372386</v>
      </c>
      <c r="FM94">
        <v>-42.8786324762869</v>
      </c>
      <c r="FN94">
        <v>15760.9615384615</v>
      </c>
      <c r="FO94">
        <v>15</v>
      </c>
      <c r="FP94">
        <v>0</v>
      </c>
      <c r="FQ94" t="s">
        <v>439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-42.6134238095238</v>
      </c>
      <c r="GD94">
        <v>0.0901324675324324</v>
      </c>
      <c r="GE94">
        <v>0.551917517910026</v>
      </c>
      <c r="GF94">
        <v>1</v>
      </c>
      <c r="GG94">
        <v>1334.75176470588</v>
      </c>
      <c r="GH94">
        <v>-1.34728800691631</v>
      </c>
      <c r="GI94">
        <v>0.301744638708999</v>
      </c>
      <c r="GJ94">
        <v>-1</v>
      </c>
      <c r="GK94">
        <v>2.8456480952381</v>
      </c>
      <c r="GL94">
        <v>0.0304433766233704</v>
      </c>
      <c r="GM94">
        <v>0.00329779091867727</v>
      </c>
      <c r="GN94">
        <v>1</v>
      </c>
      <c r="GO94">
        <v>2</v>
      </c>
      <c r="GP94">
        <v>2</v>
      </c>
      <c r="GQ94" t="s">
        <v>440</v>
      </c>
      <c r="GR94">
        <v>3.13073</v>
      </c>
      <c r="GS94">
        <v>2.68543</v>
      </c>
      <c r="GT94">
        <v>0.189583</v>
      </c>
      <c r="GU94">
        <v>0.194087</v>
      </c>
      <c r="GV94">
        <v>0.0618619</v>
      </c>
      <c r="GW94">
        <v>0.0498189</v>
      </c>
      <c r="GX94">
        <v>30718.4</v>
      </c>
      <c r="GY94">
        <v>32825.6</v>
      </c>
      <c r="GZ94">
        <v>34267.3</v>
      </c>
      <c r="HA94">
        <v>36850.5</v>
      </c>
      <c r="HB94">
        <v>45355.8</v>
      </c>
      <c r="HC94">
        <v>50220.6</v>
      </c>
      <c r="HD94">
        <v>53341.9</v>
      </c>
      <c r="HE94">
        <v>58777.7</v>
      </c>
      <c r="HF94">
        <v>2.0091</v>
      </c>
      <c r="HG94">
        <v>1.8386</v>
      </c>
      <c r="HH94">
        <v>0.0328049</v>
      </c>
      <c r="HI94">
        <v>0</v>
      </c>
      <c r="HJ94">
        <v>17.4588</v>
      </c>
      <c r="HK94">
        <v>999.9</v>
      </c>
      <c r="HL94">
        <v>25.906</v>
      </c>
      <c r="HM94">
        <v>30.293</v>
      </c>
      <c r="HN94">
        <v>12.4923</v>
      </c>
      <c r="HO94">
        <v>54.2091</v>
      </c>
      <c r="HP94">
        <v>44.383</v>
      </c>
      <c r="HQ94">
        <v>1</v>
      </c>
      <c r="HR94">
        <v>-0.270091</v>
      </c>
      <c r="HS94">
        <v>3.90548</v>
      </c>
      <c r="HT94">
        <v>20.0932</v>
      </c>
      <c r="HU94">
        <v>5.20202</v>
      </c>
      <c r="HV94">
        <v>12.004</v>
      </c>
      <c r="HW94">
        <v>4.9756</v>
      </c>
      <c r="HX94">
        <v>3.29293</v>
      </c>
      <c r="HY94">
        <v>9999</v>
      </c>
      <c r="HZ94">
        <v>999.9</v>
      </c>
      <c r="IA94">
        <v>9999</v>
      </c>
      <c r="IB94">
        <v>9999</v>
      </c>
      <c r="IC94">
        <v>1.86322</v>
      </c>
      <c r="ID94">
        <v>1.86805</v>
      </c>
      <c r="IE94">
        <v>1.86783</v>
      </c>
      <c r="IF94">
        <v>1.86905</v>
      </c>
      <c r="IG94">
        <v>1.86981</v>
      </c>
      <c r="IH94">
        <v>1.86584</v>
      </c>
      <c r="II94">
        <v>1.86692</v>
      </c>
      <c r="IJ94">
        <v>1.86838</v>
      </c>
      <c r="IK94">
        <v>5</v>
      </c>
      <c r="IL94">
        <v>0</v>
      </c>
      <c r="IM94">
        <v>0</v>
      </c>
      <c r="IN94">
        <v>0</v>
      </c>
      <c r="IO94" t="s">
        <v>441</v>
      </c>
      <c r="IP94" t="s">
        <v>442</v>
      </c>
      <c r="IQ94" t="s">
        <v>443</v>
      </c>
      <c r="IR94" t="s">
        <v>443</v>
      </c>
      <c r="IS94" t="s">
        <v>443</v>
      </c>
      <c r="IT94" t="s">
        <v>443</v>
      </c>
      <c r="IU94">
        <v>0</v>
      </c>
      <c r="IV94">
        <v>100</v>
      </c>
      <c r="IW94">
        <v>100</v>
      </c>
      <c r="IX94">
        <v>5.75</v>
      </c>
      <c r="IY94">
        <v>-0.1106</v>
      </c>
      <c r="IZ94">
        <v>1.12474291219083</v>
      </c>
      <c r="JA94">
        <v>0.00463155566490582</v>
      </c>
      <c r="JB94">
        <v>-1.1358998729424e-06</v>
      </c>
      <c r="JC94">
        <v>3.28704272115545e-10</v>
      </c>
      <c r="JD94">
        <v>-0.0704455108513773</v>
      </c>
      <c r="JE94">
        <v>-0.0251928478371425</v>
      </c>
      <c r="JF94">
        <v>0.00225751704194564</v>
      </c>
      <c r="JG94">
        <v>-3.61734043746866e-05</v>
      </c>
      <c r="JH94">
        <v>1</v>
      </c>
      <c r="JI94">
        <v>2182</v>
      </c>
      <c r="JJ94">
        <v>0</v>
      </c>
      <c r="JK94">
        <v>24</v>
      </c>
      <c r="JL94">
        <v>29349827.8</v>
      </c>
      <c r="JM94">
        <v>29349827.8</v>
      </c>
      <c r="JN94">
        <v>2.49512</v>
      </c>
      <c r="JO94">
        <v>2.60498</v>
      </c>
      <c r="JP94">
        <v>1.54785</v>
      </c>
      <c r="JQ94">
        <v>2.31445</v>
      </c>
      <c r="JR94">
        <v>1.64673</v>
      </c>
      <c r="JS94">
        <v>2.33154</v>
      </c>
      <c r="JT94">
        <v>33.6254</v>
      </c>
      <c r="JU94">
        <v>24.1926</v>
      </c>
      <c r="JV94">
        <v>18</v>
      </c>
      <c r="JW94">
        <v>500.875</v>
      </c>
      <c r="JX94">
        <v>394.912</v>
      </c>
      <c r="JY94">
        <v>12.4087</v>
      </c>
      <c r="JZ94">
        <v>23.9008</v>
      </c>
      <c r="KA94">
        <v>29.9999</v>
      </c>
      <c r="KB94">
        <v>23.921</v>
      </c>
      <c r="KC94">
        <v>23.8912</v>
      </c>
      <c r="KD94">
        <v>49.9728</v>
      </c>
      <c r="KE94">
        <v>8.77818</v>
      </c>
      <c r="KF94">
        <v>23.3636</v>
      </c>
      <c r="KG94">
        <v>12.4027</v>
      </c>
      <c r="KH94">
        <v>1306.29</v>
      </c>
      <c r="KI94">
        <v>9.00774</v>
      </c>
      <c r="KJ94">
        <v>97.0459</v>
      </c>
      <c r="KK94">
        <v>95.306</v>
      </c>
    </row>
    <row r="95" spans="1:297">
      <c r="A95">
        <v>79</v>
      </c>
      <c r="B95">
        <v>1760989672.1</v>
      </c>
      <c r="C95">
        <v>482</v>
      </c>
      <c r="D95" t="s">
        <v>600</v>
      </c>
      <c r="E95" t="s">
        <v>601</v>
      </c>
      <c r="F95">
        <v>5</v>
      </c>
      <c r="G95" t="s">
        <v>435</v>
      </c>
      <c r="H95" t="s">
        <v>436</v>
      </c>
      <c r="I95">
        <v>1760989663.94615</v>
      </c>
      <c r="J95">
        <f>(K95)/1000</f>
        <v>0</v>
      </c>
      <c r="K95">
        <f>IF(DP95, AN95, AH95)</f>
        <v>0</v>
      </c>
      <c r="L95">
        <f>IF(DP95, AI95, AG95)</f>
        <v>0</v>
      </c>
      <c r="M95">
        <f>DR95 - IF(AU95&gt;1, L95*DL95*100.0/(AW95), 0)</f>
        <v>0</v>
      </c>
      <c r="N95">
        <f>((T95-J95/2)*M95-L95)/(T95+J95/2)</f>
        <v>0</v>
      </c>
      <c r="O95">
        <f>N95*(DY95+DZ95)/1000.0</f>
        <v>0</v>
      </c>
      <c r="P95">
        <f>(DR95 - IF(AU95&gt;1, L95*DL95*100.0/(AW95), 0))*(DY95+DZ95)/1000.0</f>
        <v>0</v>
      </c>
      <c r="Q95">
        <f>2.0/((1/S95-1/R95)+SIGN(S95)*SQRT((1/S95-1/R95)*(1/S95-1/R95) + 4*DM95/((DM95+1)*(DM95+1))*(2*1/S95*1/R95-1/R95*1/R95)))</f>
        <v>0</v>
      </c>
      <c r="R95">
        <f>IF(LEFT(DN95,1)&lt;&gt;"0",IF(LEFT(DN95,1)="1",3.0,DO95),$D$5+$E$5*(EF95*DY95/($K$5*1000))+$F$5*(EF95*DY95/($K$5*1000))*MAX(MIN(DL95,$J$5),$I$5)*MAX(MIN(DL95,$J$5),$I$5)+$G$5*MAX(MIN(DL95,$J$5),$I$5)*(EF95*DY95/($K$5*1000))+$H$5*(EF95*DY95/($K$5*1000))*(EF95*DY95/($K$5*1000)))</f>
        <v>0</v>
      </c>
      <c r="S95">
        <f>J95*(1000-(1000*0.61365*exp(17.502*W95/(240.97+W95))/(DY95+DZ95)+DT95)/2)/(1000*0.61365*exp(17.502*W95/(240.97+W95))/(DY95+DZ95)-DT95)</f>
        <v>0</v>
      </c>
      <c r="T95">
        <f>1/((DM95+1)/(Q95/1.6)+1/(R95/1.37)) + DM95/((DM95+1)/(Q95/1.6) + DM95/(R95/1.37))</f>
        <v>0</v>
      </c>
      <c r="U95">
        <f>(DH95*DK95)</f>
        <v>0</v>
      </c>
      <c r="V95">
        <f>(EA95+(U95+2*0.95*5.67E-8*(((EA95+$B$7)+273)^4-(EA95+273)^4)-44100*J95)/(1.84*29.3*R95+8*0.95*5.67E-8*(EA95+273)^3))</f>
        <v>0</v>
      </c>
      <c r="W95">
        <f>($C$7*EB95+$D$7*EC95+$E$7*V95)</f>
        <v>0</v>
      </c>
      <c r="X95">
        <f>0.61365*exp(17.502*W95/(240.97+W95))</f>
        <v>0</v>
      </c>
      <c r="Y95">
        <f>(Z95/AA95*100)</f>
        <v>0</v>
      </c>
      <c r="Z95">
        <f>DT95*(DY95+DZ95)/1000</f>
        <v>0</v>
      </c>
      <c r="AA95">
        <f>0.61365*exp(17.502*EA95/(240.97+EA95))</f>
        <v>0</v>
      </c>
      <c r="AB95">
        <f>(X95-DT95*(DY95+DZ95)/1000)</f>
        <v>0</v>
      </c>
      <c r="AC95">
        <f>(-J95*44100)</f>
        <v>0</v>
      </c>
      <c r="AD95">
        <f>2*29.3*R95*0.92*(EA95-W95)</f>
        <v>0</v>
      </c>
      <c r="AE95">
        <f>2*0.95*5.67E-8*(((EA95+$B$7)+273)^4-(W95+273)^4)</f>
        <v>0</v>
      </c>
      <c r="AF95">
        <f>U95+AE95+AC95+AD95</f>
        <v>0</v>
      </c>
      <c r="AG95">
        <f>DX95*AU95*(DS95-DR95*(1000-AU95*DU95)/(1000-AU95*DT95))/(100*DL95)</f>
        <v>0</v>
      </c>
      <c r="AH95">
        <f>1000*DX95*AU95*(DT95-DU95)/(100*DL95*(1000-AU95*DT95))</f>
        <v>0</v>
      </c>
      <c r="AI95">
        <f>(AJ95 - AK95 - DY95*1E3/(8.314*(EA95+273.15)) * AM95/DX95 * AL95) * DX95/(100*DL95) * (1000 - DU95)/1000</f>
        <v>0</v>
      </c>
      <c r="AJ95">
        <v>1304.44427702364</v>
      </c>
      <c r="AK95">
        <v>1273.03775757576</v>
      </c>
      <c r="AL95">
        <v>3.54766050658134</v>
      </c>
      <c r="AM95">
        <v>64.8413469339502</v>
      </c>
      <c r="AN95">
        <f>(AP95 - AO95 + DY95*1E3/(8.314*(EA95+273.15)) * AR95/DX95 * AQ95) * DX95/(100*DL95) * 1000/(1000 - AP95)</f>
        <v>0</v>
      </c>
      <c r="AO95">
        <v>9.00118678341932</v>
      </c>
      <c r="AP95">
        <v>11.8548927272727</v>
      </c>
      <c r="AQ95">
        <v>1.81481667777717e-05</v>
      </c>
      <c r="AR95">
        <v>118.472689631034</v>
      </c>
      <c r="AS95">
        <v>0</v>
      </c>
      <c r="AT95">
        <v>0</v>
      </c>
      <c r="AU95">
        <f>IF(AS95*$H$13&gt;=AW95,1.0,(AW95/(AW95-AS95*$H$13)))</f>
        <v>0</v>
      </c>
      <c r="AV95">
        <f>(AU95-1)*100</f>
        <v>0</v>
      </c>
      <c r="AW95">
        <f>MAX(0,($B$13+$C$13*EF95)/(1+$D$13*EF95)*DY95/(EA95+273)*$E$13)</f>
        <v>0</v>
      </c>
      <c r="AX95" t="s">
        <v>437</v>
      </c>
      <c r="AY95" t="s">
        <v>437</v>
      </c>
      <c r="AZ95">
        <v>0</v>
      </c>
      <c r="BA95">
        <v>0</v>
      </c>
      <c r="BB95">
        <f>1-AZ95/BA95</f>
        <v>0</v>
      </c>
      <c r="BC95">
        <v>0</v>
      </c>
      <c r="BD95" t="s">
        <v>437</v>
      </c>
      <c r="BE95" t="s">
        <v>437</v>
      </c>
      <c r="BF95">
        <v>0</v>
      </c>
      <c r="BG95">
        <v>0</v>
      </c>
      <c r="BH95">
        <f>1-BF95/BG95</f>
        <v>0</v>
      </c>
      <c r="BI95">
        <v>0.5</v>
      </c>
      <c r="BJ95">
        <f>DI95</f>
        <v>0</v>
      </c>
      <c r="BK95">
        <f>L95</f>
        <v>0</v>
      </c>
      <c r="BL95">
        <f>BH95*BI95*BJ95</f>
        <v>0</v>
      </c>
      <c r="BM95">
        <f>(BK95-BC95)/BJ95</f>
        <v>0</v>
      </c>
      <c r="BN95">
        <f>(BA95-BG95)/BG95</f>
        <v>0</v>
      </c>
      <c r="BO95">
        <f>AZ95/(BB95+AZ95/BG95)</f>
        <v>0</v>
      </c>
      <c r="BP95" t="s">
        <v>437</v>
      </c>
      <c r="BQ95">
        <v>0</v>
      </c>
      <c r="BR95">
        <f>IF(BQ95&lt;&gt;0, BQ95, BO95)</f>
        <v>0</v>
      </c>
      <c r="BS95">
        <f>1-BR95/BG95</f>
        <v>0</v>
      </c>
      <c r="BT95">
        <f>(BG95-BF95)/(BG95-BR95)</f>
        <v>0</v>
      </c>
      <c r="BU95">
        <f>(BA95-BG95)/(BA95-BR95)</f>
        <v>0</v>
      </c>
      <c r="BV95">
        <f>(BG95-BF95)/(BG95-AZ95)</f>
        <v>0</v>
      </c>
      <c r="BW95">
        <f>(BA95-BG95)/(BA95-AZ95)</f>
        <v>0</v>
      </c>
      <c r="BX95">
        <f>(BT95*BR95/BF95)</f>
        <v>0</v>
      </c>
      <c r="BY95">
        <f>(1-BX95)</f>
        <v>0</v>
      </c>
      <c r="DH95">
        <f>$B$11*EG95+$C$11*EH95+$F$11*ES95*(1-EV95)</f>
        <v>0</v>
      </c>
      <c r="DI95">
        <f>DH95*DJ95</f>
        <v>0</v>
      </c>
      <c r="DJ95">
        <f>($B$11*$D$9+$C$11*$D$9+$F$11*((FF95+EX95)/MAX(FF95+EX95+FG95, 0.1)*$I$9+FG95/MAX(FF95+EX95+FG95, 0.1)*$J$9))/($B$11+$C$11+$F$11)</f>
        <v>0</v>
      </c>
      <c r="DK95">
        <f>($B$11*$K$9+$C$11*$K$9+$F$11*((FF95+EX95)/MAX(FF95+EX95+FG95, 0.1)*$P$9+FG95/MAX(FF95+EX95+FG95, 0.1)*$Q$9))/($B$11+$C$11+$F$11)</f>
        <v>0</v>
      </c>
      <c r="DL95">
        <v>6</v>
      </c>
      <c r="DM95">
        <v>0.5</v>
      </c>
      <c r="DN95" t="s">
        <v>438</v>
      </c>
      <c r="DO95">
        <v>2</v>
      </c>
      <c r="DP95" t="b">
        <v>1</v>
      </c>
      <c r="DQ95">
        <v>1760989663.94615</v>
      </c>
      <c r="DR95">
        <v>1233.48076923077</v>
      </c>
      <c r="DS95">
        <v>1276.45769230769</v>
      </c>
      <c r="DT95">
        <v>11.8486615384615</v>
      </c>
      <c r="DU95">
        <v>8.99872615384615</v>
      </c>
      <c r="DV95">
        <v>1227.77384615385</v>
      </c>
      <c r="DW95">
        <v>11.9594076923077</v>
      </c>
      <c r="DX95">
        <v>500.014846153846</v>
      </c>
      <c r="DY95">
        <v>89.8577538461539</v>
      </c>
      <c r="DZ95">
        <v>0.00762425846153846</v>
      </c>
      <c r="EA95">
        <v>18.4816</v>
      </c>
      <c r="EB95">
        <v>18.0033461538462</v>
      </c>
      <c r="EC95">
        <v>999.9</v>
      </c>
      <c r="ED95">
        <v>0</v>
      </c>
      <c r="EE95">
        <v>0</v>
      </c>
      <c r="EF95">
        <v>10006.5884615385</v>
      </c>
      <c r="EG95">
        <v>0</v>
      </c>
      <c r="EH95">
        <v>1270.19769230769</v>
      </c>
      <c r="EI95">
        <v>-42.9759538461538</v>
      </c>
      <c r="EJ95">
        <v>1248.27153846154</v>
      </c>
      <c r="EK95">
        <v>1288.04769230769</v>
      </c>
      <c r="EL95">
        <v>2.84994538461539</v>
      </c>
      <c r="EM95">
        <v>1276.45769230769</v>
      </c>
      <c r="EN95">
        <v>8.99872615384615</v>
      </c>
      <c r="EO95">
        <v>1.06469538461538</v>
      </c>
      <c r="EP95">
        <v>0.808605230769231</v>
      </c>
      <c r="EQ95">
        <v>7.83311461538462</v>
      </c>
      <c r="ER95">
        <v>3.85927153846154</v>
      </c>
      <c r="ES95">
        <v>1200.03230769231</v>
      </c>
      <c r="ET95">
        <v>0.967000923076923</v>
      </c>
      <c r="EU95">
        <v>0.0329989461538462</v>
      </c>
      <c r="EV95">
        <v>0</v>
      </c>
      <c r="EW95">
        <v>1334.58153846154</v>
      </c>
      <c r="EX95">
        <v>5.00059</v>
      </c>
      <c r="EY95">
        <v>15756.9615384615</v>
      </c>
      <c r="EZ95">
        <v>10358.9769230769</v>
      </c>
      <c r="FA95">
        <v>38.8459230769231</v>
      </c>
      <c r="FB95">
        <v>41.4372307692308</v>
      </c>
      <c r="FC95">
        <v>39.37</v>
      </c>
      <c r="FD95">
        <v>41.5285384615385</v>
      </c>
      <c r="FE95">
        <v>39.841</v>
      </c>
      <c r="FF95">
        <v>1155.59615384615</v>
      </c>
      <c r="FG95">
        <v>39.4353846153846</v>
      </c>
      <c r="FH95">
        <v>0</v>
      </c>
      <c r="FI95">
        <v>1760989641.1</v>
      </c>
      <c r="FJ95">
        <v>0</v>
      </c>
      <c r="FK95">
        <v>1334.64769230769</v>
      </c>
      <c r="FL95">
        <v>0.428034185015348</v>
      </c>
      <c r="FM95">
        <v>-53.463247800621</v>
      </c>
      <c r="FN95">
        <v>15757.0153846154</v>
      </c>
      <c r="FO95">
        <v>15</v>
      </c>
      <c r="FP95">
        <v>0</v>
      </c>
      <c r="FQ95" t="s">
        <v>439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-42.80673</v>
      </c>
      <c r="GD95">
        <v>-3.04047518796986</v>
      </c>
      <c r="GE95">
        <v>0.675226793825601</v>
      </c>
      <c r="GF95">
        <v>0</v>
      </c>
      <c r="GG95">
        <v>1334.66470588235</v>
      </c>
      <c r="GH95">
        <v>-0.316577541219279</v>
      </c>
      <c r="GI95">
        <v>0.257832997638567</v>
      </c>
      <c r="GJ95">
        <v>-1</v>
      </c>
      <c r="GK95">
        <v>2.8483355</v>
      </c>
      <c r="GL95">
        <v>0.0398648120300692</v>
      </c>
      <c r="GM95">
        <v>0.00389039133635681</v>
      </c>
      <c r="GN95">
        <v>1</v>
      </c>
      <c r="GO95">
        <v>1</v>
      </c>
      <c r="GP95">
        <v>2</v>
      </c>
      <c r="GQ95" t="s">
        <v>446</v>
      </c>
      <c r="GR95">
        <v>3.13055</v>
      </c>
      <c r="GS95">
        <v>2.68517</v>
      </c>
      <c r="GT95">
        <v>0.191233</v>
      </c>
      <c r="GU95">
        <v>0.195617</v>
      </c>
      <c r="GV95">
        <v>0.0618762</v>
      </c>
      <c r="GW95">
        <v>0.0498255</v>
      </c>
      <c r="GX95">
        <v>30656.3</v>
      </c>
      <c r="GY95">
        <v>32763.3</v>
      </c>
      <c r="GZ95">
        <v>34267.6</v>
      </c>
      <c r="HA95">
        <v>36850.3</v>
      </c>
      <c r="HB95">
        <v>45355.5</v>
      </c>
      <c r="HC95">
        <v>50220.1</v>
      </c>
      <c r="HD95">
        <v>53342.2</v>
      </c>
      <c r="HE95">
        <v>58777.3</v>
      </c>
      <c r="HF95">
        <v>2.0091</v>
      </c>
      <c r="HG95">
        <v>1.83878</v>
      </c>
      <c r="HH95">
        <v>0.0329874</v>
      </c>
      <c r="HI95">
        <v>0</v>
      </c>
      <c r="HJ95">
        <v>17.459</v>
      </c>
      <c r="HK95">
        <v>999.9</v>
      </c>
      <c r="HL95">
        <v>25.882</v>
      </c>
      <c r="HM95">
        <v>30.293</v>
      </c>
      <c r="HN95">
        <v>12.4807</v>
      </c>
      <c r="HO95">
        <v>53.7391</v>
      </c>
      <c r="HP95">
        <v>44.3309</v>
      </c>
      <c r="HQ95">
        <v>1</v>
      </c>
      <c r="HR95">
        <v>-0.270097</v>
      </c>
      <c r="HS95">
        <v>3.92661</v>
      </c>
      <c r="HT95">
        <v>20.0926</v>
      </c>
      <c r="HU95">
        <v>5.20276</v>
      </c>
      <c r="HV95">
        <v>12.004</v>
      </c>
      <c r="HW95">
        <v>4.9755</v>
      </c>
      <c r="HX95">
        <v>3.293</v>
      </c>
      <c r="HY95">
        <v>9999</v>
      </c>
      <c r="HZ95">
        <v>999.9</v>
      </c>
      <c r="IA95">
        <v>9999</v>
      </c>
      <c r="IB95">
        <v>9999</v>
      </c>
      <c r="IC95">
        <v>1.86324</v>
      </c>
      <c r="ID95">
        <v>1.86805</v>
      </c>
      <c r="IE95">
        <v>1.86783</v>
      </c>
      <c r="IF95">
        <v>1.86905</v>
      </c>
      <c r="IG95">
        <v>1.86981</v>
      </c>
      <c r="IH95">
        <v>1.86584</v>
      </c>
      <c r="II95">
        <v>1.86693</v>
      </c>
      <c r="IJ95">
        <v>1.86837</v>
      </c>
      <c r="IK95">
        <v>5</v>
      </c>
      <c r="IL95">
        <v>0</v>
      </c>
      <c r="IM95">
        <v>0</v>
      </c>
      <c r="IN95">
        <v>0</v>
      </c>
      <c r="IO95" t="s">
        <v>441</v>
      </c>
      <c r="IP95" t="s">
        <v>442</v>
      </c>
      <c r="IQ95" t="s">
        <v>443</v>
      </c>
      <c r="IR95" t="s">
        <v>443</v>
      </c>
      <c r="IS95" t="s">
        <v>443</v>
      </c>
      <c r="IT95" t="s">
        <v>443</v>
      </c>
      <c r="IU95">
        <v>0</v>
      </c>
      <c r="IV95">
        <v>100</v>
      </c>
      <c r="IW95">
        <v>100</v>
      </c>
      <c r="IX95">
        <v>5.8</v>
      </c>
      <c r="IY95">
        <v>-0.1107</v>
      </c>
      <c r="IZ95">
        <v>1.12474291219083</v>
      </c>
      <c r="JA95">
        <v>0.00463155566490582</v>
      </c>
      <c r="JB95">
        <v>-1.1358998729424e-06</v>
      </c>
      <c r="JC95">
        <v>3.28704272115545e-10</v>
      </c>
      <c r="JD95">
        <v>-0.0704455108513773</v>
      </c>
      <c r="JE95">
        <v>-0.0251928478371425</v>
      </c>
      <c r="JF95">
        <v>0.00225751704194564</v>
      </c>
      <c r="JG95">
        <v>-3.61734043746866e-05</v>
      </c>
      <c r="JH95">
        <v>1</v>
      </c>
      <c r="JI95">
        <v>2182</v>
      </c>
      <c r="JJ95">
        <v>0</v>
      </c>
      <c r="JK95">
        <v>24</v>
      </c>
      <c r="JL95">
        <v>29349827.9</v>
      </c>
      <c r="JM95">
        <v>29349827.9</v>
      </c>
      <c r="JN95">
        <v>2.51953</v>
      </c>
      <c r="JO95">
        <v>2.60986</v>
      </c>
      <c r="JP95">
        <v>1.54785</v>
      </c>
      <c r="JQ95">
        <v>2.31445</v>
      </c>
      <c r="JR95">
        <v>1.64673</v>
      </c>
      <c r="JS95">
        <v>2.33765</v>
      </c>
      <c r="JT95">
        <v>33.6254</v>
      </c>
      <c r="JU95">
        <v>24.1838</v>
      </c>
      <c r="JV95">
        <v>18</v>
      </c>
      <c r="JW95">
        <v>500.875</v>
      </c>
      <c r="JX95">
        <v>395.005</v>
      </c>
      <c r="JY95">
        <v>12.4061</v>
      </c>
      <c r="JZ95">
        <v>23.9008</v>
      </c>
      <c r="KA95">
        <v>30.0002</v>
      </c>
      <c r="KB95">
        <v>23.921</v>
      </c>
      <c r="KC95">
        <v>23.8912</v>
      </c>
      <c r="KD95">
        <v>50.436</v>
      </c>
      <c r="KE95">
        <v>8.77818</v>
      </c>
      <c r="KF95">
        <v>23.3636</v>
      </c>
      <c r="KG95">
        <v>12.3966</v>
      </c>
      <c r="KH95">
        <v>1326.63</v>
      </c>
      <c r="KI95">
        <v>9.00774</v>
      </c>
      <c r="KJ95">
        <v>97.0466</v>
      </c>
      <c r="KK95">
        <v>95.3055</v>
      </c>
    </row>
    <row r="96" spans="1:297">
      <c r="A96">
        <v>80</v>
      </c>
      <c r="B96">
        <v>1760989677.1</v>
      </c>
      <c r="C96">
        <v>487</v>
      </c>
      <c r="D96" t="s">
        <v>602</v>
      </c>
      <c r="E96" t="s">
        <v>603</v>
      </c>
      <c r="F96">
        <v>5</v>
      </c>
      <c r="G96" t="s">
        <v>435</v>
      </c>
      <c r="H96" t="s">
        <v>436</v>
      </c>
      <c r="I96">
        <v>1760989668.94615</v>
      </c>
      <c r="J96">
        <f>(K96)/1000</f>
        <v>0</v>
      </c>
      <c r="K96">
        <f>IF(DP96, AN96, AH96)</f>
        <v>0</v>
      </c>
      <c r="L96">
        <f>IF(DP96, AI96, AG96)</f>
        <v>0</v>
      </c>
      <c r="M96">
        <f>DR96 - IF(AU96&gt;1, L96*DL96*100.0/(AW96), 0)</f>
        <v>0</v>
      </c>
      <c r="N96">
        <f>((T96-J96/2)*M96-L96)/(T96+J96/2)</f>
        <v>0</v>
      </c>
      <c r="O96">
        <f>N96*(DY96+DZ96)/1000.0</f>
        <v>0</v>
      </c>
      <c r="P96">
        <f>(DR96 - IF(AU96&gt;1, L96*DL96*100.0/(AW96), 0))*(DY96+DZ96)/1000.0</f>
        <v>0</v>
      </c>
      <c r="Q96">
        <f>2.0/((1/S96-1/R96)+SIGN(S96)*SQRT((1/S96-1/R96)*(1/S96-1/R96) + 4*DM96/((DM96+1)*(DM96+1))*(2*1/S96*1/R96-1/R96*1/R96)))</f>
        <v>0</v>
      </c>
      <c r="R96">
        <f>IF(LEFT(DN96,1)&lt;&gt;"0",IF(LEFT(DN96,1)="1",3.0,DO96),$D$5+$E$5*(EF96*DY96/($K$5*1000))+$F$5*(EF96*DY96/($K$5*1000))*MAX(MIN(DL96,$J$5),$I$5)*MAX(MIN(DL96,$J$5),$I$5)+$G$5*MAX(MIN(DL96,$J$5),$I$5)*(EF96*DY96/($K$5*1000))+$H$5*(EF96*DY96/($K$5*1000))*(EF96*DY96/($K$5*1000)))</f>
        <v>0</v>
      </c>
      <c r="S96">
        <f>J96*(1000-(1000*0.61365*exp(17.502*W96/(240.97+W96))/(DY96+DZ96)+DT96)/2)/(1000*0.61365*exp(17.502*W96/(240.97+W96))/(DY96+DZ96)-DT96)</f>
        <v>0</v>
      </c>
      <c r="T96">
        <f>1/((DM96+1)/(Q96/1.6)+1/(R96/1.37)) + DM96/((DM96+1)/(Q96/1.6) + DM96/(R96/1.37))</f>
        <v>0</v>
      </c>
      <c r="U96">
        <f>(DH96*DK96)</f>
        <v>0</v>
      </c>
      <c r="V96">
        <f>(EA96+(U96+2*0.95*5.67E-8*(((EA96+$B$7)+273)^4-(EA96+273)^4)-44100*J96)/(1.84*29.3*R96+8*0.95*5.67E-8*(EA96+273)^3))</f>
        <v>0</v>
      </c>
      <c r="W96">
        <f>($C$7*EB96+$D$7*EC96+$E$7*V96)</f>
        <v>0</v>
      </c>
      <c r="X96">
        <f>0.61365*exp(17.502*W96/(240.97+W96))</f>
        <v>0</v>
      </c>
      <c r="Y96">
        <f>(Z96/AA96*100)</f>
        <v>0</v>
      </c>
      <c r="Z96">
        <f>DT96*(DY96+DZ96)/1000</f>
        <v>0</v>
      </c>
      <c r="AA96">
        <f>0.61365*exp(17.502*EA96/(240.97+EA96))</f>
        <v>0</v>
      </c>
      <c r="AB96">
        <f>(X96-DT96*(DY96+DZ96)/1000)</f>
        <v>0</v>
      </c>
      <c r="AC96">
        <f>(-J96*44100)</f>
        <v>0</v>
      </c>
      <c r="AD96">
        <f>2*29.3*R96*0.92*(EA96-W96)</f>
        <v>0</v>
      </c>
      <c r="AE96">
        <f>2*0.95*5.67E-8*(((EA96+$B$7)+273)^4-(W96+273)^4)</f>
        <v>0</v>
      </c>
      <c r="AF96">
        <f>U96+AE96+AC96+AD96</f>
        <v>0</v>
      </c>
      <c r="AG96">
        <f>DX96*AU96*(DS96-DR96*(1000-AU96*DU96)/(1000-AU96*DT96))/(100*DL96)</f>
        <v>0</v>
      </c>
      <c r="AH96">
        <f>1000*DX96*AU96*(DT96-DU96)/(100*DL96*(1000-AU96*DT96))</f>
        <v>0</v>
      </c>
      <c r="AI96">
        <f>(AJ96 - AK96 - DY96*1E3/(8.314*(EA96+273.15)) * AM96/DX96 * AL96) * DX96/(100*DL96) * (1000 - DU96)/1000</f>
        <v>0</v>
      </c>
      <c r="AJ96">
        <v>1320.57940798733</v>
      </c>
      <c r="AK96">
        <v>1289.69557575758</v>
      </c>
      <c r="AL96">
        <v>3.3055582056147</v>
      </c>
      <c r="AM96">
        <v>64.8413469339502</v>
      </c>
      <c r="AN96">
        <f>(AP96 - AO96 + DY96*1E3/(8.314*(EA96+273.15)) * AR96/DX96 * AQ96) * DX96/(100*DL96) * 1000/(1000 - AP96)</f>
        <v>0</v>
      </c>
      <c r="AO96">
        <v>9.0035573479908</v>
      </c>
      <c r="AP96">
        <v>11.8581012121212</v>
      </c>
      <c r="AQ96">
        <v>1.35982085720027e-05</v>
      </c>
      <c r="AR96">
        <v>118.472689631034</v>
      </c>
      <c r="AS96">
        <v>0</v>
      </c>
      <c r="AT96">
        <v>0</v>
      </c>
      <c r="AU96">
        <f>IF(AS96*$H$13&gt;=AW96,1.0,(AW96/(AW96-AS96*$H$13)))</f>
        <v>0</v>
      </c>
      <c r="AV96">
        <f>(AU96-1)*100</f>
        <v>0</v>
      </c>
      <c r="AW96">
        <f>MAX(0,($B$13+$C$13*EF96)/(1+$D$13*EF96)*DY96/(EA96+273)*$E$13)</f>
        <v>0</v>
      </c>
      <c r="AX96" t="s">
        <v>437</v>
      </c>
      <c r="AY96" t="s">
        <v>437</v>
      </c>
      <c r="AZ96">
        <v>0</v>
      </c>
      <c r="BA96">
        <v>0</v>
      </c>
      <c r="BB96">
        <f>1-AZ96/BA96</f>
        <v>0</v>
      </c>
      <c r="BC96">
        <v>0</v>
      </c>
      <c r="BD96" t="s">
        <v>437</v>
      </c>
      <c r="BE96" t="s">
        <v>437</v>
      </c>
      <c r="BF96">
        <v>0</v>
      </c>
      <c r="BG96">
        <v>0</v>
      </c>
      <c r="BH96">
        <f>1-BF96/BG96</f>
        <v>0</v>
      </c>
      <c r="BI96">
        <v>0.5</v>
      </c>
      <c r="BJ96">
        <f>DI96</f>
        <v>0</v>
      </c>
      <c r="BK96">
        <f>L96</f>
        <v>0</v>
      </c>
      <c r="BL96">
        <f>BH96*BI96*BJ96</f>
        <v>0</v>
      </c>
      <c r="BM96">
        <f>(BK96-BC96)/BJ96</f>
        <v>0</v>
      </c>
      <c r="BN96">
        <f>(BA96-BG96)/BG96</f>
        <v>0</v>
      </c>
      <c r="BO96">
        <f>AZ96/(BB96+AZ96/BG96)</f>
        <v>0</v>
      </c>
      <c r="BP96" t="s">
        <v>437</v>
      </c>
      <c r="BQ96">
        <v>0</v>
      </c>
      <c r="BR96">
        <f>IF(BQ96&lt;&gt;0, BQ96, BO96)</f>
        <v>0</v>
      </c>
      <c r="BS96">
        <f>1-BR96/BG96</f>
        <v>0</v>
      </c>
      <c r="BT96">
        <f>(BG96-BF96)/(BG96-BR96)</f>
        <v>0</v>
      </c>
      <c r="BU96">
        <f>(BA96-BG96)/(BA96-BR96)</f>
        <v>0</v>
      </c>
      <c r="BV96">
        <f>(BG96-BF96)/(BG96-AZ96)</f>
        <v>0</v>
      </c>
      <c r="BW96">
        <f>(BA96-BG96)/(BA96-AZ96)</f>
        <v>0</v>
      </c>
      <c r="BX96">
        <f>(BT96*BR96/BF96)</f>
        <v>0</v>
      </c>
      <c r="BY96">
        <f>(1-BX96)</f>
        <v>0</v>
      </c>
      <c r="DH96">
        <f>$B$11*EG96+$C$11*EH96+$F$11*ES96*(1-EV96)</f>
        <v>0</v>
      </c>
      <c r="DI96">
        <f>DH96*DJ96</f>
        <v>0</v>
      </c>
      <c r="DJ96">
        <f>($B$11*$D$9+$C$11*$D$9+$F$11*((FF96+EX96)/MAX(FF96+EX96+FG96, 0.1)*$I$9+FG96/MAX(FF96+EX96+FG96, 0.1)*$J$9))/($B$11+$C$11+$F$11)</f>
        <v>0</v>
      </c>
      <c r="DK96">
        <f>($B$11*$K$9+$C$11*$K$9+$F$11*((FF96+EX96)/MAX(FF96+EX96+FG96, 0.1)*$P$9+FG96/MAX(FF96+EX96+FG96, 0.1)*$Q$9))/($B$11+$C$11+$F$11)</f>
        <v>0</v>
      </c>
      <c r="DL96">
        <v>6</v>
      </c>
      <c r="DM96">
        <v>0.5</v>
      </c>
      <c r="DN96" t="s">
        <v>438</v>
      </c>
      <c r="DO96">
        <v>2</v>
      </c>
      <c r="DP96" t="b">
        <v>1</v>
      </c>
      <c r="DQ96">
        <v>1760989668.94615</v>
      </c>
      <c r="DR96">
        <v>1250.42230769231</v>
      </c>
      <c r="DS96">
        <v>1293.05692307692</v>
      </c>
      <c r="DT96">
        <v>11.8530538461538</v>
      </c>
      <c r="DU96">
        <v>9.00062076923077</v>
      </c>
      <c r="DV96">
        <v>1244.66</v>
      </c>
      <c r="DW96">
        <v>11.9637307692308</v>
      </c>
      <c r="DX96">
        <v>500.001538461538</v>
      </c>
      <c r="DY96">
        <v>89.8572846153846</v>
      </c>
      <c r="DZ96">
        <v>0.00759780923076923</v>
      </c>
      <c r="EA96">
        <v>18.4858846153846</v>
      </c>
      <c r="EB96">
        <v>18.0096461538462</v>
      </c>
      <c r="EC96">
        <v>999.9</v>
      </c>
      <c r="ED96">
        <v>0</v>
      </c>
      <c r="EE96">
        <v>0</v>
      </c>
      <c r="EF96">
        <v>9991.40384615385</v>
      </c>
      <c r="EG96">
        <v>0</v>
      </c>
      <c r="EH96">
        <v>1270.19846153846</v>
      </c>
      <c r="EI96">
        <v>-42.6339307692308</v>
      </c>
      <c r="EJ96">
        <v>1265.42230769231</v>
      </c>
      <c r="EK96">
        <v>1304.80076923077</v>
      </c>
      <c r="EL96">
        <v>2.85242384615385</v>
      </c>
      <c r="EM96">
        <v>1293.05692307692</v>
      </c>
      <c r="EN96">
        <v>9.00062076923077</v>
      </c>
      <c r="EO96">
        <v>1.06508307692308</v>
      </c>
      <c r="EP96">
        <v>0.808771230769231</v>
      </c>
      <c r="EQ96">
        <v>7.83845692307692</v>
      </c>
      <c r="ER96">
        <v>3.86219076923077</v>
      </c>
      <c r="ES96">
        <v>1200.05538461538</v>
      </c>
      <c r="ET96">
        <v>0.967000461538461</v>
      </c>
      <c r="EU96">
        <v>0.0329992538461538</v>
      </c>
      <c r="EV96">
        <v>0</v>
      </c>
      <c r="EW96">
        <v>1334.62076923077</v>
      </c>
      <c r="EX96">
        <v>5.00059</v>
      </c>
      <c r="EY96">
        <v>15753.3846153846</v>
      </c>
      <c r="EZ96">
        <v>10359.1769230769</v>
      </c>
      <c r="FA96">
        <v>38.7785384615385</v>
      </c>
      <c r="FB96">
        <v>41.2545384615385</v>
      </c>
      <c r="FC96">
        <v>39.2882307692308</v>
      </c>
      <c r="FD96">
        <v>41.2736923076923</v>
      </c>
      <c r="FE96">
        <v>39.7208461538462</v>
      </c>
      <c r="FF96">
        <v>1155.61923076923</v>
      </c>
      <c r="FG96">
        <v>39.4361538461539</v>
      </c>
      <c r="FH96">
        <v>0</v>
      </c>
      <c r="FI96">
        <v>1760989646.5</v>
      </c>
      <c r="FJ96">
        <v>0</v>
      </c>
      <c r="FK96">
        <v>1334.6224</v>
      </c>
      <c r="FL96">
        <v>-0.430000012015211</v>
      </c>
      <c r="FM96">
        <v>-46.3153845185139</v>
      </c>
      <c r="FN96">
        <v>15752.62</v>
      </c>
      <c r="FO96">
        <v>15</v>
      </c>
      <c r="FP96">
        <v>0</v>
      </c>
      <c r="FQ96" t="s">
        <v>439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-42.7999380952381</v>
      </c>
      <c r="GD96">
        <v>2.06488831168833</v>
      </c>
      <c r="GE96">
        <v>0.662829655970875</v>
      </c>
      <c r="GF96">
        <v>0</v>
      </c>
      <c r="GG96">
        <v>1334.61558823529</v>
      </c>
      <c r="GH96">
        <v>0.131245223301737</v>
      </c>
      <c r="GI96">
        <v>0.220789907810584</v>
      </c>
      <c r="GJ96">
        <v>-1</v>
      </c>
      <c r="GK96">
        <v>2.85085095238095</v>
      </c>
      <c r="GL96">
        <v>0.0311072727272744</v>
      </c>
      <c r="GM96">
        <v>0.00328782299483285</v>
      </c>
      <c r="GN96">
        <v>1</v>
      </c>
      <c r="GO96">
        <v>1</v>
      </c>
      <c r="GP96">
        <v>2</v>
      </c>
      <c r="GQ96" t="s">
        <v>446</v>
      </c>
      <c r="GR96">
        <v>3.13055</v>
      </c>
      <c r="GS96">
        <v>2.68577</v>
      </c>
      <c r="GT96">
        <v>0.19278</v>
      </c>
      <c r="GU96">
        <v>0.197172</v>
      </c>
      <c r="GV96">
        <v>0.0618818</v>
      </c>
      <c r="GW96">
        <v>0.0498374</v>
      </c>
      <c r="GX96">
        <v>30597.7</v>
      </c>
      <c r="GY96">
        <v>32699.9</v>
      </c>
      <c r="GZ96">
        <v>34267.5</v>
      </c>
      <c r="HA96">
        <v>36850.2</v>
      </c>
      <c r="HB96">
        <v>45355.3</v>
      </c>
      <c r="HC96">
        <v>50219.6</v>
      </c>
      <c r="HD96">
        <v>53342.1</v>
      </c>
      <c r="HE96">
        <v>58777.2</v>
      </c>
      <c r="HF96">
        <v>2.00898</v>
      </c>
      <c r="HG96">
        <v>1.83882</v>
      </c>
      <c r="HH96">
        <v>0.0340194</v>
      </c>
      <c r="HI96">
        <v>0</v>
      </c>
      <c r="HJ96">
        <v>17.4604</v>
      </c>
      <c r="HK96">
        <v>999.9</v>
      </c>
      <c r="HL96">
        <v>25.906</v>
      </c>
      <c r="HM96">
        <v>30.293</v>
      </c>
      <c r="HN96">
        <v>12.4921</v>
      </c>
      <c r="HO96">
        <v>54.4091</v>
      </c>
      <c r="HP96">
        <v>44.3029</v>
      </c>
      <c r="HQ96">
        <v>1</v>
      </c>
      <c r="HR96">
        <v>-0.269964</v>
      </c>
      <c r="HS96">
        <v>3.94894</v>
      </c>
      <c r="HT96">
        <v>20.092</v>
      </c>
      <c r="HU96">
        <v>5.20217</v>
      </c>
      <c r="HV96">
        <v>12.004</v>
      </c>
      <c r="HW96">
        <v>4.9755</v>
      </c>
      <c r="HX96">
        <v>3.293</v>
      </c>
      <c r="HY96">
        <v>9999</v>
      </c>
      <c r="HZ96">
        <v>999.9</v>
      </c>
      <c r="IA96">
        <v>9999</v>
      </c>
      <c r="IB96">
        <v>9999</v>
      </c>
      <c r="IC96">
        <v>1.86325</v>
      </c>
      <c r="ID96">
        <v>1.86804</v>
      </c>
      <c r="IE96">
        <v>1.86783</v>
      </c>
      <c r="IF96">
        <v>1.86905</v>
      </c>
      <c r="IG96">
        <v>1.86981</v>
      </c>
      <c r="IH96">
        <v>1.86584</v>
      </c>
      <c r="II96">
        <v>1.86693</v>
      </c>
      <c r="IJ96">
        <v>1.8684</v>
      </c>
      <c r="IK96">
        <v>5</v>
      </c>
      <c r="IL96">
        <v>0</v>
      </c>
      <c r="IM96">
        <v>0</v>
      </c>
      <c r="IN96">
        <v>0</v>
      </c>
      <c r="IO96" t="s">
        <v>441</v>
      </c>
      <c r="IP96" t="s">
        <v>442</v>
      </c>
      <c r="IQ96" t="s">
        <v>443</v>
      </c>
      <c r="IR96" t="s">
        <v>443</v>
      </c>
      <c r="IS96" t="s">
        <v>443</v>
      </c>
      <c r="IT96" t="s">
        <v>443</v>
      </c>
      <c r="IU96">
        <v>0</v>
      </c>
      <c r="IV96">
        <v>100</v>
      </c>
      <c r="IW96">
        <v>100</v>
      </c>
      <c r="IX96">
        <v>5.85</v>
      </c>
      <c r="IY96">
        <v>-0.1106</v>
      </c>
      <c r="IZ96">
        <v>1.12474291219083</v>
      </c>
      <c r="JA96">
        <v>0.00463155566490582</v>
      </c>
      <c r="JB96">
        <v>-1.1358998729424e-06</v>
      </c>
      <c r="JC96">
        <v>3.28704272115545e-10</v>
      </c>
      <c r="JD96">
        <v>-0.0704455108513773</v>
      </c>
      <c r="JE96">
        <v>-0.0251928478371425</v>
      </c>
      <c r="JF96">
        <v>0.00225751704194564</v>
      </c>
      <c r="JG96">
        <v>-3.61734043746866e-05</v>
      </c>
      <c r="JH96">
        <v>1</v>
      </c>
      <c r="JI96">
        <v>2182</v>
      </c>
      <c r="JJ96">
        <v>0</v>
      </c>
      <c r="JK96">
        <v>24</v>
      </c>
      <c r="JL96">
        <v>29349828</v>
      </c>
      <c r="JM96">
        <v>29349828</v>
      </c>
      <c r="JN96">
        <v>2.54028</v>
      </c>
      <c r="JO96">
        <v>2.59888</v>
      </c>
      <c r="JP96">
        <v>1.54785</v>
      </c>
      <c r="JQ96">
        <v>2.31445</v>
      </c>
      <c r="JR96">
        <v>1.64551</v>
      </c>
      <c r="JS96">
        <v>2.40967</v>
      </c>
      <c r="JT96">
        <v>33.6254</v>
      </c>
      <c r="JU96">
        <v>24.1926</v>
      </c>
      <c r="JV96">
        <v>18</v>
      </c>
      <c r="JW96">
        <v>500.795</v>
      </c>
      <c r="JX96">
        <v>395.031</v>
      </c>
      <c r="JY96">
        <v>12.4003</v>
      </c>
      <c r="JZ96">
        <v>23.9008</v>
      </c>
      <c r="KA96">
        <v>30.0001</v>
      </c>
      <c r="KB96">
        <v>23.921</v>
      </c>
      <c r="KC96">
        <v>23.8912</v>
      </c>
      <c r="KD96">
        <v>50.9627</v>
      </c>
      <c r="KE96">
        <v>8.77818</v>
      </c>
      <c r="KF96">
        <v>23.3636</v>
      </c>
      <c r="KG96">
        <v>12.3751</v>
      </c>
      <c r="KH96">
        <v>1340.73</v>
      </c>
      <c r="KI96">
        <v>9.00774</v>
      </c>
      <c r="KJ96">
        <v>97.0463</v>
      </c>
      <c r="KK96">
        <v>95.3053</v>
      </c>
    </row>
    <row r="97" spans="1:297">
      <c r="A97">
        <v>81</v>
      </c>
      <c r="B97">
        <v>1760989682.1</v>
      </c>
      <c r="C97">
        <v>492</v>
      </c>
      <c r="D97" t="s">
        <v>604</v>
      </c>
      <c r="E97" t="s">
        <v>605</v>
      </c>
      <c r="F97">
        <v>5</v>
      </c>
      <c r="G97" t="s">
        <v>435</v>
      </c>
      <c r="H97" t="s">
        <v>436</v>
      </c>
      <c r="I97">
        <v>1760989673.94615</v>
      </c>
      <c r="J97">
        <f>(K97)/1000</f>
        <v>0</v>
      </c>
      <c r="K97">
        <f>IF(DP97, AN97, AH97)</f>
        <v>0</v>
      </c>
      <c r="L97">
        <f>IF(DP97, AI97, AG97)</f>
        <v>0</v>
      </c>
      <c r="M97">
        <f>DR97 - IF(AU97&gt;1, L97*DL97*100.0/(AW97), 0)</f>
        <v>0</v>
      </c>
      <c r="N97">
        <f>((T97-J97/2)*M97-L97)/(T97+J97/2)</f>
        <v>0</v>
      </c>
      <c r="O97">
        <f>N97*(DY97+DZ97)/1000.0</f>
        <v>0</v>
      </c>
      <c r="P97">
        <f>(DR97 - IF(AU97&gt;1, L97*DL97*100.0/(AW97), 0))*(DY97+DZ97)/1000.0</f>
        <v>0</v>
      </c>
      <c r="Q97">
        <f>2.0/((1/S97-1/R97)+SIGN(S97)*SQRT((1/S97-1/R97)*(1/S97-1/R97) + 4*DM97/((DM97+1)*(DM97+1))*(2*1/S97*1/R97-1/R97*1/R97)))</f>
        <v>0</v>
      </c>
      <c r="R97">
        <f>IF(LEFT(DN97,1)&lt;&gt;"0",IF(LEFT(DN97,1)="1",3.0,DO97),$D$5+$E$5*(EF97*DY97/($K$5*1000))+$F$5*(EF97*DY97/($K$5*1000))*MAX(MIN(DL97,$J$5),$I$5)*MAX(MIN(DL97,$J$5),$I$5)+$G$5*MAX(MIN(DL97,$J$5),$I$5)*(EF97*DY97/($K$5*1000))+$H$5*(EF97*DY97/($K$5*1000))*(EF97*DY97/($K$5*1000)))</f>
        <v>0</v>
      </c>
      <c r="S97">
        <f>J97*(1000-(1000*0.61365*exp(17.502*W97/(240.97+W97))/(DY97+DZ97)+DT97)/2)/(1000*0.61365*exp(17.502*W97/(240.97+W97))/(DY97+DZ97)-DT97)</f>
        <v>0</v>
      </c>
      <c r="T97">
        <f>1/((DM97+1)/(Q97/1.6)+1/(R97/1.37)) + DM97/((DM97+1)/(Q97/1.6) + DM97/(R97/1.37))</f>
        <v>0</v>
      </c>
      <c r="U97">
        <f>(DH97*DK97)</f>
        <v>0</v>
      </c>
      <c r="V97">
        <f>(EA97+(U97+2*0.95*5.67E-8*(((EA97+$B$7)+273)^4-(EA97+273)^4)-44100*J97)/(1.84*29.3*R97+8*0.95*5.67E-8*(EA97+273)^3))</f>
        <v>0</v>
      </c>
      <c r="W97">
        <f>($C$7*EB97+$D$7*EC97+$E$7*V97)</f>
        <v>0</v>
      </c>
      <c r="X97">
        <f>0.61365*exp(17.502*W97/(240.97+W97))</f>
        <v>0</v>
      </c>
      <c r="Y97">
        <f>(Z97/AA97*100)</f>
        <v>0</v>
      </c>
      <c r="Z97">
        <f>DT97*(DY97+DZ97)/1000</f>
        <v>0</v>
      </c>
      <c r="AA97">
        <f>0.61365*exp(17.502*EA97/(240.97+EA97))</f>
        <v>0</v>
      </c>
      <c r="AB97">
        <f>(X97-DT97*(DY97+DZ97)/1000)</f>
        <v>0</v>
      </c>
      <c r="AC97">
        <f>(-J97*44100)</f>
        <v>0</v>
      </c>
      <c r="AD97">
        <f>2*29.3*R97*0.92*(EA97-W97)</f>
        <v>0</v>
      </c>
      <c r="AE97">
        <f>2*0.95*5.67E-8*(((EA97+$B$7)+273)^4-(W97+273)^4)</f>
        <v>0</v>
      </c>
      <c r="AF97">
        <f>U97+AE97+AC97+AD97</f>
        <v>0</v>
      </c>
      <c r="AG97">
        <f>DX97*AU97*(DS97-DR97*(1000-AU97*DU97)/(1000-AU97*DT97))/(100*DL97)</f>
        <v>0</v>
      </c>
      <c r="AH97">
        <f>1000*DX97*AU97*(DT97-DU97)/(100*DL97*(1000-AU97*DT97))</f>
        <v>0</v>
      </c>
      <c r="AI97">
        <f>(AJ97 - AK97 - DY97*1E3/(8.314*(EA97+273.15)) * AM97/DX97 * AL97) * DX97/(100*DL97) * (1000 - DU97)/1000</f>
        <v>0</v>
      </c>
      <c r="AJ97">
        <v>1337.32978498666</v>
      </c>
      <c r="AK97">
        <v>1306.50806060606</v>
      </c>
      <c r="AL97">
        <v>3.3531795052134</v>
      </c>
      <c r="AM97">
        <v>64.8413469339502</v>
      </c>
      <c r="AN97">
        <f>(AP97 - AO97 + DY97*1E3/(8.314*(EA97+273.15)) * AR97/DX97 * AQ97) * DX97/(100*DL97) * 1000/(1000 - AP97)</f>
        <v>0</v>
      </c>
      <c r="AO97">
        <v>9.0055636533306</v>
      </c>
      <c r="AP97">
        <v>11.8600527272727</v>
      </c>
      <c r="AQ97">
        <v>1.41956167209294e-05</v>
      </c>
      <c r="AR97">
        <v>118.472689631034</v>
      </c>
      <c r="AS97">
        <v>0</v>
      </c>
      <c r="AT97">
        <v>0</v>
      </c>
      <c r="AU97">
        <f>IF(AS97*$H$13&gt;=AW97,1.0,(AW97/(AW97-AS97*$H$13)))</f>
        <v>0</v>
      </c>
      <c r="AV97">
        <f>(AU97-1)*100</f>
        <v>0</v>
      </c>
      <c r="AW97">
        <f>MAX(0,($B$13+$C$13*EF97)/(1+$D$13*EF97)*DY97/(EA97+273)*$E$13)</f>
        <v>0</v>
      </c>
      <c r="AX97" t="s">
        <v>437</v>
      </c>
      <c r="AY97" t="s">
        <v>437</v>
      </c>
      <c r="AZ97">
        <v>0</v>
      </c>
      <c r="BA97">
        <v>0</v>
      </c>
      <c r="BB97">
        <f>1-AZ97/BA97</f>
        <v>0</v>
      </c>
      <c r="BC97">
        <v>0</v>
      </c>
      <c r="BD97" t="s">
        <v>437</v>
      </c>
      <c r="BE97" t="s">
        <v>437</v>
      </c>
      <c r="BF97">
        <v>0</v>
      </c>
      <c r="BG97">
        <v>0</v>
      </c>
      <c r="BH97">
        <f>1-BF97/BG97</f>
        <v>0</v>
      </c>
      <c r="BI97">
        <v>0.5</v>
      </c>
      <c r="BJ97">
        <f>DI97</f>
        <v>0</v>
      </c>
      <c r="BK97">
        <f>L97</f>
        <v>0</v>
      </c>
      <c r="BL97">
        <f>BH97*BI97*BJ97</f>
        <v>0</v>
      </c>
      <c r="BM97">
        <f>(BK97-BC97)/BJ97</f>
        <v>0</v>
      </c>
      <c r="BN97">
        <f>(BA97-BG97)/BG97</f>
        <v>0</v>
      </c>
      <c r="BO97">
        <f>AZ97/(BB97+AZ97/BG97)</f>
        <v>0</v>
      </c>
      <c r="BP97" t="s">
        <v>437</v>
      </c>
      <c r="BQ97">
        <v>0</v>
      </c>
      <c r="BR97">
        <f>IF(BQ97&lt;&gt;0, BQ97, BO97)</f>
        <v>0</v>
      </c>
      <c r="BS97">
        <f>1-BR97/BG97</f>
        <v>0</v>
      </c>
      <c r="BT97">
        <f>(BG97-BF97)/(BG97-BR97)</f>
        <v>0</v>
      </c>
      <c r="BU97">
        <f>(BA97-BG97)/(BA97-BR97)</f>
        <v>0</v>
      </c>
      <c r="BV97">
        <f>(BG97-BF97)/(BG97-AZ97)</f>
        <v>0</v>
      </c>
      <c r="BW97">
        <f>(BA97-BG97)/(BA97-AZ97)</f>
        <v>0</v>
      </c>
      <c r="BX97">
        <f>(BT97*BR97/BF97)</f>
        <v>0</v>
      </c>
      <c r="BY97">
        <f>(1-BX97)</f>
        <v>0</v>
      </c>
      <c r="DH97">
        <f>$B$11*EG97+$C$11*EH97+$F$11*ES97*(1-EV97)</f>
        <v>0</v>
      </c>
      <c r="DI97">
        <f>DH97*DJ97</f>
        <v>0</v>
      </c>
      <c r="DJ97">
        <f>($B$11*$D$9+$C$11*$D$9+$F$11*((FF97+EX97)/MAX(FF97+EX97+FG97, 0.1)*$I$9+FG97/MAX(FF97+EX97+FG97, 0.1)*$J$9))/($B$11+$C$11+$F$11)</f>
        <v>0</v>
      </c>
      <c r="DK97">
        <f>($B$11*$K$9+$C$11*$K$9+$F$11*((FF97+EX97)/MAX(FF97+EX97+FG97, 0.1)*$P$9+FG97/MAX(FF97+EX97+FG97, 0.1)*$Q$9))/($B$11+$C$11+$F$11)</f>
        <v>0</v>
      </c>
      <c r="DL97">
        <v>6</v>
      </c>
      <c r="DM97">
        <v>0.5</v>
      </c>
      <c r="DN97" t="s">
        <v>438</v>
      </c>
      <c r="DO97">
        <v>2</v>
      </c>
      <c r="DP97" t="b">
        <v>1</v>
      </c>
      <c r="DQ97">
        <v>1760989673.94615</v>
      </c>
      <c r="DR97">
        <v>1267.19307692308</v>
      </c>
      <c r="DS97">
        <v>1309.76923076923</v>
      </c>
      <c r="DT97">
        <v>11.8565461538462</v>
      </c>
      <c r="DU97">
        <v>9.00285230769231</v>
      </c>
      <c r="DV97">
        <v>1261.37538461538</v>
      </c>
      <c r="DW97">
        <v>11.9671692307692</v>
      </c>
      <c r="DX97">
        <v>499.975461538462</v>
      </c>
      <c r="DY97">
        <v>89.8566153846154</v>
      </c>
      <c r="DZ97">
        <v>0.00774635076923077</v>
      </c>
      <c r="EA97">
        <v>18.4903846153846</v>
      </c>
      <c r="EB97">
        <v>18.0133923076923</v>
      </c>
      <c r="EC97">
        <v>999.9</v>
      </c>
      <c r="ED97">
        <v>0</v>
      </c>
      <c r="EE97">
        <v>0</v>
      </c>
      <c r="EF97">
        <v>9973.17692307692</v>
      </c>
      <c r="EG97">
        <v>0</v>
      </c>
      <c r="EH97">
        <v>1270.19692307692</v>
      </c>
      <c r="EI97">
        <v>-42.5756615384615</v>
      </c>
      <c r="EJ97">
        <v>1282.4</v>
      </c>
      <c r="EK97">
        <v>1321.66923076923</v>
      </c>
      <c r="EL97">
        <v>2.85368153846154</v>
      </c>
      <c r="EM97">
        <v>1309.76923076923</v>
      </c>
      <c r="EN97">
        <v>9.00285230769231</v>
      </c>
      <c r="EO97">
        <v>1.06538846153846</v>
      </c>
      <c r="EP97">
        <v>0.808965846153846</v>
      </c>
      <c r="EQ97">
        <v>7.84266769230769</v>
      </c>
      <c r="ER97">
        <v>3.86560923076923</v>
      </c>
      <c r="ES97">
        <v>1200.05076923077</v>
      </c>
      <c r="ET97">
        <v>0.966997076923077</v>
      </c>
      <c r="EU97">
        <v>0.0330025769230769</v>
      </c>
      <c r="EV97">
        <v>0</v>
      </c>
      <c r="EW97">
        <v>1334.61461538462</v>
      </c>
      <c r="EX97">
        <v>5.00059</v>
      </c>
      <c r="EY97">
        <v>15750.0615384615</v>
      </c>
      <c r="EZ97">
        <v>10359.1384615385</v>
      </c>
      <c r="FA97">
        <v>38.7016153846154</v>
      </c>
      <c r="FB97">
        <v>41.0718461538462</v>
      </c>
      <c r="FC97">
        <v>39.2016923076923</v>
      </c>
      <c r="FD97">
        <v>41.0284615384615</v>
      </c>
      <c r="FE97">
        <v>39.6103076923077</v>
      </c>
      <c r="FF97">
        <v>1155.61153846154</v>
      </c>
      <c r="FG97">
        <v>39.4392307692308</v>
      </c>
      <c r="FH97">
        <v>0</v>
      </c>
      <c r="FI97">
        <v>1760989651.3</v>
      </c>
      <c r="FJ97">
        <v>0</v>
      </c>
      <c r="FK97">
        <v>1334.6004</v>
      </c>
      <c r="FL97">
        <v>-0.201538470895144</v>
      </c>
      <c r="FM97">
        <v>-37.8461539435168</v>
      </c>
      <c r="FN97">
        <v>15749.08</v>
      </c>
      <c r="FO97">
        <v>15</v>
      </c>
      <c r="FP97">
        <v>0</v>
      </c>
      <c r="FQ97" t="s">
        <v>439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-42.6288333333333</v>
      </c>
      <c r="GD97">
        <v>2.07254805194816</v>
      </c>
      <c r="GE97">
        <v>0.672232642081122</v>
      </c>
      <c r="GF97">
        <v>0</v>
      </c>
      <c r="GG97">
        <v>1334.63264705882</v>
      </c>
      <c r="GH97">
        <v>-0.530634078866109</v>
      </c>
      <c r="GI97">
        <v>0.20806261534239</v>
      </c>
      <c r="GJ97">
        <v>-1</v>
      </c>
      <c r="GK97">
        <v>2.85245285714286</v>
      </c>
      <c r="GL97">
        <v>0.0179470129870191</v>
      </c>
      <c r="GM97">
        <v>0.00205351300123921</v>
      </c>
      <c r="GN97">
        <v>1</v>
      </c>
      <c r="GO97">
        <v>1</v>
      </c>
      <c r="GP97">
        <v>2</v>
      </c>
      <c r="GQ97" t="s">
        <v>446</v>
      </c>
      <c r="GR97">
        <v>3.13063</v>
      </c>
      <c r="GS97">
        <v>2.68592</v>
      </c>
      <c r="GT97">
        <v>0.194316</v>
      </c>
      <c r="GU97">
        <v>0.198574</v>
      </c>
      <c r="GV97">
        <v>0.0618907</v>
      </c>
      <c r="GW97">
        <v>0.0498444</v>
      </c>
      <c r="GX97">
        <v>30539.6</v>
      </c>
      <c r="GY97">
        <v>32643.1</v>
      </c>
      <c r="GZ97">
        <v>34267.5</v>
      </c>
      <c r="HA97">
        <v>36850.4</v>
      </c>
      <c r="HB97">
        <v>45354.9</v>
      </c>
      <c r="HC97">
        <v>50219.5</v>
      </c>
      <c r="HD97">
        <v>53341.9</v>
      </c>
      <c r="HE97">
        <v>58777.4</v>
      </c>
      <c r="HF97">
        <v>2.00907</v>
      </c>
      <c r="HG97">
        <v>1.83878</v>
      </c>
      <c r="HH97">
        <v>0.033088</v>
      </c>
      <c r="HI97">
        <v>0</v>
      </c>
      <c r="HJ97">
        <v>17.4606</v>
      </c>
      <c r="HK97">
        <v>999.9</v>
      </c>
      <c r="HL97">
        <v>25.882</v>
      </c>
      <c r="HM97">
        <v>30.293</v>
      </c>
      <c r="HN97">
        <v>12.48</v>
      </c>
      <c r="HO97">
        <v>54.0891</v>
      </c>
      <c r="HP97">
        <v>44.2548</v>
      </c>
      <c r="HQ97">
        <v>1</v>
      </c>
      <c r="HR97">
        <v>-0.269573</v>
      </c>
      <c r="HS97">
        <v>4.03195</v>
      </c>
      <c r="HT97">
        <v>20.0897</v>
      </c>
      <c r="HU97">
        <v>5.20291</v>
      </c>
      <c r="HV97">
        <v>12.004</v>
      </c>
      <c r="HW97">
        <v>4.9755</v>
      </c>
      <c r="HX97">
        <v>3.29298</v>
      </c>
      <c r="HY97">
        <v>9999</v>
      </c>
      <c r="HZ97">
        <v>999.9</v>
      </c>
      <c r="IA97">
        <v>9999</v>
      </c>
      <c r="IB97">
        <v>9999</v>
      </c>
      <c r="IC97">
        <v>1.86324</v>
      </c>
      <c r="ID97">
        <v>1.86804</v>
      </c>
      <c r="IE97">
        <v>1.86783</v>
      </c>
      <c r="IF97">
        <v>1.86905</v>
      </c>
      <c r="IG97">
        <v>1.86981</v>
      </c>
      <c r="IH97">
        <v>1.86584</v>
      </c>
      <c r="II97">
        <v>1.86695</v>
      </c>
      <c r="IJ97">
        <v>1.86842</v>
      </c>
      <c r="IK97">
        <v>5</v>
      </c>
      <c r="IL97">
        <v>0</v>
      </c>
      <c r="IM97">
        <v>0</v>
      </c>
      <c r="IN97">
        <v>0</v>
      </c>
      <c r="IO97" t="s">
        <v>441</v>
      </c>
      <c r="IP97" t="s">
        <v>442</v>
      </c>
      <c r="IQ97" t="s">
        <v>443</v>
      </c>
      <c r="IR97" t="s">
        <v>443</v>
      </c>
      <c r="IS97" t="s">
        <v>443</v>
      </c>
      <c r="IT97" t="s">
        <v>443</v>
      </c>
      <c r="IU97">
        <v>0</v>
      </c>
      <c r="IV97">
        <v>100</v>
      </c>
      <c r="IW97">
        <v>100</v>
      </c>
      <c r="IX97">
        <v>5.91</v>
      </c>
      <c r="IY97">
        <v>-0.1106</v>
      </c>
      <c r="IZ97">
        <v>1.12474291219083</v>
      </c>
      <c r="JA97">
        <v>0.00463155566490582</v>
      </c>
      <c r="JB97">
        <v>-1.1358998729424e-06</v>
      </c>
      <c r="JC97">
        <v>3.28704272115545e-10</v>
      </c>
      <c r="JD97">
        <v>-0.0704455108513773</v>
      </c>
      <c r="JE97">
        <v>-0.0251928478371425</v>
      </c>
      <c r="JF97">
        <v>0.00225751704194564</v>
      </c>
      <c r="JG97">
        <v>-3.61734043746866e-05</v>
      </c>
      <c r="JH97">
        <v>1</v>
      </c>
      <c r="JI97">
        <v>2182</v>
      </c>
      <c r="JJ97">
        <v>0</v>
      </c>
      <c r="JK97">
        <v>24</v>
      </c>
      <c r="JL97">
        <v>29349828</v>
      </c>
      <c r="JM97">
        <v>29349828</v>
      </c>
      <c r="JN97">
        <v>2.56958</v>
      </c>
      <c r="JO97">
        <v>2.6001</v>
      </c>
      <c r="JP97">
        <v>1.54785</v>
      </c>
      <c r="JQ97">
        <v>2.31445</v>
      </c>
      <c r="JR97">
        <v>1.64673</v>
      </c>
      <c r="JS97">
        <v>2.38403</v>
      </c>
      <c r="JT97">
        <v>33.6254</v>
      </c>
      <c r="JU97">
        <v>24.1926</v>
      </c>
      <c r="JV97">
        <v>18</v>
      </c>
      <c r="JW97">
        <v>500.859</v>
      </c>
      <c r="JX97">
        <v>395.004</v>
      </c>
      <c r="JY97">
        <v>12.3855</v>
      </c>
      <c r="JZ97">
        <v>23.9008</v>
      </c>
      <c r="KA97">
        <v>30.0004</v>
      </c>
      <c r="KB97">
        <v>23.921</v>
      </c>
      <c r="KC97">
        <v>23.8912</v>
      </c>
      <c r="KD97">
        <v>51.4361</v>
      </c>
      <c r="KE97">
        <v>8.77818</v>
      </c>
      <c r="KF97">
        <v>23.3636</v>
      </c>
      <c r="KG97">
        <v>12.3601</v>
      </c>
      <c r="KH97">
        <v>1354.3</v>
      </c>
      <c r="KI97">
        <v>9.00774</v>
      </c>
      <c r="KJ97">
        <v>97.0462</v>
      </c>
      <c r="KK97">
        <v>95.3056</v>
      </c>
    </row>
    <row r="98" spans="1:297">
      <c r="A98">
        <v>82</v>
      </c>
      <c r="B98">
        <v>1760989687.1</v>
      </c>
      <c r="C98">
        <v>497</v>
      </c>
      <c r="D98" t="s">
        <v>606</v>
      </c>
      <c r="E98" t="s">
        <v>607</v>
      </c>
      <c r="F98">
        <v>5</v>
      </c>
      <c r="G98" t="s">
        <v>435</v>
      </c>
      <c r="H98" t="s">
        <v>436</v>
      </c>
      <c r="I98">
        <v>1760989678.94615</v>
      </c>
      <c r="J98">
        <f>(K98)/1000</f>
        <v>0</v>
      </c>
      <c r="K98">
        <f>IF(DP98, AN98, AH98)</f>
        <v>0</v>
      </c>
      <c r="L98">
        <f>IF(DP98, AI98, AG98)</f>
        <v>0</v>
      </c>
      <c r="M98">
        <f>DR98 - IF(AU98&gt;1, L98*DL98*100.0/(AW98), 0)</f>
        <v>0</v>
      </c>
      <c r="N98">
        <f>((T98-J98/2)*M98-L98)/(T98+J98/2)</f>
        <v>0</v>
      </c>
      <c r="O98">
        <f>N98*(DY98+DZ98)/1000.0</f>
        <v>0</v>
      </c>
      <c r="P98">
        <f>(DR98 - IF(AU98&gt;1, L98*DL98*100.0/(AW98), 0))*(DY98+DZ98)/1000.0</f>
        <v>0</v>
      </c>
      <c r="Q98">
        <f>2.0/((1/S98-1/R98)+SIGN(S98)*SQRT((1/S98-1/R98)*(1/S98-1/R98) + 4*DM98/((DM98+1)*(DM98+1))*(2*1/S98*1/R98-1/R98*1/R98)))</f>
        <v>0</v>
      </c>
      <c r="R98">
        <f>IF(LEFT(DN98,1)&lt;&gt;"0",IF(LEFT(DN98,1)="1",3.0,DO98),$D$5+$E$5*(EF98*DY98/($K$5*1000))+$F$5*(EF98*DY98/($K$5*1000))*MAX(MIN(DL98,$J$5),$I$5)*MAX(MIN(DL98,$J$5),$I$5)+$G$5*MAX(MIN(DL98,$J$5),$I$5)*(EF98*DY98/($K$5*1000))+$H$5*(EF98*DY98/($K$5*1000))*(EF98*DY98/($K$5*1000)))</f>
        <v>0</v>
      </c>
      <c r="S98">
        <f>J98*(1000-(1000*0.61365*exp(17.502*W98/(240.97+W98))/(DY98+DZ98)+DT98)/2)/(1000*0.61365*exp(17.502*W98/(240.97+W98))/(DY98+DZ98)-DT98)</f>
        <v>0</v>
      </c>
      <c r="T98">
        <f>1/((DM98+1)/(Q98/1.6)+1/(R98/1.37)) + DM98/((DM98+1)/(Q98/1.6) + DM98/(R98/1.37))</f>
        <v>0</v>
      </c>
      <c r="U98">
        <f>(DH98*DK98)</f>
        <v>0</v>
      </c>
      <c r="V98">
        <f>(EA98+(U98+2*0.95*5.67E-8*(((EA98+$B$7)+273)^4-(EA98+273)^4)-44100*J98)/(1.84*29.3*R98+8*0.95*5.67E-8*(EA98+273)^3))</f>
        <v>0</v>
      </c>
      <c r="W98">
        <f>($C$7*EB98+$D$7*EC98+$E$7*V98)</f>
        <v>0</v>
      </c>
      <c r="X98">
        <f>0.61365*exp(17.502*W98/(240.97+W98))</f>
        <v>0</v>
      </c>
      <c r="Y98">
        <f>(Z98/AA98*100)</f>
        <v>0</v>
      </c>
      <c r="Z98">
        <f>DT98*(DY98+DZ98)/1000</f>
        <v>0</v>
      </c>
      <c r="AA98">
        <f>0.61365*exp(17.502*EA98/(240.97+EA98))</f>
        <v>0</v>
      </c>
      <c r="AB98">
        <f>(X98-DT98*(DY98+DZ98)/1000)</f>
        <v>0</v>
      </c>
      <c r="AC98">
        <f>(-J98*44100)</f>
        <v>0</v>
      </c>
      <c r="AD98">
        <f>2*29.3*R98*0.92*(EA98-W98)</f>
        <v>0</v>
      </c>
      <c r="AE98">
        <f>2*0.95*5.67E-8*(((EA98+$B$7)+273)^4-(W98+273)^4)</f>
        <v>0</v>
      </c>
      <c r="AF98">
        <f>U98+AE98+AC98+AD98</f>
        <v>0</v>
      </c>
      <c r="AG98">
        <f>DX98*AU98*(DS98-DR98*(1000-AU98*DU98)/(1000-AU98*DT98))/(100*DL98)</f>
        <v>0</v>
      </c>
      <c r="AH98">
        <f>1000*DX98*AU98*(DT98-DU98)/(100*DL98*(1000-AU98*DT98))</f>
        <v>0</v>
      </c>
      <c r="AI98">
        <f>(AJ98 - AK98 - DY98*1E3/(8.314*(EA98+273.15)) * AM98/DX98 * AL98) * DX98/(100*DL98) * (1000 - DU98)/1000</f>
        <v>0</v>
      </c>
      <c r="AJ98">
        <v>1352.86008709081</v>
      </c>
      <c r="AK98">
        <v>1322.53290909091</v>
      </c>
      <c r="AL98">
        <v>3.20100243194161</v>
      </c>
      <c r="AM98">
        <v>64.8413469339502</v>
      </c>
      <c r="AN98">
        <f>(AP98 - AO98 + DY98*1E3/(8.314*(EA98+273.15)) * AR98/DX98 * AQ98) * DX98/(100*DL98) * 1000/(1000 - AP98)</f>
        <v>0</v>
      </c>
      <c r="AO98">
        <v>9.00704706468289</v>
      </c>
      <c r="AP98">
        <v>11.8615406060606</v>
      </c>
      <c r="AQ98">
        <v>6.75678541270914e-06</v>
      </c>
      <c r="AR98">
        <v>118.472689631034</v>
      </c>
      <c r="AS98">
        <v>0</v>
      </c>
      <c r="AT98">
        <v>0</v>
      </c>
      <c r="AU98">
        <f>IF(AS98*$H$13&gt;=AW98,1.0,(AW98/(AW98-AS98*$H$13)))</f>
        <v>0</v>
      </c>
      <c r="AV98">
        <f>(AU98-1)*100</f>
        <v>0</v>
      </c>
      <c r="AW98">
        <f>MAX(0,($B$13+$C$13*EF98)/(1+$D$13*EF98)*DY98/(EA98+273)*$E$13)</f>
        <v>0</v>
      </c>
      <c r="AX98" t="s">
        <v>437</v>
      </c>
      <c r="AY98" t="s">
        <v>437</v>
      </c>
      <c r="AZ98">
        <v>0</v>
      </c>
      <c r="BA98">
        <v>0</v>
      </c>
      <c r="BB98">
        <f>1-AZ98/BA98</f>
        <v>0</v>
      </c>
      <c r="BC98">
        <v>0</v>
      </c>
      <c r="BD98" t="s">
        <v>437</v>
      </c>
      <c r="BE98" t="s">
        <v>437</v>
      </c>
      <c r="BF98">
        <v>0</v>
      </c>
      <c r="BG98">
        <v>0</v>
      </c>
      <c r="BH98">
        <f>1-BF98/BG98</f>
        <v>0</v>
      </c>
      <c r="BI98">
        <v>0.5</v>
      </c>
      <c r="BJ98">
        <f>DI98</f>
        <v>0</v>
      </c>
      <c r="BK98">
        <f>L98</f>
        <v>0</v>
      </c>
      <c r="BL98">
        <f>BH98*BI98*BJ98</f>
        <v>0</v>
      </c>
      <c r="BM98">
        <f>(BK98-BC98)/BJ98</f>
        <v>0</v>
      </c>
      <c r="BN98">
        <f>(BA98-BG98)/BG98</f>
        <v>0</v>
      </c>
      <c r="BO98">
        <f>AZ98/(BB98+AZ98/BG98)</f>
        <v>0</v>
      </c>
      <c r="BP98" t="s">
        <v>437</v>
      </c>
      <c r="BQ98">
        <v>0</v>
      </c>
      <c r="BR98">
        <f>IF(BQ98&lt;&gt;0, BQ98, BO98)</f>
        <v>0</v>
      </c>
      <c r="BS98">
        <f>1-BR98/BG98</f>
        <v>0</v>
      </c>
      <c r="BT98">
        <f>(BG98-BF98)/(BG98-BR98)</f>
        <v>0</v>
      </c>
      <c r="BU98">
        <f>(BA98-BG98)/(BA98-BR98)</f>
        <v>0</v>
      </c>
      <c r="BV98">
        <f>(BG98-BF98)/(BG98-AZ98)</f>
        <v>0</v>
      </c>
      <c r="BW98">
        <f>(BA98-BG98)/(BA98-AZ98)</f>
        <v>0</v>
      </c>
      <c r="BX98">
        <f>(BT98*BR98/BF98)</f>
        <v>0</v>
      </c>
      <c r="BY98">
        <f>(1-BX98)</f>
        <v>0</v>
      </c>
      <c r="DH98">
        <f>$B$11*EG98+$C$11*EH98+$F$11*ES98*(1-EV98)</f>
        <v>0</v>
      </c>
      <c r="DI98">
        <f>DH98*DJ98</f>
        <v>0</v>
      </c>
      <c r="DJ98">
        <f>($B$11*$D$9+$C$11*$D$9+$F$11*((FF98+EX98)/MAX(FF98+EX98+FG98, 0.1)*$I$9+FG98/MAX(FF98+EX98+FG98, 0.1)*$J$9))/($B$11+$C$11+$F$11)</f>
        <v>0</v>
      </c>
      <c r="DK98">
        <f>($B$11*$K$9+$C$11*$K$9+$F$11*((FF98+EX98)/MAX(FF98+EX98+FG98, 0.1)*$P$9+FG98/MAX(FF98+EX98+FG98, 0.1)*$Q$9))/($B$11+$C$11+$F$11)</f>
        <v>0</v>
      </c>
      <c r="DL98">
        <v>6</v>
      </c>
      <c r="DM98">
        <v>0.5</v>
      </c>
      <c r="DN98" t="s">
        <v>438</v>
      </c>
      <c r="DO98">
        <v>2</v>
      </c>
      <c r="DP98" t="b">
        <v>1</v>
      </c>
      <c r="DQ98">
        <v>1760989678.94615</v>
      </c>
      <c r="DR98">
        <v>1283.75461538462</v>
      </c>
      <c r="DS98">
        <v>1325.75846153846</v>
      </c>
      <c r="DT98">
        <v>11.8590538461538</v>
      </c>
      <c r="DU98">
        <v>9.00483076923077</v>
      </c>
      <c r="DV98">
        <v>1277.88076923077</v>
      </c>
      <c r="DW98">
        <v>11.9696384615385</v>
      </c>
      <c r="DX98">
        <v>499.984846153846</v>
      </c>
      <c r="DY98">
        <v>89.8555230769231</v>
      </c>
      <c r="DZ98">
        <v>0.00779657769230769</v>
      </c>
      <c r="EA98">
        <v>18.4928538461538</v>
      </c>
      <c r="EB98">
        <v>18.0163769230769</v>
      </c>
      <c r="EC98">
        <v>999.9</v>
      </c>
      <c r="ED98">
        <v>0</v>
      </c>
      <c r="EE98">
        <v>0</v>
      </c>
      <c r="EF98">
        <v>9985.47692307692</v>
      </c>
      <c r="EG98">
        <v>0</v>
      </c>
      <c r="EH98">
        <v>1270.20769230769</v>
      </c>
      <c r="EI98">
        <v>-42.0036230769231</v>
      </c>
      <c r="EJ98">
        <v>1299.16307692308</v>
      </c>
      <c r="EK98">
        <v>1337.80769230769</v>
      </c>
      <c r="EL98">
        <v>2.85420923076923</v>
      </c>
      <c r="EM98">
        <v>1325.75846153846</v>
      </c>
      <c r="EN98">
        <v>9.00483076923077</v>
      </c>
      <c r="EO98">
        <v>1.0656</v>
      </c>
      <c r="EP98">
        <v>0.809133846153846</v>
      </c>
      <c r="EQ98">
        <v>7.84559230769231</v>
      </c>
      <c r="ER98">
        <v>3.86856</v>
      </c>
      <c r="ES98">
        <v>1200.06384615385</v>
      </c>
      <c r="ET98">
        <v>0.966995153846154</v>
      </c>
      <c r="EU98">
        <v>0.0330045692307692</v>
      </c>
      <c r="EV98">
        <v>0</v>
      </c>
      <c r="EW98">
        <v>1334.7</v>
      </c>
      <c r="EX98">
        <v>5.00059</v>
      </c>
      <c r="EY98">
        <v>15747.4307692308</v>
      </c>
      <c r="EZ98">
        <v>10359.2461538462</v>
      </c>
      <c r="FA98">
        <v>38.6246923076923</v>
      </c>
      <c r="FB98">
        <v>40.8939230769231</v>
      </c>
      <c r="FC98">
        <v>39.1151538461538</v>
      </c>
      <c r="FD98">
        <v>40.793</v>
      </c>
      <c r="FE98">
        <v>39.5046153846154</v>
      </c>
      <c r="FF98">
        <v>1155.62076923077</v>
      </c>
      <c r="FG98">
        <v>39.4423076923077</v>
      </c>
      <c r="FH98">
        <v>0</v>
      </c>
      <c r="FI98">
        <v>1760989656.1</v>
      </c>
      <c r="FJ98">
        <v>0</v>
      </c>
      <c r="FK98">
        <v>1334.6508</v>
      </c>
      <c r="FL98">
        <v>1.44384614694402</v>
      </c>
      <c r="FM98">
        <v>-30.1615384876811</v>
      </c>
      <c r="FN98">
        <v>15746.892</v>
      </c>
      <c r="FO98">
        <v>15</v>
      </c>
      <c r="FP98">
        <v>0</v>
      </c>
      <c r="FQ98" t="s">
        <v>439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-42.3770952380952</v>
      </c>
      <c r="GD98">
        <v>5.96722597402599</v>
      </c>
      <c r="GE98">
        <v>0.742011926791702</v>
      </c>
      <c r="GF98">
        <v>0</v>
      </c>
      <c r="GG98">
        <v>1334.65235294118</v>
      </c>
      <c r="GH98">
        <v>0.519174937981982</v>
      </c>
      <c r="GI98">
        <v>0.200910556972783</v>
      </c>
      <c r="GJ98">
        <v>-1</v>
      </c>
      <c r="GK98">
        <v>2.85379523809524</v>
      </c>
      <c r="GL98">
        <v>0.0052792207792215</v>
      </c>
      <c r="GM98">
        <v>0.000830493938211384</v>
      </c>
      <c r="GN98">
        <v>1</v>
      </c>
      <c r="GO98">
        <v>1</v>
      </c>
      <c r="GP98">
        <v>2</v>
      </c>
      <c r="GQ98" t="s">
        <v>446</v>
      </c>
      <c r="GR98">
        <v>3.13076</v>
      </c>
      <c r="GS98">
        <v>2.68578</v>
      </c>
      <c r="GT98">
        <v>0.195793</v>
      </c>
      <c r="GU98">
        <v>0.199989</v>
      </c>
      <c r="GV98">
        <v>0.0618943</v>
      </c>
      <c r="GW98">
        <v>0.0498516</v>
      </c>
      <c r="GX98">
        <v>30483.8</v>
      </c>
      <c r="GY98">
        <v>32585.1</v>
      </c>
      <c r="GZ98">
        <v>34267.5</v>
      </c>
      <c r="HA98">
        <v>36849.8</v>
      </c>
      <c r="HB98">
        <v>45355</v>
      </c>
      <c r="HC98">
        <v>50218.6</v>
      </c>
      <c r="HD98">
        <v>53342.1</v>
      </c>
      <c r="HE98">
        <v>58776.6</v>
      </c>
      <c r="HF98">
        <v>2.0091</v>
      </c>
      <c r="HG98">
        <v>1.83865</v>
      </c>
      <c r="HH98">
        <v>0.0337511</v>
      </c>
      <c r="HI98">
        <v>0</v>
      </c>
      <c r="HJ98">
        <v>17.4606</v>
      </c>
      <c r="HK98">
        <v>999.9</v>
      </c>
      <c r="HL98">
        <v>25.882</v>
      </c>
      <c r="HM98">
        <v>30.293</v>
      </c>
      <c r="HN98">
        <v>12.4807</v>
      </c>
      <c r="HO98">
        <v>54.3991</v>
      </c>
      <c r="HP98">
        <v>44.1226</v>
      </c>
      <c r="HQ98">
        <v>1</v>
      </c>
      <c r="HR98">
        <v>-0.269421</v>
      </c>
      <c r="HS98">
        <v>4.04171</v>
      </c>
      <c r="HT98">
        <v>20.0894</v>
      </c>
      <c r="HU98">
        <v>5.20187</v>
      </c>
      <c r="HV98">
        <v>12.004</v>
      </c>
      <c r="HW98">
        <v>4.97555</v>
      </c>
      <c r="HX98">
        <v>3.293</v>
      </c>
      <c r="HY98">
        <v>9999</v>
      </c>
      <c r="HZ98">
        <v>999.9</v>
      </c>
      <c r="IA98">
        <v>9999</v>
      </c>
      <c r="IB98">
        <v>9999</v>
      </c>
      <c r="IC98">
        <v>1.86325</v>
      </c>
      <c r="ID98">
        <v>1.86807</v>
      </c>
      <c r="IE98">
        <v>1.86783</v>
      </c>
      <c r="IF98">
        <v>1.86905</v>
      </c>
      <c r="IG98">
        <v>1.86981</v>
      </c>
      <c r="IH98">
        <v>1.86585</v>
      </c>
      <c r="II98">
        <v>1.86697</v>
      </c>
      <c r="IJ98">
        <v>1.86842</v>
      </c>
      <c r="IK98">
        <v>5</v>
      </c>
      <c r="IL98">
        <v>0</v>
      </c>
      <c r="IM98">
        <v>0</v>
      </c>
      <c r="IN98">
        <v>0</v>
      </c>
      <c r="IO98" t="s">
        <v>441</v>
      </c>
      <c r="IP98" t="s">
        <v>442</v>
      </c>
      <c r="IQ98" t="s">
        <v>443</v>
      </c>
      <c r="IR98" t="s">
        <v>443</v>
      </c>
      <c r="IS98" t="s">
        <v>443</v>
      </c>
      <c r="IT98" t="s">
        <v>443</v>
      </c>
      <c r="IU98">
        <v>0</v>
      </c>
      <c r="IV98">
        <v>100</v>
      </c>
      <c r="IW98">
        <v>100</v>
      </c>
      <c r="IX98">
        <v>5.96</v>
      </c>
      <c r="IY98">
        <v>-0.1105</v>
      </c>
      <c r="IZ98">
        <v>1.12474291219083</v>
      </c>
      <c r="JA98">
        <v>0.00463155566490582</v>
      </c>
      <c r="JB98">
        <v>-1.1358998729424e-06</v>
      </c>
      <c r="JC98">
        <v>3.28704272115545e-10</v>
      </c>
      <c r="JD98">
        <v>-0.0704455108513773</v>
      </c>
      <c r="JE98">
        <v>-0.0251928478371425</v>
      </c>
      <c r="JF98">
        <v>0.00225751704194564</v>
      </c>
      <c r="JG98">
        <v>-3.61734043746866e-05</v>
      </c>
      <c r="JH98">
        <v>1</v>
      </c>
      <c r="JI98">
        <v>2182</v>
      </c>
      <c r="JJ98">
        <v>0</v>
      </c>
      <c r="JK98">
        <v>24</v>
      </c>
      <c r="JL98">
        <v>29349828.1</v>
      </c>
      <c r="JM98">
        <v>29349828.1</v>
      </c>
      <c r="JN98">
        <v>2.59399</v>
      </c>
      <c r="JO98">
        <v>2.60132</v>
      </c>
      <c r="JP98">
        <v>1.54785</v>
      </c>
      <c r="JQ98">
        <v>2.31445</v>
      </c>
      <c r="JR98">
        <v>1.64673</v>
      </c>
      <c r="JS98">
        <v>2.38892</v>
      </c>
      <c r="JT98">
        <v>33.6479</v>
      </c>
      <c r="JU98">
        <v>24.1926</v>
      </c>
      <c r="JV98">
        <v>18</v>
      </c>
      <c r="JW98">
        <v>500.875</v>
      </c>
      <c r="JX98">
        <v>394.939</v>
      </c>
      <c r="JY98">
        <v>12.3642</v>
      </c>
      <c r="JZ98">
        <v>23.9008</v>
      </c>
      <c r="KA98">
        <v>30.0003</v>
      </c>
      <c r="KB98">
        <v>23.921</v>
      </c>
      <c r="KC98">
        <v>23.8912</v>
      </c>
      <c r="KD98">
        <v>52.0275</v>
      </c>
      <c r="KE98">
        <v>8.77818</v>
      </c>
      <c r="KF98">
        <v>23.3636</v>
      </c>
      <c r="KG98">
        <v>12.3438</v>
      </c>
      <c r="KH98">
        <v>1374.73</v>
      </c>
      <c r="KI98">
        <v>9.00774</v>
      </c>
      <c r="KJ98">
        <v>97.0464</v>
      </c>
      <c r="KK98">
        <v>95.3043</v>
      </c>
    </row>
    <row r="99" spans="1:297">
      <c r="A99">
        <v>83</v>
      </c>
      <c r="B99">
        <v>1760989692.1</v>
      </c>
      <c r="C99">
        <v>502</v>
      </c>
      <c r="D99" t="s">
        <v>608</v>
      </c>
      <c r="E99" t="s">
        <v>609</v>
      </c>
      <c r="F99">
        <v>5</v>
      </c>
      <c r="G99" t="s">
        <v>435</v>
      </c>
      <c r="H99" t="s">
        <v>436</v>
      </c>
      <c r="I99">
        <v>1760989683.94615</v>
      </c>
      <c r="J99">
        <f>(K99)/1000</f>
        <v>0</v>
      </c>
      <c r="K99">
        <f>IF(DP99, AN99, AH99)</f>
        <v>0</v>
      </c>
      <c r="L99">
        <f>IF(DP99, AI99, AG99)</f>
        <v>0</v>
      </c>
      <c r="M99">
        <f>DR99 - IF(AU99&gt;1, L99*DL99*100.0/(AW99), 0)</f>
        <v>0</v>
      </c>
      <c r="N99">
        <f>((T99-J99/2)*M99-L99)/(T99+J99/2)</f>
        <v>0</v>
      </c>
      <c r="O99">
        <f>N99*(DY99+DZ99)/1000.0</f>
        <v>0</v>
      </c>
      <c r="P99">
        <f>(DR99 - IF(AU99&gt;1, L99*DL99*100.0/(AW99), 0))*(DY99+DZ99)/1000.0</f>
        <v>0</v>
      </c>
      <c r="Q99">
        <f>2.0/((1/S99-1/R99)+SIGN(S99)*SQRT((1/S99-1/R99)*(1/S99-1/R99) + 4*DM99/((DM99+1)*(DM99+1))*(2*1/S99*1/R99-1/R99*1/R99)))</f>
        <v>0</v>
      </c>
      <c r="R99">
        <f>IF(LEFT(DN99,1)&lt;&gt;"0",IF(LEFT(DN99,1)="1",3.0,DO99),$D$5+$E$5*(EF99*DY99/($K$5*1000))+$F$5*(EF99*DY99/($K$5*1000))*MAX(MIN(DL99,$J$5),$I$5)*MAX(MIN(DL99,$J$5),$I$5)+$G$5*MAX(MIN(DL99,$J$5),$I$5)*(EF99*DY99/($K$5*1000))+$H$5*(EF99*DY99/($K$5*1000))*(EF99*DY99/($K$5*1000)))</f>
        <v>0</v>
      </c>
      <c r="S99">
        <f>J99*(1000-(1000*0.61365*exp(17.502*W99/(240.97+W99))/(DY99+DZ99)+DT99)/2)/(1000*0.61365*exp(17.502*W99/(240.97+W99))/(DY99+DZ99)-DT99)</f>
        <v>0</v>
      </c>
      <c r="T99">
        <f>1/((DM99+1)/(Q99/1.6)+1/(R99/1.37)) + DM99/((DM99+1)/(Q99/1.6) + DM99/(R99/1.37))</f>
        <v>0</v>
      </c>
      <c r="U99">
        <f>(DH99*DK99)</f>
        <v>0</v>
      </c>
      <c r="V99">
        <f>(EA99+(U99+2*0.95*5.67E-8*(((EA99+$B$7)+273)^4-(EA99+273)^4)-44100*J99)/(1.84*29.3*R99+8*0.95*5.67E-8*(EA99+273)^3))</f>
        <v>0</v>
      </c>
      <c r="W99">
        <f>($C$7*EB99+$D$7*EC99+$E$7*V99)</f>
        <v>0</v>
      </c>
      <c r="X99">
        <f>0.61365*exp(17.502*W99/(240.97+W99))</f>
        <v>0</v>
      </c>
      <c r="Y99">
        <f>(Z99/AA99*100)</f>
        <v>0</v>
      </c>
      <c r="Z99">
        <f>DT99*(DY99+DZ99)/1000</f>
        <v>0</v>
      </c>
      <c r="AA99">
        <f>0.61365*exp(17.502*EA99/(240.97+EA99))</f>
        <v>0</v>
      </c>
      <c r="AB99">
        <f>(X99-DT99*(DY99+DZ99)/1000)</f>
        <v>0</v>
      </c>
      <c r="AC99">
        <f>(-J99*44100)</f>
        <v>0</v>
      </c>
      <c r="AD99">
        <f>2*29.3*R99*0.92*(EA99-W99)</f>
        <v>0</v>
      </c>
      <c r="AE99">
        <f>2*0.95*5.67E-8*(((EA99+$B$7)+273)^4-(W99+273)^4)</f>
        <v>0</v>
      </c>
      <c r="AF99">
        <f>U99+AE99+AC99+AD99</f>
        <v>0</v>
      </c>
      <c r="AG99">
        <f>DX99*AU99*(DS99-DR99*(1000-AU99*DU99)/(1000-AU99*DT99))/(100*DL99)</f>
        <v>0</v>
      </c>
      <c r="AH99">
        <f>1000*DX99*AU99*(DT99-DU99)/(100*DL99*(1000-AU99*DT99))</f>
        <v>0</v>
      </c>
      <c r="AI99">
        <f>(AJ99 - AK99 - DY99*1E3/(8.314*(EA99+273.15)) * AM99/DX99 * AL99) * DX99/(100*DL99) * (1000 - DU99)/1000</f>
        <v>0</v>
      </c>
      <c r="AJ99">
        <v>1369.19303094176</v>
      </c>
      <c r="AK99">
        <v>1338.60806060606</v>
      </c>
      <c r="AL99">
        <v>3.21973155074302</v>
      </c>
      <c r="AM99">
        <v>64.8413469339502</v>
      </c>
      <c r="AN99">
        <f>(AP99 - AO99 + DY99*1E3/(8.314*(EA99+273.15)) * AR99/DX99 * AQ99) * DX99/(100*DL99) * 1000/(1000 - AP99)</f>
        <v>0</v>
      </c>
      <c r="AO99">
        <v>9.00863762802239</v>
      </c>
      <c r="AP99">
        <v>11.8623296969697</v>
      </c>
      <c r="AQ99">
        <v>6.74497621121449e-06</v>
      </c>
      <c r="AR99">
        <v>118.472689631034</v>
      </c>
      <c r="AS99">
        <v>0</v>
      </c>
      <c r="AT99">
        <v>0</v>
      </c>
      <c r="AU99">
        <f>IF(AS99*$H$13&gt;=AW99,1.0,(AW99/(AW99-AS99*$H$13)))</f>
        <v>0</v>
      </c>
      <c r="AV99">
        <f>(AU99-1)*100</f>
        <v>0</v>
      </c>
      <c r="AW99">
        <f>MAX(0,($B$13+$C$13*EF99)/(1+$D$13*EF99)*DY99/(EA99+273)*$E$13)</f>
        <v>0</v>
      </c>
      <c r="AX99" t="s">
        <v>437</v>
      </c>
      <c r="AY99" t="s">
        <v>437</v>
      </c>
      <c r="AZ99">
        <v>0</v>
      </c>
      <c r="BA99">
        <v>0</v>
      </c>
      <c r="BB99">
        <f>1-AZ99/BA99</f>
        <v>0</v>
      </c>
      <c r="BC99">
        <v>0</v>
      </c>
      <c r="BD99" t="s">
        <v>437</v>
      </c>
      <c r="BE99" t="s">
        <v>437</v>
      </c>
      <c r="BF99">
        <v>0</v>
      </c>
      <c r="BG99">
        <v>0</v>
      </c>
      <c r="BH99">
        <f>1-BF99/BG99</f>
        <v>0</v>
      </c>
      <c r="BI99">
        <v>0.5</v>
      </c>
      <c r="BJ99">
        <f>DI99</f>
        <v>0</v>
      </c>
      <c r="BK99">
        <f>L99</f>
        <v>0</v>
      </c>
      <c r="BL99">
        <f>BH99*BI99*BJ99</f>
        <v>0</v>
      </c>
      <c r="BM99">
        <f>(BK99-BC99)/BJ99</f>
        <v>0</v>
      </c>
      <c r="BN99">
        <f>(BA99-BG99)/BG99</f>
        <v>0</v>
      </c>
      <c r="BO99">
        <f>AZ99/(BB99+AZ99/BG99)</f>
        <v>0</v>
      </c>
      <c r="BP99" t="s">
        <v>437</v>
      </c>
      <c r="BQ99">
        <v>0</v>
      </c>
      <c r="BR99">
        <f>IF(BQ99&lt;&gt;0, BQ99, BO99)</f>
        <v>0</v>
      </c>
      <c r="BS99">
        <f>1-BR99/BG99</f>
        <v>0</v>
      </c>
      <c r="BT99">
        <f>(BG99-BF99)/(BG99-BR99)</f>
        <v>0</v>
      </c>
      <c r="BU99">
        <f>(BA99-BG99)/(BA99-BR99)</f>
        <v>0</v>
      </c>
      <c r="BV99">
        <f>(BG99-BF99)/(BG99-AZ99)</f>
        <v>0</v>
      </c>
      <c r="BW99">
        <f>(BA99-BG99)/(BA99-AZ99)</f>
        <v>0</v>
      </c>
      <c r="BX99">
        <f>(BT99*BR99/BF99)</f>
        <v>0</v>
      </c>
      <c r="BY99">
        <f>(1-BX99)</f>
        <v>0</v>
      </c>
      <c r="DH99">
        <f>$B$11*EG99+$C$11*EH99+$F$11*ES99*(1-EV99)</f>
        <v>0</v>
      </c>
      <c r="DI99">
        <f>DH99*DJ99</f>
        <v>0</v>
      </c>
      <c r="DJ99">
        <f>($B$11*$D$9+$C$11*$D$9+$F$11*((FF99+EX99)/MAX(FF99+EX99+FG99, 0.1)*$I$9+FG99/MAX(FF99+EX99+FG99, 0.1)*$J$9))/($B$11+$C$11+$F$11)</f>
        <v>0</v>
      </c>
      <c r="DK99">
        <f>($B$11*$K$9+$C$11*$K$9+$F$11*((FF99+EX99)/MAX(FF99+EX99+FG99, 0.1)*$P$9+FG99/MAX(FF99+EX99+FG99, 0.1)*$Q$9))/($B$11+$C$11+$F$11)</f>
        <v>0</v>
      </c>
      <c r="DL99">
        <v>6</v>
      </c>
      <c r="DM99">
        <v>0.5</v>
      </c>
      <c r="DN99" t="s">
        <v>438</v>
      </c>
      <c r="DO99">
        <v>2</v>
      </c>
      <c r="DP99" t="b">
        <v>1</v>
      </c>
      <c r="DQ99">
        <v>1760989683.94615</v>
      </c>
      <c r="DR99">
        <v>1299.91153846154</v>
      </c>
      <c r="DS99">
        <v>1342.01</v>
      </c>
      <c r="DT99">
        <v>11.8606230769231</v>
      </c>
      <c r="DU99">
        <v>9.00666153846154</v>
      </c>
      <c r="DV99">
        <v>1293.98307692308</v>
      </c>
      <c r="DW99">
        <v>11.9711846153846</v>
      </c>
      <c r="DX99">
        <v>500.003692307692</v>
      </c>
      <c r="DY99">
        <v>89.8546076923077</v>
      </c>
      <c r="DZ99">
        <v>0.00784206769230769</v>
      </c>
      <c r="EA99">
        <v>18.4938307692308</v>
      </c>
      <c r="EB99">
        <v>18.0182923076923</v>
      </c>
      <c r="EC99">
        <v>999.9</v>
      </c>
      <c r="ED99">
        <v>0</v>
      </c>
      <c r="EE99">
        <v>0</v>
      </c>
      <c r="EF99">
        <v>10000.1407692308</v>
      </c>
      <c r="EG99">
        <v>0</v>
      </c>
      <c r="EH99">
        <v>1270.21307692308</v>
      </c>
      <c r="EI99">
        <v>-42.0987538461538</v>
      </c>
      <c r="EJ99">
        <v>1315.51538461538</v>
      </c>
      <c r="EK99">
        <v>1354.20923076923</v>
      </c>
      <c r="EL99">
        <v>2.85395538461538</v>
      </c>
      <c r="EM99">
        <v>1342.01</v>
      </c>
      <c r="EN99">
        <v>9.00666153846154</v>
      </c>
      <c r="EO99">
        <v>1.06573076923077</v>
      </c>
      <c r="EP99">
        <v>0.809290153846154</v>
      </c>
      <c r="EQ99">
        <v>7.84739538461538</v>
      </c>
      <c r="ER99">
        <v>3.87130615384615</v>
      </c>
      <c r="ES99">
        <v>1200.05461538462</v>
      </c>
      <c r="ET99">
        <v>0.966993307692308</v>
      </c>
      <c r="EU99">
        <v>0.0330065538461538</v>
      </c>
      <c r="EV99">
        <v>0</v>
      </c>
      <c r="EW99">
        <v>1334.82769230769</v>
      </c>
      <c r="EX99">
        <v>5.00059</v>
      </c>
      <c r="EY99">
        <v>15744.9923076923</v>
      </c>
      <c r="EZ99">
        <v>10359.1692307692</v>
      </c>
      <c r="FA99">
        <v>38.5477692307692</v>
      </c>
      <c r="FB99">
        <v>40.7353076923077</v>
      </c>
      <c r="FC99">
        <v>39.0382307692308</v>
      </c>
      <c r="FD99">
        <v>40.5766153846154</v>
      </c>
      <c r="FE99">
        <v>39.4083846153846</v>
      </c>
      <c r="FF99">
        <v>1155.60846153846</v>
      </c>
      <c r="FG99">
        <v>39.4453846153846</v>
      </c>
      <c r="FH99">
        <v>0</v>
      </c>
      <c r="FI99">
        <v>1760989661.5</v>
      </c>
      <c r="FJ99">
        <v>0</v>
      </c>
      <c r="FK99">
        <v>1334.76615384615</v>
      </c>
      <c r="FL99">
        <v>1.82085468607471</v>
      </c>
      <c r="FM99">
        <v>-29.3572649089789</v>
      </c>
      <c r="FN99">
        <v>15744.0115384615</v>
      </c>
      <c r="FO99">
        <v>15</v>
      </c>
      <c r="FP99">
        <v>0</v>
      </c>
      <c r="FQ99" t="s">
        <v>439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-42.06275</v>
      </c>
      <c r="GD99">
        <v>-0.000793984962391322</v>
      </c>
      <c r="GE99">
        <v>0.619441759570664</v>
      </c>
      <c r="GF99">
        <v>1</v>
      </c>
      <c r="GG99">
        <v>1334.71735294118</v>
      </c>
      <c r="GH99">
        <v>1.24201679937119</v>
      </c>
      <c r="GI99">
        <v>0.213655974483578</v>
      </c>
      <c r="GJ99">
        <v>-1</v>
      </c>
      <c r="GK99">
        <v>2.854029</v>
      </c>
      <c r="GL99">
        <v>-0.00269954887218218</v>
      </c>
      <c r="GM99">
        <v>0.000540545095251079</v>
      </c>
      <c r="GN99">
        <v>1</v>
      </c>
      <c r="GO99">
        <v>2</v>
      </c>
      <c r="GP99">
        <v>2</v>
      </c>
      <c r="GQ99" t="s">
        <v>440</v>
      </c>
      <c r="GR99">
        <v>3.13069</v>
      </c>
      <c r="GS99">
        <v>2.68583</v>
      </c>
      <c r="GT99">
        <v>0.197286</v>
      </c>
      <c r="GU99">
        <v>0.201717</v>
      </c>
      <c r="GV99">
        <v>0.0618973</v>
      </c>
      <c r="GW99">
        <v>0.0498588</v>
      </c>
      <c r="GX99">
        <v>30427.1</v>
      </c>
      <c r="GY99">
        <v>32515</v>
      </c>
      <c r="GZ99">
        <v>34267.3</v>
      </c>
      <c r="HA99">
        <v>36849.9</v>
      </c>
      <c r="HB99">
        <v>45354.6</v>
      </c>
      <c r="HC99">
        <v>50218.7</v>
      </c>
      <c r="HD99">
        <v>53341.6</v>
      </c>
      <c r="HE99">
        <v>58776.8</v>
      </c>
      <c r="HF99">
        <v>2.00905</v>
      </c>
      <c r="HG99">
        <v>1.83882</v>
      </c>
      <c r="HH99">
        <v>0.0338331</v>
      </c>
      <c r="HI99">
        <v>0</v>
      </c>
      <c r="HJ99">
        <v>17.4606</v>
      </c>
      <c r="HK99">
        <v>999.9</v>
      </c>
      <c r="HL99">
        <v>25.882</v>
      </c>
      <c r="HM99">
        <v>30.293</v>
      </c>
      <c r="HN99">
        <v>12.48</v>
      </c>
      <c r="HO99">
        <v>54.1091</v>
      </c>
      <c r="HP99">
        <v>44.0946</v>
      </c>
      <c r="HQ99">
        <v>1</v>
      </c>
      <c r="HR99">
        <v>-0.2694</v>
      </c>
      <c r="HS99">
        <v>4.06322</v>
      </c>
      <c r="HT99">
        <v>20.0888</v>
      </c>
      <c r="HU99">
        <v>5.20202</v>
      </c>
      <c r="HV99">
        <v>12.004</v>
      </c>
      <c r="HW99">
        <v>4.9755</v>
      </c>
      <c r="HX99">
        <v>3.29295</v>
      </c>
      <c r="HY99">
        <v>9999</v>
      </c>
      <c r="HZ99">
        <v>999.9</v>
      </c>
      <c r="IA99">
        <v>9999</v>
      </c>
      <c r="IB99">
        <v>9999</v>
      </c>
      <c r="IC99">
        <v>1.86325</v>
      </c>
      <c r="ID99">
        <v>1.86807</v>
      </c>
      <c r="IE99">
        <v>1.86783</v>
      </c>
      <c r="IF99">
        <v>1.86905</v>
      </c>
      <c r="IG99">
        <v>1.86981</v>
      </c>
      <c r="IH99">
        <v>1.86585</v>
      </c>
      <c r="II99">
        <v>1.86692</v>
      </c>
      <c r="IJ99">
        <v>1.8684</v>
      </c>
      <c r="IK99">
        <v>5</v>
      </c>
      <c r="IL99">
        <v>0</v>
      </c>
      <c r="IM99">
        <v>0</v>
      </c>
      <c r="IN99">
        <v>0</v>
      </c>
      <c r="IO99" t="s">
        <v>441</v>
      </c>
      <c r="IP99" t="s">
        <v>442</v>
      </c>
      <c r="IQ99" t="s">
        <v>443</v>
      </c>
      <c r="IR99" t="s">
        <v>443</v>
      </c>
      <c r="IS99" t="s">
        <v>443</v>
      </c>
      <c r="IT99" t="s">
        <v>443</v>
      </c>
      <c r="IU99">
        <v>0</v>
      </c>
      <c r="IV99">
        <v>100</v>
      </c>
      <c r="IW99">
        <v>100</v>
      </c>
      <c r="IX99">
        <v>6.01</v>
      </c>
      <c r="IY99">
        <v>-0.1105</v>
      </c>
      <c r="IZ99">
        <v>1.12474291219083</v>
      </c>
      <c r="JA99">
        <v>0.00463155566490582</v>
      </c>
      <c r="JB99">
        <v>-1.1358998729424e-06</v>
      </c>
      <c r="JC99">
        <v>3.28704272115545e-10</v>
      </c>
      <c r="JD99">
        <v>-0.0704455108513773</v>
      </c>
      <c r="JE99">
        <v>-0.0251928478371425</v>
      </c>
      <c r="JF99">
        <v>0.00225751704194564</v>
      </c>
      <c r="JG99">
        <v>-3.61734043746866e-05</v>
      </c>
      <c r="JH99">
        <v>1</v>
      </c>
      <c r="JI99">
        <v>2182</v>
      </c>
      <c r="JJ99">
        <v>0</v>
      </c>
      <c r="JK99">
        <v>24</v>
      </c>
      <c r="JL99">
        <v>29349828.2</v>
      </c>
      <c r="JM99">
        <v>29349828.2</v>
      </c>
      <c r="JN99">
        <v>2.62207</v>
      </c>
      <c r="JO99">
        <v>2.6001</v>
      </c>
      <c r="JP99">
        <v>1.54785</v>
      </c>
      <c r="JQ99">
        <v>2.31445</v>
      </c>
      <c r="JR99">
        <v>1.64673</v>
      </c>
      <c r="JS99">
        <v>2.40234</v>
      </c>
      <c r="JT99">
        <v>33.6254</v>
      </c>
      <c r="JU99">
        <v>24.1926</v>
      </c>
      <c r="JV99">
        <v>18</v>
      </c>
      <c r="JW99">
        <v>500.843</v>
      </c>
      <c r="JX99">
        <v>395.031</v>
      </c>
      <c r="JY99">
        <v>12.347</v>
      </c>
      <c r="JZ99">
        <v>23.9008</v>
      </c>
      <c r="KA99">
        <v>30</v>
      </c>
      <c r="KB99">
        <v>23.921</v>
      </c>
      <c r="KC99">
        <v>23.8912</v>
      </c>
      <c r="KD99">
        <v>52.5155</v>
      </c>
      <c r="KE99">
        <v>8.77818</v>
      </c>
      <c r="KF99">
        <v>23.3636</v>
      </c>
      <c r="KG99">
        <v>12.322</v>
      </c>
      <c r="KH99">
        <v>1388.36</v>
      </c>
      <c r="KI99">
        <v>9.00774</v>
      </c>
      <c r="KJ99">
        <v>97.0457</v>
      </c>
      <c r="KK99">
        <v>95.3046</v>
      </c>
    </row>
    <row r="100" spans="1:297">
      <c r="A100">
        <v>84</v>
      </c>
      <c r="B100">
        <v>1760989697.1</v>
      </c>
      <c r="C100">
        <v>507</v>
      </c>
      <c r="D100" t="s">
        <v>610</v>
      </c>
      <c r="E100" t="s">
        <v>611</v>
      </c>
      <c r="F100">
        <v>5</v>
      </c>
      <c r="G100" t="s">
        <v>435</v>
      </c>
      <c r="H100" t="s">
        <v>436</v>
      </c>
      <c r="I100">
        <v>1760989688.94615</v>
      </c>
      <c r="J100">
        <f>(K100)/1000</f>
        <v>0</v>
      </c>
      <c r="K100">
        <f>IF(DP100, AN100, AH100)</f>
        <v>0</v>
      </c>
      <c r="L100">
        <f>IF(DP100, AI100, AG100)</f>
        <v>0</v>
      </c>
      <c r="M100">
        <f>DR100 - IF(AU100&gt;1, L100*DL100*100.0/(AW100), 0)</f>
        <v>0</v>
      </c>
      <c r="N100">
        <f>((T100-J100/2)*M100-L100)/(T100+J100/2)</f>
        <v>0</v>
      </c>
      <c r="O100">
        <f>N100*(DY100+DZ100)/1000.0</f>
        <v>0</v>
      </c>
      <c r="P100">
        <f>(DR100 - IF(AU100&gt;1, L100*DL100*100.0/(AW100), 0))*(DY100+DZ100)/1000.0</f>
        <v>0</v>
      </c>
      <c r="Q100">
        <f>2.0/((1/S100-1/R100)+SIGN(S100)*SQRT((1/S100-1/R100)*(1/S100-1/R100) + 4*DM100/((DM100+1)*(DM100+1))*(2*1/S100*1/R100-1/R100*1/R100)))</f>
        <v>0</v>
      </c>
      <c r="R100">
        <f>IF(LEFT(DN100,1)&lt;&gt;"0",IF(LEFT(DN100,1)="1",3.0,DO100),$D$5+$E$5*(EF100*DY100/($K$5*1000))+$F$5*(EF100*DY100/($K$5*1000))*MAX(MIN(DL100,$J$5),$I$5)*MAX(MIN(DL100,$J$5),$I$5)+$G$5*MAX(MIN(DL100,$J$5),$I$5)*(EF100*DY100/($K$5*1000))+$H$5*(EF100*DY100/($K$5*1000))*(EF100*DY100/($K$5*1000)))</f>
        <v>0</v>
      </c>
      <c r="S100">
        <f>J100*(1000-(1000*0.61365*exp(17.502*W100/(240.97+W100))/(DY100+DZ100)+DT100)/2)/(1000*0.61365*exp(17.502*W100/(240.97+W100))/(DY100+DZ100)-DT100)</f>
        <v>0</v>
      </c>
      <c r="T100">
        <f>1/((DM100+1)/(Q100/1.6)+1/(R100/1.37)) + DM100/((DM100+1)/(Q100/1.6) + DM100/(R100/1.37))</f>
        <v>0</v>
      </c>
      <c r="U100">
        <f>(DH100*DK100)</f>
        <v>0</v>
      </c>
      <c r="V100">
        <f>(EA100+(U100+2*0.95*5.67E-8*(((EA100+$B$7)+273)^4-(EA100+273)^4)-44100*J100)/(1.84*29.3*R100+8*0.95*5.67E-8*(EA100+273)^3))</f>
        <v>0</v>
      </c>
      <c r="W100">
        <f>($C$7*EB100+$D$7*EC100+$E$7*V100)</f>
        <v>0</v>
      </c>
      <c r="X100">
        <f>0.61365*exp(17.502*W100/(240.97+W100))</f>
        <v>0</v>
      </c>
      <c r="Y100">
        <f>(Z100/AA100*100)</f>
        <v>0</v>
      </c>
      <c r="Z100">
        <f>DT100*(DY100+DZ100)/1000</f>
        <v>0</v>
      </c>
      <c r="AA100">
        <f>0.61365*exp(17.502*EA100/(240.97+EA100))</f>
        <v>0</v>
      </c>
      <c r="AB100">
        <f>(X100-DT100*(DY100+DZ100)/1000)</f>
        <v>0</v>
      </c>
      <c r="AC100">
        <f>(-J100*44100)</f>
        <v>0</v>
      </c>
      <c r="AD100">
        <f>2*29.3*R100*0.92*(EA100-W100)</f>
        <v>0</v>
      </c>
      <c r="AE100">
        <f>2*0.95*5.67E-8*(((EA100+$B$7)+273)^4-(W100+273)^4)</f>
        <v>0</v>
      </c>
      <c r="AF100">
        <f>U100+AE100+AC100+AD100</f>
        <v>0</v>
      </c>
      <c r="AG100">
        <f>DX100*AU100*(DS100-DR100*(1000-AU100*DU100)/(1000-AU100*DT100))/(100*DL100)</f>
        <v>0</v>
      </c>
      <c r="AH100">
        <f>1000*DX100*AU100*(DT100-DU100)/(100*DL100*(1000-AU100*DT100))</f>
        <v>0</v>
      </c>
      <c r="AI100">
        <f>(AJ100 - AK100 - DY100*1E3/(8.314*(EA100+273.15)) * AM100/DX100 * AL100) * DX100/(100*DL100) * (1000 - DU100)/1000</f>
        <v>0</v>
      </c>
      <c r="AJ100">
        <v>1388.28800174791</v>
      </c>
      <c r="AK100">
        <v>1356.474</v>
      </c>
      <c r="AL100">
        <v>3.58570412679853</v>
      </c>
      <c r="AM100">
        <v>64.8413469339502</v>
      </c>
      <c r="AN100">
        <f>(AP100 - AO100 + DY100*1E3/(8.314*(EA100+273.15)) * AR100/DX100 * AQ100) * DX100/(100*DL100) * 1000/(1000 - AP100)</f>
        <v>0</v>
      </c>
      <c r="AO100">
        <v>9.01162766565394</v>
      </c>
      <c r="AP100">
        <v>11.8632684848485</v>
      </c>
      <c r="AQ100">
        <v>7.08554117940916e-06</v>
      </c>
      <c r="AR100">
        <v>118.472689631034</v>
      </c>
      <c r="AS100">
        <v>0</v>
      </c>
      <c r="AT100">
        <v>0</v>
      </c>
      <c r="AU100">
        <f>IF(AS100*$H$13&gt;=AW100,1.0,(AW100/(AW100-AS100*$H$13)))</f>
        <v>0</v>
      </c>
      <c r="AV100">
        <f>(AU100-1)*100</f>
        <v>0</v>
      </c>
      <c r="AW100">
        <f>MAX(0,($B$13+$C$13*EF100)/(1+$D$13*EF100)*DY100/(EA100+273)*$E$13)</f>
        <v>0</v>
      </c>
      <c r="AX100" t="s">
        <v>437</v>
      </c>
      <c r="AY100" t="s">
        <v>437</v>
      </c>
      <c r="AZ100">
        <v>0</v>
      </c>
      <c r="BA100">
        <v>0</v>
      </c>
      <c r="BB100">
        <f>1-AZ100/BA100</f>
        <v>0</v>
      </c>
      <c r="BC100">
        <v>0</v>
      </c>
      <c r="BD100" t="s">
        <v>437</v>
      </c>
      <c r="BE100" t="s">
        <v>437</v>
      </c>
      <c r="BF100">
        <v>0</v>
      </c>
      <c r="BG100">
        <v>0</v>
      </c>
      <c r="BH100">
        <f>1-BF100/BG100</f>
        <v>0</v>
      </c>
      <c r="BI100">
        <v>0.5</v>
      </c>
      <c r="BJ100">
        <f>DI100</f>
        <v>0</v>
      </c>
      <c r="BK100">
        <f>L100</f>
        <v>0</v>
      </c>
      <c r="BL100">
        <f>BH100*BI100*BJ100</f>
        <v>0</v>
      </c>
      <c r="BM100">
        <f>(BK100-BC100)/BJ100</f>
        <v>0</v>
      </c>
      <c r="BN100">
        <f>(BA100-BG100)/BG100</f>
        <v>0</v>
      </c>
      <c r="BO100">
        <f>AZ100/(BB100+AZ100/BG100)</f>
        <v>0</v>
      </c>
      <c r="BP100" t="s">
        <v>437</v>
      </c>
      <c r="BQ100">
        <v>0</v>
      </c>
      <c r="BR100">
        <f>IF(BQ100&lt;&gt;0, BQ100, BO100)</f>
        <v>0</v>
      </c>
      <c r="BS100">
        <f>1-BR100/BG100</f>
        <v>0</v>
      </c>
      <c r="BT100">
        <f>(BG100-BF100)/(BG100-BR100)</f>
        <v>0</v>
      </c>
      <c r="BU100">
        <f>(BA100-BG100)/(BA100-BR100)</f>
        <v>0</v>
      </c>
      <c r="BV100">
        <f>(BG100-BF100)/(BG100-AZ100)</f>
        <v>0</v>
      </c>
      <c r="BW100">
        <f>(BA100-BG100)/(BA100-AZ100)</f>
        <v>0</v>
      </c>
      <c r="BX100">
        <f>(BT100*BR100/BF100)</f>
        <v>0</v>
      </c>
      <c r="BY100">
        <f>(1-BX100)</f>
        <v>0</v>
      </c>
      <c r="DH100">
        <f>$B$11*EG100+$C$11*EH100+$F$11*ES100*(1-EV100)</f>
        <v>0</v>
      </c>
      <c r="DI100">
        <f>DH100*DJ100</f>
        <v>0</v>
      </c>
      <c r="DJ100">
        <f>($B$11*$D$9+$C$11*$D$9+$F$11*((FF100+EX100)/MAX(FF100+EX100+FG100, 0.1)*$I$9+FG100/MAX(FF100+EX100+FG100, 0.1)*$J$9))/($B$11+$C$11+$F$11)</f>
        <v>0</v>
      </c>
      <c r="DK100">
        <f>($B$11*$K$9+$C$11*$K$9+$F$11*((FF100+EX100)/MAX(FF100+EX100+FG100, 0.1)*$P$9+FG100/MAX(FF100+EX100+FG100, 0.1)*$Q$9))/($B$11+$C$11+$F$11)</f>
        <v>0</v>
      </c>
      <c r="DL100">
        <v>6</v>
      </c>
      <c r="DM100">
        <v>0.5</v>
      </c>
      <c r="DN100" t="s">
        <v>438</v>
      </c>
      <c r="DO100">
        <v>2</v>
      </c>
      <c r="DP100" t="b">
        <v>1</v>
      </c>
      <c r="DQ100">
        <v>1760989688.94615</v>
      </c>
      <c r="DR100">
        <v>1316.25384615385</v>
      </c>
      <c r="DS100">
        <v>1358.82384615385</v>
      </c>
      <c r="DT100">
        <v>11.8618769230769</v>
      </c>
      <c r="DU100">
        <v>9.00863538461538</v>
      </c>
      <c r="DV100">
        <v>1310.27153846154</v>
      </c>
      <c r="DW100">
        <v>11.9724230769231</v>
      </c>
      <c r="DX100">
        <v>500.037692307692</v>
      </c>
      <c r="DY100">
        <v>89.8541538461538</v>
      </c>
      <c r="DZ100">
        <v>0.00770692461538461</v>
      </c>
      <c r="EA100">
        <v>18.4942153846154</v>
      </c>
      <c r="EB100">
        <v>18.0181769230769</v>
      </c>
      <c r="EC100">
        <v>999.9</v>
      </c>
      <c r="ED100">
        <v>0</v>
      </c>
      <c r="EE100">
        <v>0</v>
      </c>
      <c r="EF100">
        <v>10008.3138461538</v>
      </c>
      <c r="EG100">
        <v>0</v>
      </c>
      <c r="EH100">
        <v>1270.20846153846</v>
      </c>
      <c r="EI100">
        <v>-42.5706846153846</v>
      </c>
      <c r="EJ100">
        <v>1332.05461538462</v>
      </c>
      <c r="EK100">
        <v>1371.17846153846</v>
      </c>
      <c r="EL100">
        <v>2.85323846153846</v>
      </c>
      <c r="EM100">
        <v>1358.82384615385</v>
      </c>
      <c r="EN100">
        <v>9.00863538461538</v>
      </c>
      <c r="EO100">
        <v>1.06583846153846</v>
      </c>
      <c r="EP100">
        <v>0.809463461538462</v>
      </c>
      <c r="EQ100">
        <v>7.84887769230769</v>
      </c>
      <c r="ER100">
        <v>3.87434923076923</v>
      </c>
      <c r="ES100">
        <v>1200.01153846154</v>
      </c>
      <c r="ET100">
        <v>0.966990846153846</v>
      </c>
      <c r="EU100">
        <v>0.0330092</v>
      </c>
      <c r="EV100">
        <v>0</v>
      </c>
      <c r="EW100">
        <v>1334.93615384615</v>
      </c>
      <c r="EX100">
        <v>5.00059</v>
      </c>
      <c r="EY100">
        <v>15742.0846153846</v>
      </c>
      <c r="EZ100">
        <v>10358.8</v>
      </c>
      <c r="FA100">
        <v>38.4708461538462</v>
      </c>
      <c r="FB100">
        <v>40.5862307692308</v>
      </c>
      <c r="FC100">
        <v>38.9565384615385</v>
      </c>
      <c r="FD100">
        <v>40.3747692307692</v>
      </c>
      <c r="FE100">
        <v>39.3218461538462</v>
      </c>
      <c r="FF100">
        <v>1155.56230769231</v>
      </c>
      <c r="FG100">
        <v>39.4484615384615</v>
      </c>
      <c r="FH100">
        <v>0</v>
      </c>
      <c r="FI100">
        <v>1760989666.3</v>
      </c>
      <c r="FJ100">
        <v>0</v>
      </c>
      <c r="FK100">
        <v>1334.89538461538</v>
      </c>
      <c r="FL100">
        <v>1.06051281051255</v>
      </c>
      <c r="FM100">
        <v>-31.2136751926152</v>
      </c>
      <c r="FN100">
        <v>15741.8923076923</v>
      </c>
      <c r="FO100">
        <v>15</v>
      </c>
      <c r="FP100">
        <v>0</v>
      </c>
      <c r="FQ100" t="s">
        <v>439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-42.463605</v>
      </c>
      <c r="GD100">
        <v>-5.66145112781948</v>
      </c>
      <c r="GE100">
        <v>1.006477855432</v>
      </c>
      <c r="GF100">
        <v>0</v>
      </c>
      <c r="GG100">
        <v>1334.76911764706</v>
      </c>
      <c r="GH100">
        <v>1.58151259776326</v>
      </c>
      <c r="GI100">
        <v>0.232725130055108</v>
      </c>
      <c r="GJ100">
        <v>-1</v>
      </c>
      <c r="GK100">
        <v>2.853486</v>
      </c>
      <c r="GL100">
        <v>-0.00620030075187679</v>
      </c>
      <c r="GM100">
        <v>0.000909150152615033</v>
      </c>
      <c r="GN100">
        <v>1</v>
      </c>
      <c r="GO100">
        <v>1</v>
      </c>
      <c r="GP100">
        <v>2</v>
      </c>
      <c r="GQ100" t="s">
        <v>446</v>
      </c>
      <c r="GR100">
        <v>3.13067</v>
      </c>
      <c r="GS100">
        <v>2.68572</v>
      </c>
      <c r="GT100">
        <v>0.198897</v>
      </c>
      <c r="GU100">
        <v>0.203158</v>
      </c>
      <c r="GV100">
        <v>0.0619034</v>
      </c>
      <c r="GW100">
        <v>0.0498736</v>
      </c>
      <c r="GX100">
        <v>30366.2</v>
      </c>
      <c r="GY100">
        <v>32456.4</v>
      </c>
      <c r="GZ100">
        <v>34267.3</v>
      </c>
      <c r="HA100">
        <v>36849.8</v>
      </c>
      <c r="HB100">
        <v>45354.3</v>
      </c>
      <c r="HC100">
        <v>50218</v>
      </c>
      <c r="HD100">
        <v>53341.4</v>
      </c>
      <c r="HE100">
        <v>58776.7</v>
      </c>
      <c r="HF100">
        <v>2.00898</v>
      </c>
      <c r="HG100">
        <v>1.83867</v>
      </c>
      <c r="HH100">
        <v>0.0335872</v>
      </c>
      <c r="HI100">
        <v>0</v>
      </c>
      <c r="HJ100">
        <v>17.4621</v>
      </c>
      <c r="HK100">
        <v>999.9</v>
      </c>
      <c r="HL100">
        <v>25.882</v>
      </c>
      <c r="HM100">
        <v>30.293</v>
      </c>
      <c r="HN100">
        <v>12.4791</v>
      </c>
      <c r="HO100">
        <v>53.7291</v>
      </c>
      <c r="HP100">
        <v>44.0986</v>
      </c>
      <c r="HQ100">
        <v>1</v>
      </c>
      <c r="HR100">
        <v>-0.269319</v>
      </c>
      <c r="HS100">
        <v>4.09634</v>
      </c>
      <c r="HT100">
        <v>20.0882</v>
      </c>
      <c r="HU100">
        <v>5.20202</v>
      </c>
      <c r="HV100">
        <v>12.004</v>
      </c>
      <c r="HW100">
        <v>4.97545</v>
      </c>
      <c r="HX100">
        <v>3.293</v>
      </c>
      <c r="HY100">
        <v>9999</v>
      </c>
      <c r="HZ100">
        <v>999.9</v>
      </c>
      <c r="IA100">
        <v>9999</v>
      </c>
      <c r="IB100">
        <v>9999</v>
      </c>
      <c r="IC100">
        <v>1.86325</v>
      </c>
      <c r="ID100">
        <v>1.86806</v>
      </c>
      <c r="IE100">
        <v>1.86783</v>
      </c>
      <c r="IF100">
        <v>1.86904</v>
      </c>
      <c r="IG100">
        <v>1.86981</v>
      </c>
      <c r="IH100">
        <v>1.86584</v>
      </c>
      <c r="II100">
        <v>1.86694</v>
      </c>
      <c r="IJ100">
        <v>1.86843</v>
      </c>
      <c r="IK100">
        <v>5</v>
      </c>
      <c r="IL100">
        <v>0</v>
      </c>
      <c r="IM100">
        <v>0</v>
      </c>
      <c r="IN100">
        <v>0</v>
      </c>
      <c r="IO100" t="s">
        <v>441</v>
      </c>
      <c r="IP100" t="s">
        <v>442</v>
      </c>
      <c r="IQ100" t="s">
        <v>443</v>
      </c>
      <c r="IR100" t="s">
        <v>443</v>
      </c>
      <c r="IS100" t="s">
        <v>443</v>
      </c>
      <c r="IT100" t="s">
        <v>443</v>
      </c>
      <c r="IU100">
        <v>0</v>
      </c>
      <c r="IV100">
        <v>100</v>
      </c>
      <c r="IW100">
        <v>100</v>
      </c>
      <c r="IX100">
        <v>6.08</v>
      </c>
      <c r="IY100">
        <v>-0.1106</v>
      </c>
      <c r="IZ100">
        <v>1.12474291219083</v>
      </c>
      <c r="JA100">
        <v>0.00463155566490582</v>
      </c>
      <c r="JB100">
        <v>-1.1358998729424e-06</v>
      </c>
      <c r="JC100">
        <v>3.28704272115545e-10</v>
      </c>
      <c r="JD100">
        <v>-0.0704455108513773</v>
      </c>
      <c r="JE100">
        <v>-0.0251928478371425</v>
      </c>
      <c r="JF100">
        <v>0.00225751704194564</v>
      </c>
      <c r="JG100">
        <v>-3.61734043746866e-05</v>
      </c>
      <c r="JH100">
        <v>1</v>
      </c>
      <c r="JI100">
        <v>2182</v>
      </c>
      <c r="JJ100">
        <v>0</v>
      </c>
      <c r="JK100">
        <v>24</v>
      </c>
      <c r="JL100">
        <v>29349828.3</v>
      </c>
      <c r="JM100">
        <v>29349828.3</v>
      </c>
      <c r="JN100">
        <v>2.64404</v>
      </c>
      <c r="JO100">
        <v>2.60742</v>
      </c>
      <c r="JP100">
        <v>1.54785</v>
      </c>
      <c r="JQ100">
        <v>2.31445</v>
      </c>
      <c r="JR100">
        <v>1.64673</v>
      </c>
      <c r="JS100">
        <v>2.37305</v>
      </c>
      <c r="JT100">
        <v>33.6479</v>
      </c>
      <c r="JU100">
        <v>24.1926</v>
      </c>
      <c r="JV100">
        <v>18</v>
      </c>
      <c r="JW100">
        <v>500.796</v>
      </c>
      <c r="JX100">
        <v>394.952</v>
      </c>
      <c r="JY100">
        <v>12.3258</v>
      </c>
      <c r="JZ100">
        <v>23.9008</v>
      </c>
      <c r="KA100">
        <v>30.0003</v>
      </c>
      <c r="KB100">
        <v>23.921</v>
      </c>
      <c r="KC100">
        <v>23.8912</v>
      </c>
      <c r="KD100">
        <v>53.0352</v>
      </c>
      <c r="KE100">
        <v>8.77818</v>
      </c>
      <c r="KF100">
        <v>23.3636</v>
      </c>
      <c r="KG100">
        <v>12.3024</v>
      </c>
      <c r="KH100">
        <v>1408.7</v>
      </c>
      <c r="KI100">
        <v>9.00774</v>
      </c>
      <c r="KJ100">
        <v>97.0454</v>
      </c>
      <c r="KK100">
        <v>95.3044</v>
      </c>
    </row>
    <row r="101" spans="1:297">
      <c r="A101">
        <v>85</v>
      </c>
      <c r="B101">
        <v>1760989702.1</v>
      </c>
      <c r="C101">
        <v>512</v>
      </c>
      <c r="D101" t="s">
        <v>612</v>
      </c>
      <c r="E101" t="s">
        <v>613</v>
      </c>
      <c r="F101">
        <v>5</v>
      </c>
      <c r="G101" t="s">
        <v>435</v>
      </c>
      <c r="H101" t="s">
        <v>436</v>
      </c>
      <c r="I101">
        <v>1760989693.94615</v>
      </c>
      <c r="J101">
        <f>(K101)/1000</f>
        <v>0</v>
      </c>
      <c r="K101">
        <f>IF(DP101, AN101, AH101)</f>
        <v>0</v>
      </c>
      <c r="L101">
        <f>IF(DP101, AI101, AG101)</f>
        <v>0</v>
      </c>
      <c r="M101">
        <f>DR101 - IF(AU101&gt;1, L101*DL101*100.0/(AW101), 0)</f>
        <v>0</v>
      </c>
      <c r="N101">
        <f>((T101-J101/2)*M101-L101)/(T101+J101/2)</f>
        <v>0</v>
      </c>
      <c r="O101">
        <f>N101*(DY101+DZ101)/1000.0</f>
        <v>0</v>
      </c>
      <c r="P101">
        <f>(DR101 - IF(AU101&gt;1, L101*DL101*100.0/(AW101), 0))*(DY101+DZ101)/1000.0</f>
        <v>0</v>
      </c>
      <c r="Q101">
        <f>2.0/((1/S101-1/R101)+SIGN(S101)*SQRT((1/S101-1/R101)*(1/S101-1/R101) + 4*DM101/((DM101+1)*(DM101+1))*(2*1/S101*1/R101-1/R101*1/R101)))</f>
        <v>0</v>
      </c>
      <c r="R101">
        <f>IF(LEFT(DN101,1)&lt;&gt;"0",IF(LEFT(DN101,1)="1",3.0,DO101),$D$5+$E$5*(EF101*DY101/($K$5*1000))+$F$5*(EF101*DY101/($K$5*1000))*MAX(MIN(DL101,$J$5),$I$5)*MAX(MIN(DL101,$J$5),$I$5)+$G$5*MAX(MIN(DL101,$J$5),$I$5)*(EF101*DY101/($K$5*1000))+$H$5*(EF101*DY101/($K$5*1000))*(EF101*DY101/($K$5*1000)))</f>
        <v>0</v>
      </c>
      <c r="S101">
        <f>J101*(1000-(1000*0.61365*exp(17.502*W101/(240.97+W101))/(DY101+DZ101)+DT101)/2)/(1000*0.61365*exp(17.502*W101/(240.97+W101))/(DY101+DZ101)-DT101)</f>
        <v>0</v>
      </c>
      <c r="T101">
        <f>1/((DM101+1)/(Q101/1.6)+1/(R101/1.37)) + DM101/((DM101+1)/(Q101/1.6) + DM101/(R101/1.37))</f>
        <v>0</v>
      </c>
      <c r="U101">
        <f>(DH101*DK101)</f>
        <v>0</v>
      </c>
      <c r="V101">
        <f>(EA101+(U101+2*0.95*5.67E-8*(((EA101+$B$7)+273)^4-(EA101+273)^4)-44100*J101)/(1.84*29.3*R101+8*0.95*5.67E-8*(EA101+273)^3))</f>
        <v>0</v>
      </c>
      <c r="W101">
        <f>($C$7*EB101+$D$7*EC101+$E$7*V101)</f>
        <v>0</v>
      </c>
      <c r="X101">
        <f>0.61365*exp(17.502*W101/(240.97+W101))</f>
        <v>0</v>
      </c>
      <c r="Y101">
        <f>(Z101/AA101*100)</f>
        <v>0</v>
      </c>
      <c r="Z101">
        <f>DT101*(DY101+DZ101)/1000</f>
        <v>0</v>
      </c>
      <c r="AA101">
        <f>0.61365*exp(17.502*EA101/(240.97+EA101))</f>
        <v>0</v>
      </c>
      <c r="AB101">
        <f>(X101-DT101*(DY101+DZ101)/1000)</f>
        <v>0</v>
      </c>
      <c r="AC101">
        <f>(-J101*44100)</f>
        <v>0</v>
      </c>
      <c r="AD101">
        <f>2*29.3*R101*0.92*(EA101-W101)</f>
        <v>0</v>
      </c>
      <c r="AE101">
        <f>2*0.95*5.67E-8*(((EA101+$B$7)+273)^4-(W101+273)^4)</f>
        <v>0</v>
      </c>
      <c r="AF101">
        <f>U101+AE101+AC101+AD101</f>
        <v>0</v>
      </c>
      <c r="AG101">
        <f>DX101*AU101*(DS101-DR101*(1000-AU101*DU101)/(1000-AU101*DT101))/(100*DL101)</f>
        <v>0</v>
      </c>
      <c r="AH101">
        <f>1000*DX101*AU101*(DT101-DU101)/(100*DL101*(1000-AU101*DT101))</f>
        <v>0</v>
      </c>
      <c r="AI101">
        <f>(AJ101 - AK101 - DY101*1E3/(8.314*(EA101+273.15)) * AM101/DX101 * AL101) * DX101/(100*DL101) * (1000 - DU101)/1000</f>
        <v>0</v>
      </c>
      <c r="AJ101">
        <v>1404.08261141102</v>
      </c>
      <c r="AK101">
        <v>1372.97915151515</v>
      </c>
      <c r="AL101">
        <v>3.27163900828033</v>
      </c>
      <c r="AM101">
        <v>64.8413469339502</v>
      </c>
      <c r="AN101">
        <f>(AP101 - AO101 + DY101*1E3/(8.314*(EA101+273.15)) * AR101/DX101 * AQ101) * DX101/(100*DL101) * 1000/(1000 - AP101)</f>
        <v>0</v>
      </c>
      <c r="AO101">
        <v>9.01288028817415</v>
      </c>
      <c r="AP101">
        <v>11.8615709090909</v>
      </c>
      <c r="AQ101">
        <v>-1.19693904276164e-05</v>
      </c>
      <c r="AR101">
        <v>118.472689631034</v>
      </c>
      <c r="AS101">
        <v>0</v>
      </c>
      <c r="AT101">
        <v>0</v>
      </c>
      <c r="AU101">
        <f>IF(AS101*$H$13&gt;=AW101,1.0,(AW101/(AW101-AS101*$H$13)))</f>
        <v>0</v>
      </c>
      <c r="AV101">
        <f>(AU101-1)*100</f>
        <v>0</v>
      </c>
      <c r="AW101">
        <f>MAX(0,($B$13+$C$13*EF101)/(1+$D$13*EF101)*DY101/(EA101+273)*$E$13)</f>
        <v>0</v>
      </c>
      <c r="AX101" t="s">
        <v>437</v>
      </c>
      <c r="AY101" t="s">
        <v>437</v>
      </c>
      <c r="AZ101">
        <v>0</v>
      </c>
      <c r="BA101">
        <v>0</v>
      </c>
      <c r="BB101">
        <f>1-AZ101/BA101</f>
        <v>0</v>
      </c>
      <c r="BC101">
        <v>0</v>
      </c>
      <c r="BD101" t="s">
        <v>437</v>
      </c>
      <c r="BE101" t="s">
        <v>437</v>
      </c>
      <c r="BF101">
        <v>0</v>
      </c>
      <c r="BG101">
        <v>0</v>
      </c>
      <c r="BH101">
        <f>1-BF101/BG101</f>
        <v>0</v>
      </c>
      <c r="BI101">
        <v>0.5</v>
      </c>
      <c r="BJ101">
        <f>DI101</f>
        <v>0</v>
      </c>
      <c r="BK101">
        <f>L101</f>
        <v>0</v>
      </c>
      <c r="BL101">
        <f>BH101*BI101*BJ101</f>
        <v>0</v>
      </c>
      <c r="BM101">
        <f>(BK101-BC101)/BJ101</f>
        <v>0</v>
      </c>
      <c r="BN101">
        <f>(BA101-BG101)/BG101</f>
        <v>0</v>
      </c>
      <c r="BO101">
        <f>AZ101/(BB101+AZ101/BG101)</f>
        <v>0</v>
      </c>
      <c r="BP101" t="s">
        <v>437</v>
      </c>
      <c r="BQ101">
        <v>0</v>
      </c>
      <c r="BR101">
        <f>IF(BQ101&lt;&gt;0, BQ101, BO101)</f>
        <v>0</v>
      </c>
      <c r="BS101">
        <f>1-BR101/BG101</f>
        <v>0</v>
      </c>
      <c r="BT101">
        <f>(BG101-BF101)/(BG101-BR101)</f>
        <v>0</v>
      </c>
      <c r="BU101">
        <f>(BA101-BG101)/(BA101-BR101)</f>
        <v>0</v>
      </c>
      <c r="BV101">
        <f>(BG101-BF101)/(BG101-AZ101)</f>
        <v>0</v>
      </c>
      <c r="BW101">
        <f>(BA101-BG101)/(BA101-AZ101)</f>
        <v>0</v>
      </c>
      <c r="BX101">
        <f>(BT101*BR101/BF101)</f>
        <v>0</v>
      </c>
      <c r="BY101">
        <f>(1-BX101)</f>
        <v>0</v>
      </c>
      <c r="DH101">
        <f>$B$11*EG101+$C$11*EH101+$F$11*ES101*(1-EV101)</f>
        <v>0</v>
      </c>
      <c r="DI101">
        <f>DH101*DJ101</f>
        <v>0</v>
      </c>
      <c r="DJ101">
        <f>($B$11*$D$9+$C$11*$D$9+$F$11*((FF101+EX101)/MAX(FF101+EX101+FG101, 0.1)*$I$9+FG101/MAX(FF101+EX101+FG101, 0.1)*$J$9))/($B$11+$C$11+$F$11)</f>
        <v>0</v>
      </c>
      <c r="DK101">
        <f>($B$11*$K$9+$C$11*$K$9+$F$11*((FF101+EX101)/MAX(FF101+EX101+FG101, 0.1)*$P$9+FG101/MAX(FF101+EX101+FG101, 0.1)*$Q$9))/($B$11+$C$11+$F$11)</f>
        <v>0</v>
      </c>
      <c r="DL101">
        <v>6</v>
      </c>
      <c r="DM101">
        <v>0.5</v>
      </c>
      <c r="DN101" t="s">
        <v>438</v>
      </c>
      <c r="DO101">
        <v>2</v>
      </c>
      <c r="DP101" t="b">
        <v>1</v>
      </c>
      <c r="DQ101">
        <v>1760989693.94615</v>
      </c>
      <c r="DR101">
        <v>1332.79846153846</v>
      </c>
      <c r="DS101">
        <v>1375.65923076923</v>
      </c>
      <c r="DT101">
        <v>11.8622615384615</v>
      </c>
      <c r="DU101">
        <v>9.01057307692308</v>
      </c>
      <c r="DV101">
        <v>1326.76153846154</v>
      </c>
      <c r="DW101">
        <v>11.9728153846154</v>
      </c>
      <c r="DX101">
        <v>500.002076923077</v>
      </c>
      <c r="DY101">
        <v>89.8545</v>
      </c>
      <c r="DZ101">
        <v>0.00776743461538462</v>
      </c>
      <c r="EA101">
        <v>18.4934076923077</v>
      </c>
      <c r="EB101">
        <v>18.0210153846154</v>
      </c>
      <c r="EC101">
        <v>999.9</v>
      </c>
      <c r="ED101">
        <v>0</v>
      </c>
      <c r="EE101">
        <v>0</v>
      </c>
      <c r="EF101">
        <v>10002.2038461538</v>
      </c>
      <c r="EG101">
        <v>0</v>
      </c>
      <c r="EH101">
        <v>1270.20923076923</v>
      </c>
      <c r="EI101">
        <v>-42.8616769230769</v>
      </c>
      <c r="EJ101">
        <v>1348.79923076923</v>
      </c>
      <c r="EK101">
        <v>1388.17</v>
      </c>
      <c r="EL101">
        <v>2.85169692307692</v>
      </c>
      <c r="EM101">
        <v>1375.65923076923</v>
      </c>
      <c r="EN101">
        <v>9.01057307692308</v>
      </c>
      <c r="EO101">
        <v>1.06587769230769</v>
      </c>
      <c r="EP101">
        <v>0.809640384615385</v>
      </c>
      <c r="EQ101">
        <v>7.84942076923077</v>
      </c>
      <c r="ER101">
        <v>3.87745769230769</v>
      </c>
      <c r="ES101">
        <v>1200.03538461538</v>
      </c>
      <c r="ET101">
        <v>0.966990230769231</v>
      </c>
      <c r="EU101">
        <v>0.0330098769230769</v>
      </c>
      <c r="EV101">
        <v>0</v>
      </c>
      <c r="EW101">
        <v>1335.00076923077</v>
      </c>
      <c r="EX101">
        <v>5.00059</v>
      </c>
      <c r="EY101">
        <v>15740.3307692308</v>
      </c>
      <c r="EZ101">
        <v>10359</v>
      </c>
      <c r="FA101">
        <v>38.3939230769231</v>
      </c>
      <c r="FB101">
        <v>40.4612307692308</v>
      </c>
      <c r="FC101">
        <v>38.8843846153846</v>
      </c>
      <c r="FD101">
        <v>40.1968461538462</v>
      </c>
      <c r="FE101">
        <v>39.2401538461538</v>
      </c>
      <c r="FF101">
        <v>1155.58538461538</v>
      </c>
      <c r="FG101">
        <v>39.45</v>
      </c>
      <c r="FH101">
        <v>0</v>
      </c>
      <c r="FI101">
        <v>1760989671.1</v>
      </c>
      <c r="FJ101">
        <v>0</v>
      </c>
      <c r="FK101">
        <v>1334.95538461538</v>
      </c>
      <c r="FL101">
        <v>0.873162386046634</v>
      </c>
      <c r="FM101">
        <v>-18.1675213465765</v>
      </c>
      <c r="FN101">
        <v>15739.7307692308</v>
      </c>
      <c r="FO101">
        <v>15</v>
      </c>
      <c r="FP101">
        <v>0</v>
      </c>
      <c r="FQ101" t="s">
        <v>439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-42.598055</v>
      </c>
      <c r="GD101">
        <v>-5.77566766917289</v>
      </c>
      <c r="GE101">
        <v>1.00446908089548</v>
      </c>
      <c r="GF101">
        <v>0</v>
      </c>
      <c r="GG101">
        <v>1334.90647058824</v>
      </c>
      <c r="GH101">
        <v>0.880061111587889</v>
      </c>
      <c r="GI101">
        <v>0.174960203087329</v>
      </c>
      <c r="GJ101">
        <v>-1</v>
      </c>
      <c r="GK101">
        <v>2.852286</v>
      </c>
      <c r="GL101">
        <v>-0.0183031578947401</v>
      </c>
      <c r="GM101">
        <v>0.00184977404025463</v>
      </c>
      <c r="GN101">
        <v>1</v>
      </c>
      <c r="GO101">
        <v>1</v>
      </c>
      <c r="GP101">
        <v>2</v>
      </c>
      <c r="GQ101" t="s">
        <v>446</v>
      </c>
      <c r="GR101">
        <v>3.13064</v>
      </c>
      <c r="GS101">
        <v>2.68591</v>
      </c>
      <c r="GT101">
        <v>0.200383</v>
      </c>
      <c r="GU101">
        <v>0.204708</v>
      </c>
      <c r="GV101">
        <v>0.0618979</v>
      </c>
      <c r="GW101">
        <v>0.0498773</v>
      </c>
      <c r="GX101">
        <v>30309.8</v>
      </c>
      <c r="GY101">
        <v>32393.7</v>
      </c>
      <c r="GZ101">
        <v>34267.1</v>
      </c>
      <c r="HA101">
        <v>36850.2</v>
      </c>
      <c r="HB101">
        <v>45354.7</v>
      </c>
      <c r="HC101">
        <v>50218.3</v>
      </c>
      <c r="HD101">
        <v>53341.4</v>
      </c>
      <c r="HE101">
        <v>58777.1</v>
      </c>
      <c r="HF101">
        <v>2.0092</v>
      </c>
      <c r="HG101">
        <v>1.83878</v>
      </c>
      <c r="HH101">
        <v>0.0332594</v>
      </c>
      <c r="HI101">
        <v>0</v>
      </c>
      <c r="HJ101">
        <v>17.4621</v>
      </c>
      <c r="HK101">
        <v>999.9</v>
      </c>
      <c r="HL101">
        <v>25.931</v>
      </c>
      <c r="HM101">
        <v>30.313</v>
      </c>
      <c r="HN101">
        <v>12.5184</v>
      </c>
      <c r="HO101">
        <v>54.7591</v>
      </c>
      <c r="HP101">
        <v>44.1987</v>
      </c>
      <c r="HQ101">
        <v>1</v>
      </c>
      <c r="HR101">
        <v>-0.269253</v>
      </c>
      <c r="HS101">
        <v>4.10873</v>
      </c>
      <c r="HT101">
        <v>20.0879</v>
      </c>
      <c r="HU101">
        <v>5.20351</v>
      </c>
      <c r="HV101">
        <v>12.004</v>
      </c>
      <c r="HW101">
        <v>4.9755</v>
      </c>
      <c r="HX101">
        <v>3.293</v>
      </c>
      <c r="HY101">
        <v>9999</v>
      </c>
      <c r="HZ101">
        <v>999.9</v>
      </c>
      <c r="IA101">
        <v>9999</v>
      </c>
      <c r="IB101">
        <v>9999</v>
      </c>
      <c r="IC101">
        <v>1.86325</v>
      </c>
      <c r="ID101">
        <v>1.86805</v>
      </c>
      <c r="IE101">
        <v>1.86783</v>
      </c>
      <c r="IF101">
        <v>1.86905</v>
      </c>
      <c r="IG101">
        <v>1.86981</v>
      </c>
      <c r="IH101">
        <v>1.86585</v>
      </c>
      <c r="II101">
        <v>1.86694</v>
      </c>
      <c r="IJ101">
        <v>1.86843</v>
      </c>
      <c r="IK101">
        <v>5</v>
      </c>
      <c r="IL101">
        <v>0</v>
      </c>
      <c r="IM101">
        <v>0</v>
      </c>
      <c r="IN101">
        <v>0</v>
      </c>
      <c r="IO101" t="s">
        <v>441</v>
      </c>
      <c r="IP101" t="s">
        <v>442</v>
      </c>
      <c r="IQ101" t="s">
        <v>443</v>
      </c>
      <c r="IR101" t="s">
        <v>443</v>
      </c>
      <c r="IS101" t="s">
        <v>443</v>
      </c>
      <c r="IT101" t="s">
        <v>443</v>
      </c>
      <c r="IU101">
        <v>0</v>
      </c>
      <c r="IV101">
        <v>100</v>
      </c>
      <c r="IW101">
        <v>100</v>
      </c>
      <c r="IX101">
        <v>6.13</v>
      </c>
      <c r="IY101">
        <v>-0.1105</v>
      </c>
      <c r="IZ101">
        <v>1.12474291219083</v>
      </c>
      <c r="JA101">
        <v>0.00463155566490582</v>
      </c>
      <c r="JB101">
        <v>-1.1358998729424e-06</v>
      </c>
      <c r="JC101">
        <v>3.28704272115545e-10</v>
      </c>
      <c r="JD101">
        <v>-0.0704455108513773</v>
      </c>
      <c r="JE101">
        <v>-0.0251928478371425</v>
      </c>
      <c r="JF101">
        <v>0.00225751704194564</v>
      </c>
      <c r="JG101">
        <v>-3.61734043746866e-05</v>
      </c>
      <c r="JH101">
        <v>1</v>
      </c>
      <c r="JI101">
        <v>2182</v>
      </c>
      <c r="JJ101">
        <v>0</v>
      </c>
      <c r="JK101">
        <v>24</v>
      </c>
      <c r="JL101">
        <v>29349828.4</v>
      </c>
      <c r="JM101">
        <v>29349828.4</v>
      </c>
      <c r="JN101">
        <v>2.67456</v>
      </c>
      <c r="JO101">
        <v>2.60742</v>
      </c>
      <c r="JP101">
        <v>1.54785</v>
      </c>
      <c r="JQ101">
        <v>2.31445</v>
      </c>
      <c r="JR101">
        <v>1.64673</v>
      </c>
      <c r="JS101">
        <v>2.35718</v>
      </c>
      <c r="JT101">
        <v>33.6479</v>
      </c>
      <c r="JU101">
        <v>24.1838</v>
      </c>
      <c r="JV101">
        <v>18</v>
      </c>
      <c r="JW101">
        <v>500.94</v>
      </c>
      <c r="JX101">
        <v>395.004</v>
      </c>
      <c r="JY101">
        <v>12.304</v>
      </c>
      <c r="JZ101">
        <v>23.9008</v>
      </c>
      <c r="KA101">
        <v>30.0002</v>
      </c>
      <c r="KB101">
        <v>23.921</v>
      </c>
      <c r="KC101">
        <v>23.8912</v>
      </c>
      <c r="KD101">
        <v>53.5527</v>
      </c>
      <c r="KE101">
        <v>8.77818</v>
      </c>
      <c r="KF101">
        <v>23.3636</v>
      </c>
      <c r="KG101">
        <v>12.2819</v>
      </c>
      <c r="KH101">
        <v>1422.2</v>
      </c>
      <c r="KI101">
        <v>9.00774</v>
      </c>
      <c r="KJ101">
        <v>97.0452</v>
      </c>
      <c r="KK101">
        <v>95.3051</v>
      </c>
    </row>
    <row r="102" spans="1:297">
      <c r="A102">
        <v>86</v>
      </c>
      <c r="B102">
        <v>1760989707.1</v>
      </c>
      <c r="C102">
        <v>517</v>
      </c>
      <c r="D102" t="s">
        <v>614</v>
      </c>
      <c r="E102" t="s">
        <v>615</v>
      </c>
      <c r="F102">
        <v>5</v>
      </c>
      <c r="G102" t="s">
        <v>435</v>
      </c>
      <c r="H102" t="s">
        <v>436</v>
      </c>
      <c r="I102">
        <v>1760989698.94615</v>
      </c>
      <c r="J102">
        <f>(K102)/1000</f>
        <v>0</v>
      </c>
      <c r="K102">
        <f>IF(DP102, AN102, AH102)</f>
        <v>0</v>
      </c>
      <c r="L102">
        <f>IF(DP102, AI102, AG102)</f>
        <v>0</v>
      </c>
      <c r="M102">
        <f>DR102 - IF(AU102&gt;1, L102*DL102*100.0/(AW102), 0)</f>
        <v>0</v>
      </c>
      <c r="N102">
        <f>((T102-J102/2)*M102-L102)/(T102+J102/2)</f>
        <v>0</v>
      </c>
      <c r="O102">
        <f>N102*(DY102+DZ102)/1000.0</f>
        <v>0</v>
      </c>
      <c r="P102">
        <f>(DR102 - IF(AU102&gt;1, L102*DL102*100.0/(AW102), 0))*(DY102+DZ102)/1000.0</f>
        <v>0</v>
      </c>
      <c r="Q102">
        <f>2.0/((1/S102-1/R102)+SIGN(S102)*SQRT((1/S102-1/R102)*(1/S102-1/R102) + 4*DM102/((DM102+1)*(DM102+1))*(2*1/S102*1/R102-1/R102*1/R102)))</f>
        <v>0</v>
      </c>
      <c r="R102">
        <f>IF(LEFT(DN102,1)&lt;&gt;"0",IF(LEFT(DN102,1)="1",3.0,DO102),$D$5+$E$5*(EF102*DY102/($K$5*1000))+$F$5*(EF102*DY102/($K$5*1000))*MAX(MIN(DL102,$J$5),$I$5)*MAX(MIN(DL102,$J$5),$I$5)+$G$5*MAX(MIN(DL102,$J$5),$I$5)*(EF102*DY102/($K$5*1000))+$H$5*(EF102*DY102/($K$5*1000))*(EF102*DY102/($K$5*1000)))</f>
        <v>0</v>
      </c>
      <c r="S102">
        <f>J102*(1000-(1000*0.61365*exp(17.502*W102/(240.97+W102))/(DY102+DZ102)+DT102)/2)/(1000*0.61365*exp(17.502*W102/(240.97+W102))/(DY102+DZ102)-DT102)</f>
        <v>0</v>
      </c>
      <c r="T102">
        <f>1/((DM102+1)/(Q102/1.6)+1/(R102/1.37)) + DM102/((DM102+1)/(Q102/1.6) + DM102/(R102/1.37))</f>
        <v>0</v>
      </c>
      <c r="U102">
        <f>(DH102*DK102)</f>
        <v>0</v>
      </c>
      <c r="V102">
        <f>(EA102+(U102+2*0.95*5.67E-8*(((EA102+$B$7)+273)^4-(EA102+273)^4)-44100*J102)/(1.84*29.3*R102+8*0.95*5.67E-8*(EA102+273)^3))</f>
        <v>0</v>
      </c>
      <c r="W102">
        <f>($C$7*EB102+$D$7*EC102+$E$7*V102)</f>
        <v>0</v>
      </c>
      <c r="X102">
        <f>0.61365*exp(17.502*W102/(240.97+W102))</f>
        <v>0</v>
      </c>
      <c r="Y102">
        <f>(Z102/AA102*100)</f>
        <v>0</v>
      </c>
      <c r="Z102">
        <f>DT102*(DY102+DZ102)/1000</f>
        <v>0</v>
      </c>
      <c r="AA102">
        <f>0.61365*exp(17.502*EA102/(240.97+EA102))</f>
        <v>0</v>
      </c>
      <c r="AB102">
        <f>(X102-DT102*(DY102+DZ102)/1000)</f>
        <v>0</v>
      </c>
      <c r="AC102">
        <f>(-J102*44100)</f>
        <v>0</v>
      </c>
      <c r="AD102">
        <f>2*29.3*R102*0.92*(EA102-W102)</f>
        <v>0</v>
      </c>
      <c r="AE102">
        <f>2*0.95*5.67E-8*(((EA102+$B$7)+273)^4-(W102+273)^4)</f>
        <v>0</v>
      </c>
      <c r="AF102">
        <f>U102+AE102+AC102+AD102</f>
        <v>0</v>
      </c>
      <c r="AG102">
        <f>DX102*AU102*(DS102-DR102*(1000-AU102*DU102)/(1000-AU102*DT102))/(100*DL102)</f>
        <v>0</v>
      </c>
      <c r="AH102">
        <f>1000*DX102*AU102*(DT102-DU102)/(100*DL102*(1000-AU102*DT102))</f>
        <v>0</v>
      </c>
      <c r="AI102">
        <f>(AJ102 - AK102 - DY102*1E3/(8.314*(EA102+273.15)) * AM102/DX102 * AL102) * DX102/(100*DL102) * (1000 - DU102)/1000</f>
        <v>0</v>
      </c>
      <c r="AJ102">
        <v>1422.01924408189</v>
      </c>
      <c r="AK102">
        <v>1390.41448484849</v>
      </c>
      <c r="AL102">
        <v>3.50057731521558</v>
      </c>
      <c r="AM102">
        <v>64.8413469339502</v>
      </c>
      <c r="AN102">
        <f>(AP102 - AO102 + DY102*1E3/(8.314*(EA102+273.15)) * AR102/DX102 * AQ102) * DX102/(100*DL102) * 1000/(1000 - AP102)</f>
        <v>0</v>
      </c>
      <c r="AO102">
        <v>9.01592547010939</v>
      </c>
      <c r="AP102">
        <v>11.8650472727273</v>
      </c>
      <c r="AQ102">
        <v>2.21170604049499e-05</v>
      </c>
      <c r="AR102">
        <v>118.472689631034</v>
      </c>
      <c r="AS102">
        <v>0</v>
      </c>
      <c r="AT102">
        <v>0</v>
      </c>
      <c r="AU102">
        <f>IF(AS102*$H$13&gt;=AW102,1.0,(AW102/(AW102-AS102*$H$13)))</f>
        <v>0</v>
      </c>
      <c r="AV102">
        <f>(AU102-1)*100</f>
        <v>0</v>
      </c>
      <c r="AW102">
        <f>MAX(0,($B$13+$C$13*EF102)/(1+$D$13*EF102)*DY102/(EA102+273)*$E$13)</f>
        <v>0</v>
      </c>
      <c r="AX102" t="s">
        <v>437</v>
      </c>
      <c r="AY102" t="s">
        <v>437</v>
      </c>
      <c r="AZ102">
        <v>0</v>
      </c>
      <c r="BA102">
        <v>0</v>
      </c>
      <c r="BB102">
        <f>1-AZ102/BA102</f>
        <v>0</v>
      </c>
      <c r="BC102">
        <v>0</v>
      </c>
      <c r="BD102" t="s">
        <v>437</v>
      </c>
      <c r="BE102" t="s">
        <v>437</v>
      </c>
      <c r="BF102">
        <v>0</v>
      </c>
      <c r="BG102">
        <v>0</v>
      </c>
      <c r="BH102">
        <f>1-BF102/BG102</f>
        <v>0</v>
      </c>
      <c r="BI102">
        <v>0.5</v>
      </c>
      <c r="BJ102">
        <f>DI102</f>
        <v>0</v>
      </c>
      <c r="BK102">
        <f>L102</f>
        <v>0</v>
      </c>
      <c r="BL102">
        <f>BH102*BI102*BJ102</f>
        <v>0</v>
      </c>
      <c r="BM102">
        <f>(BK102-BC102)/BJ102</f>
        <v>0</v>
      </c>
      <c r="BN102">
        <f>(BA102-BG102)/BG102</f>
        <v>0</v>
      </c>
      <c r="BO102">
        <f>AZ102/(BB102+AZ102/BG102)</f>
        <v>0</v>
      </c>
      <c r="BP102" t="s">
        <v>437</v>
      </c>
      <c r="BQ102">
        <v>0</v>
      </c>
      <c r="BR102">
        <f>IF(BQ102&lt;&gt;0, BQ102, BO102)</f>
        <v>0</v>
      </c>
      <c r="BS102">
        <f>1-BR102/BG102</f>
        <v>0</v>
      </c>
      <c r="BT102">
        <f>(BG102-BF102)/(BG102-BR102)</f>
        <v>0</v>
      </c>
      <c r="BU102">
        <f>(BA102-BG102)/(BA102-BR102)</f>
        <v>0</v>
      </c>
      <c r="BV102">
        <f>(BG102-BF102)/(BG102-AZ102)</f>
        <v>0</v>
      </c>
      <c r="BW102">
        <f>(BA102-BG102)/(BA102-AZ102)</f>
        <v>0</v>
      </c>
      <c r="BX102">
        <f>(BT102*BR102/BF102)</f>
        <v>0</v>
      </c>
      <c r="BY102">
        <f>(1-BX102)</f>
        <v>0</v>
      </c>
      <c r="DH102">
        <f>$B$11*EG102+$C$11*EH102+$F$11*ES102*(1-EV102)</f>
        <v>0</v>
      </c>
      <c r="DI102">
        <f>DH102*DJ102</f>
        <v>0</v>
      </c>
      <c r="DJ102">
        <f>($B$11*$D$9+$C$11*$D$9+$F$11*((FF102+EX102)/MAX(FF102+EX102+FG102, 0.1)*$I$9+FG102/MAX(FF102+EX102+FG102, 0.1)*$J$9))/($B$11+$C$11+$F$11)</f>
        <v>0</v>
      </c>
      <c r="DK102">
        <f>($B$11*$K$9+$C$11*$K$9+$F$11*((FF102+EX102)/MAX(FF102+EX102+FG102, 0.1)*$P$9+FG102/MAX(FF102+EX102+FG102, 0.1)*$Q$9))/($B$11+$C$11+$F$11)</f>
        <v>0</v>
      </c>
      <c r="DL102">
        <v>6</v>
      </c>
      <c r="DM102">
        <v>0.5</v>
      </c>
      <c r="DN102" t="s">
        <v>438</v>
      </c>
      <c r="DO102">
        <v>2</v>
      </c>
      <c r="DP102" t="b">
        <v>1</v>
      </c>
      <c r="DQ102">
        <v>1760989698.94615</v>
      </c>
      <c r="DR102">
        <v>1349.64076923077</v>
      </c>
      <c r="DS102">
        <v>1393.08692307692</v>
      </c>
      <c r="DT102">
        <v>11.8628615384615</v>
      </c>
      <c r="DU102">
        <v>9.01289461538462</v>
      </c>
      <c r="DV102">
        <v>1343.54615384615</v>
      </c>
      <c r="DW102">
        <v>11.9734153846154</v>
      </c>
      <c r="DX102">
        <v>499.977769230769</v>
      </c>
      <c r="DY102">
        <v>89.8540538461539</v>
      </c>
      <c r="DZ102">
        <v>0.00791892923076923</v>
      </c>
      <c r="EA102">
        <v>18.4943615384615</v>
      </c>
      <c r="EB102">
        <v>18.0203923076923</v>
      </c>
      <c r="EC102">
        <v>999.9</v>
      </c>
      <c r="ED102">
        <v>0</v>
      </c>
      <c r="EE102">
        <v>0</v>
      </c>
      <c r="EF102">
        <v>9993.70230769231</v>
      </c>
      <c r="EG102">
        <v>0</v>
      </c>
      <c r="EH102">
        <v>1270.19153846154</v>
      </c>
      <c r="EI102">
        <v>-43.4484</v>
      </c>
      <c r="EJ102">
        <v>1365.84307692308</v>
      </c>
      <c r="EK102">
        <v>1405.76076923077</v>
      </c>
      <c r="EL102">
        <v>2.84998230769231</v>
      </c>
      <c r="EM102">
        <v>1393.08692307692</v>
      </c>
      <c r="EN102">
        <v>9.01289461538462</v>
      </c>
      <c r="EO102">
        <v>1.06592769230769</v>
      </c>
      <c r="EP102">
        <v>0.809844923076923</v>
      </c>
      <c r="EQ102">
        <v>7.85009846153846</v>
      </c>
      <c r="ER102">
        <v>3.88104692307692</v>
      </c>
      <c r="ES102">
        <v>1200.02384615385</v>
      </c>
      <c r="ET102">
        <v>0.966994538461538</v>
      </c>
      <c r="EU102">
        <v>0.0330056384615385</v>
      </c>
      <c r="EV102">
        <v>0</v>
      </c>
      <c r="EW102">
        <v>1335.04846153846</v>
      </c>
      <c r="EX102">
        <v>5.00059</v>
      </c>
      <c r="EY102">
        <v>15738.1384615385</v>
      </c>
      <c r="EZ102">
        <v>10358.9153846154</v>
      </c>
      <c r="FA102">
        <v>38.3266923076923</v>
      </c>
      <c r="FB102">
        <v>40.3314615384615</v>
      </c>
      <c r="FC102">
        <v>38.8123076923077</v>
      </c>
      <c r="FD102">
        <v>40.0238461538462</v>
      </c>
      <c r="FE102">
        <v>39.1632307692308</v>
      </c>
      <c r="FF102">
        <v>1155.58076923077</v>
      </c>
      <c r="FG102">
        <v>39.4430769230769</v>
      </c>
      <c r="FH102">
        <v>0</v>
      </c>
      <c r="FI102">
        <v>1760989676.5</v>
      </c>
      <c r="FJ102">
        <v>0</v>
      </c>
      <c r="FK102">
        <v>1335.1</v>
      </c>
      <c r="FL102">
        <v>1.6684615377586</v>
      </c>
      <c r="FM102">
        <v>-23.692307629726</v>
      </c>
      <c r="FN102">
        <v>15737.624</v>
      </c>
      <c r="FO102">
        <v>15</v>
      </c>
      <c r="FP102">
        <v>0</v>
      </c>
      <c r="FQ102" t="s">
        <v>439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-43.0677714285714</v>
      </c>
      <c r="GD102">
        <v>-4.99169610389611</v>
      </c>
      <c r="GE102">
        <v>0.955885389196274</v>
      </c>
      <c r="GF102">
        <v>0</v>
      </c>
      <c r="GG102">
        <v>1335.01617647059</v>
      </c>
      <c r="GH102">
        <v>1.17478991388317</v>
      </c>
      <c r="GI102">
        <v>0.212312404473742</v>
      </c>
      <c r="GJ102">
        <v>-1</v>
      </c>
      <c r="GK102">
        <v>2.85091285714286</v>
      </c>
      <c r="GL102">
        <v>-0.0204405194805116</v>
      </c>
      <c r="GM102">
        <v>0.00212130495070311</v>
      </c>
      <c r="GN102">
        <v>1</v>
      </c>
      <c r="GO102">
        <v>1</v>
      </c>
      <c r="GP102">
        <v>2</v>
      </c>
      <c r="GQ102" t="s">
        <v>446</v>
      </c>
      <c r="GR102">
        <v>3.13058</v>
      </c>
      <c r="GS102">
        <v>2.68614</v>
      </c>
      <c r="GT102">
        <v>0.201937</v>
      </c>
      <c r="GU102">
        <v>0.206171</v>
      </c>
      <c r="GV102">
        <v>0.0619053</v>
      </c>
      <c r="GW102">
        <v>0.0498931</v>
      </c>
      <c r="GX102">
        <v>30251</v>
      </c>
      <c r="GY102">
        <v>32334.2</v>
      </c>
      <c r="GZ102">
        <v>34267.1</v>
      </c>
      <c r="HA102">
        <v>36850.2</v>
      </c>
      <c r="HB102">
        <v>45354.7</v>
      </c>
      <c r="HC102">
        <v>50217.8</v>
      </c>
      <c r="HD102">
        <v>53341.6</v>
      </c>
      <c r="HE102">
        <v>58777.4</v>
      </c>
      <c r="HF102">
        <v>2.009</v>
      </c>
      <c r="HG102">
        <v>1.83885</v>
      </c>
      <c r="HH102">
        <v>0.0333637</v>
      </c>
      <c r="HI102">
        <v>0</v>
      </c>
      <c r="HJ102">
        <v>17.4621</v>
      </c>
      <c r="HK102">
        <v>999.9</v>
      </c>
      <c r="HL102">
        <v>25.882</v>
      </c>
      <c r="HM102">
        <v>30.293</v>
      </c>
      <c r="HN102">
        <v>12.4799</v>
      </c>
      <c r="HO102">
        <v>54.5891</v>
      </c>
      <c r="HP102">
        <v>44.2909</v>
      </c>
      <c r="HQ102">
        <v>1</v>
      </c>
      <c r="HR102">
        <v>-0.269129</v>
      </c>
      <c r="HS102">
        <v>4.12575</v>
      </c>
      <c r="HT102">
        <v>20.0876</v>
      </c>
      <c r="HU102">
        <v>5.20157</v>
      </c>
      <c r="HV102">
        <v>12.004</v>
      </c>
      <c r="HW102">
        <v>4.9754</v>
      </c>
      <c r="HX102">
        <v>3.29288</v>
      </c>
      <c r="HY102">
        <v>9999</v>
      </c>
      <c r="HZ102">
        <v>999.9</v>
      </c>
      <c r="IA102">
        <v>9999</v>
      </c>
      <c r="IB102">
        <v>9999</v>
      </c>
      <c r="IC102">
        <v>1.86325</v>
      </c>
      <c r="ID102">
        <v>1.86806</v>
      </c>
      <c r="IE102">
        <v>1.86783</v>
      </c>
      <c r="IF102">
        <v>1.86905</v>
      </c>
      <c r="IG102">
        <v>1.86981</v>
      </c>
      <c r="IH102">
        <v>1.86584</v>
      </c>
      <c r="II102">
        <v>1.86696</v>
      </c>
      <c r="IJ102">
        <v>1.86843</v>
      </c>
      <c r="IK102">
        <v>5</v>
      </c>
      <c r="IL102">
        <v>0</v>
      </c>
      <c r="IM102">
        <v>0</v>
      </c>
      <c r="IN102">
        <v>0</v>
      </c>
      <c r="IO102" t="s">
        <v>441</v>
      </c>
      <c r="IP102" t="s">
        <v>442</v>
      </c>
      <c r="IQ102" t="s">
        <v>443</v>
      </c>
      <c r="IR102" t="s">
        <v>443</v>
      </c>
      <c r="IS102" t="s">
        <v>443</v>
      </c>
      <c r="IT102" t="s">
        <v>443</v>
      </c>
      <c r="IU102">
        <v>0</v>
      </c>
      <c r="IV102">
        <v>100</v>
      </c>
      <c r="IW102">
        <v>100</v>
      </c>
      <c r="IX102">
        <v>6.19</v>
      </c>
      <c r="IY102">
        <v>-0.1105</v>
      </c>
      <c r="IZ102">
        <v>1.12474291219083</v>
      </c>
      <c r="JA102">
        <v>0.00463155566490582</v>
      </c>
      <c r="JB102">
        <v>-1.1358998729424e-06</v>
      </c>
      <c r="JC102">
        <v>3.28704272115545e-10</v>
      </c>
      <c r="JD102">
        <v>-0.0704455108513773</v>
      </c>
      <c r="JE102">
        <v>-0.0251928478371425</v>
      </c>
      <c r="JF102">
        <v>0.00225751704194564</v>
      </c>
      <c r="JG102">
        <v>-3.61734043746866e-05</v>
      </c>
      <c r="JH102">
        <v>1</v>
      </c>
      <c r="JI102">
        <v>2182</v>
      </c>
      <c r="JJ102">
        <v>0</v>
      </c>
      <c r="JK102">
        <v>24</v>
      </c>
      <c r="JL102">
        <v>29349828.5</v>
      </c>
      <c r="JM102">
        <v>29349828.5</v>
      </c>
      <c r="JN102">
        <v>2.70142</v>
      </c>
      <c r="JO102">
        <v>2.6062</v>
      </c>
      <c r="JP102">
        <v>1.54785</v>
      </c>
      <c r="JQ102">
        <v>2.31445</v>
      </c>
      <c r="JR102">
        <v>1.64673</v>
      </c>
      <c r="JS102">
        <v>2.37061</v>
      </c>
      <c r="JT102">
        <v>33.6479</v>
      </c>
      <c r="JU102">
        <v>24.1838</v>
      </c>
      <c r="JV102">
        <v>18</v>
      </c>
      <c r="JW102">
        <v>500.812</v>
      </c>
      <c r="JX102">
        <v>395.044</v>
      </c>
      <c r="JY102">
        <v>12.2833</v>
      </c>
      <c r="JZ102">
        <v>23.9008</v>
      </c>
      <c r="KA102">
        <v>30.0003</v>
      </c>
      <c r="KB102">
        <v>23.921</v>
      </c>
      <c r="KC102">
        <v>23.8912</v>
      </c>
      <c r="KD102">
        <v>54.0657</v>
      </c>
      <c r="KE102">
        <v>8.77818</v>
      </c>
      <c r="KF102">
        <v>22.9919</v>
      </c>
      <c r="KG102">
        <v>12.2634</v>
      </c>
      <c r="KH102">
        <v>1442.46</v>
      </c>
      <c r="KI102">
        <v>9.00774</v>
      </c>
      <c r="KJ102">
        <v>97.0454</v>
      </c>
      <c r="KK102">
        <v>95.3054</v>
      </c>
    </row>
    <row r="103" spans="1:297">
      <c r="A103">
        <v>87</v>
      </c>
      <c r="B103">
        <v>1760989712.1</v>
      </c>
      <c r="C103">
        <v>522</v>
      </c>
      <c r="D103" t="s">
        <v>616</v>
      </c>
      <c r="E103" t="s">
        <v>617</v>
      </c>
      <c r="F103">
        <v>5</v>
      </c>
      <c r="G103" t="s">
        <v>435</v>
      </c>
      <c r="H103" t="s">
        <v>436</v>
      </c>
      <c r="I103">
        <v>1760989703.94615</v>
      </c>
      <c r="J103">
        <f>(K103)/1000</f>
        <v>0</v>
      </c>
      <c r="K103">
        <f>IF(DP103, AN103, AH103)</f>
        <v>0</v>
      </c>
      <c r="L103">
        <f>IF(DP103, AI103, AG103)</f>
        <v>0</v>
      </c>
      <c r="M103">
        <f>DR103 - IF(AU103&gt;1, L103*DL103*100.0/(AW103), 0)</f>
        <v>0</v>
      </c>
      <c r="N103">
        <f>((T103-J103/2)*M103-L103)/(T103+J103/2)</f>
        <v>0</v>
      </c>
      <c r="O103">
        <f>N103*(DY103+DZ103)/1000.0</f>
        <v>0</v>
      </c>
      <c r="P103">
        <f>(DR103 - IF(AU103&gt;1, L103*DL103*100.0/(AW103), 0))*(DY103+DZ103)/1000.0</f>
        <v>0</v>
      </c>
      <c r="Q103">
        <f>2.0/((1/S103-1/R103)+SIGN(S103)*SQRT((1/S103-1/R103)*(1/S103-1/R103) + 4*DM103/((DM103+1)*(DM103+1))*(2*1/S103*1/R103-1/R103*1/R103)))</f>
        <v>0</v>
      </c>
      <c r="R103">
        <f>IF(LEFT(DN103,1)&lt;&gt;"0",IF(LEFT(DN103,1)="1",3.0,DO103),$D$5+$E$5*(EF103*DY103/($K$5*1000))+$F$5*(EF103*DY103/($K$5*1000))*MAX(MIN(DL103,$J$5),$I$5)*MAX(MIN(DL103,$J$5),$I$5)+$G$5*MAX(MIN(DL103,$J$5),$I$5)*(EF103*DY103/($K$5*1000))+$H$5*(EF103*DY103/($K$5*1000))*(EF103*DY103/($K$5*1000)))</f>
        <v>0</v>
      </c>
      <c r="S103">
        <f>J103*(1000-(1000*0.61365*exp(17.502*W103/(240.97+W103))/(DY103+DZ103)+DT103)/2)/(1000*0.61365*exp(17.502*W103/(240.97+W103))/(DY103+DZ103)-DT103)</f>
        <v>0</v>
      </c>
      <c r="T103">
        <f>1/((DM103+1)/(Q103/1.6)+1/(R103/1.37)) + DM103/((DM103+1)/(Q103/1.6) + DM103/(R103/1.37))</f>
        <v>0</v>
      </c>
      <c r="U103">
        <f>(DH103*DK103)</f>
        <v>0</v>
      </c>
      <c r="V103">
        <f>(EA103+(U103+2*0.95*5.67E-8*(((EA103+$B$7)+273)^4-(EA103+273)^4)-44100*J103)/(1.84*29.3*R103+8*0.95*5.67E-8*(EA103+273)^3))</f>
        <v>0</v>
      </c>
      <c r="W103">
        <f>($C$7*EB103+$D$7*EC103+$E$7*V103)</f>
        <v>0</v>
      </c>
      <c r="X103">
        <f>0.61365*exp(17.502*W103/(240.97+W103))</f>
        <v>0</v>
      </c>
      <c r="Y103">
        <f>(Z103/AA103*100)</f>
        <v>0</v>
      </c>
      <c r="Z103">
        <f>DT103*(DY103+DZ103)/1000</f>
        <v>0</v>
      </c>
      <c r="AA103">
        <f>0.61365*exp(17.502*EA103/(240.97+EA103))</f>
        <v>0</v>
      </c>
      <c r="AB103">
        <f>(X103-DT103*(DY103+DZ103)/1000)</f>
        <v>0</v>
      </c>
      <c r="AC103">
        <f>(-J103*44100)</f>
        <v>0</v>
      </c>
      <c r="AD103">
        <f>2*29.3*R103*0.92*(EA103-W103)</f>
        <v>0</v>
      </c>
      <c r="AE103">
        <f>2*0.95*5.67E-8*(((EA103+$B$7)+273)^4-(W103+273)^4)</f>
        <v>0</v>
      </c>
      <c r="AF103">
        <f>U103+AE103+AC103+AD103</f>
        <v>0</v>
      </c>
      <c r="AG103">
        <f>DX103*AU103*(DS103-DR103*(1000-AU103*DU103)/(1000-AU103*DT103))/(100*DL103)</f>
        <v>0</v>
      </c>
      <c r="AH103">
        <f>1000*DX103*AU103*(DT103-DU103)/(100*DL103*(1000-AU103*DT103))</f>
        <v>0</v>
      </c>
      <c r="AI103">
        <f>(AJ103 - AK103 - DY103*1E3/(8.314*(EA103+273.15)) * AM103/DX103 * AL103) * DX103/(100*DL103) * (1000 - DU103)/1000</f>
        <v>0</v>
      </c>
      <c r="AJ103">
        <v>1438.20441905387</v>
      </c>
      <c r="AK103">
        <v>1407.13109090909</v>
      </c>
      <c r="AL103">
        <v>3.32108712321286</v>
      </c>
      <c r="AM103">
        <v>64.8413469339502</v>
      </c>
      <c r="AN103">
        <f>(AP103 - AO103 + DY103*1E3/(8.314*(EA103+273.15)) * AR103/DX103 * AQ103) * DX103/(100*DL103) * 1000/(1000 - AP103)</f>
        <v>0</v>
      </c>
      <c r="AO103">
        <v>8.98561212436999</v>
      </c>
      <c r="AP103">
        <v>11.8623375757576</v>
      </c>
      <c r="AQ103">
        <v>-1.65794201634131e-05</v>
      </c>
      <c r="AR103">
        <v>118.472689631034</v>
      </c>
      <c r="AS103">
        <v>0</v>
      </c>
      <c r="AT103">
        <v>0</v>
      </c>
      <c r="AU103">
        <f>IF(AS103*$H$13&gt;=AW103,1.0,(AW103/(AW103-AS103*$H$13)))</f>
        <v>0</v>
      </c>
      <c r="AV103">
        <f>(AU103-1)*100</f>
        <v>0</v>
      </c>
      <c r="AW103">
        <f>MAX(0,($B$13+$C$13*EF103)/(1+$D$13*EF103)*DY103/(EA103+273)*$E$13)</f>
        <v>0</v>
      </c>
      <c r="AX103" t="s">
        <v>437</v>
      </c>
      <c r="AY103" t="s">
        <v>437</v>
      </c>
      <c r="AZ103">
        <v>0</v>
      </c>
      <c r="BA103">
        <v>0</v>
      </c>
      <c r="BB103">
        <f>1-AZ103/BA103</f>
        <v>0</v>
      </c>
      <c r="BC103">
        <v>0</v>
      </c>
      <c r="BD103" t="s">
        <v>437</v>
      </c>
      <c r="BE103" t="s">
        <v>437</v>
      </c>
      <c r="BF103">
        <v>0</v>
      </c>
      <c r="BG103">
        <v>0</v>
      </c>
      <c r="BH103">
        <f>1-BF103/BG103</f>
        <v>0</v>
      </c>
      <c r="BI103">
        <v>0.5</v>
      </c>
      <c r="BJ103">
        <f>DI103</f>
        <v>0</v>
      </c>
      <c r="BK103">
        <f>L103</f>
        <v>0</v>
      </c>
      <c r="BL103">
        <f>BH103*BI103*BJ103</f>
        <v>0</v>
      </c>
      <c r="BM103">
        <f>(BK103-BC103)/BJ103</f>
        <v>0</v>
      </c>
      <c r="BN103">
        <f>(BA103-BG103)/BG103</f>
        <v>0</v>
      </c>
      <c r="BO103">
        <f>AZ103/(BB103+AZ103/BG103)</f>
        <v>0</v>
      </c>
      <c r="BP103" t="s">
        <v>437</v>
      </c>
      <c r="BQ103">
        <v>0</v>
      </c>
      <c r="BR103">
        <f>IF(BQ103&lt;&gt;0, BQ103, BO103)</f>
        <v>0</v>
      </c>
      <c r="BS103">
        <f>1-BR103/BG103</f>
        <v>0</v>
      </c>
      <c r="BT103">
        <f>(BG103-BF103)/(BG103-BR103)</f>
        <v>0</v>
      </c>
      <c r="BU103">
        <f>(BA103-BG103)/(BA103-BR103)</f>
        <v>0</v>
      </c>
      <c r="BV103">
        <f>(BG103-BF103)/(BG103-AZ103)</f>
        <v>0</v>
      </c>
      <c r="BW103">
        <f>(BA103-BG103)/(BA103-AZ103)</f>
        <v>0</v>
      </c>
      <c r="BX103">
        <f>(BT103*BR103/BF103)</f>
        <v>0</v>
      </c>
      <c r="BY103">
        <f>(1-BX103)</f>
        <v>0</v>
      </c>
      <c r="DH103">
        <f>$B$11*EG103+$C$11*EH103+$F$11*ES103*(1-EV103)</f>
        <v>0</v>
      </c>
      <c r="DI103">
        <f>DH103*DJ103</f>
        <v>0</v>
      </c>
      <c r="DJ103">
        <f>($B$11*$D$9+$C$11*$D$9+$F$11*((FF103+EX103)/MAX(FF103+EX103+FG103, 0.1)*$I$9+FG103/MAX(FF103+EX103+FG103, 0.1)*$J$9))/($B$11+$C$11+$F$11)</f>
        <v>0</v>
      </c>
      <c r="DK103">
        <f>($B$11*$K$9+$C$11*$K$9+$F$11*((FF103+EX103)/MAX(FF103+EX103+FG103, 0.1)*$P$9+FG103/MAX(FF103+EX103+FG103, 0.1)*$Q$9))/($B$11+$C$11+$F$11)</f>
        <v>0</v>
      </c>
      <c r="DL103">
        <v>6</v>
      </c>
      <c r="DM103">
        <v>0.5</v>
      </c>
      <c r="DN103" t="s">
        <v>438</v>
      </c>
      <c r="DO103">
        <v>2</v>
      </c>
      <c r="DP103" t="b">
        <v>1</v>
      </c>
      <c r="DQ103">
        <v>1760989703.94615</v>
      </c>
      <c r="DR103">
        <v>1366.53384615385</v>
      </c>
      <c r="DS103">
        <v>1409.58384615385</v>
      </c>
      <c r="DT103">
        <v>11.8630923076923</v>
      </c>
      <c r="DU103">
        <v>9.00750307692308</v>
      </c>
      <c r="DV103">
        <v>1360.38307692308</v>
      </c>
      <c r="DW103">
        <v>11.9736230769231</v>
      </c>
      <c r="DX103">
        <v>499.980384615385</v>
      </c>
      <c r="DY103">
        <v>89.8540692307692</v>
      </c>
      <c r="DZ103">
        <v>0.00796120153846154</v>
      </c>
      <c r="EA103">
        <v>18.4938</v>
      </c>
      <c r="EB103">
        <v>18.0191076923077</v>
      </c>
      <c r="EC103">
        <v>999.9</v>
      </c>
      <c r="ED103">
        <v>0</v>
      </c>
      <c r="EE103">
        <v>0</v>
      </c>
      <c r="EF103">
        <v>10002.2561538462</v>
      </c>
      <c r="EG103">
        <v>0</v>
      </c>
      <c r="EH103">
        <v>1270.18692307692</v>
      </c>
      <c r="EI103">
        <v>-43.0506076923077</v>
      </c>
      <c r="EJ103">
        <v>1382.94153846154</v>
      </c>
      <c r="EK103">
        <v>1422.39846153846</v>
      </c>
      <c r="EL103">
        <v>2.85559076923077</v>
      </c>
      <c r="EM103">
        <v>1409.58384615385</v>
      </c>
      <c r="EN103">
        <v>9.00750307692308</v>
      </c>
      <c r="EO103">
        <v>1.06594769230769</v>
      </c>
      <c r="EP103">
        <v>0.809360615384615</v>
      </c>
      <c r="EQ103">
        <v>7.85036769230769</v>
      </c>
      <c r="ER103">
        <v>3.87252846153846</v>
      </c>
      <c r="ES103">
        <v>1200.00846153846</v>
      </c>
      <c r="ET103">
        <v>0.967000538461538</v>
      </c>
      <c r="EU103">
        <v>0.0329995461538462</v>
      </c>
      <c r="EV103">
        <v>0</v>
      </c>
      <c r="EW103">
        <v>1335.11230769231</v>
      </c>
      <c r="EX103">
        <v>5.00059</v>
      </c>
      <c r="EY103">
        <v>15735.8923076923</v>
      </c>
      <c r="EZ103">
        <v>10358.7923076923</v>
      </c>
      <c r="FA103">
        <v>38.2545384615385</v>
      </c>
      <c r="FB103">
        <v>40.2112307692308</v>
      </c>
      <c r="FC103">
        <v>38.7401538461538</v>
      </c>
      <c r="FD103">
        <v>39.8507692307692</v>
      </c>
      <c r="FE103">
        <v>39.0863076923077</v>
      </c>
      <c r="FF103">
        <v>1155.57461538462</v>
      </c>
      <c r="FG103">
        <v>39.4338461538462</v>
      </c>
      <c r="FH103">
        <v>0</v>
      </c>
      <c r="FI103">
        <v>1760989681.3</v>
      </c>
      <c r="FJ103">
        <v>0</v>
      </c>
      <c r="FK103">
        <v>1335.1784</v>
      </c>
      <c r="FL103">
        <v>1.21538462692416</v>
      </c>
      <c r="FM103">
        <v>-27.599999942567</v>
      </c>
      <c r="FN103">
        <v>15735.748</v>
      </c>
      <c r="FO103">
        <v>15</v>
      </c>
      <c r="FP103">
        <v>0</v>
      </c>
      <c r="FQ103" t="s">
        <v>439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-43.267485</v>
      </c>
      <c r="GD103">
        <v>2.5586210526316</v>
      </c>
      <c r="GE103">
        <v>0.686704245854793</v>
      </c>
      <c r="GF103">
        <v>0</v>
      </c>
      <c r="GG103">
        <v>1335.10323529412</v>
      </c>
      <c r="GH103">
        <v>1.36760886447196</v>
      </c>
      <c r="GI103">
        <v>0.23133526203369</v>
      </c>
      <c r="GJ103">
        <v>-1</v>
      </c>
      <c r="GK103">
        <v>2.8537925</v>
      </c>
      <c r="GL103">
        <v>0.055561353383456</v>
      </c>
      <c r="GM103">
        <v>0.0111193115232015</v>
      </c>
      <c r="GN103">
        <v>1</v>
      </c>
      <c r="GO103">
        <v>1</v>
      </c>
      <c r="GP103">
        <v>2</v>
      </c>
      <c r="GQ103" t="s">
        <v>446</v>
      </c>
      <c r="GR103">
        <v>3.13065</v>
      </c>
      <c r="GS103">
        <v>2.68599</v>
      </c>
      <c r="GT103">
        <v>0.203417</v>
      </c>
      <c r="GU103">
        <v>0.20767</v>
      </c>
      <c r="GV103">
        <v>0.0618894</v>
      </c>
      <c r="GW103">
        <v>0.0496147</v>
      </c>
      <c r="GX103">
        <v>30195.2</v>
      </c>
      <c r="GY103">
        <v>32273.7</v>
      </c>
      <c r="GZ103">
        <v>34267.2</v>
      </c>
      <c r="HA103">
        <v>36850.6</v>
      </c>
      <c r="HB103">
        <v>45355.5</v>
      </c>
      <c r="HC103">
        <v>50233.4</v>
      </c>
      <c r="HD103">
        <v>53341.4</v>
      </c>
      <c r="HE103">
        <v>58778</v>
      </c>
      <c r="HF103">
        <v>2.00995</v>
      </c>
      <c r="HG103">
        <v>1.83845</v>
      </c>
      <c r="HH103">
        <v>0.0337064</v>
      </c>
      <c r="HI103">
        <v>0</v>
      </c>
      <c r="HJ103">
        <v>17.4621</v>
      </c>
      <c r="HK103">
        <v>999.9</v>
      </c>
      <c r="HL103">
        <v>25.882</v>
      </c>
      <c r="HM103">
        <v>30.313</v>
      </c>
      <c r="HN103">
        <v>12.4943</v>
      </c>
      <c r="HO103">
        <v>54.2391</v>
      </c>
      <c r="HP103">
        <v>44.359</v>
      </c>
      <c r="HQ103">
        <v>1</v>
      </c>
      <c r="HR103">
        <v>-0.269116</v>
      </c>
      <c r="HS103">
        <v>4.1375</v>
      </c>
      <c r="HT103">
        <v>20.0876</v>
      </c>
      <c r="HU103">
        <v>5.20261</v>
      </c>
      <c r="HV103">
        <v>12.004</v>
      </c>
      <c r="HW103">
        <v>4.9754</v>
      </c>
      <c r="HX103">
        <v>3.29295</v>
      </c>
      <c r="HY103">
        <v>9999</v>
      </c>
      <c r="HZ103">
        <v>999.9</v>
      </c>
      <c r="IA103">
        <v>9999</v>
      </c>
      <c r="IB103">
        <v>9999</v>
      </c>
      <c r="IC103">
        <v>1.86325</v>
      </c>
      <c r="ID103">
        <v>1.86804</v>
      </c>
      <c r="IE103">
        <v>1.86783</v>
      </c>
      <c r="IF103">
        <v>1.86904</v>
      </c>
      <c r="IG103">
        <v>1.86981</v>
      </c>
      <c r="IH103">
        <v>1.86584</v>
      </c>
      <c r="II103">
        <v>1.86697</v>
      </c>
      <c r="IJ103">
        <v>1.86843</v>
      </c>
      <c r="IK103">
        <v>5</v>
      </c>
      <c r="IL103">
        <v>0</v>
      </c>
      <c r="IM103">
        <v>0</v>
      </c>
      <c r="IN103">
        <v>0</v>
      </c>
      <c r="IO103" t="s">
        <v>441</v>
      </c>
      <c r="IP103" t="s">
        <v>442</v>
      </c>
      <c r="IQ103" t="s">
        <v>443</v>
      </c>
      <c r="IR103" t="s">
        <v>443</v>
      </c>
      <c r="IS103" t="s">
        <v>443</v>
      </c>
      <c r="IT103" t="s">
        <v>443</v>
      </c>
      <c r="IU103">
        <v>0</v>
      </c>
      <c r="IV103">
        <v>100</v>
      </c>
      <c r="IW103">
        <v>100</v>
      </c>
      <c r="IX103">
        <v>6.24</v>
      </c>
      <c r="IY103">
        <v>-0.1105</v>
      </c>
      <c r="IZ103">
        <v>1.12474291219083</v>
      </c>
      <c r="JA103">
        <v>0.00463155566490582</v>
      </c>
      <c r="JB103">
        <v>-1.1358998729424e-06</v>
      </c>
      <c r="JC103">
        <v>3.28704272115545e-10</v>
      </c>
      <c r="JD103">
        <v>-0.0704455108513773</v>
      </c>
      <c r="JE103">
        <v>-0.0251928478371425</v>
      </c>
      <c r="JF103">
        <v>0.00225751704194564</v>
      </c>
      <c r="JG103">
        <v>-3.61734043746866e-05</v>
      </c>
      <c r="JH103">
        <v>1</v>
      </c>
      <c r="JI103">
        <v>2182</v>
      </c>
      <c r="JJ103">
        <v>0</v>
      </c>
      <c r="JK103">
        <v>24</v>
      </c>
      <c r="JL103">
        <v>29349828.5</v>
      </c>
      <c r="JM103">
        <v>29349828.5</v>
      </c>
      <c r="JN103">
        <v>2.72461</v>
      </c>
      <c r="JO103">
        <v>2.60986</v>
      </c>
      <c r="JP103">
        <v>1.54785</v>
      </c>
      <c r="JQ103">
        <v>2.31445</v>
      </c>
      <c r="JR103">
        <v>1.64673</v>
      </c>
      <c r="JS103">
        <v>2.33765</v>
      </c>
      <c r="JT103">
        <v>33.6479</v>
      </c>
      <c r="JU103">
        <v>24.1838</v>
      </c>
      <c r="JV103">
        <v>18</v>
      </c>
      <c r="JW103">
        <v>501.42</v>
      </c>
      <c r="JX103">
        <v>394.833</v>
      </c>
      <c r="JY103">
        <v>12.2642</v>
      </c>
      <c r="JZ103">
        <v>23.9008</v>
      </c>
      <c r="KA103">
        <v>30.0002</v>
      </c>
      <c r="KB103">
        <v>23.921</v>
      </c>
      <c r="KC103">
        <v>23.8912</v>
      </c>
      <c r="KD103">
        <v>54.5158</v>
      </c>
      <c r="KE103">
        <v>8.77818</v>
      </c>
      <c r="KF103">
        <v>22.9919</v>
      </c>
      <c r="KG103">
        <v>12.2456</v>
      </c>
      <c r="KH103">
        <v>1456.03</v>
      </c>
      <c r="KI103">
        <v>9.00774</v>
      </c>
      <c r="KJ103">
        <v>97.0453</v>
      </c>
      <c r="KK103">
        <v>95.3065</v>
      </c>
    </row>
    <row r="104" spans="1:297">
      <c r="A104">
        <v>88</v>
      </c>
      <c r="B104">
        <v>1760989717.1</v>
      </c>
      <c r="C104">
        <v>527</v>
      </c>
      <c r="D104" t="s">
        <v>618</v>
      </c>
      <c r="E104" t="s">
        <v>619</v>
      </c>
      <c r="F104">
        <v>5</v>
      </c>
      <c r="G104" t="s">
        <v>435</v>
      </c>
      <c r="H104" t="s">
        <v>436</v>
      </c>
      <c r="I104">
        <v>1760989708.94615</v>
      </c>
      <c r="J104">
        <f>(K104)/1000</f>
        <v>0</v>
      </c>
      <c r="K104">
        <f>IF(DP104, AN104, AH104)</f>
        <v>0</v>
      </c>
      <c r="L104">
        <f>IF(DP104, AI104, AG104)</f>
        <v>0</v>
      </c>
      <c r="M104">
        <f>DR104 - IF(AU104&gt;1, L104*DL104*100.0/(AW104), 0)</f>
        <v>0</v>
      </c>
      <c r="N104">
        <f>((T104-J104/2)*M104-L104)/(T104+J104/2)</f>
        <v>0</v>
      </c>
      <c r="O104">
        <f>N104*(DY104+DZ104)/1000.0</f>
        <v>0</v>
      </c>
      <c r="P104">
        <f>(DR104 - IF(AU104&gt;1, L104*DL104*100.0/(AW104), 0))*(DY104+DZ104)/1000.0</f>
        <v>0</v>
      </c>
      <c r="Q104">
        <f>2.0/((1/S104-1/R104)+SIGN(S104)*SQRT((1/S104-1/R104)*(1/S104-1/R104) + 4*DM104/((DM104+1)*(DM104+1))*(2*1/S104*1/R104-1/R104*1/R104)))</f>
        <v>0</v>
      </c>
      <c r="R104">
        <f>IF(LEFT(DN104,1)&lt;&gt;"0",IF(LEFT(DN104,1)="1",3.0,DO104),$D$5+$E$5*(EF104*DY104/($K$5*1000))+$F$5*(EF104*DY104/($K$5*1000))*MAX(MIN(DL104,$J$5),$I$5)*MAX(MIN(DL104,$J$5),$I$5)+$G$5*MAX(MIN(DL104,$J$5),$I$5)*(EF104*DY104/($K$5*1000))+$H$5*(EF104*DY104/($K$5*1000))*(EF104*DY104/($K$5*1000)))</f>
        <v>0</v>
      </c>
      <c r="S104">
        <f>J104*(1000-(1000*0.61365*exp(17.502*W104/(240.97+W104))/(DY104+DZ104)+DT104)/2)/(1000*0.61365*exp(17.502*W104/(240.97+W104))/(DY104+DZ104)-DT104)</f>
        <v>0</v>
      </c>
      <c r="T104">
        <f>1/((DM104+1)/(Q104/1.6)+1/(R104/1.37)) + DM104/((DM104+1)/(Q104/1.6) + DM104/(R104/1.37))</f>
        <v>0</v>
      </c>
      <c r="U104">
        <f>(DH104*DK104)</f>
        <v>0</v>
      </c>
      <c r="V104">
        <f>(EA104+(U104+2*0.95*5.67E-8*(((EA104+$B$7)+273)^4-(EA104+273)^4)-44100*J104)/(1.84*29.3*R104+8*0.95*5.67E-8*(EA104+273)^3))</f>
        <v>0</v>
      </c>
      <c r="W104">
        <f>($C$7*EB104+$D$7*EC104+$E$7*V104)</f>
        <v>0</v>
      </c>
      <c r="X104">
        <f>0.61365*exp(17.502*W104/(240.97+W104))</f>
        <v>0</v>
      </c>
      <c r="Y104">
        <f>(Z104/AA104*100)</f>
        <v>0</v>
      </c>
      <c r="Z104">
        <f>DT104*(DY104+DZ104)/1000</f>
        <v>0</v>
      </c>
      <c r="AA104">
        <f>0.61365*exp(17.502*EA104/(240.97+EA104))</f>
        <v>0</v>
      </c>
      <c r="AB104">
        <f>(X104-DT104*(DY104+DZ104)/1000)</f>
        <v>0</v>
      </c>
      <c r="AC104">
        <f>(-J104*44100)</f>
        <v>0</v>
      </c>
      <c r="AD104">
        <f>2*29.3*R104*0.92*(EA104-W104)</f>
        <v>0</v>
      </c>
      <c r="AE104">
        <f>2*0.95*5.67E-8*(((EA104+$B$7)+273)^4-(W104+273)^4)</f>
        <v>0</v>
      </c>
      <c r="AF104">
        <f>U104+AE104+AC104+AD104</f>
        <v>0</v>
      </c>
      <c r="AG104">
        <f>DX104*AU104*(DS104-DR104*(1000-AU104*DU104)/(1000-AU104*DT104))/(100*DL104)</f>
        <v>0</v>
      </c>
      <c r="AH104">
        <f>1000*DX104*AU104*(DT104-DU104)/(100*DL104*(1000-AU104*DT104))</f>
        <v>0</v>
      </c>
      <c r="AI104">
        <f>(AJ104 - AK104 - DY104*1E3/(8.314*(EA104+273.15)) * AM104/DX104 * AL104) * DX104/(100*DL104) * (1000 - DU104)/1000</f>
        <v>0</v>
      </c>
      <c r="AJ104">
        <v>1455.2199562246</v>
      </c>
      <c r="AK104">
        <v>1424.14884848485</v>
      </c>
      <c r="AL104">
        <v>3.39137991012017</v>
      </c>
      <c r="AM104">
        <v>64.8413469339502</v>
      </c>
      <c r="AN104">
        <f>(AP104 - AO104 + DY104*1E3/(8.314*(EA104+273.15)) * AR104/DX104 * AQ104) * DX104/(100*DL104) * 1000/(1000 - AP104)</f>
        <v>0</v>
      </c>
      <c r="AO104">
        <v>8.9411704356325</v>
      </c>
      <c r="AP104">
        <v>11.8454381818182</v>
      </c>
      <c r="AQ104">
        <v>-9.64476722725232e-05</v>
      </c>
      <c r="AR104">
        <v>118.472689631034</v>
      </c>
      <c r="AS104">
        <v>0</v>
      </c>
      <c r="AT104">
        <v>0</v>
      </c>
      <c r="AU104">
        <f>IF(AS104*$H$13&gt;=AW104,1.0,(AW104/(AW104-AS104*$H$13)))</f>
        <v>0</v>
      </c>
      <c r="AV104">
        <f>(AU104-1)*100</f>
        <v>0</v>
      </c>
      <c r="AW104">
        <f>MAX(0,($B$13+$C$13*EF104)/(1+$D$13*EF104)*DY104/(EA104+273)*$E$13)</f>
        <v>0</v>
      </c>
      <c r="AX104" t="s">
        <v>437</v>
      </c>
      <c r="AY104" t="s">
        <v>437</v>
      </c>
      <c r="AZ104">
        <v>0</v>
      </c>
      <c r="BA104">
        <v>0</v>
      </c>
      <c r="BB104">
        <f>1-AZ104/BA104</f>
        <v>0</v>
      </c>
      <c r="BC104">
        <v>0</v>
      </c>
      <c r="BD104" t="s">
        <v>437</v>
      </c>
      <c r="BE104" t="s">
        <v>437</v>
      </c>
      <c r="BF104">
        <v>0</v>
      </c>
      <c r="BG104">
        <v>0</v>
      </c>
      <c r="BH104">
        <f>1-BF104/BG104</f>
        <v>0</v>
      </c>
      <c r="BI104">
        <v>0.5</v>
      </c>
      <c r="BJ104">
        <f>DI104</f>
        <v>0</v>
      </c>
      <c r="BK104">
        <f>L104</f>
        <v>0</v>
      </c>
      <c r="BL104">
        <f>BH104*BI104*BJ104</f>
        <v>0</v>
      </c>
      <c r="BM104">
        <f>(BK104-BC104)/BJ104</f>
        <v>0</v>
      </c>
      <c r="BN104">
        <f>(BA104-BG104)/BG104</f>
        <v>0</v>
      </c>
      <c r="BO104">
        <f>AZ104/(BB104+AZ104/BG104)</f>
        <v>0</v>
      </c>
      <c r="BP104" t="s">
        <v>437</v>
      </c>
      <c r="BQ104">
        <v>0</v>
      </c>
      <c r="BR104">
        <f>IF(BQ104&lt;&gt;0, BQ104, BO104)</f>
        <v>0</v>
      </c>
      <c r="BS104">
        <f>1-BR104/BG104</f>
        <v>0</v>
      </c>
      <c r="BT104">
        <f>(BG104-BF104)/(BG104-BR104)</f>
        <v>0</v>
      </c>
      <c r="BU104">
        <f>(BA104-BG104)/(BA104-BR104)</f>
        <v>0</v>
      </c>
      <c r="BV104">
        <f>(BG104-BF104)/(BG104-AZ104)</f>
        <v>0</v>
      </c>
      <c r="BW104">
        <f>(BA104-BG104)/(BA104-AZ104)</f>
        <v>0</v>
      </c>
      <c r="BX104">
        <f>(BT104*BR104/BF104)</f>
        <v>0</v>
      </c>
      <c r="BY104">
        <f>(1-BX104)</f>
        <v>0</v>
      </c>
      <c r="DH104">
        <f>$B$11*EG104+$C$11*EH104+$F$11*ES104*(1-EV104)</f>
        <v>0</v>
      </c>
      <c r="DI104">
        <f>DH104*DJ104</f>
        <v>0</v>
      </c>
      <c r="DJ104">
        <f>($B$11*$D$9+$C$11*$D$9+$F$11*((FF104+EX104)/MAX(FF104+EX104+FG104, 0.1)*$I$9+FG104/MAX(FF104+EX104+FG104, 0.1)*$J$9))/($B$11+$C$11+$F$11)</f>
        <v>0</v>
      </c>
      <c r="DK104">
        <f>($B$11*$K$9+$C$11*$K$9+$F$11*((FF104+EX104)/MAX(FF104+EX104+FG104, 0.1)*$P$9+FG104/MAX(FF104+EX104+FG104, 0.1)*$Q$9))/($B$11+$C$11+$F$11)</f>
        <v>0</v>
      </c>
      <c r="DL104">
        <v>6</v>
      </c>
      <c r="DM104">
        <v>0.5</v>
      </c>
      <c r="DN104" t="s">
        <v>438</v>
      </c>
      <c r="DO104">
        <v>2</v>
      </c>
      <c r="DP104" t="b">
        <v>1</v>
      </c>
      <c r="DQ104">
        <v>1760989708.94615</v>
      </c>
      <c r="DR104">
        <v>1383.28769230769</v>
      </c>
      <c r="DS104">
        <v>1426.40307692308</v>
      </c>
      <c r="DT104">
        <v>11.8596692307692</v>
      </c>
      <c r="DU104">
        <v>8.98638538461539</v>
      </c>
      <c r="DV104">
        <v>1377.08076923077</v>
      </c>
      <c r="DW104">
        <v>11.9702461538462</v>
      </c>
      <c r="DX104">
        <v>500.009846153846</v>
      </c>
      <c r="DY104">
        <v>89.8526153846154</v>
      </c>
      <c r="DZ104">
        <v>0.00797926923076923</v>
      </c>
      <c r="EA104">
        <v>18.4926384615385</v>
      </c>
      <c r="EB104">
        <v>18.0197846153846</v>
      </c>
      <c r="EC104">
        <v>999.9</v>
      </c>
      <c r="ED104">
        <v>0</v>
      </c>
      <c r="EE104">
        <v>0</v>
      </c>
      <c r="EF104">
        <v>10003.4615384615</v>
      </c>
      <c r="EG104">
        <v>0</v>
      </c>
      <c r="EH104">
        <v>1270.18846153846</v>
      </c>
      <c r="EI104">
        <v>-43.1155076923077</v>
      </c>
      <c r="EJ104">
        <v>1399.89153846154</v>
      </c>
      <c r="EK104">
        <v>1439.33846153846</v>
      </c>
      <c r="EL104">
        <v>2.87328769230769</v>
      </c>
      <c r="EM104">
        <v>1426.40307692308</v>
      </c>
      <c r="EN104">
        <v>8.98638538461539</v>
      </c>
      <c r="EO104">
        <v>1.06562384615385</v>
      </c>
      <c r="EP104">
        <v>0.807450076923077</v>
      </c>
      <c r="EQ104">
        <v>7.84589615384615</v>
      </c>
      <c r="ER104">
        <v>3.83887923076923</v>
      </c>
      <c r="ES104">
        <v>1200.01307692308</v>
      </c>
      <c r="ET104">
        <v>0.967007230769231</v>
      </c>
      <c r="EU104">
        <v>0.0329927923076923</v>
      </c>
      <c r="EV104">
        <v>0</v>
      </c>
      <c r="EW104">
        <v>1335.22846153846</v>
      </c>
      <c r="EX104">
        <v>5.00059</v>
      </c>
      <c r="EY104">
        <v>15734.1384615385</v>
      </c>
      <c r="EZ104">
        <v>10358.8538461538</v>
      </c>
      <c r="FA104">
        <v>38.1921538461538</v>
      </c>
      <c r="FB104">
        <v>40.091</v>
      </c>
      <c r="FC104">
        <v>38.6632307692308</v>
      </c>
      <c r="FD104">
        <v>39.6776153846154</v>
      </c>
      <c r="FE104">
        <v>39.0189230769231</v>
      </c>
      <c r="FF104">
        <v>1155.58846153846</v>
      </c>
      <c r="FG104">
        <v>39.4246153846154</v>
      </c>
      <c r="FH104">
        <v>0</v>
      </c>
      <c r="FI104">
        <v>1760989686.1</v>
      </c>
      <c r="FJ104">
        <v>0</v>
      </c>
      <c r="FK104">
        <v>1335.2948</v>
      </c>
      <c r="FL104">
        <v>0.514615390831607</v>
      </c>
      <c r="FM104">
        <v>-24.138461477728</v>
      </c>
      <c r="FN104">
        <v>15733.688</v>
      </c>
      <c r="FO104">
        <v>15</v>
      </c>
      <c r="FP104">
        <v>0</v>
      </c>
      <c r="FQ104" t="s">
        <v>439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-43.0444857142857</v>
      </c>
      <c r="GD104">
        <v>0.296236363636375</v>
      </c>
      <c r="GE104">
        <v>0.595101352940916</v>
      </c>
      <c r="GF104">
        <v>1</v>
      </c>
      <c r="GG104">
        <v>1335.20323529412</v>
      </c>
      <c r="GH104">
        <v>1.16073338852308</v>
      </c>
      <c r="GI104">
        <v>0.212488346922484</v>
      </c>
      <c r="GJ104">
        <v>-1</v>
      </c>
      <c r="GK104">
        <v>2.86684428571429</v>
      </c>
      <c r="GL104">
        <v>0.206675844155847</v>
      </c>
      <c r="GM104">
        <v>0.0249906627461097</v>
      </c>
      <c r="GN104">
        <v>0</v>
      </c>
      <c r="GO104">
        <v>1</v>
      </c>
      <c r="GP104">
        <v>2</v>
      </c>
      <c r="GQ104" t="s">
        <v>446</v>
      </c>
      <c r="GR104">
        <v>3.13063</v>
      </c>
      <c r="GS104">
        <v>2.68582</v>
      </c>
      <c r="GT104">
        <v>0.204896</v>
      </c>
      <c r="GU104">
        <v>0.209004</v>
      </c>
      <c r="GV104">
        <v>0.0618215</v>
      </c>
      <c r="GW104">
        <v>0.0495512</v>
      </c>
      <c r="GX104">
        <v>30139.4</v>
      </c>
      <c r="GY104">
        <v>32219.4</v>
      </c>
      <c r="GZ104">
        <v>34267.4</v>
      </c>
      <c r="HA104">
        <v>36850.6</v>
      </c>
      <c r="HB104">
        <v>45359.5</v>
      </c>
      <c r="HC104">
        <v>50237.1</v>
      </c>
      <c r="HD104">
        <v>53341.9</v>
      </c>
      <c r="HE104">
        <v>58778.1</v>
      </c>
      <c r="HF104">
        <v>2.00938</v>
      </c>
      <c r="HG104">
        <v>1.83875</v>
      </c>
      <c r="HH104">
        <v>0.0336468</v>
      </c>
      <c r="HI104">
        <v>0</v>
      </c>
      <c r="HJ104">
        <v>17.4621</v>
      </c>
      <c r="HK104">
        <v>999.9</v>
      </c>
      <c r="HL104">
        <v>25.882</v>
      </c>
      <c r="HM104">
        <v>30.313</v>
      </c>
      <c r="HN104">
        <v>12.4945</v>
      </c>
      <c r="HO104">
        <v>53.8891</v>
      </c>
      <c r="HP104">
        <v>44.1186</v>
      </c>
      <c r="HQ104">
        <v>1</v>
      </c>
      <c r="HR104">
        <v>-0.268999</v>
      </c>
      <c r="HS104">
        <v>4.15305</v>
      </c>
      <c r="HT104">
        <v>20.0871</v>
      </c>
      <c r="HU104">
        <v>5.20187</v>
      </c>
      <c r="HV104">
        <v>12.004</v>
      </c>
      <c r="HW104">
        <v>4.97555</v>
      </c>
      <c r="HX104">
        <v>3.29293</v>
      </c>
      <c r="HY104">
        <v>9999</v>
      </c>
      <c r="HZ104">
        <v>999.9</v>
      </c>
      <c r="IA104">
        <v>9999</v>
      </c>
      <c r="IB104">
        <v>9999</v>
      </c>
      <c r="IC104">
        <v>1.86325</v>
      </c>
      <c r="ID104">
        <v>1.86808</v>
      </c>
      <c r="IE104">
        <v>1.86783</v>
      </c>
      <c r="IF104">
        <v>1.86905</v>
      </c>
      <c r="IG104">
        <v>1.86981</v>
      </c>
      <c r="IH104">
        <v>1.86585</v>
      </c>
      <c r="II104">
        <v>1.86695</v>
      </c>
      <c r="IJ104">
        <v>1.86843</v>
      </c>
      <c r="IK104">
        <v>5</v>
      </c>
      <c r="IL104">
        <v>0</v>
      </c>
      <c r="IM104">
        <v>0</v>
      </c>
      <c r="IN104">
        <v>0</v>
      </c>
      <c r="IO104" t="s">
        <v>441</v>
      </c>
      <c r="IP104" t="s">
        <v>442</v>
      </c>
      <c r="IQ104" t="s">
        <v>443</v>
      </c>
      <c r="IR104" t="s">
        <v>443</v>
      </c>
      <c r="IS104" t="s">
        <v>443</v>
      </c>
      <c r="IT104" t="s">
        <v>443</v>
      </c>
      <c r="IU104">
        <v>0</v>
      </c>
      <c r="IV104">
        <v>100</v>
      </c>
      <c r="IW104">
        <v>100</v>
      </c>
      <c r="IX104">
        <v>6.3</v>
      </c>
      <c r="IY104">
        <v>-0.1108</v>
      </c>
      <c r="IZ104">
        <v>1.12474291219083</v>
      </c>
      <c r="JA104">
        <v>0.00463155566490582</v>
      </c>
      <c r="JB104">
        <v>-1.1358998729424e-06</v>
      </c>
      <c r="JC104">
        <v>3.28704272115545e-10</v>
      </c>
      <c r="JD104">
        <v>-0.0704455108513773</v>
      </c>
      <c r="JE104">
        <v>-0.0251928478371425</v>
      </c>
      <c r="JF104">
        <v>0.00225751704194564</v>
      </c>
      <c r="JG104">
        <v>-3.61734043746866e-05</v>
      </c>
      <c r="JH104">
        <v>1</v>
      </c>
      <c r="JI104">
        <v>2182</v>
      </c>
      <c r="JJ104">
        <v>0</v>
      </c>
      <c r="JK104">
        <v>24</v>
      </c>
      <c r="JL104">
        <v>29349828.6</v>
      </c>
      <c r="JM104">
        <v>29349828.6</v>
      </c>
      <c r="JN104">
        <v>2.74902</v>
      </c>
      <c r="JO104">
        <v>2.6123</v>
      </c>
      <c r="JP104">
        <v>1.54785</v>
      </c>
      <c r="JQ104">
        <v>2.31445</v>
      </c>
      <c r="JR104">
        <v>1.64673</v>
      </c>
      <c r="JS104">
        <v>2.30225</v>
      </c>
      <c r="JT104">
        <v>33.6479</v>
      </c>
      <c r="JU104">
        <v>24.1838</v>
      </c>
      <c r="JV104">
        <v>18</v>
      </c>
      <c r="JW104">
        <v>501.051</v>
      </c>
      <c r="JX104">
        <v>394.991</v>
      </c>
      <c r="JY104">
        <v>12.247</v>
      </c>
      <c r="JZ104">
        <v>23.9008</v>
      </c>
      <c r="KA104">
        <v>30.0002</v>
      </c>
      <c r="KB104">
        <v>23.921</v>
      </c>
      <c r="KC104">
        <v>23.8912</v>
      </c>
      <c r="KD104">
        <v>55.0106</v>
      </c>
      <c r="KE104">
        <v>8.50445</v>
      </c>
      <c r="KF104">
        <v>22.9919</v>
      </c>
      <c r="KG104">
        <v>12.2223</v>
      </c>
      <c r="KH104">
        <v>1476.36</v>
      </c>
      <c r="KI104">
        <v>9.01151</v>
      </c>
      <c r="KJ104">
        <v>97.0462</v>
      </c>
      <c r="KK104">
        <v>95.3065</v>
      </c>
    </row>
    <row r="105" spans="1:297">
      <c r="A105">
        <v>89</v>
      </c>
      <c r="B105">
        <v>1760989722.1</v>
      </c>
      <c r="C105">
        <v>532</v>
      </c>
      <c r="D105" t="s">
        <v>620</v>
      </c>
      <c r="E105" t="s">
        <v>621</v>
      </c>
      <c r="F105">
        <v>5</v>
      </c>
      <c r="G105" t="s">
        <v>435</v>
      </c>
      <c r="H105" t="s">
        <v>436</v>
      </c>
      <c r="I105">
        <v>1760989713.94615</v>
      </c>
      <c r="J105">
        <f>(K105)/1000</f>
        <v>0</v>
      </c>
      <c r="K105">
        <f>IF(DP105, AN105, AH105)</f>
        <v>0</v>
      </c>
      <c r="L105">
        <f>IF(DP105, AI105, AG105)</f>
        <v>0</v>
      </c>
      <c r="M105">
        <f>DR105 - IF(AU105&gt;1, L105*DL105*100.0/(AW105), 0)</f>
        <v>0</v>
      </c>
      <c r="N105">
        <f>((T105-J105/2)*M105-L105)/(T105+J105/2)</f>
        <v>0</v>
      </c>
      <c r="O105">
        <f>N105*(DY105+DZ105)/1000.0</f>
        <v>0</v>
      </c>
      <c r="P105">
        <f>(DR105 - IF(AU105&gt;1, L105*DL105*100.0/(AW105), 0))*(DY105+DZ105)/1000.0</f>
        <v>0</v>
      </c>
      <c r="Q105">
        <f>2.0/((1/S105-1/R105)+SIGN(S105)*SQRT((1/S105-1/R105)*(1/S105-1/R105) + 4*DM105/((DM105+1)*(DM105+1))*(2*1/S105*1/R105-1/R105*1/R105)))</f>
        <v>0</v>
      </c>
      <c r="R105">
        <f>IF(LEFT(DN105,1)&lt;&gt;"0",IF(LEFT(DN105,1)="1",3.0,DO105),$D$5+$E$5*(EF105*DY105/($K$5*1000))+$F$5*(EF105*DY105/($K$5*1000))*MAX(MIN(DL105,$J$5),$I$5)*MAX(MIN(DL105,$J$5),$I$5)+$G$5*MAX(MIN(DL105,$J$5),$I$5)*(EF105*DY105/($K$5*1000))+$H$5*(EF105*DY105/($K$5*1000))*(EF105*DY105/($K$5*1000)))</f>
        <v>0</v>
      </c>
      <c r="S105">
        <f>J105*(1000-(1000*0.61365*exp(17.502*W105/(240.97+W105))/(DY105+DZ105)+DT105)/2)/(1000*0.61365*exp(17.502*W105/(240.97+W105))/(DY105+DZ105)-DT105)</f>
        <v>0</v>
      </c>
      <c r="T105">
        <f>1/((DM105+1)/(Q105/1.6)+1/(R105/1.37)) + DM105/((DM105+1)/(Q105/1.6) + DM105/(R105/1.37))</f>
        <v>0</v>
      </c>
      <c r="U105">
        <f>(DH105*DK105)</f>
        <v>0</v>
      </c>
      <c r="V105">
        <f>(EA105+(U105+2*0.95*5.67E-8*(((EA105+$B$7)+273)^4-(EA105+273)^4)-44100*J105)/(1.84*29.3*R105+8*0.95*5.67E-8*(EA105+273)^3))</f>
        <v>0</v>
      </c>
      <c r="W105">
        <f>($C$7*EB105+$D$7*EC105+$E$7*V105)</f>
        <v>0</v>
      </c>
      <c r="X105">
        <f>0.61365*exp(17.502*W105/(240.97+W105))</f>
        <v>0</v>
      </c>
      <c r="Y105">
        <f>(Z105/AA105*100)</f>
        <v>0</v>
      </c>
      <c r="Z105">
        <f>DT105*(DY105+DZ105)/1000</f>
        <v>0</v>
      </c>
      <c r="AA105">
        <f>0.61365*exp(17.502*EA105/(240.97+EA105))</f>
        <v>0</v>
      </c>
      <c r="AB105">
        <f>(X105-DT105*(DY105+DZ105)/1000)</f>
        <v>0</v>
      </c>
      <c r="AC105">
        <f>(-J105*44100)</f>
        <v>0</v>
      </c>
      <c r="AD105">
        <f>2*29.3*R105*0.92*(EA105-W105)</f>
        <v>0</v>
      </c>
      <c r="AE105">
        <f>2*0.95*5.67E-8*(((EA105+$B$7)+273)^4-(W105+273)^4)</f>
        <v>0</v>
      </c>
      <c r="AF105">
        <f>U105+AE105+AC105+AD105</f>
        <v>0</v>
      </c>
      <c r="AG105">
        <f>DX105*AU105*(DS105-DR105*(1000-AU105*DU105)/(1000-AU105*DT105))/(100*DL105)</f>
        <v>0</v>
      </c>
      <c r="AH105">
        <f>1000*DX105*AU105*(DT105-DU105)/(100*DL105*(1000-AU105*DT105))</f>
        <v>0</v>
      </c>
      <c r="AI105">
        <f>(AJ105 - AK105 - DY105*1E3/(8.314*(EA105+273.15)) * AM105/DX105 * AL105) * DX105/(100*DL105) * (1000 - DU105)/1000</f>
        <v>0</v>
      </c>
      <c r="AJ105">
        <v>1471.16966270681</v>
      </c>
      <c r="AK105">
        <v>1440.37927272727</v>
      </c>
      <c r="AL105">
        <v>3.26717675234722</v>
      </c>
      <c r="AM105">
        <v>64.8413469339502</v>
      </c>
      <c r="AN105">
        <f>(AP105 - AO105 + DY105*1E3/(8.314*(EA105+273.15)) * AR105/DX105 * AQ105) * DX105/(100*DL105) * 1000/(1000 - AP105)</f>
        <v>0</v>
      </c>
      <c r="AO105">
        <v>8.94299867106116</v>
      </c>
      <c r="AP105">
        <v>11.8331545454545</v>
      </c>
      <c r="AQ105">
        <v>-5.43356167380171e-05</v>
      </c>
      <c r="AR105">
        <v>118.472689631034</v>
      </c>
      <c r="AS105">
        <v>0</v>
      </c>
      <c r="AT105">
        <v>0</v>
      </c>
      <c r="AU105">
        <f>IF(AS105*$H$13&gt;=AW105,1.0,(AW105/(AW105-AS105*$H$13)))</f>
        <v>0</v>
      </c>
      <c r="AV105">
        <f>(AU105-1)*100</f>
        <v>0</v>
      </c>
      <c r="AW105">
        <f>MAX(0,($B$13+$C$13*EF105)/(1+$D$13*EF105)*DY105/(EA105+273)*$E$13)</f>
        <v>0</v>
      </c>
      <c r="AX105" t="s">
        <v>437</v>
      </c>
      <c r="AY105" t="s">
        <v>437</v>
      </c>
      <c r="AZ105">
        <v>0</v>
      </c>
      <c r="BA105">
        <v>0</v>
      </c>
      <c r="BB105">
        <f>1-AZ105/BA105</f>
        <v>0</v>
      </c>
      <c r="BC105">
        <v>0</v>
      </c>
      <c r="BD105" t="s">
        <v>437</v>
      </c>
      <c r="BE105" t="s">
        <v>437</v>
      </c>
      <c r="BF105">
        <v>0</v>
      </c>
      <c r="BG105">
        <v>0</v>
      </c>
      <c r="BH105">
        <f>1-BF105/BG105</f>
        <v>0</v>
      </c>
      <c r="BI105">
        <v>0.5</v>
      </c>
      <c r="BJ105">
        <f>DI105</f>
        <v>0</v>
      </c>
      <c r="BK105">
        <f>L105</f>
        <v>0</v>
      </c>
      <c r="BL105">
        <f>BH105*BI105*BJ105</f>
        <v>0</v>
      </c>
      <c r="BM105">
        <f>(BK105-BC105)/BJ105</f>
        <v>0</v>
      </c>
      <c r="BN105">
        <f>(BA105-BG105)/BG105</f>
        <v>0</v>
      </c>
      <c r="BO105">
        <f>AZ105/(BB105+AZ105/BG105)</f>
        <v>0</v>
      </c>
      <c r="BP105" t="s">
        <v>437</v>
      </c>
      <c r="BQ105">
        <v>0</v>
      </c>
      <c r="BR105">
        <f>IF(BQ105&lt;&gt;0, BQ105, BO105)</f>
        <v>0</v>
      </c>
      <c r="BS105">
        <f>1-BR105/BG105</f>
        <v>0</v>
      </c>
      <c r="BT105">
        <f>(BG105-BF105)/(BG105-BR105)</f>
        <v>0</v>
      </c>
      <c r="BU105">
        <f>(BA105-BG105)/(BA105-BR105)</f>
        <v>0</v>
      </c>
      <c r="BV105">
        <f>(BG105-BF105)/(BG105-AZ105)</f>
        <v>0</v>
      </c>
      <c r="BW105">
        <f>(BA105-BG105)/(BA105-AZ105)</f>
        <v>0</v>
      </c>
      <c r="BX105">
        <f>(BT105*BR105/BF105)</f>
        <v>0</v>
      </c>
      <c r="BY105">
        <f>(1-BX105)</f>
        <v>0</v>
      </c>
      <c r="DH105">
        <f>$B$11*EG105+$C$11*EH105+$F$11*ES105*(1-EV105)</f>
        <v>0</v>
      </c>
      <c r="DI105">
        <f>DH105*DJ105</f>
        <v>0</v>
      </c>
      <c r="DJ105">
        <f>($B$11*$D$9+$C$11*$D$9+$F$11*((FF105+EX105)/MAX(FF105+EX105+FG105, 0.1)*$I$9+FG105/MAX(FF105+EX105+FG105, 0.1)*$J$9))/($B$11+$C$11+$F$11)</f>
        <v>0</v>
      </c>
      <c r="DK105">
        <f>($B$11*$K$9+$C$11*$K$9+$F$11*((FF105+EX105)/MAX(FF105+EX105+FG105, 0.1)*$P$9+FG105/MAX(FF105+EX105+FG105, 0.1)*$Q$9))/($B$11+$C$11+$F$11)</f>
        <v>0</v>
      </c>
      <c r="DL105">
        <v>6</v>
      </c>
      <c r="DM105">
        <v>0.5</v>
      </c>
      <c r="DN105" t="s">
        <v>438</v>
      </c>
      <c r="DO105">
        <v>2</v>
      </c>
      <c r="DP105" t="b">
        <v>1</v>
      </c>
      <c r="DQ105">
        <v>1760989713.94615</v>
      </c>
      <c r="DR105">
        <v>1399.92461538462</v>
      </c>
      <c r="DS105">
        <v>1442.82538461538</v>
      </c>
      <c r="DT105">
        <v>11.8515846153846</v>
      </c>
      <c r="DU105">
        <v>8.96411307692308</v>
      </c>
      <c r="DV105">
        <v>1393.66307692308</v>
      </c>
      <c r="DW105">
        <v>11.9622769230769</v>
      </c>
      <c r="DX105">
        <v>500.028615384615</v>
      </c>
      <c r="DY105">
        <v>89.8523230769231</v>
      </c>
      <c r="DZ105">
        <v>0.00793698384615385</v>
      </c>
      <c r="EA105">
        <v>18.4896769230769</v>
      </c>
      <c r="EB105">
        <v>18.0181923076923</v>
      </c>
      <c r="EC105">
        <v>999.9</v>
      </c>
      <c r="ED105">
        <v>0</v>
      </c>
      <c r="EE105">
        <v>0</v>
      </c>
      <c r="EF105">
        <v>10000.9130769231</v>
      </c>
      <c r="EG105">
        <v>0</v>
      </c>
      <c r="EH105">
        <v>1270.19461538462</v>
      </c>
      <c r="EI105">
        <v>-42.9002</v>
      </c>
      <c r="EJ105">
        <v>1416.71692307692</v>
      </c>
      <c r="EK105">
        <v>1455.87692307692</v>
      </c>
      <c r="EL105">
        <v>2.88748461538462</v>
      </c>
      <c r="EM105">
        <v>1442.82538461538</v>
      </c>
      <c r="EN105">
        <v>8.96411307692308</v>
      </c>
      <c r="EO105">
        <v>1.06489461538462</v>
      </c>
      <c r="EP105">
        <v>0.805446307692308</v>
      </c>
      <c r="EQ105">
        <v>7.83584846153846</v>
      </c>
      <c r="ER105">
        <v>3.80358846153846</v>
      </c>
      <c r="ES105">
        <v>1200.04615384615</v>
      </c>
      <c r="ET105">
        <v>0.967010923076923</v>
      </c>
      <c r="EU105">
        <v>0.0329891</v>
      </c>
      <c r="EV105">
        <v>0</v>
      </c>
      <c r="EW105">
        <v>1335.37615384615</v>
      </c>
      <c r="EX105">
        <v>5.00059</v>
      </c>
      <c r="EY105">
        <v>15732.5923076923</v>
      </c>
      <c r="EZ105">
        <v>10359.1615384615</v>
      </c>
      <c r="FA105">
        <v>38.12</v>
      </c>
      <c r="FB105">
        <v>39.9708461538462</v>
      </c>
      <c r="FC105">
        <v>38.5958461538462</v>
      </c>
      <c r="FD105">
        <v>39.5237692307692</v>
      </c>
      <c r="FE105">
        <v>38.9468461538462</v>
      </c>
      <c r="FF105">
        <v>1155.62384615385</v>
      </c>
      <c r="FG105">
        <v>39.4223076923077</v>
      </c>
      <c r="FH105">
        <v>0</v>
      </c>
      <c r="FI105">
        <v>1760989691.5</v>
      </c>
      <c r="FJ105">
        <v>0</v>
      </c>
      <c r="FK105">
        <v>1335.35923076923</v>
      </c>
      <c r="FL105">
        <v>1.36068375101485</v>
      </c>
      <c r="FM105">
        <v>-21.0085470112063</v>
      </c>
      <c r="FN105">
        <v>15731.4269230769</v>
      </c>
      <c r="FO105">
        <v>15</v>
      </c>
      <c r="FP105">
        <v>0</v>
      </c>
      <c r="FQ105" t="s">
        <v>439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-43.10453</v>
      </c>
      <c r="GD105">
        <v>2.69097744360903</v>
      </c>
      <c r="GE105">
        <v>0.605450069039554</v>
      </c>
      <c r="GF105">
        <v>0</v>
      </c>
      <c r="GG105">
        <v>1335.32970588235</v>
      </c>
      <c r="GH105">
        <v>1.00702826480402</v>
      </c>
      <c r="GI105">
        <v>0.207711413123749</v>
      </c>
      <c r="GJ105">
        <v>-1</v>
      </c>
      <c r="GK105">
        <v>2.8792725</v>
      </c>
      <c r="GL105">
        <v>0.216075338345864</v>
      </c>
      <c r="GM105">
        <v>0.025235444294682</v>
      </c>
      <c r="GN105">
        <v>0</v>
      </c>
      <c r="GO105">
        <v>0</v>
      </c>
      <c r="GP105">
        <v>2</v>
      </c>
      <c r="GQ105" t="s">
        <v>519</v>
      </c>
      <c r="GR105">
        <v>3.13047</v>
      </c>
      <c r="GS105">
        <v>2.68599</v>
      </c>
      <c r="GT105">
        <v>0.206353</v>
      </c>
      <c r="GU105">
        <v>0.210605</v>
      </c>
      <c r="GV105">
        <v>0.0617735</v>
      </c>
      <c r="GW105">
        <v>0.0495817</v>
      </c>
      <c r="GX105">
        <v>30084.2</v>
      </c>
      <c r="GY105">
        <v>32154.6</v>
      </c>
      <c r="GZ105">
        <v>34267.3</v>
      </c>
      <c r="HA105">
        <v>36850.8</v>
      </c>
      <c r="HB105">
        <v>45361.9</v>
      </c>
      <c r="HC105">
        <v>50235.7</v>
      </c>
      <c r="HD105">
        <v>53341.8</v>
      </c>
      <c r="HE105">
        <v>58778.2</v>
      </c>
      <c r="HF105">
        <v>2.00938</v>
      </c>
      <c r="HG105">
        <v>1.83895</v>
      </c>
      <c r="HH105">
        <v>0.0330955</v>
      </c>
      <c r="HI105">
        <v>0</v>
      </c>
      <c r="HJ105">
        <v>17.462</v>
      </c>
      <c r="HK105">
        <v>999.9</v>
      </c>
      <c r="HL105">
        <v>25.858</v>
      </c>
      <c r="HM105">
        <v>30.313</v>
      </c>
      <c r="HN105">
        <v>12.4838</v>
      </c>
      <c r="HO105">
        <v>53.8991</v>
      </c>
      <c r="HP105">
        <v>44.4591</v>
      </c>
      <c r="HQ105">
        <v>1</v>
      </c>
      <c r="HR105">
        <v>-0.269126</v>
      </c>
      <c r="HS105">
        <v>4.18342</v>
      </c>
      <c r="HT105">
        <v>20.0862</v>
      </c>
      <c r="HU105">
        <v>5.20246</v>
      </c>
      <c r="HV105">
        <v>12.004</v>
      </c>
      <c r="HW105">
        <v>4.9756</v>
      </c>
      <c r="HX105">
        <v>3.293</v>
      </c>
      <c r="HY105">
        <v>9999</v>
      </c>
      <c r="HZ105">
        <v>999.9</v>
      </c>
      <c r="IA105">
        <v>9999</v>
      </c>
      <c r="IB105">
        <v>9999</v>
      </c>
      <c r="IC105">
        <v>1.86325</v>
      </c>
      <c r="ID105">
        <v>1.86805</v>
      </c>
      <c r="IE105">
        <v>1.86783</v>
      </c>
      <c r="IF105">
        <v>1.86905</v>
      </c>
      <c r="IG105">
        <v>1.86981</v>
      </c>
      <c r="IH105">
        <v>1.86584</v>
      </c>
      <c r="II105">
        <v>1.86693</v>
      </c>
      <c r="IJ105">
        <v>1.86839</v>
      </c>
      <c r="IK105">
        <v>5</v>
      </c>
      <c r="IL105">
        <v>0</v>
      </c>
      <c r="IM105">
        <v>0</v>
      </c>
      <c r="IN105">
        <v>0</v>
      </c>
      <c r="IO105" t="s">
        <v>441</v>
      </c>
      <c r="IP105" t="s">
        <v>442</v>
      </c>
      <c r="IQ105" t="s">
        <v>443</v>
      </c>
      <c r="IR105" t="s">
        <v>443</v>
      </c>
      <c r="IS105" t="s">
        <v>443</v>
      </c>
      <c r="IT105" t="s">
        <v>443</v>
      </c>
      <c r="IU105">
        <v>0</v>
      </c>
      <c r="IV105">
        <v>100</v>
      </c>
      <c r="IW105">
        <v>100</v>
      </c>
      <c r="IX105">
        <v>6.35</v>
      </c>
      <c r="IY105">
        <v>-0.1109</v>
      </c>
      <c r="IZ105">
        <v>1.12474291219083</v>
      </c>
      <c r="JA105">
        <v>0.00463155566490582</v>
      </c>
      <c r="JB105">
        <v>-1.1358998729424e-06</v>
      </c>
      <c r="JC105">
        <v>3.28704272115545e-10</v>
      </c>
      <c r="JD105">
        <v>-0.0704455108513773</v>
      </c>
      <c r="JE105">
        <v>-0.0251928478371425</v>
      </c>
      <c r="JF105">
        <v>0.00225751704194564</v>
      </c>
      <c r="JG105">
        <v>-3.61734043746866e-05</v>
      </c>
      <c r="JH105">
        <v>1</v>
      </c>
      <c r="JI105">
        <v>2182</v>
      </c>
      <c r="JJ105">
        <v>0</v>
      </c>
      <c r="JK105">
        <v>24</v>
      </c>
      <c r="JL105">
        <v>29349828.7</v>
      </c>
      <c r="JM105">
        <v>29349828.7</v>
      </c>
      <c r="JN105">
        <v>2.7771</v>
      </c>
      <c r="JO105">
        <v>2.6123</v>
      </c>
      <c r="JP105">
        <v>1.54785</v>
      </c>
      <c r="JQ105">
        <v>2.31445</v>
      </c>
      <c r="JR105">
        <v>1.64673</v>
      </c>
      <c r="JS105">
        <v>2.26562</v>
      </c>
      <c r="JT105">
        <v>33.6479</v>
      </c>
      <c r="JU105">
        <v>24.1838</v>
      </c>
      <c r="JV105">
        <v>18</v>
      </c>
      <c r="JW105">
        <v>501.051</v>
      </c>
      <c r="JX105">
        <v>395.097</v>
      </c>
      <c r="JY105">
        <v>12.2254</v>
      </c>
      <c r="JZ105">
        <v>23.9008</v>
      </c>
      <c r="KA105">
        <v>30.0001</v>
      </c>
      <c r="KB105">
        <v>23.921</v>
      </c>
      <c r="KC105">
        <v>23.8912</v>
      </c>
      <c r="KD105">
        <v>55.5725</v>
      </c>
      <c r="KE105">
        <v>8.50445</v>
      </c>
      <c r="KF105">
        <v>22.9919</v>
      </c>
      <c r="KG105">
        <v>12.2089</v>
      </c>
      <c r="KH105">
        <v>1490</v>
      </c>
      <c r="KI105">
        <v>9.02271</v>
      </c>
      <c r="KJ105">
        <v>97.0458</v>
      </c>
      <c r="KK105">
        <v>95.3068</v>
      </c>
    </row>
    <row r="106" spans="1:297">
      <c r="A106">
        <v>90</v>
      </c>
      <c r="B106">
        <v>1760989727.1</v>
      </c>
      <c r="C106">
        <v>537</v>
      </c>
      <c r="D106" t="s">
        <v>622</v>
      </c>
      <c r="E106" t="s">
        <v>623</v>
      </c>
      <c r="F106">
        <v>5</v>
      </c>
      <c r="G106" t="s">
        <v>435</v>
      </c>
      <c r="H106" t="s">
        <v>436</v>
      </c>
      <c r="I106">
        <v>1760989718.94615</v>
      </c>
      <c r="J106">
        <f>(K106)/1000</f>
        <v>0</v>
      </c>
      <c r="K106">
        <f>IF(DP106, AN106, AH106)</f>
        <v>0</v>
      </c>
      <c r="L106">
        <f>IF(DP106, AI106, AG106)</f>
        <v>0</v>
      </c>
      <c r="M106">
        <f>DR106 - IF(AU106&gt;1, L106*DL106*100.0/(AW106), 0)</f>
        <v>0</v>
      </c>
      <c r="N106">
        <f>((T106-J106/2)*M106-L106)/(T106+J106/2)</f>
        <v>0</v>
      </c>
      <c r="O106">
        <f>N106*(DY106+DZ106)/1000.0</f>
        <v>0</v>
      </c>
      <c r="P106">
        <f>(DR106 - IF(AU106&gt;1, L106*DL106*100.0/(AW106), 0))*(DY106+DZ106)/1000.0</f>
        <v>0</v>
      </c>
      <c r="Q106">
        <f>2.0/((1/S106-1/R106)+SIGN(S106)*SQRT((1/S106-1/R106)*(1/S106-1/R106) + 4*DM106/((DM106+1)*(DM106+1))*(2*1/S106*1/R106-1/R106*1/R106)))</f>
        <v>0</v>
      </c>
      <c r="R106">
        <f>IF(LEFT(DN106,1)&lt;&gt;"0",IF(LEFT(DN106,1)="1",3.0,DO106),$D$5+$E$5*(EF106*DY106/($K$5*1000))+$F$5*(EF106*DY106/($K$5*1000))*MAX(MIN(DL106,$J$5),$I$5)*MAX(MIN(DL106,$J$5),$I$5)+$G$5*MAX(MIN(DL106,$J$5),$I$5)*(EF106*DY106/($K$5*1000))+$H$5*(EF106*DY106/($K$5*1000))*(EF106*DY106/($K$5*1000)))</f>
        <v>0</v>
      </c>
      <c r="S106">
        <f>J106*(1000-(1000*0.61365*exp(17.502*W106/(240.97+W106))/(DY106+DZ106)+DT106)/2)/(1000*0.61365*exp(17.502*W106/(240.97+W106))/(DY106+DZ106)-DT106)</f>
        <v>0</v>
      </c>
      <c r="T106">
        <f>1/((DM106+1)/(Q106/1.6)+1/(R106/1.37)) + DM106/((DM106+1)/(Q106/1.6) + DM106/(R106/1.37))</f>
        <v>0</v>
      </c>
      <c r="U106">
        <f>(DH106*DK106)</f>
        <v>0</v>
      </c>
      <c r="V106">
        <f>(EA106+(U106+2*0.95*5.67E-8*(((EA106+$B$7)+273)^4-(EA106+273)^4)-44100*J106)/(1.84*29.3*R106+8*0.95*5.67E-8*(EA106+273)^3))</f>
        <v>0</v>
      </c>
      <c r="W106">
        <f>($C$7*EB106+$D$7*EC106+$E$7*V106)</f>
        <v>0</v>
      </c>
      <c r="X106">
        <f>0.61365*exp(17.502*W106/(240.97+W106))</f>
        <v>0</v>
      </c>
      <c r="Y106">
        <f>(Z106/AA106*100)</f>
        <v>0</v>
      </c>
      <c r="Z106">
        <f>DT106*(DY106+DZ106)/1000</f>
        <v>0</v>
      </c>
      <c r="AA106">
        <f>0.61365*exp(17.502*EA106/(240.97+EA106))</f>
        <v>0</v>
      </c>
      <c r="AB106">
        <f>(X106-DT106*(DY106+DZ106)/1000)</f>
        <v>0</v>
      </c>
      <c r="AC106">
        <f>(-J106*44100)</f>
        <v>0</v>
      </c>
      <c r="AD106">
        <f>2*29.3*R106*0.92*(EA106-W106)</f>
        <v>0</v>
      </c>
      <c r="AE106">
        <f>2*0.95*5.67E-8*(((EA106+$B$7)+273)^4-(W106+273)^4)</f>
        <v>0</v>
      </c>
      <c r="AF106">
        <f>U106+AE106+AC106+AD106</f>
        <v>0</v>
      </c>
      <c r="AG106">
        <f>DX106*AU106*(DS106-DR106*(1000-AU106*DU106)/(1000-AU106*DT106))/(100*DL106)</f>
        <v>0</v>
      </c>
      <c r="AH106">
        <f>1000*DX106*AU106*(DT106-DU106)/(100*DL106*(1000-AU106*DT106))</f>
        <v>0</v>
      </c>
      <c r="AI106">
        <f>(AJ106 - AK106 - DY106*1E3/(8.314*(EA106+273.15)) * AM106/DX106 * AL106) * DX106/(100*DL106) * (1000 - DU106)/1000</f>
        <v>0</v>
      </c>
      <c r="AJ106">
        <v>1489.85680686324</v>
      </c>
      <c r="AK106">
        <v>1458.18963636364</v>
      </c>
      <c r="AL106">
        <v>3.56323085940035</v>
      </c>
      <c r="AM106">
        <v>64.8413469339502</v>
      </c>
      <c r="AN106">
        <f>(AP106 - AO106 + DY106*1E3/(8.314*(EA106+273.15)) * AR106/DX106 * AQ106) * DX106/(100*DL106) * 1000/(1000 - AP106)</f>
        <v>0</v>
      </c>
      <c r="AO106">
        <v>8.9514800380822</v>
      </c>
      <c r="AP106">
        <v>11.8296084848485</v>
      </c>
      <c r="AQ106">
        <v>-3.69048231284448e-06</v>
      </c>
      <c r="AR106">
        <v>118.472689631034</v>
      </c>
      <c r="AS106">
        <v>0</v>
      </c>
      <c r="AT106">
        <v>0</v>
      </c>
      <c r="AU106">
        <f>IF(AS106*$H$13&gt;=AW106,1.0,(AW106/(AW106-AS106*$H$13)))</f>
        <v>0</v>
      </c>
      <c r="AV106">
        <f>(AU106-1)*100</f>
        <v>0</v>
      </c>
      <c r="AW106">
        <f>MAX(0,($B$13+$C$13*EF106)/(1+$D$13*EF106)*DY106/(EA106+273)*$E$13)</f>
        <v>0</v>
      </c>
      <c r="AX106" t="s">
        <v>437</v>
      </c>
      <c r="AY106" t="s">
        <v>437</v>
      </c>
      <c r="AZ106">
        <v>0</v>
      </c>
      <c r="BA106">
        <v>0</v>
      </c>
      <c r="BB106">
        <f>1-AZ106/BA106</f>
        <v>0</v>
      </c>
      <c r="BC106">
        <v>0</v>
      </c>
      <c r="BD106" t="s">
        <v>437</v>
      </c>
      <c r="BE106" t="s">
        <v>437</v>
      </c>
      <c r="BF106">
        <v>0</v>
      </c>
      <c r="BG106">
        <v>0</v>
      </c>
      <c r="BH106">
        <f>1-BF106/BG106</f>
        <v>0</v>
      </c>
      <c r="BI106">
        <v>0.5</v>
      </c>
      <c r="BJ106">
        <f>DI106</f>
        <v>0</v>
      </c>
      <c r="BK106">
        <f>L106</f>
        <v>0</v>
      </c>
      <c r="BL106">
        <f>BH106*BI106*BJ106</f>
        <v>0</v>
      </c>
      <c r="BM106">
        <f>(BK106-BC106)/BJ106</f>
        <v>0</v>
      </c>
      <c r="BN106">
        <f>(BA106-BG106)/BG106</f>
        <v>0</v>
      </c>
      <c r="BO106">
        <f>AZ106/(BB106+AZ106/BG106)</f>
        <v>0</v>
      </c>
      <c r="BP106" t="s">
        <v>437</v>
      </c>
      <c r="BQ106">
        <v>0</v>
      </c>
      <c r="BR106">
        <f>IF(BQ106&lt;&gt;0, BQ106, BO106)</f>
        <v>0</v>
      </c>
      <c r="BS106">
        <f>1-BR106/BG106</f>
        <v>0</v>
      </c>
      <c r="BT106">
        <f>(BG106-BF106)/(BG106-BR106)</f>
        <v>0</v>
      </c>
      <c r="BU106">
        <f>(BA106-BG106)/(BA106-BR106)</f>
        <v>0</v>
      </c>
      <c r="BV106">
        <f>(BG106-BF106)/(BG106-AZ106)</f>
        <v>0</v>
      </c>
      <c r="BW106">
        <f>(BA106-BG106)/(BA106-AZ106)</f>
        <v>0</v>
      </c>
      <c r="BX106">
        <f>(BT106*BR106/BF106)</f>
        <v>0</v>
      </c>
      <c r="BY106">
        <f>(1-BX106)</f>
        <v>0</v>
      </c>
      <c r="DH106">
        <f>$B$11*EG106+$C$11*EH106+$F$11*ES106*(1-EV106)</f>
        <v>0</v>
      </c>
      <c r="DI106">
        <f>DH106*DJ106</f>
        <v>0</v>
      </c>
      <c r="DJ106">
        <f>($B$11*$D$9+$C$11*$D$9+$F$11*((FF106+EX106)/MAX(FF106+EX106+FG106, 0.1)*$I$9+FG106/MAX(FF106+EX106+FG106, 0.1)*$J$9))/($B$11+$C$11+$F$11)</f>
        <v>0</v>
      </c>
      <c r="DK106">
        <f>($B$11*$K$9+$C$11*$K$9+$F$11*((FF106+EX106)/MAX(FF106+EX106+FG106, 0.1)*$P$9+FG106/MAX(FF106+EX106+FG106, 0.1)*$Q$9))/($B$11+$C$11+$F$11)</f>
        <v>0</v>
      </c>
      <c r="DL106">
        <v>6</v>
      </c>
      <c r="DM106">
        <v>0.5</v>
      </c>
      <c r="DN106" t="s">
        <v>438</v>
      </c>
      <c r="DO106">
        <v>2</v>
      </c>
      <c r="DP106" t="b">
        <v>1</v>
      </c>
      <c r="DQ106">
        <v>1760989718.94615</v>
      </c>
      <c r="DR106">
        <v>1416.60923076923</v>
      </c>
      <c r="DS106">
        <v>1459.93461538462</v>
      </c>
      <c r="DT106">
        <v>11.8410923076923</v>
      </c>
      <c r="DU106">
        <v>8.94733923076923</v>
      </c>
      <c r="DV106">
        <v>1410.29076923077</v>
      </c>
      <c r="DW106">
        <v>11.9519230769231</v>
      </c>
      <c r="DX106">
        <v>500.035538461538</v>
      </c>
      <c r="DY106">
        <v>89.8515153846154</v>
      </c>
      <c r="DZ106">
        <v>0.00786887846153846</v>
      </c>
      <c r="EA106">
        <v>18.4882769230769</v>
      </c>
      <c r="EB106">
        <v>18.0155307692308</v>
      </c>
      <c r="EC106">
        <v>999.9</v>
      </c>
      <c r="ED106">
        <v>0</v>
      </c>
      <c r="EE106">
        <v>0</v>
      </c>
      <c r="EF106">
        <v>9999.41307692308</v>
      </c>
      <c r="EG106">
        <v>0</v>
      </c>
      <c r="EH106">
        <v>1270.18846153846</v>
      </c>
      <c r="EI106">
        <v>-43.3256</v>
      </c>
      <c r="EJ106">
        <v>1433.58461538462</v>
      </c>
      <c r="EK106">
        <v>1473.11615384615</v>
      </c>
      <c r="EL106">
        <v>2.89376153846154</v>
      </c>
      <c r="EM106">
        <v>1459.93461538462</v>
      </c>
      <c r="EN106">
        <v>8.94733923076923</v>
      </c>
      <c r="EO106">
        <v>1.06394</v>
      </c>
      <c r="EP106">
        <v>0.803931923076923</v>
      </c>
      <c r="EQ106">
        <v>7.82271307692308</v>
      </c>
      <c r="ER106">
        <v>3.77691769230769</v>
      </c>
      <c r="ES106">
        <v>1200.05692307692</v>
      </c>
      <c r="ET106">
        <v>0.967010230769231</v>
      </c>
      <c r="EU106">
        <v>0.0329897769230769</v>
      </c>
      <c r="EV106">
        <v>0</v>
      </c>
      <c r="EW106">
        <v>1335.49769230769</v>
      </c>
      <c r="EX106">
        <v>5.00059</v>
      </c>
      <c r="EY106">
        <v>15730.8153846154</v>
      </c>
      <c r="EZ106">
        <v>10359.2615384615</v>
      </c>
      <c r="FA106">
        <v>38.0430769230769</v>
      </c>
      <c r="FB106">
        <v>39.8651538461538</v>
      </c>
      <c r="FC106">
        <v>38.5285384615385</v>
      </c>
      <c r="FD106">
        <v>39.3795384615385</v>
      </c>
      <c r="FE106">
        <v>38.8699230769231</v>
      </c>
      <c r="FF106">
        <v>1155.63153846154</v>
      </c>
      <c r="FG106">
        <v>39.4253846153846</v>
      </c>
      <c r="FH106">
        <v>0</v>
      </c>
      <c r="FI106">
        <v>1760989696.3</v>
      </c>
      <c r="FJ106">
        <v>0</v>
      </c>
      <c r="FK106">
        <v>1335.47461538462</v>
      </c>
      <c r="FL106">
        <v>1.18427349851345</v>
      </c>
      <c r="FM106">
        <v>-20.936752265933</v>
      </c>
      <c r="FN106">
        <v>15730.0769230769</v>
      </c>
      <c r="FO106">
        <v>15</v>
      </c>
      <c r="FP106">
        <v>0</v>
      </c>
      <c r="FQ106" t="s">
        <v>439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-43.18505</v>
      </c>
      <c r="GD106">
        <v>-3.81805714285708</v>
      </c>
      <c r="GE106">
        <v>0.716073729793239</v>
      </c>
      <c r="GF106">
        <v>0</v>
      </c>
      <c r="GG106">
        <v>1335.38382352941</v>
      </c>
      <c r="GH106">
        <v>0.983498851932708</v>
      </c>
      <c r="GI106">
        <v>0.195974408681661</v>
      </c>
      <c r="GJ106">
        <v>-1</v>
      </c>
      <c r="GK106">
        <v>2.885964</v>
      </c>
      <c r="GL106">
        <v>0.0872652631578967</v>
      </c>
      <c r="GM106">
        <v>0.019999690097599</v>
      </c>
      <c r="GN106">
        <v>1</v>
      </c>
      <c r="GO106">
        <v>1</v>
      </c>
      <c r="GP106">
        <v>2</v>
      </c>
      <c r="GQ106" t="s">
        <v>446</v>
      </c>
      <c r="GR106">
        <v>3.13063</v>
      </c>
      <c r="GS106">
        <v>2.68571</v>
      </c>
      <c r="GT106">
        <v>0.20788</v>
      </c>
      <c r="GU106">
        <v>0.212013</v>
      </c>
      <c r="GV106">
        <v>0.0617618</v>
      </c>
      <c r="GW106">
        <v>0.0496257</v>
      </c>
      <c r="GX106">
        <v>30026.6</v>
      </c>
      <c r="GY106">
        <v>32097.1</v>
      </c>
      <c r="GZ106">
        <v>34267.5</v>
      </c>
      <c r="HA106">
        <v>36850.5</v>
      </c>
      <c r="HB106">
        <v>45362.9</v>
      </c>
      <c r="HC106">
        <v>50233.3</v>
      </c>
      <c r="HD106">
        <v>53342.1</v>
      </c>
      <c r="HE106">
        <v>58777.9</v>
      </c>
      <c r="HF106">
        <v>2.0094</v>
      </c>
      <c r="HG106">
        <v>1.83893</v>
      </c>
      <c r="HH106">
        <v>0.0328198</v>
      </c>
      <c r="HI106">
        <v>0</v>
      </c>
      <c r="HJ106">
        <v>17.4606</v>
      </c>
      <c r="HK106">
        <v>999.9</v>
      </c>
      <c r="HL106">
        <v>25.858</v>
      </c>
      <c r="HM106">
        <v>30.313</v>
      </c>
      <c r="HN106">
        <v>12.4828</v>
      </c>
      <c r="HO106">
        <v>54.2691</v>
      </c>
      <c r="HP106">
        <v>44.1186</v>
      </c>
      <c r="HQ106">
        <v>1</v>
      </c>
      <c r="HR106">
        <v>-0.268948</v>
      </c>
      <c r="HS106">
        <v>4.17473</v>
      </c>
      <c r="HT106">
        <v>20.0865</v>
      </c>
      <c r="HU106">
        <v>5.20231</v>
      </c>
      <c r="HV106">
        <v>12.004</v>
      </c>
      <c r="HW106">
        <v>4.9755</v>
      </c>
      <c r="HX106">
        <v>3.29305</v>
      </c>
      <c r="HY106">
        <v>9999</v>
      </c>
      <c r="HZ106">
        <v>999.9</v>
      </c>
      <c r="IA106">
        <v>9999</v>
      </c>
      <c r="IB106">
        <v>9999</v>
      </c>
      <c r="IC106">
        <v>1.86325</v>
      </c>
      <c r="ID106">
        <v>1.86805</v>
      </c>
      <c r="IE106">
        <v>1.86783</v>
      </c>
      <c r="IF106">
        <v>1.86905</v>
      </c>
      <c r="IG106">
        <v>1.86981</v>
      </c>
      <c r="IH106">
        <v>1.86584</v>
      </c>
      <c r="II106">
        <v>1.86697</v>
      </c>
      <c r="IJ106">
        <v>1.86841</v>
      </c>
      <c r="IK106">
        <v>5</v>
      </c>
      <c r="IL106">
        <v>0</v>
      </c>
      <c r="IM106">
        <v>0</v>
      </c>
      <c r="IN106">
        <v>0</v>
      </c>
      <c r="IO106" t="s">
        <v>441</v>
      </c>
      <c r="IP106" t="s">
        <v>442</v>
      </c>
      <c r="IQ106" t="s">
        <v>443</v>
      </c>
      <c r="IR106" t="s">
        <v>443</v>
      </c>
      <c r="IS106" t="s">
        <v>443</v>
      </c>
      <c r="IT106" t="s">
        <v>443</v>
      </c>
      <c r="IU106">
        <v>0</v>
      </c>
      <c r="IV106">
        <v>100</v>
      </c>
      <c r="IW106">
        <v>100</v>
      </c>
      <c r="IX106">
        <v>6.41</v>
      </c>
      <c r="IY106">
        <v>-0.111</v>
      </c>
      <c r="IZ106">
        <v>1.12474291219083</v>
      </c>
      <c r="JA106">
        <v>0.00463155566490582</v>
      </c>
      <c r="JB106">
        <v>-1.1358998729424e-06</v>
      </c>
      <c r="JC106">
        <v>3.28704272115545e-10</v>
      </c>
      <c r="JD106">
        <v>-0.0704455108513773</v>
      </c>
      <c r="JE106">
        <v>-0.0251928478371425</v>
      </c>
      <c r="JF106">
        <v>0.00225751704194564</v>
      </c>
      <c r="JG106">
        <v>-3.61734043746866e-05</v>
      </c>
      <c r="JH106">
        <v>1</v>
      </c>
      <c r="JI106">
        <v>2182</v>
      </c>
      <c r="JJ106">
        <v>0</v>
      </c>
      <c r="JK106">
        <v>24</v>
      </c>
      <c r="JL106">
        <v>29349828.8</v>
      </c>
      <c r="JM106">
        <v>29349828.8</v>
      </c>
      <c r="JN106">
        <v>2.79907</v>
      </c>
      <c r="JO106">
        <v>2.60986</v>
      </c>
      <c r="JP106">
        <v>1.54785</v>
      </c>
      <c r="JQ106">
        <v>2.31445</v>
      </c>
      <c r="JR106">
        <v>1.64551</v>
      </c>
      <c r="JS106">
        <v>2.32422</v>
      </c>
      <c r="JT106">
        <v>33.6479</v>
      </c>
      <c r="JU106">
        <v>24.1838</v>
      </c>
      <c r="JV106">
        <v>18</v>
      </c>
      <c r="JW106">
        <v>501.067</v>
      </c>
      <c r="JX106">
        <v>395.084</v>
      </c>
      <c r="JY106">
        <v>12.2082</v>
      </c>
      <c r="JZ106">
        <v>23.9008</v>
      </c>
      <c r="KA106">
        <v>30</v>
      </c>
      <c r="KB106">
        <v>23.921</v>
      </c>
      <c r="KC106">
        <v>23.8912</v>
      </c>
      <c r="KD106">
        <v>56.0255</v>
      </c>
      <c r="KE106">
        <v>8.21071</v>
      </c>
      <c r="KF106">
        <v>22.9919</v>
      </c>
      <c r="KG106">
        <v>12.2019</v>
      </c>
      <c r="KH106">
        <v>1510.17</v>
      </c>
      <c r="KI106">
        <v>9.0318</v>
      </c>
      <c r="KJ106">
        <v>97.0463</v>
      </c>
      <c r="KK106">
        <v>95.3063</v>
      </c>
    </row>
    <row r="107" spans="1:297">
      <c r="A107">
        <v>91</v>
      </c>
      <c r="B107">
        <v>1760989732.1</v>
      </c>
      <c r="C107">
        <v>542</v>
      </c>
      <c r="D107" t="s">
        <v>624</v>
      </c>
      <c r="E107" t="s">
        <v>625</v>
      </c>
      <c r="F107">
        <v>5</v>
      </c>
      <c r="G107" t="s">
        <v>435</v>
      </c>
      <c r="H107" t="s">
        <v>436</v>
      </c>
      <c r="I107">
        <v>1760989723.94615</v>
      </c>
      <c r="J107">
        <f>(K107)/1000</f>
        <v>0</v>
      </c>
      <c r="K107">
        <f>IF(DP107, AN107, AH107)</f>
        <v>0</v>
      </c>
      <c r="L107">
        <f>IF(DP107, AI107, AG107)</f>
        <v>0</v>
      </c>
      <c r="M107">
        <f>DR107 - IF(AU107&gt;1, L107*DL107*100.0/(AW107), 0)</f>
        <v>0</v>
      </c>
      <c r="N107">
        <f>((T107-J107/2)*M107-L107)/(T107+J107/2)</f>
        <v>0</v>
      </c>
      <c r="O107">
        <f>N107*(DY107+DZ107)/1000.0</f>
        <v>0</v>
      </c>
      <c r="P107">
        <f>(DR107 - IF(AU107&gt;1, L107*DL107*100.0/(AW107), 0))*(DY107+DZ107)/1000.0</f>
        <v>0</v>
      </c>
      <c r="Q107">
        <f>2.0/((1/S107-1/R107)+SIGN(S107)*SQRT((1/S107-1/R107)*(1/S107-1/R107) + 4*DM107/((DM107+1)*(DM107+1))*(2*1/S107*1/R107-1/R107*1/R107)))</f>
        <v>0</v>
      </c>
      <c r="R107">
        <f>IF(LEFT(DN107,1)&lt;&gt;"0",IF(LEFT(DN107,1)="1",3.0,DO107),$D$5+$E$5*(EF107*DY107/($K$5*1000))+$F$5*(EF107*DY107/($K$5*1000))*MAX(MIN(DL107,$J$5),$I$5)*MAX(MIN(DL107,$J$5),$I$5)+$G$5*MAX(MIN(DL107,$J$5),$I$5)*(EF107*DY107/($K$5*1000))+$H$5*(EF107*DY107/($K$5*1000))*(EF107*DY107/($K$5*1000)))</f>
        <v>0</v>
      </c>
      <c r="S107">
        <f>J107*(1000-(1000*0.61365*exp(17.502*W107/(240.97+W107))/(DY107+DZ107)+DT107)/2)/(1000*0.61365*exp(17.502*W107/(240.97+W107))/(DY107+DZ107)-DT107)</f>
        <v>0</v>
      </c>
      <c r="T107">
        <f>1/((DM107+1)/(Q107/1.6)+1/(R107/1.37)) + DM107/((DM107+1)/(Q107/1.6) + DM107/(R107/1.37))</f>
        <v>0</v>
      </c>
      <c r="U107">
        <f>(DH107*DK107)</f>
        <v>0</v>
      </c>
      <c r="V107">
        <f>(EA107+(U107+2*0.95*5.67E-8*(((EA107+$B$7)+273)^4-(EA107+273)^4)-44100*J107)/(1.84*29.3*R107+8*0.95*5.67E-8*(EA107+273)^3))</f>
        <v>0</v>
      </c>
      <c r="W107">
        <f>($C$7*EB107+$D$7*EC107+$E$7*V107)</f>
        <v>0</v>
      </c>
      <c r="X107">
        <f>0.61365*exp(17.502*W107/(240.97+W107))</f>
        <v>0</v>
      </c>
      <c r="Y107">
        <f>(Z107/AA107*100)</f>
        <v>0</v>
      </c>
      <c r="Z107">
        <f>DT107*(DY107+DZ107)/1000</f>
        <v>0</v>
      </c>
      <c r="AA107">
        <f>0.61365*exp(17.502*EA107/(240.97+EA107))</f>
        <v>0</v>
      </c>
      <c r="AB107">
        <f>(X107-DT107*(DY107+DZ107)/1000)</f>
        <v>0</v>
      </c>
      <c r="AC107">
        <f>(-J107*44100)</f>
        <v>0</v>
      </c>
      <c r="AD107">
        <f>2*29.3*R107*0.92*(EA107-W107)</f>
        <v>0</v>
      </c>
      <c r="AE107">
        <f>2*0.95*5.67E-8*(((EA107+$B$7)+273)^4-(W107+273)^4)</f>
        <v>0</v>
      </c>
      <c r="AF107">
        <f>U107+AE107+AC107+AD107</f>
        <v>0</v>
      </c>
      <c r="AG107">
        <f>DX107*AU107*(DS107-DR107*(1000-AU107*DU107)/(1000-AU107*DT107))/(100*DL107)</f>
        <v>0</v>
      </c>
      <c r="AH107">
        <f>1000*DX107*AU107*(DT107-DU107)/(100*DL107*(1000-AU107*DT107))</f>
        <v>0</v>
      </c>
      <c r="AI107">
        <f>(AJ107 - AK107 - DY107*1E3/(8.314*(EA107+273.15)) * AM107/DX107 * AL107) * DX107/(100*DL107) * (1000 - DU107)/1000</f>
        <v>0</v>
      </c>
      <c r="AJ107">
        <v>1506.03661191202</v>
      </c>
      <c r="AK107">
        <v>1474.81503030303</v>
      </c>
      <c r="AL107">
        <v>3.31996399653226</v>
      </c>
      <c r="AM107">
        <v>64.8413469339502</v>
      </c>
      <c r="AN107">
        <f>(AP107 - AO107 + DY107*1E3/(8.314*(EA107+273.15)) * AR107/DX107 * AQ107) * DX107/(100*DL107) * 1000/(1000 - AP107)</f>
        <v>0</v>
      </c>
      <c r="AO107">
        <v>8.96568122398513</v>
      </c>
      <c r="AP107">
        <v>11.8260381818182</v>
      </c>
      <c r="AQ107">
        <v>-1.53066665879756e-05</v>
      </c>
      <c r="AR107">
        <v>118.472689631034</v>
      </c>
      <c r="AS107">
        <v>0</v>
      </c>
      <c r="AT107">
        <v>0</v>
      </c>
      <c r="AU107">
        <f>IF(AS107*$H$13&gt;=AW107,1.0,(AW107/(AW107-AS107*$H$13)))</f>
        <v>0</v>
      </c>
      <c r="AV107">
        <f>(AU107-1)*100</f>
        <v>0</v>
      </c>
      <c r="AW107">
        <f>MAX(0,($B$13+$C$13*EF107)/(1+$D$13*EF107)*DY107/(EA107+273)*$E$13)</f>
        <v>0</v>
      </c>
      <c r="AX107" t="s">
        <v>437</v>
      </c>
      <c r="AY107" t="s">
        <v>437</v>
      </c>
      <c r="AZ107">
        <v>0</v>
      </c>
      <c r="BA107">
        <v>0</v>
      </c>
      <c r="BB107">
        <f>1-AZ107/BA107</f>
        <v>0</v>
      </c>
      <c r="BC107">
        <v>0</v>
      </c>
      <c r="BD107" t="s">
        <v>437</v>
      </c>
      <c r="BE107" t="s">
        <v>437</v>
      </c>
      <c r="BF107">
        <v>0</v>
      </c>
      <c r="BG107">
        <v>0</v>
      </c>
      <c r="BH107">
        <f>1-BF107/BG107</f>
        <v>0</v>
      </c>
      <c r="BI107">
        <v>0.5</v>
      </c>
      <c r="BJ107">
        <f>DI107</f>
        <v>0</v>
      </c>
      <c r="BK107">
        <f>L107</f>
        <v>0</v>
      </c>
      <c r="BL107">
        <f>BH107*BI107*BJ107</f>
        <v>0</v>
      </c>
      <c r="BM107">
        <f>(BK107-BC107)/BJ107</f>
        <v>0</v>
      </c>
      <c r="BN107">
        <f>(BA107-BG107)/BG107</f>
        <v>0</v>
      </c>
      <c r="BO107">
        <f>AZ107/(BB107+AZ107/BG107)</f>
        <v>0</v>
      </c>
      <c r="BP107" t="s">
        <v>437</v>
      </c>
      <c r="BQ107">
        <v>0</v>
      </c>
      <c r="BR107">
        <f>IF(BQ107&lt;&gt;0, BQ107, BO107)</f>
        <v>0</v>
      </c>
      <c r="BS107">
        <f>1-BR107/BG107</f>
        <v>0</v>
      </c>
      <c r="BT107">
        <f>(BG107-BF107)/(BG107-BR107)</f>
        <v>0</v>
      </c>
      <c r="BU107">
        <f>(BA107-BG107)/(BA107-BR107)</f>
        <v>0</v>
      </c>
      <c r="BV107">
        <f>(BG107-BF107)/(BG107-AZ107)</f>
        <v>0</v>
      </c>
      <c r="BW107">
        <f>(BA107-BG107)/(BA107-AZ107)</f>
        <v>0</v>
      </c>
      <c r="BX107">
        <f>(BT107*BR107/BF107)</f>
        <v>0</v>
      </c>
      <c r="BY107">
        <f>(1-BX107)</f>
        <v>0</v>
      </c>
      <c r="DH107">
        <f>$B$11*EG107+$C$11*EH107+$F$11*ES107*(1-EV107)</f>
        <v>0</v>
      </c>
      <c r="DI107">
        <f>DH107*DJ107</f>
        <v>0</v>
      </c>
      <c r="DJ107">
        <f>($B$11*$D$9+$C$11*$D$9+$F$11*((FF107+EX107)/MAX(FF107+EX107+FG107, 0.1)*$I$9+FG107/MAX(FF107+EX107+FG107, 0.1)*$J$9))/($B$11+$C$11+$F$11)</f>
        <v>0</v>
      </c>
      <c r="DK107">
        <f>($B$11*$K$9+$C$11*$K$9+$F$11*((FF107+EX107)/MAX(FF107+EX107+FG107, 0.1)*$P$9+FG107/MAX(FF107+EX107+FG107, 0.1)*$Q$9))/($B$11+$C$11+$F$11)</f>
        <v>0</v>
      </c>
      <c r="DL107">
        <v>6</v>
      </c>
      <c r="DM107">
        <v>0.5</v>
      </c>
      <c r="DN107" t="s">
        <v>438</v>
      </c>
      <c r="DO107">
        <v>2</v>
      </c>
      <c r="DP107" t="b">
        <v>1</v>
      </c>
      <c r="DQ107">
        <v>1760989723.94615</v>
      </c>
      <c r="DR107">
        <v>1433.35230769231</v>
      </c>
      <c r="DS107">
        <v>1476.70384615385</v>
      </c>
      <c r="DT107">
        <v>11.8323</v>
      </c>
      <c r="DU107">
        <v>8.95151461538461</v>
      </c>
      <c r="DV107">
        <v>1426.97615384615</v>
      </c>
      <c r="DW107">
        <v>11.9432461538462</v>
      </c>
      <c r="DX107">
        <v>500.012307692308</v>
      </c>
      <c r="DY107">
        <v>89.8512</v>
      </c>
      <c r="DZ107">
        <v>0.00781605461538461</v>
      </c>
      <c r="EA107">
        <v>18.4847</v>
      </c>
      <c r="EB107">
        <v>18.0092538461538</v>
      </c>
      <c r="EC107">
        <v>999.9</v>
      </c>
      <c r="ED107">
        <v>0</v>
      </c>
      <c r="EE107">
        <v>0</v>
      </c>
      <c r="EF107">
        <v>9997.68230769231</v>
      </c>
      <c r="EG107">
        <v>0</v>
      </c>
      <c r="EH107">
        <v>1270.16692307692</v>
      </c>
      <c r="EI107">
        <v>-43.3529153846154</v>
      </c>
      <c r="EJ107">
        <v>1450.51461538462</v>
      </c>
      <c r="EK107">
        <v>1490.04307692308</v>
      </c>
      <c r="EL107">
        <v>2.8808</v>
      </c>
      <c r="EM107">
        <v>1476.70384615385</v>
      </c>
      <c r="EN107">
        <v>8.95151461538461</v>
      </c>
      <c r="EO107">
        <v>1.06314615384615</v>
      </c>
      <c r="EP107">
        <v>0.804304307692308</v>
      </c>
      <c r="EQ107">
        <v>7.81177230769231</v>
      </c>
      <c r="ER107">
        <v>3.78349230769231</v>
      </c>
      <c r="ES107">
        <v>1200.08923076923</v>
      </c>
      <c r="ET107">
        <v>0.967010230769231</v>
      </c>
      <c r="EU107">
        <v>0.0329898076923077</v>
      </c>
      <c r="EV107">
        <v>0</v>
      </c>
      <c r="EW107">
        <v>1335.52615384615</v>
      </c>
      <c r="EX107">
        <v>5.00059</v>
      </c>
      <c r="EY107">
        <v>15729.3769230769</v>
      </c>
      <c r="EZ107">
        <v>10359.5384615385</v>
      </c>
      <c r="FA107">
        <v>37.9756923076923</v>
      </c>
      <c r="FB107">
        <v>39.7642307692308</v>
      </c>
      <c r="FC107">
        <v>38.4660769230769</v>
      </c>
      <c r="FD107">
        <v>39.2449230769231</v>
      </c>
      <c r="FE107">
        <v>38.7978461538462</v>
      </c>
      <c r="FF107">
        <v>1155.66076923077</v>
      </c>
      <c r="FG107">
        <v>39.4284615384615</v>
      </c>
      <c r="FH107">
        <v>0</v>
      </c>
      <c r="FI107">
        <v>1760989701.1</v>
      </c>
      <c r="FJ107">
        <v>0</v>
      </c>
      <c r="FK107">
        <v>1335.56307692308</v>
      </c>
      <c r="FL107">
        <v>0.988034180947091</v>
      </c>
      <c r="FM107">
        <v>-11.7128206648523</v>
      </c>
      <c r="FN107">
        <v>15728.3615384615</v>
      </c>
      <c r="FO107">
        <v>15</v>
      </c>
      <c r="FP107">
        <v>0</v>
      </c>
      <c r="FQ107" t="s">
        <v>439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-43.29296</v>
      </c>
      <c r="GD107">
        <v>-2.10892330827071</v>
      </c>
      <c r="GE107">
        <v>0.660047730395311</v>
      </c>
      <c r="GF107">
        <v>0</v>
      </c>
      <c r="GG107">
        <v>1335.48411764706</v>
      </c>
      <c r="GH107">
        <v>1.00962566683081</v>
      </c>
      <c r="GI107">
        <v>0.198614578682051</v>
      </c>
      <c r="GJ107">
        <v>-1</v>
      </c>
      <c r="GK107">
        <v>2.887015</v>
      </c>
      <c r="GL107">
        <v>-0.170778947368421</v>
      </c>
      <c r="GM107">
        <v>0.0166177879093458</v>
      </c>
      <c r="GN107">
        <v>0</v>
      </c>
      <c r="GO107">
        <v>0</v>
      </c>
      <c r="GP107">
        <v>2</v>
      </c>
      <c r="GQ107" t="s">
        <v>519</v>
      </c>
      <c r="GR107">
        <v>3.13063</v>
      </c>
      <c r="GS107">
        <v>2.6859</v>
      </c>
      <c r="GT107">
        <v>0.20932</v>
      </c>
      <c r="GU107">
        <v>0.213498</v>
      </c>
      <c r="GV107">
        <v>0.0617507</v>
      </c>
      <c r="GW107">
        <v>0.0496705</v>
      </c>
      <c r="GX107">
        <v>29972.1</v>
      </c>
      <c r="GY107">
        <v>32036.8</v>
      </c>
      <c r="GZ107">
        <v>34267.5</v>
      </c>
      <c r="HA107">
        <v>36850.5</v>
      </c>
      <c r="HB107">
        <v>45363.5</v>
      </c>
      <c r="HC107">
        <v>50230.9</v>
      </c>
      <c r="HD107">
        <v>53342</v>
      </c>
      <c r="HE107">
        <v>58777.7</v>
      </c>
      <c r="HF107">
        <v>2.0093</v>
      </c>
      <c r="HG107">
        <v>1.83913</v>
      </c>
      <c r="HH107">
        <v>0.0322983</v>
      </c>
      <c r="HI107">
        <v>0</v>
      </c>
      <c r="HJ107">
        <v>17.4606</v>
      </c>
      <c r="HK107">
        <v>999.9</v>
      </c>
      <c r="HL107">
        <v>25.858</v>
      </c>
      <c r="HM107">
        <v>30.313</v>
      </c>
      <c r="HN107">
        <v>12.4833</v>
      </c>
      <c r="HO107">
        <v>53.9491</v>
      </c>
      <c r="HP107">
        <v>44.2909</v>
      </c>
      <c r="HQ107">
        <v>1</v>
      </c>
      <c r="HR107">
        <v>-0.269007</v>
      </c>
      <c r="HS107">
        <v>4.14209</v>
      </c>
      <c r="HT107">
        <v>20.0873</v>
      </c>
      <c r="HU107">
        <v>5.20261</v>
      </c>
      <c r="HV107">
        <v>12.004</v>
      </c>
      <c r="HW107">
        <v>4.97545</v>
      </c>
      <c r="HX107">
        <v>3.293</v>
      </c>
      <c r="HY107">
        <v>9999</v>
      </c>
      <c r="HZ107">
        <v>999.9</v>
      </c>
      <c r="IA107">
        <v>9999</v>
      </c>
      <c r="IB107">
        <v>9999</v>
      </c>
      <c r="IC107">
        <v>1.86325</v>
      </c>
      <c r="ID107">
        <v>1.86807</v>
      </c>
      <c r="IE107">
        <v>1.86783</v>
      </c>
      <c r="IF107">
        <v>1.86905</v>
      </c>
      <c r="IG107">
        <v>1.86981</v>
      </c>
      <c r="IH107">
        <v>1.86584</v>
      </c>
      <c r="II107">
        <v>1.86693</v>
      </c>
      <c r="IJ107">
        <v>1.86842</v>
      </c>
      <c r="IK107">
        <v>5</v>
      </c>
      <c r="IL107">
        <v>0</v>
      </c>
      <c r="IM107">
        <v>0</v>
      </c>
      <c r="IN107">
        <v>0</v>
      </c>
      <c r="IO107" t="s">
        <v>441</v>
      </c>
      <c r="IP107" t="s">
        <v>442</v>
      </c>
      <c r="IQ107" t="s">
        <v>443</v>
      </c>
      <c r="IR107" t="s">
        <v>443</v>
      </c>
      <c r="IS107" t="s">
        <v>443</v>
      </c>
      <c r="IT107" t="s">
        <v>443</v>
      </c>
      <c r="IU107">
        <v>0</v>
      </c>
      <c r="IV107">
        <v>100</v>
      </c>
      <c r="IW107">
        <v>100</v>
      </c>
      <c r="IX107">
        <v>6.47</v>
      </c>
      <c r="IY107">
        <v>-0.111</v>
      </c>
      <c r="IZ107">
        <v>1.12474291219083</v>
      </c>
      <c r="JA107">
        <v>0.00463155566490582</v>
      </c>
      <c r="JB107">
        <v>-1.1358998729424e-06</v>
      </c>
      <c r="JC107">
        <v>3.28704272115545e-10</v>
      </c>
      <c r="JD107">
        <v>-0.0704455108513773</v>
      </c>
      <c r="JE107">
        <v>-0.0251928478371425</v>
      </c>
      <c r="JF107">
        <v>0.00225751704194564</v>
      </c>
      <c r="JG107">
        <v>-3.61734043746866e-05</v>
      </c>
      <c r="JH107">
        <v>1</v>
      </c>
      <c r="JI107">
        <v>2182</v>
      </c>
      <c r="JJ107">
        <v>0</v>
      </c>
      <c r="JK107">
        <v>24</v>
      </c>
      <c r="JL107">
        <v>29349828.9</v>
      </c>
      <c r="JM107">
        <v>29349828.9</v>
      </c>
      <c r="JN107">
        <v>2.82715</v>
      </c>
      <c r="JO107">
        <v>2.60498</v>
      </c>
      <c r="JP107">
        <v>1.54785</v>
      </c>
      <c r="JQ107">
        <v>2.31445</v>
      </c>
      <c r="JR107">
        <v>1.64673</v>
      </c>
      <c r="JS107">
        <v>2.33765</v>
      </c>
      <c r="JT107">
        <v>33.6479</v>
      </c>
      <c r="JU107">
        <v>24.1838</v>
      </c>
      <c r="JV107">
        <v>18</v>
      </c>
      <c r="JW107">
        <v>501.003</v>
      </c>
      <c r="JX107">
        <v>395.189</v>
      </c>
      <c r="JY107">
        <v>12.1972</v>
      </c>
      <c r="JZ107">
        <v>23.9008</v>
      </c>
      <c r="KA107">
        <v>30.0002</v>
      </c>
      <c r="KB107">
        <v>23.921</v>
      </c>
      <c r="KC107">
        <v>23.8912</v>
      </c>
      <c r="KD107">
        <v>56.589</v>
      </c>
      <c r="KE107">
        <v>7.93757</v>
      </c>
      <c r="KF107">
        <v>22.9919</v>
      </c>
      <c r="KG107">
        <v>12.1999</v>
      </c>
      <c r="KH107">
        <v>1523.73</v>
      </c>
      <c r="KI107">
        <v>9.03772</v>
      </c>
      <c r="KJ107">
        <v>97.0462</v>
      </c>
      <c r="KK107">
        <v>95.3061</v>
      </c>
    </row>
    <row r="108" spans="1:297">
      <c r="A108">
        <v>92</v>
      </c>
      <c r="B108">
        <v>1760989737.1</v>
      </c>
      <c r="C108">
        <v>547</v>
      </c>
      <c r="D108" t="s">
        <v>626</v>
      </c>
      <c r="E108" t="s">
        <v>627</v>
      </c>
      <c r="F108">
        <v>5</v>
      </c>
      <c r="G108" t="s">
        <v>435</v>
      </c>
      <c r="H108" t="s">
        <v>436</v>
      </c>
      <c r="I108">
        <v>1760989728.94615</v>
      </c>
      <c r="J108">
        <f>(K108)/1000</f>
        <v>0</v>
      </c>
      <c r="K108">
        <f>IF(DP108, AN108, AH108)</f>
        <v>0</v>
      </c>
      <c r="L108">
        <f>IF(DP108, AI108, AG108)</f>
        <v>0</v>
      </c>
      <c r="M108">
        <f>DR108 - IF(AU108&gt;1, L108*DL108*100.0/(AW108), 0)</f>
        <v>0</v>
      </c>
      <c r="N108">
        <f>((T108-J108/2)*M108-L108)/(T108+J108/2)</f>
        <v>0</v>
      </c>
      <c r="O108">
        <f>N108*(DY108+DZ108)/1000.0</f>
        <v>0</v>
      </c>
      <c r="P108">
        <f>(DR108 - IF(AU108&gt;1, L108*DL108*100.0/(AW108), 0))*(DY108+DZ108)/1000.0</f>
        <v>0</v>
      </c>
      <c r="Q108">
        <f>2.0/((1/S108-1/R108)+SIGN(S108)*SQRT((1/S108-1/R108)*(1/S108-1/R108) + 4*DM108/((DM108+1)*(DM108+1))*(2*1/S108*1/R108-1/R108*1/R108)))</f>
        <v>0</v>
      </c>
      <c r="R108">
        <f>IF(LEFT(DN108,1)&lt;&gt;"0",IF(LEFT(DN108,1)="1",3.0,DO108),$D$5+$E$5*(EF108*DY108/($K$5*1000))+$F$5*(EF108*DY108/($K$5*1000))*MAX(MIN(DL108,$J$5),$I$5)*MAX(MIN(DL108,$J$5),$I$5)+$G$5*MAX(MIN(DL108,$J$5),$I$5)*(EF108*DY108/($K$5*1000))+$H$5*(EF108*DY108/($K$5*1000))*(EF108*DY108/($K$5*1000)))</f>
        <v>0</v>
      </c>
      <c r="S108">
        <f>J108*(1000-(1000*0.61365*exp(17.502*W108/(240.97+W108))/(DY108+DZ108)+DT108)/2)/(1000*0.61365*exp(17.502*W108/(240.97+W108))/(DY108+DZ108)-DT108)</f>
        <v>0</v>
      </c>
      <c r="T108">
        <f>1/((DM108+1)/(Q108/1.6)+1/(R108/1.37)) + DM108/((DM108+1)/(Q108/1.6) + DM108/(R108/1.37))</f>
        <v>0</v>
      </c>
      <c r="U108">
        <f>(DH108*DK108)</f>
        <v>0</v>
      </c>
      <c r="V108">
        <f>(EA108+(U108+2*0.95*5.67E-8*(((EA108+$B$7)+273)^4-(EA108+273)^4)-44100*J108)/(1.84*29.3*R108+8*0.95*5.67E-8*(EA108+273)^3))</f>
        <v>0</v>
      </c>
      <c r="W108">
        <f>($C$7*EB108+$D$7*EC108+$E$7*V108)</f>
        <v>0</v>
      </c>
      <c r="X108">
        <f>0.61365*exp(17.502*W108/(240.97+W108))</f>
        <v>0</v>
      </c>
      <c r="Y108">
        <f>(Z108/AA108*100)</f>
        <v>0</v>
      </c>
      <c r="Z108">
        <f>DT108*(DY108+DZ108)/1000</f>
        <v>0</v>
      </c>
      <c r="AA108">
        <f>0.61365*exp(17.502*EA108/(240.97+EA108))</f>
        <v>0</v>
      </c>
      <c r="AB108">
        <f>(X108-DT108*(DY108+DZ108)/1000)</f>
        <v>0</v>
      </c>
      <c r="AC108">
        <f>(-J108*44100)</f>
        <v>0</v>
      </c>
      <c r="AD108">
        <f>2*29.3*R108*0.92*(EA108-W108)</f>
        <v>0</v>
      </c>
      <c r="AE108">
        <f>2*0.95*5.67E-8*(((EA108+$B$7)+273)^4-(W108+273)^4)</f>
        <v>0</v>
      </c>
      <c r="AF108">
        <f>U108+AE108+AC108+AD108</f>
        <v>0</v>
      </c>
      <c r="AG108">
        <f>DX108*AU108*(DS108-DR108*(1000-AU108*DU108)/(1000-AU108*DT108))/(100*DL108)</f>
        <v>0</v>
      </c>
      <c r="AH108">
        <f>1000*DX108*AU108*(DT108-DU108)/(100*DL108*(1000-AU108*DT108))</f>
        <v>0</v>
      </c>
      <c r="AI108">
        <f>(AJ108 - AK108 - DY108*1E3/(8.314*(EA108+273.15)) * AM108/DX108 * AL108) * DX108/(100*DL108) * (1000 - DU108)/1000</f>
        <v>0</v>
      </c>
      <c r="AJ108">
        <v>1523.94797562643</v>
      </c>
      <c r="AK108">
        <v>1492.19103030303</v>
      </c>
      <c r="AL108">
        <v>3.48570064560008</v>
      </c>
      <c r="AM108">
        <v>64.8413469339502</v>
      </c>
      <c r="AN108">
        <f>(AP108 - AO108 + DY108*1E3/(8.314*(EA108+273.15)) * AR108/DX108 * AQ108) * DX108/(100*DL108) * 1000/(1000 - AP108)</f>
        <v>0</v>
      </c>
      <c r="AO108">
        <v>8.97101707873119</v>
      </c>
      <c r="AP108">
        <v>11.8315090909091</v>
      </c>
      <c r="AQ108">
        <v>3.14397427029062e-05</v>
      </c>
      <c r="AR108">
        <v>118.472689631034</v>
      </c>
      <c r="AS108">
        <v>0</v>
      </c>
      <c r="AT108">
        <v>0</v>
      </c>
      <c r="AU108">
        <f>IF(AS108*$H$13&gt;=AW108,1.0,(AW108/(AW108-AS108*$H$13)))</f>
        <v>0</v>
      </c>
      <c r="AV108">
        <f>(AU108-1)*100</f>
        <v>0</v>
      </c>
      <c r="AW108">
        <f>MAX(0,($B$13+$C$13*EF108)/(1+$D$13*EF108)*DY108/(EA108+273)*$E$13)</f>
        <v>0</v>
      </c>
      <c r="AX108" t="s">
        <v>437</v>
      </c>
      <c r="AY108" t="s">
        <v>437</v>
      </c>
      <c r="AZ108">
        <v>0</v>
      </c>
      <c r="BA108">
        <v>0</v>
      </c>
      <c r="BB108">
        <f>1-AZ108/BA108</f>
        <v>0</v>
      </c>
      <c r="BC108">
        <v>0</v>
      </c>
      <c r="BD108" t="s">
        <v>437</v>
      </c>
      <c r="BE108" t="s">
        <v>437</v>
      </c>
      <c r="BF108">
        <v>0</v>
      </c>
      <c r="BG108">
        <v>0</v>
      </c>
      <c r="BH108">
        <f>1-BF108/BG108</f>
        <v>0</v>
      </c>
      <c r="BI108">
        <v>0.5</v>
      </c>
      <c r="BJ108">
        <f>DI108</f>
        <v>0</v>
      </c>
      <c r="BK108">
        <f>L108</f>
        <v>0</v>
      </c>
      <c r="BL108">
        <f>BH108*BI108*BJ108</f>
        <v>0</v>
      </c>
      <c r="BM108">
        <f>(BK108-BC108)/BJ108</f>
        <v>0</v>
      </c>
      <c r="BN108">
        <f>(BA108-BG108)/BG108</f>
        <v>0</v>
      </c>
      <c r="BO108">
        <f>AZ108/(BB108+AZ108/BG108)</f>
        <v>0</v>
      </c>
      <c r="BP108" t="s">
        <v>437</v>
      </c>
      <c r="BQ108">
        <v>0</v>
      </c>
      <c r="BR108">
        <f>IF(BQ108&lt;&gt;0, BQ108, BO108)</f>
        <v>0</v>
      </c>
      <c r="BS108">
        <f>1-BR108/BG108</f>
        <v>0</v>
      </c>
      <c r="BT108">
        <f>(BG108-BF108)/(BG108-BR108)</f>
        <v>0</v>
      </c>
      <c r="BU108">
        <f>(BA108-BG108)/(BA108-BR108)</f>
        <v>0</v>
      </c>
      <c r="BV108">
        <f>(BG108-BF108)/(BG108-AZ108)</f>
        <v>0</v>
      </c>
      <c r="BW108">
        <f>(BA108-BG108)/(BA108-AZ108)</f>
        <v>0</v>
      </c>
      <c r="BX108">
        <f>(BT108*BR108/BF108)</f>
        <v>0</v>
      </c>
      <c r="BY108">
        <f>(1-BX108)</f>
        <v>0</v>
      </c>
      <c r="DH108">
        <f>$B$11*EG108+$C$11*EH108+$F$11*ES108*(1-EV108)</f>
        <v>0</v>
      </c>
      <c r="DI108">
        <f>DH108*DJ108</f>
        <v>0</v>
      </c>
      <c r="DJ108">
        <f>($B$11*$D$9+$C$11*$D$9+$F$11*((FF108+EX108)/MAX(FF108+EX108+FG108, 0.1)*$I$9+FG108/MAX(FF108+EX108+FG108, 0.1)*$J$9))/($B$11+$C$11+$F$11)</f>
        <v>0</v>
      </c>
      <c r="DK108">
        <f>($B$11*$K$9+$C$11*$K$9+$F$11*((FF108+EX108)/MAX(FF108+EX108+FG108, 0.1)*$P$9+FG108/MAX(FF108+EX108+FG108, 0.1)*$Q$9))/($B$11+$C$11+$F$11)</f>
        <v>0</v>
      </c>
      <c r="DL108">
        <v>6</v>
      </c>
      <c r="DM108">
        <v>0.5</v>
      </c>
      <c r="DN108" t="s">
        <v>438</v>
      </c>
      <c r="DO108">
        <v>2</v>
      </c>
      <c r="DP108" t="b">
        <v>1</v>
      </c>
      <c r="DQ108">
        <v>1760989728.94615</v>
      </c>
      <c r="DR108">
        <v>1450.25153846154</v>
      </c>
      <c r="DS108">
        <v>1494.09692307692</v>
      </c>
      <c r="DT108">
        <v>11.8290384615385</v>
      </c>
      <c r="DU108">
        <v>8.96040538461539</v>
      </c>
      <c r="DV108">
        <v>1443.81846153846</v>
      </c>
      <c r="DW108">
        <v>11.9400153846154</v>
      </c>
      <c r="DX108">
        <v>500.021692307692</v>
      </c>
      <c r="DY108">
        <v>89.8501692307692</v>
      </c>
      <c r="DZ108">
        <v>0.0077251</v>
      </c>
      <c r="EA108">
        <v>18.4815307692308</v>
      </c>
      <c r="EB108">
        <v>18.0044538461538</v>
      </c>
      <c r="EC108">
        <v>999.9</v>
      </c>
      <c r="ED108">
        <v>0</v>
      </c>
      <c r="EE108">
        <v>0</v>
      </c>
      <c r="EF108">
        <v>10013.8823076923</v>
      </c>
      <c r="EG108">
        <v>0</v>
      </c>
      <c r="EH108">
        <v>1270.15615384615</v>
      </c>
      <c r="EI108">
        <v>-43.8445230769231</v>
      </c>
      <c r="EJ108">
        <v>1467.61307692308</v>
      </c>
      <c r="EK108">
        <v>1507.60538461538</v>
      </c>
      <c r="EL108">
        <v>2.86864461538462</v>
      </c>
      <c r="EM108">
        <v>1494.09692307692</v>
      </c>
      <c r="EN108">
        <v>8.96040538461539</v>
      </c>
      <c r="EO108">
        <v>1.06284076923077</v>
      </c>
      <c r="EP108">
        <v>0.805094</v>
      </c>
      <c r="EQ108">
        <v>7.80755538461538</v>
      </c>
      <c r="ER108">
        <v>3.79743153846154</v>
      </c>
      <c r="ES108">
        <v>1200.02384615385</v>
      </c>
      <c r="ET108">
        <v>0.967007461538461</v>
      </c>
      <c r="EU108">
        <v>0.0329924230769231</v>
      </c>
      <c r="EV108">
        <v>0</v>
      </c>
      <c r="EW108">
        <v>1335.59230769231</v>
      </c>
      <c r="EX108">
        <v>5.00059</v>
      </c>
      <c r="EY108">
        <v>15726.7230769231</v>
      </c>
      <c r="EZ108">
        <v>10358.9615384615</v>
      </c>
      <c r="FA108">
        <v>37.9035384615385</v>
      </c>
      <c r="FB108">
        <v>39.6728461538462</v>
      </c>
      <c r="FC108">
        <v>38.3987692307692</v>
      </c>
      <c r="FD108">
        <v>39.1054615384615</v>
      </c>
      <c r="FE108">
        <v>38.7209230769231</v>
      </c>
      <c r="FF108">
        <v>1155.59384615385</v>
      </c>
      <c r="FG108">
        <v>39.43</v>
      </c>
      <c r="FH108">
        <v>0</v>
      </c>
      <c r="FI108">
        <v>1760989706.5</v>
      </c>
      <c r="FJ108">
        <v>0</v>
      </c>
      <c r="FK108">
        <v>1335.634</v>
      </c>
      <c r="FL108">
        <v>0.652307687800798</v>
      </c>
      <c r="FM108">
        <v>-27.2846154162004</v>
      </c>
      <c r="FN108">
        <v>15726.368</v>
      </c>
      <c r="FO108">
        <v>15</v>
      </c>
      <c r="FP108">
        <v>0</v>
      </c>
      <c r="FQ108" t="s">
        <v>439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-43.5510619047619</v>
      </c>
      <c r="GD108">
        <v>-4.19397662337663</v>
      </c>
      <c r="GE108">
        <v>0.722808887654657</v>
      </c>
      <c r="GF108">
        <v>0</v>
      </c>
      <c r="GG108">
        <v>1335.59117647059</v>
      </c>
      <c r="GH108">
        <v>1.19816653511882</v>
      </c>
      <c r="GI108">
        <v>0.223050570708581</v>
      </c>
      <c r="GJ108">
        <v>-1</v>
      </c>
      <c r="GK108">
        <v>2.8764019047619</v>
      </c>
      <c r="GL108">
        <v>-0.154188311688309</v>
      </c>
      <c r="GM108">
        <v>0.0159743650649729</v>
      </c>
      <c r="GN108">
        <v>0</v>
      </c>
      <c r="GO108">
        <v>0</v>
      </c>
      <c r="GP108">
        <v>2</v>
      </c>
      <c r="GQ108" t="s">
        <v>519</v>
      </c>
      <c r="GR108">
        <v>3.13069</v>
      </c>
      <c r="GS108">
        <v>2.68569</v>
      </c>
      <c r="GT108">
        <v>0.210815</v>
      </c>
      <c r="GU108">
        <v>0.21491</v>
      </c>
      <c r="GV108">
        <v>0.0617736</v>
      </c>
      <c r="GW108">
        <v>0.0497012</v>
      </c>
      <c r="GX108">
        <v>29915.6</v>
      </c>
      <c r="GY108">
        <v>31978.5</v>
      </c>
      <c r="GZ108">
        <v>34267.5</v>
      </c>
      <c r="HA108">
        <v>36849.4</v>
      </c>
      <c r="HB108">
        <v>45362.8</v>
      </c>
      <c r="HC108">
        <v>50227.9</v>
      </c>
      <c r="HD108">
        <v>53342.3</v>
      </c>
      <c r="HE108">
        <v>58776</v>
      </c>
      <c r="HF108">
        <v>2.00925</v>
      </c>
      <c r="HG108">
        <v>1.83838</v>
      </c>
      <c r="HH108">
        <v>0.0325292</v>
      </c>
      <c r="HI108">
        <v>0</v>
      </c>
      <c r="HJ108">
        <v>17.4606</v>
      </c>
      <c r="HK108">
        <v>999.9</v>
      </c>
      <c r="HL108">
        <v>25.833</v>
      </c>
      <c r="HM108">
        <v>30.313</v>
      </c>
      <c r="HN108">
        <v>12.4714</v>
      </c>
      <c r="HO108">
        <v>54.1091</v>
      </c>
      <c r="HP108">
        <v>44.4071</v>
      </c>
      <c r="HQ108">
        <v>1</v>
      </c>
      <c r="HR108">
        <v>-0.269365</v>
      </c>
      <c r="HS108">
        <v>4.10785</v>
      </c>
      <c r="HT108">
        <v>20.0881</v>
      </c>
      <c r="HU108">
        <v>5.20202</v>
      </c>
      <c r="HV108">
        <v>12.004</v>
      </c>
      <c r="HW108">
        <v>4.9753</v>
      </c>
      <c r="HX108">
        <v>3.29295</v>
      </c>
      <c r="HY108">
        <v>9999</v>
      </c>
      <c r="HZ108">
        <v>999.9</v>
      </c>
      <c r="IA108">
        <v>9999</v>
      </c>
      <c r="IB108">
        <v>9999</v>
      </c>
      <c r="IC108">
        <v>1.86325</v>
      </c>
      <c r="ID108">
        <v>1.86804</v>
      </c>
      <c r="IE108">
        <v>1.86783</v>
      </c>
      <c r="IF108">
        <v>1.86904</v>
      </c>
      <c r="IG108">
        <v>1.86981</v>
      </c>
      <c r="IH108">
        <v>1.86584</v>
      </c>
      <c r="II108">
        <v>1.86692</v>
      </c>
      <c r="IJ108">
        <v>1.86841</v>
      </c>
      <c r="IK108">
        <v>5</v>
      </c>
      <c r="IL108">
        <v>0</v>
      </c>
      <c r="IM108">
        <v>0</v>
      </c>
      <c r="IN108">
        <v>0</v>
      </c>
      <c r="IO108" t="s">
        <v>441</v>
      </c>
      <c r="IP108" t="s">
        <v>442</v>
      </c>
      <c r="IQ108" t="s">
        <v>443</v>
      </c>
      <c r="IR108" t="s">
        <v>443</v>
      </c>
      <c r="IS108" t="s">
        <v>443</v>
      </c>
      <c r="IT108" t="s">
        <v>443</v>
      </c>
      <c r="IU108">
        <v>0</v>
      </c>
      <c r="IV108">
        <v>100</v>
      </c>
      <c r="IW108">
        <v>100</v>
      </c>
      <c r="IX108">
        <v>6.53</v>
      </c>
      <c r="IY108">
        <v>-0.1109</v>
      </c>
      <c r="IZ108">
        <v>1.12474291219083</v>
      </c>
      <c r="JA108">
        <v>0.00463155566490582</v>
      </c>
      <c r="JB108">
        <v>-1.1358998729424e-06</v>
      </c>
      <c r="JC108">
        <v>3.28704272115545e-10</v>
      </c>
      <c r="JD108">
        <v>-0.0704455108513773</v>
      </c>
      <c r="JE108">
        <v>-0.0251928478371425</v>
      </c>
      <c r="JF108">
        <v>0.00225751704194564</v>
      </c>
      <c r="JG108">
        <v>-3.61734043746866e-05</v>
      </c>
      <c r="JH108">
        <v>1</v>
      </c>
      <c r="JI108">
        <v>2182</v>
      </c>
      <c r="JJ108">
        <v>0</v>
      </c>
      <c r="JK108">
        <v>24</v>
      </c>
      <c r="JL108">
        <v>29349829</v>
      </c>
      <c r="JM108">
        <v>29349829</v>
      </c>
      <c r="JN108">
        <v>2.85034</v>
      </c>
      <c r="JO108">
        <v>2.59521</v>
      </c>
      <c r="JP108">
        <v>1.54785</v>
      </c>
      <c r="JQ108">
        <v>2.31445</v>
      </c>
      <c r="JR108">
        <v>1.64673</v>
      </c>
      <c r="JS108">
        <v>2.37793</v>
      </c>
      <c r="JT108">
        <v>33.6479</v>
      </c>
      <c r="JU108">
        <v>24.1926</v>
      </c>
      <c r="JV108">
        <v>18</v>
      </c>
      <c r="JW108">
        <v>500.972</v>
      </c>
      <c r="JX108">
        <v>394.794</v>
      </c>
      <c r="JY108">
        <v>12.1938</v>
      </c>
      <c r="JZ108">
        <v>23.9008</v>
      </c>
      <c r="KA108">
        <v>30</v>
      </c>
      <c r="KB108">
        <v>23.921</v>
      </c>
      <c r="KC108">
        <v>23.8912</v>
      </c>
      <c r="KD108">
        <v>57.0388</v>
      </c>
      <c r="KE108">
        <v>7.93757</v>
      </c>
      <c r="KF108">
        <v>22.9919</v>
      </c>
      <c r="KG108">
        <v>12.1993</v>
      </c>
      <c r="KH108">
        <v>1537.21</v>
      </c>
      <c r="KI108">
        <v>9.03632</v>
      </c>
      <c r="KJ108">
        <v>97.0466</v>
      </c>
      <c r="KK108">
        <v>95.3032</v>
      </c>
    </row>
    <row r="109" spans="1:297">
      <c r="A109">
        <v>93</v>
      </c>
      <c r="B109">
        <v>1760989742.1</v>
      </c>
      <c r="C109">
        <v>552</v>
      </c>
      <c r="D109" t="s">
        <v>628</v>
      </c>
      <c r="E109" t="s">
        <v>629</v>
      </c>
      <c r="F109">
        <v>5</v>
      </c>
      <c r="G109" t="s">
        <v>435</v>
      </c>
      <c r="H109" t="s">
        <v>436</v>
      </c>
      <c r="I109">
        <v>1760989733.94615</v>
      </c>
      <c r="J109">
        <f>(K109)/1000</f>
        <v>0</v>
      </c>
      <c r="K109">
        <f>IF(DP109, AN109, AH109)</f>
        <v>0</v>
      </c>
      <c r="L109">
        <f>IF(DP109, AI109, AG109)</f>
        <v>0</v>
      </c>
      <c r="M109">
        <f>DR109 - IF(AU109&gt;1, L109*DL109*100.0/(AW109), 0)</f>
        <v>0</v>
      </c>
      <c r="N109">
        <f>((T109-J109/2)*M109-L109)/(T109+J109/2)</f>
        <v>0</v>
      </c>
      <c r="O109">
        <f>N109*(DY109+DZ109)/1000.0</f>
        <v>0</v>
      </c>
      <c r="P109">
        <f>(DR109 - IF(AU109&gt;1, L109*DL109*100.0/(AW109), 0))*(DY109+DZ109)/1000.0</f>
        <v>0</v>
      </c>
      <c r="Q109">
        <f>2.0/((1/S109-1/R109)+SIGN(S109)*SQRT((1/S109-1/R109)*(1/S109-1/R109) + 4*DM109/((DM109+1)*(DM109+1))*(2*1/S109*1/R109-1/R109*1/R109)))</f>
        <v>0</v>
      </c>
      <c r="R109">
        <f>IF(LEFT(DN109,1)&lt;&gt;"0",IF(LEFT(DN109,1)="1",3.0,DO109),$D$5+$E$5*(EF109*DY109/($K$5*1000))+$F$5*(EF109*DY109/($K$5*1000))*MAX(MIN(DL109,$J$5),$I$5)*MAX(MIN(DL109,$J$5),$I$5)+$G$5*MAX(MIN(DL109,$J$5),$I$5)*(EF109*DY109/($K$5*1000))+$H$5*(EF109*DY109/($K$5*1000))*(EF109*DY109/($K$5*1000)))</f>
        <v>0</v>
      </c>
      <c r="S109">
        <f>J109*(1000-(1000*0.61365*exp(17.502*W109/(240.97+W109))/(DY109+DZ109)+DT109)/2)/(1000*0.61365*exp(17.502*W109/(240.97+W109))/(DY109+DZ109)-DT109)</f>
        <v>0</v>
      </c>
      <c r="T109">
        <f>1/((DM109+1)/(Q109/1.6)+1/(R109/1.37)) + DM109/((DM109+1)/(Q109/1.6) + DM109/(R109/1.37))</f>
        <v>0</v>
      </c>
      <c r="U109">
        <f>(DH109*DK109)</f>
        <v>0</v>
      </c>
      <c r="V109">
        <f>(EA109+(U109+2*0.95*5.67E-8*(((EA109+$B$7)+273)^4-(EA109+273)^4)-44100*J109)/(1.84*29.3*R109+8*0.95*5.67E-8*(EA109+273)^3))</f>
        <v>0</v>
      </c>
      <c r="W109">
        <f>($C$7*EB109+$D$7*EC109+$E$7*V109)</f>
        <v>0</v>
      </c>
      <c r="X109">
        <f>0.61365*exp(17.502*W109/(240.97+W109))</f>
        <v>0</v>
      </c>
      <c r="Y109">
        <f>(Z109/AA109*100)</f>
        <v>0</v>
      </c>
      <c r="Z109">
        <f>DT109*(DY109+DZ109)/1000</f>
        <v>0</v>
      </c>
      <c r="AA109">
        <f>0.61365*exp(17.502*EA109/(240.97+EA109))</f>
        <v>0</v>
      </c>
      <c r="AB109">
        <f>(X109-DT109*(DY109+DZ109)/1000)</f>
        <v>0</v>
      </c>
      <c r="AC109">
        <f>(-J109*44100)</f>
        <v>0</v>
      </c>
      <c r="AD109">
        <f>2*29.3*R109*0.92*(EA109-W109)</f>
        <v>0</v>
      </c>
      <c r="AE109">
        <f>2*0.95*5.67E-8*(((EA109+$B$7)+273)^4-(W109+273)^4)</f>
        <v>0</v>
      </c>
      <c r="AF109">
        <f>U109+AE109+AC109+AD109</f>
        <v>0</v>
      </c>
      <c r="AG109">
        <f>DX109*AU109*(DS109-DR109*(1000-AU109*DU109)/(1000-AU109*DT109))/(100*DL109)</f>
        <v>0</v>
      </c>
      <c r="AH109">
        <f>1000*DX109*AU109*(DT109-DU109)/(100*DL109*(1000-AU109*DT109))</f>
        <v>0</v>
      </c>
      <c r="AI109">
        <f>(AJ109 - AK109 - DY109*1E3/(8.314*(EA109+273.15)) * AM109/DX109 * AL109) * DX109/(100*DL109) * (1000 - DU109)/1000</f>
        <v>0</v>
      </c>
      <c r="AJ109">
        <v>1540.18015019607</v>
      </c>
      <c r="AK109">
        <v>1508.97060606061</v>
      </c>
      <c r="AL109">
        <v>3.33624925317286</v>
      </c>
      <c r="AM109">
        <v>64.8413469339502</v>
      </c>
      <c r="AN109">
        <f>(AP109 - AO109 + DY109*1E3/(8.314*(EA109+273.15)) * AR109/DX109 * AQ109) * DX109/(100*DL109) * 1000/(1000 - AP109)</f>
        <v>0</v>
      </c>
      <c r="AO109">
        <v>8.97927748100422</v>
      </c>
      <c r="AP109">
        <v>11.8329296969697</v>
      </c>
      <c r="AQ109">
        <v>4.72311587654093e-06</v>
      </c>
      <c r="AR109">
        <v>118.472689631034</v>
      </c>
      <c r="AS109">
        <v>0</v>
      </c>
      <c r="AT109">
        <v>0</v>
      </c>
      <c r="AU109">
        <f>IF(AS109*$H$13&gt;=AW109,1.0,(AW109/(AW109-AS109*$H$13)))</f>
        <v>0</v>
      </c>
      <c r="AV109">
        <f>(AU109-1)*100</f>
        <v>0</v>
      </c>
      <c r="AW109">
        <f>MAX(0,($B$13+$C$13*EF109)/(1+$D$13*EF109)*DY109/(EA109+273)*$E$13)</f>
        <v>0</v>
      </c>
      <c r="AX109" t="s">
        <v>437</v>
      </c>
      <c r="AY109" t="s">
        <v>437</v>
      </c>
      <c r="AZ109">
        <v>0</v>
      </c>
      <c r="BA109">
        <v>0</v>
      </c>
      <c r="BB109">
        <f>1-AZ109/BA109</f>
        <v>0</v>
      </c>
      <c r="BC109">
        <v>0</v>
      </c>
      <c r="BD109" t="s">
        <v>437</v>
      </c>
      <c r="BE109" t="s">
        <v>437</v>
      </c>
      <c r="BF109">
        <v>0</v>
      </c>
      <c r="BG109">
        <v>0</v>
      </c>
      <c r="BH109">
        <f>1-BF109/BG109</f>
        <v>0</v>
      </c>
      <c r="BI109">
        <v>0.5</v>
      </c>
      <c r="BJ109">
        <f>DI109</f>
        <v>0</v>
      </c>
      <c r="BK109">
        <f>L109</f>
        <v>0</v>
      </c>
      <c r="BL109">
        <f>BH109*BI109*BJ109</f>
        <v>0</v>
      </c>
      <c r="BM109">
        <f>(BK109-BC109)/BJ109</f>
        <v>0</v>
      </c>
      <c r="BN109">
        <f>(BA109-BG109)/BG109</f>
        <v>0</v>
      </c>
      <c r="BO109">
        <f>AZ109/(BB109+AZ109/BG109)</f>
        <v>0</v>
      </c>
      <c r="BP109" t="s">
        <v>437</v>
      </c>
      <c r="BQ109">
        <v>0</v>
      </c>
      <c r="BR109">
        <f>IF(BQ109&lt;&gt;0, BQ109, BO109)</f>
        <v>0</v>
      </c>
      <c r="BS109">
        <f>1-BR109/BG109</f>
        <v>0</v>
      </c>
      <c r="BT109">
        <f>(BG109-BF109)/(BG109-BR109)</f>
        <v>0</v>
      </c>
      <c r="BU109">
        <f>(BA109-BG109)/(BA109-BR109)</f>
        <v>0</v>
      </c>
      <c r="BV109">
        <f>(BG109-BF109)/(BG109-AZ109)</f>
        <v>0</v>
      </c>
      <c r="BW109">
        <f>(BA109-BG109)/(BA109-AZ109)</f>
        <v>0</v>
      </c>
      <c r="BX109">
        <f>(BT109*BR109/BF109)</f>
        <v>0</v>
      </c>
      <c r="BY109">
        <f>(1-BX109)</f>
        <v>0</v>
      </c>
      <c r="DH109">
        <f>$B$11*EG109+$C$11*EH109+$F$11*ES109*(1-EV109)</f>
        <v>0</v>
      </c>
      <c r="DI109">
        <f>DH109*DJ109</f>
        <v>0</v>
      </c>
      <c r="DJ109">
        <f>($B$11*$D$9+$C$11*$D$9+$F$11*((FF109+EX109)/MAX(FF109+EX109+FG109, 0.1)*$I$9+FG109/MAX(FF109+EX109+FG109, 0.1)*$J$9))/($B$11+$C$11+$F$11)</f>
        <v>0</v>
      </c>
      <c r="DK109">
        <f>($B$11*$K$9+$C$11*$K$9+$F$11*((FF109+EX109)/MAX(FF109+EX109+FG109, 0.1)*$P$9+FG109/MAX(FF109+EX109+FG109, 0.1)*$Q$9))/($B$11+$C$11+$F$11)</f>
        <v>0</v>
      </c>
      <c r="DL109">
        <v>6</v>
      </c>
      <c r="DM109">
        <v>0.5</v>
      </c>
      <c r="DN109" t="s">
        <v>438</v>
      </c>
      <c r="DO109">
        <v>2</v>
      </c>
      <c r="DP109" t="b">
        <v>1</v>
      </c>
      <c r="DQ109">
        <v>1760989733.94615</v>
      </c>
      <c r="DR109">
        <v>1467.15384615385</v>
      </c>
      <c r="DS109">
        <v>1510.65384615385</v>
      </c>
      <c r="DT109">
        <v>11.8295846153846</v>
      </c>
      <c r="DU109">
        <v>8.96974384615385</v>
      </c>
      <c r="DV109">
        <v>1460.66307692308</v>
      </c>
      <c r="DW109">
        <v>11.9405461538462</v>
      </c>
      <c r="DX109">
        <v>500.031153846154</v>
      </c>
      <c r="DY109">
        <v>89.8508461538461</v>
      </c>
      <c r="DZ109">
        <v>0.00772330615384615</v>
      </c>
      <c r="EA109">
        <v>18.4781538461538</v>
      </c>
      <c r="EB109">
        <v>18.0019769230769</v>
      </c>
      <c r="EC109">
        <v>999.9</v>
      </c>
      <c r="ED109">
        <v>0</v>
      </c>
      <c r="EE109">
        <v>0</v>
      </c>
      <c r="EF109">
        <v>9994.22461538462</v>
      </c>
      <c r="EG109">
        <v>0</v>
      </c>
      <c r="EH109">
        <v>1270.16846153846</v>
      </c>
      <c r="EI109">
        <v>-43.4978461538462</v>
      </c>
      <c r="EJ109">
        <v>1484.71923076923</v>
      </c>
      <c r="EK109">
        <v>1524.32461538462</v>
      </c>
      <c r="EL109">
        <v>2.85984384615385</v>
      </c>
      <c r="EM109">
        <v>1510.65384615385</v>
      </c>
      <c r="EN109">
        <v>8.96974384615385</v>
      </c>
      <c r="EO109">
        <v>1.06289769230769</v>
      </c>
      <c r="EP109">
        <v>0.805939</v>
      </c>
      <c r="EQ109">
        <v>7.80833076923077</v>
      </c>
      <c r="ER109">
        <v>3.81233769230769</v>
      </c>
      <c r="ES109">
        <v>1200.00615384615</v>
      </c>
      <c r="ET109">
        <v>0.967006076923077</v>
      </c>
      <c r="EU109">
        <v>0.0329937153846154</v>
      </c>
      <c r="EV109">
        <v>0</v>
      </c>
      <c r="EW109">
        <v>1335.67</v>
      </c>
      <c r="EX109">
        <v>5.00059</v>
      </c>
      <c r="EY109">
        <v>15724.6538461538</v>
      </c>
      <c r="EZ109">
        <v>10358.8</v>
      </c>
      <c r="FA109">
        <v>37.8410769230769</v>
      </c>
      <c r="FB109">
        <v>39.5863076923077</v>
      </c>
      <c r="FC109">
        <v>38.3315384615385</v>
      </c>
      <c r="FD109">
        <v>38.9901538461538</v>
      </c>
      <c r="FE109">
        <v>38.6584615384615</v>
      </c>
      <c r="FF109">
        <v>1155.57615384615</v>
      </c>
      <c r="FG109">
        <v>39.43</v>
      </c>
      <c r="FH109">
        <v>0</v>
      </c>
      <c r="FI109">
        <v>1760989711.3</v>
      </c>
      <c r="FJ109">
        <v>0</v>
      </c>
      <c r="FK109">
        <v>1335.7116</v>
      </c>
      <c r="FL109">
        <v>1.18384614762721</v>
      </c>
      <c r="FM109">
        <v>-25.1846155013377</v>
      </c>
      <c r="FN109">
        <v>15724.356</v>
      </c>
      <c r="FO109">
        <v>15</v>
      </c>
      <c r="FP109">
        <v>0</v>
      </c>
      <c r="FQ109" t="s">
        <v>439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-43.689180952381</v>
      </c>
      <c r="GD109">
        <v>1.26691168831171</v>
      </c>
      <c r="GE109">
        <v>0.545490349632283</v>
      </c>
      <c r="GF109">
        <v>0</v>
      </c>
      <c r="GG109">
        <v>1335.63</v>
      </c>
      <c r="GH109">
        <v>0.930175705237964</v>
      </c>
      <c r="GI109">
        <v>0.213279711398239</v>
      </c>
      <c r="GJ109">
        <v>-1</v>
      </c>
      <c r="GK109">
        <v>2.86758619047619</v>
      </c>
      <c r="GL109">
        <v>-0.113366493506488</v>
      </c>
      <c r="GM109">
        <v>0.0120563334378127</v>
      </c>
      <c r="GN109">
        <v>0</v>
      </c>
      <c r="GO109">
        <v>0</v>
      </c>
      <c r="GP109">
        <v>2</v>
      </c>
      <c r="GQ109" t="s">
        <v>519</v>
      </c>
      <c r="GR109">
        <v>3.1306</v>
      </c>
      <c r="GS109">
        <v>2.68544</v>
      </c>
      <c r="GT109">
        <v>0.212238</v>
      </c>
      <c r="GU109">
        <v>0.216223</v>
      </c>
      <c r="GV109">
        <v>0.0617885</v>
      </c>
      <c r="GW109">
        <v>0.0497297</v>
      </c>
      <c r="GX109">
        <v>29861.9</v>
      </c>
      <c r="GY109">
        <v>31925.2</v>
      </c>
      <c r="GZ109">
        <v>34267.6</v>
      </c>
      <c r="HA109">
        <v>36849.5</v>
      </c>
      <c r="HB109">
        <v>45362.2</v>
      </c>
      <c r="HC109">
        <v>50226.9</v>
      </c>
      <c r="HD109">
        <v>53342.2</v>
      </c>
      <c r="HE109">
        <v>58776.3</v>
      </c>
      <c r="HF109">
        <v>2.00923</v>
      </c>
      <c r="HG109">
        <v>1.8391</v>
      </c>
      <c r="HH109">
        <v>0.0325292</v>
      </c>
      <c r="HI109">
        <v>0</v>
      </c>
      <c r="HJ109">
        <v>17.4606</v>
      </c>
      <c r="HK109">
        <v>999.9</v>
      </c>
      <c r="HL109">
        <v>25.809</v>
      </c>
      <c r="HM109">
        <v>30.293</v>
      </c>
      <c r="HN109">
        <v>12.4448</v>
      </c>
      <c r="HO109">
        <v>54.2991</v>
      </c>
      <c r="HP109">
        <v>44.0986</v>
      </c>
      <c r="HQ109">
        <v>1</v>
      </c>
      <c r="HR109">
        <v>-0.269367</v>
      </c>
      <c r="HS109">
        <v>4.08832</v>
      </c>
      <c r="HT109">
        <v>20.0887</v>
      </c>
      <c r="HU109">
        <v>5.20321</v>
      </c>
      <c r="HV109">
        <v>12.004</v>
      </c>
      <c r="HW109">
        <v>4.97595</v>
      </c>
      <c r="HX109">
        <v>3.293</v>
      </c>
      <c r="HY109">
        <v>9999</v>
      </c>
      <c r="HZ109">
        <v>999.9</v>
      </c>
      <c r="IA109">
        <v>9999</v>
      </c>
      <c r="IB109">
        <v>9999</v>
      </c>
      <c r="IC109">
        <v>1.86325</v>
      </c>
      <c r="ID109">
        <v>1.86806</v>
      </c>
      <c r="IE109">
        <v>1.86783</v>
      </c>
      <c r="IF109">
        <v>1.86905</v>
      </c>
      <c r="IG109">
        <v>1.86981</v>
      </c>
      <c r="IH109">
        <v>1.86584</v>
      </c>
      <c r="II109">
        <v>1.86693</v>
      </c>
      <c r="IJ109">
        <v>1.86842</v>
      </c>
      <c r="IK109">
        <v>5</v>
      </c>
      <c r="IL109">
        <v>0</v>
      </c>
      <c r="IM109">
        <v>0</v>
      </c>
      <c r="IN109">
        <v>0</v>
      </c>
      <c r="IO109" t="s">
        <v>441</v>
      </c>
      <c r="IP109" t="s">
        <v>442</v>
      </c>
      <c r="IQ109" t="s">
        <v>443</v>
      </c>
      <c r="IR109" t="s">
        <v>443</v>
      </c>
      <c r="IS109" t="s">
        <v>443</v>
      </c>
      <c r="IT109" t="s">
        <v>443</v>
      </c>
      <c r="IU109">
        <v>0</v>
      </c>
      <c r="IV109">
        <v>100</v>
      </c>
      <c r="IW109">
        <v>100</v>
      </c>
      <c r="IX109">
        <v>6.58</v>
      </c>
      <c r="IY109">
        <v>-0.1109</v>
      </c>
      <c r="IZ109">
        <v>1.12474291219083</v>
      </c>
      <c r="JA109">
        <v>0.00463155566490582</v>
      </c>
      <c r="JB109">
        <v>-1.1358998729424e-06</v>
      </c>
      <c r="JC109">
        <v>3.28704272115545e-10</v>
      </c>
      <c r="JD109">
        <v>-0.0704455108513773</v>
      </c>
      <c r="JE109">
        <v>-0.0251928478371425</v>
      </c>
      <c r="JF109">
        <v>0.00225751704194564</v>
      </c>
      <c r="JG109">
        <v>-3.61734043746866e-05</v>
      </c>
      <c r="JH109">
        <v>1</v>
      </c>
      <c r="JI109">
        <v>2182</v>
      </c>
      <c r="JJ109">
        <v>0</v>
      </c>
      <c r="JK109">
        <v>24</v>
      </c>
      <c r="JL109">
        <v>29349829</v>
      </c>
      <c r="JM109">
        <v>29349829</v>
      </c>
      <c r="JN109">
        <v>2.86987</v>
      </c>
      <c r="JO109">
        <v>2.59766</v>
      </c>
      <c r="JP109">
        <v>1.54785</v>
      </c>
      <c r="JQ109">
        <v>2.31445</v>
      </c>
      <c r="JR109">
        <v>1.64673</v>
      </c>
      <c r="JS109">
        <v>2.3938</v>
      </c>
      <c r="JT109">
        <v>33.6479</v>
      </c>
      <c r="JU109">
        <v>24.1926</v>
      </c>
      <c r="JV109">
        <v>18</v>
      </c>
      <c r="JW109">
        <v>500.955</v>
      </c>
      <c r="JX109">
        <v>395.176</v>
      </c>
      <c r="JY109">
        <v>12.1945</v>
      </c>
      <c r="JZ109">
        <v>23.9008</v>
      </c>
      <c r="KA109">
        <v>30</v>
      </c>
      <c r="KB109">
        <v>23.921</v>
      </c>
      <c r="KC109">
        <v>23.8912</v>
      </c>
      <c r="KD109">
        <v>57.5419</v>
      </c>
      <c r="KE109">
        <v>7.93757</v>
      </c>
      <c r="KF109">
        <v>22.9919</v>
      </c>
      <c r="KG109">
        <v>12.1981</v>
      </c>
      <c r="KH109">
        <v>1557.53</v>
      </c>
      <c r="KI109">
        <v>9.03633</v>
      </c>
      <c r="KJ109">
        <v>97.0467</v>
      </c>
      <c r="KK109">
        <v>95.3036</v>
      </c>
    </row>
    <row r="110" spans="1:297">
      <c r="A110">
        <v>94</v>
      </c>
      <c r="B110">
        <v>1760989747.1</v>
      </c>
      <c r="C110">
        <v>557</v>
      </c>
      <c r="D110" t="s">
        <v>630</v>
      </c>
      <c r="E110" t="s">
        <v>631</v>
      </c>
      <c r="F110">
        <v>5</v>
      </c>
      <c r="G110" t="s">
        <v>435</v>
      </c>
      <c r="H110" t="s">
        <v>436</v>
      </c>
      <c r="I110">
        <v>1760989738.94615</v>
      </c>
      <c r="J110">
        <f>(K110)/1000</f>
        <v>0</v>
      </c>
      <c r="K110">
        <f>IF(DP110, AN110, AH110)</f>
        <v>0</v>
      </c>
      <c r="L110">
        <f>IF(DP110, AI110, AG110)</f>
        <v>0</v>
      </c>
      <c r="M110">
        <f>DR110 - IF(AU110&gt;1, L110*DL110*100.0/(AW110), 0)</f>
        <v>0</v>
      </c>
      <c r="N110">
        <f>((T110-J110/2)*M110-L110)/(T110+J110/2)</f>
        <v>0</v>
      </c>
      <c r="O110">
        <f>N110*(DY110+DZ110)/1000.0</f>
        <v>0</v>
      </c>
      <c r="P110">
        <f>(DR110 - IF(AU110&gt;1, L110*DL110*100.0/(AW110), 0))*(DY110+DZ110)/1000.0</f>
        <v>0</v>
      </c>
      <c r="Q110">
        <f>2.0/((1/S110-1/R110)+SIGN(S110)*SQRT((1/S110-1/R110)*(1/S110-1/R110) + 4*DM110/((DM110+1)*(DM110+1))*(2*1/S110*1/R110-1/R110*1/R110)))</f>
        <v>0</v>
      </c>
      <c r="R110">
        <f>IF(LEFT(DN110,1)&lt;&gt;"0",IF(LEFT(DN110,1)="1",3.0,DO110),$D$5+$E$5*(EF110*DY110/($K$5*1000))+$F$5*(EF110*DY110/($K$5*1000))*MAX(MIN(DL110,$J$5),$I$5)*MAX(MIN(DL110,$J$5),$I$5)+$G$5*MAX(MIN(DL110,$J$5),$I$5)*(EF110*DY110/($K$5*1000))+$H$5*(EF110*DY110/($K$5*1000))*(EF110*DY110/($K$5*1000)))</f>
        <v>0</v>
      </c>
      <c r="S110">
        <f>J110*(1000-(1000*0.61365*exp(17.502*W110/(240.97+W110))/(DY110+DZ110)+DT110)/2)/(1000*0.61365*exp(17.502*W110/(240.97+W110))/(DY110+DZ110)-DT110)</f>
        <v>0</v>
      </c>
      <c r="T110">
        <f>1/((DM110+1)/(Q110/1.6)+1/(R110/1.37)) + DM110/((DM110+1)/(Q110/1.6) + DM110/(R110/1.37))</f>
        <v>0</v>
      </c>
      <c r="U110">
        <f>(DH110*DK110)</f>
        <v>0</v>
      </c>
      <c r="V110">
        <f>(EA110+(U110+2*0.95*5.67E-8*(((EA110+$B$7)+273)^4-(EA110+273)^4)-44100*J110)/(1.84*29.3*R110+8*0.95*5.67E-8*(EA110+273)^3))</f>
        <v>0</v>
      </c>
      <c r="W110">
        <f>($C$7*EB110+$D$7*EC110+$E$7*V110)</f>
        <v>0</v>
      </c>
      <c r="X110">
        <f>0.61365*exp(17.502*W110/(240.97+W110))</f>
        <v>0</v>
      </c>
      <c r="Y110">
        <f>(Z110/AA110*100)</f>
        <v>0</v>
      </c>
      <c r="Z110">
        <f>DT110*(DY110+DZ110)/1000</f>
        <v>0</v>
      </c>
      <c r="AA110">
        <f>0.61365*exp(17.502*EA110/(240.97+EA110))</f>
        <v>0</v>
      </c>
      <c r="AB110">
        <f>(X110-DT110*(DY110+DZ110)/1000)</f>
        <v>0</v>
      </c>
      <c r="AC110">
        <f>(-J110*44100)</f>
        <v>0</v>
      </c>
      <c r="AD110">
        <f>2*29.3*R110*0.92*(EA110-W110)</f>
        <v>0</v>
      </c>
      <c r="AE110">
        <f>2*0.95*5.67E-8*(((EA110+$B$7)+273)^4-(W110+273)^4)</f>
        <v>0</v>
      </c>
      <c r="AF110">
        <f>U110+AE110+AC110+AD110</f>
        <v>0</v>
      </c>
      <c r="AG110">
        <f>DX110*AU110*(DS110-DR110*(1000-AU110*DU110)/(1000-AU110*DT110))/(100*DL110)</f>
        <v>0</v>
      </c>
      <c r="AH110">
        <f>1000*DX110*AU110*(DT110-DU110)/(100*DL110*(1000-AU110*DT110))</f>
        <v>0</v>
      </c>
      <c r="AI110">
        <f>(AJ110 - AK110 - DY110*1E3/(8.314*(EA110+273.15)) * AM110/DX110 * AL110) * DX110/(100*DL110) * (1000 - DU110)/1000</f>
        <v>0</v>
      </c>
      <c r="AJ110">
        <v>1555.75238471583</v>
      </c>
      <c r="AK110">
        <v>1524.9663030303</v>
      </c>
      <c r="AL110">
        <v>3.17816087699928</v>
      </c>
      <c r="AM110">
        <v>64.8413469339502</v>
      </c>
      <c r="AN110">
        <f>(AP110 - AO110 + DY110*1E3/(8.314*(EA110+273.15)) * AR110/DX110 * AQ110) * DX110/(100*DL110) * 1000/(1000 - AP110)</f>
        <v>0</v>
      </c>
      <c r="AO110">
        <v>8.98109637347745</v>
      </c>
      <c r="AP110">
        <v>11.8381836363636</v>
      </c>
      <c r="AQ110">
        <v>1.71503466054943e-05</v>
      </c>
      <c r="AR110">
        <v>118.472689631034</v>
      </c>
      <c r="AS110">
        <v>0</v>
      </c>
      <c r="AT110">
        <v>0</v>
      </c>
      <c r="AU110">
        <f>IF(AS110*$H$13&gt;=AW110,1.0,(AW110/(AW110-AS110*$H$13)))</f>
        <v>0</v>
      </c>
      <c r="AV110">
        <f>(AU110-1)*100</f>
        <v>0</v>
      </c>
      <c r="AW110">
        <f>MAX(0,($B$13+$C$13*EF110)/(1+$D$13*EF110)*DY110/(EA110+273)*$E$13)</f>
        <v>0</v>
      </c>
      <c r="AX110" t="s">
        <v>437</v>
      </c>
      <c r="AY110" t="s">
        <v>437</v>
      </c>
      <c r="AZ110">
        <v>0</v>
      </c>
      <c r="BA110">
        <v>0</v>
      </c>
      <c r="BB110">
        <f>1-AZ110/BA110</f>
        <v>0</v>
      </c>
      <c r="BC110">
        <v>0</v>
      </c>
      <c r="BD110" t="s">
        <v>437</v>
      </c>
      <c r="BE110" t="s">
        <v>437</v>
      </c>
      <c r="BF110">
        <v>0</v>
      </c>
      <c r="BG110">
        <v>0</v>
      </c>
      <c r="BH110">
        <f>1-BF110/BG110</f>
        <v>0</v>
      </c>
      <c r="BI110">
        <v>0.5</v>
      </c>
      <c r="BJ110">
        <f>DI110</f>
        <v>0</v>
      </c>
      <c r="BK110">
        <f>L110</f>
        <v>0</v>
      </c>
      <c r="BL110">
        <f>BH110*BI110*BJ110</f>
        <v>0</v>
      </c>
      <c r="BM110">
        <f>(BK110-BC110)/BJ110</f>
        <v>0</v>
      </c>
      <c r="BN110">
        <f>(BA110-BG110)/BG110</f>
        <v>0</v>
      </c>
      <c r="BO110">
        <f>AZ110/(BB110+AZ110/BG110)</f>
        <v>0</v>
      </c>
      <c r="BP110" t="s">
        <v>437</v>
      </c>
      <c r="BQ110">
        <v>0</v>
      </c>
      <c r="BR110">
        <f>IF(BQ110&lt;&gt;0, BQ110, BO110)</f>
        <v>0</v>
      </c>
      <c r="BS110">
        <f>1-BR110/BG110</f>
        <v>0</v>
      </c>
      <c r="BT110">
        <f>(BG110-BF110)/(BG110-BR110)</f>
        <v>0</v>
      </c>
      <c r="BU110">
        <f>(BA110-BG110)/(BA110-BR110)</f>
        <v>0</v>
      </c>
      <c r="BV110">
        <f>(BG110-BF110)/(BG110-AZ110)</f>
        <v>0</v>
      </c>
      <c r="BW110">
        <f>(BA110-BG110)/(BA110-AZ110)</f>
        <v>0</v>
      </c>
      <c r="BX110">
        <f>(BT110*BR110/BF110)</f>
        <v>0</v>
      </c>
      <c r="BY110">
        <f>(1-BX110)</f>
        <v>0</v>
      </c>
      <c r="DH110">
        <f>$B$11*EG110+$C$11*EH110+$F$11*ES110*(1-EV110)</f>
        <v>0</v>
      </c>
      <c r="DI110">
        <f>DH110*DJ110</f>
        <v>0</v>
      </c>
      <c r="DJ110">
        <f>($B$11*$D$9+$C$11*$D$9+$F$11*((FF110+EX110)/MAX(FF110+EX110+FG110, 0.1)*$I$9+FG110/MAX(FF110+EX110+FG110, 0.1)*$J$9))/($B$11+$C$11+$F$11)</f>
        <v>0</v>
      </c>
      <c r="DK110">
        <f>($B$11*$K$9+$C$11*$K$9+$F$11*((FF110+EX110)/MAX(FF110+EX110+FG110, 0.1)*$P$9+FG110/MAX(FF110+EX110+FG110, 0.1)*$Q$9))/($B$11+$C$11+$F$11)</f>
        <v>0</v>
      </c>
      <c r="DL110">
        <v>6</v>
      </c>
      <c r="DM110">
        <v>0.5</v>
      </c>
      <c r="DN110" t="s">
        <v>438</v>
      </c>
      <c r="DO110">
        <v>2</v>
      </c>
      <c r="DP110" t="b">
        <v>1</v>
      </c>
      <c r="DQ110">
        <v>1760989738.94615</v>
      </c>
      <c r="DR110">
        <v>1483.73461538462</v>
      </c>
      <c r="DS110">
        <v>1527.07</v>
      </c>
      <c r="DT110">
        <v>11.8324307692308</v>
      </c>
      <c r="DU110">
        <v>8.97582307692308</v>
      </c>
      <c r="DV110">
        <v>1477.18769230769</v>
      </c>
      <c r="DW110">
        <v>11.9433692307692</v>
      </c>
      <c r="DX110">
        <v>500.035769230769</v>
      </c>
      <c r="DY110">
        <v>89.8513615384615</v>
      </c>
      <c r="DZ110">
        <v>0.00771841615384616</v>
      </c>
      <c r="EA110">
        <v>18.4728615384615</v>
      </c>
      <c r="EB110">
        <v>18.0006</v>
      </c>
      <c r="EC110">
        <v>999.9</v>
      </c>
      <c r="ED110">
        <v>0</v>
      </c>
      <c r="EE110">
        <v>0</v>
      </c>
      <c r="EF110">
        <v>9996.72692307692</v>
      </c>
      <c r="EG110">
        <v>0</v>
      </c>
      <c r="EH110">
        <v>1270.17</v>
      </c>
      <c r="EI110">
        <v>-43.3326076923077</v>
      </c>
      <c r="EJ110">
        <v>1501.50307692308</v>
      </c>
      <c r="EK110">
        <v>1540.89923076923</v>
      </c>
      <c r="EL110">
        <v>2.85660538461538</v>
      </c>
      <c r="EM110">
        <v>1527.07</v>
      </c>
      <c r="EN110">
        <v>8.97582307692308</v>
      </c>
      <c r="EO110">
        <v>1.06316</v>
      </c>
      <c r="EP110">
        <v>0.806489846153846</v>
      </c>
      <c r="EQ110">
        <v>7.81194076923077</v>
      </c>
      <c r="ER110">
        <v>3.82204769230769</v>
      </c>
      <c r="ES110">
        <v>1200.01384615385</v>
      </c>
      <c r="ET110">
        <v>0.967005384615384</v>
      </c>
      <c r="EU110">
        <v>0.0329943615384615</v>
      </c>
      <c r="EV110">
        <v>0</v>
      </c>
      <c r="EW110">
        <v>1335.79769230769</v>
      </c>
      <c r="EX110">
        <v>5.00059</v>
      </c>
      <c r="EY110">
        <v>15722.9846153846</v>
      </c>
      <c r="EZ110">
        <v>10358.8538461538</v>
      </c>
      <c r="FA110">
        <v>37.7737692307692</v>
      </c>
      <c r="FB110">
        <v>39.495</v>
      </c>
      <c r="FC110">
        <v>38.2641538461539</v>
      </c>
      <c r="FD110">
        <v>38.8796153846154</v>
      </c>
      <c r="FE110">
        <v>38.5959230769231</v>
      </c>
      <c r="FF110">
        <v>1155.58384615385</v>
      </c>
      <c r="FG110">
        <v>39.43</v>
      </c>
      <c r="FH110">
        <v>0</v>
      </c>
      <c r="FI110">
        <v>1760989716.1</v>
      </c>
      <c r="FJ110">
        <v>0</v>
      </c>
      <c r="FK110">
        <v>1335.8016</v>
      </c>
      <c r="FL110">
        <v>1.5253846125298</v>
      </c>
      <c r="FM110">
        <v>-17.4230769237605</v>
      </c>
      <c r="FN110">
        <v>15722.392</v>
      </c>
      <c r="FO110">
        <v>15</v>
      </c>
      <c r="FP110">
        <v>0</v>
      </c>
      <c r="FQ110" t="s">
        <v>439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-43.2926619047619</v>
      </c>
      <c r="GD110">
        <v>2.9470597402596</v>
      </c>
      <c r="GE110">
        <v>0.662851443872601</v>
      </c>
      <c r="GF110">
        <v>0</v>
      </c>
      <c r="GG110">
        <v>1335.76029411765</v>
      </c>
      <c r="GH110">
        <v>1.09472879861771</v>
      </c>
      <c r="GI110">
        <v>0.22941723221237</v>
      </c>
      <c r="GJ110">
        <v>-1</v>
      </c>
      <c r="GK110">
        <v>2.85926285714286</v>
      </c>
      <c r="GL110">
        <v>-0.0454090909090877</v>
      </c>
      <c r="GM110">
        <v>0.00568615456538922</v>
      </c>
      <c r="GN110">
        <v>1</v>
      </c>
      <c r="GO110">
        <v>1</v>
      </c>
      <c r="GP110">
        <v>2</v>
      </c>
      <c r="GQ110" t="s">
        <v>446</v>
      </c>
      <c r="GR110">
        <v>3.13069</v>
      </c>
      <c r="GS110">
        <v>2.68584</v>
      </c>
      <c r="GT110">
        <v>0.21359</v>
      </c>
      <c r="GU110">
        <v>0.217649</v>
      </c>
      <c r="GV110">
        <v>0.0618004</v>
      </c>
      <c r="GW110">
        <v>0.0497312</v>
      </c>
      <c r="GX110">
        <v>29810.7</v>
      </c>
      <c r="GY110">
        <v>31867.3</v>
      </c>
      <c r="GZ110">
        <v>34267.6</v>
      </c>
      <c r="HA110">
        <v>36849.6</v>
      </c>
      <c r="HB110">
        <v>45361.9</v>
      </c>
      <c r="HC110">
        <v>50226.8</v>
      </c>
      <c r="HD110">
        <v>53342.4</v>
      </c>
      <c r="HE110">
        <v>58776.1</v>
      </c>
      <c r="HF110">
        <v>2.00912</v>
      </c>
      <c r="HG110">
        <v>1.83923</v>
      </c>
      <c r="HH110">
        <v>0.0324249</v>
      </c>
      <c r="HI110">
        <v>0</v>
      </c>
      <c r="HJ110">
        <v>17.4593</v>
      </c>
      <c r="HK110">
        <v>999.9</v>
      </c>
      <c r="HL110">
        <v>25.809</v>
      </c>
      <c r="HM110">
        <v>30.293</v>
      </c>
      <c r="HN110">
        <v>12.4452</v>
      </c>
      <c r="HO110">
        <v>54.3991</v>
      </c>
      <c r="HP110">
        <v>44.1026</v>
      </c>
      <c r="HQ110">
        <v>1</v>
      </c>
      <c r="HR110">
        <v>-0.269314</v>
      </c>
      <c r="HS110">
        <v>4.0827</v>
      </c>
      <c r="HT110">
        <v>20.0888</v>
      </c>
      <c r="HU110">
        <v>5.20246</v>
      </c>
      <c r="HV110">
        <v>12.004</v>
      </c>
      <c r="HW110">
        <v>4.9755</v>
      </c>
      <c r="HX110">
        <v>3.293</v>
      </c>
      <c r="HY110">
        <v>9999</v>
      </c>
      <c r="HZ110">
        <v>999.9</v>
      </c>
      <c r="IA110">
        <v>9999</v>
      </c>
      <c r="IB110">
        <v>9999</v>
      </c>
      <c r="IC110">
        <v>1.86324</v>
      </c>
      <c r="ID110">
        <v>1.8681</v>
      </c>
      <c r="IE110">
        <v>1.86783</v>
      </c>
      <c r="IF110">
        <v>1.86905</v>
      </c>
      <c r="IG110">
        <v>1.86981</v>
      </c>
      <c r="IH110">
        <v>1.86585</v>
      </c>
      <c r="II110">
        <v>1.86694</v>
      </c>
      <c r="IJ110">
        <v>1.86842</v>
      </c>
      <c r="IK110">
        <v>5</v>
      </c>
      <c r="IL110">
        <v>0</v>
      </c>
      <c r="IM110">
        <v>0</v>
      </c>
      <c r="IN110">
        <v>0</v>
      </c>
      <c r="IO110" t="s">
        <v>441</v>
      </c>
      <c r="IP110" t="s">
        <v>442</v>
      </c>
      <c r="IQ110" t="s">
        <v>443</v>
      </c>
      <c r="IR110" t="s">
        <v>443</v>
      </c>
      <c r="IS110" t="s">
        <v>443</v>
      </c>
      <c r="IT110" t="s">
        <v>443</v>
      </c>
      <c r="IU110">
        <v>0</v>
      </c>
      <c r="IV110">
        <v>100</v>
      </c>
      <c r="IW110">
        <v>100</v>
      </c>
      <c r="IX110">
        <v>6.64</v>
      </c>
      <c r="IY110">
        <v>-0.1108</v>
      </c>
      <c r="IZ110">
        <v>1.12474291219083</v>
      </c>
      <c r="JA110">
        <v>0.00463155566490582</v>
      </c>
      <c r="JB110">
        <v>-1.1358998729424e-06</v>
      </c>
      <c r="JC110">
        <v>3.28704272115545e-10</v>
      </c>
      <c r="JD110">
        <v>-0.0704455108513773</v>
      </c>
      <c r="JE110">
        <v>-0.0251928478371425</v>
      </c>
      <c r="JF110">
        <v>0.00225751704194564</v>
      </c>
      <c r="JG110">
        <v>-3.61734043746866e-05</v>
      </c>
      <c r="JH110">
        <v>1</v>
      </c>
      <c r="JI110">
        <v>2182</v>
      </c>
      <c r="JJ110">
        <v>0</v>
      </c>
      <c r="JK110">
        <v>24</v>
      </c>
      <c r="JL110">
        <v>29349829.1</v>
      </c>
      <c r="JM110">
        <v>29349829.1</v>
      </c>
      <c r="JN110">
        <v>2.89795</v>
      </c>
      <c r="JO110">
        <v>2.60376</v>
      </c>
      <c r="JP110">
        <v>1.54785</v>
      </c>
      <c r="JQ110">
        <v>2.31445</v>
      </c>
      <c r="JR110">
        <v>1.64673</v>
      </c>
      <c r="JS110">
        <v>2.37793</v>
      </c>
      <c r="JT110">
        <v>33.6479</v>
      </c>
      <c r="JU110">
        <v>24.1926</v>
      </c>
      <c r="JV110">
        <v>18</v>
      </c>
      <c r="JW110">
        <v>500.891</v>
      </c>
      <c r="JX110">
        <v>395.242</v>
      </c>
      <c r="JY110">
        <v>12.1954</v>
      </c>
      <c r="JZ110">
        <v>23.9008</v>
      </c>
      <c r="KA110">
        <v>30.0001</v>
      </c>
      <c r="KB110">
        <v>23.921</v>
      </c>
      <c r="KC110">
        <v>23.8912</v>
      </c>
      <c r="KD110">
        <v>58.0132</v>
      </c>
      <c r="KE110">
        <v>7.93757</v>
      </c>
      <c r="KF110">
        <v>22.9919</v>
      </c>
      <c r="KG110">
        <v>12.3016</v>
      </c>
      <c r="KH110">
        <v>1571.08</v>
      </c>
      <c r="KI110">
        <v>9.03824</v>
      </c>
      <c r="KJ110">
        <v>97.0468</v>
      </c>
      <c r="KK110">
        <v>95.3035</v>
      </c>
    </row>
    <row r="111" spans="1:297">
      <c r="A111">
        <v>95</v>
      </c>
      <c r="B111">
        <v>1760989752.1</v>
      </c>
      <c r="C111">
        <v>562</v>
      </c>
      <c r="D111" t="s">
        <v>632</v>
      </c>
      <c r="E111" t="s">
        <v>633</v>
      </c>
      <c r="F111">
        <v>5</v>
      </c>
      <c r="G111" t="s">
        <v>435</v>
      </c>
      <c r="H111" t="s">
        <v>436</v>
      </c>
      <c r="I111">
        <v>1760989743.94615</v>
      </c>
      <c r="J111">
        <f>(K111)/1000</f>
        <v>0</v>
      </c>
      <c r="K111">
        <f>IF(DP111, AN111, AH111)</f>
        <v>0</v>
      </c>
      <c r="L111">
        <f>IF(DP111, AI111, AG111)</f>
        <v>0</v>
      </c>
      <c r="M111">
        <f>DR111 - IF(AU111&gt;1, L111*DL111*100.0/(AW111), 0)</f>
        <v>0</v>
      </c>
      <c r="N111">
        <f>((T111-J111/2)*M111-L111)/(T111+J111/2)</f>
        <v>0</v>
      </c>
      <c r="O111">
        <f>N111*(DY111+DZ111)/1000.0</f>
        <v>0</v>
      </c>
      <c r="P111">
        <f>(DR111 - IF(AU111&gt;1, L111*DL111*100.0/(AW111), 0))*(DY111+DZ111)/1000.0</f>
        <v>0</v>
      </c>
      <c r="Q111">
        <f>2.0/((1/S111-1/R111)+SIGN(S111)*SQRT((1/S111-1/R111)*(1/S111-1/R111) + 4*DM111/((DM111+1)*(DM111+1))*(2*1/S111*1/R111-1/R111*1/R111)))</f>
        <v>0</v>
      </c>
      <c r="R111">
        <f>IF(LEFT(DN111,1)&lt;&gt;"0",IF(LEFT(DN111,1)="1",3.0,DO111),$D$5+$E$5*(EF111*DY111/($K$5*1000))+$F$5*(EF111*DY111/($K$5*1000))*MAX(MIN(DL111,$J$5),$I$5)*MAX(MIN(DL111,$J$5),$I$5)+$G$5*MAX(MIN(DL111,$J$5),$I$5)*(EF111*DY111/($K$5*1000))+$H$5*(EF111*DY111/($K$5*1000))*(EF111*DY111/($K$5*1000)))</f>
        <v>0</v>
      </c>
      <c r="S111">
        <f>J111*(1000-(1000*0.61365*exp(17.502*W111/(240.97+W111))/(DY111+DZ111)+DT111)/2)/(1000*0.61365*exp(17.502*W111/(240.97+W111))/(DY111+DZ111)-DT111)</f>
        <v>0</v>
      </c>
      <c r="T111">
        <f>1/((DM111+1)/(Q111/1.6)+1/(R111/1.37)) + DM111/((DM111+1)/(Q111/1.6) + DM111/(R111/1.37))</f>
        <v>0</v>
      </c>
      <c r="U111">
        <f>(DH111*DK111)</f>
        <v>0</v>
      </c>
      <c r="V111">
        <f>(EA111+(U111+2*0.95*5.67E-8*(((EA111+$B$7)+273)^4-(EA111+273)^4)-44100*J111)/(1.84*29.3*R111+8*0.95*5.67E-8*(EA111+273)^3))</f>
        <v>0</v>
      </c>
      <c r="W111">
        <f>($C$7*EB111+$D$7*EC111+$E$7*V111)</f>
        <v>0</v>
      </c>
      <c r="X111">
        <f>0.61365*exp(17.502*W111/(240.97+W111))</f>
        <v>0</v>
      </c>
      <c r="Y111">
        <f>(Z111/AA111*100)</f>
        <v>0</v>
      </c>
      <c r="Z111">
        <f>DT111*(DY111+DZ111)/1000</f>
        <v>0</v>
      </c>
      <c r="AA111">
        <f>0.61365*exp(17.502*EA111/(240.97+EA111))</f>
        <v>0</v>
      </c>
      <c r="AB111">
        <f>(X111-DT111*(DY111+DZ111)/1000)</f>
        <v>0</v>
      </c>
      <c r="AC111">
        <f>(-J111*44100)</f>
        <v>0</v>
      </c>
      <c r="AD111">
        <f>2*29.3*R111*0.92*(EA111-W111)</f>
        <v>0</v>
      </c>
      <c r="AE111">
        <f>2*0.95*5.67E-8*(((EA111+$B$7)+273)^4-(W111+273)^4)</f>
        <v>0</v>
      </c>
      <c r="AF111">
        <f>U111+AE111+AC111+AD111</f>
        <v>0</v>
      </c>
      <c r="AG111">
        <f>DX111*AU111*(DS111-DR111*(1000-AU111*DU111)/(1000-AU111*DT111))/(100*DL111)</f>
        <v>0</v>
      </c>
      <c r="AH111">
        <f>1000*DX111*AU111*(DT111-DU111)/(100*DL111*(1000-AU111*DT111))</f>
        <v>0</v>
      </c>
      <c r="AI111">
        <f>(AJ111 - AK111 - DY111*1E3/(8.314*(EA111+273.15)) * AM111/DX111 * AL111) * DX111/(100*DL111) * (1000 - DU111)/1000</f>
        <v>0</v>
      </c>
      <c r="AJ111">
        <v>1573.04952447296</v>
      </c>
      <c r="AK111">
        <v>1541.89236363636</v>
      </c>
      <c r="AL111">
        <v>3.39681433470141</v>
      </c>
      <c r="AM111">
        <v>64.8413469339502</v>
      </c>
      <c r="AN111">
        <f>(AP111 - AO111 + DY111*1E3/(8.314*(EA111+273.15)) * AR111/DX111 * AQ111) * DX111/(100*DL111) * 1000/(1000 - AP111)</f>
        <v>0</v>
      </c>
      <c r="AO111">
        <v>8.9825529662559</v>
      </c>
      <c r="AP111">
        <v>11.8417939393939</v>
      </c>
      <c r="AQ111">
        <v>1.74742684028709e-05</v>
      </c>
      <c r="AR111">
        <v>118.472689631034</v>
      </c>
      <c r="AS111">
        <v>0</v>
      </c>
      <c r="AT111">
        <v>0</v>
      </c>
      <c r="AU111">
        <f>IF(AS111*$H$13&gt;=AW111,1.0,(AW111/(AW111-AS111*$H$13)))</f>
        <v>0</v>
      </c>
      <c r="AV111">
        <f>(AU111-1)*100</f>
        <v>0</v>
      </c>
      <c r="AW111">
        <f>MAX(0,($B$13+$C$13*EF111)/(1+$D$13*EF111)*DY111/(EA111+273)*$E$13)</f>
        <v>0</v>
      </c>
      <c r="AX111" t="s">
        <v>437</v>
      </c>
      <c r="AY111" t="s">
        <v>437</v>
      </c>
      <c r="AZ111">
        <v>0</v>
      </c>
      <c r="BA111">
        <v>0</v>
      </c>
      <c r="BB111">
        <f>1-AZ111/BA111</f>
        <v>0</v>
      </c>
      <c r="BC111">
        <v>0</v>
      </c>
      <c r="BD111" t="s">
        <v>437</v>
      </c>
      <c r="BE111" t="s">
        <v>437</v>
      </c>
      <c r="BF111">
        <v>0</v>
      </c>
      <c r="BG111">
        <v>0</v>
      </c>
      <c r="BH111">
        <f>1-BF111/BG111</f>
        <v>0</v>
      </c>
      <c r="BI111">
        <v>0.5</v>
      </c>
      <c r="BJ111">
        <f>DI111</f>
        <v>0</v>
      </c>
      <c r="BK111">
        <f>L111</f>
        <v>0</v>
      </c>
      <c r="BL111">
        <f>BH111*BI111*BJ111</f>
        <v>0</v>
      </c>
      <c r="BM111">
        <f>(BK111-BC111)/BJ111</f>
        <v>0</v>
      </c>
      <c r="BN111">
        <f>(BA111-BG111)/BG111</f>
        <v>0</v>
      </c>
      <c r="BO111">
        <f>AZ111/(BB111+AZ111/BG111)</f>
        <v>0</v>
      </c>
      <c r="BP111" t="s">
        <v>437</v>
      </c>
      <c r="BQ111">
        <v>0</v>
      </c>
      <c r="BR111">
        <f>IF(BQ111&lt;&gt;0, BQ111, BO111)</f>
        <v>0</v>
      </c>
      <c r="BS111">
        <f>1-BR111/BG111</f>
        <v>0</v>
      </c>
      <c r="BT111">
        <f>(BG111-BF111)/(BG111-BR111)</f>
        <v>0</v>
      </c>
      <c r="BU111">
        <f>(BA111-BG111)/(BA111-BR111)</f>
        <v>0</v>
      </c>
      <c r="BV111">
        <f>(BG111-BF111)/(BG111-AZ111)</f>
        <v>0</v>
      </c>
      <c r="BW111">
        <f>(BA111-BG111)/(BA111-AZ111)</f>
        <v>0</v>
      </c>
      <c r="BX111">
        <f>(BT111*BR111/BF111)</f>
        <v>0</v>
      </c>
      <c r="BY111">
        <f>(1-BX111)</f>
        <v>0</v>
      </c>
      <c r="DH111">
        <f>$B$11*EG111+$C$11*EH111+$F$11*ES111*(1-EV111)</f>
        <v>0</v>
      </c>
      <c r="DI111">
        <f>DH111*DJ111</f>
        <v>0</v>
      </c>
      <c r="DJ111">
        <f>($B$11*$D$9+$C$11*$D$9+$F$11*((FF111+EX111)/MAX(FF111+EX111+FG111, 0.1)*$I$9+FG111/MAX(FF111+EX111+FG111, 0.1)*$J$9))/($B$11+$C$11+$F$11)</f>
        <v>0</v>
      </c>
      <c r="DK111">
        <f>($B$11*$K$9+$C$11*$K$9+$F$11*((FF111+EX111)/MAX(FF111+EX111+FG111, 0.1)*$P$9+FG111/MAX(FF111+EX111+FG111, 0.1)*$Q$9))/($B$11+$C$11+$F$11)</f>
        <v>0</v>
      </c>
      <c r="DL111">
        <v>6</v>
      </c>
      <c r="DM111">
        <v>0.5</v>
      </c>
      <c r="DN111" t="s">
        <v>438</v>
      </c>
      <c r="DO111">
        <v>2</v>
      </c>
      <c r="DP111" t="b">
        <v>1</v>
      </c>
      <c r="DQ111">
        <v>1760989743.94615</v>
      </c>
      <c r="DR111">
        <v>1500.19769230769</v>
      </c>
      <c r="DS111">
        <v>1543.28923076923</v>
      </c>
      <c r="DT111">
        <v>11.8362076923077</v>
      </c>
      <c r="DU111">
        <v>8.97993615384615</v>
      </c>
      <c r="DV111">
        <v>1493.59384615385</v>
      </c>
      <c r="DW111">
        <v>11.9471076923077</v>
      </c>
      <c r="DX111">
        <v>500.010692307692</v>
      </c>
      <c r="DY111">
        <v>89.8520384615385</v>
      </c>
      <c r="DZ111">
        <v>0.00782841846153846</v>
      </c>
      <c r="EA111">
        <v>18.4701153846154</v>
      </c>
      <c r="EB111">
        <v>17.9993615384615</v>
      </c>
      <c r="EC111">
        <v>999.9</v>
      </c>
      <c r="ED111">
        <v>0</v>
      </c>
      <c r="EE111">
        <v>0</v>
      </c>
      <c r="EF111">
        <v>9982.06538461539</v>
      </c>
      <c r="EG111">
        <v>0</v>
      </c>
      <c r="EH111">
        <v>1270.16076923077</v>
      </c>
      <c r="EI111">
        <v>-43.0906076923077</v>
      </c>
      <c r="EJ111">
        <v>1518.16923076923</v>
      </c>
      <c r="EK111">
        <v>1557.27461538462</v>
      </c>
      <c r="EL111">
        <v>2.85627153846154</v>
      </c>
      <c r="EM111">
        <v>1543.28923076923</v>
      </c>
      <c r="EN111">
        <v>8.97993615384615</v>
      </c>
      <c r="EO111">
        <v>1.06350846153846</v>
      </c>
      <c r="EP111">
        <v>0.806865615384615</v>
      </c>
      <c r="EQ111">
        <v>7.81673923076923</v>
      </c>
      <c r="ER111">
        <v>3.82866538461538</v>
      </c>
      <c r="ES111">
        <v>1200.02</v>
      </c>
      <c r="ET111">
        <v>0.967004692307692</v>
      </c>
      <c r="EU111">
        <v>0.0329950076923077</v>
      </c>
      <c r="EV111">
        <v>0</v>
      </c>
      <c r="EW111">
        <v>1335.98</v>
      </c>
      <c r="EX111">
        <v>5.00059</v>
      </c>
      <c r="EY111">
        <v>15721.1615384615</v>
      </c>
      <c r="EZ111">
        <v>10358.8923076923</v>
      </c>
      <c r="FA111">
        <v>37.7065384615385</v>
      </c>
      <c r="FB111">
        <v>39.4083846153846</v>
      </c>
      <c r="FC111">
        <v>38.2016923076923</v>
      </c>
      <c r="FD111">
        <v>38.7739230769231</v>
      </c>
      <c r="FE111">
        <v>38.5382307692308</v>
      </c>
      <c r="FF111">
        <v>1155.59</v>
      </c>
      <c r="FG111">
        <v>39.43</v>
      </c>
      <c r="FH111">
        <v>0</v>
      </c>
      <c r="FI111">
        <v>1760989721.5</v>
      </c>
      <c r="FJ111">
        <v>0</v>
      </c>
      <c r="FK111">
        <v>1335.91307692308</v>
      </c>
      <c r="FL111">
        <v>1.85504272506407</v>
      </c>
      <c r="FM111">
        <v>-18.9777777419329</v>
      </c>
      <c r="FN111">
        <v>15720.7269230769</v>
      </c>
      <c r="FO111">
        <v>15</v>
      </c>
      <c r="FP111">
        <v>0</v>
      </c>
      <c r="FQ111" t="s">
        <v>439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-43.3606857142857</v>
      </c>
      <c r="GD111">
        <v>2.77374545454537</v>
      </c>
      <c r="GE111">
        <v>0.648442510052771</v>
      </c>
      <c r="GF111">
        <v>0</v>
      </c>
      <c r="GG111">
        <v>1335.84794117647</v>
      </c>
      <c r="GH111">
        <v>1.59465240220169</v>
      </c>
      <c r="GI111">
        <v>0.25531732748927</v>
      </c>
      <c r="GJ111">
        <v>-1</v>
      </c>
      <c r="GK111">
        <v>2.85709571428571</v>
      </c>
      <c r="GL111">
        <v>-0.00824649350649603</v>
      </c>
      <c r="GM111">
        <v>0.00216669283082056</v>
      </c>
      <c r="GN111">
        <v>1</v>
      </c>
      <c r="GO111">
        <v>1</v>
      </c>
      <c r="GP111">
        <v>2</v>
      </c>
      <c r="GQ111" t="s">
        <v>446</v>
      </c>
      <c r="GR111">
        <v>3.13066</v>
      </c>
      <c r="GS111">
        <v>2.68577</v>
      </c>
      <c r="GT111">
        <v>0.215005</v>
      </c>
      <c r="GU111">
        <v>0.218973</v>
      </c>
      <c r="GV111">
        <v>0.0618187</v>
      </c>
      <c r="GW111">
        <v>0.0497424</v>
      </c>
      <c r="GX111">
        <v>29757.6</v>
      </c>
      <c r="GY111">
        <v>31813.7</v>
      </c>
      <c r="GZ111">
        <v>34268</v>
      </c>
      <c r="HA111">
        <v>36849.7</v>
      </c>
      <c r="HB111">
        <v>45361.5</v>
      </c>
      <c r="HC111">
        <v>50226.5</v>
      </c>
      <c r="HD111">
        <v>53342.9</v>
      </c>
      <c r="HE111">
        <v>58776.3</v>
      </c>
      <c r="HF111">
        <v>2.00935</v>
      </c>
      <c r="HG111">
        <v>1.83902</v>
      </c>
      <c r="HH111">
        <v>0.0320151</v>
      </c>
      <c r="HI111">
        <v>0</v>
      </c>
      <c r="HJ111">
        <v>17.459</v>
      </c>
      <c r="HK111">
        <v>999.9</v>
      </c>
      <c r="HL111">
        <v>25.833</v>
      </c>
      <c r="HM111">
        <v>30.313</v>
      </c>
      <c r="HN111">
        <v>12.4706</v>
      </c>
      <c r="HO111">
        <v>53.8391</v>
      </c>
      <c r="HP111">
        <v>44.1266</v>
      </c>
      <c r="HQ111">
        <v>1</v>
      </c>
      <c r="HR111">
        <v>-0.270554</v>
      </c>
      <c r="HS111">
        <v>3.64614</v>
      </c>
      <c r="HT111">
        <v>20.0989</v>
      </c>
      <c r="HU111">
        <v>5.20142</v>
      </c>
      <c r="HV111">
        <v>12.004</v>
      </c>
      <c r="HW111">
        <v>4.97565</v>
      </c>
      <c r="HX111">
        <v>3.293</v>
      </c>
      <c r="HY111">
        <v>9999</v>
      </c>
      <c r="HZ111">
        <v>999.9</v>
      </c>
      <c r="IA111">
        <v>9999</v>
      </c>
      <c r="IB111">
        <v>9999</v>
      </c>
      <c r="IC111">
        <v>1.86325</v>
      </c>
      <c r="ID111">
        <v>1.86807</v>
      </c>
      <c r="IE111">
        <v>1.86783</v>
      </c>
      <c r="IF111">
        <v>1.86905</v>
      </c>
      <c r="IG111">
        <v>1.86981</v>
      </c>
      <c r="IH111">
        <v>1.86584</v>
      </c>
      <c r="II111">
        <v>1.86694</v>
      </c>
      <c r="IJ111">
        <v>1.8684</v>
      </c>
      <c r="IK111">
        <v>5</v>
      </c>
      <c r="IL111">
        <v>0</v>
      </c>
      <c r="IM111">
        <v>0</v>
      </c>
      <c r="IN111">
        <v>0</v>
      </c>
      <c r="IO111" t="s">
        <v>441</v>
      </c>
      <c r="IP111" t="s">
        <v>442</v>
      </c>
      <c r="IQ111" t="s">
        <v>443</v>
      </c>
      <c r="IR111" t="s">
        <v>443</v>
      </c>
      <c r="IS111" t="s">
        <v>443</v>
      </c>
      <c r="IT111" t="s">
        <v>443</v>
      </c>
      <c r="IU111">
        <v>0</v>
      </c>
      <c r="IV111">
        <v>100</v>
      </c>
      <c r="IW111">
        <v>100</v>
      </c>
      <c r="IX111">
        <v>6.69</v>
      </c>
      <c r="IY111">
        <v>-0.1108</v>
      </c>
      <c r="IZ111">
        <v>1.12474291219083</v>
      </c>
      <c r="JA111">
        <v>0.00463155566490582</v>
      </c>
      <c r="JB111">
        <v>-1.1358998729424e-06</v>
      </c>
      <c r="JC111">
        <v>3.28704272115545e-10</v>
      </c>
      <c r="JD111">
        <v>-0.0704455108513773</v>
      </c>
      <c r="JE111">
        <v>-0.0251928478371425</v>
      </c>
      <c r="JF111">
        <v>0.00225751704194564</v>
      </c>
      <c r="JG111">
        <v>-3.61734043746866e-05</v>
      </c>
      <c r="JH111">
        <v>1</v>
      </c>
      <c r="JI111">
        <v>2182</v>
      </c>
      <c r="JJ111">
        <v>0</v>
      </c>
      <c r="JK111">
        <v>24</v>
      </c>
      <c r="JL111">
        <v>29349829.2</v>
      </c>
      <c r="JM111">
        <v>29349829.2</v>
      </c>
      <c r="JN111">
        <v>2.92358</v>
      </c>
      <c r="JO111">
        <v>2.6001</v>
      </c>
      <c r="JP111">
        <v>1.54785</v>
      </c>
      <c r="JQ111">
        <v>2.31445</v>
      </c>
      <c r="JR111">
        <v>1.64673</v>
      </c>
      <c r="JS111">
        <v>2.3938</v>
      </c>
      <c r="JT111">
        <v>33.6479</v>
      </c>
      <c r="JU111">
        <v>24.1926</v>
      </c>
      <c r="JV111">
        <v>18</v>
      </c>
      <c r="JW111">
        <v>501.035</v>
      </c>
      <c r="JX111">
        <v>395.136</v>
      </c>
      <c r="JY111">
        <v>12.2528</v>
      </c>
      <c r="JZ111">
        <v>23.9011</v>
      </c>
      <c r="KA111">
        <v>29.9991</v>
      </c>
      <c r="KB111">
        <v>23.921</v>
      </c>
      <c r="KC111">
        <v>23.8912</v>
      </c>
      <c r="KD111">
        <v>58.5117</v>
      </c>
      <c r="KE111">
        <v>7.93757</v>
      </c>
      <c r="KF111">
        <v>22.9919</v>
      </c>
      <c r="KG111">
        <v>12.3053</v>
      </c>
      <c r="KH111">
        <v>1591.32</v>
      </c>
      <c r="KI111">
        <v>9.03561</v>
      </c>
      <c r="KJ111">
        <v>97.0478</v>
      </c>
      <c r="KK111">
        <v>95.3039</v>
      </c>
    </row>
    <row r="112" spans="1:297">
      <c r="A112">
        <v>96</v>
      </c>
      <c r="B112">
        <v>1760989757.1</v>
      </c>
      <c r="C112">
        <v>567</v>
      </c>
      <c r="D112" t="s">
        <v>634</v>
      </c>
      <c r="E112" t="s">
        <v>635</v>
      </c>
      <c r="F112">
        <v>5</v>
      </c>
      <c r="G112" t="s">
        <v>435</v>
      </c>
      <c r="H112" t="s">
        <v>436</v>
      </c>
      <c r="I112">
        <v>1760989748.94615</v>
      </c>
      <c r="J112">
        <f>(K112)/1000</f>
        <v>0</v>
      </c>
      <c r="K112">
        <f>IF(DP112, AN112, AH112)</f>
        <v>0</v>
      </c>
      <c r="L112">
        <f>IF(DP112, AI112, AG112)</f>
        <v>0</v>
      </c>
      <c r="M112">
        <f>DR112 - IF(AU112&gt;1, L112*DL112*100.0/(AW112), 0)</f>
        <v>0</v>
      </c>
      <c r="N112">
        <f>((T112-J112/2)*M112-L112)/(T112+J112/2)</f>
        <v>0</v>
      </c>
      <c r="O112">
        <f>N112*(DY112+DZ112)/1000.0</f>
        <v>0</v>
      </c>
      <c r="P112">
        <f>(DR112 - IF(AU112&gt;1, L112*DL112*100.0/(AW112), 0))*(DY112+DZ112)/1000.0</f>
        <v>0</v>
      </c>
      <c r="Q112">
        <f>2.0/((1/S112-1/R112)+SIGN(S112)*SQRT((1/S112-1/R112)*(1/S112-1/R112) + 4*DM112/((DM112+1)*(DM112+1))*(2*1/S112*1/R112-1/R112*1/R112)))</f>
        <v>0</v>
      </c>
      <c r="R112">
        <f>IF(LEFT(DN112,1)&lt;&gt;"0",IF(LEFT(DN112,1)="1",3.0,DO112),$D$5+$E$5*(EF112*DY112/($K$5*1000))+$F$5*(EF112*DY112/($K$5*1000))*MAX(MIN(DL112,$J$5),$I$5)*MAX(MIN(DL112,$J$5),$I$5)+$G$5*MAX(MIN(DL112,$J$5),$I$5)*(EF112*DY112/($K$5*1000))+$H$5*(EF112*DY112/($K$5*1000))*(EF112*DY112/($K$5*1000)))</f>
        <v>0</v>
      </c>
      <c r="S112">
        <f>J112*(1000-(1000*0.61365*exp(17.502*W112/(240.97+W112))/(DY112+DZ112)+DT112)/2)/(1000*0.61365*exp(17.502*W112/(240.97+W112))/(DY112+DZ112)-DT112)</f>
        <v>0</v>
      </c>
      <c r="T112">
        <f>1/((DM112+1)/(Q112/1.6)+1/(R112/1.37)) + DM112/((DM112+1)/(Q112/1.6) + DM112/(R112/1.37))</f>
        <v>0</v>
      </c>
      <c r="U112">
        <f>(DH112*DK112)</f>
        <v>0</v>
      </c>
      <c r="V112">
        <f>(EA112+(U112+2*0.95*5.67E-8*(((EA112+$B$7)+273)^4-(EA112+273)^4)-44100*J112)/(1.84*29.3*R112+8*0.95*5.67E-8*(EA112+273)^3))</f>
        <v>0</v>
      </c>
      <c r="W112">
        <f>($C$7*EB112+$D$7*EC112+$E$7*V112)</f>
        <v>0</v>
      </c>
      <c r="X112">
        <f>0.61365*exp(17.502*W112/(240.97+W112))</f>
        <v>0</v>
      </c>
      <c r="Y112">
        <f>(Z112/AA112*100)</f>
        <v>0</v>
      </c>
      <c r="Z112">
        <f>DT112*(DY112+DZ112)/1000</f>
        <v>0</v>
      </c>
      <c r="AA112">
        <f>0.61365*exp(17.502*EA112/(240.97+EA112))</f>
        <v>0</v>
      </c>
      <c r="AB112">
        <f>(X112-DT112*(DY112+DZ112)/1000)</f>
        <v>0</v>
      </c>
      <c r="AC112">
        <f>(-J112*44100)</f>
        <v>0</v>
      </c>
      <c r="AD112">
        <f>2*29.3*R112*0.92*(EA112-W112)</f>
        <v>0</v>
      </c>
      <c r="AE112">
        <f>2*0.95*5.67E-8*(((EA112+$B$7)+273)^4-(W112+273)^4)</f>
        <v>0</v>
      </c>
      <c r="AF112">
        <f>U112+AE112+AC112+AD112</f>
        <v>0</v>
      </c>
      <c r="AG112">
        <f>DX112*AU112*(DS112-DR112*(1000-AU112*DU112)/(1000-AU112*DT112))/(100*DL112)</f>
        <v>0</v>
      </c>
      <c r="AH112">
        <f>1000*DX112*AU112*(DT112-DU112)/(100*DL112*(1000-AU112*DT112))</f>
        <v>0</v>
      </c>
      <c r="AI112">
        <f>(AJ112 - AK112 - DY112*1E3/(8.314*(EA112+273.15)) * AM112/DX112 * AL112) * DX112/(100*DL112) * (1000 - DU112)/1000</f>
        <v>0</v>
      </c>
      <c r="AJ112">
        <v>1588.92703241477</v>
      </c>
      <c r="AK112">
        <v>1558.03775757576</v>
      </c>
      <c r="AL112">
        <v>3.23177485003517</v>
      </c>
      <c r="AM112">
        <v>64.8413469339502</v>
      </c>
      <c r="AN112">
        <f>(AP112 - AO112 + DY112*1E3/(8.314*(EA112+273.15)) * AR112/DX112 * AQ112) * DX112/(100*DL112) * 1000/(1000 - AP112)</f>
        <v>0</v>
      </c>
      <c r="AO112">
        <v>8.9852140129564</v>
      </c>
      <c r="AP112">
        <v>11.8517963636364</v>
      </c>
      <c r="AQ112">
        <v>4.59225449799246e-05</v>
      </c>
      <c r="AR112">
        <v>118.472689631034</v>
      </c>
      <c r="AS112">
        <v>0</v>
      </c>
      <c r="AT112">
        <v>0</v>
      </c>
      <c r="AU112">
        <f>IF(AS112*$H$13&gt;=AW112,1.0,(AW112/(AW112-AS112*$H$13)))</f>
        <v>0</v>
      </c>
      <c r="AV112">
        <f>(AU112-1)*100</f>
        <v>0</v>
      </c>
      <c r="AW112">
        <f>MAX(0,($B$13+$C$13*EF112)/(1+$D$13*EF112)*DY112/(EA112+273)*$E$13)</f>
        <v>0</v>
      </c>
      <c r="AX112" t="s">
        <v>437</v>
      </c>
      <c r="AY112" t="s">
        <v>437</v>
      </c>
      <c r="AZ112">
        <v>0</v>
      </c>
      <c r="BA112">
        <v>0</v>
      </c>
      <c r="BB112">
        <f>1-AZ112/BA112</f>
        <v>0</v>
      </c>
      <c r="BC112">
        <v>0</v>
      </c>
      <c r="BD112" t="s">
        <v>437</v>
      </c>
      <c r="BE112" t="s">
        <v>437</v>
      </c>
      <c r="BF112">
        <v>0</v>
      </c>
      <c r="BG112">
        <v>0</v>
      </c>
      <c r="BH112">
        <f>1-BF112/BG112</f>
        <v>0</v>
      </c>
      <c r="BI112">
        <v>0.5</v>
      </c>
      <c r="BJ112">
        <f>DI112</f>
        <v>0</v>
      </c>
      <c r="BK112">
        <f>L112</f>
        <v>0</v>
      </c>
      <c r="BL112">
        <f>BH112*BI112*BJ112</f>
        <v>0</v>
      </c>
      <c r="BM112">
        <f>(BK112-BC112)/BJ112</f>
        <v>0</v>
      </c>
      <c r="BN112">
        <f>(BA112-BG112)/BG112</f>
        <v>0</v>
      </c>
      <c r="BO112">
        <f>AZ112/(BB112+AZ112/BG112)</f>
        <v>0</v>
      </c>
      <c r="BP112" t="s">
        <v>437</v>
      </c>
      <c r="BQ112">
        <v>0</v>
      </c>
      <c r="BR112">
        <f>IF(BQ112&lt;&gt;0, BQ112, BO112)</f>
        <v>0</v>
      </c>
      <c r="BS112">
        <f>1-BR112/BG112</f>
        <v>0</v>
      </c>
      <c r="BT112">
        <f>(BG112-BF112)/(BG112-BR112)</f>
        <v>0</v>
      </c>
      <c r="BU112">
        <f>(BA112-BG112)/(BA112-BR112)</f>
        <v>0</v>
      </c>
      <c r="BV112">
        <f>(BG112-BF112)/(BG112-AZ112)</f>
        <v>0</v>
      </c>
      <c r="BW112">
        <f>(BA112-BG112)/(BA112-AZ112)</f>
        <v>0</v>
      </c>
      <c r="BX112">
        <f>(BT112*BR112/BF112)</f>
        <v>0</v>
      </c>
      <c r="BY112">
        <f>(1-BX112)</f>
        <v>0</v>
      </c>
      <c r="DH112">
        <f>$B$11*EG112+$C$11*EH112+$F$11*ES112*(1-EV112)</f>
        <v>0</v>
      </c>
      <c r="DI112">
        <f>DH112*DJ112</f>
        <v>0</v>
      </c>
      <c r="DJ112">
        <f>($B$11*$D$9+$C$11*$D$9+$F$11*((FF112+EX112)/MAX(FF112+EX112+FG112, 0.1)*$I$9+FG112/MAX(FF112+EX112+FG112, 0.1)*$J$9))/($B$11+$C$11+$F$11)</f>
        <v>0</v>
      </c>
      <c r="DK112">
        <f>($B$11*$K$9+$C$11*$K$9+$F$11*((FF112+EX112)/MAX(FF112+EX112+FG112, 0.1)*$P$9+FG112/MAX(FF112+EX112+FG112, 0.1)*$Q$9))/($B$11+$C$11+$F$11)</f>
        <v>0</v>
      </c>
      <c r="DL112">
        <v>6</v>
      </c>
      <c r="DM112">
        <v>0.5</v>
      </c>
      <c r="DN112" t="s">
        <v>438</v>
      </c>
      <c r="DO112">
        <v>2</v>
      </c>
      <c r="DP112" t="b">
        <v>1</v>
      </c>
      <c r="DQ112">
        <v>1760989748.94615</v>
      </c>
      <c r="DR112">
        <v>1516.42692307692</v>
      </c>
      <c r="DS112">
        <v>1559.40923076923</v>
      </c>
      <c r="DT112">
        <v>11.8411692307692</v>
      </c>
      <c r="DU112">
        <v>8.98245538461538</v>
      </c>
      <c r="DV112">
        <v>1509.76846153846</v>
      </c>
      <c r="DW112">
        <v>11.9520076923077</v>
      </c>
      <c r="DX112">
        <v>499.998692307692</v>
      </c>
      <c r="DY112">
        <v>89.8518769230769</v>
      </c>
      <c r="DZ112">
        <v>0.00786251923076923</v>
      </c>
      <c r="EA112">
        <v>18.4670923076923</v>
      </c>
      <c r="EB112">
        <v>17.9954846153846</v>
      </c>
      <c r="EC112">
        <v>999.9</v>
      </c>
      <c r="ED112">
        <v>0</v>
      </c>
      <c r="EE112">
        <v>0</v>
      </c>
      <c r="EF112">
        <v>9985.76846153846</v>
      </c>
      <c r="EG112">
        <v>0</v>
      </c>
      <c r="EH112">
        <v>1270.14538461538</v>
      </c>
      <c r="EI112">
        <v>-42.9802461538462</v>
      </c>
      <c r="EJ112">
        <v>1534.59923076923</v>
      </c>
      <c r="EK112">
        <v>1573.54384615385</v>
      </c>
      <c r="EL112">
        <v>2.85871769230769</v>
      </c>
      <c r="EM112">
        <v>1559.40923076923</v>
      </c>
      <c r="EN112">
        <v>8.98245538461538</v>
      </c>
      <c r="EO112">
        <v>1.06395307692308</v>
      </c>
      <c r="EP112">
        <v>0.807090769230769</v>
      </c>
      <c r="EQ112">
        <v>7.82286923076923</v>
      </c>
      <c r="ER112">
        <v>3.83262769230769</v>
      </c>
      <c r="ES112">
        <v>1200.02461538462</v>
      </c>
      <c r="ET112">
        <v>0.967004</v>
      </c>
      <c r="EU112">
        <v>0.0329956846153846</v>
      </c>
      <c r="EV112">
        <v>0</v>
      </c>
      <c r="EW112">
        <v>1336.03692307692</v>
      </c>
      <c r="EX112">
        <v>5.00059</v>
      </c>
      <c r="EY112">
        <v>15719.2461538462</v>
      </c>
      <c r="EZ112">
        <v>10358.9153846154</v>
      </c>
      <c r="FA112">
        <v>37.6391538461539</v>
      </c>
      <c r="FB112">
        <v>39.3266923076923</v>
      </c>
      <c r="FC112">
        <v>38.1390769230769</v>
      </c>
      <c r="FD112">
        <v>38.6680769230769</v>
      </c>
      <c r="FE112">
        <v>38.4709230769231</v>
      </c>
      <c r="FF112">
        <v>1155.59461538462</v>
      </c>
      <c r="FG112">
        <v>39.43</v>
      </c>
      <c r="FH112">
        <v>0</v>
      </c>
      <c r="FI112">
        <v>1760989726.3</v>
      </c>
      <c r="FJ112">
        <v>0</v>
      </c>
      <c r="FK112">
        <v>1336.00153846154</v>
      </c>
      <c r="FL112">
        <v>0.408205125337107</v>
      </c>
      <c r="FM112">
        <v>-25.1111111535335</v>
      </c>
      <c r="FN112">
        <v>15718.8807692308</v>
      </c>
      <c r="FO112">
        <v>15</v>
      </c>
      <c r="FP112">
        <v>0</v>
      </c>
      <c r="FQ112" t="s">
        <v>439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-43.0678857142857</v>
      </c>
      <c r="GD112">
        <v>0.262924675324613</v>
      </c>
      <c r="GE112">
        <v>0.498289633967764</v>
      </c>
      <c r="GF112">
        <v>1</v>
      </c>
      <c r="GG112">
        <v>1335.92735294118</v>
      </c>
      <c r="GH112">
        <v>1.34102367905717</v>
      </c>
      <c r="GI112">
        <v>0.237143649981716</v>
      </c>
      <c r="GJ112">
        <v>-1</v>
      </c>
      <c r="GK112">
        <v>2.85777</v>
      </c>
      <c r="GL112">
        <v>0.0256246753246801</v>
      </c>
      <c r="GM112">
        <v>0.00330370787363012</v>
      </c>
      <c r="GN112">
        <v>1</v>
      </c>
      <c r="GO112">
        <v>2</v>
      </c>
      <c r="GP112">
        <v>2</v>
      </c>
      <c r="GQ112" t="s">
        <v>440</v>
      </c>
      <c r="GR112">
        <v>3.13052</v>
      </c>
      <c r="GS112">
        <v>2.68583</v>
      </c>
      <c r="GT112">
        <v>0.216367</v>
      </c>
      <c r="GU112">
        <v>0.220424</v>
      </c>
      <c r="GV112">
        <v>0.0618626</v>
      </c>
      <c r="GW112">
        <v>0.0497563</v>
      </c>
      <c r="GX112">
        <v>29706</v>
      </c>
      <c r="GY112">
        <v>31754.8</v>
      </c>
      <c r="GZ112">
        <v>34267.9</v>
      </c>
      <c r="HA112">
        <v>36849.8</v>
      </c>
      <c r="HB112">
        <v>45359.3</v>
      </c>
      <c r="HC112">
        <v>50226</v>
      </c>
      <c r="HD112">
        <v>53342.7</v>
      </c>
      <c r="HE112">
        <v>58776.4</v>
      </c>
      <c r="HF112">
        <v>2.00947</v>
      </c>
      <c r="HG112">
        <v>1.83935</v>
      </c>
      <c r="HH112">
        <v>0.0317469</v>
      </c>
      <c r="HI112">
        <v>0</v>
      </c>
      <c r="HJ112">
        <v>17.459</v>
      </c>
      <c r="HK112">
        <v>999.9</v>
      </c>
      <c r="HL112">
        <v>25.833</v>
      </c>
      <c r="HM112">
        <v>30.313</v>
      </c>
      <c r="HN112">
        <v>12.4708</v>
      </c>
      <c r="HO112">
        <v>54.2391</v>
      </c>
      <c r="HP112">
        <v>44.2228</v>
      </c>
      <c r="HQ112">
        <v>1</v>
      </c>
      <c r="HR112">
        <v>-0.270457</v>
      </c>
      <c r="HS112">
        <v>3.83133</v>
      </c>
      <c r="HT112">
        <v>20.0949</v>
      </c>
      <c r="HU112">
        <v>5.20246</v>
      </c>
      <c r="HV112">
        <v>12.004</v>
      </c>
      <c r="HW112">
        <v>4.9756</v>
      </c>
      <c r="HX112">
        <v>3.293</v>
      </c>
      <c r="HY112">
        <v>9999</v>
      </c>
      <c r="HZ112">
        <v>999.9</v>
      </c>
      <c r="IA112">
        <v>9999</v>
      </c>
      <c r="IB112">
        <v>9999</v>
      </c>
      <c r="IC112">
        <v>1.86325</v>
      </c>
      <c r="ID112">
        <v>1.8681</v>
      </c>
      <c r="IE112">
        <v>1.86783</v>
      </c>
      <c r="IF112">
        <v>1.86905</v>
      </c>
      <c r="IG112">
        <v>1.86981</v>
      </c>
      <c r="IH112">
        <v>1.86585</v>
      </c>
      <c r="II112">
        <v>1.86695</v>
      </c>
      <c r="IJ112">
        <v>1.86841</v>
      </c>
      <c r="IK112">
        <v>5</v>
      </c>
      <c r="IL112">
        <v>0</v>
      </c>
      <c r="IM112">
        <v>0</v>
      </c>
      <c r="IN112">
        <v>0</v>
      </c>
      <c r="IO112" t="s">
        <v>441</v>
      </c>
      <c r="IP112" t="s">
        <v>442</v>
      </c>
      <c r="IQ112" t="s">
        <v>443</v>
      </c>
      <c r="IR112" t="s">
        <v>443</v>
      </c>
      <c r="IS112" t="s">
        <v>443</v>
      </c>
      <c r="IT112" t="s">
        <v>443</v>
      </c>
      <c r="IU112">
        <v>0</v>
      </c>
      <c r="IV112">
        <v>100</v>
      </c>
      <c r="IW112">
        <v>100</v>
      </c>
      <c r="IX112">
        <v>6.75</v>
      </c>
      <c r="IY112">
        <v>-0.1107</v>
      </c>
      <c r="IZ112">
        <v>1.12474291219083</v>
      </c>
      <c r="JA112">
        <v>0.00463155566490582</v>
      </c>
      <c r="JB112">
        <v>-1.1358998729424e-06</v>
      </c>
      <c r="JC112">
        <v>3.28704272115545e-10</v>
      </c>
      <c r="JD112">
        <v>-0.0704455108513773</v>
      </c>
      <c r="JE112">
        <v>-0.0251928478371425</v>
      </c>
      <c r="JF112">
        <v>0.00225751704194564</v>
      </c>
      <c r="JG112">
        <v>-3.61734043746866e-05</v>
      </c>
      <c r="JH112">
        <v>1</v>
      </c>
      <c r="JI112">
        <v>2182</v>
      </c>
      <c r="JJ112">
        <v>0</v>
      </c>
      <c r="JK112">
        <v>24</v>
      </c>
      <c r="JL112">
        <v>29349829.3</v>
      </c>
      <c r="JM112">
        <v>29349829.3</v>
      </c>
      <c r="JN112">
        <v>2.94678</v>
      </c>
      <c r="JO112">
        <v>2.59766</v>
      </c>
      <c r="JP112">
        <v>1.54785</v>
      </c>
      <c r="JQ112">
        <v>2.31445</v>
      </c>
      <c r="JR112">
        <v>1.64551</v>
      </c>
      <c r="JS112">
        <v>2.36084</v>
      </c>
      <c r="JT112">
        <v>33.6479</v>
      </c>
      <c r="JU112">
        <v>24.1926</v>
      </c>
      <c r="JV112">
        <v>18</v>
      </c>
      <c r="JW112">
        <v>501.115</v>
      </c>
      <c r="JX112">
        <v>395.308</v>
      </c>
      <c r="JY112">
        <v>12.3105</v>
      </c>
      <c r="JZ112">
        <v>23.9028</v>
      </c>
      <c r="KA112">
        <v>29.9998</v>
      </c>
      <c r="KB112">
        <v>23.921</v>
      </c>
      <c r="KC112">
        <v>23.8912</v>
      </c>
      <c r="KD112">
        <v>59.0018</v>
      </c>
      <c r="KE112">
        <v>7.93757</v>
      </c>
      <c r="KF112">
        <v>22.9919</v>
      </c>
      <c r="KG112">
        <v>12.3134</v>
      </c>
      <c r="KH112">
        <v>1604.89</v>
      </c>
      <c r="KI112">
        <v>9.03561</v>
      </c>
      <c r="KJ112">
        <v>97.0474</v>
      </c>
      <c r="KK112">
        <v>95.3041</v>
      </c>
    </row>
    <row r="113" spans="1:297">
      <c r="A113">
        <v>97</v>
      </c>
      <c r="B113">
        <v>1760990591</v>
      </c>
      <c r="C113">
        <v>1400.90000009537</v>
      </c>
      <c r="D113" t="s">
        <v>636</v>
      </c>
      <c r="E113" t="s">
        <v>637</v>
      </c>
      <c r="F113">
        <v>5</v>
      </c>
      <c r="G113" t="s">
        <v>435</v>
      </c>
      <c r="H113" t="s">
        <v>436</v>
      </c>
      <c r="I113">
        <v>1760990583</v>
      </c>
      <c r="J113">
        <f>(K113)/1000</f>
        <v>0</v>
      </c>
      <c r="K113">
        <f>IF(DP113, AN113, AH113)</f>
        <v>0</v>
      </c>
      <c r="L113">
        <f>IF(DP113, AI113, AG113)</f>
        <v>0</v>
      </c>
      <c r="M113">
        <f>DR113 - IF(AU113&gt;1, L113*DL113*100.0/(AW113), 0)</f>
        <v>0</v>
      </c>
      <c r="N113">
        <f>((T113-J113/2)*M113-L113)/(T113+J113/2)</f>
        <v>0</v>
      </c>
      <c r="O113">
        <f>N113*(DY113+DZ113)/1000.0</f>
        <v>0</v>
      </c>
      <c r="P113">
        <f>(DR113 - IF(AU113&gt;1, L113*DL113*100.0/(AW113), 0))*(DY113+DZ113)/1000.0</f>
        <v>0</v>
      </c>
      <c r="Q113">
        <f>2.0/((1/S113-1/R113)+SIGN(S113)*SQRT((1/S113-1/R113)*(1/S113-1/R113) + 4*DM113/((DM113+1)*(DM113+1))*(2*1/S113*1/R113-1/R113*1/R113)))</f>
        <v>0</v>
      </c>
      <c r="R113">
        <f>IF(LEFT(DN113,1)&lt;&gt;"0",IF(LEFT(DN113,1)="1",3.0,DO113),$D$5+$E$5*(EF113*DY113/($K$5*1000))+$F$5*(EF113*DY113/($K$5*1000))*MAX(MIN(DL113,$J$5),$I$5)*MAX(MIN(DL113,$J$5),$I$5)+$G$5*MAX(MIN(DL113,$J$5),$I$5)*(EF113*DY113/($K$5*1000))+$H$5*(EF113*DY113/($K$5*1000))*(EF113*DY113/($K$5*1000)))</f>
        <v>0</v>
      </c>
      <c r="S113">
        <f>J113*(1000-(1000*0.61365*exp(17.502*W113/(240.97+W113))/(DY113+DZ113)+DT113)/2)/(1000*0.61365*exp(17.502*W113/(240.97+W113))/(DY113+DZ113)-DT113)</f>
        <v>0</v>
      </c>
      <c r="T113">
        <f>1/((DM113+1)/(Q113/1.6)+1/(R113/1.37)) + DM113/((DM113+1)/(Q113/1.6) + DM113/(R113/1.37))</f>
        <v>0</v>
      </c>
      <c r="U113">
        <f>(DH113*DK113)</f>
        <v>0</v>
      </c>
      <c r="V113">
        <f>(EA113+(U113+2*0.95*5.67E-8*(((EA113+$B$7)+273)^4-(EA113+273)^4)-44100*J113)/(1.84*29.3*R113+8*0.95*5.67E-8*(EA113+273)^3))</f>
        <v>0</v>
      </c>
      <c r="W113">
        <f>($C$7*EB113+$D$7*EC113+$E$7*V113)</f>
        <v>0</v>
      </c>
      <c r="X113">
        <f>0.61365*exp(17.502*W113/(240.97+W113))</f>
        <v>0</v>
      </c>
      <c r="Y113">
        <f>(Z113/AA113*100)</f>
        <v>0</v>
      </c>
      <c r="Z113">
        <f>DT113*(DY113+DZ113)/1000</f>
        <v>0</v>
      </c>
      <c r="AA113">
        <f>0.61365*exp(17.502*EA113/(240.97+EA113))</f>
        <v>0</v>
      </c>
      <c r="AB113">
        <f>(X113-DT113*(DY113+DZ113)/1000)</f>
        <v>0</v>
      </c>
      <c r="AC113">
        <f>(-J113*44100)</f>
        <v>0</v>
      </c>
      <c r="AD113">
        <f>2*29.3*R113*0.92*(EA113-W113)</f>
        <v>0</v>
      </c>
      <c r="AE113">
        <f>2*0.95*5.67E-8*(((EA113+$B$7)+273)^4-(W113+273)^4)</f>
        <v>0</v>
      </c>
      <c r="AF113">
        <f>U113+AE113+AC113+AD113</f>
        <v>0</v>
      </c>
      <c r="AG113">
        <f>DX113*AU113*(DS113-DR113*(1000-AU113*DU113)/(1000-AU113*DT113))/(100*DL113)</f>
        <v>0</v>
      </c>
      <c r="AH113">
        <f>1000*DX113*AU113*(DT113-DU113)/(100*DL113*(1000-AU113*DT113))</f>
        <v>0</v>
      </c>
      <c r="AI113">
        <f>(AJ113 - AK113 - DY113*1E3/(8.314*(EA113+273.15)) * AM113/DX113 * AL113) * DX113/(100*DL113) * (1000 - DU113)/1000</f>
        <v>0</v>
      </c>
      <c r="AJ113">
        <v>424.040657843504</v>
      </c>
      <c r="AK113">
        <v>413.198915151515</v>
      </c>
      <c r="AL113">
        <v>0.000260607912455049</v>
      </c>
      <c r="AM113">
        <v>64.8413469339502</v>
      </c>
      <c r="AN113">
        <f>(AP113 - AO113 + DY113*1E3/(8.314*(EA113+273.15)) * AR113/DX113 * AQ113) * DX113/(100*DL113) * 1000/(1000 - AP113)</f>
        <v>0</v>
      </c>
      <c r="AO113">
        <v>9.52126235724002</v>
      </c>
      <c r="AP113">
        <v>11.8305539393939</v>
      </c>
      <c r="AQ113">
        <v>2.25251830203728e-05</v>
      </c>
      <c r="AR113">
        <v>118.472689631034</v>
      </c>
      <c r="AS113">
        <v>0</v>
      </c>
      <c r="AT113">
        <v>0</v>
      </c>
      <c r="AU113">
        <f>IF(AS113*$H$13&gt;=AW113,1.0,(AW113/(AW113-AS113*$H$13)))</f>
        <v>0</v>
      </c>
      <c r="AV113">
        <f>(AU113-1)*100</f>
        <v>0</v>
      </c>
      <c r="AW113">
        <f>MAX(0,($B$13+$C$13*EF113)/(1+$D$13*EF113)*DY113/(EA113+273)*$E$13)</f>
        <v>0</v>
      </c>
      <c r="AX113" t="s">
        <v>638</v>
      </c>
      <c r="AY113">
        <v>5082.33</v>
      </c>
      <c r="AZ113">
        <v>690.032</v>
      </c>
      <c r="BA113">
        <v>1612.68</v>
      </c>
      <c r="BB113">
        <f>1-AZ113/BA113</f>
        <v>0</v>
      </c>
      <c r="BC113">
        <v>-9.7270689171713</v>
      </c>
      <c r="BD113" t="s">
        <v>639</v>
      </c>
      <c r="BE113">
        <v>5173.21</v>
      </c>
      <c r="BF113">
        <v>1314.01230769231</v>
      </c>
      <c r="BG113">
        <v>1488.13092677527</v>
      </c>
      <c r="BH113">
        <f>1-BF113/BG113</f>
        <v>0</v>
      </c>
      <c r="BI113">
        <v>0.5</v>
      </c>
      <c r="BJ113">
        <f>DI113</f>
        <v>0</v>
      </c>
      <c r="BK113">
        <f>L113</f>
        <v>0</v>
      </c>
      <c r="BL113">
        <f>BH113*BI113*BJ113</f>
        <v>0</v>
      </c>
      <c r="BM113">
        <f>(BK113-BC113)/BJ113</f>
        <v>0</v>
      </c>
      <c r="BN113">
        <f>(BA113-BG113)/BG113</f>
        <v>0</v>
      </c>
      <c r="BO113">
        <f>AZ113/(BB113+AZ113/BG113)</f>
        <v>0</v>
      </c>
      <c r="BP113" t="s">
        <v>640</v>
      </c>
      <c r="BQ113">
        <v>804.87</v>
      </c>
      <c r="BR113">
        <f>IF(BQ113&lt;&gt;0, BQ113, BO113)</f>
        <v>0</v>
      </c>
      <c r="BS113">
        <f>1-BR113/BG113</f>
        <v>0</v>
      </c>
      <c r="BT113">
        <f>(BG113-BF113)/(BG113-BR113)</f>
        <v>0</v>
      </c>
      <c r="BU113">
        <f>(BA113-BG113)/(BA113-BR113)</f>
        <v>0</v>
      </c>
      <c r="BV113">
        <f>(BG113-BF113)/(BG113-AZ113)</f>
        <v>0</v>
      </c>
      <c r="BW113">
        <f>(BA113-BG113)/(BA113-AZ113)</f>
        <v>0</v>
      </c>
      <c r="BX113">
        <f>(BT113*BR113/BF113)</f>
        <v>0</v>
      </c>
      <c r="BY113">
        <f>(1-BX113)</f>
        <v>0</v>
      </c>
      <c r="BZ113">
        <v>274</v>
      </c>
      <c r="CA113">
        <v>290</v>
      </c>
      <c r="CB113">
        <v>1442.53</v>
      </c>
      <c r="CC113">
        <v>225</v>
      </c>
      <c r="CD113">
        <v>5173.21</v>
      </c>
      <c r="CE113">
        <v>1441.44</v>
      </c>
      <c r="CF113">
        <v>1.09</v>
      </c>
      <c r="CG113">
        <v>300</v>
      </c>
      <c r="CH113">
        <v>23.7</v>
      </c>
      <c r="CI113">
        <v>1488.13092677527</v>
      </c>
      <c r="CJ113">
        <v>1.59410020680492</v>
      </c>
      <c r="CK113">
        <v>-24.1525553482881</v>
      </c>
      <c r="CL113">
        <v>0.742109968828202</v>
      </c>
      <c r="CM113">
        <v>0.974246443094468</v>
      </c>
      <c r="CN113">
        <v>-0.00326080778642937</v>
      </c>
      <c r="CO113">
        <v>290</v>
      </c>
      <c r="CP113">
        <v>1439.51</v>
      </c>
      <c r="CQ113">
        <v>705</v>
      </c>
      <c r="CR113">
        <v>5171.6</v>
      </c>
      <c r="CS113">
        <v>1441.43</v>
      </c>
      <c r="CT113">
        <v>-1.92</v>
      </c>
      <c r="DH113">
        <f>$B$11*EG113+$C$11*EH113+$F$11*ES113*(1-EV113)</f>
        <v>0</v>
      </c>
      <c r="DI113">
        <f>DH113*DJ113</f>
        <v>0</v>
      </c>
      <c r="DJ113">
        <f>($B$11*$D$9+$C$11*$D$9+$F$11*((FF113+EX113)/MAX(FF113+EX113+FG113, 0.1)*$I$9+FG113/MAX(FF113+EX113+FG113, 0.1)*$J$9))/($B$11+$C$11+$F$11)</f>
        <v>0</v>
      </c>
      <c r="DK113">
        <f>($B$11*$K$9+$C$11*$K$9+$F$11*((FF113+EX113)/MAX(FF113+EX113+FG113, 0.1)*$P$9+FG113/MAX(FF113+EX113+FG113, 0.1)*$Q$9))/($B$11+$C$11+$F$11)</f>
        <v>0</v>
      </c>
      <c r="DL113">
        <v>6</v>
      </c>
      <c r="DM113">
        <v>0.5</v>
      </c>
      <c r="DN113" t="s">
        <v>438</v>
      </c>
      <c r="DO113">
        <v>2</v>
      </c>
      <c r="DP113" t="b">
        <v>1</v>
      </c>
      <c r="DQ113">
        <v>1760990583</v>
      </c>
      <c r="DR113">
        <v>408.294333333333</v>
      </c>
      <c r="DS113">
        <v>420.0032</v>
      </c>
      <c r="DT113">
        <v>11.8213</v>
      </c>
      <c r="DU113">
        <v>9.512132</v>
      </c>
      <c r="DV113">
        <v>405.4566</v>
      </c>
      <c r="DW113">
        <v>11.9323733333333</v>
      </c>
      <c r="DX113">
        <v>500.019666666667</v>
      </c>
      <c r="DY113">
        <v>89.8485133333333</v>
      </c>
      <c r="DZ113">
        <v>0.008078366</v>
      </c>
      <c r="EA113">
        <v>18.44654</v>
      </c>
      <c r="EB113">
        <v>18.0061266666667</v>
      </c>
      <c r="EC113">
        <v>999.9</v>
      </c>
      <c r="ED113">
        <v>0</v>
      </c>
      <c r="EE113">
        <v>0</v>
      </c>
      <c r="EF113">
        <v>10003.8333333333</v>
      </c>
      <c r="EG113">
        <v>0</v>
      </c>
      <c r="EH113">
        <v>1271.23266666667</v>
      </c>
      <c r="EI113">
        <v>-11.7088933333333</v>
      </c>
      <c r="EJ113">
        <v>413.178466666667</v>
      </c>
      <c r="EK113">
        <v>424.036666666667</v>
      </c>
      <c r="EL113">
        <v>2.30915466666667</v>
      </c>
      <c r="EM113">
        <v>420.0032</v>
      </c>
      <c r="EN113">
        <v>9.512132</v>
      </c>
      <c r="EO113">
        <v>1.06212533333333</v>
      </c>
      <c r="EP113">
        <v>0.8546512</v>
      </c>
      <c r="EQ113">
        <v>7.79764933333333</v>
      </c>
      <c r="ER113">
        <v>4.648942</v>
      </c>
      <c r="ES113">
        <v>1199.998</v>
      </c>
      <c r="ET113">
        <v>0.967004</v>
      </c>
      <c r="EU113">
        <v>0.0329956866666667</v>
      </c>
      <c r="EV113">
        <v>0</v>
      </c>
      <c r="EW113">
        <v>1313.94733333333</v>
      </c>
      <c r="EX113">
        <v>5.00059</v>
      </c>
      <c r="EY113">
        <v>15468.52</v>
      </c>
      <c r="EZ113">
        <v>10358.7133333333</v>
      </c>
      <c r="FA113">
        <v>37.8122666666667</v>
      </c>
      <c r="FB113">
        <v>39.4873333333333</v>
      </c>
      <c r="FC113">
        <v>38.2747333333333</v>
      </c>
      <c r="FD113">
        <v>38.9289333333333</v>
      </c>
      <c r="FE113">
        <v>38.6288666666667</v>
      </c>
      <c r="FF113">
        <v>1155.568</v>
      </c>
      <c r="FG113">
        <v>39.43</v>
      </c>
      <c r="FH113">
        <v>0</v>
      </c>
      <c r="FI113">
        <v>1760990560.3</v>
      </c>
      <c r="FJ113">
        <v>0</v>
      </c>
      <c r="FK113">
        <v>1314.01230769231</v>
      </c>
      <c r="FL113">
        <v>1.42153846733489</v>
      </c>
      <c r="FM113">
        <v>-23.4598290565898</v>
      </c>
      <c r="FN113">
        <v>15468.3692307692</v>
      </c>
      <c r="FO113">
        <v>15</v>
      </c>
      <c r="FP113">
        <v>0</v>
      </c>
      <c r="FQ113" t="s">
        <v>439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-11.708880952381</v>
      </c>
      <c r="GD113">
        <v>-0.00652207792209763</v>
      </c>
      <c r="GE113">
        <v>0.0162122416724324</v>
      </c>
      <c r="GF113">
        <v>1</v>
      </c>
      <c r="GG113">
        <v>1313.95558823529</v>
      </c>
      <c r="GH113">
        <v>0.846600458442024</v>
      </c>
      <c r="GI113">
        <v>0.225169102159862</v>
      </c>
      <c r="GJ113">
        <v>-1</v>
      </c>
      <c r="GK113">
        <v>2.31109095238095</v>
      </c>
      <c r="GL113">
        <v>-0.0311438961038943</v>
      </c>
      <c r="GM113">
        <v>0.00384766212847175</v>
      </c>
      <c r="GN113">
        <v>1</v>
      </c>
      <c r="GO113">
        <v>2</v>
      </c>
      <c r="GP113">
        <v>2</v>
      </c>
      <c r="GQ113" t="s">
        <v>440</v>
      </c>
      <c r="GR113">
        <v>3.13072</v>
      </c>
      <c r="GS113">
        <v>2.68611</v>
      </c>
      <c r="GT113">
        <v>0.0877238</v>
      </c>
      <c r="GU113">
        <v>0.090232</v>
      </c>
      <c r="GV113">
        <v>0.0617866</v>
      </c>
      <c r="GW113">
        <v>0.0521137</v>
      </c>
      <c r="GX113">
        <v>34580.4</v>
      </c>
      <c r="GY113">
        <v>37058.1</v>
      </c>
      <c r="GZ113">
        <v>34272.1</v>
      </c>
      <c r="HA113">
        <v>36857.6</v>
      </c>
      <c r="HB113">
        <v>45353.4</v>
      </c>
      <c r="HC113">
        <v>50095.2</v>
      </c>
      <c r="HD113">
        <v>53347.8</v>
      </c>
      <c r="HE113">
        <v>58789</v>
      </c>
      <c r="HF113">
        <v>2.0094</v>
      </c>
      <c r="HG113">
        <v>1.83692</v>
      </c>
      <c r="HH113">
        <v>0.0353009</v>
      </c>
      <c r="HI113">
        <v>0</v>
      </c>
      <c r="HJ113">
        <v>17.4073</v>
      </c>
      <c r="HK113">
        <v>999.9</v>
      </c>
      <c r="HL113">
        <v>26.309</v>
      </c>
      <c r="HM113">
        <v>30.454</v>
      </c>
      <c r="HN113">
        <v>12.8052</v>
      </c>
      <c r="HO113">
        <v>53.7891</v>
      </c>
      <c r="HP113">
        <v>44.387</v>
      </c>
      <c r="HQ113">
        <v>1</v>
      </c>
      <c r="HR113">
        <v>-0.276862</v>
      </c>
      <c r="HS113">
        <v>4.20892</v>
      </c>
      <c r="HT113">
        <v>20.086</v>
      </c>
      <c r="HU113">
        <v>5.20202</v>
      </c>
      <c r="HV113">
        <v>12.004</v>
      </c>
      <c r="HW113">
        <v>4.97575</v>
      </c>
      <c r="HX113">
        <v>3.293</v>
      </c>
      <c r="HY113">
        <v>9999</v>
      </c>
      <c r="HZ113">
        <v>999.9</v>
      </c>
      <c r="IA113">
        <v>9999</v>
      </c>
      <c r="IB113">
        <v>9999</v>
      </c>
      <c r="IC113">
        <v>1.86325</v>
      </c>
      <c r="ID113">
        <v>1.86808</v>
      </c>
      <c r="IE113">
        <v>1.86783</v>
      </c>
      <c r="IF113">
        <v>1.86905</v>
      </c>
      <c r="IG113">
        <v>1.86981</v>
      </c>
      <c r="IH113">
        <v>1.86584</v>
      </c>
      <c r="II113">
        <v>1.86694</v>
      </c>
      <c r="IJ113">
        <v>1.86842</v>
      </c>
      <c r="IK113">
        <v>5</v>
      </c>
      <c r="IL113">
        <v>0</v>
      </c>
      <c r="IM113">
        <v>0</v>
      </c>
      <c r="IN113">
        <v>0</v>
      </c>
      <c r="IO113" t="s">
        <v>441</v>
      </c>
      <c r="IP113" t="s">
        <v>442</v>
      </c>
      <c r="IQ113" t="s">
        <v>443</v>
      </c>
      <c r="IR113" t="s">
        <v>443</v>
      </c>
      <c r="IS113" t="s">
        <v>443</v>
      </c>
      <c r="IT113" t="s">
        <v>443</v>
      </c>
      <c r="IU113">
        <v>0</v>
      </c>
      <c r="IV113">
        <v>100</v>
      </c>
      <c r="IW113">
        <v>100</v>
      </c>
      <c r="IX113">
        <v>2.837</v>
      </c>
      <c r="IY113">
        <v>-0.1109</v>
      </c>
      <c r="IZ113">
        <v>1.12474291219083</v>
      </c>
      <c r="JA113">
        <v>0.00463155566490582</v>
      </c>
      <c r="JB113">
        <v>-1.1358998729424e-06</v>
      </c>
      <c r="JC113">
        <v>3.28704272115545e-10</v>
      </c>
      <c r="JD113">
        <v>-0.0704455108513773</v>
      </c>
      <c r="JE113">
        <v>-0.0251928478371425</v>
      </c>
      <c r="JF113">
        <v>0.00225751704194564</v>
      </c>
      <c r="JG113">
        <v>-3.61734043746866e-05</v>
      </c>
      <c r="JH113">
        <v>1</v>
      </c>
      <c r="JI113">
        <v>2182</v>
      </c>
      <c r="JJ113">
        <v>0</v>
      </c>
      <c r="JK113">
        <v>24</v>
      </c>
      <c r="JL113">
        <v>29349843.2</v>
      </c>
      <c r="JM113">
        <v>29349843.2</v>
      </c>
      <c r="JN113">
        <v>0.999756</v>
      </c>
      <c r="JO113">
        <v>2.61353</v>
      </c>
      <c r="JP113">
        <v>1.54785</v>
      </c>
      <c r="JQ113">
        <v>2.31445</v>
      </c>
      <c r="JR113">
        <v>1.64673</v>
      </c>
      <c r="JS113">
        <v>2.40845</v>
      </c>
      <c r="JT113">
        <v>33.8283</v>
      </c>
      <c r="JU113">
        <v>24.1926</v>
      </c>
      <c r="JV113">
        <v>18</v>
      </c>
      <c r="JW113">
        <v>500.268</v>
      </c>
      <c r="JX113">
        <v>393.436</v>
      </c>
      <c r="JY113">
        <v>11.9804</v>
      </c>
      <c r="JZ113">
        <v>23.7946</v>
      </c>
      <c r="KA113">
        <v>29.9999</v>
      </c>
      <c r="KB113">
        <v>23.8375</v>
      </c>
      <c r="KC113">
        <v>23.8102</v>
      </c>
      <c r="KD113">
        <v>20.0484</v>
      </c>
      <c r="KE113">
        <v>5.1965</v>
      </c>
      <c r="KF113">
        <v>24.1285</v>
      </c>
      <c r="KG113">
        <v>11.9878</v>
      </c>
      <c r="KH113">
        <v>420</v>
      </c>
      <c r="KI113">
        <v>9.59091</v>
      </c>
      <c r="KJ113">
        <v>97.0578</v>
      </c>
      <c r="KK113">
        <v>95.3244</v>
      </c>
    </row>
    <row r="114" spans="1:297">
      <c r="A114">
        <v>98</v>
      </c>
      <c r="B114">
        <v>1760990683</v>
      </c>
      <c r="C114">
        <v>1492.90000009537</v>
      </c>
      <c r="D114" t="s">
        <v>641</v>
      </c>
      <c r="E114" t="s">
        <v>642</v>
      </c>
      <c r="F114">
        <v>5</v>
      </c>
      <c r="G114" t="s">
        <v>435</v>
      </c>
      <c r="H114" t="s">
        <v>436</v>
      </c>
      <c r="I114">
        <v>1760990674.5</v>
      </c>
      <c r="J114">
        <f>(K114)/1000</f>
        <v>0</v>
      </c>
      <c r="K114">
        <f>IF(DP114, AN114, AH114)</f>
        <v>0</v>
      </c>
      <c r="L114">
        <f>IF(DP114, AI114, AG114)</f>
        <v>0</v>
      </c>
      <c r="M114">
        <f>DR114 - IF(AU114&gt;1, L114*DL114*100.0/(AW114), 0)</f>
        <v>0</v>
      </c>
      <c r="N114">
        <f>((T114-J114/2)*M114-L114)/(T114+J114/2)</f>
        <v>0</v>
      </c>
      <c r="O114">
        <f>N114*(DY114+DZ114)/1000.0</f>
        <v>0</v>
      </c>
      <c r="P114">
        <f>(DR114 - IF(AU114&gt;1, L114*DL114*100.0/(AW114), 0))*(DY114+DZ114)/1000.0</f>
        <v>0</v>
      </c>
      <c r="Q114">
        <f>2.0/((1/S114-1/R114)+SIGN(S114)*SQRT((1/S114-1/R114)*(1/S114-1/R114) + 4*DM114/((DM114+1)*(DM114+1))*(2*1/S114*1/R114-1/R114*1/R114)))</f>
        <v>0</v>
      </c>
      <c r="R114">
        <f>IF(LEFT(DN114,1)&lt;&gt;"0",IF(LEFT(DN114,1)="1",3.0,DO114),$D$5+$E$5*(EF114*DY114/($K$5*1000))+$F$5*(EF114*DY114/($K$5*1000))*MAX(MIN(DL114,$J$5),$I$5)*MAX(MIN(DL114,$J$5),$I$5)+$G$5*MAX(MIN(DL114,$J$5),$I$5)*(EF114*DY114/($K$5*1000))+$H$5*(EF114*DY114/($K$5*1000))*(EF114*DY114/($K$5*1000)))</f>
        <v>0</v>
      </c>
      <c r="S114">
        <f>J114*(1000-(1000*0.61365*exp(17.502*W114/(240.97+W114))/(DY114+DZ114)+DT114)/2)/(1000*0.61365*exp(17.502*W114/(240.97+W114))/(DY114+DZ114)-DT114)</f>
        <v>0</v>
      </c>
      <c r="T114">
        <f>1/((DM114+1)/(Q114/1.6)+1/(R114/1.37)) + DM114/((DM114+1)/(Q114/1.6) + DM114/(R114/1.37))</f>
        <v>0</v>
      </c>
      <c r="U114">
        <f>(DH114*DK114)</f>
        <v>0</v>
      </c>
      <c r="V114">
        <f>(EA114+(U114+2*0.95*5.67E-8*(((EA114+$B$7)+273)^4-(EA114+273)^4)-44100*J114)/(1.84*29.3*R114+8*0.95*5.67E-8*(EA114+273)^3))</f>
        <v>0</v>
      </c>
      <c r="W114">
        <f>($C$7*EB114+$D$7*EC114+$E$7*V114)</f>
        <v>0</v>
      </c>
      <c r="X114">
        <f>0.61365*exp(17.502*W114/(240.97+W114))</f>
        <v>0</v>
      </c>
      <c r="Y114">
        <f>(Z114/AA114*100)</f>
        <v>0</v>
      </c>
      <c r="Z114">
        <f>DT114*(DY114+DZ114)/1000</f>
        <v>0</v>
      </c>
      <c r="AA114">
        <f>0.61365*exp(17.502*EA114/(240.97+EA114))</f>
        <v>0</v>
      </c>
      <c r="AB114">
        <f>(X114-DT114*(DY114+DZ114)/1000)</f>
        <v>0</v>
      </c>
      <c r="AC114">
        <f>(-J114*44100)</f>
        <v>0</v>
      </c>
      <c r="AD114">
        <f>2*29.3*R114*0.92*(EA114-W114)</f>
        <v>0</v>
      </c>
      <c r="AE114">
        <f>2*0.95*5.67E-8*(((EA114+$B$7)+273)^4-(W114+273)^4)</f>
        <v>0</v>
      </c>
      <c r="AF114">
        <f>U114+AE114+AC114+AD114</f>
        <v>0</v>
      </c>
      <c r="AG114">
        <f>DX114*AU114*(DS114-DR114*(1000-AU114*DU114)/(1000-AU114*DT114))/(100*DL114)</f>
        <v>0</v>
      </c>
      <c r="AH114">
        <f>1000*DX114*AU114*(DT114-DU114)/(100*DL114*(1000-AU114*DT114))</f>
        <v>0</v>
      </c>
      <c r="AI114">
        <f>(AJ114 - AK114 - DY114*1E3/(8.314*(EA114+273.15)) * AM114/DX114 * AL114) * DX114/(100*DL114) * (1000 - DU114)/1000</f>
        <v>0</v>
      </c>
      <c r="AJ114">
        <v>423.951975351175</v>
      </c>
      <c r="AK114">
        <v>413.741127272727</v>
      </c>
      <c r="AL114">
        <v>-0.000574111965015799</v>
      </c>
      <c r="AM114">
        <v>64.8413469339502</v>
      </c>
      <c r="AN114">
        <f>(AP114 - AO114 + DY114*1E3/(8.314*(EA114+273.15)) * AR114/DX114 * AQ114) * DX114/(100*DL114) * 1000/(1000 - AP114)</f>
        <v>0</v>
      </c>
      <c r="AO114">
        <v>9.39957942682164</v>
      </c>
      <c r="AP114">
        <v>11.8637987878788</v>
      </c>
      <c r="AQ114">
        <v>-0.000143782460926196</v>
      </c>
      <c r="AR114">
        <v>118.472689631034</v>
      </c>
      <c r="AS114">
        <v>0</v>
      </c>
      <c r="AT114">
        <v>0</v>
      </c>
      <c r="AU114">
        <f>IF(AS114*$H$13&gt;=AW114,1.0,(AW114/(AW114-AS114*$H$13)))</f>
        <v>0</v>
      </c>
      <c r="AV114">
        <f>(AU114-1)*100</f>
        <v>0</v>
      </c>
      <c r="AW114">
        <f>MAX(0,($B$13+$C$13*EF114)/(1+$D$13*EF114)*DY114/(EA114+273)*$E$13)</f>
        <v>0</v>
      </c>
      <c r="AX114" t="s">
        <v>437</v>
      </c>
      <c r="AY114" t="s">
        <v>437</v>
      </c>
      <c r="AZ114">
        <v>0</v>
      </c>
      <c r="BA114">
        <v>0</v>
      </c>
      <c r="BB114">
        <f>1-AZ114/BA114</f>
        <v>0</v>
      </c>
      <c r="BC114">
        <v>0</v>
      </c>
      <c r="BD114" t="s">
        <v>437</v>
      </c>
      <c r="BE114" t="s">
        <v>437</v>
      </c>
      <c r="BF114">
        <v>0</v>
      </c>
      <c r="BG114">
        <v>0</v>
      </c>
      <c r="BH114">
        <f>1-BF114/BG114</f>
        <v>0</v>
      </c>
      <c r="BI114">
        <v>0.5</v>
      </c>
      <c r="BJ114">
        <f>DI114</f>
        <v>0</v>
      </c>
      <c r="BK114">
        <f>L114</f>
        <v>0</v>
      </c>
      <c r="BL114">
        <f>BH114*BI114*BJ114</f>
        <v>0</v>
      </c>
      <c r="BM114">
        <f>(BK114-BC114)/BJ114</f>
        <v>0</v>
      </c>
      <c r="BN114">
        <f>(BA114-BG114)/BG114</f>
        <v>0</v>
      </c>
      <c r="BO114">
        <f>AZ114/(BB114+AZ114/BG114)</f>
        <v>0</v>
      </c>
      <c r="BP114" t="s">
        <v>437</v>
      </c>
      <c r="BQ114">
        <v>0</v>
      </c>
      <c r="BR114">
        <f>IF(BQ114&lt;&gt;0, BQ114, BO114)</f>
        <v>0</v>
      </c>
      <c r="BS114">
        <f>1-BR114/BG114</f>
        <v>0</v>
      </c>
      <c r="BT114">
        <f>(BG114-BF114)/(BG114-BR114)</f>
        <v>0</v>
      </c>
      <c r="BU114">
        <f>(BA114-BG114)/(BA114-BR114)</f>
        <v>0</v>
      </c>
      <c r="BV114">
        <f>(BG114-BF114)/(BG114-AZ114)</f>
        <v>0</v>
      </c>
      <c r="BW114">
        <f>(BA114-BG114)/(BA114-AZ114)</f>
        <v>0</v>
      </c>
      <c r="BX114">
        <f>(BT114*BR114/BF114)</f>
        <v>0</v>
      </c>
      <c r="BY114">
        <f>(1-BX114)</f>
        <v>0</v>
      </c>
      <c r="BZ114">
        <v>274</v>
      </c>
      <c r="CA114">
        <v>290</v>
      </c>
      <c r="CB114">
        <v>1442.53</v>
      </c>
      <c r="CC114">
        <v>225</v>
      </c>
      <c r="CD114">
        <v>5173.21</v>
      </c>
      <c r="CE114">
        <v>1441.44</v>
      </c>
      <c r="CF114">
        <v>1.09</v>
      </c>
      <c r="CG114">
        <v>300</v>
      </c>
      <c r="CH114">
        <v>23.7</v>
      </c>
      <c r="CI114">
        <v>1488.13092677527</v>
      </c>
      <c r="CJ114">
        <v>1.59410020680492</v>
      </c>
      <c r="CK114">
        <v>-24.1525553482881</v>
      </c>
      <c r="CL114">
        <v>0.742109968828202</v>
      </c>
      <c r="CM114">
        <v>0.974246443094468</v>
      </c>
      <c r="CN114">
        <v>-0.00326080778642937</v>
      </c>
      <c r="CO114">
        <v>290</v>
      </c>
      <c r="CP114">
        <v>1439.51</v>
      </c>
      <c r="CQ114">
        <v>705</v>
      </c>
      <c r="CR114">
        <v>5171.6</v>
      </c>
      <c r="CS114">
        <v>1441.43</v>
      </c>
      <c r="CT114">
        <v>-1.92</v>
      </c>
      <c r="DH114">
        <f>$B$11*EG114+$C$11*EH114+$F$11*ES114*(1-EV114)</f>
        <v>0</v>
      </c>
      <c r="DI114">
        <f>DH114*DJ114</f>
        <v>0</v>
      </c>
      <c r="DJ114">
        <f>($B$11*$D$9+$C$11*$D$9+$F$11*((FF114+EX114)/MAX(FF114+EX114+FG114, 0.1)*$I$9+FG114/MAX(FF114+EX114+FG114, 0.1)*$J$9))/($B$11+$C$11+$F$11)</f>
        <v>0</v>
      </c>
      <c r="DK114">
        <f>($B$11*$K$9+$C$11*$K$9+$F$11*((FF114+EX114)/MAX(FF114+EX114+FG114, 0.1)*$P$9+FG114/MAX(FF114+EX114+FG114, 0.1)*$Q$9))/($B$11+$C$11+$F$11)</f>
        <v>0</v>
      </c>
      <c r="DL114">
        <v>6</v>
      </c>
      <c r="DM114">
        <v>0.5</v>
      </c>
      <c r="DN114" t="s">
        <v>438</v>
      </c>
      <c r="DO114">
        <v>2</v>
      </c>
      <c r="DP114" t="b">
        <v>1</v>
      </c>
      <c r="DQ114">
        <v>1760990674.5</v>
      </c>
      <c r="DR114">
        <v>408.8766875</v>
      </c>
      <c r="DS114">
        <v>420.0065625</v>
      </c>
      <c r="DT114">
        <v>11.88876875</v>
      </c>
      <c r="DU114">
        <v>9.417430625</v>
      </c>
      <c r="DV114">
        <v>406.0366875</v>
      </c>
      <c r="DW114">
        <v>11.9989625</v>
      </c>
      <c r="DX114">
        <v>499.9941875</v>
      </c>
      <c r="DY114">
        <v>89.85338125</v>
      </c>
      <c r="DZ114">
        <v>0.008151488125</v>
      </c>
      <c r="EA114">
        <v>18.490625</v>
      </c>
      <c r="EB114">
        <v>17.8900625</v>
      </c>
      <c r="EC114">
        <v>999.9</v>
      </c>
      <c r="ED114">
        <v>0</v>
      </c>
      <c r="EE114">
        <v>0</v>
      </c>
      <c r="EF114">
        <v>9989.91875</v>
      </c>
      <c r="EG114">
        <v>0</v>
      </c>
      <c r="EH114">
        <v>1271.385</v>
      </c>
      <c r="EI114">
        <v>-11.12983125</v>
      </c>
      <c r="EJ114">
        <v>413.7963125</v>
      </c>
      <c r="EK114">
        <v>423.9995625</v>
      </c>
      <c r="EL114">
        <v>2.471331875</v>
      </c>
      <c r="EM114">
        <v>420.0065625</v>
      </c>
      <c r="EN114">
        <v>9.417430625</v>
      </c>
      <c r="EO114">
        <v>1.068245625</v>
      </c>
      <c r="EP114">
        <v>0.846188</v>
      </c>
      <c r="EQ114">
        <v>7.881980625</v>
      </c>
      <c r="ER114">
        <v>4.506650625</v>
      </c>
      <c r="ES114">
        <v>900.0151875</v>
      </c>
      <c r="ET114">
        <v>0.955989625</v>
      </c>
      <c r="EU114">
        <v>0.0440101625</v>
      </c>
      <c r="EV114">
        <v>0</v>
      </c>
      <c r="EW114">
        <v>1273.211875</v>
      </c>
      <c r="EX114">
        <v>5.00059</v>
      </c>
      <c r="EY114">
        <v>11154.4125</v>
      </c>
      <c r="EZ114">
        <v>7732.91625</v>
      </c>
      <c r="FA114">
        <v>36.3395625</v>
      </c>
      <c r="FB114">
        <v>38.1795625</v>
      </c>
      <c r="FC114">
        <v>37.0231875</v>
      </c>
      <c r="FD114">
        <v>37.308375</v>
      </c>
      <c r="FE114">
        <v>37.3513125</v>
      </c>
      <c r="FF114">
        <v>855.625625</v>
      </c>
      <c r="FG114">
        <v>39.39</v>
      </c>
      <c r="FH114">
        <v>0</v>
      </c>
      <c r="FI114">
        <v>89.2000000476837</v>
      </c>
      <c r="FJ114">
        <v>0</v>
      </c>
      <c r="FK114">
        <v>1273.124</v>
      </c>
      <c r="FL114">
        <v>-4.14076923498302</v>
      </c>
      <c r="FM114">
        <v>-69.3769230292639</v>
      </c>
      <c r="FN114">
        <v>11152.96</v>
      </c>
      <c r="FO114">
        <v>15</v>
      </c>
      <c r="FP114">
        <v>0</v>
      </c>
      <c r="FQ114" t="s">
        <v>439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-11.12295</v>
      </c>
      <c r="GD114">
        <v>-0.118321804511303</v>
      </c>
      <c r="GE114">
        <v>0.0320447421584259</v>
      </c>
      <c r="GF114">
        <v>1</v>
      </c>
      <c r="GG114">
        <v>1273.46147058824</v>
      </c>
      <c r="GH114">
        <v>-4.39037432894055</v>
      </c>
      <c r="GI114">
        <v>0.457789653423949</v>
      </c>
      <c r="GJ114">
        <v>-1</v>
      </c>
      <c r="GK114">
        <v>2.4660775</v>
      </c>
      <c r="GL114">
        <v>0.0940849624060136</v>
      </c>
      <c r="GM114">
        <v>0.0113106197332419</v>
      </c>
      <c r="GN114">
        <v>1</v>
      </c>
      <c r="GO114">
        <v>2</v>
      </c>
      <c r="GP114">
        <v>2</v>
      </c>
      <c r="GQ114" t="s">
        <v>440</v>
      </c>
      <c r="GR114">
        <v>3.13075</v>
      </c>
      <c r="GS114">
        <v>2.68625</v>
      </c>
      <c r="GT114">
        <v>0.0878103</v>
      </c>
      <c r="GU114">
        <v>0.0902297</v>
      </c>
      <c r="GV114">
        <v>0.0619172</v>
      </c>
      <c r="GW114">
        <v>0.0515819</v>
      </c>
      <c r="GX114">
        <v>34578.1</v>
      </c>
      <c r="GY114">
        <v>37061.1</v>
      </c>
      <c r="GZ114">
        <v>34273</v>
      </c>
      <c r="HA114">
        <v>36860.4</v>
      </c>
      <c r="HB114">
        <v>45348.3</v>
      </c>
      <c r="HC114">
        <v>50127.2</v>
      </c>
      <c r="HD114">
        <v>53349.4</v>
      </c>
      <c r="HE114">
        <v>58793.2</v>
      </c>
      <c r="HF114">
        <v>2.0101</v>
      </c>
      <c r="HG114">
        <v>1.83678</v>
      </c>
      <c r="HH114">
        <v>0.0325218</v>
      </c>
      <c r="HI114">
        <v>0</v>
      </c>
      <c r="HJ114">
        <v>17.3866</v>
      </c>
      <c r="HK114">
        <v>999.9</v>
      </c>
      <c r="HL114">
        <v>26.309</v>
      </c>
      <c r="HM114">
        <v>30.484</v>
      </c>
      <c r="HN114">
        <v>12.8264</v>
      </c>
      <c r="HO114">
        <v>53.4391</v>
      </c>
      <c r="HP114">
        <v>44.2548</v>
      </c>
      <c r="HQ114">
        <v>1</v>
      </c>
      <c r="HR114">
        <v>-0.284426</v>
      </c>
      <c r="HS114">
        <v>2.2063</v>
      </c>
      <c r="HT114">
        <v>20.1256</v>
      </c>
      <c r="HU114">
        <v>5.20172</v>
      </c>
      <c r="HV114">
        <v>12.004</v>
      </c>
      <c r="HW114">
        <v>4.97595</v>
      </c>
      <c r="HX114">
        <v>3.29303</v>
      </c>
      <c r="HY114">
        <v>9999</v>
      </c>
      <c r="HZ114">
        <v>999.9</v>
      </c>
      <c r="IA114">
        <v>9999</v>
      </c>
      <c r="IB114">
        <v>9999</v>
      </c>
      <c r="IC114">
        <v>1.86325</v>
      </c>
      <c r="ID114">
        <v>1.86805</v>
      </c>
      <c r="IE114">
        <v>1.86783</v>
      </c>
      <c r="IF114">
        <v>1.86905</v>
      </c>
      <c r="IG114">
        <v>1.86981</v>
      </c>
      <c r="IH114">
        <v>1.86587</v>
      </c>
      <c r="II114">
        <v>1.86695</v>
      </c>
      <c r="IJ114">
        <v>1.86842</v>
      </c>
      <c r="IK114">
        <v>5</v>
      </c>
      <c r="IL114">
        <v>0</v>
      </c>
      <c r="IM114">
        <v>0</v>
      </c>
      <c r="IN114">
        <v>0</v>
      </c>
      <c r="IO114" t="s">
        <v>441</v>
      </c>
      <c r="IP114" t="s">
        <v>442</v>
      </c>
      <c r="IQ114" t="s">
        <v>443</v>
      </c>
      <c r="IR114" t="s">
        <v>443</v>
      </c>
      <c r="IS114" t="s">
        <v>443</v>
      </c>
      <c r="IT114" t="s">
        <v>443</v>
      </c>
      <c r="IU114">
        <v>0</v>
      </c>
      <c r="IV114">
        <v>100</v>
      </c>
      <c r="IW114">
        <v>100</v>
      </c>
      <c r="IX114">
        <v>2.84</v>
      </c>
      <c r="IY114">
        <v>-0.1106</v>
      </c>
      <c r="IZ114">
        <v>1.12474291219083</v>
      </c>
      <c r="JA114">
        <v>0.00463155566490582</v>
      </c>
      <c r="JB114">
        <v>-1.1358998729424e-06</v>
      </c>
      <c r="JC114">
        <v>3.28704272115545e-10</v>
      </c>
      <c r="JD114">
        <v>-0.0704455108513773</v>
      </c>
      <c r="JE114">
        <v>-0.0251928478371425</v>
      </c>
      <c r="JF114">
        <v>0.00225751704194564</v>
      </c>
      <c r="JG114">
        <v>-3.61734043746866e-05</v>
      </c>
      <c r="JH114">
        <v>1</v>
      </c>
      <c r="JI114">
        <v>2182</v>
      </c>
      <c r="JJ114">
        <v>0</v>
      </c>
      <c r="JK114">
        <v>24</v>
      </c>
      <c r="JL114">
        <v>29349844.7</v>
      </c>
      <c r="JM114">
        <v>29349844.7</v>
      </c>
      <c r="JN114">
        <v>0.999756</v>
      </c>
      <c r="JO114">
        <v>2.62817</v>
      </c>
      <c r="JP114">
        <v>1.54785</v>
      </c>
      <c r="JQ114">
        <v>2.31445</v>
      </c>
      <c r="JR114">
        <v>1.64673</v>
      </c>
      <c r="JS114">
        <v>2.28638</v>
      </c>
      <c r="JT114">
        <v>33.8509</v>
      </c>
      <c r="JU114">
        <v>24.2013</v>
      </c>
      <c r="JV114">
        <v>18</v>
      </c>
      <c r="JW114">
        <v>500.545</v>
      </c>
      <c r="JX114">
        <v>393.227</v>
      </c>
      <c r="JY114">
        <v>14.1466</v>
      </c>
      <c r="JZ114">
        <v>23.7827</v>
      </c>
      <c r="KA114">
        <v>30.0002</v>
      </c>
      <c r="KB114">
        <v>23.8196</v>
      </c>
      <c r="KC114">
        <v>23.7925</v>
      </c>
      <c r="KD114">
        <v>20.0452</v>
      </c>
      <c r="KE114">
        <v>8.82282</v>
      </c>
      <c r="KF114">
        <v>24.1285</v>
      </c>
      <c r="KG114">
        <v>14.1441</v>
      </c>
      <c r="KH114">
        <v>420</v>
      </c>
      <c r="KI114">
        <v>9.35146</v>
      </c>
      <c r="KJ114">
        <v>97.0605</v>
      </c>
      <c r="KK114">
        <v>95.3313</v>
      </c>
    </row>
    <row r="115" spans="1:297">
      <c r="A115">
        <v>99</v>
      </c>
      <c r="B115">
        <v>1760990756</v>
      </c>
      <c r="C115">
        <v>1565.90000009537</v>
      </c>
      <c r="D115" t="s">
        <v>643</v>
      </c>
      <c r="E115" t="s">
        <v>644</v>
      </c>
      <c r="F115">
        <v>5</v>
      </c>
      <c r="G115" t="s">
        <v>435</v>
      </c>
      <c r="H115" t="s">
        <v>436</v>
      </c>
      <c r="I115">
        <v>1760990747.5</v>
      </c>
      <c r="J115">
        <f>(K115)/1000</f>
        <v>0</v>
      </c>
      <c r="K115">
        <f>IF(DP115, AN115, AH115)</f>
        <v>0</v>
      </c>
      <c r="L115">
        <f>IF(DP115, AI115, AG115)</f>
        <v>0</v>
      </c>
      <c r="M115">
        <f>DR115 - IF(AU115&gt;1, L115*DL115*100.0/(AW115), 0)</f>
        <v>0</v>
      </c>
      <c r="N115">
        <f>((T115-J115/2)*M115-L115)/(T115+J115/2)</f>
        <v>0</v>
      </c>
      <c r="O115">
        <f>N115*(DY115+DZ115)/1000.0</f>
        <v>0</v>
      </c>
      <c r="P115">
        <f>(DR115 - IF(AU115&gt;1, L115*DL115*100.0/(AW115), 0))*(DY115+DZ115)/1000.0</f>
        <v>0</v>
      </c>
      <c r="Q115">
        <f>2.0/((1/S115-1/R115)+SIGN(S115)*SQRT((1/S115-1/R115)*(1/S115-1/R115) + 4*DM115/((DM115+1)*(DM115+1))*(2*1/S115*1/R115-1/R115*1/R115)))</f>
        <v>0</v>
      </c>
      <c r="R115">
        <f>IF(LEFT(DN115,1)&lt;&gt;"0",IF(LEFT(DN115,1)="1",3.0,DO115),$D$5+$E$5*(EF115*DY115/($K$5*1000))+$F$5*(EF115*DY115/($K$5*1000))*MAX(MIN(DL115,$J$5),$I$5)*MAX(MIN(DL115,$J$5),$I$5)+$G$5*MAX(MIN(DL115,$J$5),$I$5)*(EF115*DY115/($K$5*1000))+$H$5*(EF115*DY115/($K$5*1000))*(EF115*DY115/($K$5*1000)))</f>
        <v>0</v>
      </c>
      <c r="S115">
        <f>J115*(1000-(1000*0.61365*exp(17.502*W115/(240.97+W115))/(DY115+DZ115)+DT115)/2)/(1000*0.61365*exp(17.502*W115/(240.97+W115))/(DY115+DZ115)-DT115)</f>
        <v>0</v>
      </c>
      <c r="T115">
        <f>1/((DM115+1)/(Q115/1.6)+1/(R115/1.37)) + DM115/((DM115+1)/(Q115/1.6) + DM115/(R115/1.37))</f>
        <v>0</v>
      </c>
      <c r="U115">
        <f>(DH115*DK115)</f>
        <v>0</v>
      </c>
      <c r="V115">
        <f>(EA115+(U115+2*0.95*5.67E-8*(((EA115+$B$7)+273)^4-(EA115+273)^4)-44100*J115)/(1.84*29.3*R115+8*0.95*5.67E-8*(EA115+273)^3))</f>
        <v>0</v>
      </c>
      <c r="W115">
        <f>($C$7*EB115+$D$7*EC115+$E$7*V115)</f>
        <v>0</v>
      </c>
      <c r="X115">
        <f>0.61365*exp(17.502*W115/(240.97+W115))</f>
        <v>0</v>
      </c>
      <c r="Y115">
        <f>(Z115/AA115*100)</f>
        <v>0</v>
      </c>
      <c r="Z115">
        <f>DT115*(DY115+DZ115)/1000</f>
        <v>0</v>
      </c>
      <c r="AA115">
        <f>0.61365*exp(17.502*EA115/(240.97+EA115))</f>
        <v>0</v>
      </c>
      <c r="AB115">
        <f>(X115-DT115*(DY115+DZ115)/1000)</f>
        <v>0</v>
      </c>
      <c r="AC115">
        <f>(-J115*44100)</f>
        <v>0</v>
      </c>
      <c r="AD115">
        <f>2*29.3*R115*0.92*(EA115-W115)</f>
        <v>0</v>
      </c>
      <c r="AE115">
        <f>2*0.95*5.67E-8*(((EA115+$B$7)+273)^4-(W115+273)^4)</f>
        <v>0</v>
      </c>
      <c r="AF115">
        <f>U115+AE115+AC115+AD115</f>
        <v>0</v>
      </c>
      <c r="AG115">
        <f>DX115*AU115*(DS115-DR115*(1000-AU115*DU115)/(1000-AU115*DT115))/(100*DL115)</f>
        <v>0</v>
      </c>
      <c r="AH115">
        <f>1000*DX115*AU115*(DT115-DU115)/(100*DL115*(1000-AU115*DT115))</f>
        <v>0</v>
      </c>
      <c r="AI115">
        <f>(AJ115 - AK115 - DY115*1E3/(8.314*(EA115+273.15)) * AM115/DX115 * AL115) * DX115/(100*DL115) * (1000 - DU115)/1000</f>
        <v>0</v>
      </c>
      <c r="AJ115">
        <v>424.051892236742</v>
      </c>
      <c r="AK115">
        <v>414.351709090909</v>
      </c>
      <c r="AL115">
        <v>-0.000691137190289912</v>
      </c>
      <c r="AM115">
        <v>64.8413469339502</v>
      </c>
      <c r="AN115">
        <f>(AP115 - AO115 + DY115*1E3/(8.314*(EA115+273.15)) * AR115/DX115 * AQ115) * DX115/(100*DL115) * 1000/(1000 - AP115)</f>
        <v>0</v>
      </c>
      <c r="AO115">
        <v>9.56972678242044</v>
      </c>
      <c r="AP115">
        <v>11.919583030303</v>
      </c>
      <c r="AQ115">
        <v>8.64990105403161e-05</v>
      </c>
      <c r="AR115">
        <v>118.472689631034</v>
      </c>
      <c r="AS115">
        <v>0</v>
      </c>
      <c r="AT115">
        <v>0</v>
      </c>
      <c r="AU115">
        <f>IF(AS115*$H$13&gt;=AW115,1.0,(AW115/(AW115-AS115*$H$13)))</f>
        <v>0</v>
      </c>
      <c r="AV115">
        <f>(AU115-1)*100</f>
        <v>0</v>
      </c>
      <c r="AW115">
        <f>MAX(0,($B$13+$C$13*EF115)/(1+$D$13*EF115)*DY115/(EA115+273)*$E$13)</f>
        <v>0</v>
      </c>
      <c r="AX115" t="s">
        <v>638</v>
      </c>
      <c r="AY115">
        <v>5082.33</v>
      </c>
      <c r="AZ115">
        <v>690.032</v>
      </c>
      <c r="BA115">
        <v>1612.68</v>
      </c>
      <c r="BB115">
        <f>1-AZ115/BA115</f>
        <v>0</v>
      </c>
      <c r="BC115">
        <v>-9.7270689171713</v>
      </c>
      <c r="BD115" t="s">
        <v>645</v>
      </c>
      <c r="BE115">
        <v>5175.92</v>
      </c>
      <c r="BF115">
        <v>1178.2756</v>
      </c>
      <c r="BG115">
        <v>1498.35579043637</v>
      </c>
      <c r="BH115">
        <f>1-BF115/BG115</f>
        <v>0</v>
      </c>
      <c r="BI115">
        <v>0.5</v>
      </c>
      <c r="BJ115">
        <f>DI115</f>
        <v>0</v>
      </c>
      <c r="BK115">
        <f>L115</f>
        <v>0</v>
      </c>
      <c r="BL115">
        <f>BH115*BI115*BJ115</f>
        <v>0</v>
      </c>
      <c r="BM115">
        <f>(BK115-BC115)/BJ115</f>
        <v>0</v>
      </c>
      <c r="BN115">
        <f>(BA115-BG115)/BG115</f>
        <v>0</v>
      </c>
      <c r="BO115">
        <f>AZ115/(BB115+AZ115/BG115)</f>
        <v>0</v>
      </c>
      <c r="BP115" t="s">
        <v>646</v>
      </c>
      <c r="BQ115">
        <v>789.13</v>
      </c>
      <c r="BR115">
        <f>IF(BQ115&lt;&gt;0, BQ115, BO115)</f>
        <v>0</v>
      </c>
      <c r="BS115">
        <f>1-BR115/BG115</f>
        <v>0</v>
      </c>
      <c r="BT115">
        <f>(BG115-BF115)/(BG115-BR115)</f>
        <v>0</v>
      </c>
      <c r="BU115">
        <f>(BA115-BG115)/(BA115-BR115)</f>
        <v>0</v>
      </c>
      <c r="BV115">
        <f>(BG115-BF115)/(BG115-AZ115)</f>
        <v>0</v>
      </c>
      <c r="BW115">
        <f>(BA115-BG115)/(BA115-AZ115)</f>
        <v>0</v>
      </c>
      <c r="BX115">
        <f>(BT115*BR115/BF115)</f>
        <v>0</v>
      </c>
      <c r="BY115">
        <f>(1-BX115)</f>
        <v>0</v>
      </c>
      <c r="BZ115">
        <v>276</v>
      </c>
      <c r="CA115">
        <v>290</v>
      </c>
      <c r="CB115">
        <v>1451.73</v>
      </c>
      <c r="CC115">
        <v>295</v>
      </c>
      <c r="CD115">
        <v>5175.92</v>
      </c>
      <c r="CE115">
        <v>1451.57</v>
      </c>
      <c r="CF115">
        <v>0.16</v>
      </c>
      <c r="CG115">
        <v>300</v>
      </c>
      <c r="CH115">
        <v>23.8</v>
      </c>
      <c r="CI115">
        <v>1498.35579043637</v>
      </c>
      <c r="CJ115">
        <v>1.60671211543027</v>
      </c>
      <c r="CK115">
        <v>-24.2137549929342</v>
      </c>
      <c r="CL115">
        <v>0.734636686349529</v>
      </c>
      <c r="CM115">
        <v>0.974873768689799</v>
      </c>
      <c r="CN115">
        <v>-0.00377232791991102</v>
      </c>
      <c r="CO115">
        <v>290</v>
      </c>
      <c r="CP115">
        <v>1450.11</v>
      </c>
      <c r="CQ115">
        <v>655</v>
      </c>
      <c r="CR115">
        <v>5175.2</v>
      </c>
      <c r="CS115">
        <v>1451.57</v>
      </c>
      <c r="CT115">
        <v>-1.46</v>
      </c>
      <c r="DH115">
        <f>$B$11*EG115+$C$11*EH115+$F$11*ES115*(1-EV115)</f>
        <v>0</v>
      </c>
      <c r="DI115">
        <f>DH115*DJ115</f>
        <v>0</v>
      </c>
      <c r="DJ115">
        <f>($B$11*$D$9+$C$11*$D$9+$F$11*((FF115+EX115)/MAX(FF115+EX115+FG115, 0.1)*$I$9+FG115/MAX(FF115+EX115+FG115, 0.1)*$J$9))/($B$11+$C$11+$F$11)</f>
        <v>0</v>
      </c>
      <c r="DK115">
        <f>($B$11*$K$9+$C$11*$K$9+$F$11*((FF115+EX115)/MAX(FF115+EX115+FG115, 0.1)*$P$9+FG115/MAX(FF115+EX115+FG115, 0.1)*$Q$9))/($B$11+$C$11+$F$11)</f>
        <v>0</v>
      </c>
      <c r="DL115">
        <v>6</v>
      </c>
      <c r="DM115">
        <v>0.5</v>
      </c>
      <c r="DN115" t="s">
        <v>438</v>
      </c>
      <c r="DO115">
        <v>2</v>
      </c>
      <c r="DP115" t="b">
        <v>1</v>
      </c>
      <c r="DQ115">
        <v>1760990747.5</v>
      </c>
      <c r="DR115">
        <v>409.4200625</v>
      </c>
      <c r="DS115">
        <v>419.9886875</v>
      </c>
      <c r="DT115">
        <v>11.89286875</v>
      </c>
      <c r="DU115">
        <v>9.543785</v>
      </c>
      <c r="DV115">
        <v>406.578</v>
      </c>
      <c r="DW115">
        <v>12.003025</v>
      </c>
      <c r="DX115">
        <v>500.0203125</v>
      </c>
      <c r="DY115">
        <v>89.856225</v>
      </c>
      <c r="DZ115">
        <v>0.008211225625</v>
      </c>
      <c r="EA115">
        <v>18.732325</v>
      </c>
      <c r="EB115">
        <v>17.96329375</v>
      </c>
      <c r="EC115">
        <v>999.9</v>
      </c>
      <c r="ED115">
        <v>0</v>
      </c>
      <c r="EE115">
        <v>0</v>
      </c>
      <c r="EF115">
        <v>9995.470625</v>
      </c>
      <c r="EG115">
        <v>0</v>
      </c>
      <c r="EH115">
        <v>1271.53</v>
      </c>
      <c r="EI115">
        <v>-10.56856875</v>
      </c>
      <c r="EJ115">
        <v>414.3478125</v>
      </c>
      <c r="EK115">
        <v>424.0355</v>
      </c>
      <c r="EL115">
        <v>2.34909875</v>
      </c>
      <c r="EM115">
        <v>419.9886875</v>
      </c>
      <c r="EN115">
        <v>9.543785</v>
      </c>
      <c r="EO115">
        <v>1.06864875</v>
      </c>
      <c r="EP115">
        <v>0.8575684375</v>
      </c>
      <c r="EQ115">
        <v>7.887533125</v>
      </c>
      <c r="ER115">
        <v>4.69767375</v>
      </c>
      <c r="ES115">
        <v>599.980625</v>
      </c>
      <c r="ET115">
        <v>0.9330034375</v>
      </c>
      <c r="EU115">
        <v>0.0669964875</v>
      </c>
      <c r="EV115">
        <v>0</v>
      </c>
      <c r="EW115">
        <v>1178.390625</v>
      </c>
      <c r="EX115">
        <v>5.00059</v>
      </c>
      <c r="EY115">
        <v>6843.37125</v>
      </c>
      <c r="EZ115">
        <v>5105.344375</v>
      </c>
      <c r="FA115">
        <v>36.406</v>
      </c>
      <c r="FB115">
        <v>39.4606875</v>
      </c>
      <c r="FC115">
        <v>37.5545</v>
      </c>
      <c r="FD115">
        <v>38.7068125</v>
      </c>
      <c r="FE115">
        <v>37.8161875</v>
      </c>
      <c r="FF115">
        <v>555.12</v>
      </c>
      <c r="FG115">
        <v>39.86</v>
      </c>
      <c r="FH115">
        <v>0</v>
      </c>
      <c r="FI115">
        <v>162.400000095367</v>
      </c>
      <c r="FJ115">
        <v>0</v>
      </c>
      <c r="FK115">
        <v>1178.2756</v>
      </c>
      <c r="FL115">
        <v>-2.67076921813898</v>
      </c>
      <c r="FM115">
        <v>-1.253077035348</v>
      </c>
      <c r="FN115">
        <v>6843.5712</v>
      </c>
      <c r="FO115">
        <v>15</v>
      </c>
      <c r="FP115">
        <v>0</v>
      </c>
      <c r="FQ115" t="s">
        <v>439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-10.5716666666667</v>
      </c>
      <c r="GD115">
        <v>0.153997402597391</v>
      </c>
      <c r="GE115">
        <v>0.0354719786569804</v>
      </c>
      <c r="GF115">
        <v>1</v>
      </c>
      <c r="GG115">
        <v>1178.47941176471</v>
      </c>
      <c r="GH115">
        <v>-2.02933536246926</v>
      </c>
      <c r="GI115">
        <v>0.270912848765616</v>
      </c>
      <c r="GJ115">
        <v>-1</v>
      </c>
      <c r="GK115">
        <v>2.35434666666667</v>
      </c>
      <c r="GL115">
        <v>-0.0827290909090865</v>
      </c>
      <c r="GM115">
        <v>0.0090861434709454</v>
      </c>
      <c r="GN115">
        <v>1</v>
      </c>
      <c r="GO115">
        <v>2</v>
      </c>
      <c r="GP115">
        <v>2</v>
      </c>
      <c r="GQ115" t="s">
        <v>440</v>
      </c>
      <c r="GR115">
        <v>3.1308</v>
      </c>
      <c r="GS115">
        <v>2.68638</v>
      </c>
      <c r="GT115">
        <v>0.0879227</v>
      </c>
      <c r="GU115">
        <v>0.0902415</v>
      </c>
      <c r="GV115">
        <v>0.0621588</v>
      </c>
      <c r="GW115">
        <v>0.0523565</v>
      </c>
      <c r="GX115">
        <v>34575.1</v>
      </c>
      <c r="GY115">
        <v>37061.8</v>
      </c>
      <c r="GZ115">
        <v>34274.1</v>
      </c>
      <c r="HA115">
        <v>36861.4</v>
      </c>
      <c r="HB115">
        <v>45337.5</v>
      </c>
      <c r="HC115">
        <v>50087.2</v>
      </c>
      <c r="HD115">
        <v>53350.7</v>
      </c>
      <c r="HE115">
        <v>58794.9</v>
      </c>
      <c r="HF115">
        <v>2.00982</v>
      </c>
      <c r="HG115">
        <v>1.83783</v>
      </c>
      <c r="HH115">
        <v>0.0307485</v>
      </c>
      <c r="HI115">
        <v>0</v>
      </c>
      <c r="HJ115">
        <v>17.498</v>
      </c>
      <c r="HK115">
        <v>999.9</v>
      </c>
      <c r="HL115">
        <v>26.309</v>
      </c>
      <c r="HM115">
        <v>30.484</v>
      </c>
      <c r="HN115">
        <v>12.825</v>
      </c>
      <c r="HO115">
        <v>54.1791</v>
      </c>
      <c r="HP115">
        <v>44.2909</v>
      </c>
      <c r="HQ115">
        <v>1</v>
      </c>
      <c r="HR115">
        <v>-0.287116</v>
      </c>
      <c r="HS115">
        <v>1.80014</v>
      </c>
      <c r="HT115">
        <v>20.134</v>
      </c>
      <c r="HU115">
        <v>5.20052</v>
      </c>
      <c r="HV115">
        <v>12.004</v>
      </c>
      <c r="HW115">
        <v>4.97575</v>
      </c>
      <c r="HX115">
        <v>3.29303</v>
      </c>
      <c r="HY115">
        <v>9999</v>
      </c>
      <c r="HZ115">
        <v>999.9</v>
      </c>
      <c r="IA115">
        <v>9999</v>
      </c>
      <c r="IB115">
        <v>9999</v>
      </c>
      <c r="IC115">
        <v>1.86325</v>
      </c>
      <c r="ID115">
        <v>1.86805</v>
      </c>
      <c r="IE115">
        <v>1.86783</v>
      </c>
      <c r="IF115">
        <v>1.86905</v>
      </c>
      <c r="IG115">
        <v>1.86981</v>
      </c>
      <c r="IH115">
        <v>1.86585</v>
      </c>
      <c r="II115">
        <v>1.86694</v>
      </c>
      <c r="IJ115">
        <v>1.8684</v>
      </c>
      <c r="IK115">
        <v>5</v>
      </c>
      <c r="IL115">
        <v>0</v>
      </c>
      <c r="IM115">
        <v>0</v>
      </c>
      <c r="IN115">
        <v>0</v>
      </c>
      <c r="IO115" t="s">
        <v>441</v>
      </c>
      <c r="IP115" t="s">
        <v>442</v>
      </c>
      <c r="IQ115" t="s">
        <v>443</v>
      </c>
      <c r="IR115" t="s">
        <v>443</v>
      </c>
      <c r="IS115" t="s">
        <v>443</v>
      </c>
      <c r="IT115" t="s">
        <v>443</v>
      </c>
      <c r="IU115">
        <v>0</v>
      </c>
      <c r="IV115">
        <v>100</v>
      </c>
      <c r="IW115">
        <v>100</v>
      </c>
      <c r="IX115">
        <v>2.842</v>
      </c>
      <c r="IY115">
        <v>-0.1097</v>
      </c>
      <c r="IZ115">
        <v>1.12474291219083</v>
      </c>
      <c r="JA115">
        <v>0.00463155566490582</v>
      </c>
      <c r="JB115">
        <v>-1.1358998729424e-06</v>
      </c>
      <c r="JC115">
        <v>3.28704272115545e-10</v>
      </c>
      <c r="JD115">
        <v>-0.0704455108513773</v>
      </c>
      <c r="JE115">
        <v>-0.0251928478371425</v>
      </c>
      <c r="JF115">
        <v>0.00225751704194564</v>
      </c>
      <c r="JG115">
        <v>-3.61734043746866e-05</v>
      </c>
      <c r="JH115">
        <v>1</v>
      </c>
      <c r="JI115">
        <v>2182</v>
      </c>
      <c r="JJ115">
        <v>0</v>
      </c>
      <c r="JK115">
        <v>24</v>
      </c>
      <c r="JL115">
        <v>29349845.9</v>
      </c>
      <c r="JM115">
        <v>29349845.9</v>
      </c>
      <c r="JN115">
        <v>0.999756</v>
      </c>
      <c r="JO115">
        <v>2.61475</v>
      </c>
      <c r="JP115">
        <v>1.54785</v>
      </c>
      <c r="JQ115">
        <v>2.31445</v>
      </c>
      <c r="JR115">
        <v>1.64673</v>
      </c>
      <c r="JS115">
        <v>2.37915</v>
      </c>
      <c r="JT115">
        <v>33.8735</v>
      </c>
      <c r="JU115">
        <v>24.2188</v>
      </c>
      <c r="JV115">
        <v>18</v>
      </c>
      <c r="JW115">
        <v>500.179</v>
      </c>
      <c r="JX115">
        <v>393.641</v>
      </c>
      <c r="JY115">
        <v>15.4704</v>
      </c>
      <c r="JZ115">
        <v>23.7594</v>
      </c>
      <c r="KA115">
        <v>30.0001</v>
      </c>
      <c r="KB115">
        <v>23.7998</v>
      </c>
      <c r="KC115">
        <v>23.7736</v>
      </c>
      <c r="KD115">
        <v>20.0485</v>
      </c>
      <c r="KE115">
        <v>2.81237</v>
      </c>
      <c r="KF115">
        <v>24.1285</v>
      </c>
      <c r="KG115">
        <v>15.4553</v>
      </c>
      <c r="KH115">
        <v>420</v>
      </c>
      <c r="KI115">
        <v>9.77978</v>
      </c>
      <c r="KJ115">
        <v>97.0632</v>
      </c>
      <c r="KK115">
        <v>95.334</v>
      </c>
    </row>
    <row r="116" spans="1:297">
      <c r="A116">
        <v>100</v>
      </c>
      <c r="B116">
        <v>1760990826</v>
      </c>
      <c r="C116">
        <v>1635.90000009537</v>
      </c>
      <c r="D116" t="s">
        <v>647</v>
      </c>
      <c r="E116" t="s">
        <v>648</v>
      </c>
      <c r="F116">
        <v>5</v>
      </c>
      <c r="G116" t="s">
        <v>435</v>
      </c>
      <c r="H116" t="s">
        <v>436</v>
      </c>
      <c r="I116">
        <v>1760990817.5</v>
      </c>
      <c r="J116">
        <f>(K116)/1000</f>
        <v>0</v>
      </c>
      <c r="K116">
        <f>IF(DP116, AN116, AH116)</f>
        <v>0</v>
      </c>
      <c r="L116">
        <f>IF(DP116, AI116, AG116)</f>
        <v>0</v>
      </c>
      <c r="M116">
        <f>DR116 - IF(AU116&gt;1, L116*DL116*100.0/(AW116), 0)</f>
        <v>0</v>
      </c>
      <c r="N116">
        <f>((T116-J116/2)*M116-L116)/(T116+J116/2)</f>
        <v>0</v>
      </c>
      <c r="O116">
        <f>N116*(DY116+DZ116)/1000.0</f>
        <v>0</v>
      </c>
      <c r="P116">
        <f>(DR116 - IF(AU116&gt;1, L116*DL116*100.0/(AW116), 0))*(DY116+DZ116)/1000.0</f>
        <v>0</v>
      </c>
      <c r="Q116">
        <f>2.0/((1/S116-1/R116)+SIGN(S116)*SQRT((1/S116-1/R116)*(1/S116-1/R116) + 4*DM116/((DM116+1)*(DM116+1))*(2*1/S116*1/R116-1/R116*1/R116)))</f>
        <v>0</v>
      </c>
      <c r="R116">
        <f>IF(LEFT(DN116,1)&lt;&gt;"0",IF(LEFT(DN116,1)="1",3.0,DO116),$D$5+$E$5*(EF116*DY116/($K$5*1000))+$F$5*(EF116*DY116/($K$5*1000))*MAX(MIN(DL116,$J$5),$I$5)*MAX(MIN(DL116,$J$5),$I$5)+$G$5*MAX(MIN(DL116,$J$5),$I$5)*(EF116*DY116/($K$5*1000))+$H$5*(EF116*DY116/($K$5*1000))*(EF116*DY116/($K$5*1000)))</f>
        <v>0</v>
      </c>
      <c r="S116">
        <f>J116*(1000-(1000*0.61365*exp(17.502*W116/(240.97+W116))/(DY116+DZ116)+DT116)/2)/(1000*0.61365*exp(17.502*W116/(240.97+W116))/(DY116+DZ116)-DT116)</f>
        <v>0</v>
      </c>
      <c r="T116">
        <f>1/((DM116+1)/(Q116/1.6)+1/(R116/1.37)) + DM116/((DM116+1)/(Q116/1.6) + DM116/(R116/1.37))</f>
        <v>0</v>
      </c>
      <c r="U116">
        <f>(DH116*DK116)</f>
        <v>0</v>
      </c>
      <c r="V116">
        <f>(EA116+(U116+2*0.95*5.67E-8*(((EA116+$B$7)+273)^4-(EA116+273)^4)-44100*J116)/(1.84*29.3*R116+8*0.95*5.67E-8*(EA116+273)^3))</f>
        <v>0</v>
      </c>
      <c r="W116">
        <f>($C$7*EB116+$D$7*EC116+$E$7*V116)</f>
        <v>0</v>
      </c>
      <c r="X116">
        <f>0.61365*exp(17.502*W116/(240.97+W116))</f>
        <v>0</v>
      </c>
      <c r="Y116">
        <f>(Z116/AA116*100)</f>
        <v>0</v>
      </c>
      <c r="Z116">
        <f>DT116*(DY116+DZ116)/1000</f>
        <v>0</v>
      </c>
      <c r="AA116">
        <f>0.61365*exp(17.502*EA116/(240.97+EA116))</f>
        <v>0</v>
      </c>
      <c r="AB116">
        <f>(X116-DT116*(DY116+DZ116)/1000)</f>
        <v>0</v>
      </c>
      <c r="AC116">
        <f>(-J116*44100)</f>
        <v>0</v>
      </c>
      <c r="AD116">
        <f>2*29.3*R116*0.92*(EA116-W116)</f>
        <v>0</v>
      </c>
      <c r="AE116">
        <f>2*0.95*5.67E-8*(((EA116+$B$7)+273)^4-(W116+273)^4)</f>
        <v>0</v>
      </c>
      <c r="AF116">
        <f>U116+AE116+AC116+AD116</f>
        <v>0</v>
      </c>
      <c r="AG116">
        <f>DX116*AU116*(DS116-DR116*(1000-AU116*DU116)/(1000-AU116*DT116))/(100*DL116)</f>
        <v>0</v>
      </c>
      <c r="AH116">
        <f>1000*DX116*AU116*(DT116-DU116)/(100*DL116*(1000-AU116*DT116))</f>
        <v>0</v>
      </c>
      <c r="AI116">
        <f>(AJ116 - AK116 - DY116*1E3/(8.314*(EA116+273.15)) * AM116/DX116 * AL116) * DX116/(100*DL116) * (1000 - DU116)/1000</f>
        <v>0</v>
      </c>
      <c r="AJ116">
        <v>424.13194276453</v>
      </c>
      <c r="AK116">
        <v>416.384024242424</v>
      </c>
      <c r="AL116">
        <v>0.023711239289922</v>
      </c>
      <c r="AM116">
        <v>64.8413469339502</v>
      </c>
      <c r="AN116">
        <f>(AP116 - AO116 + DY116*1E3/(8.314*(EA116+273.15)) * AR116/DX116 * AQ116) * DX116/(100*DL116) * 1000/(1000 - AP116)</f>
        <v>0</v>
      </c>
      <c r="AO116">
        <v>9.69677793537533</v>
      </c>
      <c r="AP116">
        <v>11.9761660606061</v>
      </c>
      <c r="AQ116">
        <v>0.000200081333084076</v>
      </c>
      <c r="AR116">
        <v>118.472689631034</v>
      </c>
      <c r="AS116">
        <v>0</v>
      </c>
      <c r="AT116">
        <v>0</v>
      </c>
      <c r="AU116">
        <f>IF(AS116*$H$13&gt;=AW116,1.0,(AW116/(AW116-AS116*$H$13)))</f>
        <v>0</v>
      </c>
      <c r="AV116">
        <f>(AU116-1)*100</f>
        <v>0</v>
      </c>
      <c r="AW116">
        <f>MAX(0,($B$13+$C$13*EF116)/(1+$D$13*EF116)*DY116/(EA116+273)*$E$13)</f>
        <v>0</v>
      </c>
      <c r="AX116" t="s">
        <v>437</v>
      </c>
      <c r="AY116" t="s">
        <v>437</v>
      </c>
      <c r="AZ116">
        <v>0</v>
      </c>
      <c r="BA116">
        <v>0</v>
      </c>
      <c r="BB116">
        <f>1-AZ116/BA116</f>
        <v>0</v>
      </c>
      <c r="BC116">
        <v>0</v>
      </c>
      <c r="BD116" t="s">
        <v>437</v>
      </c>
      <c r="BE116" t="s">
        <v>437</v>
      </c>
      <c r="BF116">
        <v>0</v>
      </c>
      <c r="BG116">
        <v>0</v>
      </c>
      <c r="BH116">
        <f>1-BF116/BG116</f>
        <v>0</v>
      </c>
      <c r="BI116">
        <v>0.5</v>
      </c>
      <c r="BJ116">
        <f>DI116</f>
        <v>0</v>
      </c>
      <c r="BK116">
        <f>L116</f>
        <v>0</v>
      </c>
      <c r="BL116">
        <f>BH116*BI116*BJ116</f>
        <v>0</v>
      </c>
      <c r="BM116">
        <f>(BK116-BC116)/BJ116</f>
        <v>0</v>
      </c>
      <c r="BN116">
        <f>(BA116-BG116)/BG116</f>
        <v>0</v>
      </c>
      <c r="BO116">
        <f>AZ116/(BB116+AZ116/BG116)</f>
        <v>0</v>
      </c>
      <c r="BP116" t="s">
        <v>437</v>
      </c>
      <c r="BQ116">
        <v>0</v>
      </c>
      <c r="BR116">
        <f>IF(BQ116&lt;&gt;0, BQ116, BO116)</f>
        <v>0</v>
      </c>
      <c r="BS116">
        <f>1-BR116/BG116</f>
        <v>0</v>
      </c>
      <c r="BT116">
        <f>(BG116-BF116)/(BG116-BR116)</f>
        <v>0</v>
      </c>
      <c r="BU116">
        <f>(BA116-BG116)/(BA116-BR116)</f>
        <v>0</v>
      </c>
      <c r="BV116">
        <f>(BG116-BF116)/(BG116-AZ116)</f>
        <v>0</v>
      </c>
      <c r="BW116">
        <f>(BA116-BG116)/(BA116-AZ116)</f>
        <v>0</v>
      </c>
      <c r="BX116">
        <f>(BT116*BR116/BF116)</f>
        <v>0</v>
      </c>
      <c r="BY116">
        <f>(1-BX116)</f>
        <v>0</v>
      </c>
      <c r="BZ116">
        <v>276</v>
      </c>
      <c r="CA116">
        <v>290</v>
      </c>
      <c r="CB116">
        <v>1451.73</v>
      </c>
      <c r="CC116">
        <v>295</v>
      </c>
      <c r="CD116">
        <v>5175.92</v>
      </c>
      <c r="CE116">
        <v>1451.57</v>
      </c>
      <c r="CF116">
        <v>0.16</v>
      </c>
      <c r="CG116">
        <v>300</v>
      </c>
      <c r="CH116">
        <v>23.8</v>
      </c>
      <c r="CI116">
        <v>1498.35579043637</v>
      </c>
      <c r="CJ116">
        <v>1.60671211543027</v>
      </c>
      <c r="CK116">
        <v>-24.2137549929342</v>
      </c>
      <c r="CL116">
        <v>0.734636686349529</v>
      </c>
      <c r="CM116">
        <v>0.974873768689799</v>
      </c>
      <c r="CN116">
        <v>-0.00377232791991102</v>
      </c>
      <c r="CO116">
        <v>290</v>
      </c>
      <c r="CP116">
        <v>1450.11</v>
      </c>
      <c r="CQ116">
        <v>655</v>
      </c>
      <c r="CR116">
        <v>5175.2</v>
      </c>
      <c r="CS116">
        <v>1451.57</v>
      </c>
      <c r="CT116">
        <v>-1.46</v>
      </c>
      <c r="DH116">
        <f>$B$11*EG116+$C$11*EH116+$F$11*ES116*(1-EV116)</f>
        <v>0</v>
      </c>
      <c r="DI116">
        <f>DH116*DJ116</f>
        <v>0</v>
      </c>
      <c r="DJ116">
        <f>($B$11*$D$9+$C$11*$D$9+$F$11*((FF116+EX116)/MAX(FF116+EX116+FG116, 0.1)*$I$9+FG116/MAX(FF116+EX116+FG116, 0.1)*$J$9))/($B$11+$C$11+$F$11)</f>
        <v>0</v>
      </c>
      <c r="DK116">
        <f>($B$11*$K$9+$C$11*$K$9+$F$11*((FF116+EX116)/MAX(FF116+EX116+FG116, 0.1)*$P$9+FG116/MAX(FF116+EX116+FG116, 0.1)*$Q$9))/($B$11+$C$11+$F$11)</f>
        <v>0</v>
      </c>
      <c r="DL116">
        <v>6</v>
      </c>
      <c r="DM116">
        <v>0.5</v>
      </c>
      <c r="DN116" t="s">
        <v>438</v>
      </c>
      <c r="DO116">
        <v>2</v>
      </c>
      <c r="DP116" t="b">
        <v>1</v>
      </c>
      <c r="DQ116">
        <v>1760990817.5</v>
      </c>
      <c r="DR116">
        <v>411.2855</v>
      </c>
      <c r="DS116">
        <v>420.0124375</v>
      </c>
      <c r="DT116">
        <v>11.96365625</v>
      </c>
      <c r="DU116">
        <v>9.64921625</v>
      </c>
      <c r="DV116">
        <v>408.436125</v>
      </c>
      <c r="DW116">
        <v>12.0728625</v>
      </c>
      <c r="DX116">
        <v>500.0076875</v>
      </c>
      <c r="DY116">
        <v>89.8564125</v>
      </c>
      <c r="DZ116">
        <v>0.008141705625</v>
      </c>
      <c r="EA116">
        <v>18.9622375</v>
      </c>
      <c r="EB116">
        <v>17.97785625</v>
      </c>
      <c r="EC116">
        <v>999.9</v>
      </c>
      <c r="ED116">
        <v>0</v>
      </c>
      <c r="EE116">
        <v>0</v>
      </c>
      <c r="EF116">
        <v>9998.82625</v>
      </c>
      <c r="EG116">
        <v>0</v>
      </c>
      <c r="EH116">
        <v>1271.669375</v>
      </c>
      <c r="EI116">
        <v>-8.726849375</v>
      </c>
      <c r="EJ116">
        <v>416.265625</v>
      </c>
      <c r="EK116">
        <v>424.10475</v>
      </c>
      <c r="EL116">
        <v>2.31443375</v>
      </c>
      <c r="EM116">
        <v>420.0124375</v>
      </c>
      <c r="EN116">
        <v>9.64921625</v>
      </c>
      <c r="EO116">
        <v>1.07501125</v>
      </c>
      <c r="EP116">
        <v>0.867044</v>
      </c>
      <c r="EQ116">
        <v>7.974724375</v>
      </c>
      <c r="ER116">
        <v>4.855008125</v>
      </c>
      <c r="ES116">
        <v>300.0085</v>
      </c>
      <c r="ET116">
        <v>0.90000425</v>
      </c>
      <c r="EU116">
        <v>0.09999563125</v>
      </c>
      <c r="EV116">
        <v>0</v>
      </c>
      <c r="EW116">
        <v>976.326</v>
      </c>
      <c r="EX116">
        <v>5.00059</v>
      </c>
      <c r="EY116">
        <v>2828.971875</v>
      </c>
      <c r="EZ116">
        <v>2506.266875</v>
      </c>
      <c r="FA116">
        <v>36.777125</v>
      </c>
      <c r="FB116">
        <v>40.659875</v>
      </c>
      <c r="FC116">
        <v>38.2263125</v>
      </c>
      <c r="FD116">
        <v>40.402125</v>
      </c>
      <c r="FE116">
        <v>38.4371875</v>
      </c>
      <c r="FF116">
        <v>265.5075</v>
      </c>
      <c r="FG116">
        <v>29.5025</v>
      </c>
      <c r="FH116">
        <v>0</v>
      </c>
      <c r="FI116">
        <v>66.5999999046326</v>
      </c>
      <c r="FJ116">
        <v>0</v>
      </c>
      <c r="FK116">
        <v>976.328538461538</v>
      </c>
      <c r="FL116">
        <v>2.24553845480345</v>
      </c>
      <c r="FM116">
        <v>8.34188025390664</v>
      </c>
      <c r="FN116">
        <v>2829.02076923077</v>
      </c>
      <c r="FO116">
        <v>15</v>
      </c>
      <c r="FP116">
        <v>0</v>
      </c>
      <c r="FQ116" t="s">
        <v>439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-8.73311904761905</v>
      </c>
      <c r="GD116">
        <v>0.190963636363634</v>
      </c>
      <c r="GE116">
        <v>0.0638988536229802</v>
      </c>
      <c r="GF116">
        <v>1</v>
      </c>
      <c r="GG116">
        <v>976.204294117647</v>
      </c>
      <c r="GH116">
        <v>2.1208250575931</v>
      </c>
      <c r="GI116">
        <v>0.289834793654002</v>
      </c>
      <c r="GJ116">
        <v>-1</v>
      </c>
      <c r="GK116">
        <v>2.31853523809524</v>
      </c>
      <c r="GL116">
        <v>-0.0685184415584431</v>
      </c>
      <c r="GM116">
        <v>0.0142591890569681</v>
      </c>
      <c r="GN116">
        <v>1</v>
      </c>
      <c r="GO116">
        <v>2</v>
      </c>
      <c r="GP116">
        <v>2</v>
      </c>
      <c r="GQ116" t="s">
        <v>440</v>
      </c>
      <c r="GR116">
        <v>3.13086</v>
      </c>
      <c r="GS116">
        <v>2.68606</v>
      </c>
      <c r="GT116">
        <v>0.088249</v>
      </c>
      <c r="GU116">
        <v>0.0902451</v>
      </c>
      <c r="GV116">
        <v>0.0624009</v>
      </c>
      <c r="GW116">
        <v>0.0529425</v>
      </c>
      <c r="GX116">
        <v>34565.3</v>
      </c>
      <c r="GY116">
        <v>37064.7</v>
      </c>
      <c r="GZ116">
        <v>34276.5</v>
      </c>
      <c r="HA116">
        <v>36864.2</v>
      </c>
      <c r="HB116">
        <v>45328.3</v>
      </c>
      <c r="HC116">
        <v>50059.6</v>
      </c>
      <c r="HD116">
        <v>53353.9</v>
      </c>
      <c r="HE116">
        <v>58799.1</v>
      </c>
      <c r="HF116">
        <v>2.01047</v>
      </c>
      <c r="HG116">
        <v>1.83805</v>
      </c>
      <c r="HH116">
        <v>0.0216588</v>
      </c>
      <c r="HI116">
        <v>0</v>
      </c>
      <c r="HJ116">
        <v>17.6545</v>
      </c>
      <c r="HK116">
        <v>999.9</v>
      </c>
      <c r="HL116">
        <v>26.334</v>
      </c>
      <c r="HM116">
        <v>30.504</v>
      </c>
      <c r="HN116">
        <v>12.8539</v>
      </c>
      <c r="HO116">
        <v>54.1691</v>
      </c>
      <c r="HP116">
        <v>44.1546</v>
      </c>
      <c r="HQ116">
        <v>1</v>
      </c>
      <c r="HR116">
        <v>-0.289527</v>
      </c>
      <c r="HS116">
        <v>1.78422</v>
      </c>
      <c r="HT116">
        <v>20.1366</v>
      </c>
      <c r="HU116">
        <v>5.19917</v>
      </c>
      <c r="HV116">
        <v>12.004</v>
      </c>
      <c r="HW116">
        <v>4.97595</v>
      </c>
      <c r="HX116">
        <v>3.29303</v>
      </c>
      <c r="HY116">
        <v>9999</v>
      </c>
      <c r="HZ116">
        <v>999.9</v>
      </c>
      <c r="IA116">
        <v>9999</v>
      </c>
      <c r="IB116">
        <v>9999</v>
      </c>
      <c r="IC116">
        <v>1.86325</v>
      </c>
      <c r="ID116">
        <v>1.86807</v>
      </c>
      <c r="IE116">
        <v>1.86783</v>
      </c>
      <c r="IF116">
        <v>1.86905</v>
      </c>
      <c r="IG116">
        <v>1.86981</v>
      </c>
      <c r="IH116">
        <v>1.86586</v>
      </c>
      <c r="II116">
        <v>1.86691</v>
      </c>
      <c r="IJ116">
        <v>1.86844</v>
      </c>
      <c r="IK116">
        <v>5</v>
      </c>
      <c r="IL116">
        <v>0</v>
      </c>
      <c r="IM116">
        <v>0</v>
      </c>
      <c r="IN116">
        <v>0</v>
      </c>
      <c r="IO116" t="s">
        <v>441</v>
      </c>
      <c r="IP116" t="s">
        <v>442</v>
      </c>
      <c r="IQ116" t="s">
        <v>443</v>
      </c>
      <c r="IR116" t="s">
        <v>443</v>
      </c>
      <c r="IS116" t="s">
        <v>443</v>
      </c>
      <c r="IT116" t="s">
        <v>443</v>
      </c>
      <c r="IU116">
        <v>0</v>
      </c>
      <c r="IV116">
        <v>100</v>
      </c>
      <c r="IW116">
        <v>100</v>
      </c>
      <c r="IX116">
        <v>2.85</v>
      </c>
      <c r="IY116">
        <v>-0.109</v>
      </c>
      <c r="IZ116">
        <v>1.12474291219083</v>
      </c>
      <c r="JA116">
        <v>0.00463155566490582</v>
      </c>
      <c r="JB116">
        <v>-1.1358998729424e-06</v>
      </c>
      <c r="JC116">
        <v>3.28704272115545e-10</v>
      </c>
      <c r="JD116">
        <v>-0.0704455108513773</v>
      </c>
      <c r="JE116">
        <v>-0.0251928478371425</v>
      </c>
      <c r="JF116">
        <v>0.00225751704194564</v>
      </c>
      <c r="JG116">
        <v>-3.61734043746866e-05</v>
      </c>
      <c r="JH116">
        <v>1</v>
      </c>
      <c r="JI116">
        <v>2182</v>
      </c>
      <c r="JJ116">
        <v>0</v>
      </c>
      <c r="JK116">
        <v>24</v>
      </c>
      <c r="JL116">
        <v>29349847.1</v>
      </c>
      <c r="JM116">
        <v>29349847.1</v>
      </c>
      <c r="JN116">
        <v>1.00098</v>
      </c>
      <c r="JO116">
        <v>2.61841</v>
      </c>
      <c r="JP116">
        <v>1.54785</v>
      </c>
      <c r="JQ116">
        <v>2.31445</v>
      </c>
      <c r="JR116">
        <v>1.64673</v>
      </c>
      <c r="JS116">
        <v>2.39624</v>
      </c>
      <c r="JT116">
        <v>33.8735</v>
      </c>
      <c r="JU116">
        <v>24.2188</v>
      </c>
      <c r="JV116">
        <v>18</v>
      </c>
      <c r="JW116">
        <v>500.367</v>
      </c>
      <c r="JX116">
        <v>393.589</v>
      </c>
      <c r="JY116">
        <v>15.7762</v>
      </c>
      <c r="JZ116">
        <v>23.728</v>
      </c>
      <c r="KA116">
        <v>30</v>
      </c>
      <c r="KB116">
        <v>23.776</v>
      </c>
      <c r="KC116">
        <v>23.7505</v>
      </c>
      <c r="KD116">
        <v>20.0498</v>
      </c>
      <c r="KE116">
        <v>0</v>
      </c>
      <c r="KF116">
        <v>24.5122</v>
      </c>
      <c r="KG116">
        <v>15.6227</v>
      </c>
      <c r="KH116">
        <v>420</v>
      </c>
      <c r="KI116">
        <v>10.5548</v>
      </c>
      <c r="KJ116">
        <v>97.0694</v>
      </c>
      <c r="KK116">
        <v>95.3411</v>
      </c>
    </row>
    <row r="117" spans="1:297">
      <c r="A117">
        <v>101</v>
      </c>
      <c r="B117">
        <v>1760990927</v>
      </c>
      <c r="C117">
        <v>1736.90000009537</v>
      </c>
      <c r="D117" t="s">
        <v>649</v>
      </c>
      <c r="E117" t="s">
        <v>650</v>
      </c>
      <c r="F117">
        <v>5</v>
      </c>
      <c r="G117" t="s">
        <v>435</v>
      </c>
      <c r="H117" t="s">
        <v>436</v>
      </c>
      <c r="I117">
        <v>1760990918.5</v>
      </c>
      <c r="J117">
        <f>(K117)/1000</f>
        <v>0</v>
      </c>
      <c r="K117">
        <f>IF(DP117, AN117, AH117)</f>
        <v>0</v>
      </c>
      <c r="L117">
        <f>IF(DP117, AI117, AG117)</f>
        <v>0</v>
      </c>
      <c r="M117">
        <f>DR117 - IF(AU117&gt;1, L117*DL117*100.0/(AW117), 0)</f>
        <v>0</v>
      </c>
      <c r="N117">
        <f>((T117-J117/2)*M117-L117)/(T117+J117/2)</f>
        <v>0</v>
      </c>
      <c r="O117">
        <f>N117*(DY117+DZ117)/1000.0</f>
        <v>0</v>
      </c>
      <c r="P117">
        <f>(DR117 - IF(AU117&gt;1, L117*DL117*100.0/(AW117), 0))*(DY117+DZ117)/1000.0</f>
        <v>0</v>
      </c>
      <c r="Q117">
        <f>2.0/((1/S117-1/R117)+SIGN(S117)*SQRT((1/S117-1/R117)*(1/S117-1/R117) + 4*DM117/((DM117+1)*(DM117+1))*(2*1/S117*1/R117-1/R117*1/R117)))</f>
        <v>0</v>
      </c>
      <c r="R117">
        <f>IF(LEFT(DN117,1)&lt;&gt;"0",IF(LEFT(DN117,1)="1",3.0,DO117),$D$5+$E$5*(EF117*DY117/($K$5*1000))+$F$5*(EF117*DY117/($K$5*1000))*MAX(MIN(DL117,$J$5),$I$5)*MAX(MIN(DL117,$J$5),$I$5)+$G$5*MAX(MIN(DL117,$J$5),$I$5)*(EF117*DY117/($K$5*1000))+$H$5*(EF117*DY117/($K$5*1000))*(EF117*DY117/($K$5*1000)))</f>
        <v>0</v>
      </c>
      <c r="S117">
        <f>J117*(1000-(1000*0.61365*exp(17.502*W117/(240.97+W117))/(DY117+DZ117)+DT117)/2)/(1000*0.61365*exp(17.502*W117/(240.97+W117))/(DY117+DZ117)-DT117)</f>
        <v>0</v>
      </c>
      <c r="T117">
        <f>1/((DM117+1)/(Q117/1.6)+1/(R117/1.37)) + DM117/((DM117+1)/(Q117/1.6) + DM117/(R117/1.37))</f>
        <v>0</v>
      </c>
      <c r="U117">
        <f>(DH117*DK117)</f>
        <v>0</v>
      </c>
      <c r="V117">
        <f>(EA117+(U117+2*0.95*5.67E-8*(((EA117+$B$7)+273)^4-(EA117+273)^4)-44100*J117)/(1.84*29.3*R117+8*0.95*5.67E-8*(EA117+273)^3))</f>
        <v>0</v>
      </c>
      <c r="W117">
        <f>($C$7*EB117+$D$7*EC117+$E$7*V117)</f>
        <v>0</v>
      </c>
      <c r="X117">
        <f>0.61365*exp(17.502*W117/(240.97+W117))</f>
        <v>0</v>
      </c>
      <c r="Y117">
        <f>(Z117/AA117*100)</f>
        <v>0</v>
      </c>
      <c r="Z117">
        <f>DT117*(DY117+DZ117)/1000</f>
        <v>0</v>
      </c>
      <c r="AA117">
        <f>0.61365*exp(17.502*EA117/(240.97+EA117))</f>
        <v>0</v>
      </c>
      <c r="AB117">
        <f>(X117-DT117*(DY117+DZ117)/1000)</f>
        <v>0</v>
      </c>
      <c r="AC117">
        <f>(-J117*44100)</f>
        <v>0</v>
      </c>
      <c r="AD117">
        <f>2*29.3*R117*0.92*(EA117-W117)</f>
        <v>0</v>
      </c>
      <c r="AE117">
        <f>2*0.95*5.67E-8*(((EA117+$B$7)+273)^4-(W117+273)^4)</f>
        <v>0</v>
      </c>
      <c r="AF117">
        <f>U117+AE117+AC117+AD117</f>
        <v>0</v>
      </c>
      <c r="AG117">
        <f>DX117*AU117*(DS117-DR117*(1000-AU117*DU117)/(1000-AU117*DT117))/(100*DL117)</f>
        <v>0</v>
      </c>
      <c r="AH117">
        <f>1000*DX117*AU117*(DT117-DU117)/(100*DL117*(1000-AU117*DT117))</f>
        <v>0</v>
      </c>
      <c r="AI117">
        <f>(AJ117 - AK117 - DY117*1E3/(8.314*(EA117+273.15)) * AM117/DX117 * AL117) * DX117/(100*DL117) * (1000 - DU117)/1000</f>
        <v>0</v>
      </c>
      <c r="AJ117">
        <v>424.373938186066</v>
      </c>
      <c r="AK117">
        <v>419.661315151515</v>
      </c>
      <c r="AL117">
        <v>0.00201511602701135</v>
      </c>
      <c r="AM117">
        <v>64.8413469339502</v>
      </c>
      <c r="AN117">
        <f>(AP117 - AO117 + DY117*1E3/(8.314*(EA117+273.15)) * AR117/DX117 * AQ117) * DX117/(100*DL117) * 1000/(1000 - AP117)</f>
        <v>0</v>
      </c>
      <c r="AO117">
        <v>10.3464406046596</v>
      </c>
      <c r="AP117">
        <v>12.4418315151515</v>
      </c>
      <c r="AQ117">
        <v>0.00021427125795609</v>
      </c>
      <c r="AR117">
        <v>118.472689631034</v>
      </c>
      <c r="AS117">
        <v>0</v>
      </c>
      <c r="AT117">
        <v>0</v>
      </c>
      <c r="AU117">
        <f>IF(AS117*$H$13&gt;=AW117,1.0,(AW117/(AW117-AS117*$H$13)))</f>
        <v>0</v>
      </c>
      <c r="AV117">
        <f>(AU117-1)*100</f>
        <v>0</v>
      </c>
      <c r="AW117">
        <f>MAX(0,($B$13+$C$13*EF117)/(1+$D$13*EF117)*DY117/(EA117+273)*$E$13)</f>
        <v>0</v>
      </c>
      <c r="AX117" t="s">
        <v>638</v>
      </c>
      <c r="AY117">
        <v>5082.33</v>
      </c>
      <c r="AZ117">
        <v>690.032</v>
      </c>
      <c r="BA117">
        <v>1612.68</v>
      </c>
      <c r="BB117">
        <f>1-AZ117/BA117</f>
        <v>0</v>
      </c>
      <c r="BC117">
        <v>-9.7270689171713</v>
      </c>
      <c r="BD117" t="s">
        <v>651</v>
      </c>
      <c r="BE117">
        <v>5151.29</v>
      </c>
      <c r="BF117">
        <v>832.29904</v>
      </c>
      <c r="BG117">
        <v>1552.30350672017</v>
      </c>
      <c r="BH117">
        <f>1-BF117/BG117</f>
        <v>0</v>
      </c>
      <c r="BI117">
        <v>0.5</v>
      </c>
      <c r="BJ117">
        <f>DI117</f>
        <v>0</v>
      </c>
      <c r="BK117">
        <f>L117</f>
        <v>0</v>
      </c>
      <c r="BL117">
        <f>BH117*BI117*BJ117</f>
        <v>0</v>
      </c>
      <c r="BM117">
        <f>(BK117-BC117)/BJ117</f>
        <v>0</v>
      </c>
      <c r="BN117">
        <f>(BA117-BG117)/BG117</f>
        <v>0</v>
      </c>
      <c r="BO117">
        <f>AZ117/(BB117+AZ117/BG117)</f>
        <v>0</v>
      </c>
      <c r="BP117" t="s">
        <v>652</v>
      </c>
      <c r="BQ117">
        <v>729.07</v>
      </c>
      <c r="BR117">
        <f>IF(BQ117&lt;&gt;0, BQ117, BO117)</f>
        <v>0</v>
      </c>
      <c r="BS117">
        <f>1-BR117/BG117</f>
        <v>0</v>
      </c>
      <c r="BT117">
        <f>(BG117-BF117)/(BG117-BR117)</f>
        <v>0</v>
      </c>
      <c r="BU117">
        <f>(BA117-BG117)/(BA117-BR117)</f>
        <v>0</v>
      </c>
      <c r="BV117">
        <f>(BG117-BF117)/(BG117-AZ117)</f>
        <v>0</v>
      </c>
      <c r="BW117">
        <f>(BA117-BG117)/(BA117-AZ117)</f>
        <v>0</v>
      </c>
      <c r="BX117">
        <f>(BT117*BR117/BF117)</f>
        <v>0</v>
      </c>
      <c r="BY117">
        <f>(1-BX117)</f>
        <v>0</v>
      </c>
      <c r="BZ117">
        <v>278</v>
      </c>
      <c r="CA117">
        <v>290</v>
      </c>
      <c r="CB117">
        <v>1500.74</v>
      </c>
      <c r="CC117">
        <v>295</v>
      </c>
      <c r="CD117">
        <v>5151.29</v>
      </c>
      <c r="CE117">
        <v>1501.22</v>
      </c>
      <c r="CF117">
        <v>-0.48</v>
      </c>
      <c r="CG117">
        <v>300</v>
      </c>
      <c r="CH117">
        <v>23.9</v>
      </c>
      <c r="CI117">
        <v>1552.30350672017</v>
      </c>
      <c r="CJ117">
        <v>1.47412460929199</v>
      </c>
      <c r="CK117">
        <v>-26.3155632302366</v>
      </c>
      <c r="CL117">
        <v>0.661228291825384</v>
      </c>
      <c r="CM117">
        <v>0.982628988064542</v>
      </c>
      <c r="CN117">
        <v>-0.00413292102335929</v>
      </c>
      <c r="CO117">
        <v>290</v>
      </c>
      <c r="CP117">
        <v>1500.4</v>
      </c>
      <c r="CQ117">
        <v>675</v>
      </c>
      <c r="CR117">
        <v>5150.38</v>
      </c>
      <c r="CS117">
        <v>1501.21</v>
      </c>
      <c r="CT117">
        <v>-0.81</v>
      </c>
      <c r="DH117">
        <f>$B$11*EG117+$C$11*EH117+$F$11*ES117*(1-EV117)</f>
        <v>0</v>
      </c>
      <c r="DI117">
        <f>DH117*DJ117</f>
        <v>0</v>
      </c>
      <c r="DJ117">
        <f>($B$11*$D$9+$C$11*$D$9+$F$11*((FF117+EX117)/MAX(FF117+EX117+FG117, 0.1)*$I$9+FG117/MAX(FF117+EX117+FG117, 0.1)*$J$9))/($B$11+$C$11+$F$11)</f>
        <v>0</v>
      </c>
      <c r="DK117">
        <f>($B$11*$K$9+$C$11*$K$9+$F$11*((FF117+EX117)/MAX(FF117+EX117+FG117, 0.1)*$P$9+FG117/MAX(FF117+EX117+FG117, 0.1)*$Q$9))/($B$11+$C$11+$F$11)</f>
        <v>0</v>
      </c>
      <c r="DL117">
        <v>6</v>
      </c>
      <c r="DM117">
        <v>0.5</v>
      </c>
      <c r="DN117" t="s">
        <v>438</v>
      </c>
      <c r="DO117">
        <v>2</v>
      </c>
      <c r="DP117" t="b">
        <v>1</v>
      </c>
      <c r="DQ117">
        <v>1760990918.5</v>
      </c>
      <c r="DR117">
        <v>414.3660625</v>
      </c>
      <c r="DS117">
        <v>419.977625</v>
      </c>
      <c r="DT117">
        <v>12.43183125</v>
      </c>
      <c r="DU117">
        <v>10.3356</v>
      </c>
      <c r="DV117">
        <v>411.505</v>
      </c>
      <c r="DW117">
        <v>12.5346125</v>
      </c>
      <c r="DX117">
        <v>500.01025</v>
      </c>
      <c r="DY117">
        <v>89.86418125</v>
      </c>
      <c r="DZ117">
        <v>0.008271189375</v>
      </c>
      <c r="EA117">
        <v>19.1615375</v>
      </c>
      <c r="EB117">
        <v>18.0814125</v>
      </c>
      <c r="EC117">
        <v>999.9</v>
      </c>
      <c r="ED117">
        <v>0</v>
      </c>
      <c r="EE117">
        <v>0</v>
      </c>
      <c r="EF117">
        <v>9997.69375</v>
      </c>
      <c r="EG117">
        <v>0</v>
      </c>
      <c r="EH117">
        <v>1271.73875</v>
      </c>
      <c r="EI117">
        <v>-5.611214375</v>
      </c>
      <c r="EJ117">
        <v>419.582375</v>
      </c>
      <c r="EK117">
        <v>424.3635625</v>
      </c>
      <c r="EL117">
        <v>2.096226875</v>
      </c>
      <c r="EM117">
        <v>419.977625</v>
      </c>
      <c r="EN117">
        <v>10.3356</v>
      </c>
      <c r="EO117">
        <v>1.1171775</v>
      </c>
      <c r="EP117">
        <v>0.9288009375</v>
      </c>
      <c r="EQ117">
        <v>8.5413675</v>
      </c>
      <c r="ER117">
        <v>5.844890625</v>
      </c>
      <c r="ES117">
        <v>150.00075</v>
      </c>
      <c r="ET117">
        <v>0.900006</v>
      </c>
      <c r="EU117">
        <v>0.099993775</v>
      </c>
      <c r="EV117">
        <v>0</v>
      </c>
      <c r="EW117">
        <v>832.216625</v>
      </c>
      <c r="EX117">
        <v>5.00059</v>
      </c>
      <c r="EY117">
        <v>1219.96375</v>
      </c>
      <c r="EZ117">
        <v>1231.863125</v>
      </c>
      <c r="FA117">
        <v>36.9606875</v>
      </c>
      <c r="FB117">
        <v>41.60525</v>
      </c>
      <c r="FC117">
        <v>38.780875</v>
      </c>
      <c r="FD117">
        <v>41.83575</v>
      </c>
      <c r="FE117">
        <v>38.8279375</v>
      </c>
      <c r="FF117">
        <v>130.500625</v>
      </c>
      <c r="FG117">
        <v>14.4975</v>
      </c>
      <c r="FH117">
        <v>0</v>
      </c>
      <c r="FI117">
        <v>168</v>
      </c>
      <c r="FJ117">
        <v>0</v>
      </c>
      <c r="FK117">
        <v>832.29904</v>
      </c>
      <c r="FL117">
        <v>3.8079230562821</v>
      </c>
      <c r="FM117">
        <v>0.0438461549264327</v>
      </c>
      <c r="FN117">
        <v>1220.3544</v>
      </c>
      <c r="FO117">
        <v>15</v>
      </c>
      <c r="FP117">
        <v>0</v>
      </c>
      <c r="FQ117" t="s">
        <v>439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-5.637601</v>
      </c>
      <c r="GD117">
        <v>0.397679097744364</v>
      </c>
      <c r="GE117">
        <v>0.0510214908543449</v>
      </c>
      <c r="GF117">
        <v>1</v>
      </c>
      <c r="GG117">
        <v>831.964147058824</v>
      </c>
      <c r="GH117">
        <v>3.31436210498248</v>
      </c>
      <c r="GI117">
        <v>0.352063925708765</v>
      </c>
      <c r="GJ117">
        <v>-1</v>
      </c>
      <c r="GK117">
        <v>2.0920355</v>
      </c>
      <c r="GL117">
        <v>0.0943628571428515</v>
      </c>
      <c r="GM117">
        <v>0.00975413013804919</v>
      </c>
      <c r="GN117">
        <v>1</v>
      </c>
      <c r="GO117">
        <v>2</v>
      </c>
      <c r="GP117">
        <v>2</v>
      </c>
      <c r="GQ117" t="s">
        <v>440</v>
      </c>
      <c r="GR117">
        <v>3.13102</v>
      </c>
      <c r="GS117">
        <v>2.68613</v>
      </c>
      <c r="GT117">
        <v>0.0887775</v>
      </c>
      <c r="GU117">
        <v>0.0902671</v>
      </c>
      <c r="GV117">
        <v>0.0642517</v>
      </c>
      <c r="GW117">
        <v>0.055803</v>
      </c>
      <c r="GX117">
        <v>34548</v>
      </c>
      <c r="GY117">
        <v>37067.9</v>
      </c>
      <c r="GZ117">
        <v>34278.9</v>
      </c>
      <c r="HA117">
        <v>36867.9</v>
      </c>
      <c r="HB117">
        <v>45239.3</v>
      </c>
      <c r="HC117">
        <v>49911</v>
      </c>
      <c r="HD117">
        <v>53357.1</v>
      </c>
      <c r="HE117">
        <v>58804.7</v>
      </c>
      <c r="HF117">
        <v>2.01102</v>
      </c>
      <c r="HG117">
        <v>1.84057</v>
      </c>
      <c r="HH117">
        <v>0.0137538</v>
      </c>
      <c r="HI117">
        <v>0</v>
      </c>
      <c r="HJ117">
        <v>17.8493</v>
      </c>
      <c r="HK117">
        <v>999.9</v>
      </c>
      <c r="HL117">
        <v>27.085</v>
      </c>
      <c r="HM117">
        <v>30.524</v>
      </c>
      <c r="HN117">
        <v>13.2322</v>
      </c>
      <c r="HO117">
        <v>54.0891</v>
      </c>
      <c r="HP117">
        <v>44.403</v>
      </c>
      <c r="HQ117">
        <v>1</v>
      </c>
      <c r="HR117">
        <v>-0.29018</v>
      </c>
      <c r="HS117">
        <v>2.88788</v>
      </c>
      <c r="HT117">
        <v>20.1204</v>
      </c>
      <c r="HU117">
        <v>5.20381</v>
      </c>
      <c r="HV117">
        <v>12.004</v>
      </c>
      <c r="HW117">
        <v>4.97575</v>
      </c>
      <c r="HX117">
        <v>3.293</v>
      </c>
      <c r="HY117">
        <v>9999</v>
      </c>
      <c r="HZ117">
        <v>999.9</v>
      </c>
      <c r="IA117">
        <v>9999</v>
      </c>
      <c r="IB117">
        <v>9999</v>
      </c>
      <c r="IC117">
        <v>1.86324</v>
      </c>
      <c r="ID117">
        <v>1.86805</v>
      </c>
      <c r="IE117">
        <v>1.86783</v>
      </c>
      <c r="IF117">
        <v>1.86903</v>
      </c>
      <c r="IG117">
        <v>1.86981</v>
      </c>
      <c r="IH117">
        <v>1.86584</v>
      </c>
      <c r="II117">
        <v>1.86693</v>
      </c>
      <c r="IJ117">
        <v>1.86838</v>
      </c>
      <c r="IK117">
        <v>5</v>
      </c>
      <c r="IL117">
        <v>0</v>
      </c>
      <c r="IM117">
        <v>0</v>
      </c>
      <c r="IN117">
        <v>0</v>
      </c>
      <c r="IO117" t="s">
        <v>441</v>
      </c>
      <c r="IP117" t="s">
        <v>442</v>
      </c>
      <c r="IQ117" t="s">
        <v>443</v>
      </c>
      <c r="IR117" t="s">
        <v>443</v>
      </c>
      <c r="IS117" t="s">
        <v>443</v>
      </c>
      <c r="IT117" t="s">
        <v>443</v>
      </c>
      <c r="IU117">
        <v>0</v>
      </c>
      <c r="IV117">
        <v>100</v>
      </c>
      <c r="IW117">
        <v>100</v>
      </c>
      <c r="IX117">
        <v>2.861</v>
      </c>
      <c r="IY117">
        <v>-0.1026</v>
      </c>
      <c r="IZ117">
        <v>1.12474291219083</v>
      </c>
      <c r="JA117">
        <v>0.00463155566490582</v>
      </c>
      <c r="JB117">
        <v>-1.1358998729424e-06</v>
      </c>
      <c r="JC117">
        <v>3.28704272115545e-10</v>
      </c>
      <c r="JD117">
        <v>-0.0704455108513773</v>
      </c>
      <c r="JE117">
        <v>-0.0251928478371425</v>
      </c>
      <c r="JF117">
        <v>0.00225751704194564</v>
      </c>
      <c r="JG117">
        <v>-3.61734043746866e-05</v>
      </c>
      <c r="JH117">
        <v>1</v>
      </c>
      <c r="JI117">
        <v>2182</v>
      </c>
      <c r="JJ117">
        <v>0</v>
      </c>
      <c r="JK117">
        <v>24</v>
      </c>
      <c r="JL117">
        <v>29349848.8</v>
      </c>
      <c r="JM117">
        <v>29349848.8</v>
      </c>
      <c r="JN117">
        <v>1.00098</v>
      </c>
      <c r="JO117">
        <v>2.62329</v>
      </c>
      <c r="JP117">
        <v>1.54785</v>
      </c>
      <c r="JQ117">
        <v>2.31445</v>
      </c>
      <c r="JR117">
        <v>1.64673</v>
      </c>
      <c r="JS117">
        <v>2.33032</v>
      </c>
      <c r="JT117">
        <v>33.8961</v>
      </c>
      <c r="JU117">
        <v>24.2013</v>
      </c>
      <c r="JV117">
        <v>18</v>
      </c>
      <c r="JW117">
        <v>500.351</v>
      </c>
      <c r="JX117">
        <v>394.647</v>
      </c>
      <c r="JY117">
        <v>15.1002</v>
      </c>
      <c r="JZ117">
        <v>23.6807</v>
      </c>
      <c r="KA117">
        <v>30.0002</v>
      </c>
      <c r="KB117">
        <v>23.7376</v>
      </c>
      <c r="KC117">
        <v>23.7138</v>
      </c>
      <c r="KD117">
        <v>20.0638</v>
      </c>
      <c r="KE117">
        <v>0</v>
      </c>
      <c r="KF117">
        <v>27.1461</v>
      </c>
      <c r="KG117">
        <v>15.0332</v>
      </c>
      <c r="KH117">
        <v>420</v>
      </c>
      <c r="KI117">
        <v>10.7971</v>
      </c>
      <c r="KJ117">
        <v>97.0756</v>
      </c>
      <c r="KK117">
        <v>95.3503</v>
      </c>
    </row>
    <row r="118" spans="1:297">
      <c r="A118">
        <v>102</v>
      </c>
      <c r="B118">
        <v>1760991041</v>
      </c>
      <c r="C118">
        <v>1850.90000009537</v>
      </c>
      <c r="D118" t="s">
        <v>653</v>
      </c>
      <c r="E118" t="s">
        <v>654</v>
      </c>
      <c r="F118">
        <v>5</v>
      </c>
      <c r="G118" t="s">
        <v>435</v>
      </c>
      <c r="H118" t="s">
        <v>436</v>
      </c>
      <c r="I118">
        <v>1760991033</v>
      </c>
      <c r="J118">
        <f>(K118)/1000</f>
        <v>0</v>
      </c>
      <c r="K118">
        <f>IF(DP118, AN118, AH118)</f>
        <v>0</v>
      </c>
      <c r="L118">
        <f>IF(DP118, AI118, AG118)</f>
        <v>0</v>
      </c>
      <c r="M118">
        <f>DR118 - IF(AU118&gt;1, L118*DL118*100.0/(AW118), 0)</f>
        <v>0</v>
      </c>
      <c r="N118">
        <f>((T118-J118/2)*M118-L118)/(T118+J118/2)</f>
        <v>0</v>
      </c>
      <c r="O118">
        <f>N118*(DY118+DZ118)/1000.0</f>
        <v>0</v>
      </c>
      <c r="P118">
        <f>(DR118 - IF(AU118&gt;1, L118*DL118*100.0/(AW118), 0))*(DY118+DZ118)/1000.0</f>
        <v>0</v>
      </c>
      <c r="Q118">
        <f>2.0/((1/S118-1/R118)+SIGN(S118)*SQRT((1/S118-1/R118)*(1/S118-1/R118) + 4*DM118/((DM118+1)*(DM118+1))*(2*1/S118*1/R118-1/R118*1/R118)))</f>
        <v>0</v>
      </c>
      <c r="R118">
        <f>IF(LEFT(DN118,1)&lt;&gt;"0",IF(LEFT(DN118,1)="1",3.0,DO118),$D$5+$E$5*(EF118*DY118/($K$5*1000))+$F$5*(EF118*DY118/($K$5*1000))*MAX(MIN(DL118,$J$5),$I$5)*MAX(MIN(DL118,$J$5),$I$5)+$G$5*MAX(MIN(DL118,$J$5),$I$5)*(EF118*DY118/($K$5*1000))+$H$5*(EF118*DY118/($K$5*1000))*(EF118*DY118/($K$5*1000)))</f>
        <v>0</v>
      </c>
      <c r="S118">
        <f>J118*(1000-(1000*0.61365*exp(17.502*W118/(240.97+W118))/(DY118+DZ118)+DT118)/2)/(1000*0.61365*exp(17.502*W118/(240.97+W118))/(DY118+DZ118)-DT118)</f>
        <v>0</v>
      </c>
      <c r="T118">
        <f>1/((DM118+1)/(Q118/1.6)+1/(R118/1.37)) + DM118/((DM118+1)/(Q118/1.6) + DM118/(R118/1.37))</f>
        <v>0</v>
      </c>
      <c r="U118">
        <f>(DH118*DK118)</f>
        <v>0</v>
      </c>
      <c r="V118">
        <f>(EA118+(U118+2*0.95*5.67E-8*(((EA118+$B$7)+273)^4-(EA118+273)^4)-44100*J118)/(1.84*29.3*R118+8*0.95*5.67E-8*(EA118+273)^3))</f>
        <v>0</v>
      </c>
      <c r="W118">
        <f>($C$7*EB118+$D$7*EC118+$E$7*V118)</f>
        <v>0</v>
      </c>
      <c r="X118">
        <f>0.61365*exp(17.502*W118/(240.97+W118))</f>
        <v>0</v>
      </c>
      <c r="Y118">
        <f>(Z118/AA118*100)</f>
        <v>0</v>
      </c>
      <c r="Z118">
        <f>DT118*(DY118+DZ118)/1000</f>
        <v>0</v>
      </c>
      <c r="AA118">
        <f>0.61365*exp(17.502*EA118/(240.97+EA118))</f>
        <v>0</v>
      </c>
      <c r="AB118">
        <f>(X118-DT118*(DY118+DZ118)/1000)</f>
        <v>0</v>
      </c>
      <c r="AC118">
        <f>(-J118*44100)</f>
        <v>0</v>
      </c>
      <c r="AD118">
        <f>2*29.3*R118*0.92*(EA118-W118)</f>
        <v>0</v>
      </c>
      <c r="AE118">
        <f>2*0.95*5.67E-8*(((EA118+$B$7)+273)^4-(W118+273)^4)</f>
        <v>0</v>
      </c>
      <c r="AF118">
        <f>U118+AE118+AC118+AD118</f>
        <v>0</v>
      </c>
      <c r="AG118">
        <f>DX118*AU118*(DS118-DR118*(1000-AU118*DU118)/(1000-AU118*DT118))/(100*DL118)</f>
        <v>0</v>
      </c>
      <c r="AH118">
        <f>1000*DX118*AU118*(DT118-DU118)/(100*DL118*(1000-AU118*DT118))</f>
        <v>0</v>
      </c>
      <c r="AI118">
        <f>(AJ118 - AK118 - DY118*1E3/(8.314*(EA118+273.15)) * AM118/DX118 * AL118) * DX118/(100*DL118) * (1000 - DU118)/1000</f>
        <v>0</v>
      </c>
      <c r="AJ118">
        <v>424.312555210968</v>
      </c>
      <c r="AK118">
        <v>423.06886060606</v>
      </c>
      <c r="AL118">
        <v>0.000492108927052254</v>
      </c>
      <c r="AM118">
        <v>64.8413469339502</v>
      </c>
      <c r="AN118">
        <f>(AP118 - AO118 + DY118*1E3/(8.314*(EA118+273.15)) * AR118/DX118 * AQ118) * DX118/(100*DL118) * 1000/(1000 - AP118)</f>
        <v>0</v>
      </c>
      <c r="AO118">
        <v>10.1811688742334</v>
      </c>
      <c r="AP118">
        <v>12.3926387878788</v>
      </c>
      <c r="AQ118">
        <v>-0.000720814722801428</v>
      </c>
      <c r="AR118">
        <v>118.472689631034</v>
      </c>
      <c r="AS118">
        <v>0</v>
      </c>
      <c r="AT118">
        <v>0</v>
      </c>
      <c r="AU118">
        <f>IF(AS118*$H$13&gt;=AW118,1.0,(AW118/(AW118-AS118*$H$13)))</f>
        <v>0</v>
      </c>
      <c r="AV118">
        <f>(AU118-1)*100</f>
        <v>0</v>
      </c>
      <c r="AW118">
        <f>MAX(0,($B$13+$C$13*EF118)/(1+$D$13*EF118)*DY118/(EA118+273)*$E$13)</f>
        <v>0</v>
      </c>
      <c r="AX118" t="s">
        <v>638</v>
      </c>
      <c r="AY118">
        <v>5082.33</v>
      </c>
      <c r="AZ118">
        <v>690.032</v>
      </c>
      <c r="BA118">
        <v>1612.68</v>
      </c>
      <c r="BB118">
        <f>1-AZ118/BA118</f>
        <v>0</v>
      </c>
      <c r="BC118">
        <v>-9.7270689171713</v>
      </c>
      <c r="BD118" t="s">
        <v>655</v>
      </c>
      <c r="BE118">
        <v>5146.24</v>
      </c>
      <c r="BF118">
        <v>787.53476</v>
      </c>
      <c r="BG118">
        <v>1602.75129551409</v>
      </c>
      <c r="BH118">
        <f>1-BF118/BG118</f>
        <v>0</v>
      </c>
      <c r="BI118">
        <v>0.5</v>
      </c>
      <c r="BJ118">
        <f>DI118</f>
        <v>0</v>
      </c>
      <c r="BK118">
        <f>L118</f>
        <v>0</v>
      </c>
      <c r="BL118">
        <f>BH118*BI118*BJ118</f>
        <v>0</v>
      </c>
      <c r="BM118">
        <f>(BK118-BC118)/BJ118</f>
        <v>0</v>
      </c>
      <c r="BN118">
        <f>(BA118-BG118)/BG118</f>
        <v>0</v>
      </c>
      <c r="BO118">
        <f>AZ118/(BB118+AZ118/BG118)</f>
        <v>0</v>
      </c>
      <c r="BP118" t="s">
        <v>656</v>
      </c>
      <c r="BQ118">
        <v>739.27</v>
      </c>
      <c r="BR118">
        <f>IF(BQ118&lt;&gt;0, BQ118, BO118)</f>
        <v>0</v>
      </c>
      <c r="BS118">
        <f>1-BR118/BG118</f>
        <v>0</v>
      </c>
      <c r="BT118">
        <f>(BG118-BF118)/(BG118-BR118)</f>
        <v>0</v>
      </c>
      <c r="BU118">
        <f>(BA118-BG118)/(BA118-BR118)</f>
        <v>0</v>
      </c>
      <c r="BV118">
        <f>(BG118-BF118)/(BG118-AZ118)</f>
        <v>0</v>
      </c>
      <c r="BW118">
        <f>(BA118-BG118)/(BA118-AZ118)</f>
        <v>0</v>
      </c>
      <c r="BX118">
        <f>(BT118*BR118/BF118)</f>
        <v>0</v>
      </c>
      <c r="BY118">
        <f>(1-BX118)</f>
        <v>0</v>
      </c>
      <c r="BZ118">
        <v>280</v>
      </c>
      <c r="CA118">
        <v>290</v>
      </c>
      <c r="CB118">
        <v>1548.75</v>
      </c>
      <c r="CC118">
        <v>285</v>
      </c>
      <c r="CD118">
        <v>5146.24</v>
      </c>
      <c r="CE118">
        <v>1550.29</v>
      </c>
      <c r="CF118">
        <v>-1.54</v>
      </c>
      <c r="CG118">
        <v>300</v>
      </c>
      <c r="CH118">
        <v>23.9</v>
      </c>
      <c r="CI118">
        <v>1602.75129551409</v>
      </c>
      <c r="CJ118">
        <v>1.56444395131815</v>
      </c>
      <c r="CK118">
        <v>-26.9997160235966</v>
      </c>
      <c r="CL118">
        <v>0.698787562707174</v>
      </c>
      <c r="CM118">
        <v>0.981589737491226</v>
      </c>
      <c r="CN118">
        <v>-0.00421265428253615</v>
      </c>
      <c r="CO118">
        <v>290</v>
      </c>
      <c r="CP118">
        <v>1549.62</v>
      </c>
      <c r="CQ118">
        <v>735</v>
      </c>
      <c r="CR118">
        <v>5145.06</v>
      </c>
      <c r="CS118">
        <v>1550.27</v>
      </c>
      <c r="CT118">
        <v>-0.65</v>
      </c>
      <c r="DH118">
        <f>$B$11*EG118+$C$11*EH118+$F$11*ES118*(1-EV118)</f>
        <v>0</v>
      </c>
      <c r="DI118">
        <f>DH118*DJ118</f>
        <v>0</v>
      </c>
      <c r="DJ118">
        <f>($B$11*$D$9+$C$11*$D$9+$F$11*((FF118+EX118)/MAX(FF118+EX118+FG118, 0.1)*$I$9+FG118/MAX(FF118+EX118+FG118, 0.1)*$J$9))/($B$11+$C$11+$F$11)</f>
        <v>0</v>
      </c>
      <c r="DK118">
        <f>($B$11*$K$9+$C$11*$K$9+$F$11*((FF118+EX118)/MAX(FF118+EX118+FG118, 0.1)*$P$9+FG118/MAX(FF118+EX118+FG118, 0.1)*$Q$9))/($B$11+$C$11+$F$11)</f>
        <v>0</v>
      </c>
      <c r="DL118">
        <v>6</v>
      </c>
      <c r="DM118">
        <v>0.5</v>
      </c>
      <c r="DN118" t="s">
        <v>438</v>
      </c>
      <c r="DO118">
        <v>2</v>
      </c>
      <c r="DP118" t="b">
        <v>1</v>
      </c>
      <c r="DQ118">
        <v>1760991033</v>
      </c>
      <c r="DR118">
        <v>417.808933333333</v>
      </c>
      <c r="DS118">
        <v>420.0032</v>
      </c>
      <c r="DT118">
        <v>12.41722</v>
      </c>
      <c r="DU118">
        <v>10.2012</v>
      </c>
      <c r="DV118">
        <v>414.934266666667</v>
      </c>
      <c r="DW118">
        <v>12.5202</v>
      </c>
      <c r="DX118">
        <v>499.991666666667</v>
      </c>
      <c r="DY118">
        <v>89.8675466666667</v>
      </c>
      <c r="DZ118">
        <v>0.00791825266666667</v>
      </c>
      <c r="EA118">
        <v>19.1067733333333</v>
      </c>
      <c r="EB118">
        <v>17.9838266666667</v>
      </c>
      <c r="EC118">
        <v>999.9</v>
      </c>
      <c r="ED118">
        <v>0</v>
      </c>
      <c r="EE118">
        <v>0</v>
      </c>
      <c r="EF118">
        <v>9992.91</v>
      </c>
      <c r="EG118">
        <v>0</v>
      </c>
      <c r="EH118">
        <v>1271.74466666667</v>
      </c>
      <c r="EI118">
        <v>-2.19436533333333</v>
      </c>
      <c r="EJ118">
        <v>423.062066666667</v>
      </c>
      <c r="EK118">
        <v>424.331866666667</v>
      </c>
      <c r="EL118">
        <v>2.21602</v>
      </c>
      <c r="EM118">
        <v>420.0032</v>
      </c>
      <c r="EN118">
        <v>10.2012</v>
      </c>
      <c r="EO118">
        <v>1.115906</v>
      </c>
      <c r="EP118">
        <v>0.916756866666667</v>
      </c>
      <c r="EQ118">
        <v>8.52454933333333</v>
      </c>
      <c r="ER118">
        <v>5.65649533333333</v>
      </c>
      <c r="ES118">
        <v>50.0111133333333</v>
      </c>
      <c r="ET118">
        <v>0.899863333333334</v>
      </c>
      <c r="EU118">
        <v>0.100136706666667</v>
      </c>
      <c r="EV118">
        <v>0</v>
      </c>
      <c r="EW118">
        <v>787.485466666667</v>
      </c>
      <c r="EX118">
        <v>5.00059</v>
      </c>
      <c r="EY118">
        <v>378.950466666667</v>
      </c>
      <c r="EZ118">
        <v>382.374533333333</v>
      </c>
      <c r="FA118">
        <v>34.8622666666667</v>
      </c>
      <c r="FB118">
        <v>38.1498</v>
      </c>
      <c r="FC118">
        <v>36.4248</v>
      </c>
      <c r="FD118">
        <v>37.5164666666667</v>
      </c>
      <c r="FE118">
        <v>36.4580666666667</v>
      </c>
      <c r="FF118">
        <v>40.5026666666667</v>
      </c>
      <c r="FG118">
        <v>4.51</v>
      </c>
      <c r="FH118">
        <v>0</v>
      </c>
      <c r="FI118">
        <v>110.799999952316</v>
      </c>
      <c r="FJ118">
        <v>0</v>
      </c>
      <c r="FK118">
        <v>787.53476</v>
      </c>
      <c r="FL118">
        <v>4.49099997752637</v>
      </c>
      <c r="FM118">
        <v>-5.07084619710861</v>
      </c>
      <c r="FN118">
        <v>378.70776</v>
      </c>
      <c r="FO118">
        <v>15</v>
      </c>
      <c r="FP118">
        <v>0</v>
      </c>
      <c r="FQ118" t="s">
        <v>439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-2.2148155</v>
      </c>
      <c r="GD118">
        <v>0.350028721804511</v>
      </c>
      <c r="GE118">
        <v>0.05081872405669</v>
      </c>
      <c r="GF118">
        <v>1</v>
      </c>
      <c r="GG118">
        <v>787.143029411765</v>
      </c>
      <c r="GH118">
        <v>4.82559205194117</v>
      </c>
      <c r="GI118">
        <v>0.501207863729575</v>
      </c>
      <c r="GJ118">
        <v>-1</v>
      </c>
      <c r="GK118">
        <v>2.2183445</v>
      </c>
      <c r="GL118">
        <v>-0.0322263157894749</v>
      </c>
      <c r="GM118">
        <v>0.00358042242619504</v>
      </c>
      <c r="GN118">
        <v>1</v>
      </c>
      <c r="GO118">
        <v>2</v>
      </c>
      <c r="GP118">
        <v>2</v>
      </c>
      <c r="GQ118" t="s">
        <v>440</v>
      </c>
      <c r="GR118">
        <v>3.13092</v>
      </c>
      <c r="GS118">
        <v>2.68603</v>
      </c>
      <c r="GT118">
        <v>0.0893509</v>
      </c>
      <c r="GU118">
        <v>0.0902965</v>
      </c>
      <c r="GV118">
        <v>0.0640491</v>
      </c>
      <c r="GW118">
        <v>0.0549565</v>
      </c>
      <c r="GX118">
        <v>34528.6</v>
      </c>
      <c r="GY118">
        <v>37070.4</v>
      </c>
      <c r="GZ118">
        <v>34280.9</v>
      </c>
      <c r="HA118">
        <v>36871.5</v>
      </c>
      <c r="HB118">
        <v>45251.8</v>
      </c>
      <c r="HC118">
        <v>49960.8</v>
      </c>
      <c r="HD118">
        <v>53359.8</v>
      </c>
      <c r="HE118">
        <v>58809.7</v>
      </c>
      <c r="HF118">
        <v>2.0117</v>
      </c>
      <c r="HG118">
        <v>1.84015</v>
      </c>
      <c r="HH118">
        <v>0.00254065</v>
      </c>
      <c r="HI118">
        <v>0</v>
      </c>
      <c r="HJ118">
        <v>17.9424</v>
      </c>
      <c r="HK118">
        <v>999.9</v>
      </c>
      <c r="HL118">
        <v>27.365</v>
      </c>
      <c r="HM118">
        <v>30.534</v>
      </c>
      <c r="HN118">
        <v>13.3765</v>
      </c>
      <c r="HO118">
        <v>53.3991</v>
      </c>
      <c r="HP118">
        <v>44.4391</v>
      </c>
      <c r="HQ118">
        <v>1</v>
      </c>
      <c r="HR118">
        <v>-0.295028</v>
      </c>
      <c r="HS118">
        <v>2.45499</v>
      </c>
      <c r="HT118">
        <v>20.1292</v>
      </c>
      <c r="HU118">
        <v>5.20291</v>
      </c>
      <c r="HV118">
        <v>12.004</v>
      </c>
      <c r="HW118">
        <v>4.9758</v>
      </c>
      <c r="HX118">
        <v>3.293</v>
      </c>
      <c r="HY118">
        <v>9999</v>
      </c>
      <c r="HZ118">
        <v>999.9</v>
      </c>
      <c r="IA118">
        <v>9999</v>
      </c>
      <c r="IB118">
        <v>9999</v>
      </c>
      <c r="IC118">
        <v>1.86325</v>
      </c>
      <c r="ID118">
        <v>1.8681</v>
      </c>
      <c r="IE118">
        <v>1.86783</v>
      </c>
      <c r="IF118">
        <v>1.86905</v>
      </c>
      <c r="IG118">
        <v>1.86981</v>
      </c>
      <c r="IH118">
        <v>1.86586</v>
      </c>
      <c r="II118">
        <v>1.86695</v>
      </c>
      <c r="IJ118">
        <v>1.86843</v>
      </c>
      <c r="IK118">
        <v>5</v>
      </c>
      <c r="IL118">
        <v>0</v>
      </c>
      <c r="IM118">
        <v>0</v>
      </c>
      <c r="IN118">
        <v>0</v>
      </c>
      <c r="IO118" t="s">
        <v>441</v>
      </c>
      <c r="IP118" t="s">
        <v>442</v>
      </c>
      <c r="IQ118" t="s">
        <v>443</v>
      </c>
      <c r="IR118" t="s">
        <v>443</v>
      </c>
      <c r="IS118" t="s">
        <v>443</v>
      </c>
      <c r="IT118" t="s">
        <v>443</v>
      </c>
      <c r="IU118">
        <v>0</v>
      </c>
      <c r="IV118">
        <v>100</v>
      </c>
      <c r="IW118">
        <v>100</v>
      </c>
      <c r="IX118">
        <v>2.875</v>
      </c>
      <c r="IY118">
        <v>-0.1033</v>
      </c>
      <c r="IZ118">
        <v>1.12474291219083</v>
      </c>
      <c r="JA118">
        <v>0.00463155566490582</v>
      </c>
      <c r="JB118">
        <v>-1.1358998729424e-06</v>
      </c>
      <c r="JC118">
        <v>3.28704272115545e-10</v>
      </c>
      <c r="JD118">
        <v>-0.0704455108513773</v>
      </c>
      <c r="JE118">
        <v>-0.0251928478371425</v>
      </c>
      <c r="JF118">
        <v>0.00225751704194564</v>
      </c>
      <c r="JG118">
        <v>-3.61734043746866e-05</v>
      </c>
      <c r="JH118">
        <v>1</v>
      </c>
      <c r="JI118">
        <v>2182</v>
      </c>
      <c r="JJ118">
        <v>0</v>
      </c>
      <c r="JK118">
        <v>24</v>
      </c>
      <c r="JL118">
        <v>29349850.7</v>
      </c>
      <c r="JM118">
        <v>29349850.7</v>
      </c>
      <c r="JN118">
        <v>1.00098</v>
      </c>
      <c r="JO118">
        <v>2.61597</v>
      </c>
      <c r="JP118">
        <v>1.54785</v>
      </c>
      <c r="JQ118">
        <v>2.31445</v>
      </c>
      <c r="JR118">
        <v>1.64673</v>
      </c>
      <c r="JS118">
        <v>2.39746</v>
      </c>
      <c r="JT118">
        <v>33.8735</v>
      </c>
      <c r="JU118">
        <v>24.2188</v>
      </c>
      <c r="JV118">
        <v>18</v>
      </c>
      <c r="JW118">
        <v>500.38</v>
      </c>
      <c r="JX118">
        <v>394.115</v>
      </c>
      <c r="JY118">
        <v>15.069</v>
      </c>
      <c r="JZ118">
        <v>23.639</v>
      </c>
      <c r="KA118">
        <v>30</v>
      </c>
      <c r="KB118">
        <v>23.6956</v>
      </c>
      <c r="KC118">
        <v>23.6719</v>
      </c>
      <c r="KD118">
        <v>20.0566</v>
      </c>
      <c r="KE118">
        <v>9.94917</v>
      </c>
      <c r="KF118">
        <v>27.1461</v>
      </c>
      <c r="KG118">
        <v>15.081</v>
      </c>
      <c r="KH118">
        <v>420</v>
      </c>
      <c r="KI118">
        <v>10.1479</v>
      </c>
      <c r="KJ118">
        <v>97.0809</v>
      </c>
      <c r="KK118">
        <v>95.3588</v>
      </c>
    </row>
    <row r="119" spans="1:297">
      <c r="A119">
        <v>103</v>
      </c>
      <c r="B119">
        <v>1760991143</v>
      </c>
      <c r="C119">
        <v>1952.90000009537</v>
      </c>
      <c r="D119" t="s">
        <v>657</v>
      </c>
      <c r="E119" t="s">
        <v>658</v>
      </c>
      <c r="F119">
        <v>5</v>
      </c>
      <c r="G119" t="s">
        <v>435</v>
      </c>
      <c r="H119" t="s">
        <v>436</v>
      </c>
      <c r="I119">
        <v>1760991134.5</v>
      </c>
      <c r="J119">
        <f>(K119)/1000</f>
        <v>0</v>
      </c>
      <c r="K119">
        <f>IF(DP119, AN119, AH119)</f>
        <v>0</v>
      </c>
      <c r="L119">
        <f>IF(DP119, AI119, AG119)</f>
        <v>0</v>
      </c>
      <c r="M119">
        <f>DR119 - IF(AU119&gt;1, L119*DL119*100.0/(AW119), 0)</f>
        <v>0</v>
      </c>
      <c r="N119">
        <f>((T119-J119/2)*M119-L119)/(T119+J119/2)</f>
        <v>0</v>
      </c>
      <c r="O119">
        <f>N119*(DY119+DZ119)/1000.0</f>
        <v>0</v>
      </c>
      <c r="P119">
        <f>(DR119 - IF(AU119&gt;1, L119*DL119*100.0/(AW119), 0))*(DY119+DZ119)/1000.0</f>
        <v>0</v>
      </c>
      <c r="Q119">
        <f>2.0/((1/S119-1/R119)+SIGN(S119)*SQRT((1/S119-1/R119)*(1/S119-1/R119) + 4*DM119/((DM119+1)*(DM119+1))*(2*1/S119*1/R119-1/R119*1/R119)))</f>
        <v>0</v>
      </c>
      <c r="R119">
        <f>IF(LEFT(DN119,1)&lt;&gt;"0",IF(LEFT(DN119,1)="1",3.0,DO119),$D$5+$E$5*(EF119*DY119/($K$5*1000))+$F$5*(EF119*DY119/($K$5*1000))*MAX(MIN(DL119,$J$5),$I$5)*MAX(MIN(DL119,$J$5),$I$5)+$G$5*MAX(MIN(DL119,$J$5),$I$5)*(EF119*DY119/($K$5*1000))+$H$5*(EF119*DY119/($K$5*1000))*(EF119*DY119/($K$5*1000)))</f>
        <v>0</v>
      </c>
      <c r="S119">
        <f>J119*(1000-(1000*0.61365*exp(17.502*W119/(240.97+W119))/(DY119+DZ119)+DT119)/2)/(1000*0.61365*exp(17.502*W119/(240.97+W119))/(DY119+DZ119)-DT119)</f>
        <v>0</v>
      </c>
      <c r="T119">
        <f>1/((DM119+1)/(Q119/1.6)+1/(R119/1.37)) + DM119/((DM119+1)/(Q119/1.6) + DM119/(R119/1.37))</f>
        <v>0</v>
      </c>
      <c r="U119">
        <f>(DH119*DK119)</f>
        <v>0</v>
      </c>
      <c r="V119">
        <f>(EA119+(U119+2*0.95*5.67E-8*(((EA119+$B$7)+273)^4-(EA119+273)^4)-44100*J119)/(1.84*29.3*R119+8*0.95*5.67E-8*(EA119+273)^3))</f>
        <v>0</v>
      </c>
      <c r="W119">
        <f>($C$7*EB119+$D$7*EC119+$E$7*V119)</f>
        <v>0</v>
      </c>
      <c r="X119">
        <f>0.61365*exp(17.502*W119/(240.97+W119))</f>
        <v>0</v>
      </c>
      <c r="Y119">
        <f>(Z119/AA119*100)</f>
        <v>0</v>
      </c>
      <c r="Z119">
        <f>DT119*(DY119+DZ119)/1000</f>
        <v>0</v>
      </c>
      <c r="AA119">
        <f>0.61365*exp(17.502*EA119/(240.97+EA119))</f>
        <v>0</v>
      </c>
      <c r="AB119">
        <f>(X119-DT119*(DY119+DZ119)/1000)</f>
        <v>0</v>
      </c>
      <c r="AC119">
        <f>(-J119*44100)</f>
        <v>0</v>
      </c>
      <c r="AD119">
        <f>2*29.3*R119*0.92*(EA119-W119)</f>
        <v>0</v>
      </c>
      <c r="AE119">
        <f>2*0.95*5.67E-8*(((EA119+$B$7)+273)^4-(W119+273)^4)</f>
        <v>0</v>
      </c>
      <c r="AF119">
        <f>U119+AE119+AC119+AD119</f>
        <v>0</v>
      </c>
      <c r="AG119">
        <f>DX119*AU119*(DS119-DR119*(1000-AU119*DU119)/(1000-AU119*DT119))/(100*DL119)</f>
        <v>0</v>
      </c>
      <c r="AH119">
        <f>1000*DX119*AU119*(DT119-DU119)/(100*DL119*(1000-AU119*DT119))</f>
        <v>0</v>
      </c>
      <c r="AI119">
        <f>(AJ119 - AK119 - DY119*1E3/(8.314*(EA119+273.15)) * AM119/DX119 * AL119) * DX119/(100*DL119) * (1000 - DU119)/1000</f>
        <v>0</v>
      </c>
      <c r="AJ119">
        <v>424.327843182384</v>
      </c>
      <c r="AK119">
        <v>425.043854545455</v>
      </c>
      <c r="AL119">
        <v>0.011994128830357</v>
      </c>
      <c r="AM119">
        <v>64.8413469339502</v>
      </c>
      <c r="AN119">
        <f>(AP119 - AO119 + DY119*1E3/(8.314*(EA119+273.15)) * AR119/DX119 * AQ119) * DX119/(100*DL119) * 1000/(1000 - AP119)</f>
        <v>0</v>
      </c>
      <c r="AO119">
        <v>10.1448824777316</v>
      </c>
      <c r="AP119">
        <v>12.3268096969697</v>
      </c>
      <c r="AQ119">
        <v>-3.74117876098899e-06</v>
      </c>
      <c r="AR119">
        <v>118.472689631034</v>
      </c>
      <c r="AS119">
        <v>0</v>
      </c>
      <c r="AT119">
        <v>0</v>
      </c>
      <c r="AU119">
        <f>IF(AS119*$H$13&gt;=AW119,1.0,(AW119/(AW119-AS119*$H$13)))</f>
        <v>0</v>
      </c>
      <c r="AV119">
        <f>(AU119-1)*100</f>
        <v>0</v>
      </c>
      <c r="AW119">
        <f>MAX(0,($B$13+$C$13*EF119)/(1+$D$13*EF119)*DY119/(EA119+273)*$E$13)</f>
        <v>0</v>
      </c>
      <c r="AX119" t="s">
        <v>659</v>
      </c>
      <c r="AY119">
        <v>5140.93</v>
      </c>
      <c r="AZ119">
        <v>718.434615384615</v>
      </c>
      <c r="BA119">
        <v>1633.28263291266</v>
      </c>
      <c r="BB119">
        <f>1-AZ119/BA119</f>
        <v>0</v>
      </c>
      <c r="BC119">
        <v>-0.638083621395434</v>
      </c>
      <c r="BD119" t="s">
        <v>437</v>
      </c>
      <c r="BE119" t="s">
        <v>437</v>
      </c>
      <c r="BF119">
        <v>0</v>
      </c>
      <c r="BG119">
        <v>0</v>
      </c>
      <c r="BH119">
        <f>1-BF119/BG119</f>
        <v>0</v>
      </c>
      <c r="BI119">
        <v>0.5</v>
      </c>
      <c r="BJ119">
        <f>DI119</f>
        <v>0</v>
      </c>
      <c r="BK119">
        <f>L119</f>
        <v>0</v>
      </c>
      <c r="BL119">
        <f>BH119*BI119*BJ119</f>
        <v>0</v>
      </c>
      <c r="BM119">
        <f>(BK119-BC119)/BJ119</f>
        <v>0</v>
      </c>
      <c r="BN119">
        <f>(BA119-BG119)/BG119</f>
        <v>0</v>
      </c>
      <c r="BO119">
        <f>AZ119/(BB119+AZ119/BG119)</f>
        <v>0</v>
      </c>
      <c r="BP119" t="s">
        <v>437</v>
      </c>
      <c r="BQ119">
        <v>0</v>
      </c>
      <c r="BR119">
        <f>IF(BQ119&lt;&gt;0, BQ119, BO119)</f>
        <v>0</v>
      </c>
      <c r="BS119">
        <f>1-BR119/BG119</f>
        <v>0</v>
      </c>
      <c r="BT119">
        <f>(BG119-BF119)/(BG119-BR119)</f>
        <v>0</v>
      </c>
      <c r="BU119">
        <f>(BA119-BG119)/(BA119-BR119)</f>
        <v>0</v>
      </c>
      <c r="BV119">
        <f>(BG119-BF119)/(BG119-AZ119)</f>
        <v>0</v>
      </c>
      <c r="BW119">
        <f>(BA119-BG119)/(BA119-AZ119)</f>
        <v>0</v>
      </c>
      <c r="BX119">
        <f>(BT119*BR119/BF119)</f>
        <v>0</v>
      </c>
      <c r="BY119">
        <f>(1-BX119)</f>
        <v>0</v>
      </c>
      <c r="BZ119">
        <v>282</v>
      </c>
      <c r="CA119">
        <v>290</v>
      </c>
      <c r="CB119">
        <v>1577.74</v>
      </c>
      <c r="CC119">
        <v>295</v>
      </c>
      <c r="CD119">
        <v>5140.93</v>
      </c>
      <c r="CE119">
        <v>1578.58</v>
      </c>
      <c r="CF119">
        <v>-0.84</v>
      </c>
      <c r="CG119">
        <v>300</v>
      </c>
      <c r="CH119">
        <v>23.8</v>
      </c>
      <c r="CI119">
        <v>1633.28263291266</v>
      </c>
      <c r="CJ119">
        <v>1.49577129053257</v>
      </c>
      <c r="CK119">
        <v>-28.1203876934379</v>
      </c>
      <c r="CL119">
        <v>0.666413418688897</v>
      </c>
      <c r="CM119">
        <v>0.984518017981194</v>
      </c>
      <c r="CN119">
        <v>-0.00424727541713014</v>
      </c>
      <c r="CO119">
        <v>290</v>
      </c>
      <c r="CP119">
        <v>1576.56</v>
      </c>
      <c r="CQ119">
        <v>775</v>
      </c>
      <c r="CR119">
        <v>5139.5</v>
      </c>
      <c r="CS119">
        <v>1578.57</v>
      </c>
      <c r="CT119">
        <v>-2.01</v>
      </c>
      <c r="DH119">
        <f>$B$11*EG119+$C$11*EH119+$F$11*ES119*(1-EV119)</f>
        <v>0</v>
      </c>
      <c r="DI119">
        <f>DH119*DJ119</f>
        <v>0</v>
      </c>
      <c r="DJ119">
        <f>($B$11*$D$9+$C$11*$D$9+$F$11*((FF119+EX119)/MAX(FF119+EX119+FG119, 0.1)*$I$9+FG119/MAX(FF119+EX119+FG119, 0.1)*$J$9))/($B$11+$C$11+$F$11)</f>
        <v>0</v>
      </c>
      <c r="DK119">
        <f>($B$11*$K$9+$C$11*$K$9+$F$11*((FF119+EX119)/MAX(FF119+EX119+FG119, 0.1)*$P$9+FG119/MAX(FF119+EX119+FG119, 0.1)*$Q$9))/($B$11+$C$11+$F$11)</f>
        <v>0</v>
      </c>
      <c r="DL119">
        <v>6</v>
      </c>
      <c r="DM119">
        <v>0.5</v>
      </c>
      <c r="DN119" t="s">
        <v>438</v>
      </c>
      <c r="DO119">
        <v>2</v>
      </c>
      <c r="DP119" t="b">
        <v>1</v>
      </c>
      <c r="DQ119">
        <v>1760991134.5</v>
      </c>
      <c r="DR119">
        <v>419.7088125</v>
      </c>
      <c r="DS119">
        <v>419.9981875</v>
      </c>
      <c r="DT119">
        <v>12.32871875</v>
      </c>
      <c r="DU119">
        <v>10.1464375</v>
      </c>
      <c r="DV119">
        <v>416.827</v>
      </c>
      <c r="DW119">
        <v>12.43295</v>
      </c>
      <c r="DX119">
        <v>500.007</v>
      </c>
      <c r="DY119">
        <v>89.86148125</v>
      </c>
      <c r="DZ119">
        <v>0.00796908125</v>
      </c>
      <c r="EA119">
        <v>19.0882625</v>
      </c>
      <c r="EB119">
        <v>17.97935</v>
      </c>
      <c r="EC119">
        <v>999.9</v>
      </c>
      <c r="ED119">
        <v>0</v>
      </c>
      <c r="EE119">
        <v>0</v>
      </c>
      <c r="EF119">
        <v>10001.48125</v>
      </c>
      <c r="EG119">
        <v>0</v>
      </c>
      <c r="EH119">
        <v>1271.7825</v>
      </c>
      <c r="EI119">
        <v>-0.289482125</v>
      </c>
      <c r="EJ119">
        <v>424.9478125</v>
      </c>
      <c r="EK119">
        <v>424.3035</v>
      </c>
      <c r="EL119">
        <v>2.18229125</v>
      </c>
      <c r="EM119">
        <v>419.9981875</v>
      </c>
      <c r="EN119">
        <v>10.1464375</v>
      </c>
      <c r="EO119">
        <v>1.107878125</v>
      </c>
      <c r="EP119">
        <v>0.911773375</v>
      </c>
      <c r="EQ119">
        <v>8.418038125</v>
      </c>
      <c r="ER119">
        <v>5.57792</v>
      </c>
      <c r="ES119">
        <v>0.00500059</v>
      </c>
      <c r="ET119">
        <v>0</v>
      </c>
      <c r="EU119">
        <v>0</v>
      </c>
      <c r="EV119">
        <v>0</v>
      </c>
      <c r="EW119">
        <v>717.64375</v>
      </c>
      <c r="EX119">
        <v>0.00500059</v>
      </c>
      <c r="EY119">
        <v>23.39375</v>
      </c>
      <c r="EZ119">
        <v>-0.8375</v>
      </c>
      <c r="FA119">
        <v>34.92925</v>
      </c>
      <c r="FB119">
        <v>39.870875</v>
      </c>
      <c r="FC119">
        <v>37.050375</v>
      </c>
      <c r="FD119">
        <v>39.3825625</v>
      </c>
      <c r="FE119">
        <v>36.8120625</v>
      </c>
      <c r="FF119">
        <v>0</v>
      </c>
      <c r="FG119">
        <v>0</v>
      </c>
      <c r="FH119">
        <v>0</v>
      </c>
      <c r="FI119">
        <v>98.5</v>
      </c>
      <c r="FJ119">
        <v>0</v>
      </c>
      <c r="FK119">
        <v>718.434615384615</v>
      </c>
      <c r="FL119">
        <v>-12.9059828084238</v>
      </c>
      <c r="FM119">
        <v>5.90769223567036</v>
      </c>
      <c r="FN119">
        <v>23.5230769230769</v>
      </c>
      <c r="FO119">
        <v>15</v>
      </c>
      <c r="FP119">
        <v>0</v>
      </c>
      <c r="FQ119" t="s">
        <v>439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-0.3178681</v>
      </c>
      <c r="GD119">
        <v>0.491730947368421</v>
      </c>
      <c r="GE119">
        <v>0.0552890923979586</v>
      </c>
      <c r="GF119">
        <v>1</v>
      </c>
      <c r="GG119">
        <v>718.488235294118</v>
      </c>
      <c r="GH119">
        <v>-12.8067226802623</v>
      </c>
      <c r="GI119">
        <v>5.76157477992229</v>
      </c>
      <c r="GJ119">
        <v>-1</v>
      </c>
      <c r="GK119">
        <v>2.1819585</v>
      </c>
      <c r="GL119">
        <v>0.00486451127819592</v>
      </c>
      <c r="GM119">
        <v>0.000932519570840213</v>
      </c>
      <c r="GN119">
        <v>1</v>
      </c>
      <c r="GO119">
        <v>2</v>
      </c>
      <c r="GP119">
        <v>2</v>
      </c>
      <c r="GQ119" t="s">
        <v>440</v>
      </c>
      <c r="GR119">
        <v>3.13096</v>
      </c>
      <c r="GS119">
        <v>2.68582</v>
      </c>
      <c r="GT119">
        <v>0.0896672</v>
      </c>
      <c r="GU119">
        <v>0.0902812</v>
      </c>
      <c r="GV119">
        <v>0.0637955</v>
      </c>
      <c r="GW119">
        <v>0.054807</v>
      </c>
      <c r="GX119">
        <v>34518.1</v>
      </c>
      <c r="GY119">
        <v>37072.8</v>
      </c>
      <c r="GZ119">
        <v>34282.3</v>
      </c>
      <c r="HA119">
        <v>36873</v>
      </c>
      <c r="HB119">
        <v>45265.6</v>
      </c>
      <c r="HC119">
        <v>49970.8</v>
      </c>
      <c r="HD119">
        <v>53361.3</v>
      </c>
      <c r="HE119">
        <v>58812</v>
      </c>
      <c r="HF119">
        <v>2.01207</v>
      </c>
      <c r="HG119">
        <v>1.84022</v>
      </c>
      <c r="HH119">
        <v>-0.000961125</v>
      </c>
      <c r="HI119">
        <v>0</v>
      </c>
      <c r="HJ119">
        <v>18.0084</v>
      </c>
      <c r="HK119">
        <v>999.9</v>
      </c>
      <c r="HL119">
        <v>27.365</v>
      </c>
      <c r="HM119">
        <v>30.555</v>
      </c>
      <c r="HN119">
        <v>13.3932</v>
      </c>
      <c r="HO119">
        <v>53.909</v>
      </c>
      <c r="HP119">
        <v>44.399</v>
      </c>
      <c r="HQ119">
        <v>1</v>
      </c>
      <c r="HR119">
        <v>-0.297299</v>
      </c>
      <c r="HS119">
        <v>2.2626</v>
      </c>
      <c r="HT119">
        <v>20.1347</v>
      </c>
      <c r="HU119">
        <v>5.20261</v>
      </c>
      <c r="HV119">
        <v>12.004</v>
      </c>
      <c r="HW119">
        <v>4.97565</v>
      </c>
      <c r="HX119">
        <v>3.293</v>
      </c>
      <c r="HY119">
        <v>9999</v>
      </c>
      <c r="HZ119">
        <v>999.9</v>
      </c>
      <c r="IA119">
        <v>9999</v>
      </c>
      <c r="IB119">
        <v>9999</v>
      </c>
      <c r="IC119">
        <v>1.86325</v>
      </c>
      <c r="ID119">
        <v>1.86807</v>
      </c>
      <c r="IE119">
        <v>1.86783</v>
      </c>
      <c r="IF119">
        <v>1.86905</v>
      </c>
      <c r="IG119">
        <v>1.86981</v>
      </c>
      <c r="IH119">
        <v>1.86586</v>
      </c>
      <c r="II119">
        <v>1.86693</v>
      </c>
      <c r="IJ119">
        <v>1.86836</v>
      </c>
      <c r="IK119">
        <v>5</v>
      </c>
      <c r="IL119">
        <v>0</v>
      </c>
      <c r="IM119">
        <v>0</v>
      </c>
      <c r="IN119">
        <v>0</v>
      </c>
      <c r="IO119" t="s">
        <v>441</v>
      </c>
      <c r="IP119" t="s">
        <v>442</v>
      </c>
      <c r="IQ119" t="s">
        <v>443</v>
      </c>
      <c r="IR119" t="s">
        <v>443</v>
      </c>
      <c r="IS119" t="s">
        <v>443</v>
      </c>
      <c r="IT119" t="s">
        <v>443</v>
      </c>
      <c r="IU119">
        <v>0</v>
      </c>
      <c r="IV119">
        <v>100</v>
      </c>
      <c r="IW119">
        <v>100</v>
      </c>
      <c r="IX119">
        <v>2.882</v>
      </c>
      <c r="IY119">
        <v>-0.1043</v>
      </c>
      <c r="IZ119">
        <v>1.12474291219083</v>
      </c>
      <c r="JA119">
        <v>0.00463155566490582</v>
      </c>
      <c r="JB119">
        <v>-1.1358998729424e-06</v>
      </c>
      <c r="JC119">
        <v>3.28704272115545e-10</v>
      </c>
      <c r="JD119">
        <v>-0.0704455108513773</v>
      </c>
      <c r="JE119">
        <v>-0.0251928478371425</v>
      </c>
      <c r="JF119">
        <v>0.00225751704194564</v>
      </c>
      <c r="JG119">
        <v>-3.61734043746866e-05</v>
      </c>
      <c r="JH119">
        <v>1</v>
      </c>
      <c r="JI119">
        <v>2182</v>
      </c>
      <c r="JJ119">
        <v>0</v>
      </c>
      <c r="JK119">
        <v>24</v>
      </c>
      <c r="JL119">
        <v>29349852.4</v>
      </c>
      <c r="JM119">
        <v>29349852.4</v>
      </c>
      <c r="JN119">
        <v>1.00098</v>
      </c>
      <c r="JO119">
        <v>2.61841</v>
      </c>
      <c r="JP119">
        <v>1.54785</v>
      </c>
      <c r="JQ119">
        <v>2.31445</v>
      </c>
      <c r="JR119">
        <v>1.64673</v>
      </c>
      <c r="JS119">
        <v>2.40112</v>
      </c>
      <c r="JT119">
        <v>33.8961</v>
      </c>
      <c r="JU119">
        <v>24.2188</v>
      </c>
      <c r="JV119">
        <v>18</v>
      </c>
      <c r="JW119">
        <v>500.347</v>
      </c>
      <c r="JX119">
        <v>393.943</v>
      </c>
      <c r="JY119">
        <v>15.3675</v>
      </c>
      <c r="JZ119">
        <v>23.6134</v>
      </c>
      <c r="KA119">
        <v>30.0001</v>
      </c>
      <c r="KB119">
        <v>23.6673</v>
      </c>
      <c r="KC119">
        <v>23.6432</v>
      </c>
      <c r="KD119">
        <v>20.0591</v>
      </c>
      <c r="KE119">
        <v>9.94917</v>
      </c>
      <c r="KF119">
        <v>27.1461</v>
      </c>
      <c r="KG119">
        <v>15.3754</v>
      </c>
      <c r="KH119">
        <v>420</v>
      </c>
      <c r="KI119">
        <v>10.1525</v>
      </c>
      <c r="KJ119">
        <v>97.084</v>
      </c>
      <c r="KK119">
        <v>95.3627</v>
      </c>
    </row>
    <row r="120" spans="1:297">
      <c r="A120">
        <v>104</v>
      </c>
      <c r="B120">
        <v>1760991767</v>
      </c>
      <c r="C120">
        <v>2576.90000009537</v>
      </c>
      <c r="D120" t="s">
        <v>660</v>
      </c>
      <c r="E120" t="s">
        <v>661</v>
      </c>
      <c r="F120">
        <v>5</v>
      </c>
      <c r="G120" t="s">
        <v>662</v>
      </c>
      <c r="H120" t="s">
        <v>436</v>
      </c>
      <c r="I120">
        <v>1760991758.5</v>
      </c>
      <c r="J120">
        <f>(K120)/1000</f>
        <v>0</v>
      </c>
      <c r="K120">
        <f>IF(DP120, AN120, AH120)</f>
        <v>0</v>
      </c>
      <c r="L120">
        <f>IF(DP120, AI120, AG120)</f>
        <v>0</v>
      </c>
      <c r="M120">
        <f>DR120 - IF(AU120&gt;1, L120*DL120*100.0/(AW120), 0)</f>
        <v>0</v>
      </c>
      <c r="N120">
        <f>((T120-J120/2)*M120-L120)/(T120+J120/2)</f>
        <v>0</v>
      </c>
      <c r="O120">
        <f>N120*(DY120+DZ120)/1000.0</f>
        <v>0</v>
      </c>
      <c r="P120">
        <f>(DR120 - IF(AU120&gt;1, L120*DL120*100.0/(AW120), 0))*(DY120+DZ120)/1000.0</f>
        <v>0</v>
      </c>
      <c r="Q120">
        <f>2.0/((1/S120-1/R120)+SIGN(S120)*SQRT((1/S120-1/R120)*(1/S120-1/R120) + 4*DM120/((DM120+1)*(DM120+1))*(2*1/S120*1/R120-1/R120*1/R120)))</f>
        <v>0</v>
      </c>
      <c r="R120">
        <f>IF(LEFT(DN120,1)&lt;&gt;"0",IF(LEFT(DN120,1)="1",3.0,DO120),$D$5+$E$5*(EF120*DY120/($K$5*1000))+$F$5*(EF120*DY120/($K$5*1000))*MAX(MIN(DL120,$J$5),$I$5)*MAX(MIN(DL120,$J$5),$I$5)+$G$5*MAX(MIN(DL120,$J$5),$I$5)*(EF120*DY120/($K$5*1000))+$H$5*(EF120*DY120/($K$5*1000))*(EF120*DY120/($K$5*1000)))</f>
        <v>0</v>
      </c>
      <c r="S120">
        <f>J120*(1000-(1000*0.61365*exp(17.502*W120/(240.97+W120))/(DY120+DZ120)+DT120)/2)/(1000*0.61365*exp(17.502*W120/(240.97+W120))/(DY120+DZ120)-DT120)</f>
        <v>0</v>
      </c>
      <c r="T120">
        <f>1/((DM120+1)/(Q120/1.6)+1/(R120/1.37)) + DM120/((DM120+1)/(Q120/1.6) + DM120/(R120/1.37))</f>
        <v>0</v>
      </c>
      <c r="U120">
        <f>(DH120*DK120)</f>
        <v>0</v>
      </c>
      <c r="V120">
        <f>(EA120+(U120+2*0.95*5.67E-8*(((EA120+$B$7)+273)^4-(EA120+273)^4)-44100*J120)/(1.84*29.3*R120+8*0.95*5.67E-8*(EA120+273)^3))</f>
        <v>0</v>
      </c>
      <c r="W120">
        <f>($C$7*EB120+$D$7*EC120+$E$7*V120)</f>
        <v>0</v>
      </c>
      <c r="X120">
        <f>0.61365*exp(17.502*W120/(240.97+W120))</f>
        <v>0</v>
      </c>
      <c r="Y120">
        <f>(Z120/AA120*100)</f>
        <v>0</v>
      </c>
      <c r="Z120">
        <f>DT120*(DY120+DZ120)/1000</f>
        <v>0</v>
      </c>
      <c r="AA120">
        <f>0.61365*exp(17.502*EA120/(240.97+EA120))</f>
        <v>0</v>
      </c>
      <c r="AB120">
        <f>(X120-DT120*(DY120+DZ120)/1000)</f>
        <v>0</v>
      </c>
      <c r="AC120">
        <f>(-J120*44100)</f>
        <v>0</v>
      </c>
      <c r="AD120">
        <f>2*29.3*R120*0.92*(EA120-W120)</f>
        <v>0</v>
      </c>
      <c r="AE120">
        <f>2*0.95*5.67E-8*(((EA120+$B$7)+273)^4-(W120+273)^4)</f>
        <v>0</v>
      </c>
      <c r="AF120">
        <f>U120+AE120+AC120+AD120</f>
        <v>0</v>
      </c>
      <c r="AG120">
        <f>DX120*AU120*(DS120-DR120*(1000-AU120*DU120)/(1000-AU120*DT120))/(100*DL120)</f>
        <v>0</v>
      </c>
      <c r="AH120">
        <f>1000*DX120*AU120*(DT120-DU120)/(100*DL120*(1000-AU120*DT120))</f>
        <v>0</v>
      </c>
      <c r="AI120">
        <f>(AJ120 - AK120 - DY120*1E3/(8.314*(EA120+273.15)) * AM120/DX120 * AL120) * DX120/(100*DL120) * (1000 - DU120)/1000</f>
        <v>0</v>
      </c>
      <c r="AJ120">
        <v>424.183480129459</v>
      </c>
      <c r="AK120">
        <v>407.567533333333</v>
      </c>
      <c r="AL120">
        <v>0.000362958441506685</v>
      </c>
      <c r="AM120">
        <v>65.2210784119795</v>
      </c>
      <c r="AN120">
        <f>(AP120 - AO120 + DY120*1E3/(8.314*(EA120+273.15)) * AR120/DX120 * AQ120) * DX120/(100*DL120) * 1000/(1000 - AP120)</f>
        <v>0</v>
      </c>
      <c r="AO120">
        <v>9.76685361784438</v>
      </c>
      <c r="AP120">
        <v>11.8249121212121</v>
      </c>
      <c r="AQ120">
        <v>2.01303133648054e-05</v>
      </c>
      <c r="AR120">
        <v>115.574510355221</v>
      </c>
      <c r="AS120">
        <v>0</v>
      </c>
      <c r="AT120">
        <v>0</v>
      </c>
      <c r="AU120">
        <f>IF(AS120*$H$13&gt;=AW120,1.0,(AW120/(AW120-AS120*$H$13)))</f>
        <v>0</v>
      </c>
      <c r="AV120">
        <f>(AU120-1)*100</f>
        <v>0</v>
      </c>
      <c r="AW120">
        <f>MAX(0,($B$13+$C$13*EF120)/(1+$D$13*EF120)*DY120/(EA120+273)*$E$13)</f>
        <v>0</v>
      </c>
      <c r="AX120" t="s">
        <v>437</v>
      </c>
      <c r="AY120" t="s">
        <v>437</v>
      </c>
      <c r="AZ120">
        <v>0</v>
      </c>
      <c r="BA120">
        <v>0</v>
      </c>
      <c r="BB120">
        <f>1-AZ120/BA120</f>
        <v>0</v>
      </c>
      <c r="BC120">
        <v>0</v>
      </c>
      <c r="BD120" t="s">
        <v>437</v>
      </c>
      <c r="BE120" t="s">
        <v>437</v>
      </c>
      <c r="BF120">
        <v>0</v>
      </c>
      <c r="BG120">
        <v>0</v>
      </c>
      <c r="BH120">
        <f>1-BF120/BG120</f>
        <v>0</v>
      </c>
      <c r="BI120">
        <v>0.5</v>
      </c>
      <c r="BJ120">
        <f>DI120</f>
        <v>0</v>
      </c>
      <c r="BK120">
        <f>L120</f>
        <v>0</v>
      </c>
      <c r="BL120">
        <f>BH120*BI120*BJ120</f>
        <v>0</v>
      </c>
      <c r="BM120">
        <f>(BK120-BC120)/BJ120</f>
        <v>0</v>
      </c>
      <c r="BN120">
        <f>(BA120-BG120)/BG120</f>
        <v>0</v>
      </c>
      <c r="BO120">
        <f>AZ120/(BB120+AZ120/BG120)</f>
        <v>0</v>
      </c>
      <c r="BP120" t="s">
        <v>437</v>
      </c>
      <c r="BQ120">
        <v>0</v>
      </c>
      <c r="BR120">
        <f>IF(BQ120&lt;&gt;0, BQ120, BO120)</f>
        <v>0</v>
      </c>
      <c r="BS120">
        <f>1-BR120/BG120</f>
        <v>0</v>
      </c>
      <c r="BT120">
        <f>(BG120-BF120)/(BG120-BR120)</f>
        <v>0</v>
      </c>
      <c r="BU120">
        <f>(BA120-BG120)/(BA120-BR120)</f>
        <v>0</v>
      </c>
      <c r="BV120">
        <f>(BG120-BF120)/(BG120-AZ120)</f>
        <v>0</v>
      </c>
      <c r="BW120">
        <f>(BA120-BG120)/(BA120-AZ120)</f>
        <v>0</v>
      </c>
      <c r="BX120">
        <f>(BT120*BR120/BF120)</f>
        <v>0</v>
      </c>
      <c r="BY120">
        <f>(1-BX120)</f>
        <v>0</v>
      </c>
      <c r="BZ120">
        <v>282</v>
      </c>
      <c r="CA120">
        <v>290</v>
      </c>
      <c r="CB120">
        <v>1577.74</v>
      </c>
      <c r="CC120">
        <v>295</v>
      </c>
      <c r="CD120">
        <v>5140.93</v>
      </c>
      <c r="CE120">
        <v>1578.58</v>
      </c>
      <c r="CF120">
        <v>-0.84</v>
      </c>
      <c r="CG120">
        <v>300</v>
      </c>
      <c r="CH120">
        <v>23.8</v>
      </c>
      <c r="CI120">
        <v>1633.28263291266</v>
      </c>
      <c r="CJ120">
        <v>1.49577129053257</v>
      </c>
      <c r="CK120">
        <v>-28.1203876934379</v>
      </c>
      <c r="CL120">
        <v>0.666413418688897</v>
      </c>
      <c r="CM120">
        <v>0.984518017981194</v>
      </c>
      <c r="CN120">
        <v>-0.00424727541713014</v>
      </c>
      <c r="CO120">
        <v>290</v>
      </c>
      <c r="CP120">
        <v>1576.56</v>
      </c>
      <c r="CQ120">
        <v>775</v>
      </c>
      <c r="CR120">
        <v>5139.5</v>
      </c>
      <c r="CS120">
        <v>1578.57</v>
      </c>
      <c r="CT120">
        <v>-2.01</v>
      </c>
      <c r="DH120">
        <f>$B$11*EG120+$C$11*EH120+$F$11*ES120*(1-EV120)</f>
        <v>0</v>
      </c>
      <c r="DI120">
        <f>DH120*DJ120</f>
        <v>0</v>
      </c>
      <c r="DJ120">
        <f>($B$11*$D$9+$C$11*$D$9+$F$11*((FF120+EX120)/MAX(FF120+EX120+FG120, 0.1)*$I$9+FG120/MAX(FF120+EX120+FG120, 0.1)*$J$9))/($B$11+$C$11+$F$11)</f>
        <v>0</v>
      </c>
      <c r="DK120">
        <f>($B$11*$K$9+$C$11*$K$9+$F$11*((FF120+EX120)/MAX(FF120+EX120+FG120, 0.1)*$P$9+FG120/MAX(FF120+EX120+FG120, 0.1)*$Q$9))/($B$11+$C$11+$F$11)</f>
        <v>0</v>
      </c>
      <c r="DL120">
        <v>6</v>
      </c>
      <c r="DM120">
        <v>0.5</v>
      </c>
      <c r="DN120" t="s">
        <v>438</v>
      </c>
      <c r="DO120">
        <v>2</v>
      </c>
      <c r="DP120" t="b">
        <v>1</v>
      </c>
      <c r="DQ120">
        <v>1760991758.5</v>
      </c>
      <c r="DR120">
        <v>402.7373125</v>
      </c>
      <c r="DS120">
        <v>420.007875</v>
      </c>
      <c r="DT120">
        <v>11.8256125</v>
      </c>
      <c r="DU120">
        <v>9.753386875</v>
      </c>
      <c r="DV120">
        <v>399.92075</v>
      </c>
      <c r="DW120">
        <v>11.936625</v>
      </c>
      <c r="DX120">
        <v>499.959625</v>
      </c>
      <c r="DY120">
        <v>89.83624375</v>
      </c>
      <c r="DZ120">
        <v>0.009419493125</v>
      </c>
      <c r="EA120">
        <v>18.45270625</v>
      </c>
      <c r="EB120">
        <v>18.01989375</v>
      </c>
      <c r="EC120">
        <v>999.9</v>
      </c>
      <c r="ED120">
        <v>0</v>
      </c>
      <c r="EE120">
        <v>0</v>
      </c>
      <c r="EF120">
        <v>9971.488125</v>
      </c>
      <c r="EG120">
        <v>0</v>
      </c>
      <c r="EH120">
        <v>1278.953125</v>
      </c>
      <c r="EI120">
        <v>-17.2706875</v>
      </c>
      <c r="EJ120">
        <v>407.5568125</v>
      </c>
      <c r="EK120">
        <v>424.14475</v>
      </c>
      <c r="EL120">
        <v>2.0722275</v>
      </c>
      <c r="EM120">
        <v>420.007875</v>
      </c>
      <c r="EN120">
        <v>9.753386875</v>
      </c>
      <c r="EO120">
        <v>1.062369375</v>
      </c>
      <c r="EP120">
        <v>0.87620725</v>
      </c>
      <c r="EQ120">
        <v>7.8010125</v>
      </c>
      <c r="ER120">
        <v>5.00577375</v>
      </c>
      <c r="ES120">
        <v>1199.999375</v>
      </c>
      <c r="ET120">
        <v>0.9669975625</v>
      </c>
      <c r="EU120">
        <v>0.03300240625</v>
      </c>
      <c r="EV120">
        <v>0</v>
      </c>
      <c r="EW120">
        <v>1330.156875</v>
      </c>
      <c r="EX120">
        <v>5.00059</v>
      </c>
      <c r="EY120">
        <v>15675.59375</v>
      </c>
      <c r="EZ120">
        <v>10358.675</v>
      </c>
      <c r="FA120">
        <v>37.49575</v>
      </c>
      <c r="FB120">
        <v>39.1599375</v>
      </c>
      <c r="FC120">
        <v>37.9099375</v>
      </c>
      <c r="FD120">
        <v>38.5583125</v>
      </c>
      <c r="FE120">
        <v>38.3629375</v>
      </c>
      <c r="FF120">
        <v>1155.559375</v>
      </c>
      <c r="FG120">
        <v>39.44</v>
      </c>
      <c r="FH120">
        <v>0</v>
      </c>
      <c r="FI120">
        <v>623</v>
      </c>
      <c r="FJ120">
        <v>0</v>
      </c>
      <c r="FK120">
        <v>1329.87076923077</v>
      </c>
      <c r="FL120">
        <v>-14.0348717919866</v>
      </c>
      <c r="FM120">
        <v>-181.603418765734</v>
      </c>
      <c r="FN120">
        <v>15672.2192307692</v>
      </c>
      <c r="FO120">
        <v>15</v>
      </c>
      <c r="FP120">
        <v>0</v>
      </c>
      <c r="FQ120" t="s">
        <v>439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-17.265815</v>
      </c>
      <c r="GD120">
        <v>-0.138554887218037</v>
      </c>
      <c r="GE120">
        <v>0.0441251206797217</v>
      </c>
      <c r="GF120">
        <v>1</v>
      </c>
      <c r="GG120">
        <v>1330.85147058824</v>
      </c>
      <c r="GH120">
        <v>-14.330175704795</v>
      </c>
      <c r="GI120">
        <v>1.4252350319136</v>
      </c>
      <c r="GJ120">
        <v>-1</v>
      </c>
      <c r="GK120">
        <v>2.0753375</v>
      </c>
      <c r="GL120">
        <v>-0.0869562406015051</v>
      </c>
      <c r="GM120">
        <v>0.00996924965832429</v>
      </c>
      <c r="GN120">
        <v>1</v>
      </c>
      <c r="GO120">
        <v>2</v>
      </c>
      <c r="GP120">
        <v>2</v>
      </c>
      <c r="GQ120" t="s">
        <v>440</v>
      </c>
      <c r="GR120">
        <v>3.1306</v>
      </c>
      <c r="GS120">
        <v>2.68777</v>
      </c>
      <c r="GT120">
        <v>0.0867695</v>
      </c>
      <c r="GU120">
        <v>0.0902048</v>
      </c>
      <c r="GV120">
        <v>0.0617355</v>
      </c>
      <c r="GW120">
        <v>0.0531507</v>
      </c>
      <c r="GX120">
        <v>34608.3</v>
      </c>
      <c r="GY120">
        <v>37050</v>
      </c>
      <c r="GZ120">
        <v>34264.7</v>
      </c>
      <c r="HA120">
        <v>36849.2</v>
      </c>
      <c r="HB120">
        <v>45347.6</v>
      </c>
      <c r="HC120">
        <v>50029.5</v>
      </c>
      <c r="HD120">
        <v>53338.2</v>
      </c>
      <c r="HE120">
        <v>58777.5</v>
      </c>
      <c r="HF120">
        <v>2.00763</v>
      </c>
      <c r="HG120">
        <v>1.83573</v>
      </c>
      <c r="HH120">
        <v>0.00936911</v>
      </c>
      <c r="HI120">
        <v>0</v>
      </c>
      <c r="HJ120">
        <v>17.8644</v>
      </c>
      <c r="HK120">
        <v>999.9</v>
      </c>
      <c r="HL120">
        <v>27.31</v>
      </c>
      <c r="HM120">
        <v>30.504</v>
      </c>
      <c r="HN120">
        <v>13.3316</v>
      </c>
      <c r="HO120">
        <v>55.2591</v>
      </c>
      <c r="HP120">
        <v>44.5913</v>
      </c>
      <c r="HQ120">
        <v>1</v>
      </c>
      <c r="HR120">
        <v>-0.264426</v>
      </c>
      <c r="HS120">
        <v>4.84188</v>
      </c>
      <c r="HT120">
        <v>20.0695</v>
      </c>
      <c r="HU120">
        <v>5.20306</v>
      </c>
      <c r="HV120">
        <v>12.0043</v>
      </c>
      <c r="HW120">
        <v>4.9757</v>
      </c>
      <c r="HX120">
        <v>3.29303</v>
      </c>
      <c r="HY120">
        <v>9999</v>
      </c>
      <c r="HZ120">
        <v>999.9</v>
      </c>
      <c r="IA120">
        <v>9999</v>
      </c>
      <c r="IB120">
        <v>9999</v>
      </c>
      <c r="IC120">
        <v>1.86325</v>
      </c>
      <c r="ID120">
        <v>1.86805</v>
      </c>
      <c r="IE120">
        <v>1.86783</v>
      </c>
      <c r="IF120">
        <v>1.86905</v>
      </c>
      <c r="IG120">
        <v>1.86981</v>
      </c>
      <c r="IH120">
        <v>1.86584</v>
      </c>
      <c r="II120">
        <v>1.86693</v>
      </c>
      <c r="IJ120">
        <v>1.86837</v>
      </c>
      <c r="IK120">
        <v>5</v>
      </c>
      <c r="IL120">
        <v>0</v>
      </c>
      <c r="IM120">
        <v>0</v>
      </c>
      <c r="IN120">
        <v>0</v>
      </c>
      <c r="IO120" t="s">
        <v>441</v>
      </c>
      <c r="IP120" t="s">
        <v>442</v>
      </c>
      <c r="IQ120" t="s">
        <v>443</v>
      </c>
      <c r="IR120" t="s">
        <v>443</v>
      </c>
      <c r="IS120" t="s">
        <v>443</v>
      </c>
      <c r="IT120" t="s">
        <v>443</v>
      </c>
      <c r="IU120">
        <v>0</v>
      </c>
      <c r="IV120">
        <v>100</v>
      </c>
      <c r="IW120">
        <v>100</v>
      </c>
      <c r="IX120">
        <v>2.816</v>
      </c>
      <c r="IY120">
        <v>-0.1111</v>
      </c>
      <c r="IZ120">
        <v>1.12474291219083</v>
      </c>
      <c r="JA120">
        <v>0.00463155566490582</v>
      </c>
      <c r="JB120">
        <v>-1.1358998729424e-06</v>
      </c>
      <c r="JC120">
        <v>3.28704272115545e-10</v>
      </c>
      <c r="JD120">
        <v>-0.0704455108513773</v>
      </c>
      <c r="JE120">
        <v>-0.0251928478371425</v>
      </c>
      <c r="JF120">
        <v>0.00225751704194564</v>
      </c>
      <c r="JG120">
        <v>-3.61734043746866e-05</v>
      </c>
      <c r="JH120">
        <v>1</v>
      </c>
      <c r="JI120">
        <v>2182</v>
      </c>
      <c r="JJ120">
        <v>0</v>
      </c>
      <c r="JK120">
        <v>24</v>
      </c>
      <c r="JL120">
        <v>29349862.8</v>
      </c>
      <c r="JM120">
        <v>29349862.8</v>
      </c>
      <c r="JN120">
        <v>1.00098</v>
      </c>
      <c r="JO120">
        <v>2.62085</v>
      </c>
      <c r="JP120">
        <v>1.54785</v>
      </c>
      <c r="JQ120">
        <v>2.31323</v>
      </c>
      <c r="JR120">
        <v>1.64673</v>
      </c>
      <c r="JS120">
        <v>2.3938</v>
      </c>
      <c r="JT120">
        <v>33.7381</v>
      </c>
      <c r="JU120">
        <v>24.1838</v>
      </c>
      <c r="JV120">
        <v>18</v>
      </c>
      <c r="JW120">
        <v>499.753</v>
      </c>
      <c r="JX120">
        <v>393.211</v>
      </c>
      <c r="JY120">
        <v>11.5411</v>
      </c>
      <c r="JZ120">
        <v>23.9433</v>
      </c>
      <c r="KA120">
        <v>30.0002</v>
      </c>
      <c r="KB120">
        <v>23.9023</v>
      </c>
      <c r="KC120">
        <v>23.8656</v>
      </c>
      <c r="KD120">
        <v>20.0677</v>
      </c>
      <c r="KE120">
        <v>12.9733</v>
      </c>
      <c r="KF120">
        <v>27.2762</v>
      </c>
      <c r="KG120">
        <v>11.5194</v>
      </c>
      <c r="KH120">
        <v>413.221</v>
      </c>
      <c r="KI120">
        <v>9.80369</v>
      </c>
      <c r="KJ120">
        <v>97.039</v>
      </c>
      <c r="KK120">
        <v>95.3045</v>
      </c>
    </row>
    <row r="121" spans="1:297">
      <c r="A121">
        <v>105</v>
      </c>
      <c r="B121">
        <v>1760991772</v>
      </c>
      <c r="C121">
        <v>2581.90000009537</v>
      </c>
      <c r="D121" t="s">
        <v>663</v>
      </c>
      <c r="E121" t="s">
        <v>664</v>
      </c>
      <c r="F121">
        <v>5</v>
      </c>
      <c r="G121" t="s">
        <v>662</v>
      </c>
      <c r="H121" t="s">
        <v>436</v>
      </c>
      <c r="I121">
        <v>1760991763.26667</v>
      </c>
      <c r="J121">
        <f>(K121)/1000</f>
        <v>0</v>
      </c>
      <c r="K121">
        <f>IF(DP121, AN121, AH121)</f>
        <v>0</v>
      </c>
      <c r="L121">
        <f>IF(DP121, AI121, AG121)</f>
        <v>0</v>
      </c>
      <c r="M121">
        <f>DR121 - IF(AU121&gt;1, L121*DL121*100.0/(AW121), 0)</f>
        <v>0</v>
      </c>
      <c r="N121">
        <f>((T121-J121/2)*M121-L121)/(T121+J121/2)</f>
        <v>0</v>
      </c>
      <c r="O121">
        <f>N121*(DY121+DZ121)/1000.0</f>
        <v>0</v>
      </c>
      <c r="P121">
        <f>(DR121 - IF(AU121&gt;1, L121*DL121*100.0/(AW121), 0))*(DY121+DZ121)/1000.0</f>
        <v>0</v>
      </c>
      <c r="Q121">
        <f>2.0/((1/S121-1/R121)+SIGN(S121)*SQRT((1/S121-1/R121)*(1/S121-1/R121) + 4*DM121/((DM121+1)*(DM121+1))*(2*1/S121*1/R121-1/R121*1/R121)))</f>
        <v>0</v>
      </c>
      <c r="R121">
        <f>IF(LEFT(DN121,1)&lt;&gt;"0",IF(LEFT(DN121,1)="1",3.0,DO121),$D$5+$E$5*(EF121*DY121/($K$5*1000))+$F$5*(EF121*DY121/($K$5*1000))*MAX(MIN(DL121,$J$5),$I$5)*MAX(MIN(DL121,$J$5),$I$5)+$G$5*MAX(MIN(DL121,$J$5),$I$5)*(EF121*DY121/($K$5*1000))+$H$5*(EF121*DY121/($K$5*1000))*(EF121*DY121/($K$5*1000)))</f>
        <v>0</v>
      </c>
      <c r="S121">
        <f>J121*(1000-(1000*0.61365*exp(17.502*W121/(240.97+W121))/(DY121+DZ121)+DT121)/2)/(1000*0.61365*exp(17.502*W121/(240.97+W121))/(DY121+DZ121)-DT121)</f>
        <v>0</v>
      </c>
      <c r="T121">
        <f>1/((DM121+1)/(Q121/1.6)+1/(R121/1.37)) + DM121/((DM121+1)/(Q121/1.6) + DM121/(R121/1.37))</f>
        <v>0</v>
      </c>
      <c r="U121">
        <f>(DH121*DK121)</f>
        <v>0</v>
      </c>
      <c r="V121">
        <f>(EA121+(U121+2*0.95*5.67E-8*(((EA121+$B$7)+273)^4-(EA121+273)^4)-44100*J121)/(1.84*29.3*R121+8*0.95*5.67E-8*(EA121+273)^3))</f>
        <v>0</v>
      </c>
      <c r="W121">
        <f>($C$7*EB121+$D$7*EC121+$E$7*V121)</f>
        <v>0</v>
      </c>
      <c r="X121">
        <f>0.61365*exp(17.502*W121/(240.97+W121))</f>
        <v>0</v>
      </c>
      <c r="Y121">
        <f>(Z121/AA121*100)</f>
        <v>0</v>
      </c>
      <c r="Z121">
        <f>DT121*(DY121+DZ121)/1000</f>
        <v>0</v>
      </c>
      <c r="AA121">
        <f>0.61365*exp(17.502*EA121/(240.97+EA121))</f>
        <v>0</v>
      </c>
      <c r="AB121">
        <f>(X121-DT121*(DY121+DZ121)/1000)</f>
        <v>0</v>
      </c>
      <c r="AC121">
        <f>(-J121*44100)</f>
        <v>0</v>
      </c>
      <c r="AD121">
        <f>2*29.3*R121*0.92*(EA121-W121)</f>
        <v>0</v>
      </c>
      <c r="AE121">
        <f>2*0.95*5.67E-8*(((EA121+$B$7)+273)^4-(W121+273)^4)</f>
        <v>0</v>
      </c>
      <c r="AF121">
        <f>U121+AE121+AC121+AD121</f>
        <v>0</v>
      </c>
      <c r="AG121">
        <f>DX121*AU121*(DS121-DR121*(1000-AU121*DU121)/(1000-AU121*DT121))/(100*DL121)</f>
        <v>0</v>
      </c>
      <c r="AH121">
        <f>1000*DX121*AU121*(DT121-DU121)/(100*DL121*(1000-AU121*DT121))</f>
        <v>0</v>
      </c>
      <c r="AI121">
        <f>(AJ121 - AK121 - DY121*1E3/(8.314*(EA121+273.15)) * AM121/DX121 * AL121) * DX121/(100*DL121) * (1000 - DU121)/1000</f>
        <v>0</v>
      </c>
      <c r="AJ121">
        <v>423.976000501103</v>
      </c>
      <c r="AK121">
        <v>407.50816969697</v>
      </c>
      <c r="AL121">
        <v>-0.000551088660466338</v>
      </c>
      <c r="AM121">
        <v>65.2210784119795</v>
      </c>
      <c r="AN121">
        <f>(AP121 - AO121 + DY121*1E3/(8.314*(EA121+273.15)) * AR121/DX121 * AQ121) * DX121/(100*DL121) * 1000/(1000 - AP121)</f>
        <v>0</v>
      </c>
      <c r="AO121">
        <v>9.76582248878048</v>
      </c>
      <c r="AP121">
        <v>11.8254527272727</v>
      </c>
      <c r="AQ121">
        <v>3.33619845047656e-05</v>
      </c>
      <c r="AR121">
        <v>115.574510355221</v>
      </c>
      <c r="AS121">
        <v>0</v>
      </c>
      <c r="AT121">
        <v>0</v>
      </c>
      <c r="AU121">
        <f>IF(AS121*$H$13&gt;=AW121,1.0,(AW121/(AW121-AS121*$H$13)))</f>
        <v>0</v>
      </c>
      <c r="AV121">
        <f>(AU121-1)*100</f>
        <v>0</v>
      </c>
      <c r="AW121">
        <f>MAX(0,($B$13+$C$13*EF121)/(1+$D$13*EF121)*DY121/(EA121+273)*$E$13)</f>
        <v>0</v>
      </c>
      <c r="AX121" t="s">
        <v>437</v>
      </c>
      <c r="AY121" t="s">
        <v>437</v>
      </c>
      <c r="AZ121">
        <v>0</v>
      </c>
      <c r="BA121">
        <v>0</v>
      </c>
      <c r="BB121">
        <f>1-AZ121/BA121</f>
        <v>0</v>
      </c>
      <c r="BC121">
        <v>0</v>
      </c>
      <c r="BD121" t="s">
        <v>437</v>
      </c>
      <c r="BE121" t="s">
        <v>437</v>
      </c>
      <c r="BF121">
        <v>0</v>
      </c>
      <c r="BG121">
        <v>0</v>
      </c>
      <c r="BH121">
        <f>1-BF121/BG121</f>
        <v>0</v>
      </c>
      <c r="BI121">
        <v>0.5</v>
      </c>
      <c r="BJ121">
        <f>DI121</f>
        <v>0</v>
      </c>
      <c r="BK121">
        <f>L121</f>
        <v>0</v>
      </c>
      <c r="BL121">
        <f>BH121*BI121*BJ121</f>
        <v>0</v>
      </c>
      <c r="BM121">
        <f>(BK121-BC121)/BJ121</f>
        <v>0</v>
      </c>
      <c r="BN121">
        <f>(BA121-BG121)/BG121</f>
        <v>0</v>
      </c>
      <c r="BO121">
        <f>AZ121/(BB121+AZ121/BG121)</f>
        <v>0</v>
      </c>
      <c r="BP121" t="s">
        <v>437</v>
      </c>
      <c r="BQ121">
        <v>0</v>
      </c>
      <c r="BR121">
        <f>IF(BQ121&lt;&gt;0, BQ121, BO121)</f>
        <v>0</v>
      </c>
      <c r="BS121">
        <f>1-BR121/BG121</f>
        <v>0</v>
      </c>
      <c r="BT121">
        <f>(BG121-BF121)/(BG121-BR121)</f>
        <v>0</v>
      </c>
      <c r="BU121">
        <f>(BA121-BG121)/(BA121-BR121)</f>
        <v>0</v>
      </c>
      <c r="BV121">
        <f>(BG121-BF121)/(BG121-AZ121)</f>
        <v>0</v>
      </c>
      <c r="BW121">
        <f>(BA121-BG121)/(BA121-AZ121)</f>
        <v>0</v>
      </c>
      <c r="BX121">
        <f>(BT121*BR121/BF121)</f>
        <v>0</v>
      </c>
      <c r="BY121">
        <f>(1-BX121)</f>
        <v>0</v>
      </c>
      <c r="BZ121">
        <v>282</v>
      </c>
      <c r="CA121">
        <v>290</v>
      </c>
      <c r="CB121">
        <v>1577.74</v>
      </c>
      <c r="CC121">
        <v>295</v>
      </c>
      <c r="CD121">
        <v>5140.93</v>
      </c>
      <c r="CE121">
        <v>1578.58</v>
      </c>
      <c r="CF121">
        <v>-0.84</v>
      </c>
      <c r="CG121">
        <v>300</v>
      </c>
      <c r="CH121">
        <v>23.8</v>
      </c>
      <c r="CI121">
        <v>1633.28263291266</v>
      </c>
      <c r="CJ121">
        <v>1.49577129053257</v>
      </c>
      <c r="CK121">
        <v>-28.1203876934379</v>
      </c>
      <c r="CL121">
        <v>0.666413418688897</v>
      </c>
      <c r="CM121">
        <v>0.984518017981194</v>
      </c>
      <c r="CN121">
        <v>-0.00424727541713014</v>
      </c>
      <c r="CO121">
        <v>290</v>
      </c>
      <c r="CP121">
        <v>1576.56</v>
      </c>
      <c r="CQ121">
        <v>775</v>
      </c>
      <c r="CR121">
        <v>5139.5</v>
      </c>
      <c r="CS121">
        <v>1578.57</v>
      </c>
      <c r="CT121">
        <v>-2.01</v>
      </c>
      <c r="DH121">
        <f>$B$11*EG121+$C$11*EH121+$F$11*ES121*(1-EV121)</f>
        <v>0</v>
      </c>
      <c r="DI121">
        <f>DH121*DJ121</f>
        <v>0</v>
      </c>
      <c r="DJ121">
        <f>($B$11*$D$9+$C$11*$D$9+$F$11*((FF121+EX121)/MAX(FF121+EX121+FG121, 0.1)*$I$9+FG121/MAX(FF121+EX121+FG121, 0.1)*$J$9))/($B$11+$C$11+$F$11)</f>
        <v>0</v>
      </c>
      <c r="DK121">
        <f>($B$11*$K$9+$C$11*$K$9+$F$11*((FF121+EX121)/MAX(FF121+EX121+FG121, 0.1)*$P$9+FG121/MAX(FF121+EX121+FG121, 0.1)*$Q$9))/($B$11+$C$11+$F$11)</f>
        <v>0</v>
      </c>
      <c r="DL121">
        <v>6</v>
      </c>
      <c r="DM121">
        <v>0.5</v>
      </c>
      <c r="DN121" t="s">
        <v>438</v>
      </c>
      <c r="DO121">
        <v>2</v>
      </c>
      <c r="DP121" t="b">
        <v>1</v>
      </c>
      <c r="DQ121">
        <v>1760991763.26667</v>
      </c>
      <c r="DR121">
        <v>402.726066666667</v>
      </c>
      <c r="DS121">
        <v>419.9024</v>
      </c>
      <c r="DT121">
        <v>11.8248466666667</v>
      </c>
      <c r="DU121">
        <v>9.75985466666667</v>
      </c>
      <c r="DV121">
        <v>399.909466666667</v>
      </c>
      <c r="DW121">
        <v>11.9358733333333</v>
      </c>
      <c r="DX121">
        <v>499.949733333333</v>
      </c>
      <c r="DY121">
        <v>89.8355066666667</v>
      </c>
      <c r="DZ121">
        <v>0.009633754</v>
      </c>
      <c r="EA121">
        <v>18.44714</v>
      </c>
      <c r="EB121">
        <v>18.0175733333333</v>
      </c>
      <c r="EC121">
        <v>999.9</v>
      </c>
      <c r="ED121">
        <v>0</v>
      </c>
      <c r="EE121">
        <v>0</v>
      </c>
      <c r="EF121">
        <v>9976.084</v>
      </c>
      <c r="EG121">
        <v>0</v>
      </c>
      <c r="EH121">
        <v>1278.92866666667</v>
      </c>
      <c r="EI121">
        <v>-17.1765133333333</v>
      </c>
      <c r="EJ121">
        <v>407.545066666667</v>
      </c>
      <c r="EK121">
        <v>424.041</v>
      </c>
      <c r="EL121">
        <v>2.064992</v>
      </c>
      <c r="EM121">
        <v>419.9024</v>
      </c>
      <c r="EN121">
        <v>9.75985466666667</v>
      </c>
      <c r="EO121">
        <v>1.062292</v>
      </c>
      <c r="EP121">
        <v>0.876781133333333</v>
      </c>
      <c r="EQ121">
        <v>7.79994133333333</v>
      </c>
      <c r="ER121">
        <v>5.01516866666667</v>
      </c>
      <c r="ES121">
        <v>1199.98266666667</v>
      </c>
      <c r="ET121">
        <v>0.966996533333333</v>
      </c>
      <c r="EU121">
        <v>0.0330034333333333</v>
      </c>
      <c r="EV121">
        <v>0</v>
      </c>
      <c r="EW121">
        <v>1329.052</v>
      </c>
      <c r="EX121">
        <v>5.00059</v>
      </c>
      <c r="EY121">
        <v>15660.8333333333</v>
      </c>
      <c r="EZ121">
        <v>10358.5266666667</v>
      </c>
      <c r="FA121">
        <v>37.4414666666667</v>
      </c>
      <c r="FB121">
        <v>39.0914666666667</v>
      </c>
      <c r="FC121">
        <v>37.8539333333333</v>
      </c>
      <c r="FD121">
        <v>38.4748</v>
      </c>
      <c r="FE121">
        <v>38.3122666666667</v>
      </c>
      <c r="FF121">
        <v>1155.54266666667</v>
      </c>
      <c r="FG121">
        <v>39.44</v>
      </c>
      <c r="FH121">
        <v>0</v>
      </c>
      <c r="FI121">
        <v>627.800000190735</v>
      </c>
      <c r="FJ121">
        <v>0</v>
      </c>
      <c r="FK121">
        <v>1328.74653846154</v>
      </c>
      <c r="FL121">
        <v>-14.2806837629262</v>
      </c>
      <c r="FM121">
        <v>-178.034187964566</v>
      </c>
      <c r="FN121">
        <v>15657.5961538462</v>
      </c>
      <c r="FO121">
        <v>15</v>
      </c>
      <c r="FP121">
        <v>0</v>
      </c>
      <c r="FQ121" t="s">
        <v>439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-17.19942</v>
      </c>
      <c r="GD121">
        <v>1.10257443609026</v>
      </c>
      <c r="GE121">
        <v>0.231214479650389</v>
      </c>
      <c r="GF121">
        <v>0</v>
      </c>
      <c r="GG121">
        <v>1329.59411764706</v>
      </c>
      <c r="GH121">
        <v>-14.250878542004</v>
      </c>
      <c r="GI121">
        <v>1.41825932592418</v>
      </c>
      <c r="GJ121">
        <v>-1</v>
      </c>
      <c r="GK121">
        <v>2.068254</v>
      </c>
      <c r="GL121">
        <v>-0.105186766917295</v>
      </c>
      <c r="GM121">
        <v>0.0111430078524606</v>
      </c>
      <c r="GN121">
        <v>0</v>
      </c>
      <c r="GO121">
        <v>0</v>
      </c>
      <c r="GP121">
        <v>2</v>
      </c>
      <c r="GQ121" t="s">
        <v>519</v>
      </c>
      <c r="GR121">
        <v>3.13066</v>
      </c>
      <c r="GS121">
        <v>2.68794</v>
      </c>
      <c r="GT121">
        <v>0.0867419</v>
      </c>
      <c r="GU121">
        <v>0.0898492</v>
      </c>
      <c r="GV121">
        <v>0.0617443</v>
      </c>
      <c r="GW121">
        <v>0.0531433</v>
      </c>
      <c r="GX121">
        <v>34609.1</v>
      </c>
      <c r="GY121">
        <v>37064.1</v>
      </c>
      <c r="GZ121">
        <v>34264.5</v>
      </c>
      <c r="HA121">
        <v>36848.7</v>
      </c>
      <c r="HB121">
        <v>45347.2</v>
      </c>
      <c r="HC121">
        <v>50029.3</v>
      </c>
      <c r="HD121">
        <v>53338.3</v>
      </c>
      <c r="HE121">
        <v>58776.9</v>
      </c>
      <c r="HF121">
        <v>2.0078</v>
      </c>
      <c r="HG121">
        <v>1.83525</v>
      </c>
      <c r="HH121">
        <v>0.00879169</v>
      </c>
      <c r="HI121">
        <v>0</v>
      </c>
      <c r="HJ121">
        <v>17.8633</v>
      </c>
      <c r="HK121">
        <v>999.9</v>
      </c>
      <c r="HL121">
        <v>27.31</v>
      </c>
      <c r="HM121">
        <v>30.504</v>
      </c>
      <c r="HN121">
        <v>13.3318</v>
      </c>
      <c r="HO121">
        <v>55.2091</v>
      </c>
      <c r="HP121">
        <v>44.5072</v>
      </c>
      <c r="HQ121">
        <v>1</v>
      </c>
      <c r="HR121">
        <v>-0.26435</v>
      </c>
      <c r="HS121">
        <v>4.86842</v>
      </c>
      <c r="HT121">
        <v>20.0685</v>
      </c>
      <c r="HU121">
        <v>5.20231</v>
      </c>
      <c r="HV121">
        <v>12.004</v>
      </c>
      <c r="HW121">
        <v>4.9756</v>
      </c>
      <c r="HX121">
        <v>3.29295</v>
      </c>
      <c r="HY121">
        <v>9999</v>
      </c>
      <c r="HZ121">
        <v>999.9</v>
      </c>
      <c r="IA121">
        <v>9999</v>
      </c>
      <c r="IB121">
        <v>9999</v>
      </c>
      <c r="IC121">
        <v>1.86325</v>
      </c>
      <c r="ID121">
        <v>1.86808</v>
      </c>
      <c r="IE121">
        <v>1.86783</v>
      </c>
      <c r="IF121">
        <v>1.86905</v>
      </c>
      <c r="IG121">
        <v>1.86981</v>
      </c>
      <c r="IH121">
        <v>1.86586</v>
      </c>
      <c r="II121">
        <v>1.86695</v>
      </c>
      <c r="IJ121">
        <v>1.86838</v>
      </c>
      <c r="IK121">
        <v>5</v>
      </c>
      <c r="IL121">
        <v>0</v>
      </c>
      <c r="IM121">
        <v>0</v>
      </c>
      <c r="IN121">
        <v>0</v>
      </c>
      <c r="IO121" t="s">
        <v>441</v>
      </c>
      <c r="IP121" t="s">
        <v>442</v>
      </c>
      <c r="IQ121" t="s">
        <v>443</v>
      </c>
      <c r="IR121" t="s">
        <v>443</v>
      </c>
      <c r="IS121" t="s">
        <v>443</v>
      </c>
      <c r="IT121" t="s">
        <v>443</v>
      </c>
      <c r="IU121">
        <v>0</v>
      </c>
      <c r="IV121">
        <v>100</v>
      </c>
      <c r="IW121">
        <v>100</v>
      </c>
      <c r="IX121">
        <v>2.815</v>
      </c>
      <c r="IY121">
        <v>-0.111</v>
      </c>
      <c r="IZ121">
        <v>1.12474291219083</v>
      </c>
      <c r="JA121">
        <v>0.00463155566490582</v>
      </c>
      <c r="JB121">
        <v>-1.1358998729424e-06</v>
      </c>
      <c r="JC121">
        <v>3.28704272115545e-10</v>
      </c>
      <c r="JD121">
        <v>-0.0704455108513773</v>
      </c>
      <c r="JE121">
        <v>-0.0251928478371425</v>
      </c>
      <c r="JF121">
        <v>0.00225751704194564</v>
      </c>
      <c r="JG121">
        <v>-3.61734043746866e-05</v>
      </c>
      <c r="JH121">
        <v>1</v>
      </c>
      <c r="JI121">
        <v>2182</v>
      </c>
      <c r="JJ121">
        <v>0</v>
      </c>
      <c r="JK121">
        <v>24</v>
      </c>
      <c r="JL121">
        <v>29349862.9</v>
      </c>
      <c r="JM121">
        <v>29349862.9</v>
      </c>
      <c r="JN121">
        <v>0.977783</v>
      </c>
      <c r="JO121">
        <v>2.62329</v>
      </c>
      <c r="JP121">
        <v>1.54785</v>
      </c>
      <c r="JQ121">
        <v>2.31323</v>
      </c>
      <c r="JR121">
        <v>1.64673</v>
      </c>
      <c r="JS121">
        <v>2.36816</v>
      </c>
      <c r="JT121">
        <v>33.7381</v>
      </c>
      <c r="JU121">
        <v>24.1838</v>
      </c>
      <c r="JV121">
        <v>18</v>
      </c>
      <c r="JW121">
        <v>499.874</v>
      </c>
      <c r="JX121">
        <v>392.975</v>
      </c>
      <c r="JY121">
        <v>11.5221</v>
      </c>
      <c r="JZ121">
        <v>23.945</v>
      </c>
      <c r="KA121">
        <v>30.0002</v>
      </c>
      <c r="KB121">
        <v>23.9033</v>
      </c>
      <c r="KC121">
        <v>23.8675</v>
      </c>
      <c r="KD121">
        <v>19.5308</v>
      </c>
      <c r="KE121">
        <v>12.9733</v>
      </c>
      <c r="KF121">
        <v>27.2762</v>
      </c>
      <c r="KG121">
        <v>11.5059</v>
      </c>
      <c r="KH121">
        <v>399.604</v>
      </c>
      <c r="KI121">
        <v>9.80374</v>
      </c>
      <c r="KJ121">
        <v>97.0388</v>
      </c>
      <c r="KK121">
        <v>95.3035</v>
      </c>
    </row>
    <row r="122" spans="1:297">
      <c r="A122">
        <v>106</v>
      </c>
      <c r="B122">
        <v>1760991777</v>
      </c>
      <c r="C122">
        <v>2586.90000009537</v>
      </c>
      <c r="D122" t="s">
        <v>665</v>
      </c>
      <c r="E122" t="s">
        <v>666</v>
      </c>
      <c r="F122">
        <v>5</v>
      </c>
      <c r="G122" t="s">
        <v>662</v>
      </c>
      <c r="H122" t="s">
        <v>436</v>
      </c>
      <c r="I122">
        <v>1760991768.35714</v>
      </c>
      <c r="J122">
        <f>(K122)/1000</f>
        <v>0</v>
      </c>
      <c r="K122">
        <f>IF(DP122, AN122, AH122)</f>
        <v>0</v>
      </c>
      <c r="L122">
        <f>IF(DP122, AI122, AG122)</f>
        <v>0</v>
      </c>
      <c r="M122">
        <f>DR122 - IF(AU122&gt;1, L122*DL122*100.0/(AW122), 0)</f>
        <v>0</v>
      </c>
      <c r="N122">
        <f>((T122-J122/2)*M122-L122)/(T122+J122/2)</f>
        <v>0</v>
      </c>
      <c r="O122">
        <f>N122*(DY122+DZ122)/1000.0</f>
        <v>0</v>
      </c>
      <c r="P122">
        <f>(DR122 - IF(AU122&gt;1, L122*DL122*100.0/(AW122), 0))*(DY122+DZ122)/1000.0</f>
        <v>0</v>
      </c>
      <c r="Q122">
        <f>2.0/((1/S122-1/R122)+SIGN(S122)*SQRT((1/S122-1/R122)*(1/S122-1/R122) + 4*DM122/((DM122+1)*(DM122+1))*(2*1/S122*1/R122-1/R122*1/R122)))</f>
        <v>0</v>
      </c>
      <c r="R122">
        <f>IF(LEFT(DN122,1)&lt;&gt;"0",IF(LEFT(DN122,1)="1",3.0,DO122),$D$5+$E$5*(EF122*DY122/($K$5*1000))+$F$5*(EF122*DY122/($K$5*1000))*MAX(MIN(DL122,$J$5),$I$5)*MAX(MIN(DL122,$J$5),$I$5)+$G$5*MAX(MIN(DL122,$J$5),$I$5)*(EF122*DY122/($K$5*1000))+$H$5*(EF122*DY122/($K$5*1000))*(EF122*DY122/($K$5*1000)))</f>
        <v>0</v>
      </c>
      <c r="S122">
        <f>J122*(1000-(1000*0.61365*exp(17.502*W122/(240.97+W122))/(DY122+DZ122)+DT122)/2)/(1000*0.61365*exp(17.502*W122/(240.97+W122))/(DY122+DZ122)-DT122)</f>
        <v>0</v>
      </c>
      <c r="T122">
        <f>1/((DM122+1)/(Q122/1.6)+1/(R122/1.37)) + DM122/((DM122+1)/(Q122/1.6) + DM122/(R122/1.37))</f>
        <v>0</v>
      </c>
      <c r="U122">
        <f>(DH122*DK122)</f>
        <v>0</v>
      </c>
      <c r="V122">
        <f>(EA122+(U122+2*0.95*5.67E-8*(((EA122+$B$7)+273)^4-(EA122+273)^4)-44100*J122)/(1.84*29.3*R122+8*0.95*5.67E-8*(EA122+273)^3))</f>
        <v>0</v>
      </c>
      <c r="W122">
        <f>($C$7*EB122+$D$7*EC122+$E$7*V122)</f>
        <v>0</v>
      </c>
      <c r="X122">
        <f>0.61365*exp(17.502*W122/(240.97+W122))</f>
        <v>0</v>
      </c>
      <c r="Y122">
        <f>(Z122/AA122*100)</f>
        <v>0</v>
      </c>
      <c r="Z122">
        <f>DT122*(DY122+DZ122)/1000</f>
        <v>0</v>
      </c>
      <c r="AA122">
        <f>0.61365*exp(17.502*EA122/(240.97+EA122))</f>
        <v>0</v>
      </c>
      <c r="AB122">
        <f>(X122-DT122*(DY122+DZ122)/1000)</f>
        <v>0</v>
      </c>
      <c r="AC122">
        <f>(-J122*44100)</f>
        <v>0</v>
      </c>
      <c r="AD122">
        <f>2*29.3*R122*0.92*(EA122-W122)</f>
        <v>0</v>
      </c>
      <c r="AE122">
        <f>2*0.95*5.67E-8*(((EA122+$B$7)+273)^4-(W122+273)^4)</f>
        <v>0</v>
      </c>
      <c r="AF122">
        <f>U122+AE122+AC122+AD122</f>
        <v>0</v>
      </c>
      <c r="AG122">
        <f>DX122*AU122*(DS122-DR122*(1000-AU122*DU122)/(1000-AU122*DT122))/(100*DL122)</f>
        <v>0</v>
      </c>
      <c r="AH122">
        <f>1000*DX122*AU122*(DT122-DU122)/(100*DL122*(1000-AU122*DT122))</f>
        <v>0</v>
      </c>
      <c r="AI122">
        <f>(AJ122 - AK122 - DY122*1E3/(8.314*(EA122+273.15)) * AM122/DX122 * AL122) * DX122/(100*DL122) * (1000 - DU122)/1000</f>
        <v>0</v>
      </c>
      <c r="AJ122">
        <v>418.846591275194</v>
      </c>
      <c r="AK122">
        <v>405.260739393939</v>
      </c>
      <c r="AL122">
        <v>-0.557661155492851</v>
      </c>
      <c r="AM122">
        <v>65.2210784119795</v>
      </c>
      <c r="AN122">
        <f>(AP122 - AO122 + DY122*1E3/(8.314*(EA122+273.15)) * AR122/DX122 * AQ122) * DX122/(100*DL122) * 1000/(1000 - AP122)</f>
        <v>0</v>
      </c>
      <c r="AO122">
        <v>9.7631014271501</v>
      </c>
      <c r="AP122">
        <v>11.8231503030303</v>
      </c>
      <c r="AQ122">
        <v>-6.17983377923901e-05</v>
      </c>
      <c r="AR122">
        <v>115.574510355221</v>
      </c>
      <c r="AS122">
        <v>0</v>
      </c>
      <c r="AT122">
        <v>0</v>
      </c>
      <c r="AU122">
        <f>IF(AS122*$H$13&gt;=AW122,1.0,(AW122/(AW122-AS122*$H$13)))</f>
        <v>0</v>
      </c>
      <c r="AV122">
        <f>(AU122-1)*100</f>
        <v>0</v>
      </c>
      <c r="AW122">
        <f>MAX(0,($B$13+$C$13*EF122)/(1+$D$13*EF122)*DY122/(EA122+273)*$E$13)</f>
        <v>0</v>
      </c>
      <c r="AX122" t="s">
        <v>437</v>
      </c>
      <c r="AY122" t="s">
        <v>437</v>
      </c>
      <c r="AZ122">
        <v>0</v>
      </c>
      <c r="BA122">
        <v>0</v>
      </c>
      <c r="BB122">
        <f>1-AZ122/BA122</f>
        <v>0</v>
      </c>
      <c r="BC122">
        <v>0</v>
      </c>
      <c r="BD122" t="s">
        <v>437</v>
      </c>
      <c r="BE122" t="s">
        <v>437</v>
      </c>
      <c r="BF122">
        <v>0</v>
      </c>
      <c r="BG122">
        <v>0</v>
      </c>
      <c r="BH122">
        <f>1-BF122/BG122</f>
        <v>0</v>
      </c>
      <c r="BI122">
        <v>0.5</v>
      </c>
      <c r="BJ122">
        <f>DI122</f>
        <v>0</v>
      </c>
      <c r="BK122">
        <f>L122</f>
        <v>0</v>
      </c>
      <c r="BL122">
        <f>BH122*BI122*BJ122</f>
        <v>0</v>
      </c>
      <c r="BM122">
        <f>(BK122-BC122)/BJ122</f>
        <v>0</v>
      </c>
      <c r="BN122">
        <f>(BA122-BG122)/BG122</f>
        <v>0</v>
      </c>
      <c r="BO122">
        <f>AZ122/(BB122+AZ122/BG122)</f>
        <v>0</v>
      </c>
      <c r="BP122" t="s">
        <v>437</v>
      </c>
      <c r="BQ122">
        <v>0</v>
      </c>
      <c r="BR122">
        <f>IF(BQ122&lt;&gt;0, BQ122, BO122)</f>
        <v>0</v>
      </c>
      <c r="BS122">
        <f>1-BR122/BG122</f>
        <v>0</v>
      </c>
      <c r="BT122">
        <f>(BG122-BF122)/(BG122-BR122)</f>
        <v>0</v>
      </c>
      <c r="BU122">
        <f>(BA122-BG122)/(BA122-BR122)</f>
        <v>0</v>
      </c>
      <c r="BV122">
        <f>(BG122-BF122)/(BG122-AZ122)</f>
        <v>0</v>
      </c>
      <c r="BW122">
        <f>(BA122-BG122)/(BA122-AZ122)</f>
        <v>0</v>
      </c>
      <c r="BX122">
        <f>(BT122*BR122/BF122)</f>
        <v>0</v>
      </c>
      <c r="BY122">
        <f>(1-BX122)</f>
        <v>0</v>
      </c>
      <c r="BZ122">
        <v>282</v>
      </c>
      <c r="CA122">
        <v>290</v>
      </c>
      <c r="CB122">
        <v>1577.74</v>
      </c>
      <c r="CC122">
        <v>295</v>
      </c>
      <c r="CD122">
        <v>5140.93</v>
      </c>
      <c r="CE122">
        <v>1578.58</v>
      </c>
      <c r="CF122">
        <v>-0.84</v>
      </c>
      <c r="CG122">
        <v>300</v>
      </c>
      <c r="CH122">
        <v>23.8</v>
      </c>
      <c r="CI122">
        <v>1633.28263291266</v>
      </c>
      <c r="CJ122">
        <v>1.49577129053257</v>
      </c>
      <c r="CK122">
        <v>-28.1203876934379</v>
      </c>
      <c r="CL122">
        <v>0.666413418688897</v>
      </c>
      <c r="CM122">
        <v>0.984518017981194</v>
      </c>
      <c r="CN122">
        <v>-0.00424727541713014</v>
      </c>
      <c r="CO122">
        <v>290</v>
      </c>
      <c r="CP122">
        <v>1576.56</v>
      </c>
      <c r="CQ122">
        <v>775</v>
      </c>
      <c r="CR122">
        <v>5139.5</v>
      </c>
      <c r="CS122">
        <v>1578.57</v>
      </c>
      <c r="CT122">
        <v>-2.01</v>
      </c>
      <c r="DH122">
        <f>$B$11*EG122+$C$11*EH122+$F$11*ES122*(1-EV122)</f>
        <v>0</v>
      </c>
      <c r="DI122">
        <f>DH122*DJ122</f>
        <v>0</v>
      </c>
      <c r="DJ122">
        <f>($B$11*$D$9+$C$11*$D$9+$F$11*((FF122+EX122)/MAX(FF122+EX122+FG122, 0.1)*$I$9+FG122/MAX(FF122+EX122+FG122, 0.1)*$J$9))/($B$11+$C$11+$F$11)</f>
        <v>0</v>
      </c>
      <c r="DK122">
        <f>($B$11*$K$9+$C$11*$K$9+$F$11*((FF122+EX122)/MAX(FF122+EX122+FG122, 0.1)*$P$9+FG122/MAX(FF122+EX122+FG122, 0.1)*$Q$9))/($B$11+$C$11+$F$11)</f>
        <v>0</v>
      </c>
      <c r="DL122">
        <v>6</v>
      </c>
      <c r="DM122">
        <v>0.5</v>
      </c>
      <c r="DN122" t="s">
        <v>438</v>
      </c>
      <c r="DO122">
        <v>2</v>
      </c>
      <c r="DP122" t="b">
        <v>1</v>
      </c>
      <c r="DQ122">
        <v>1760991768.35714</v>
      </c>
      <c r="DR122">
        <v>402.362071428571</v>
      </c>
      <c r="DS122">
        <v>417.673142857143</v>
      </c>
      <c r="DT122">
        <v>11.8244857142857</v>
      </c>
      <c r="DU122">
        <v>9.76522</v>
      </c>
      <c r="DV122">
        <v>399.546928571429</v>
      </c>
      <c r="DW122">
        <v>11.9355357142857</v>
      </c>
      <c r="DX122">
        <v>499.977214285714</v>
      </c>
      <c r="DY122">
        <v>89.8354928571429</v>
      </c>
      <c r="DZ122">
        <v>0.00981893928571429</v>
      </c>
      <c r="EA122">
        <v>18.43815</v>
      </c>
      <c r="EB122">
        <v>18.0118214285714</v>
      </c>
      <c r="EC122">
        <v>999.9</v>
      </c>
      <c r="ED122">
        <v>0</v>
      </c>
      <c r="EE122">
        <v>0</v>
      </c>
      <c r="EF122">
        <v>9988.71357142857</v>
      </c>
      <c r="EG122">
        <v>0</v>
      </c>
      <c r="EH122">
        <v>1278.93071428571</v>
      </c>
      <c r="EI122">
        <v>-15.3112114285714</v>
      </c>
      <c r="EJ122">
        <v>407.176642857143</v>
      </c>
      <c r="EK122">
        <v>421.792071428571</v>
      </c>
      <c r="EL122">
        <v>2.05927071428571</v>
      </c>
      <c r="EM122">
        <v>417.673142857143</v>
      </c>
      <c r="EN122">
        <v>9.76522</v>
      </c>
      <c r="EO122">
        <v>1.06225857142857</v>
      </c>
      <c r="EP122">
        <v>0.877263071428571</v>
      </c>
      <c r="EQ122">
        <v>7.79949857142857</v>
      </c>
      <c r="ER122">
        <v>5.02305928571428</v>
      </c>
      <c r="ES122">
        <v>1199.98285714286</v>
      </c>
      <c r="ET122">
        <v>0.966996</v>
      </c>
      <c r="EU122">
        <v>0.033004</v>
      </c>
      <c r="EV122">
        <v>0</v>
      </c>
      <c r="EW122">
        <v>1327.91142857143</v>
      </c>
      <c r="EX122">
        <v>5.00059</v>
      </c>
      <c r="EY122">
        <v>15646.3214285714</v>
      </c>
      <c r="EZ122">
        <v>10358.5357142857</v>
      </c>
      <c r="FA122">
        <v>37.3835714285714</v>
      </c>
      <c r="FB122">
        <v>39.0220714285714</v>
      </c>
      <c r="FC122">
        <v>37.8034285714286</v>
      </c>
      <c r="FD122">
        <v>38.3837857142857</v>
      </c>
      <c r="FE122">
        <v>38.2585714285714</v>
      </c>
      <c r="FF122">
        <v>1155.54285714286</v>
      </c>
      <c r="FG122">
        <v>39.44</v>
      </c>
      <c r="FH122">
        <v>0</v>
      </c>
      <c r="FI122">
        <v>632.600000143051</v>
      </c>
      <c r="FJ122">
        <v>0</v>
      </c>
      <c r="FK122">
        <v>1327.72192307692</v>
      </c>
      <c r="FL122">
        <v>-11.6201709560217</v>
      </c>
      <c r="FM122">
        <v>-161.494017193478</v>
      </c>
      <c r="FN122">
        <v>15644.0346153846</v>
      </c>
      <c r="FO122">
        <v>15</v>
      </c>
      <c r="FP122">
        <v>0</v>
      </c>
      <c r="FQ122" t="s">
        <v>439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-15.85706</v>
      </c>
      <c r="GD122">
        <v>19.5745620779221</v>
      </c>
      <c r="GE122">
        <v>2.72753540694752</v>
      </c>
      <c r="GF122">
        <v>0</v>
      </c>
      <c r="GG122">
        <v>1328.41382352941</v>
      </c>
      <c r="GH122">
        <v>-13.1469824381955</v>
      </c>
      <c r="GI122">
        <v>1.31073848674053</v>
      </c>
      <c r="GJ122">
        <v>-1</v>
      </c>
      <c r="GK122">
        <v>2.06356238095238</v>
      </c>
      <c r="GL122">
        <v>-0.056451428571428</v>
      </c>
      <c r="GM122">
        <v>0.00822437312983089</v>
      </c>
      <c r="GN122">
        <v>1</v>
      </c>
      <c r="GO122">
        <v>1</v>
      </c>
      <c r="GP122">
        <v>2</v>
      </c>
      <c r="GQ122" t="s">
        <v>446</v>
      </c>
      <c r="GR122">
        <v>3.13086</v>
      </c>
      <c r="GS122">
        <v>2.6879</v>
      </c>
      <c r="GT122">
        <v>0.086163</v>
      </c>
      <c r="GU122">
        <v>0.087733</v>
      </c>
      <c r="GV122">
        <v>0.0617342</v>
      </c>
      <c r="GW122">
        <v>0.0531342</v>
      </c>
      <c r="GX122">
        <v>34631.3</v>
      </c>
      <c r="GY122">
        <v>37150.2</v>
      </c>
      <c r="GZ122">
        <v>34264.8</v>
      </c>
      <c r="HA122">
        <v>36848.7</v>
      </c>
      <c r="HB122">
        <v>45347.8</v>
      </c>
      <c r="HC122">
        <v>50029.5</v>
      </c>
      <c r="HD122">
        <v>53338.4</v>
      </c>
      <c r="HE122">
        <v>58776.9</v>
      </c>
      <c r="HF122">
        <v>2.00837</v>
      </c>
      <c r="HG122">
        <v>1.83498</v>
      </c>
      <c r="HH122">
        <v>0.00705943</v>
      </c>
      <c r="HI122">
        <v>0</v>
      </c>
      <c r="HJ122">
        <v>17.8621</v>
      </c>
      <c r="HK122">
        <v>999.9</v>
      </c>
      <c r="HL122">
        <v>27.31</v>
      </c>
      <c r="HM122">
        <v>30.504</v>
      </c>
      <c r="HN122">
        <v>13.3321</v>
      </c>
      <c r="HO122">
        <v>55.1891</v>
      </c>
      <c r="HP122">
        <v>44.5032</v>
      </c>
      <c r="HQ122">
        <v>1</v>
      </c>
      <c r="HR122">
        <v>-0.264284</v>
      </c>
      <c r="HS122">
        <v>4.85084</v>
      </c>
      <c r="HT122">
        <v>20.069</v>
      </c>
      <c r="HU122">
        <v>5.20217</v>
      </c>
      <c r="HV122">
        <v>12.004</v>
      </c>
      <c r="HW122">
        <v>4.97565</v>
      </c>
      <c r="HX122">
        <v>3.29295</v>
      </c>
      <c r="HY122">
        <v>9999</v>
      </c>
      <c r="HZ122">
        <v>999.9</v>
      </c>
      <c r="IA122">
        <v>9999</v>
      </c>
      <c r="IB122">
        <v>9999</v>
      </c>
      <c r="IC122">
        <v>1.86324</v>
      </c>
      <c r="ID122">
        <v>1.86807</v>
      </c>
      <c r="IE122">
        <v>1.86783</v>
      </c>
      <c r="IF122">
        <v>1.86904</v>
      </c>
      <c r="IG122">
        <v>1.86981</v>
      </c>
      <c r="IH122">
        <v>1.86585</v>
      </c>
      <c r="II122">
        <v>1.86692</v>
      </c>
      <c r="IJ122">
        <v>1.86837</v>
      </c>
      <c r="IK122">
        <v>5</v>
      </c>
      <c r="IL122">
        <v>0</v>
      </c>
      <c r="IM122">
        <v>0</v>
      </c>
      <c r="IN122">
        <v>0</v>
      </c>
      <c r="IO122" t="s">
        <v>441</v>
      </c>
      <c r="IP122" t="s">
        <v>442</v>
      </c>
      <c r="IQ122" t="s">
        <v>443</v>
      </c>
      <c r="IR122" t="s">
        <v>443</v>
      </c>
      <c r="IS122" t="s">
        <v>443</v>
      </c>
      <c r="IT122" t="s">
        <v>443</v>
      </c>
      <c r="IU122">
        <v>0</v>
      </c>
      <c r="IV122">
        <v>100</v>
      </c>
      <c r="IW122">
        <v>100</v>
      </c>
      <c r="IX122">
        <v>2.803</v>
      </c>
      <c r="IY122">
        <v>-0.111</v>
      </c>
      <c r="IZ122">
        <v>1.12474291219083</v>
      </c>
      <c r="JA122">
        <v>0.00463155566490582</v>
      </c>
      <c r="JB122">
        <v>-1.1358998729424e-06</v>
      </c>
      <c r="JC122">
        <v>3.28704272115545e-10</v>
      </c>
      <c r="JD122">
        <v>-0.0704455108513773</v>
      </c>
      <c r="JE122">
        <v>-0.0251928478371425</v>
      </c>
      <c r="JF122">
        <v>0.00225751704194564</v>
      </c>
      <c r="JG122">
        <v>-3.61734043746866e-05</v>
      </c>
      <c r="JH122">
        <v>1</v>
      </c>
      <c r="JI122">
        <v>2182</v>
      </c>
      <c r="JJ122">
        <v>0</v>
      </c>
      <c r="JK122">
        <v>24</v>
      </c>
      <c r="JL122">
        <v>29349862.9</v>
      </c>
      <c r="JM122">
        <v>29349862.9</v>
      </c>
      <c r="JN122">
        <v>0.949707</v>
      </c>
      <c r="JO122">
        <v>2.62817</v>
      </c>
      <c r="JP122">
        <v>1.54785</v>
      </c>
      <c r="JQ122">
        <v>2.31323</v>
      </c>
      <c r="JR122">
        <v>1.64673</v>
      </c>
      <c r="JS122">
        <v>2.33887</v>
      </c>
      <c r="JT122">
        <v>33.7381</v>
      </c>
      <c r="JU122">
        <v>24.1751</v>
      </c>
      <c r="JV122">
        <v>18</v>
      </c>
      <c r="JW122">
        <v>500.259</v>
      </c>
      <c r="JX122">
        <v>392.843</v>
      </c>
      <c r="JY122">
        <v>11.5037</v>
      </c>
      <c r="JZ122">
        <v>23.945</v>
      </c>
      <c r="KA122">
        <v>30.0002</v>
      </c>
      <c r="KB122">
        <v>23.905</v>
      </c>
      <c r="KC122">
        <v>23.8691</v>
      </c>
      <c r="KD122">
        <v>18.986</v>
      </c>
      <c r="KE122">
        <v>12.9733</v>
      </c>
      <c r="KF122">
        <v>27.2762</v>
      </c>
      <c r="KG122">
        <v>11.5661</v>
      </c>
      <c r="KH122">
        <v>386.148</v>
      </c>
      <c r="KI122">
        <v>9.80387</v>
      </c>
      <c r="KJ122">
        <v>97.0393</v>
      </c>
      <c r="KK122">
        <v>95.3035</v>
      </c>
    </row>
    <row r="123" spans="1:297">
      <c r="A123">
        <v>107</v>
      </c>
      <c r="B123">
        <v>1760991782</v>
      </c>
      <c r="C123">
        <v>2591.90000009537</v>
      </c>
      <c r="D123" t="s">
        <v>667</v>
      </c>
      <c r="E123" t="s">
        <v>668</v>
      </c>
      <c r="F123">
        <v>5</v>
      </c>
      <c r="G123" t="s">
        <v>662</v>
      </c>
      <c r="H123" t="s">
        <v>436</v>
      </c>
      <c r="I123">
        <v>1760991773.84615</v>
      </c>
      <c r="J123">
        <f>(K123)/1000</f>
        <v>0</v>
      </c>
      <c r="K123">
        <f>IF(DP123, AN123, AH123)</f>
        <v>0</v>
      </c>
      <c r="L123">
        <f>IF(DP123, AI123, AG123)</f>
        <v>0</v>
      </c>
      <c r="M123">
        <f>DR123 - IF(AU123&gt;1, L123*DL123*100.0/(AW123), 0)</f>
        <v>0</v>
      </c>
      <c r="N123">
        <f>((T123-J123/2)*M123-L123)/(T123+J123/2)</f>
        <v>0</v>
      </c>
      <c r="O123">
        <f>N123*(DY123+DZ123)/1000.0</f>
        <v>0</v>
      </c>
      <c r="P123">
        <f>(DR123 - IF(AU123&gt;1, L123*DL123*100.0/(AW123), 0))*(DY123+DZ123)/1000.0</f>
        <v>0</v>
      </c>
      <c r="Q123">
        <f>2.0/((1/S123-1/R123)+SIGN(S123)*SQRT((1/S123-1/R123)*(1/S123-1/R123) + 4*DM123/((DM123+1)*(DM123+1))*(2*1/S123*1/R123-1/R123*1/R123)))</f>
        <v>0</v>
      </c>
      <c r="R123">
        <f>IF(LEFT(DN123,1)&lt;&gt;"0",IF(LEFT(DN123,1)="1",3.0,DO123),$D$5+$E$5*(EF123*DY123/($K$5*1000))+$F$5*(EF123*DY123/($K$5*1000))*MAX(MIN(DL123,$J$5),$I$5)*MAX(MIN(DL123,$J$5),$I$5)+$G$5*MAX(MIN(DL123,$J$5),$I$5)*(EF123*DY123/($K$5*1000))+$H$5*(EF123*DY123/($K$5*1000))*(EF123*DY123/($K$5*1000)))</f>
        <v>0</v>
      </c>
      <c r="S123">
        <f>J123*(1000-(1000*0.61365*exp(17.502*W123/(240.97+W123))/(DY123+DZ123)+DT123)/2)/(1000*0.61365*exp(17.502*W123/(240.97+W123))/(DY123+DZ123)-DT123)</f>
        <v>0</v>
      </c>
      <c r="T123">
        <f>1/((DM123+1)/(Q123/1.6)+1/(R123/1.37)) + DM123/((DM123+1)/(Q123/1.6) + DM123/(R123/1.37))</f>
        <v>0</v>
      </c>
      <c r="U123">
        <f>(DH123*DK123)</f>
        <v>0</v>
      </c>
      <c r="V123">
        <f>(EA123+(U123+2*0.95*5.67E-8*(((EA123+$B$7)+273)^4-(EA123+273)^4)-44100*J123)/(1.84*29.3*R123+8*0.95*5.67E-8*(EA123+273)^3))</f>
        <v>0</v>
      </c>
      <c r="W123">
        <f>($C$7*EB123+$D$7*EC123+$E$7*V123)</f>
        <v>0</v>
      </c>
      <c r="X123">
        <f>0.61365*exp(17.502*W123/(240.97+W123))</f>
        <v>0</v>
      </c>
      <c r="Y123">
        <f>(Z123/AA123*100)</f>
        <v>0</v>
      </c>
      <c r="Z123">
        <f>DT123*(DY123+DZ123)/1000</f>
        <v>0</v>
      </c>
      <c r="AA123">
        <f>0.61365*exp(17.502*EA123/(240.97+EA123))</f>
        <v>0</v>
      </c>
      <c r="AB123">
        <f>(X123-DT123*(DY123+DZ123)/1000)</f>
        <v>0</v>
      </c>
      <c r="AC123">
        <f>(-J123*44100)</f>
        <v>0</v>
      </c>
      <c r="AD123">
        <f>2*29.3*R123*0.92*(EA123-W123)</f>
        <v>0</v>
      </c>
      <c r="AE123">
        <f>2*0.95*5.67E-8*(((EA123+$B$7)+273)^4-(W123+273)^4)</f>
        <v>0</v>
      </c>
      <c r="AF123">
        <f>U123+AE123+AC123+AD123</f>
        <v>0</v>
      </c>
      <c r="AG123">
        <f>DX123*AU123*(DS123-DR123*(1000-AU123*DU123)/(1000-AU123*DT123))/(100*DL123)</f>
        <v>0</v>
      </c>
      <c r="AH123">
        <f>1000*DX123*AU123*(DT123-DU123)/(100*DL123*(1000-AU123*DT123))</f>
        <v>0</v>
      </c>
      <c r="AI123">
        <f>(AJ123 - AK123 - DY123*1E3/(8.314*(EA123+273.15)) * AM123/DX123 * AL123) * DX123/(100*DL123) * (1000 - DU123)/1000</f>
        <v>0</v>
      </c>
      <c r="AJ123">
        <v>404.466769829252</v>
      </c>
      <c r="AK123">
        <v>396.6624</v>
      </c>
      <c r="AL123">
        <v>-1.83992313089766</v>
      </c>
      <c r="AM123">
        <v>65.2210784119795</v>
      </c>
      <c r="AN123">
        <f>(AP123 - AO123 + DY123*1E3/(8.314*(EA123+273.15)) * AR123/DX123 * AQ123) * DX123/(100*DL123) * 1000/(1000 - AP123)</f>
        <v>0</v>
      </c>
      <c r="AO123">
        <v>9.7604128524742</v>
      </c>
      <c r="AP123">
        <v>11.8226157575758</v>
      </c>
      <c r="AQ123">
        <v>-7.46935865553318e-06</v>
      </c>
      <c r="AR123">
        <v>115.574510355221</v>
      </c>
      <c r="AS123">
        <v>0</v>
      </c>
      <c r="AT123">
        <v>0</v>
      </c>
      <c r="AU123">
        <f>IF(AS123*$H$13&gt;=AW123,1.0,(AW123/(AW123-AS123*$H$13)))</f>
        <v>0</v>
      </c>
      <c r="AV123">
        <f>(AU123-1)*100</f>
        <v>0</v>
      </c>
      <c r="AW123">
        <f>MAX(0,($B$13+$C$13*EF123)/(1+$D$13*EF123)*DY123/(EA123+273)*$E$13)</f>
        <v>0</v>
      </c>
      <c r="AX123" t="s">
        <v>437</v>
      </c>
      <c r="AY123" t="s">
        <v>437</v>
      </c>
      <c r="AZ123">
        <v>0</v>
      </c>
      <c r="BA123">
        <v>0</v>
      </c>
      <c r="BB123">
        <f>1-AZ123/BA123</f>
        <v>0</v>
      </c>
      <c r="BC123">
        <v>0</v>
      </c>
      <c r="BD123" t="s">
        <v>437</v>
      </c>
      <c r="BE123" t="s">
        <v>437</v>
      </c>
      <c r="BF123">
        <v>0</v>
      </c>
      <c r="BG123">
        <v>0</v>
      </c>
      <c r="BH123">
        <f>1-BF123/BG123</f>
        <v>0</v>
      </c>
      <c r="BI123">
        <v>0.5</v>
      </c>
      <c r="BJ123">
        <f>DI123</f>
        <v>0</v>
      </c>
      <c r="BK123">
        <f>L123</f>
        <v>0</v>
      </c>
      <c r="BL123">
        <f>BH123*BI123*BJ123</f>
        <v>0</v>
      </c>
      <c r="BM123">
        <f>(BK123-BC123)/BJ123</f>
        <v>0</v>
      </c>
      <c r="BN123">
        <f>(BA123-BG123)/BG123</f>
        <v>0</v>
      </c>
      <c r="BO123">
        <f>AZ123/(BB123+AZ123/BG123)</f>
        <v>0</v>
      </c>
      <c r="BP123" t="s">
        <v>437</v>
      </c>
      <c r="BQ123">
        <v>0</v>
      </c>
      <c r="BR123">
        <f>IF(BQ123&lt;&gt;0, BQ123, BO123)</f>
        <v>0</v>
      </c>
      <c r="BS123">
        <f>1-BR123/BG123</f>
        <v>0</v>
      </c>
      <c r="BT123">
        <f>(BG123-BF123)/(BG123-BR123)</f>
        <v>0</v>
      </c>
      <c r="BU123">
        <f>(BA123-BG123)/(BA123-BR123)</f>
        <v>0</v>
      </c>
      <c r="BV123">
        <f>(BG123-BF123)/(BG123-AZ123)</f>
        <v>0</v>
      </c>
      <c r="BW123">
        <f>(BA123-BG123)/(BA123-AZ123)</f>
        <v>0</v>
      </c>
      <c r="BX123">
        <f>(BT123*BR123/BF123)</f>
        <v>0</v>
      </c>
      <c r="BY123">
        <f>(1-BX123)</f>
        <v>0</v>
      </c>
      <c r="BZ123">
        <v>282</v>
      </c>
      <c r="CA123">
        <v>290</v>
      </c>
      <c r="CB123">
        <v>1577.74</v>
      </c>
      <c r="CC123">
        <v>295</v>
      </c>
      <c r="CD123">
        <v>5140.93</v>
      </c>
      <c r="CE123">
        <v>1578.58</v>
      </c>
      <c r="CF123">
        <v>-0.84</v>
      </c>
      <c r="CG123">
        <v>300</v>
      </c>
      <c r="CH123">
        <v>23.8</v>
      </c>
      <c r="CI123">
        <v>1633.28263291266</v>
      </c>
      <c r="CJ123">
        <v>1.49577129053257</v>
      </c>
      <c r="CK123">
        <v>-28.1203876934379</v>
      </c>
      <c r="CL123">
        <v>0.666413418688897</v>
      </c>
      <c r="CM123">
        <v>0.984518017981194</v>
      </c>
      <c r="CN123">
        <v>-0.00424727541713014</v>
      </c>
      <c r="CO123">
        <v>290</v>
      </c>
      <c r="CP123">
        <v>1576.56</v>
      </c>
      <c r="CQ123">
        <v>775</v>
      </c>
      <c r="CR123">
        <v>5139.5</v>
      </c>
      <c r="CS123">
        <v>1578.57</v>
      </c>
      <c r="CT123">
        <v>-2.01</v>
      </c>
      <c r="DH123">
        <f>$B$11*EG123+$C$11*EH123+$F$11*ES123*(1-EV123)</f>
        <v>0</v>
      </c>
      <c r="DI123">
        <f>DH123*DJ123</f>
        <v>0</v>
      </c>
      <c r="DJ123">
        <f>($B$11*$D$9+$C$11*$D$9+$F$11*((FF123+EX123)/MAX(FF123+EX123+FG123, 0.1)*$I$9+FG123/MAX(FF123+EX123+FG123, 0.1)*$J$9))/($B$11+$C$11+$F$11)</f>
        <v>0</v>
      </c>
      <c r="DK123">
        <f>($B$11*$K$9+$C$11*$K$9+$F$11*((FF123+EX123)/MAX(FF123+EX123+FG123, 0.1)*$P$9+FG123/MAX(FF123+EX123+FG123, 0.1)*$Q$9))/($B$11+$C$11+$F$11)</f>
        <v>0</v>
      </c>
      <c r="DL123">
        <v>6</v>
      </c>
      <c r="DM123">
        <v>0.5</v>
      </c>
      <c r="DN123" t="s">
        <v>438</v>
      </c>
      <c r="DO123">
        <v>2</v>
      </c>
      <c r="DP123" t="b">
        <v>1</v>
      </c>
      <c r="DQ123">
        <v>1760991773.84615</v>
      </c>
      <c r="DR123">
        <v>399.929923076923</v>
      </c>
      <c r="DS123">
        <v>410.630769230769</v>
      </c>
      <c r="DT123">
        <v>11.8239307692308</v>
      </c>
      <c r="DU123">
        <v>9.76393307692308</v>
      </c>
      <c r="DV123">
        <v>397.124230769231</v>
      </c>
      <c r="DW123">
        <v>11.9349846153846</v>
      </c>
      <c r="DX123">
        <v>500.012846153846</v>
      </c>
      <c r="DY123">
        <v>89.8359384615385</v>
      </c>
      <c r="DZ123">
        <v>0.00963772</v>
      </c>
      <c r="EA123">
        <v>18.4301153846154</v>
      </c>
      <c r="EB123">
        <v>17.9998230769231</v>
      </c>
      <c r="EC123">
        <v>999.9</v>
      </c>
      <c r="ED123">
        <v>0</v>
      </c>
      <c r="EE123">
        <v>0</v>
      </c>
      <c r="EF123">
        <v>10020.0615384615</v>
      </c>
      <c r="EG123">
        <v>0</v>
      </c>
      <c r="EH123">
        <v>1278.96</v>
      </c>
      <c r="EI123">
        <v>-10.7008992307692</v>
      </c>
      <c r="EJ123">
        <v>404.715153846154</v>
      </c>
      <c r="EK123">
        <v>414.679615384615</v>
      </c>
      <c r="EL123">
        <v>2.06000153846154</v>
      </c>
      <c r="EM123">
        <v>410.630769230769</v>
      </c>
      <c r="EN123">
        <v>9.76393307692308</v>
      </c>
      <c r="EO123">
        <v>1.06221307692308</v>
      </c>
      <c r="EP123">
        <v>0.877151846153846</v>
      </c>
      <c r="EQ123">
        <v>7.79888076923077</v>
      </c>
      <c r="ER123">
        <v>5.02123923076923</v>
      </c>
      <c r="ES123">
        <v>1200.00538461538</v>
      </c>
      <c r="ET123">
        <v>0.966996</v>
      </c>
      <c r="EU123">
        <v>0.033004</v>
      </c>
      <c r="EV123">
        <v>0</v>
      </c>
      <c r="EW123">
        <v>1327.06538461538</v>
      </c>
      <c r="EX123">
        <v>5.00059</v>
      </c>
      <c r="EY123">
        <v>15633.2615384615</v>
      </c>
      <c r="EZ123">
        <v>10358.7307692308</v>
      </c>
      <c r="FA123">
        <v>37.3219230769231</v>
      </c>
      <c r="FB123">
        <v>38.9469230769231</v>
      </c>
      <c r="FC123">
        <v>37.7449230769231</v>
      </c>
      <c r="FD123">
        <v>38.2930769230769</v>
      </c>
      <c r="FE123">
        <v>38.2016923076923</v>
      </c>
      <c r="FF123">
        <v>1155.56538461538</v>
      </c>
      <c r="FG123">
        <v>39.44</v>
      </c>
      <c r="FH123">
        <v>0</v>
      </c>
      <c r="FI123">
        <v>638</v>
      </c>
      <c r="FJ123">
        <v>0</v>
      </c>
      <c r="FK123">
        <v>1326.8308</v>
      </c>
      <c r="FL123">
        <v>-6.76000001271503</v>
      </c>
      <c r="FM123">
        <v>-114.26153864388</v>
      </c>
      <c r="FN123">
        <v>15630.8</v>
      </c>
      <c r="FO123">
        <v>15</v>
      </c>
      <c r="FP123">
        <v>0</v>
      </c>
      <c r="FQ123" t="s">
        <v>439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-12.3393475</v>
      </c>
      <c r="GD123">
        <v>55.9764888721804</v>
      </c>
      <c r="GE123">
        <v>5.83559412350009</v>
      </c>
      <c r="GF123">
        <v>0</v>
      </c>
      <c r="GG123">
        <v>1327.49705882353</v>
      </c>
      <c r="GH123">
        <v>-9.81115354380719</v>
      </c>
      <c r="GI123">
        <v>0.998771390588167</v>
      </c>
      <c r="GJ123">
        <v>-1</v>
      </c>
      <c r="GK123">
        <v>2.0596165</v>
      </c>
      <c r="GL123">
        <v>0.0137860150375903</v>
      </c>
      <c r="GM123">
        <v>0.00155654834489645</v>
      </c>
      <c r="GN123">
        <v>1</v>
      </c>
      <c r="GO123">
        <v>1</v>
      </c>
      <c r="GP123">
        <v>2</v>
      </c>
      <c r="GQ123" t="s">
        <v>446</v>
      </c>
      <c r="GR123">
        <v>3.13095</v>
      </c>
      <c r="GS123">
        <v>2.68734</v>
      </c>
      <c r="GT123">
        <v>0.0846192</v>
      </c>
      <c r="GU123">
        <v>0.0852799</v>
      </c>
      <c r="GV123">
        <v>0.0617324</v>
      </c>
      <c r="GW123">
        <v>0.053119</v>
      </c>
      <c r="GX123">
        <v>34689.7</v>
      </c>
      <c r="GY123">
        <v>37250.1</v>
      </c>
      <c r="GZ123">
        <v>34264.7</v>
      </c>
      <c r="HA123">
        <v>36848.8</v>
      </c>
      <c r="HB123">
        <v>45347.7</v>
      </c>
      <c r="HC123">
        <v>50030</v>
      </c>
      <c r="HD123">
        <v>53338.4</v>
      </c>
      <c r="HE123">
        <v>58776.9</v>
      </c>
      <c r="HF123">
        <v>2.00837</v>
      </c>
      <c r="HG123">
        <v>1.83498</v>
      </c>
      <c r="HH123">
        <v>0.00754371</v>
      </c>
      <c r="HI123">
        <v>0</v>
      </c>
      <c r="HJ123">
        <v>17.8609</v>
      </c>
      <c r="HK123">
        <v>999.9</v>
      </c>
      <c r="HL123">
        <v>27.31</v>
      </c>
      <c r="HM123">
        <v>30.504</v>
      </c>
      <c r="HN123">
        <v>13.3324</v>
      </c>
      <c r="HO123">
        <v>52.8891</v>
      </c>
      <c r="HP123">
        <v>44.4712</v>
      </c>
      <c r="HQ123">
        <v>1</v>
      </c>
      <c r="HR123">
        <v>-0.265033</v>
      </c>
      <c r="HS123">
        <v>4.538</v>
      </c>
      <c r="HT123">
        <v>20.0785</v>
      </c>
      <c r="HU123">
        <v>5.20172</v>
      </c>
      <c r="HV123">
        <v>12.004</v>
      </c>
      <c r="HW123">
        <v>4.9756</v>
      </c>
      <c r="HX123">
        <v>3.29298</v>
      </c>
      <c r="HY123">
        <v>9999</v>
      </c>
      <c r="HZ123">
        <v>999.9</v>
      </c>
      <c r="IA123">
        <v>9999</v>
      </c>
      <c r="IB123">
        <v>9999</v>
      </c>
      <c r="IC123">
        <v>1.86325</v>
      </c>
      <c r="ID123">
        <v>1.86808</v>
      </c>
      <c r="IE123">
        <v>1.86783</v>
      </c>
      <c r="IF123">
        <v>1.86905</v>
      </c>
      <c r="IG123">
        <v>1.86981</v>
      </c>
      <c r="IH123">
        <v>1.86584</v>
      </c>
      <c r="II123">
        <v>1.86692</v>
      </c>
      <c r="IJ123">
        <v>1.86838</v>
      </c>
      <c r="IK123">
        <v>5</v>
      </c>
      <c r="IL123">
        <v>0</v>
      </c>
      <c r="IM123">
        <v>0</v>
      </c>
      <c r="IN123">
        <v>0</v>
      </c>
      <c r="IO123" t="s">
        <v>441</v>
      </c>
      <c r="IP123" t="s">
        <v>442</v>
      </c>
      <c r="IQ123" t="s">
        <v>443</v>
      </c>
      <c r="IR123" t="s">
        <v>443</v>
      </c>
      <c r="IS123" t="s">
        <v>443</v>
      </c>
      <c r="IT123" t="s">
        <v>443</v>
      </c>
      <c r="IU123">
        <v>0</v>
      </c>
      <c r="IV123">
        <v>100</v>
      </c>
      <c r="IW123">
        <v>100</v>
      </c>
      <c r="IX123">
        <v>2.767</v>
      </c>
      <c r="IY123">
        <v>-0.111</v>
      </c>
      <c r="IZ123">
        <v>1.12474291219083</v>
      </c>
      <c r="JA123">
        <v>0.00463155566490582</v>
      </c>
      <c r="JB123">
        <v>-1.1358998729424e-06</v>
      </c>
      <c r="JC123">
        <v>3.28704272115545e-10</v>
      </c>
      <c r="JD123">
        <v>-0.0704455108513773</v>
      </c>
      <c r="JE123">
        <v>-0.0251928478371425</v>
      </c>
      <c r="JF123">
        <v>0.00225751704194564</v>
      </c>
      <c r="JG123">
        <v>-3.61734043746866e-05</v>
      </c>
      <c r="JH123">
        <v>1</v>
      </c>
      <c r="JI123">
        <v>2182</v>
      </c>
      <c r="JJ123">
        <v>0</v>
      </c>
      <c r="JK123">
        <v>24</v>
      </c>
      <c r="JL123">
        <v>29349863</v>
      </c>
      <c r="JM123">
        <v>29349863</v>
      </c>
      <c r="JN123">
        <v>0.92041</v>
      </c>
      <c r="JO123">
        <v>2.62451</v>
      </c>
      <c r="JP123">
        <v>1.54785</v>
      </c>
      <c r="JQ123">
        <v>2.31323</v>
      </c>
      <c r="JR123">
        <v>1.64673</v>
      </c>
      <c r="JS123">
        <v>2.34009</v>
      </c>
      <c r="JT123">
        <v>33.7381</v>
      </c>
      <c r="JU123">
        <v>24.1838</v>
      </c>
      <c r="JV123">
        <v>18</v>
      </c>
      <c r="JW123">
        <v>500.27</v>
      </c>
      <c r="JX123">
        <v>392.846</v>
      </c>
      <c r="JY123">
        <v>11.5297</v>
      </c>
      <c r="JZ123">
        <v>23.945</v>
      </c>
      <c r="KA123">
        <v>29.9996</v>
      </c>
      <c r="KB123">
        <v>23.9063</v>
      </c>
      <c r="KC123">
        <v>23.8696</v>
      </c>
      <c r="KD123">
        <v>18.3245</v>
      </c>
      <c r="KE123">
        <v>12.9733</v>
      </c>
      <c r="KF123">
        <v>27.2762</v>
      </c>
      <c r="KG123">
        <v>11.5775</v>
      </c>
      <c r="KH123">
        <v>365.891</v>
      </c>
      <c r="KI123">
        <v>9.80398</v>
      </c>
      <c r="KJ123">
        <v>97.0391</v>
      </c>
      <c r="KK123">
        <v>95.3035</v>
      </c>
    </row>
    <row r="124" spans="1:297">
      <c r="A124">
        <v>108</v>
      </c>
      <c r="B124">
        <v>1760991787</v>
      </c>
      <c r="C124">
        <v>2596.90000009537</v>
      </c>
      <c r="D124" t="s">
        <v>669</v>
      </c>
      <c r="E124" t="s">
        <v>670</v>
      </c>
      <c r="F124">
        <v>5</v>
      </c>
      <c r="G124" t="s">
        <v>662</v>
      </c>
      <c r="H124" t="s">
        <v>436</v>
      </c>
      <c r="I124">
        <v>1760991778.84615</v>
      </c>
      <c r="J124">
        <f>(K124)/1000</f>
        <v>0</v>
      </c>
      <c r="K124">
        <f>IF(DP124, AN124, AH124)</f>
        <v>0</v>
      </c>
      <c r="L124">
        <f>IF(DP124, AI124, AG124)</f>
        <v>0</v>
      </c>
      <c r="M124">
        <f>DR124 - IF(AU124&gt;1, L124*DL124*100.0/(AW124), 0)</f>
        <v>0</v>
      </c>
      <c r="N124">
        <f>((T124-J124/2)*M124-L124)/(T124+J124/2)</f>
        <v>0</v>
      </c>
      <c r="O124">
        <f>N124*(DY124+DZ124)/1000.0</f>
        <v>0</v>
      </c>
      <c r="P124">
        <f>(DR124 - IF(AU124&gt;1, L124*DL124*100.0/(AW124), 0))*(DY124+DZ124)/1000.0</f>
        <v>0</v>
      </c>
      <c r="Q124">
        <f>2.0/((1/S124-1/R124)+SIGN(S124)*SQRT((1/S124-1/R124)*(1/S124-1/R124) + 4*DM124/((DM124+1)*(DM124+1))*(2*1/S124*1/R124-1/R124*1/R124)))</f>
        <v>0</v>
      </c>
      <c r="R124">
        <f>IF(LEFT(DN124,1)&lt;&gt;"0",IF(LEFT(DN124,1)="1",3.0,DO124),$D$5+$E$5*(EF124*DY124/($K$5*1000))+$F$5*(EF124*DY124/($K$5*1000))*MAX(MIN(DL124,$J$5),$I$5)*MAX(MIN(DL124,$J$5),$I$5)+$G$5*MAX(MIN(DL124,$J$5),$I$5)*(EF124*DY124/($K$5*1000))+$H$5*(EF124*DY124/($K$5*1000))*(EF124*DY124/($K$5*1000)))</f>
        <v>0</v>
      </c>
      <c r="S124">
        <f>J124*(1000-(1000*0.61365*exp(17.502*W124/(240.97+W124))/(DY124+DZ124)+DT124)/2)/(1000*0.61365*exp(17.502*W124/(240.97+W124))/(DY124+DZ124)-DT124)</f>
        <v>0</v>
      </c>
      <c r="T124">
        <f>1/((DM124+1)/(Q124/1.6)+1/(R124/1.37)) + DM124/((DM124+1)/(Q124/1.6) + DM124/(R124/1.37))</f>
        <v>0</v>
      </c>
      <c r="U124">
        <f>(DH124*DK124)</f>
        <v>0</v>
      </c>
      <c r="V124">
        <f>(EA124+(U124+2*0.95*5.67E-8*(((EA124+$B$7)+273)^4-(EA124+273)^4)-44100*J124)/(1.84*29.3*R124+8*0.95*5.67E-8*(EA124+273)^3))</f>
        <v>0</v>
      </c>
      <c r="W124">
        <f>($C$7*EB124+$D$7*EC124+$E$7*V124)</f>
        <v>0</v>
      </c>
      <c r="X124">
        <f>0.61365*exp(17.502*W124/(240.97+W124))</f>
        <v>0</v>
      </c>
      <c r="Y124">
        <f>(Z124/AA124*100)</f>
        <v>0</v>
      </c>
      <c r="Z124">
        <f>DT124*(DY124+DZ124)/1000</f>
        <v>0</v>
      </c>
      <c r="AA124">
        <f>0.61365*exp(17.502*EA124/(240.97+EA124))</f>
        <v>0</v>
      </c>
      <c r="AB124">
        <f>(X124-DT124*(DY124+DZ124)/1000)</f>
        <v>0</v>
      </c>
      <c r="AC124">
        <f>(-J124*44100)</f>
        <v>0</v>
      </c>
      <c r="AD124">
        <f>2*29.3*R124*0.92*(EA124-W124)</f>
        <v>0</v>
      </c>
      <c r="AE124">
        <f>2*0.95*5.67E-8*(((EA124+$B$7)+273)^4-(W124+273)^4)</f>
        <v>0</v>
      </c>
      <c r="AF124">
        <f>U124+AE124+AC124+AD124</f>
        <v>0</v>
      </c>
      <c r="AG124">
        <f>DX124*AU124*(DS124-DR124*(1000-AU124*DU124)/(1000-AU124*DT124))/(100*DL124)</f>
        <v>0</v>
      </c>
      <c r="AH124">
        <f>1000*DX124*AU124*(DT124-DU124)/(100*DL124*(1000-AU124*DT124))</f>
        <v>0</v>
      </c>
      <c r="AI124">
        <f>(AJ124 - AK124 - DY124*1E3/(8.314*(EA124+273.15)) * AM124/DX124 * AL124) * DX124/(100*DL124) * (1000 - DU124)/1000</f>
        <v>0</v>
      </c>
      <c r="AJ124">
        <v>389.020139212858</v>
      </c>
      <c r="AK124">
        <v>384.912393939394</v>
      </c>
      <c r="AL124">
        <v>-2.44888415702548</v>
      </c>
      <c r="AM124">
        <v>65.2210784119795</v>
      </c>
      <c r="AN124">
        <f>(AP124 - AO124 + DY124*1E3/(8.314*(EA124+273.15)) * AR124/DX124 * AQ124) * DX124/(100*DL124) * 1000/(1000 - AP124)</f>
        <v>0</v>
      </c>
      <c r="AO124">
        <v>9.75777012046197</v>
      </c>
      <c r="AP124">
        <v>11.8288545454545</v>
      </c>
      <c r="AQ124">
        <v>0.000102087252872588</v>
      </c>
      <c r="AR124">
        <v>115.574510355221</v>
      </c>
      <c r="AS124">
        <v>0</v>
      </c>
      <c r="AT124">
        <v>0</v>
      </c>
      <c r="AU124">
        <f>IF(AS124*$H$13&gt;=AW124,1.0,(AW124/(AW124-AS124*$H$13)))</f>
        <v>0</v>
      </c>
      <c r="AV124">
        <f>(AU124-1)*100</f>
        <v>0</v>
      </c>
      <c r="AW124">
        <f>MAX(0,($B$13+$C$13*EF124)/(1+$D$13*EF124)*DY124/(EA124+273)*$E$13)</f>
        <v>0</v>
      </c>
      <c r="AX124" t="s">
        <v>437</v>
      </c>
      <c r="AY124" t="s">
        <v>437</v>
      </c>
      <c r="AZ124">
        <v>0</v>
      </c>
      <c r="BA124">
        <v>0</v>
      </c>
      <c r="BB124">
        <f>1-AZ124/BA124</f>
        <v>0</v>
      </c>
      <c r="BC124">
        <v>0</v>
      </c>
      <c r="BD124" t="s">
        <v>437</v>
      </c>
      <c r="BE124" t="s">
        <v>437</v>
      </c>
      <c r="BF124">
        <v>0</v>
      </c>
      <c r="BG124">
        <v>0</v>
      </c>
      <c r="BH124">
        <f>1-BF124/BG124</f>
        <v>0</v>
      </c>
      <c r="BI124">
        <v>0.5</v>
      </c>
      <c r="BJ124">
        <f>DI124</f>
        <v>0</v>
      </c>
      <c r="BK124">
        <f>L124</f>
        <v>0</v>
      </c>
      <c r="BL124">
        <f>BH124*BI124*BJ124</f>
        <v>0</v>
      </c>
      <c r="BM124">
        <f>(BK124-BC124)/BJ124</f>
        <v>0</v>
      </c>
      <c r="BN124">
        <f>(BA124-BG124)/BG124</f>
        <v>0</v>
      </c>
      <c r="BO124">
        <f>AZ124/(BB124+AZ124/BG124)</f>
        <v>0</v>
      </c>
      <c r="BP124" t="s">
        <v>437</v>
      </c>
      <c r="BQ124">
        <v>0</v>
      </c>
      <c r="BR124">
        <f>IF(BQ124&lt;&gt;0, BQ124, BO124)</f>
        <v>0</v>
      </c>
      <c r="BS124">
        <f>1-BR124/BG124</f>
        <v>0</v>
      </c>
      <c r="BT124">
        <f>(BG124-BF124)/(BG124-BR124)</f>
        <v>0</v>
      </c>
      <c r="BU124">
        <f>(BA124-BG124)/(BA124-BR124)</f>
        <v>0</v>
      </c>
      <c r="BV124">
        <f>(BG124-BF124)/(BG124-AZ124)</f>
        <v>0</v>
      </c>
      <c r="BW124">
        <f>(BA124-BG124)/(BA124-AZ124)</f>
        <v>0</v>
      </c>
      <c r="BX124">
        <f>(BT124*BR124/BF124)</f>
        <v>0</v>
      </c>
      <c r="BY124">
        <f>(1-BX124)</f>
        <v>0</v>
      </c>
      <c r="BZ124">
        <v>282</v>
      </c>
      <c r="CA124">
        <v>290</v>
      </c>
      <c r="CB124">
        <v>1577.74</v>
      </c>
      <c r="CC124">
        <v>295</v>
      </c>
      <c r="CD124">
        <v>5140.93</v>
      </c>
      <c r="CE124">
        <v>1578.58</v>
      </c>
      <c r="CF124">
        <v>-0.84</v>
      </c>
      <c r="CG124">
        <v>300</v>
      </c>
      <c r="CH124">
        <v>23.8</v>
      </c>
      <c r="CI124">
        <v>1633.28263291266</v>
      </c>
      <c r="CJ124">
        <v>1.49577129053257</v>
      </c>
      <c r="CK124">
        <v>-28.1203876934379</v>
      </c>
      <c r="CL124">
        <v>0.666413418688897</v>
      </c>
      <c r="CM124">
        <v>0.984518017981194</v>
      </c>
      <c r="CN124">
        <v>-0.00424727541713014</v>
      </c>
      <c r="CO124">
        <v>290</v>
      </c>
      <c r="CP124">
        <v>1576.56</v>
      </c>
      <c r="CQ124">
        <v>775</v>
      </c>
      <c r="CR124">
        <v>5139.5</v>
      </c>
      <c r="CS124">
        <v>1578.57</v>
      </c>
      <c r="CT124">
        <v>-2.01</v>
      </c>
      <c r="DH124">
        <f>$B$11*EG124+$C$11*EH124+$F$11*ES124*(1-EV124)</f>
        <v>0</v>
      </c>
      <c r="DI124">
        <f>DH124*DJ124</f>
        <v>0</v>
      </c>
      <c r="DJ124">
        <f>($B$11*$D$9+$C$11*$D$9+$F$11*((FF124+EX124)/MAX(FF124+EX124+FG124, 0.1)*$I$9+FG124/MAX(FF124+EX124+FG124, 0.1)*$J$9))/($B$11+$C$11+$F$11)</f>
        <v>0</v>
      </c>
      <c r="DK124">
        <f>($B$11*$K$9+$C$11*$K$9+$F$11*((FF124+EX124)/MAX(FF124+EX124+FG124, 0.1)*$P$9+FG124/MAX(FF124+EX124+FG124, 0.1)*$Q$9))/($B$11+$C$11+$F$11)</f>
        <v>0</v>
      </c>
      <c r="DL124">
        <v>6</v>
      </c>
      <c r="DM124">
        <v>0.5</v>
      </c>
      <c r="DN124" t="s">
        <v>438</v>
      </c>
      <c r="DO124">
        <v>2</v>
      </c>
      <c r="DP124" t="b">
        <v>1</v>
      </c>
      <c r="DQ124">
        <v>1760991778.84615</v>
      </c>
      <c r="DR124">
        <v>394.199307692308</v>
      </c>
      <c r="DS124">
        <v>398.981230769231</v>
      </c>
      <c r="DT124">
        <v>11.8245461538462</v>
      </c>
      <c r="DU124">
        <v>9.76141</v>
      </c>
      <c r="DV124">
        <v>391.415923076923</v>
      </c>
      <c r="DW124">
        <v>11.9355846153846</v>
      </c>
      <c r="DX124">
        <v>500.117846153846</v>
      </c>
      <c r="DY124">
        <v>89.8360307692308</v>
      </c>
      <c r="DZ124">
        <v>0.00928036923076923</v>
      </c>
      <c r="EA124">
        <v>18.4275538461538</v>
      </c>
      <c r="EB124">
        <v>17.9901230769231</v>
      </c>
      <c r="EC124">
        <v>999.9</v>
      </c>
      <c r="ED124">
        <v>0</v>
      </c>
      <c r="EE124">
        <v>0</v>
      </c>
      <c r="EF124">
        <v>10024.8153846154</v>
      </c>
      <c r="EG124">
        <v>0</v>
      </c>
      <c r="EH124">
        <v>1278.97538461538</v>
      </c>
      <c r="EI124">
        <v>-4.78195661538462</v>
      </c>
      <c r="EJ124">
        <v>398.916230769231</v>
      </c>
      <c r="EK124">
        <v>402.914230769231</v>
      </c>
      <c r="EL124">
        <v>2.06313769230769</v>
      </c>
      <c r="EM124">
        <v>398.981230769231</v>
      </c>
      <c r="EN124">
        <v>9.76141</v>
      </c>
      <c r="EO124">
        <v>1.06226923076923</v>
      </c>
      <c r="EP124">
        <v>0.876926230769231</v>
      </c>
      <c r="EQ124">
        <v>7.79965692307692</v>
      </c>
      <c r="ER124">
        <v>5.01754615384615</v>
      </c>
      <c r="ES124">
        <v>1200.02692307692</v>
      </c>
      <c r="ET124">
        <v>0.966996</v>
      </c>
      <c r="EU124">
        <v>0.033004</v>
      </c>
      <c r="EV124">
        <v>0</v>
      </c>
      <c r="EW124">
        <v>1326.66076923077</v>
      </c>
      <c r="EX124">
        <v>5.00059</v>
      </c>
      <c r="EY124">
        <v>15625.6</v>
      </c>
      <c r="EZ124">
        <v>10358.9153846154</v>
      </c>
      <c r="FA124">
        <v>37.2641538461538</v>
      </c>
      <c r="FB124">
        <v>38.8891538461538</v>
      </c>
      <c r="FC124">
        <v>37.6921538461538</v>
      </c>
      <c r="FD124">
        <v>38.2161538461539</v>
      </c>
      <c r="FE124">
        <v>38.1439230769231</v>
      </c>
      <c r="FF124">
        <v>1155.58692307692</v>
      </c>
      <c r="FG124">
        <v>39.44</v>
      </c>
      <c r="FH124">
        <v>0</v>
      </c>
      <c r="FI124">
        <v>642.800000190735</v>
      </c>
      <c r="FJ124">
        <v>0</v>
      </c>
      <c r="FK124">
        <v>1326.5076</v>
      </c>
      <c r="FL124">
        <v>-1.93769229859012</v>
      </c>
      <c r="FM124">
        <v>-60.5769230036398</v>
      </c>
      <c r="FN124">
        <v>15623.948</v>
      </c>
      <c r="FO124">
        <v>15</v>
      </c>
      <c r="FP124">
        <v>0</v>
      </c>
      <c r="FQ124" t="s">
        <v>439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-8.07806142857143</v>
      </c>
      <c r="GD124">
        <v>73.0968969350649</v>
      </c>
      <c r="GE124">
        <v>7.49253413042715</v>
      </c>
      <c r="GF124">
        <v>0</v>
      </c>
      <c r="GG124">
        <v>1326.89852941176</v>
      </c>
      <c r="GH124">
        <v>-5.84186402159625</v>
      </c>
      <c r="GI124">
        <v>0.672279407743626</v>
      </c>
      <c r="GJ124">
        <v>-1</v>
      </c>
      <c r="GK124">
        <v>2.06171333333333</v>
      </c>
      <c r="GL124">
        <v>0.0327288311688327</v>
      </c>
      <c r="GM124">
        <v>0.00368067066007491</v>
      </c>
      <c r="GN124">
        <v>1</v>
      </c>
      <c r="GO124">
        <v>1</v>
      </c>
      <c r="GP124">
        <v>2</v>
      </c>
      <c r="GQ124" t="s">
        <v>446</v>
      </c>
      <c r="GR124">
        <v>3.13067</v>
      </c>
      <c r="GS124">
        <v>2.68644</v>
      </c>
      <c r="GT124">
        <v>0.082523</v>
      </c>
      <c r="GU124">
        <v>0.082371</v>
      </c>
      <c r="GV124">
        <v>0.0617563</v>
      </c>
      <c r="GW124">
        <v>0.0531056</v>
      </c>
      <c r="GX124">
        <v>34769.2</v>
      </c>
      <c r="GY124">
        <v>37368.8</v>
      </c>
      <c r="GZ124">
        <v>34264.7</v>
      </c>
      <c r="HA124">
        <v>36849</v>
      </c>
      <c r="HB124">
        <v>45346.4</v>
      </c>
      <c r="HC124">
        <v>50030.3</v>
      </c>
      <c r="HD124">
        <v>53338.6</v>
      </c>
      <c r="HE124">
        <v>58776.8</v>
      </c>
      <c r="HF124">
        <v>2.008</v>
      </c>
      <c r="HG124">
        <v>1.83525</v>
      </c>
      <c r="HH124">
        <v>0.00789762</v>
      </c>
      <c r="HI124">
        <v>0</v>
      </c>
      <c r="HJ124">
        <v>17.8597</v>
      </c>
      <c r="HK124">
        <v>999.9</v>
      </c>
      <c r="HL124">
        <v>27.31</v>
      </c>
      <c r="HM124">
        <v>30.504</v>
      </c>
      <c r="HN124">
        <v>13.3329</v>
      </c>
      <c r="HO124">
        <v>54.0991</v>
      </c>
      <c r="HP124">
        <v>44.4712</v>
      </c>
      <c r="HQ124">
        <v>1</v>
      </c>
      <c r="HR124">
        <v>-0.265379</v>
      </c>
      <c r="HS124">
        <v>4.56939</v>
      </c>
      <c r="HT124">
        <v>20.0777</v>
      </c>
      <c r="HU124">
        <v>5.20217</v>
      </c>
      <c r="HV124">
        <v>12.0041</v>
      </c>
      <c r="HW124">
        <v>4.97575</v>
      </c>
      <c r="HX124">
        <v>3.29295</v>
      </c>
      <c r="HY124">
        <v>9999</v>
      </c>
      <c r="HZ124">
        <v>999.9</v>
      </c>
      <c r="IA124">
        <v>9999</v>
      </c>
      <c r="IB124">
        <v>9999</v>
      </c>
      <c r="IC124">
        <v>1.86325</v>
      </c>
      <c r="ID124">
        <v>1.86808</v>
      </c>
      <c r="IE124">
        <v>1.86783</v>
      </c>
      <c r="IF124">
        <v>1.86904</v>
      </c>
      <c r="IG124">
        <v>1.86981</v>
      </c>
      <c r="IH124">
        <v>1.86585</v>
      </c>
      <c r="II124">
        <v>1.86692</v>
      </c>
      <c r="IJ124">
        <v>1.86838</v>
      </c>
      <c r="IK124">
        <v>5</v>
      </c>
      <c r="IL124">
        <v>0</v>
      </c>
      <c r="IM124">
        <v>0</v>
      </c>
      <c r="IN124">
        <v>0</v>
      </c>
      <c r="IO124" t="s">
        <v>441</v>
      </c>
      <c r="IP124" t="s">
        <v>442</v>
      </c>
      <c r="IQ124" t="s">
        <v>443</v>
      </c>
      <c r="IR124" t="s">
        <v>443</v>
      </c>
      <c r="IS124" t="s">
        <v>443</v>
      </c>
      <c r="IT124" t="s">
        <v>443</v>
      </c>
      <c r="IU124">
        <v>0</v>
      </c>
      <c r="IV124">
        <v>100</v>
      </c>
      <c r="IW124">
        <v>100</v>
      </c>
      <c r="IX124">
        <v>2.719</v>
      </c>
      <c r="IY124">
        <v>-0.111</v>
      </c>
      <c r="IZ124">
        <v>1.12474291219083</v>
      </c>
      <c r="JA124">
        <v>0.00463155566490582</v>
      </c>
      <c r="JB124">
        <v>-1.1358998729424e-06</v>
      </c>
      <c r="JC124">
        <v>3.28704272115545e-10</v>
      </c>
      <c r="JD124">
        <v>-0.0704455108513773</v>
      </c>
      <c r="JE124">
        <v>-0.0251928478371425</v>
      </c>
      <c r="JF124">
        <v>0.00225751704194564</v>
      </c>
      <c r="JG124">
        <v>-3.61734043746866e-05</v>
      </c>
      <c r="JH124">
        <v>1</v>
      </c>
      <c r="JI124">
        <v>2182</v>
      </c>
      <c r="JJ124">
        <v>0</v>
      </c>
      <c r="JK124">
        <v>24</v>
      </c>
      <c r="JL124">
        <v>29349863.1</v>
      </c>
      <c r="JM124">
        <v>29349863.1</v>
      </c>
      <c r="JN124">
        <v>0.88623</v>
      </c>
      <c r="JO124">
        <v>2.62939</v>
      </c>
      <c r="JP124">
        <v>1.54785</v>
      </c>
      <c r="JQ124">
        <v>2.31323</v>
      </c>
      <c r="JR124">
        <v>1.64673</v>
      </c>
      <c r="JS124">
        <v>2.32056</v>
      </c>
      <c r="JT124">
        <v>33.7381</v>
      </c>
      <c r="JU124">
        <v>24.1838</v>
      </c>
      <c r="JV124">
        <v>18</v>
      </c>
      <c r="JW124">
        <v>500.039</v>
      </c>
      <c r="JX124">
        <v>393.004</v>
      </c>
      <c r="JY124">
        <v>11.5686</v>
      </c>
      <c r="JZ124">
        <v>23.947</v>
      </c>
      <c r="KA124">
        <v>29.9998</v>
      </c>
      <c r="KB124">
        <v>23.9071</v>
      </c>
      <c r="KC124">
        <v>23.8714</v>
      </c>
      <c r="KD124">
        <v>17.7059</v>
      </c>
      <c r="KE124">
        <v>12.9733</v>
      </c>
      <c r="KF124">
        <v>27.2762</v>
      </c>
      <c r="KG124">
        <v>11.5866</v>
      </c>
      <c r="KH124">
        <v>352.372</v>
      </c>
      <c r="KI124">
        <v>9.80398</v>
      </c>
      <c r="KJ124">
        <v>97.0395</v>
      </c>
      <c r="KK124">
        <v>95.3037</v>
      </c>
    </row>
    <row r="125" spans="1:297">
      <c r="A125">
        <v>109</v>
      </c>
      <c r="B125">
        <v>1760991792</v>
      </c>
      <c r="C125">
        <v>2601.90000009537</v>
      </c>
      <c r="D125" t="s">
        <v>671</v>
      </c>
      <c r="E125" t="s">
        <v>672</v>
      </c>
      <c r="F125">
        <v>5</v>
      </c>
      <c r="G125" t="s">
        <v>662</v>
      </c>
      <c r="H125" t="s">
        <v>436</v>
      </c>
      <c r="I125">
        <v>1760991783.84615</v>
      </c>
      <c r="J125">
        <f>(K125)/1000</f>
        <v>0</v>
      </c>
      <c r="K125">
        <f>IF(DP125, AN125, AH125)</f>
        <v>0</v>
      </c>
      <c r="L125">
        <f>IF(DP125, AI125, AG125)</f>
        <v>0</v>
      </c>
      <c r="M125">
        <f>DR125 - IF(AU125&gt;1, L125*DL125*100.0/(AW125), 0)</f>
        <v>0</v>
      </c>
      <c r="N125">
        <f>((T125-J125/2)*M125-L125)/(T125+J125/2)</f>
        <v>0</v>
      </c>
      <c r="O125">
        <f>N125*(DY125+DZ125)/1000.0</f>
        <v>0</v>
      </c>
      <c r="P125">
        <f>(DR125 - IF(AU125&gt;1, L125*DL125*100.0/(AW125), 0))*(DY125+DZ125)/1000.0</f>
        <v>0</v>
      </c>
      <c r="Q125">
        <f>2.0/((1/S125-1/R125)+SIGN(S125)*SQRT((1/S125-1/R125)*(1/S125-1/R125) + 4*DM125/((DM125+1)*(DM125+1))*(2*1/S125*1/R125-1/R125*1/R125)))</f>
        <v>0</v>
      </c>
      <c r="R125">
        <f>IF(LEFT(DN125,1)&lt;&gt;"0",IF(LEFT(DN125,1)="1",3.0,DO125),$D$5+$E$5*(EF125*DY125/($K$5*1000))+$F$5*(EF125*DY125/($K$5*1000))*MAX(MIN(DL125,$J$5),$I$5)*MAX(MIN(DL125,$J$5),$I$5)+$G$5*MAX(MIN(DL125,$J$5),$I$5)*(EF125*DY125/($K$5*1000))+$H$5*(EF125*DY125/($K$5*1000))*(EF125*DY125/($K$5*1000)))</f>
        <v>0</v>
      </c>
      <c r="S125">
        <f>J125*(1000-(1000*0.61365*exp(17.502*W125/(240.97+W125))/(DY125+DZ125)+DT125)/2)/(1000*0.61365*exp(17.502*W125/(240.97+W125))/(DY125+DZ125)-DT125)</f>
        <v>0</v>
      </c>
      <c r="T125">
        <f>1/((DM125+1)/(Q125/1.6)+1/(R125/1.37)) + DM125/((DM125+1)/(Q125/1.6) + DM125/(R125/1.37))</f>
        <v>0</v>
      </c>
      <c r="U125">
        <f>(DH125*DK125)</f>
        <v>0</v>
      </c>
      <c r="V125">
        <f>(EA125+(U125+2*0.95*5.67E-8*(((EA125+$B$7)+273)^4-(EA125+273)^4)-44100*J125)/(1.84*29.3*R125+8*0.95*5.67E-8*(EA125+273)^3))</f>
        <v>0</v>
      </c>
      <c r="W125">
        <f>($C$7*EB125+$D$7*EC125+$E$7*V125)</f>
        <v>0</v>
      </c>
      <c r="X125">
        <f>0.61365*exp(17.502*W125/(240.97+W125))</f>
        <v>0</v>
      </c>
      <c r="Y125">
        <f>(Z125/AA125*100)</f>
        <v>0</v>
      </c>
      <c r="Z125">
        <f>DT125*(DY125+DZ125)/1000</f>
        <v>0</v>
      </c>
      <c r="AA125">
        <f>0.61365*exp(17.502*EA125/(240.97+EA125))</f>
        <v>0</v>
      </c>
      <c r="AB125">
        <f>(X125-DT125*(DY125+DZ125)/1000)</f>
        <v>0</v>
      </c>
      <c r="AC125">
        <f>(-J125*44100)</f>
        <v>0</v>
      </c>
      <c r="AD125">
        <f>2*29.3*R125*0.92*(EA125-W125)</f>
        <v>0</v>
      </c>
      <c r="AE125">
        <f>2*0.95*5.67E-8*(((EA125+$B$7)+273)^4-(W125+273)^4)</f>
        <v>0</v>
      </c>
      <c r="AF125">
        <f>U125+AE125+AC125+AD125</f>
        <v>0</v>
      </c>
      <c r="AG125">
        <f>DX125*AU125*(DS125-DR125*(1000-AU125*DU125)/(1000-AU125*DT125))/(100*DL125)</f>
        <v>0</v>
      </c>
      <c r="AH125">
        <f>1000*DX125*AU125*(DT125-DU125)/(100*DL125*(1000-AU125*DT125))</f>
        <v>0</v>
      </c>
      <c r="AI125">
        <f>(AJ125 - AK125 - DY125*1E3/(8.314*(EA125+273.15)) * AM125/DX125 * AL125) * DX125/(100*DL125) * (1000 - DU125)/1000</f>
        <v>0</v>
      </c>
      <c r="AJ125">
        <v>371.694048504748</v>
      </c>
      <c r="AK125">
        <v>370.342066666667</v>
      </c>
      <c r="AL125">
        <v>-2.96935515300417</v>
      </c>
      <c r="AM125">
        <v>65.2210784119795</v>
      </c>
      <c r="AN125">
        <f>(AP125 - AO125 + DY125*1E3/(8.314*(EA125+273.15)) * AR125/DX125 * AQ125) * DX125/(100*DL125) * 1000/(1000 - AP125)</f>
        <v>0</v>
      </c>
      <c r="AO125">
        <v>9.75422502081216</v>
      </c>
      <c r="AP125">
        <v>11.83282</v>
      </c>
      <c r="AQ125">
        <v>4.44615432632198e-05</v>
      </c>
      <c r="AR125">
        <v>115.574510355221</v>
      </c>
      <c r="AS125">
        <v>0</v>
      </c>
      <c r="AT125">
        <v>0</v>
      </c>
      <c r="AU125">
        <f>IF(AS125*$H$13&gt;=AW125,1.0,(AW125/(AW125-AS125*$H$13)))</f>
        <v>0</v>
      </c>
      <c r="AV125">
        <f>(AU125-1)*100</f>
        <v>0</v>
      </c>
      <c r="AW125">
        <f>MAX(0,($B$13+$C$13*EF125)/(1+$D$13*EF125)*DY125/(EA125+273)*$E$13)</f>
        <v>0</v>
      </c>
      <c r="AX125" t="s">
        <v>437</v>
      </c>
      <c r="AY125" t="s">
        <v>437</v>
      </c>
      <c r="AZ125">
        <v>0</v>
      </c>
      <c r="BA125">
        <v>0</v>
      </c>
      <c r="BB125">
        <f>1-AZ125/BA125</f>
        <v>0</v>
      </c>
      <c r="BC125">
        <v>0</v>
      </c>
      <c r="BD125" t="s">
        <v>437</v>
      </c>
      <c r="BE125" t="s">
        <v>437</v>
      </c>
      <c r="BF125">
        <v>0</v>
      </c>
      <c r="BG125">
        <v>0</v>
      </c>
      <c r="BH125">
        <f>1-BF125/BG125</f>
        <v>0</v>
      </c>
      <c r="BI125">
        <v>0.5</v>
      </c>
      <c r="BJ125">
        <f>DI125</f>
        <v>0</v>
      </c>
      <c r="BK125">
        <f>L125</f>
        <v>0</v>
      </c>
      <c r="BL125">
        <f>BH125*BI125*BJ125</f>
        <v>0</v>
      </c>
      <c r="BM125">
        <f>(BK125-BC125)/BJ125</f>
        <v>0</v>
      </c>
      <c r="BN125">
        <f>(BA125-BG125)/BG125</f>
        <v>0</v>
      </c>
      <c r="BO125">
        <f>AZ125/(BB125+AZ125/BG125)</f>
        <v>0</v>
      </c>
      <c r="BP125" t="s">
        <v>437</v>
      </c>
      <c r="BQ125">
        <v>0</v>
      </c>
      <c r="BR125">
        <f>IF(BQ125&lt;&gt;0, BQ125, BO125)</f>
        <v>0</v>
      </c>
      <c r="BS125">
        <f>1-BR125/BG125</f>
        <v>0</v>
      </c>
      <c r="BT125">
        <f>(BG125-BF125)/(BG125-BR125)</f>
        <v>0</v>
      </c>
      <c r="BU125">
        <f>(BA125-BG125)/(BA125-BR125)</f>
        <v>0</v>
      </c>
      <c r="BV125">
        <f>(BG125-BF125)/(BG125-AZ125)</f>
        <v>0</v>
      </c>
      <c r="BW125">
        <f>(BA125-BG125)/(BA125-AZ125)</f>
        <v>0</v>
      </c>
      <c r="BX125">
        <f>(BT125*BR125/BF125)</f>
        <v>0</v>
      </c>
      <c r="BY125">
        <f>(1-BX125)</f>
        <v>0</v>
      </c>
      <c r="BZ125">
        <v>282</v>
      </c>
      <c r="CA125">
        <v>290</v>
      </c>
      <c r="CB125">
        <v>1577.74</v>
      </c>
      <c r="CC125">
        <v>295</v>
      </c>
      <c r="CD125">
        <v>5140.93</v>
      </c>
      <c r="CE125">
        <v>1578.58</v>
      </c>
      <c r="CF125">
        <v>-0.84</v>
      </c>
      <c r="CG125">
        <v>300</v>
      </c>
      <c r="CH125">
        <v>23.8</v>
      </c>
      <c r="CI125">
        <v>1633.28263291266</v>
      </c>
      <c r="CJ125">
        <v>1.49577129053257</v>
      </c>
      <c r="CK125">
        <v>-28.1203876934379</v>
      </c>
      <c r="CL125">
        <v>0.666413418688897</v>
      </c>
      <c r="CM125">
        <v>0.984518017981194</v>
      </c>
      <c r="CN125">
        <v>-0.00424727541713014</v>
      </c>
      <c r="CO125">
        <v>290</v>
      </c>
      <c r="CP125">
        <v>1576.56</v>
      </c>
      <c r="CQ125">
        <v>775</v>
      </c>
      <c r="CR125">
        <v>5139.5</v>
      </c>
      <c r="CS125">
        <v>1578.57</v>
      </c>
      <c r="CT125">
        <v>-2.01</v>
      </c>
      <c r="DH125">
        <f>$B$11*EG125+$C$11*EH125+$F$11*ES125*(1-EV125)</f>
        <v>0</v>
      </c>
      <c r="DI125">
        <f>DH125*DJ125</f>
        <v>0</v>
      </c>
      <c r="DJ125">
        <f>($B$11*$D$9+$C$11*$D$9+$F$11*((FF125+EX125)/MAX(FF125+EX125+FG125, 0.1)*$I$9+FG125/MAX(FF125+EX125+FG125, 0.1)*$J$9))/($B$11+$C$11+$F$11)</f>
        <v>0</v>
      </c>
      <c r="DK125">
        <f>($B$11*$K$9+$C$11*$K$9+$F$11*((FF125+EX125)/MAX(FF125+EX125+FG125, 0.1)*$P$9+FG125/MAX(FF125+EX125+FG125, 0.1)*$Q$9))/($B$11+$C$11+$F$11)</f>
        <v>0</v>
      </c>
      <c r="DL125">
        <v>6</v>
      </c>
      <c r="DM125">
        <v>0.5</v>
      </c>
      <c r="DN125" t="s">
        <v>438</v>
      </c>
      <c r="DO125">
        <v>2</v>
      </c>
      <c r="DP125" t="b">
        <v>1</v>
      </c>
      <c r="DQ125">
        <v>1760991783.84615</v>
      </c>
      <c r="DR125">
        <v>384.472076923077</v>
      </c>
      <c r="DS125">
        <v>383.642076923077</v>
      </c>
      <c r="DT125">
        <v>11.8266692307692</v>
      </c>
      <c r="DU125">
        <v>9.75858384615385</v>
      </c>
      <c r="DV125">
        <v>381.726615384615</v>
      </c>
      <c r="DW125">
        <v>11.9376769230769</v>
      </c>
      <c r="DX125">
        <v>500.101230769231</v>
      </c>
      <c r="DY125">
        <v>89.8350615384615</v>
      </c>
      <c r="DZ125">
        <v>0.00880736076923077</v>
      </c>
      <c r="EA125">
        <v>18.4287076923077</v>
      </c>
      <c r="EB125">
        <v>17.9869692307692</v>
      </c>
      <c r="EC125">
        <v>999.9</v>
      </c>
      <c r="ED125">
        <v>0</v>
      </c>
      <c r="EE125">
        <v>0</v>
      </c>
      <c r="EF125">
        <v>10023.7038461538</v>
      </c>
      <c r="EG125">
        <v>0</v>
      </c>
      <c r="EH125">
        <v>1278.98076923077</v>
      </c>
      <c r="EI125">
        <v>0.829978769230769</v>
      </c>
      <c r="EJ125">
        <v>389.073461538462</v>
      </c>
      <c r="EK125">
        <v>387.422923076923</v>
      </c>
      <c r="EL125">
        <v>2.06808307692308</v>
      </c>
      <c r="EM125">
        <v>383.642076923077</v>
      </c>
      <c r="EN125">
        <v>9.75858384615385</v>
      </c>
      <c r="EO125">
        <v>1.06244846153846</v>
      </c>
      <c r="EP125">
        <v>0.876662769230769</v>
      </c>
      <c r="EQ125">
        <v>7.80212461538462</v>
      </c>
      <c r="ER125">
        <v>5.01323307692308</v>
      </c>
      <c r="ES125">
        <v>1200.04769230769</v>
      </c>
      <c r="ET125">
        <v>0.966996</v>
      </c>
      <c r="EU125">
        <v>0.0330040076923077</v>
      </c>
      <c r="EV125">
        <v>0</v>
      </c>
      <c r="EW125">
        <v>1326.56538461538</v>
      </c>
      <c r="EX125">
        <v>5.00059</v>
      </c>
      <c r="EY125">
        <v>15622.5461538462</v>
      </c>
      <c r="EZ125">
        <v>10359.0923076923</v>
      </c>
      <c r="FA125">
        <v>37.2017692307692</v>
      </c>
      <c r="FB125">
        <v>38.8267692307692</v>
      </c>
      <c r="FC125">
        <v>37.6343076923077</v>
      </c>
      <c r="FD125">
        <v>38.1439230769231</v>
      </c>
      <c r="FE125">
        <v>38.0863076923077</v>
      </c>
      <c r="FF125">
        <v>1155.60769230769</v>
      </c>
      <c r="FG125">
        <v>39.44</v>
      </c>
      <c r="FH125">
        <v>0</v>
      </c>
      <c r="FI125">
        <v>647.600000143051</v>
      </c>
      <c r="FJ125">
        <v>0</v>
      </c>
      <c r="FK125">
        <v>1326.5048</v>
      </c>
      <c r="FL125">
        <v>2.11000001491257</v>
      </c>
      <c r="FM125">
        <v>-0.230769267426031</v>
      </c>
      <c r="FN125">
        <v>15621.692</v>
      </c>
      <c r="FO125">
        <v>15</v>
      </c>
      <c r="FP125">
        <v>0</v>
      </c>
      <c r="FQ125" t="s">
        <v>439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-2.083251</v>
      </c>
      <c r="GD125">
        <v>66.4649056240602</v>
      </c>
      <c r="GE125">
        <v>6.54103038737343</v>
      </c>
      <c r="GF125">
        <v>0</v>
      </c>
      <c r="GG125">
        <v>1326.57735294118</v>
      </c>
      <c r="GH125">
        <v>-0.818181815704019</v>
      </c>
      <c r="GI125">
        <v>0.297482662110022</v>
      </c>
      <c r="GJ125">
        <v>-1</v>
      </c>
      <c r="GK125">
        <v>2.066248</v>
      </c>
      <c r="GL125">
        <v>0.0616457142857105</v>
      </c>
      <c r="GM125">
        <v>0.00633022321881311</v>
      </c>
      <c r="GN125">
        <v>1</v>
      </c>
      <c r="GO125">
        <v>1</v>
      </c>
      <c r="GP125">
        <v>2</v>
      </c>
      <c r="GQ125" t="s">
        <v>446</v>
      </c>
      <c r="GR125">
        <v>3.13073</v>
      </c>
      <c r="GS125">
        <v>2.68625</v>
      </c>
      <c r="GT125">
        <v>0.0800017</v>
      </c>
      <c r="GU125">
        <v>0.0796083</v>
      </c>
      <c r="GV125">
        <v>0.0617735</v>
      </c>
      <c r="GW125">
        <v>0.0530906</v>
      </c>
      <c r="GX125">
        <v>34864.9</v>
      </c>
      <c r="GY125">
        <v>37481.3</v>
      </c>
      <c r="GZ125">
        <v>34264.8</v>
      </c>
      <c r="HA125">
        <v>36849</v>
      </c>
      <c r="HB125">
        <v>45345.3</v>
      </c>
      <c r="HC125">
        <v>50030.9</v>
      </c>
      <c r="HD125">
        <v>53338.6</v>
      </c>
      <c r="HE125">
        <v>58776.9</v>
      </c>
      <c r="HF125">
        <v>2.0081</v>
      </c>
      <c r="HG125">
        <v>1.8351</v>
      </c>
      <c r="HH125">
        <v>0.00851229</v>
      </c>
      <c r="HI125">
        <v>0</v>
      </c>
      <c r="HJ125">
        <v>17.8586</v>
      </c>
      <c r="HK125">
        <v>999.9</v>
      </c>
      <c r="HL125">
        <v>27.286</v>
      </c>
      <c r="HM125">
        <v>30.504</v>
      </c>
      <c r="HN125">
        <v>13.3211</v>
      </c>
      <c r="HO125">
        <v>54.3791</v>
      </c>
      <c r="HP125">
        <v>44.4712</v>
      </c>
      <c r="HQ125">
        <v>1</v>
      </c>
      <c r="HR125">
        <v>-0.329187</v>
      </c>
      <c r="HS125">
        <v>4.64716</v>
      </c>
      <c r="HT125">
        <v>20.0767</v>
      </c>
      <c r="HU125">
        <v>5.20142</v>
      </c>
      <c r="HV125">
        <v>12.0041</v>
      </c>
      <c r="HW125">
        <v>4.97555</v>
      </c>
      <c r="HX125">
        <v>3.29293</v>
      </c>
      <c r="HY125">
        <v>9999</v>
      </c>
      <c r="HZ125">
        <v>999.9</v>
      </c>
      <c r="IA125">
        <v>9999</v>
      </c>
      <c r="IB125">
        <v>9999</v>
      </c>
      <c r="IC125">
        <v>1.86325</v>
      </c>
      <c r="ID125">
        <v>1.86804</v>
      </c>
      <c r="IE125">
        <v>1.86783</v>
      </c>
      <c r="IF125">
        <v>1.86902</v>
      </c>
      <c r="IG125">
        <v>1.86981</v>
      </c>
      <c r="IH125">
        <v>1.86584</v>
      </c>
      <c r="II125">
        <v>1.86692</v>
      </c>
      <c r="IJ125">
        <v>1.86839</v>
      </c>
      <c r="IK125">
        <v>5</v>
      </c>
      <c r="IL125">
        <v>0</v>
      </c>
      <c r="IM125">
        <v>0</v>
      </c>
      <c r="IN125">
        <v>0</v>
      </c>
      <c r="IO125" t="s">
        <v>441</v>
      </c>
      <c r="IP125" t="s">
        <v>442</v>
      </c>
      <c r="IQ125" t="s">
        <v>443</v>
      </c>
      <c r="IR125" t="s">
        <v>443</v>
      </c>
      <c r="IS125" t="s">
        <v>443</v>
      </c>
      <c r="IT125" t="s">
        <v>443</v>
      </c>
      <c r="IU125">
        <v>0</v>
      </c>
      <c r="IV125">
        <v>100</v>
      </c>
      <c r="IW125">
        <v>100</v>
      </c>
      <c r="IX125">
        <v>2.661</v>
      </c>
      <c r="IY125">
        <v>-0.1109</v>
      </c>
      <c r="IZ125">
        <v>1.12474291219083</v>
      </c>
      <c r="JA125">
        <v>0.00463155566490582</v>
      </c>
      <c r="JB125">
        <v>-1.1358998729424e-06</v>
      </c>
      <c r="JC125">
        <v>3.28704272115545e-10</v>
      </c>
      <c r="JD125">
        <v>-0.0704455108513773</v>
      </c>
      <c r="JE125">
        <v>-0.0251928478371425</v>
      </c>
      <c r="JF125">
        <v>0.00225751704194564</v>
      </c>
      <c r="JG125">
        <v>-3.61734043746866e-05</v>
      </c>
      <c r="JH125">
        <v>1</v>
      </c>
      <c r="JI125">
        <v>2182</v>
      </c>
      <c r="JJ125">
        <v>0</v>
      </c>
      <c r="JK125">
        <v>24</v>
      </c>
      <c r="JL125">
        <v>29349863.2</v>
      </c>
      <c r="JM125">
        <v>29349863.2</v>
      </c>
      <c r="JN125">
        <v>0.858154</v>
      </c>
      <c r="JO125">
        <v>2.62817</v>
      </c>
      <c r="JP125">
        <v>1.54785</v>
      </c>
      <c r="JQ125">
        <v>2.31445</v>
      </c>
      <c r="JR125">
        <v>1.64673</v>
      </c>
      <c r="JS125">
        <v>2.35107</v>
      </c>
      <c r="JT125">
        <v>33.7381</v>
      </c>
      <c r="JU125">
        <v>24.1838</v>
      </c>
      <c r="JV125">
        <v>18</v>
      </c>
      <c r="JW125">
        <v>500.121</v>
      </c>
      <c r="JX125">
        <v>392.937</v>
      </c>
      <c r="JY125">
        <v>11.5877</v>
      </c>
      <c r="JZ125">
        <v>23.947</v>
      </c>
      <c r="KA125">
        <v>29.9999</v>
      </c>
      <c r="KB125">
        <v>23.909</v>
      </c>
      <c r="KC125">
        <v>23.8731</v>
      </c>
      <c r="KD125">
        <v>17.065</v>
      </c>
      <c r="KE125">
        <v>12.9733</v>
      </c>
      <c r="KF125">
        <v>27.2762</v>
      </c>
      <c r="KG125">
        <v>11.591</v>
      </c>
      <c r="KH125">
        <v>332.096</v>
      </c>
      <c r="KI125">
        <v>9.80398</v>
      </c>
      <c r="KJ125">
        <v>97.0396</v>
      </c>
      <c r="KK125">
        <v>95.3038</v>
      </c>
    </row>
    <row r="126" spans="1:297">
      <c r="A126">
        <v>110</v>
      </c>
      <c r="B126">
        <v>1760991797</v>
      </c>
      <c r="C126">
        <v>2606.90000009537</v>
      </c>
      <c r="D126" t="s">
        <v>673</v>
      </c>
      <c r="E126" t="s">
        <v>674</v>
      </c>
      <c r="F126">
        <v>5</v>
      </c>
      <c r="G126" t="s">
        <v>662</v>
      </c>
      <c r="H126" t="s">
        <v>436</v>
      </c>
      <c r="I126">
        <v>1760991788.84615</v>
      </c>
      <c r="J126">
        <f>(K126)/1000</f>
        <v>0</v>
      </c>
      <c r="K126">
        <f>IF(DP126, AN126, AH126)</f>
        <v>0</v>
      </c>
      <c r="L126">
        <f>IF(DP126, AI126, AG126)</f>
        <v>0</v>
      </c>
      <c r="M126">
        <f>DR126 - IF(AU126&gt;1, L126*DL126*100.0/(AW126), 0)</f>
        <v>0</v>
      </c>
      <c r="N126">
        <f>((T126-J126/2)*M126-L126)/(T126+J126/2)</f>
        <v>0</v>
      </c>
      <c r="O126">
        <f>N126*(DY126+DZ126)/1000.0</f>
        <v>0</v>
      </c>
      <c r="P126">
        <f>(DR126 - IF(AU126&gt;1, L126*DL126*100.0/(AW126), 0))*(DY126+DZ126)/1000.0</f>
        <v>0</v>
      </c>
      <c r="Q126">
        <f>2.0/((1/S126-1/R126)+SIGN(S126)*SQRT((1/S126-1/R126)*(1/S126-1/R126) + 4*DM126/((DM126+1)*(DM126+1))*(2*1/S126*1/R126-1/R126*1/R126)))</f>
        <v>0</v>
      </c>
      <c r="R126">
        <f>IF(LEFT(DN126,1)&lt;&gt;"0",IF(LEFT(DN126,1)="1",3.0,DO126),$D$5+$E$5*(EF126*DY126/($K$5*1000))+$F$5*(EF126*DY126/($K$5*1000))*MAX(MIN(DL126,$J$5),$I$5)*MAX(MIN(DL126,$J$5),$I$5)+$G$5*MAX(MIN(DL126,$J$5),$I$5)*(EF126*DY126/($K$5*1000))+$H$5*(EF126*DY126/($K$5*1000))*(EF126*DY126/($K$5*1000)))</f>
        <v>0</v>
      </c>
      <c r="S126">
        <f>J126*(1000-(1000*0.61365*exp(17.502*W126/(240.97+W126))/(DY126+DZ126)+DT126)/2)/(1000*0.61365*exp(17.502*W126/(240.97+W126))/(DY126+DZ126)-DT126)</f>
        <v>0</v>
      </c>
      <c r="T126">
        <f>1/((DM126+1)/(Q126/1.6)+1/(R126/1.37)) + DM126/((DM126+1)/(Q126/1.6) + DM126/(R126/1.37))</f>
        <v>0</v>
      </c>
      <c r="U126">
        <f>(DH126*DK126)</f>
        <v>0</v>
      </c>
      <c r="V126">
        <f>(EA126+(U126+2*0.95*5.67E-8*(((EA126+$B$7)+273)^4-(EA126+273)^4)-44100*J126)/(1.84*29.3*R126+8*0.95*5.67E-8*(EA126+273)^3))</f>
        <v>0</v>
      </c>
      <c r="W126">
        <f>($C$7*EB126+$D$7*EC126+$E$7*V126)</f>
        <v>0</v>
      </c>
      <c r="X126">
        <f>0.61365*exp(17.502*W126/(240.97+W126))</f>
        <v>0</v>
      </c>
      <c r="Y126">
        <f>(Z126/AA126*100)</f>
        <v>0</v>
      </c>
      <c r="Z126">
        <f>DT126*(DY126+DZ126)/1000</f>
        <v>0</v>
      </c>
      <c r="AA126">
        <f>0.61365*exp(17.502*EA126/(240.97+EA126))</f>
        <v>0</v>
      </c>
      <c r="AB126">
        <f>(X126-DT126*(DY126+DZ126)/1000)</f>
        <v>0</v>
      </c>
      <c r="AC126">
        <f>(-J126*44100)</f>
        <v>0</v>
      </c>
      <c r="AD126">
        <f>2*29.3*R126*0.92*(EA126-W126)</f>
        <v>0</v>
      </c>
      <c r="AE126">
        <f>2*0.95*5.67E-8*(((EA126+$B$7)+273)^4-(W126+273)^4)</f>
        <v>0</v>
      </c>
      <c r="AF126">
        <f>U126+AE126+AC126+AD126</f>
        <v>0</v>
      </c>
      <c r="AG126">
        <f>DX126*AU126*(DS126-DR126*(1000-AU126*DU126)/(1000-AU126*DT126))/(100*DL126)</f>
        <v>0</v>
      </c>
      <c r="AH126">
        <f>1000*DX126*AU126*(DT126-DU126)/(100*DL126*(1000-AU126*DT126))</f>
        <v>0</v>
      </c>
      <c r="AI126">
        <f>(AJ126 - AK126 - DY126*1E3/(8.314*(EA126+273.15)) * AM126/DX126 * AL126) * DX126/(100*DL126) * (1000 - DU126)/1000</f>
        <v>0</v>
      </c>
      <c r="AJ126">
        <v>355.983804694048</v>
      </c>
      <c r="AK126">
        <v>355.509690909091</v>
      </c>
      <c r="AL126">
        <v>-2.97518639995575</v>
      </c>
      <c r="AM126">
        <v>65.2210784119795</v>
      </c>
      <c r="AN126">
        <f>(AP126 - AO126 + DY126*1E3/(8.314*(EA126+273.15)) * AR126/DX126 * AQ126) * DX126/(100*DL126) * 1000/(1000 - AP126)</f>
        <v>0</v>
      </c>
      <c r="AO126">
        <v>9.74993683806485</v>
      </c>
      <c r="AP126">
        <v>11.83464</v>
      </c>
      <c r="AQ126">
        <v>-5.71988275103165e-06</v>
      </c>
      <c r="AR126">
        <v>115.574510355221</v>
      </c>
      <c r="AS126">
        <v>0</v>
      </c>
      <c r="AT126">
        <v>0</v>
      </c>
      <c r="AU126">
        <f>IF(AS126*$H$13&gt;=AW126,1.0,(AW126/(AW126-AS126*$H$13)))</f>
        <v>0</v>
      </c>
      <c r="AV126">
        <f>(AU126-1)*100</f>
        <v>0</v>
      </c>
      <c r="AW126">
        <f>MAX(0,($B$13+$C$13*EF126)/(1+$D$13*EF126)*DY126/(EA126+273)*$E$13)</f>
        <v>0</v>
      </c>
      <c r="AX126" t="s">
        <v>437</v>
      </c>
      <c r="AY126" t="s">
        <v>437</v>
      </c>
      <c r="AZ126">
        <v>0</v>
      </c>
      <c r="BA126">
        <v>0</v>
      </c>
      <c r="BB126">
        <f>1-AZ126/BA126</f>
        <v>0</v>
      </c>
      <c r="BC126">
        <v>0</v>
      </c>
      <c r="BD126" t="s">
        <v>437</v>
      </c>
      <c r="BE126" t="s">
        <v>437</v>
      </c>
      <c r="BF126">
        <v>0</v>
      </c>
      <c r="BG126">
        <v>0</v>
      </c>
      <c r="BH126">
        <f>1-BF126/BG126</f>
        <v>0</v>
      </c>
      <c r="BI126">
        <v>0.5</v>
      </c>
      <c r="BJ126">
        <f>DI126</f>
        <v>0</v>
      </c>
      <c r="BK126">
        <f>L126</f>
        <v>0</v>
      </c>
      <c r="BL126">
        <f>BH126*BI126*BJ126</f>
        <v>0</v>
      </c>
      <c r="BM126">
        <f>(BK126-BC126)/BJ126</f>
        <v>0</v>
      </c>
      <c r="BN126">
        <f>(BA126-BG126)/BG126</f>
        <v>0</v>
      </c>
      <c r="BO126">
        <f>AZ126/(BB126+AZ126/BG126)</f>
        <v>0</v>
      </c>
      <c r="BP126" t="s">
        <v>437</v>
      </c>
      <c r="BQ126">
        <v>0</v>
      </c>
      <c r="BR126">
        <f>IF(BQ126&lt;&gt;0, BQ126, BO126)</f>
        <v>0</v>
      </c>
      <c r="BS126">
        <f>1-BR126/BG126</f>
        <v>0</v>
      </c>
      <c r="BT126">
        <f>(BG126-BF126)/(BG126-BR126)</f>
        <v>0</v>
      </c>
      <c r="BU126">
        <f>(BA126-BG126)/(BA126-BR126)</f>
        <v>0</v>
      </c>
      <c r="BV126">
        <f>(BG126-BF126)/(BG126-AZ126)</f>
        <v>0</v>
      </c>
      <c r="BW126">
        <f>(BA126-BG126)/(BA126-AZ126)</f>
        <v>0</v>
      </c>
      <c r="BX126">
        <f>(BT126*BR126/BF126)</f>
        <v>0</v>
      </c>
      <c r="BY126">
        <f>(1-BX126)</f>
        <v>0</v>
      </c>
      <c r="BZ126">
        <v>282</v>
      </c>
      <c r="CA126">
        <v>290</v>
      </c>
      <c r="CB126">
        <v>1577.74</v>
      </c>
      <c r="CC126">
        <v>295</v>
      </c>
      <c r="CD126">
        <v>5140.93</v>
      </c>
      <c r="CE126">
        <v>1578.58</v>
      </c>
      <c r="CF126">
        <v>-0.84</v>
      </c>
      <c r="CG126">
        <v>300</v>
      </c>
      <c r="CH126">
        <v>23.8</v>
      </c>
      <c r="CI126">
        <v>1633.28263291266</v>
      </c>
      <c r="CJ126">
        <v>1.49577129053257</v>
      </c>
      <c r="CK126">
        <v>-28.1203876934379</v>
      </c>
      <c r="CL126">
        <v>0.666413418688897</v>
      </c>
      <c r="CM126">
        <v>0.984518017981194</v>
      </c>
      <c r="CN126">
        <v>-0.00424727541713014</v>
      </c>
      <c r="CO126">
        <v>290</v>
      </c>
      <c r="CP126">
        <v>1576.56</v>
      </c>
      <c r="CQ126">
        <v>775</v>
      </c>
      <c r="CR126">
        <v>5139.5</v>
      </c>
      <c r="CS126">
        <v>1578.57</v>
      </c>
      <c r="CT126">
        <v>-2.01</v>
      </c>
      <c r="DH126">
        <f>$B$11*EG126+$C$11*EH126+$F$11*ES126*(1-EV126)</f>
        <v>0</v>
      </c>
      <c r="DI126">
        <f>DH126*DJ126</f>
        <v>0</v>
      </c>
      <c r="DJ126">
        <f>($B$11*$D$9+$C$11*$D$9+$F$11*((FF126+EX126)/MAX(FF126+EX126+FG126, 0.1)*$I$9+FG126/MAX(FF126+EX126+FG126, 0.1)*$J$9))/($B$11+$C$11+$F$11)</f>
        <v>0</v>
      </c>
      <c r="DK126">
        <f>($B$11*$K$9+$C$11*$K$9+$F$11*((FF126+EX126)/MAX(FF126+EX126+FG126, 0.1)*$P$9+FG126/MAX(FF126+EX126+FG126, 0.1)*$Q$9))/($B$11+$C$11+$F$11)</f>
        <v>0</v>
      </c>
      <c r="DL126">
        <v>6</v>
      </c>
      <c r="DM126">
        <v>0.5</v>
      </c>
      <c r="DN126" t="s">
        <v>438</v>
      </c>
      <c r="DO126">
        <v>2</v>
      </c>
      <c r="DP126" t="b">
        <v>1</v>
      </c>
      <c r="DQ126">
        <v>1760991788.84615</v>
      </c>
      <c r="DR126">
        <v>371.774153846154</v>
      </c>
      <c r="DS126">
        <v>367.718615384615</v>
      </c>
      <c r="DT126">
        <v>11.8302923076923</v>
      </c>
      <c r="DU126">
        <v>9.75515769230769</v>
      </c>
      <c r="DV126">
        <v>369.078307692308</v>
      </c>
      <c r="DW126">
        <v>11.9412615384615</v>
      </c>
      <c r="DX126">
        <v>500.083384615385</v>
      </c>
      <c r="DY126">
        <v>89.8343692307692</v>
      </c>
      <c r="DZ126">
        <v>0.00843291230769231</v>
      </c>
      <c r="EA126">
        <v>18.4295461538462</v>
      </c>
      <c r="EB126">
        <v>17.9920538461538</v>
      </c>
      <c r="EC126">
        <v>999.9</v>
      </c>
      <c r="ED126">
        <v>0</v>
      </c>
      <c r="EE126">
        <v>0</v>
      </c>
      <c r="EF126">
        <v>10013.8384615385</v>
      </c>
      <c r="EG126">
        <v>0</v>
      </c>
      <c r="EH126">
        <v>1278.97692307692</v>
      </c>
      <c r="EI126">
        <v>4.05556492307692</v>
      </c>
      <c r="EJ126">
        <v>376.225</v>
      </c>
      <c r="EK126">
        <v>371.341307692308</v>
      </c>
      <c r="EL126">
        <v>2.07513230769231</v>
      </c>
      <c r="EM126">
        <v>367.718615384615</v>
      </c>
      <c r="EN126">
        <v>9.75515769230769</v>
      </c>
      <c r="EO126">
        <v>1.06276615384615</v>
      </c>
      <c r="EP126">
        <v>0.876348384615385</v>
      </c>
      <c r="EQ126">
        <v>7.80650923076923</v>
      </c>
      <c r="ER126">
        <v>5.00808692307692</v>
      </c>
      <c r="ES126">
        <v>1200.04384615385</v>
      </c>
      <c r="ET126">
        <v>0.966995307692308</v>
      </c>
      <c r="EU126">
        <v>0.0330046692307692</v>
      </c>
      <c r="EV126">
        <v>0</v>
      </c>
      <c r="EW126">
        <v>1326.70307692308</v>
      </c>
      <c r="EX126">
        <v>5.00059</v>
      </c>
      <c r="EY126">
        <v>15622.6076923077</v>
      </c>
      <c r="EZ126">
        <v>10359.0769230769</v>
      </c>
      <c r="FA126">
        <v>37.1488461538462</v>
      </c>
      <c r="FB126">
        <v>38.7641538461539</v>
      </c>
      <c r="FC126">
        <v>37.5766923076923</v>
      </c>
      <c r="FD126">
        <v>38.0766923076923</v>
      </c>
      <c r="FE126">
        <v>38.0286153846154</v>
      </c>
      <c r="FF126">
        <v>1155.60384615385</v>
      </c>
      <c r="FG126">
        <v>39.44</v>
      </c>
      <c r="FH126">
        <v>0</v>
      </c>
      <c r="FI126">
        <v>653</v>
      </c>
      <c r="FJ126">
        <v>0</v>
      </c>
      <c r="FK126">
        <v>1326.74653846154</v>
      </c>
      <c r="FL126">
        <v>3.6317948769172</v>
      </c>
      <c r="FM126">
        <v>15.9794872541906</v>
      </c>
      <c r="FN126">
        <v>15622.0769230769</v>
      </c>
      <c r="FO126">
        <v>15</v>
      </c>
      <c r="FP126">
        <v>0</v>
      </c>
      <c r="FQ126" t="s">
        <v>439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1.84388904761905</v>
      </c>
      <c r="GD126">
        <v>41.047967064935</v>
      </c>
      <c r="GE126">
        <v>4.35069848589337</v>
      </c>
      <c r="GF126">
        <v>0</v>
      </c>
      <c r="GG126">
        <v>1326.60294117647</v>
      </c>
      <c r="GH126">
        <v>2.47394958310706</v>
      </c>
      <c r="GI126">
        <v>0.331622831575512</v>
      </c>
      <c r="GJ126">
        <v>-1</v>
      </c>
      <c r="GK126">
        <v>2.07134333333333</v>
      </c>
      <c r="GL126">
        <v>0.0847628571428621</v>
      </c>
      <c r="GM126">
        <v>0.00863873355650691</v>
      </c>
      <c r="GN126">
        <v>1</v>
      </c>
      <c r="GO126">
        <v>1</v>
      </c>
      <c r="GP126">
        <v>2</v>
      </c>
      <c r="GQ126" t="s">
        <v>446</v>
      </c>
      <c r="GR126">
        <v>3.13068</v>
      </c>
      <c r="GS126">
        <v>2.68635</v>
      </c>
      <c r="GT126">
        <v>0.0773973</v>
      </c>
      <c r="GU126">
        <v>0.0766135</v>
      </c>
      <c r="GV126">
        <v>0.0617764</v>
      </c>
      <c r="GW126">
        <v>0.0530731</v>
      </c>
      <c r="GX126">
        <v>34963.2</v>
      </c>
      <c r="GY126">
        <v>37603.7</v>
      </c>
      <c r="GZ126">
        <v>34264.5</v>
      </c>
      <c r="HA126">
        <v>36849.4</v>
      </c>
      <c r="HB126">
        <v>45344.5</v>
      </c>
      <c r="HC126">
        <v>50031.7</v>
      </c>
      <c r="HD126">
        <v>53338.2</v>
      </c>
      <c r="HE126">
        <v>58777.1</v>
      </c>
      <c r="HF126">
        <v>2.00802</v>
      </c>
      <c r="HG126">
        <v>1.83505</v>
      </c>
      <c r="HH126">
        <v>0.00823289</v>
      </c>
      <c r="HI126">
        <v>0</v>
      </c>
      <c r="HJ126">
        <v>17.8577</v>
      </c>
      <c r="HK126">
        <v>999.9</v>
      </c>
      <c r="HL126">
        <v>27.286</v>
      </c>
      <c r="HM126">
        <v>30.504</v>
      </c>
      <c r="HN126">
        <v>13.3194</v>
      </c>
      <c r="HO126">
        <v>53.9091</v>
      </c>
      <c r="HP126">
        <v>44.4912</v>
      </c>
      <c r="HQ126">
        <v>1</v>
      </c>
      <c r="HR126">
        <v>-0.265399</v>
      </c>
      <c r="HS126">
        <v>4.6328</v>
      </c>
      <c r="HT126">
        <v>20.0758</v>
      </c>
      <c r="HU126">
        <v>5.20157</v>
      </c>
      <c r="HV126">
        <v>12.0041</v>
      </c>
      <c r="HW126">
        <v>4.9755</v>
      </c>
      <c r="HX126">
        <v>3.29298</v>
      </c>
      <c r="HY126">
        <v>9999</v>
      </c>
      <c r="HZ126">
        <v>999.9</v>
      </c>
      <c r="IA126">
        <v>9999</v>
      </c>
      <c r="IB126">
        <v>9999</v>
      </c>
      <c r="IC126">
        <v>1.86324</v>
      </c>
      <c r="ID126">
        <v>1.86804</v>
      </c>
      <c r="IE126">
        <v>1.86783</v>
      </c>
      <c r="IF126">
        <v>1.86902</v>
      </c>
      <c r="IG126">
        <v>1.86981</v>
      </c>
      <c r="IH126">
        <v>1.86584</v>
      </c>
      <c r="II126">
        <v>1.86691</v>
      </c>
      <c r="IJ126">
        <v>1.86838</v>
      </c>
      <c r="IK126">
        <v>5</v>
      </c>
      <c r="IL126">
        <v>0</v>
      </c>
      <c r="IM126">
        <v>0</v>
      </c>
      <c r="IN126">
        <v>0</v>
      </c>
      <c r="IO126" t="s">
        <v>441</v>
      </c>
      <c r="IP126" t="s">
        <v>442</v>
      </c>
      <c r="IQ126" t="s">
        <v>443</v>
      </c>
      <c r="IR126" t="s">
        <v>443</v>
      </c>
      <c r="IS126" t="s">
        <v>443</v>
      </c>
      <c r="IT126" t="s">
        <v>443</v>
      </c>
      <c r="IU126">
        <v>0</v>
      </c>
      <c r="IV126">
        <v>100</v>
      </c>
      <c r="IW126">
        <v>100</v>
      </c>
      <c r="IX126">
        <v>2.603</v>
      </c>
      <c r="IY126">
        <v>-0.1109</v>
      </c>
      <c r="IZ126">
        <v>1.12474291219083</v>
      </c>
      <c r="JA126">
        <v>0.00463155566490582</v>
      </c>
      <c r="JB126">
        <v>-1.1358998729424e-06</v>
      </c>
      <c r="JC126">
        <v>3.28704272115545e-10</v>
      </c>
      <c r="JD126">
        <v>-0.0704455108513773</v>
      </c>
      <c r="JE126">
        <v>-0.0251928478371425</v>
      </c>
      <c r="JF126">
        <v>0.00225751704194564</v>
      </c>
      <c r="JG126">
        <v>-3.61734043746866e-05</v>
      </c>
      <c r="JH126">
        <v>1</v>
      </c>
      <c r="JI126">
        <v>2182</v>
      </c>
      <c r="JJ126">
        <v>0</v>
      </c>
      <c r="JK126">
        <v>24</v>
      </c>
      <c r="JL126">
        <v>29349863.3</v>
      </c>
      <c r="JM126">
        <v>29349863.3</v>
      </c>
      <c r="JN126">
        <v>0.820312</v>
      </c>
      <c r="JO126">
        <v>2.62939</v>
      </c>
      <c r="JP126">
        <v>1.54785</v>
      </c>
      <c r="JQ126">
        <v>2.31323</v>
      </c>
      <c r="JR126">
        <v>1.64673</v>
      </c>
      <c r="JS126">
        <v>2.34131</v>
      </c>
      <c r="JT126">
        <v>33.7381</v>
      </c>
      <c r="JU126">
        <v>24.1751</v>
      </c>
      <c r="JV126">
        <v>18</v>
      </c>
      <c r="JW126">
        <v>500.085</v>
      </c>
      <c r="JX126">
        <v>392.918</v>
      </c>
      <c r="JY126">
        <v>11.5963</v>
      </c>
      <c r="JZ126">
        <v>23.947</v>
      </c>
      <c r="KA126">
        <v>30</v>
      </c>
      <c r="KB126">
        <v>23.9103</v>
      </c>
      <c r="KC126">
        <v>23.8741</v>
      </c>
      <c r="KD126">
        <v>16.4031</v>
      </c>
      <c r="KE126">
        <v>12.9733</v>
      </c>
      <c r="KF126">
        <v>27.2762</v>
      </c>
      <c r="KG126">
        <v>11.592</v>
      </c>
      <c r="KH126">
        <v>318.6</v>
      </c>
      <c r="KI126">
        <v>9.80398</v>
      </c>
      <c r="KJ126">
        <v>97.0388</v>
      </c>
      <c r="KK126">
        <v>95.3044</v>
      </c>
    </row>
    <row r="127" spans="1:297">
      <c r="A127">
        <v>111</v>
      </c>
      <c r="B127">
        <v>1760991802</v>
      </c>
      <c r="C127">
        <v>2611.90000009537</v>
      </c>
      <c r="D127" t="s">
        <v>675</v>
      </c>
      <c r="E127" t="s">
        <v>676</v>
      </c>
      <c r="F127">
        <v>5</v>
      </c>
      <c r="G127" t="s">
        <v>662</v>
      </c>
      <c r="H127" t="s">
        <v>436</v>
      </c>
      <c r="I127">
        <v>1760991793.84615</v>
      </c>
      <c r="J127">
        <f>(K127)/1000</f>
        <v>0</v>
      </c>
      <c r="K127">
        <f>IF(DP127, AN127, AH127)</f>
        <v>0</v>
      </c>
      <c r="L127">
        <f>IF(DP127, AI127, AG127)</f>
        <v>0</v>
      </c>
      <c r="M127">
        <f>DR127 - IF(AU127&gt;1, L127*DL127*100.0/(AW127), 0)</f>
        <v>0</v>
      </c>
      <c r="N127">
        <f>((T127-J127/2)*M127-L127)/(T127+J127/2)</f>
        <v>0</v>
      </c>
      <c r="O127">
        <f>N127*(DY127+DZ127)/1000.0</f>
        <v>0</v>
      </c>
      <c r="P127">
        <f>(DR127 - IF(AU127&gt;1, L127*DL127*100.0/(AW127), 0))*(DY127+DZ127)/1000.0</f>
        <v>0</v>
      </c>
      <c r="Q127">
        <f>2.0/((1/S127-1/R127)+SIGN(S127)*SQRT((1/S127-1/R127)*(1/S127-1/R127) + 4*DM127/((DM127+1)*(DM127+1))*(2*1/S127*1/R127-1/R127*1/R127)))</f>
        <v>0</v>
      </c>
      <c r="R127">
        <f>IF(LEFT(DN127,1)&lt;&gt;"0",IF(LEFT(DN127,1)="1",3.0,DO127),$D$5+$E$5*(EF127*DY127/($K$5*1000))+$F$5*(EF127*DY127/($K$5*1000))*MAX(MIN(DL127,$J$5),$I$5)*MAX(MIN(DL127,$J$5),$I$5)+$G$5*MAX(MIN(DL127,$J$5),$I$5)*(EF127*DY127/($K$5*1000))+$H$5*(EF127*DY127/($K$5*1000))*(EF127*DY127/($K$5*1000)))</f>
        <v>0</v>
      </c>
      <c r="S127">
        <f>J127*(1000-(1000*0.61365*exp(17.502*W127/(240.97+W127))/(DY127+DZ127)+DT127)/2)/(1000*0.61365*exp(17.502*W127/(240.97+W127))/(DY127+DZ127)-DT127)</f>
        <v>0</v>
      </c>
      <c r="T127">
        <f>1/((DM127+1)/(Q127/1.6)+1/(R127/1.37)) + DM127/((DM127+1)/(Q127/1.6) + DM127/(R127/1.37))</f>
        <v>0</v>
      </c>
      <c r="U127">
        <f>(DH127*DK127)</f>
        <v>0</v>
      </c>
      <c r="V127">
        <f>(EA127+(U127+2*0.95*5.67E-8*(((EA127+$B$7)+273)^4-(EA127+273)^4)-44100*J127)/(1.84*29.3*R127+8*0.95*5.67E-8*(EA127+273)^3))</f>
        <v>0</v>
      </c>
      <c r="W127">
        <f>($C$7*EB127+$D$7*EC127+$E$7*V127)</f>
        <v>0</v>
      </c>
      <c r="X127">
        <f>0.61365*exp(17.502*W127/(240.97+W127))</f>
        <v>0</v>
      </c>
      <c r="Y127">
        <f>(Z127/AA127*100)</f>
        <v>0</v>
      </c>
      <c r="Z127">
        <f>DT127*(DY127+DZ127)/1000</f>
        <v>0</v>
      </c>
      <c r="AA127">
        <f>0.61365*exp(17.502*EA127/(240.97+EA127))</f>
        <v>0</v>
      </c>
      <c r="AB127">
        <f>(X127-DT127*(DY127+DZ127)/1000)</f>
        <v>0</v>
      </c>
      <c r="AC127">
        <f>(-J127*44100)</f>
        <v>0</v>
      </c>
      <c r="AD127">
        <f>2*29.3*R127*0.92*(EA127-W127)</f>
        <v>0</v>
      </c>
      <c r="AE127">
        <f>2*0.95*5.67E-8*(((EA127+$B$7)+273)^4-(W127+273)^4)</f>
        <v>0</v>
      </c>
      <c r="AF127">
        <f>U127+AE127+AC127+AD127</f>
        <v>0</v>
      </c>
      <c r="AG127">
        <f>DX127*AU127*(DS127-DR127*(1000-AU127*DU127)/(1000-AU127*DT127))/(100*DL127)</f>
        <v>0</v>
      </c>
      <c r="AH127">
        <f>1000*DX127*AU127*(DT127-DU127)/(100*DL127*(1000-AU127*DT127))</f>
        <v>0</v>
      </c>
      <c r="AI127">
        <f>(AJ127 - AK127 - DY127*1E3/(8.314*(EA127+273.15)) * AM127/DX127 * AL127) * DX127/(100*DL127) * (1000 - DU127)/1000</f>
        <v>0</v>
      </c>
      <c r="AJ127">
        <v>338.343811757813</v>
      </c>
      <c r="AK127">
        <v>339.429872727273</v>
      </c>
      <c r="AL127">
        <v>-3.24864750222072</v>
      </c>
      <c r="AM127">
        <v>65.2210784119795</v>
      </c>
      <c r="AN127">
        <f>(AP127 - AO127 + DY127*1E3/(8.314*(EA127+273.15)) * AR127/DX127 * AQ127) * DX127/(100*DL127) * 1000/(1000 - AP127)</f>
        <v>0</v>
      </c>
      <c r="AO127">
        <v>9.74724185182238</v>
      </c>
      <c r="AP127">
        <v>11.8355121212121</v>
      </c>
      <c r="AQ127">
        <v>4.64669563401679e-06</v>
      </c>
      <c r="AR127">
        <v>115.574510355221</v>
      </c>
      <c r="AS127">
        <v>0</v>
      </c>
      <c r="AT127">
        <v>0</v>
      </c>
      <c r="AU127">
        <f>IF(AS127*$H$13&gt;=AW127,1.0,(AW127/(AW127-AS127*$H$13)))</f>
        <v>0</v>
      </c>
      <c r="AV127">
        <f>(AU127-1)*100</f>
        <v>0</v>
      </c>
      <c r="AW127">
        <f>MAX(0,($B$13+$C$13*EF127)/(1+$D$13*EF127)*DY127/(EA127+273)*$E$13)</f>
        <v>0</v>
      </c>
      <c r="AX127" t="s">
        <v>437</v>
      </c>
      <c r="AY127" t="s">
        <v>437</v>
      </c>
      <c r="AZ127">
        <v>0</v>
      </c>
      <c r="BA127">
        <v>0</v>
      </c>
      <c r="BB127">
        <f>1-AZ127/BA127</f>
        <v>0</v>
      </c>
      <c r="BC127">
        <v>0</v>
      </c>
      <c r="BD127" t="s">
        <v>437</v>
      </c>
      <c r="BE127" t="s">
        <v>437</v>
      </c>
      <c r="BF127">
        <v>0</v>
      </c>
      <c r="BG127">
        <v>0</v>
      </c>
      <c r="BH127">
        <f>1-BF127/BG127</f>
        <v>0</v>
      </c>
      <c r="BI127">
        <v>0.5</v>
      </c>
      <c r="BJ127">
        <f>DI127</f>
        <v>0</v>
      </c>
      <c r="BK127">
        <f>L127</f>
        <v>0</v>
      </c>
      <c r="BL127">
        <f>BH127*BI127*BJ127</f>
        <v>0</v>
      </c>
      <c r="BM127">
        <f>(BK127-BC127)/BJ127</f>
        <v>0</v>
      </c>
      <c r="BN127">
        <f>(BA127-BG127)/BG127</f>
        <v>0</v>
      </c>
      <c r="BO127">
        <f>AZ127/(BB127+AZ127/BG127)</f>
        <v>0</v>
      </c>
      <c r="BP127" t="s">
        <v>437</v>
      </c>
      <c r="BQ127">
        <v>0</v>
      </c>
      <c r="BR127">
        <f>IF(BQ127&lt;&gt;0, BQ127, BO127)</f>
        <v>0</v>
      </c>
      <c r="BS127">
        <f>1-BR127/BG127</f>
        <v>0</v>
      </c>
      <c r="BT127">
        <f>(BG127-BF127)/(BG127-BR127)</f>
        <v>0</v>
      </c>
      <c r="BU127">
        <f>(BA127-BG127)/(BA127-BR127)</f>
        <v>0</v>
      </c>
      <c r="BV127">
        <f>(BG127-BF127)/(BG127-AZ127)</f>
        <v>0</v>
      </c>
      <c r="BW127">
        <f>(BA127-BG127)/(BA127-AZ127)</f>
        <v>0</v>
      </c>
      <c r="BX127">
        <f>(BT127*BR127/BF127)</f>
        <v>0</v>
      </c>
      <c r="BY127">
        <f>(1-BX127)</f>
        <v>0</v>
      </c>
      <c r="BZ127">
        <v>282</v>
      </c>
      <c r="CA127">
        <v>290</v>
      </c>
      <c r="CB127">
        <v>1577.74</v>
      </c>
      <c r="CC127">
        <v>295</v>
      </c>
      <c r="CD127">
        <v>5140.93</v>
      </c>
      <c r="CE127">
        <v>1578.58</v>
      </c>
      <c r="CF127">
        <v>-0.84</v>
      </c>
      <c r="CG127">
        <v>300</v>
      </c>
      <c r="CH127">
        <v>23.8</v>
      </c>
      <c r="CI127">
        <v>1633.28263291266</v>
      </c>
      <c r="CJ127">
        <v>1.49577129053257</v>
      </c>
      <c r="CK127">
        <v>-28.1203876934379</v>
      </c>
      <c r="CL127">
        <v>0.666413418688897</v>
      </c>
      <c r="CM127">
        <v>0.984518017981194</v>
      </c>
      <c r="CN127">
        <v>-0.00424727541713014</v>
      </c>
      <c r="CO127">
        <v>290</v>
      </c>
      <c r="CP127">
        <v>1576.56</v>
      </c>
      <c r="CQ127">
        <v>775</v>
      </c>
      <c r="CR127">
        <v>5139.5</v>
      </c>
      <c r="CS127">
        <v>1578.57</v>
      </c>
      <c r="CT127">
        <v>-2.01</v>
      </c>
      <c r="DH127">
        <f>$B$11*EG127+$C$11*EH127+$F$11*ES127*(1-EV127)</f>
        <v>0</v>
      </c>
      <c r="DI127">
        <f>DH127*DJ127</f>
        <v>0</v>
      </c>
      <c r="DJ127">
        <f>($B$11*$D$9+$C$11*$D$9+$F$11*((FF127+EX127)/MAX(FF127+EX127+FG127, 0.1)*$I$9+FG127/MAX(FF127+EX127+FG127, 0.1)*$J$9))/($B$11+$C$11+$F$11)</f>
        <v>0</v>
      </c>
      <c r="DK127">
        <f>($B$11*$K$9+$C$11*$K$9+$F$11*((FF127+EX127)/MAX(FF127+EX127+FG127, 0.1)*$P$9+FG127/MAX(FF127+EX127+FG127, 0.1)*$Q$9))/($B$11+$C$11+$F$11)</f>
        <v>0</v>
      </c>
      <c r="DL127">
        <v>6</v>
      </c>
      <c r="DM127">
        <v>0.5</v>
      </c>
      <c r="DN127" t="s">
        <v>438</v>
      </c>
      <c r="DO127">
        <v>2</v>
      </c>
      <c r="DP127" t="b">
        <v>1</v>
      </c>
      <c r="DQ127">
        <v>1760991793.84615</v>
      </c>
      <c r="DR127">
        <v>357.388076923077</v>
      </c>
      <c r="DS127">
        <v>350.972384615385</v>
      </c>
      <c r="DT127">
        <v>11.8334384615385</v>
      </c>
      <c r="DU127">
        <v>9.75175923076923</v>
      </c>
      <c r="DV127">
        <v>354.748769230769</v>
      </c>
      <c r="DW127">
        <v>11.9443692307692</v>
      </c>
      <c r="DX127">
        <v>499.991153846154</v>
      </c>
      <c r="DY127">
        <v>89.8334230769231</v>
      </c>
      <c r="DZ127">
        <v>0.00837948</v>
      </c>
      <c r="EA127">
        <v>18.4291461538462</v>
      </c>
      <c r="EB127">
        <v>17.9964461538462</v>
      </c>
      <c r="EC127">
        <v>999.9</v>
      </c>
      <c r="ED127">
        <v>0</v>
      </c>
      <c r="EE127">
        <v>0</v>
      </c>
      <c r="EF127">
        <v>9994.75384615385</v>
      </c>
      <c r="EG127">
        <v>0</v>
      </c>
      <c r="EH127">
        <v>1278.96461538462</v>
      </c>
      <c r="EI127">
        <v>6.41569615384615</v>
      </c>
      <c r="EJ127">
        <v>361.667846153846</v>
      </c>
      <c r="EK127">
        <v>354.429</v>
      </c>
      <c r="EL127">
        <v>2.08167692307692</v>
      </c>
      <c r="EM127">
        <v>350.972384615385</v>
      </c>
      <c r="EN127">
        <v>9.75175923076923</v>
      </c>
      <c r="EO127">
        <v>1.06303846153846</v>
      </c>
      <c r="EP127">
        <v>0.876033846153846</v>
      </c>
      <c r="EQ127">
        <v>7.81025846153846</v>
      </c>
      <c r="ER127">
        <v>5.00293769230769</v>
      </c>
      <c r="ES127">
        <v>1200.03923076923</v>
      </c>
      <c r="ET127">
        <v>0.966994692307692</v>
      </c>
      <c r="EU127">
        <v>0.0330053153846154</v>
      </c>
      <c r="EV127">
        <v>0</v>
      </c>
      <c r="EW127">
        <v>1326.96615384615</v>
      </c>
      <c r="EX127">
        <v>5.00059</v>
      </c>
      <c r="EY127">
        <v>15623.3769230769</v>
      </c>
      <c r="EZ127">
        <v>10359.0538461538</v>
      </c>
      <c r="FA127">
        <v>37.0959230769231</v>
      </c>
      <c r="FB127">
        <v>38.7016923076923</v>
      </c>
      <c r="FC127">
        <v>37.5189230769231</v>
      </c>
      <c r="FD127">
        <v>38.0141538461538</v>
      </c>
      <c r="FE127">
        <v>37.9804615384615</v>
      </c>
      <c r="FF127">
        <v>1155.59923076923</v>
      </c>
      <c r="FG127">
        <v>39.44</v>
      </c>
      <c r="FH127">
        <v>0</v>
      </c>
      <c r="FI127">
        <v>657.800000190735</v>
      </c>
      <c r="FJ127">
        <v>0</v>
      </c>
      <c r="FK127">
        <v>1327.01038461538</v>
      </c>
      <c r="FL127">
        <v>3.00341879944772</v>
      </c>
      <c r="FM127">
        <v>2.17094022448601</v>
      </c>
      <c r="FN127">
        <v>15622.7269230769</v>
      </c>
      <c r="FO127">
        <v>15</v>
      </c>
      <c r="FP127">
        <v>0</v>
      </c>
      <c r="FQ127" t="s">
        <v>439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5.2644515</v>
      </c>
      <c r="GD127">
        <v>25.6430868270677</v>
      </c>
      <c r="GE127">
        <v>2.5775613679729</v>
      </c>
      <c r="GF127">
        <v>0</v>
      </c>
      <c r="GG127">
        <v>1326.81411764706</v>
      </c>
      <c r="GH127">
        <v>3.5434682995064</v>
      </c>
      <c r="GI127">
        <v>0.399684564206655</v>
      </c>
      <c r="GJ127">
        <v>-1</v>
      </c>
      <c r="GK127">
        <v>2.0783545</v>
      </c>
      <c r="GL127">
        <v>0.0799096240601502</v>
      </c>
      <c r="GM127">
        <v>0.00779276168954244</v>
      </c>
      <c r="GN127">
        <v>1</v>
      </c>
      <c r="GO127">
        <v>1</v>
      </c>
      <c r="GP127">
        <v>2</v>
      </c>
      <c r="GQ127" t="s">
        <v>446</v>
      </c>
      <c r="GR127">
        <v>3.1307</v>
      </c>
      <c r="GS127">
        <v>2.68622</v>
      </c>
      <c r="GT127">
        <v>0.0745299</v>
      </c>
      <c r="GU127">
        <v>0.0736242</v>
      </c>
      <c r="GV127">
        <v>0.0617724</v>
      </c>
      <c r="GW127">
        <v>0.053059</v>
      </c>
      <c r="GX127">
        <v>35071.9</v>
      </c>
      <c r="GY127">
        <v>37724.8</v>
      </c>
      <c r="GZ127">
        <v>34264.5</v>
      </c>
      <c r="HA127">
        <v>36848.9</v>
      </c>
      <c r="HB127">
        <v>45344.2</v>
      </c>
      <c r="HC127">
        <v>50031.6</v>
      </c>
      <c r="HD127">
        <v>53337.9</v>
      </c>
      <c r="HE127">
        <v>58776.6</v>
      </c>
      <c r="HF127">
        <v>2.0078</v>
      </c>
      <c r="HG127">
        <v>1.83477</v>
      </c>
      <c r="HH127">
        <v>0.00825152</v>
      </c>
      <c r="HI127">
        <v>0</v>
      </c>
      <c r="HJ127">
        <v>17.8571</v>
      </c>
      <c r="HK127">
        <v>999.9</v>
      </c>
      <c r="HL127">
        <v>27.262</v>
      </c>
      <c r="HM127">
        <v>30.504</v>
      </c>
      <c r="HN127">
        <v>13.3075</v>
      </c>
      <c r="HO127">
        <v>54.5191</v>
      </c>
      <c r="HP127">
        <v>44.5112</v>
      </c>
      <c r="HQ127">
        <v>1</v>
      </c>
      <c r="HR127">
        <v>-0.264865</v>
      </c>
      <c r="HS127">
        <v>4.66318</v>
      </c>
      <c r="HT127">
        <v>20.0746</v>
      </c>
      <c r="HU127">
        <v>5.20127</v>
      </c>
      <c r="HV127">
        <v>12.004</v>
      </c>
      <c r="HW127">
        <v>4.97565</v>
      </c>
      <c r="HX127">
        <v>3.29295</v>
      </c>
      <c r="HY127">
        <v>9999</v>
      </c>
      <c r="HZ127">
        <v>999.9</v>
      </c>
      <c r="IA127">
        <v>9999</v>
      </c>
      <c r="IB127">
        <v>9999</v>
      </c>
      <c r="IC127">
        <v>1.86325</v>
      </c>
      <c r="ID127">
        <v>1.86804</v>
      </c>
      <c r="IE127">
        <v>1.86783</v>
      </c>
      <c r="IF127">
        <v>1.86904</v>
      </c>
      <c r="IG127">
        <v>1.86981</v>
      </c>
      <c r="IH127">
        <v>1.86586</v>
      </c>
      <c r="II127">
        <v>1.86691</v>
      </c>
      <c r="IJ127">
        <v>1.86839</v>
      </c>
      <c r="IK127">
        <v>5</v>
      </c>
      <c r="IL127">
        <v>0</v>
      </c>
      <c r="IM127">
        <v>0</v>
      </c>
      <c r="IN127">
        <v>0</v>
      </c>
      <c r="IO127" t="s">
        <v>441</v>
      </c>
      <c r="IP127" t="s">
        <v>442</v>
      </c>
      <c r="IQ127" t="s">
        <v>443</v>
      </c>
      <c r="IR127" t="s">
        <v>443</v>
      </c>
      <c r="IS127" t="s">
        <v>443</v>
      </c>
      <c r="IT127" t="s">
        <v>443</v>
      </c>
      <c r="IU127">
        <v>0</v>
      </c>
      <c r="IV127">
        <v>100</v>
      </c>
      <c r="IW127">
        <v>100</v>
      </c>
      <c r="IX127">
        <v>2.54</v>
      </c>
      <c r="IY127">
        <v>-0.1109</v>
      </c>
      <c r="IZ127">
        <v>1.12474291219083</v>
      </c>
      <c r="JA127">
        <v>0.00463155566490582</v>
      </c>
      <c r="JB127">
        <v>-1.1358998729424e-06</v>
      </c>
      <c r="JC127">
        <v>3.28704272115545e-10</v>
      </c>
      <c r="JD127">
        <v>-0.0704455108513773</v>
      </c>
      <c r="JE127">
        <v>-0.0251928478371425</v>
      </c>
      <c r="JF127">
        <v>0.00225751704194564</v>
      </c>
      <c r="JG127">
        <v>-3.61734043746866e-05</v>
      </c>
      <c r="JH127">
        <v>1</v>
      </c>
      <c r="JI127">
        <v>2182</v>
      </c>
      <c r="JJ127">
        <v>0</v>
      </c>
      <c r="JK127">
        <v>24</v>
      </c>
      <c r="JL127">
        <v>29349863.4</v>
      </c>
      <c r="JM127">
        <v>29349863.4</v>
      </c>
      <c r="JN127">
        <v>0.792236</v>
      </c>
      <c r="JO127">
        <v>2.63184</v>
      </c>
      <c r="JP127">
        <v>1.54785</v>
      </c>
      <c r="JQ127">
        <v>2.31323</v>
      </c>
      <c r="JR127">
        <v>1.64551</v>
      </c>
      <c r="JS127">
        <v>2.35718</v>
      </c>
      <c r="JT127">
        <v>33.7381</v>
      </c>
      <c r="JU127">
        <v>24.1751</v>
      </c>
      <c r="JV127">
        <v>18</v>
      </c>
      <c r="JW127">
        <v>499.948</v>
      </c>
      <c r="JX127">
        <v>392.784</v>
      </c>
      <c r="JY127">
        <v>11.5979</v>
      </c>
      <c r="JZ127">
        <v>23.9488</v>
      </c>
      <c r="KA127">
        <v>30.0003</v>
      </c>
      <c r="KB127">
        <v>23.911</v>
      </c>
      <c r="KC127">
        <v>23.8754</v>
      </c>
      <c r="KD127">
        <v>15.7521</v>
      </c>
      <c r="KE127">
        <v>12.9733</v>
      </c>
      <c r="KF127">
        <v>27.2762</v>
      </c>
      <c r="KG127">
        <v>11.5931</v>
      </c>
      <c r="KH127">
        <v>298.4</v>
      </c>
      <c r="KI127">
        <v>9.80398</v>
      </c>
      <c r="KJ127">
        <v>97.0384</v>
      </c>
      <c r="KK127">
        <v>95.3033</v>
      </c>
    </row>
    <row r="128" spans="1:297">
      <c r="A128">
        <v>112</v>
      </c>
      <c r="B128">
        <v>1760991807</v>
      </c>
      <c r="C128">
        <v>2616.90000009537</v>
      </c>
      <c r="D128" t="s">
        <v>677</v>
      </c>
      <c r="E128" t="s">
        <v>678</v>
      </c>
      <c r="F128">
        <v>5</v>
      </c>
      <c r="G128" t="s">
        <v>662</v>
      </c>
      <c r="H128" t="s">
        <v>436</v>
      </c>
      <c r="I128">
        <v>1760991798.84615</v>
      </c>
      <c r="J128">
        <f>(K128)/1000</f>
        <v>0</v>
      </c>
      <c r="K128">
        <f>IF(DP128, AN128, AH128)</f>
        <v>0</v>
      </c>
      <c r="L128">
        <f>IF(DP128, AI128, AG128)</f>
        <v>0</v>
      </c>
      <c r="M128">
        <f>DR128 - IF(AU128&gt;1, L128*DL128*100.0/(AW128), 0)</f>
        <v>0</v>
      </c>
      <c r="N128">
        <f>((T128-J128/2)*M128-L128)/(T128+J128/2)</f>
        <v>0</v>
      </c>
      <c r="O128">
        <f>N128*(DY128+DZ128)/1000.0</f>
        <v>0</v>
      </c>
      <c r="P128">
        <f>(DR128 - IF(AU128&gt;1, L128*DL128*100.0/(AW128), 0))*(DY128+DZ128)/1000.0</f>
        <v>0</v>
      </c>
      <c r="Q128">
        <f>2.0/((1/S128-1/R128)+SIGN(S128)*SQRT((1/S128-1/R128)*(1/S128-1/R128) + 4*DM128/((DM128+1)*(DM128+1))*(2*1/S128*1/R128-1/R128*1/R128)))</f>
        <v>0</v>
      </c>
      <c r="R128">
        <f>IF(LEFT(DN128,1)&lt;&gt;"0",IF(LEFT(DN128,1)="1",3.0,DO128),$D$5+$E$5*(EF128*DY128/($K$5*1000))+$F$5*(EF128*DY128/($K$5*1000))*MAX(MIN(DL128,$J$5),$I$5)*MAX(MIN(DL128,$J$5),$I$5)+$G$5*MAX(MIN(DL128,$J$5),$I$5)*(EF128*DY128/($K$5*1000))+$H$5*(EF128*DY128/($K$5*1000))*(EF128*DY128/($K$5*1000)))</f>
        <v>0</v>
      </c>
      <c r="S128">
        <f>J128*(1000-(1000*0.61365*exp(17.502*W128/(240.97+W128))/(DY128+DZ128)+DT128)/2)/(1000*0.61365*exp(17.502*W128/(240.97+W128))/(DY128+DZ128)-DT128)</f>
        <v>0</v>
      </c>
      <c r="T128">
        <f>1/((DM128+1)/(Q128/1.6)+1/(R128/1.37)) + DM128/((DM128+1)/(Q128/1.6) + DM128/(R128/1.37))</f>
        <v>0</v>
      </c>
      <c r="U128">
        <f>(DH128*DK128)</f>
        <v>0</v>
      </c>
      <c r="V128">
        <f>(EA128+(U128+2*0.95*5.67E-8*(((EA128+$B$7)+273)^4-(EA128+273)^4)-44100*J128)/(1.84*29.3*R128+8*0.95*5.67E-8*(EA128+273)^3))</f>
        <v>0</v>
      </c>
      <c r="W128">
        <f>($C$7*EB128+$D$7*EC128+$E$7*V128)</f>
        <v>0</v>
      </c>
      <c r="X128">
        <f>0.61365*exp(17.502*W128/(240.97+W128))</f>
        <v>0</v>
      </c>
      <c r="Y128">
        <f>(Z128/AA128*100)</f>
        <v>0</v>
      </c>
      <c r="Z128">
        <f>DT128*(DY128+DZ128)/1000</f>
        <v>0</v>
      </c>
      <c r="AA128">
        <f>0.61365*exp(17.502*EA128/(240.97+EA128))</f>
        <v>0</v>
      </c>
      <c r="AB128">
        <f>(X128-DT128*(DY128+DZ128)/1000)</f>
        <v>0</v>
      </c>
      <c r="AC128">
        <f>(-J128*44100)</f>
        <v>0</v>
      </c>
      <c r="AD128">
        <f>2*29.3*R128*0.92*(EA128-W128)</f>
        <v>0</v>
      </c>
      <c r="AE128">
        <f>2*0.95*5.67E-8*(((EA128+$B$7)+273)^4-(W128+273)^4)</f>
        <v>0</v>
      </c>
      <c r="AF128">
        <f>U128+AE128+AC128+AD128</f>
        <v>0</v>
      </c>
      <c r="AG128">
        <f>DX128*AU128*(DS128-DR128*(1000-AU128*DU128)/(1000-AU128*DT128))/(100*DL128)</f>
        <v>0</v>
      </c>
      <c r="AH128">
        <f>1000*DX128*AU128*(DT128-DU128)/(100*DL128*(1000-AU128*DT128))</f>
        <v>0</v>
      </c>
      <c r="AI128">
        <f>(AJ128 - AK128 - DY128*1E3/(8.314*(EA128+273.15)) * AM128/DX128 * AL128) * DX128/(100*DL128) * (1000 - DU128)/1000</f>
        <v>0</v>
      </c>
      <c r="AJ128">
        <v>322.134933566943</v>
      </c>
      <c r="AK128">
        <v>323.625121212121</v>
      </c>
      <c r="AL128">
        <v>-3.14692439226009</v>
      </c>
      <c r="AM128">
        <v>65.2210784119795</v>
      </c>
      <c r="AN128">
        <f>(AP128 - AO128 + DY128*1E3/(8.314*(EA128+273.15)) * AR128/DX128 * AQ128) * DX128/(100*DL128) * 1000/(1000 - AP128)</f>
        <v>0</v>
      </c>
      <c r="AO128">
        <v>9.74327335346502</v>
      </c>
      <c r="AP128">
        <v>11.8302933333333</v>
      </c>
      <c r="AQ128">
        <v>-5.30508761473321e-05</v>
      </c>
      <c r="AR128">
        <v>115.574510355221</v>
      </c>
      <c r="AS128">
        <v>0</v>
      </c>
      <c r="AT128">
        <v>0</v>
      </c>
      <c r="AU128">
        <f>IF(AS128*$H$13&gt;=AW128,1.0,(AW128/(AW128-AS128*$H$13)))</f>
        <v>0</v>
      </c>
      <c r="AV128">
        <f>(AU128-1)*100</f>
        <v>0</v>
      </c>
      <c r="AW128">
        <f>MAX(0,($B$13+$C$13*EF128)/(1+$D$13*EF128)*DY128/(EA128+273)*$E$13)</f>
        <v>0</v>
      </c>
      <c r="AX128" t="s">
        <v>437</v>
      </c>
      <c r="AY128" t="s">
        <v>437</v>
      </c>
      <c r="AZ128">
        <v>0</v>
      </c>
      <c r="BA128">
        <v>0</v>
      </c>
      <c r="BB128">
        <f>1-AZ128/BA128</f>
        <v>0</v>
      </c>
      <c r="BC128">
        <v>0</v>
      </c>
      <c r="BD128" t="s">
        <v>437</v>
      </c>
      <c r="BE128" t="s">
        <v>437</v>
      </c>
      <c r="BF128">
        <v>0</v>
      </c>
      <c r="BG128">
        <v>0</v>
      </c>
      <c r="BH128">
        <f>1-BF128/BG128</f>
        <v>0</v>
      </c>
      <c r="BI128">
        <v>0.5</v>
      </c>
      <c r="BJ128">
        <f>DI128</f>
        <v>0</v>
      </c>
      <c r="BK128">
        <f>L128</f>
        <v>0</v>
      </c>
      <c r="BL128">
        <f>BH128*BI128*BJ128</f>
        <v>0</v>
      </c>
      <c r="BM128">
        <f>(BK128-BC128)/BJ128</f>
        <v>0</v>
      </c>
      <c r="BN128">
        <f>(BA128-BG128)/BG128</f>
        <v>0</v>
      </c>
      <c r="BO128">
        <f>AZ128/(BB128+AZ128/BG128)</f>
        <v>0</v>
      </c>
      <c r="BP128" t="s">
        <v>437</v>
      </c>
      <c r="BQ128">
        <v>0</v>
      </c>
      <c r="BR128">
        <f>IF(BQ128&lt;&gt;0, BQ128, BO128)</f>
        <v>0</v>
      </c>
      <c r="BS128">
        <f>1-BR128/BG128</f>
        <v>0</v>
      </c>
      <c r="BT128">
        <f>(BG128-BF128)/(BG128-BR128)</f>
        <v>0</v>
      </c>
      <c r="BU128">
        <f>(BA128-BG128)/(BA128-BR128)</f>
        <v>0</v>
      </c>
      <c r="BV128">
        <f>(BG128-BF128)/(BG128-AZ128)</f>
        <v>0</v>
      </c>
      <c r="BW128">
        <f>(BA128-BG128)/(BA128-AZ128)</f>
        <v>0</v>
      </c>
      <c r="BX128">
        <f>(BT128*BR128/BF128)</f>
        <v>0</v>
      </c>
      <c r="BY128">
        <f>(1-BX128)</f>
        <v>0</v>
      </c>
      <c r="BZ128">
        <v>282</v>
      </c>
      <c r="CA128">
        <v>290</v>
      </c>
      <c r="CB128">
        <v>1577.74</v>
      </c>
      <c r="CC128">
        <v>295</v>
      </c>
      <c r="CD128">
        <v>5140.93</v>
      </c>
      <c r="CE128">
        <v>1578.58</v>
      </c>
      <c r="CF128">
        <v>-0.84</v>
      </c>
      <c r="CG128">
        <v>300</v>
      </c>
      <c r="CH128">
        <v>23.8</v>
      </c>
      <c r="CI128">
        <v>1633.28263291266</v>
      </c>
      <c r="CJ128">
        <v>1.49577129053257</v>
      </c>
      <c r="CK128">
        <v>-28.1203876934379</v>
      </c>
      <c r="CL128">
        <v>0.666413418688897</v>
      </c>
      <c r="CM128">
        <v>0.984518017981194</v>
      </c>
      <c r="CN128">
        <v>-0.00424727541713014</v>
      </c>
      <c r="CO128">
        <v>290</v>
      </c>
      <c r="CP128">
        <v>1576.56</v>
      </c>
      <c r="CQ128">
        <v>775</v>
      </c>
      <c r="CR128">
        <v>5139.5</v>
      </c>
      <c r="CS128">
        <v>1578.57</v>
      </c>
      <c r="CT128">
        <v>-2.01</v>
      </c>
      <c r="DH128">
        <f>$B$11*EG128+$C$11*EH128+$F$11*ES128*(1-EV128)</f>
        <v>0</v>
      </c>
      <c r="DI128">
        <f>DH128*DJ128</f>
        <v>0</v>
      </c>
      <c r="DJ128">
        <f>($B$11*$D$9+$C$11*$D$9+$F$11*((FF128+EX128)/MAX(FF128+EX128+FG128, 0.1)*$I$9+FG128/MAX(FF128+EX128+FG128, 0.1)*$J$9))/($B$11+$C$11+$F$11)</f>
        <v>0</v>
      </c>
      <c r="DK128">
        <f>($B$11*$K$9+$C$11*$K$9+$F$11*((FF128+EX128)/MAX(FF128+EX128+FG128, 0.1)*$P$9+FG128/MAX(FF128+EX128+FG128, 0.1)*$Q$9))/($B$11+$C$11+$F$11)</f>
        <v>0</v>
      </c>
      <c r="DL128">
        <v>6</v>
      </c>
      <c r="DM128">
        <v>0.5</v>
      </c>
      <c r="DN128" t="s">
        <v>438</v>
      </c>
      <c r="DO128">
        <v>2</v>
      </c>
      <c r="DP128" t="b">
        <v>1</v>
      </c>
      <c r="DQ128">
        <v>1760991798.84615</v>
      </c>
      <c r="DR128">
        <v>342.127153846154</v>
      </c>
      <c r="DS128">
        <v>334.645923076923</v>
      </c>
      <c r="DT128">
        <v>11.8338846153846</v>
      </c>
      <c r="DU128">
        <v>9.74815461538462</v>
      </c>
      <c r="DV128">
        <v>339.548076923077</v>
      </c>
      <c r="DW128">
        <v>11.9448076923077</v>
      </c>
      <c r="DX128">
        <v>499.987538461539</v>
      </c>
      <c r="DY128">
        <v>89.8332769230769</v>
      </c>
      <c r="DZ128">
        <v>0.00826932</v>
      </c>
      <c r="EA128">
        <v>18.4249</v>
      </c>
      <c r="EB128">
        <v>17.9973307692308</v>
      </c>
      <c r="EC128">
        <v>999.9</v>
      </c>
      <c r="ED128">
        <v>0</v>
      </c>
      <c r="EE128">
        <v>0</v>
      </c>
      <c r="EF128">
        <v>10012.0692307692</v>
      </c>
      <c r="EG128">
        <v>0</v>
      </c>
      <c r="EH128">
        <v>1278.95461538462</v>
      </c>
      <c r="EI128">
        <v>7.48115615384615</v>
      </c>
      <c r="EJ128">
        <v>346.224230769231</v>
      </c>
      <c r="EK128">
        <v>337.940384615385</v>
      </c>
      <c r="EL128">
        <v>2.08572538461538</v>
      </c>
      <c r="EM128">
        <v>334.645923076923</v>
      </c>
      <c r="EN128">
        <v>9.74815461538462</v>
      </c>
      <c r="EO128">
        <v>1.06307692307692</v>
      </c>
      <c r="EP128">
        <v>0.875708692307692</v>
      </c>
      <c r="EQ128">
        <v>7.81078769230769</v>
      </c>
      <c r="ER128">
        <v>4.99761384615385</v>
      </c>
      <c r="ES128">
        <v>1200.01153846154</v>
      </c>
      <c r="ET128">
        <v>0.966993307692308</v>
      </c>
      <c r="EU128">
        <v>0.0330066307692308</v>
      </c>
      <c r="EV128">
        <v>0</v>
      </c>
      <c r="EW128">
        <v>1327.05692307692</v>
      </c>
      <c r="EX128">
        <v>5.00059</v>
      </c>
      <c r="EY128">
        <v>15621.6</v>
      </c>
      <c r="EZ128">
        <v>10358.8230769231</v>
      </c>
      <c r="FA128">
        <v>37.0526923076923</v>
      </c>
      <c r="FB128">
        <v>38.6536153846154</v>
      </c>
      <c r="FC128">
        <v>37.4708461538462</v>
      </c>
      <c r="FD128">
        <v>37.9565384615385</v>
      </c>
      <c r="FE128">
        <v>37.9324615384615</v>
      </c>
      <c r="FF128">
        <v>1155.57</v>
      </c>
      <c r="FG128">
        <v>39.44</v>
      </c>
      <c r="FH128">
        <v>0</v>
      </c>
      <c r="FI128">
        <v>662.600000143051</v>
      </c>
      <c r="FJ128">
        <v>0</v>
      </c>
      <c r="FK128">
        <v>1327.11269230769</v>
      </c>
      <c r="FL128">
        <v>-0.448888902825052</v>
      </c>
      <c r="FM128">
        <v>-35.5829059180033</v>
      </c>
      <c r="FN128">
        <v>15621.2615384615</v>
      </c>
      <c r="FO128">
        <v>15</v>
      </c>
      <c r="FP128">
        <v>0</v>
      </c>
      <c r="FQ128" t="s">
        <v>439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6.79075476190476</v>
      </c>
      <c r="GD128">
        <v>14.9472506493506</v>
      </c>
      <c r="GE128">
        <v>1.61303570151385</v>
      </c>
      <c r="GF128">
        <v>0</v>
      </c>
      <c r="GG128">
        <v>1326.99647058824</v>
      </c>
      <c r="GH128">
        <v>1.62933536979936</v>
      </c>
      <c r="GI128">
        <v>0.326837631508754</v>
      </c>
      <c r="GJ128">
        <v>-1</v>
      </c>
      <c r="GK128">
        <v>2.08279142857143</v>
      </c>
      <c r="GL128">
        <v>0.0509290909090952</v>
      </c>
      <c r="GM128">
        <v>0.00555242914297469</v>
      </c>
      <c r="GN128">
        <v>1</v>
      </c>
      <c r="GO128">
        <v>1</v>
      </c>
      <c r="GP128">
        <v>2</v>
      </c>
      <c r="GQ128" t="s">
        <v>446</v>
      </c>
      <c r="GR128">
        <v>3.13081</v>
      </c>
      <c r="GS128">
        <v>2.6867</v>
      </c>
      <c r="GT128">
        <v>0.0716803</v>
      </c>
      <c r="GU128">
        <v>0.07049</v>
      </c>
      <c r="GV128">
        <v>0.0617546</v>
      </c>
      <c r="GW128">
        <v>0.0530432</v>
      </c>
      <c r="GX128">
        <v>35179.6</v>
      </c>
      <c r="GY128">
        <v>37852.4</v>
      </c>
      <c r="GZ128">
        <v>34264.3</v>
      </c>
      <c r="HA128">
        <v>36848.8</v>
      </c>
      <c r="HB128">
        <v>45344.4</v>
      </c>
      <c r="HC128">
        <v>50032.1</v>
      </c>
      <c r="HD128">
        <v>53337.5</v>
      </c>
      <c r="HE128">
        <v>58776.7</v>
      </c>
      <c r="HF128">
        <v>2.00818</v>
      </c>
      <c r="HG128">
        <v>1.83458</v>
      </c>
      <c r="HH128">
        <v>0.00821427</v>
      </c>
      <c r="HI128">
        <v>0</v>
      </c>
      <c r="HJ128">
        <v>17.8558</v>
      </c>
      <c r="HK128">
        <v>999.9</v>
      </c>
      <c r="HL128">
        <v>27.262</v>
      </c>
      <c r="HM128">
        <v>30.504</v>
      </c>
      <c r="HN128">
        <v>13.3085</v>
      </c>
      <c r="HO128">
        <v>53.8991</v>
      </c>
      <c r="HP128">
        <v>44.5152</v>
      </c>
      <c r="HQ128">
        <v>1</v>
      </c>
      <c r="HR128">
        <v>-0.264832</v>
      </c>
      <c r="HS128">
        <v>4.67484</v>
      </c>
      <c r="HT128">
        <v>20.0746</v>
      </c>
      <c r="HU128">
        <v>5.20082</v>
      </c>
      <c r="HV128">
        <v>12.004</v>
      </c>
      <c r="HW128">
        <v>4.9756</v>
      </c>
      <c r="HX128">
        <v>3.29303</v>
      </c>
      <c r="HY128">
        <v>9999</v>
      </c>
      <c r="HZ128">
        <v>999.9</v>
      </c>
      <c r="IA128">
        <v>9999</v>
      </c>
      <c r="IB128">
        <v>9999</v>
      </c>
      <c r="IC128">
        <v>1.86324</v>
      </c>
      <c r="ID128">
        <v>1.86803</v>
      </c>
      <c r="IE128">
        <v>1.86783</v>
      </c>
      <c r="IF128">
        <v>1.86902</v>
      </c>
      <c r="IG128">
        <v>1.86981</v>
      </c>
      <c r="IH128">
        <v>1.86584</v>
      </c>
      <c r="II128">
        <v>1.86691</v>
      </c>
      <c r="IJ128">
        <v>1.86838</v>
      </c>
      <c r="IK128">
        <v>5</v>
      </c>
      <c r="IL128">
        <v>0</v>
      </c>
      <c r="IM128">
        <v>0</v>
      </c>
      <c r="IN128">
        <v>0</v>
      </c>
      <c r="IO128" t="s">
        <v>441</v>
      </c>
      <c r="IP128" t="s">
        <v>442</v>
      </c>
      <c r="IQ128" t="s">
        <v>443</v>
      </c>
      <c r="IR128" t="s">
        <v>443</v>
      </c>
      <c r="IS128" t="s">
        <v>443</v>
      </c>
      <c r="IT128" t="s">
        <v>443</v>
      </c>
      <c r="IU128">
        <v>0</v>
      </c>
      <c r="IV128">
        <v>100</v>
      </c>
      <c r="IW128">
        <v>100</v>
      </c>
      <c r="IX128">
        <v>2.478</v>
      </c>
      <c r="IY128">
        <v>-0.1109</v>
      </c>
      <c r="IZ128">
        <v>1.12474291219083</v>
      </c>
      <c r="JA128">
        <v>0.00463155566490582</v>
      </c>
      <c r="JB128">
        <v>-1.1358998729424e-06</v>
      </c>
      <c r="JC128">
        <v>3.28704272115545e-10</v>
      </c>
      <c r="JD128">
        <v>-0.0704455108513773</v>
      </c>
      <c r="JE128">
        <v>-0.0251928478371425</v>
      </c>
      <c r="JF128">
        <v>0.00225751704194564</v>
      </c>
      <c r="JG128">
        <v>-3.61734043746866e-05</v>
      </c>
      <c r="JH128">
        <v>1</v>
      </c>
      <c r="JI128">
        <v>2182</v>
      </c>
      <c r="JJ128">
        <v>0</v>
      </c>
      <c r="JK128">
        <v>24</v>
      </c>
      <c r="JL128">
        <v>29349863.4</v>
      </c>
      <c r="JM128">
        <v>29349863.4</v>
      </c>
      <c r="JN128">
        <v>0.754395</v>
      </c>
      <c r="JO128">
        <v>2.6355</v>
      </c>
      <c r="JP128">
        <v>1.54785</v>
      </c>
      <c r="JQ128">
        <v>2.31323</v>
      </c>
      <c r="JR128">
        <v>1.64673</v>
      </c>
      <c r="JS128">
        <v>2.29126</v>
      </c>
      <c r="JT128">
        <v>33.7381</v>
      </c>
      <c r="JU128">
        <v>24.1751</v>
      </c>
      <c r="JV128">
        <v>18</v>
      </c>
      <c r="JW128">
        <v>500.208</v>
      </c>
      <c r="JX128">
        <v>392.69</v>
      </c>
      <c r="JY128">
        <v>11.5967</v>
      </c>
      <c r="JZ128">
        <v>23.949</v>
      </c>
      <c r="KA128">
        <v>30.0002</v>
      </c>
      <c r="KB128">
        <v>23.913</v>
      </c>
      <c r="KC128">
        <v>23.877</v>
      </c>
      <c r="KD128">
        <v>15.0838</v>
      </c>
      <c r="KE128">
        <v>12.9733</v>
      </c>
      <c r="KF128">
        <v>27.2762</v>
      </c>
      <c r="KG128">
        <v>11.5979</v>
      </c>
      <c r="KH128">
        <v>284.9</v>
      </c>
      <c r="KI128">
        <v>9.80398</v>
      </c>
      <c r="KJ128">
        <v>97.0378</v>
      </c>
      <c r="KK128">
        <v>95.3034</v>
      </c>
    </row>
    <row r="129" spans="1:297">
      <c r="A129">
        <v>113</v>
      </c>
      <c r="B129">
        <v>1760991812</v>
      </c>
      <c r="C129">
        <v>2621.90000009537</v>
      </c>
      <c r="D129" t="s">
        <v>679</v>
      </c>
      <c r="E129" t="s">
        <v>680</v>
      </c>
      <c r="F129">
        <v>5</v>
      </c>
      <c r="G129" t="s">
        <v>662</v>
      </c>
      <c r="H129" t="s">
        <v>436</v>
      </c>
      <c r="I129">
        <v>1760991803.84615</v>
      </c>
      <c r="J129">
        <f>(K129)/1000</f>
        <v>0</v>
      </c>
      <c r="K129">
        <f>IF(DP129, AN129, AH129)</f>
        <v>0</v>
      </c>
      <c r="L129">
        <f>IF(DP129, AI129, AG129)</f>
        <v>0</v>
      </c>
      <c r="M129">
        <f>DR129 - IF(AU129&gt;1, L129*DL129*100.0/(AW129), 0)</f>
        <v>0</v>
      </c>
      <c r="N129">
        <f>((T129-J129/2)*M129-L129)/(T129+J129/2)</f>
        <v>0</v>
      </c>
      <c r="O129">
        <f>N129*(DY129+DZ129)/1000.0</f>
        <v>0</v>
      </c>
      <c r="P129">
        <f>(DR129 - IF(AU129&gt;1, L129*DL129*100.0/(AW129), 0))*(DY129+DZ129)/1000.0</f>
        <v>0</v>
      </c>
      <c r="Q129">
        <f>2.0/((1/S129-1/R129)+SIGN(S129)*SQRT((1/S129-1/R129)*(1/S129-1/R129) + 4*DM129/((DM129+1)*(DM129+1))*(2*1/S129*1/R129-1/R129*1/R129)))</f>
        <v>0</v>
      </c>
      <c r="R129">
        <f>IF(LEFT(DN129,1)&lt;&gt;"0",IF(LEFT(DN129,1)="1",3.0,DO129),$D$5+$E$5*(EF129*DY129/($K$5*1000))+$F$5*(EF129*DY129/($K$5*1000))*MAX(MIN(DL129,$J$5),$I$5)*MAX(MIN(DL129,$J$5),$I$5)+$G$5*MAX(MIN(DL129,$J$5),$I$5)*(EF129*DY129/($K$5*1000))+$H$5*(EF129*DY129/($K$5*1000))*(EF129*DY129/($K$5*1000)))</f>
        <v>0</v>
      </c>
      <c r="S129">
        <f>J129*(1000-(1000*0.61365*exp(17.502*W129/(240.97+W129))/(DY129+DZ129)+DT129)/2)/(1000*0.61365*exp(17.502*W129/(240.97+W129))/(DY129+DZ129)-DT129)</f>
        <v>0</v>
      </c>
      <c r="T129">
        <f>1/((DM129+1)/(Q129/1.6)+1/(R129/1.37)) + DM129/((DM129+1)/(Q129/1.6) + DM129/(R129/1.37))</f>
        <v>0</v>
      </c>
      <c r="U129">
        <f>(DH129*DK129)</f>
        <v>0</v>
      </c>
      <c r="V129">
        <f>(EA129+(U129+2*0.95*5.67E-8*(((EA129+$B$7)+273)^4-(EA129+273)^4)-44100*J129)/(1.84*29.3*R129+8*0.95*5.67E-8*(EA129+273)^3))</f>
        <v>0</v>
      </c>
      <c r="W129">
        <f>($C$7*EB129+$D$7*EC129+$E$7*V129)</f>
        <v>0</v>
      </c>
      <c r="X129">
        <f>0.61365*exp(17.502*W129/(240.97+W129))</f>
        <v>0</v>
      </c>
      <c r="Y129">
        <f>(Z129/AA129*100)</f>
        <v>0</v>
      </c>
      <c r="Z129">
        <f>DT129*(DY129+DZ129)/1000</f>
        <v>0</v>
      </c>
      <c r="AA129">
        <f>0.61365*exp(17.502*EA129/(240.97+EA129))</f>
        <v>0</v>
      </c>
      <c r="AB129">
        <f>(X129-DT129*(DY129+DZ129)/1000)</f>
        <v>0</v>
      </c>
      <c r="AC129">
        <f>(-J129*44100)</f>
        <v>0</v>
      </c>
      <c r="AD129">
        <f>2*29.3*R129*0.92*(EA129-W129)</f>
        <v>0</v>
      </c>
      <c r="AE129">
        <f>2*0.95*5.67E-8*(((EA129+$B$7)+273)^4-(W129+273)^4)</f>
        <v>0</v>
      </c>
      <c r="AF129">
        <f>U129+AE129+AC129+AD129</f>
        <v>0</v>
      </c>
      <c r="AG129">
        <f>DX129*AU129*(DS129-DR129*(1000-AU129*DU129)/(1000-AU129*DT129))/(100*DL129)</f>
        <v>0</v>
      </c>
      <c r="AH129">
        <f>1000*DX129*AU129*(DT129-DU129)/(100*DL129*(1000-AU129*DT129))</f>
        <v>0</v>
      </c>
      <c r="AI129">
        <f>(AJ129 - AK129 - DY129*1E3/(8.314*(EA129+273.15)) * AM129/DX129 * AL129) * DX129/(100*DL129) * (1000 - DU129)/1000</f>
        <v>0</v>
      </c>
      <c r="AJ129">
        <v>304.492474133065</v>
      </c>
      <c r="AK129">
        <v>307.115412121212</v>
      </c>
      <c r="AL129">
        <v>-3.32687301373322</v>
      </c>
      <c r="AM129">
        <v>65.2210784119795</v>
      </c>
      <c r="AN129">
        <f>(AP129 - AO129 + DY129*1E3/(8.314*(EA129+273.15)) * AR129/DX129 * AQ129) * DX129/(100*DL129) * 1000/(1000 - AP129)</f>
        <v>0</v>
      </c>
      <c r="AO129">
        <v>9.73986043005284</v>
      </c>
      <c r="AP129">
        <v>11.8271315151515</v>
      </c>
      <c r="AQ129">
        <v>-2.24082169820165e-05</v>
      </c>
      <c r="AR129">
        <v>115.574510355221</v>
      </c>
      <c r="AS129">
        <v>0</v>
      </c>
      <c r="AT129">
        <v>0</v>
      </c>
      <c r="AU129">
        <f>IF(AS129*$H$13&gt;=AW129,1.0,(AW129/(AW129-AS129*$H$13)))</f>
        <v>0</v>
      </c>
      <c r="AV129">
        <f>(AU129-1)*100</f>
        <v>0</v>
      </c>
      <c r="AW129">
        <f>MAX(0,($B$13+$C$13*EF129)/(1+$D$13*EF129)*DY129/(EA129+273)*$E$13)</f>
        <v>0</v>
      </c>
      <c r="AX129" t="s">
        <v>437</v>
      </c>
      <c r="AY129" t="s">
        <v>437</v>
      </c>
      <c r="AZ129">
        <v>0</v>
      </c>
      <c r="BA129">
        <v>0</v>
      </c>
      <c r="BB129">
        <f>1-AZ129/BA129</f>
        <v>0</v>
      </c>
      <c r="BC129">
        <v>0</v>
      </c>
      <c r="BD129" t="s">
        <v>437</v>
      </c>
      <c r="BE129" t="s">
        <v>437</v>
      </c>
      <c r="BF129">
        <v>0</v>
      </c>
      <c r="BG129">
        <v>0</v>
      </c>
      <c r="BH129">
        <f>1-BF129/BG129</f>
        <v>0</v>
      </c>
      <c r="BI129">
        <v>0.5</v>
      </c>
      <c r="BJ129">
        <f>DI129</f>
        <v>0</v>
      </c>
      <c r="BK129">
        <f>L129</f>
        <v>0</v>
      </c>
      <c r="BL129">
        <f>BH129*BI129*BJ129</f>
        <v>0</v>
      </c>
      <c r="BM129">
        <f>(BK129-BC129)/BJ129</f>
        <v>0</v>
      </c>
      <c r="BN129">
        <f>(BA129-BG129)/BG129</f>
        <v>0</v>
      </c>
      <c r="BO129">
        <f>AZ129/(BB129+AZ129/BG129)</f>
        <v>0</v>
      </c>
      <c r="BP129" t="s">
        <v>437</v>
      </c>
      <c r="BQ129">
        <v>0</v>
      </c>
      <c r="BR129">
        <f>IF(BQ129&lt;&gt;0, BQ129, BO129)</f>
        <v>0</v>
      </c>
      <c r="BS129">
        <f>1-BR129/BG129</f>
        <v>0</v>
      </c>
      <c r="BT129">
        <f>(BG129-BF129)/(BG129-BR129)</f>
        <v>0</v>
      </c>
      <c r="BU129">
        <f>(BA129-BG129)/(BA129-BR129)</f>
        <v>0</v>
      </c>
      <c r="BV129">
        <f>(BG129-BF129)/(BG129-AZ129)</f>
        <v>0</v>
      </c>
      <c r="BW129">
        <f>(BA129-BG129)/(BA129-AZ129)</f>
        <v>0</v>
      </c>
      <c r="BX129">
        <f>(BT129*BR129/BF129)</f>
        <v>0</v>
      </c>
      <c r="BY129">
        <f>(1-BX129)</f>
        <v>0</v>
      </c>
      <c r="BZ129">
        <v>282</v>
      </c>
      <c r="CA129">
        <v>290</v>
      </c>
      <c r="CB129">
        <v>1577.74</v>
      </c>
      <c r="CC129">
        <v>295</v>
      </c>
      <c r="CD129">
        <v>5140.93</v>
      </c>
      <c r="CE129">
        <v>1578.58</v>
      </c>
      <c r="CF129">
        <v>-0.84</v>
      </c>
      <c r="CG129">
        <v>300</v>
      </c>
      <c r="CH129">
        <v>23.8</v>
      </c>
      <c r="CI129">
        <v>1633.28263291266</v>
      </c>
      <c r="CJ129">
        <v>1.49577129053257</v>
      </c>
      <c r="CK129">
        <v>-28.1203876934379</v>
      </c>
      <c r="CL129">
        <v>0.666413418688897</v>
      </c>
      <c r="CM129">
        <v>0.984518017981194</v>
      </c>
      <c r="CN129">
        <v>-0.00424727541713014</v>
      </c>
      <c r="CO129">
        <v>290</v>
      </c>
      <c r="CP129">
        <v>1576.56</v>
      </c>
      <c r="CQ129">
        <v>775</v>
      </c>
      <c r="CR129">
        <v>5139.5</v>
      </c>
      <c r="CS129">
        <v>1578.57</v>
      </c>
      <c r="CT129">
        <v>-2.01</v>
      </c>
      <c r="DH129">
        <f>$B$11*EG129+$C$11*EH129+$F$11*ES129*(1-EV129)</f>
        <v>0</v>
      </c>
      <c r="DI129">
        <f>DH129*DJ129</f>
        <v>0</v>
      </c>
      <c r="DJ129">
        <f>($B$11*$D$9+$C$11*$D$9+$F$11*((FF129+EX129)/MAX(FF129+EX129+FG129, 0.1)*$I$9+FG129/MAX(FF129+EX129+FG129, 0.1)*$J$9))/($B$11+$C$11+$F$11)</f>
        <v>0</v>
      </c>
      <c r="DK129">
        <f>($B$11*$K$9+$C$11*$K$9+$F$11*((FF129+EX129)/MAX(FF129+EX129+FG129, 0.1)*$P$9+FG129/MAX(FF129+EX129+FG129, 0.1)*$Q$9))/($B$11+$C$11+$F$11)</f>
        <v>0</v>
      </c>
      <c r="DL129">
        <v>6</v>
      </c>
      <c r="DM129">
        <v>0.5</v>
      </c>
      <c r="DN129" t="s">
        <v>438</v>
      </c>
      <c r="DO129">
        <v>2</v>
      </c>
      <c r="DP129" t="b">
        <v>1</v>
      </c>
      <c r="DQ129">
        <v>1760991803.84615</v>
      </c>
      <c r="DR129">
        <v>326.456230769231</v>
      </c>
      <c r="DS129">
        <v>317.604230769231</v>
      </c>
      <c r="DT129">
        <v>11.8319230769231</v>
      </c>
      <c r="DU129">
        <v>9.74464846153846</v>
      </c>
      <c r="DV129">
        <v>323.939384615385</v>
      </c>
      <c r="DW129">
        <v>11.9428692307692</v>
      </c>
      <c r="DX129">
        <v>499.977384615385</v>
      </c>
      <c r="DY129">
        <v>89.8329615384615</v>
      </c>
      <c r="DZ129">
        <v>0.00843460923076923</v>
      </c>
      <c r="EA129">
        <v>18.4170846153846</v>
      </c>
      <c r="EB129">
        <v>17.9968769230769</v>
      </c>
      <c r="EC129">
        <v>999.9</v>
      </c>
      <c r="ED129">
        <v>0</v>
      </c>
      <c r="EE129">
        <v>0</v>
      </c>
      <c r="EF129">
        <v>10008.6538461538</v>
      </c>
      <c r="EG129">
        <v>0</v>
      </c>
      <c r="EH129">
        <v>1278.92769230769</v>
      </c>
      <c r="EI129">
        <v>8.85186923076923</v>
      </c>
      <c r="EJ129">
        <v>330.365</v>
      </c>
      <c r="EK129">
        <v>320.729769230769</v>
      </c>
      <c r="EL129">
        <v>2.08727</v>
      </c>
      <c r="EM129">
        <v>317.604230769231</v>
      </c>
      <c r="EN129">
        <v>9.74464846153846</v>
      </c>
      <c r="EO129">
        <v>1.06289692307692</v>
      </c>
      <c r="EP129">
        <v>0.875390692307692</v>
      </c>
      <c r="EQ129">
        <v>7.80830307692308</v>
      </c>
      <c r="ER129">
        <v>4.99240076923077</v>
      </c>
      <c r="ES129">
        <v>1200.00769230769</v>
      </c>
      <c r="ET129">
        <v>0.966992615384615</v>
      </c>
      <c r="EU129">
        <v>0.0330072923076923</v>
      </c>
      <c r="EV129">
        <v>0</v>
      </c>
      <c r="EW129">
        <v>1326.93153846154</v>
      </c>
      <c r="EX129">
        <v>5.00059</v>
      </c>
      <c r="EY129">
        <v>15616.3923076923</v>
      </c>
      <c r="EZ129">
        <v>10358.7846153846</v>
      </c>
      <c r="FA129">
        <v>36.9996923076923</v>
      </c>
      <c r="FB129">
        <v>38.6103076923077</v>
      </c>
      <c r="FC129">
        <v>37.4228461538462</v>
      </c>
      <c r="FD129">
        <v>37.8987692307692</v>
      </c>
      <c r="FE129">
        <v>37.8794615384615</v>
      </c>
      <c r="FF129">
        <v>1155.56384615385</v>
      </c>
      <c r="FG129">
        <v>39.44</v>
      </c>
      <c r="FH129">
        <v>0</v>
      </c>
      <c r="FI129">
        <v>668</v>
      </c>
      <c r="FJ129">
        <v>0</v>
      </c>
      <c r="FK129">
        <v>1326.8652</v>
      </c>
      <c r="FL129">
        <v>-5.79153847777527</v>
      </c>
      <c r="FM129">
        <v>-103.39230776075</v>
      </c>
      <c r="FN129">
        <v>15614.776</v>
      </c>
      <c r="FO129">
        <v>15</v>
      </c>
      <c r="FP129">
        <v>0</v>
      </c>
      <c r="FQ129" t="s">
        <v>439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8.1770775</v>
      </c>
      <c r="GD129">
        <v>14.6688861654135</v>
      </c>
      <c r="GE129">
        <v>1.51879166004714</v>
      </c>
      <c r="GF129">
        <v>0</v>
      </c>
      <c r="GG129">
        <v>1326.97441176471</v>
      </c>
      <c r="GH129">
        <v>-1.68051948071802</v>
      </c>
      <c r="GI129">
        <v>0.367024531769221</v>
      </c>
      <c r="GJ129">
        <v>-1</v>
      </c>
      <c r="GK129">
        <v>2.086289</v>
      </c>
      <c r="GL129">
        <v>0.0161115789473606</v>
      </c>
      <c r="GM129">
        <v>0.00203017954870987</v>
      </c>
      <c r="GN129">
        <v>1</v>
      </c>
      <c r="GO129">
        <v>1</v>
      </c>
      <c r="GP129">
        <v>2</v>
      </c>
      <c r="GQ129" t="s">
        <v>446</v>
      </c>
      <c r="GR129">
        <v>3.13076</v>
      </c>
      <c r="GS129">
        <v>2.68683</v>
      </c>
      <c r="GT129">
        <v>0.0686254</v>
      </c>
      <c r="GU129">
        <v>0.0673597</v>
      </c>
      <c r="GV129">
        <v>0.0617441</v>
      </c>
      <c r="GW129">
        <v>0.0530304</v>
      </c>
      <c r="GX129">
        <v>35295.4</v>
      </c>
      <c r="GY129">
        <v>37979.5</v>
      </c>
      <c r="GZ129">
        <v>34264.3</v>
      </c>
      <c r="HA129">
        <v>36848.5</v>
      </c>
      <c r="HB129">
        <v>45344.8</v>
      </c>
      <c r="HC129">
        <v>50031.8</v>
      </c>
      <c r="HD129">
        <v>53337.8</v>
      </c>
      <c r="HE129">
        <v>58776</v>
      </c>
      <c r="HF129">
        <v>2.00835</v>
      </c>
      <c r="HG129">
        <v>1.8348</v>
      </c>
      <c r="HH129">
        <v>0.00895932</v>
      </c>
      <c r="HI129">
        <v>0</v>
      </c>
      <c r="HJ129">
        <v>17.8555</v>
      </c>
      <c r="HK129">
        <v>999.9</v>
      </c>
      <c r="HL129">
        <v>27.237</v>
      </c>
      <c r="HM129">
        <v>30.494</v>
      </c>
      <c r="HN129">
        <v>13.2881</v>
      </c>
      <c r="HO129">
        <v>54.1791</v>
      </c>
      <c r="HP129">
        <v>44.5152</v>
      </c>
      <c r="HQ129">
        <v>1</v>
      </c>
      <c r="HR129">
        <v>-0.264809</v>
      </c>
      <c r="HS129">
        <v>4.66412</v>
      </c>
      <c r="HT129">
        <v>20.0748</v>
      </c>
      <c r="HU129">
        <v>5.20157</v>
      </c>
      <c r="HV129">
        <v>12.004</v>
      </c>
      <c r="HW129">
        <v>4.97575</v>
      </c>
      <c r="HX129">
        <v>3.293</v>
      </c>
      <c r="HY129">
        <v>9999</v>
      </c>
      <c r="HZ129">
        <v>999.9</v>
      </c>
      <c r="IA129">
        <v>9999</v>
      </c>
      <c r="IB129">
        <v>9999</v>
      </c>
      <c r="IC129">
        <v>1.86325</v>
      </c>
      <c r="ID129">
        <v>1.86803</v>
      </c>
      <c r="IE129">
        <v>1.86783</v>
      </c>
      <c r="IF129">
        <v>1.86904</v>
      </c>
      <c r="IG129">
        <v>1.86981</v>
      </c>
      <c r="IH129">
        <v>1.86585</v>
      </c>
      <c r="II129">
        <v>1.86691</v>
      </c>
      <c r="IJ129">
        <v>1.86841</v>
      </c>
      <c r="IK129">
        <v>5</v>
      </c>
      <c r="IL129">
        <v>0</v>
      </c>
      <c r="IM129">
        <v>0</v>
      </c>
      <c r="IN129">
        <v>0</v>
      </c>
      <c r="IO129" t="s">
        <v>441</v>
      </c>
      <c r="IP129" t="s">
        <v>442</v>
      </c>
      <c r="IQ129" t="s">
        <v>443</v>
      </c>
      <c r="IR129" t="s">
        <v>443</v>
      </c>
      <c r="IS129" t="s">
        <v>443</v>
      </c>
      <c r="IT129" t="s">
        <v>443</v>
      </c>
      <c r="IU129">
        <v>0</v>
      </c>
      <c r="IV129">
        <v>100</v>
      </c>
      <c r="IW129">
        <v>100</v>
      </c>
      <c r="IX129">
        <v>2.412</v>
      </c>
      <c r="IY129">
        <v>-0.111</v>
      </c>
      <c r="IZ129">
        <v>1.12474291219083</v>
      </c>
      <c r="JA129">
        <v>0.00463155566490582</v>
      </c>
      <c r="JB129">
        <v>-1.1358998729424e-06</v>
      </c>
      <c r="JC129">
        <v>3.28704272115545e-10</v>
      </c>
      <c r="JD129">
        <v>-0.0704455108513773</v>
      </c>
      <c r="JE129">
        <v>-0.0251928478371425</v>
      </c>
      <c r="JF129">
        <v>0.00225751704194564</v>
      </c>
      <c r="JG129">
        <v>-3.61734043746866e-05</v>
      </c>
      <c r="JH129">
        <v>1</v>
      </c>
      <c r="JI129">
        <v>2182</v>
      </c>
      <c r="JJ129">
        <v>0</v>
      </c>
      <c r="JK129">
        <v>24</v>
      </c>
      <c r="JL129">
        <v>29349863.5</v>
      </c>
      <c r="JM129">
        <v>29349863.5</v>
      </c>
      <c r="JN129">
        <v>0.726318</v>
      </c>
      <c r="JO129">
        <v>2.63794</v>
      </c>
      <c r="JP129">
        <v>1.54785</v>
      </c>
      <c r="JQ129">
        <v>2.31323</v>
      </c>
      <c r="JR129">
        <v>1.64673</v>
      </c>
      <c r="JS129">
        <v>2.33032</v>
      </c>
      <c r="JT129">
        <v>33.7381</v>
      </c>
      <c r="JU129">
        <v>24.1751</v>
      </c>
      <c r="JV129">
        <v>18</v>
      </c>
      <c r="JW129">
        <v>500.322</v>
      </c>
      <c r="JX129">
        <v>392.816</v>
      </c>
      <c r="JY129">
        <v>11.5981</v>
      </c>
      <c r="JZ129">
        <v>23.949</v>
      </c>
      <c r="KA129">
        <v>30.0002</v>
      </c>
      <c r="KB129">
        <v>23.9133</v>
      </c>
      <c r="KC129">
        <v>23.878</v>
      </c>
      <c r="KD129">
        <v>14.4279</v>
      </c>
      <c r="KE129">
        <v>12.7023</v>
      </c>
      <c r="KF129">
        <v>27.2762</v>
      </c>
      <c r="KG129">
        <v>11.5982</v>
      </c>
      <c r="KH129">
        <v>264.731</v>
      </c>
      <c r="KI129">
        <v>9.80398</v>
      </c>
      <c r="KJ129">
        <v>97.038</v>
      </c>
      <c r="KK129">
        <v>95.3023</v>
      </c>
    </row>
    <row r="130" spans="1:297">
      <c r="A130">
        <v>114</v>
      </c>
      <c r="B130">
        <v>1760991817</v>
      </c>
      <c r="C130">
        <v>2626.90000009537</v>
      </c>
      <c r="D130" t="s">
        <v>681</v>
      </c>
      <c r="E130" t="s">
        <v>682</v>
      </c>
      <c r="F130">
        <v>5</v>
      </c>
      <c r="G130" t="s">
        <v>662</v>
      </c>
      <c r="H130" t="s">
        <v>436</v>
      </c>
      <c r="I130">
        <v>1760991808.84615</v>
      </c>
      <c r="J130">
        <f>(K130)/1000</f>
        <v>0</v>
      </c>
      <c r="K130">
        <f>IF(DP130, AN130, AH130)</f>
        <v>0</v>
      </c>
      <c r="L130">
        <f>IF(DP130, AI130, AG130)</f>
        <v>0</v>
      </c>
      <c r="M130">
        <f>DR130 - IF(AU130&gt;1, L130*DL130*100.0/(AW130), 0)</f>
        <v>0</v>
      </c>
      <c r="N130">
        <f>((T130-J130/2)*M130-L130)/(T130+J130/2)</f>
        <v>0</v>
      </c>
      <c r="O130">
        <f>N130*(DY130+DZ130)/1000.0</f>
        <v>0</v>
      </c>
      <c r="P130">
        <f>(DR130 - IF(AU130&gt;1, L130*DL130*100.0/(AW130), 0))*(DY130+DZ130)/1000.0</f>
        <v>0</v>
      </c>
      <c r="Q130">
        <f>2.0/((1/S130-1/R130)+SIGN(S130)*SQRT((1/S130-1/R130)*(1/S130-1/R130) + 4*DM130/((DM130+1)*(DM130+1))*(2*1/S130*1/R130-1/R130*1/R130)))</f>
        <v>0</v>
      </c>
      <c r="R130">
        <f>IF(LEFT(DN130,1)&lt;&gt;"0",IF(LEFT(DN130,1)="1",3.0,DO130),$D$5+$E$5*(EF130*DY130/($K$5*1000))+$F$5*(EF130*DY130/($K$5*1000))*MAX(MIN(DL130,$J$5),$I$5)*MAX(MIN(DL130,$J$5),$I$5)+$G$5*MAX(MIN(DL130,$J$5),$I$5)*(EF130*DY130/($K$5*1000))+$H$5*(EF130*DY130/($K$5*1000))*(EF130*DY130/($K$5*1000)))</f>
        <v>0</v>
      </c>
      <c r="S130">
        <f>J130*(1000-(1000*0.61365*exp(17.502*W130/(240.97+W130))/(DY130+DZ130)+DT130)/2)/(1000*0.61365*exp(17.502*W130/(240.97+W130))/(DY130+DZ130)-DT130)</f>
        <v>0</v>
      </c>
      <c r="T130">
        <f>1/((DM130+1)/(Q130/1.6)+1/(R130/1.37)) + DM130/((DM130+1)/(Q130/1.6) + DM130/(R130/1.37))</f>
        <v>0</v>
      </c>
      <c r="U130">
        <f>(DH130*DK130)</f>
        <v>0</v>
      </c>
      <c r="V130">
        <f>(EA130+(U130+2*0.95*5.67E-8*(((EA130+$B$7)+273)^4-(EA130+273)^4)-44100*J130)/(1.84*29.3*R130+8*0.95*5.67E-8*(EA130+273)^3))</f>
        <v>0</v>
      </c>
      <c r="W130">
        <f>($C$7*EB130+$D$7*EC130+$E$7*V130)</f>
        <v>0</v>
      </c>
      <c r="X130">
        <f>0.61365*exp(17.502*W130/(240.97+W130))</f>
        <v>0</v>
      </c>
      <c r="Y130">
        <f>(Z130/AA130*100)</f>
        <v>0</v>
      </c>
      <c r="Z130">
        <f>DT130*(DY130+DZ130)/1000</f>
        <v>0</v>
      </c>
      <c r="AA130">
        <f>0.61365*exp(17.502*EA130/(240.97+EA130))</f>
        <v>0</v>
      </c>
      <c r="AB130">
        <f>(X130-DT130*(DY130+DZ130)/1000)</f>
        <v>0</v>
      </c>
      <c r="AC130">
        <f>(-J130*44100)</f>
        <v>0</v>
      </c>
      <c r="AD130">
        <f>2*29.3*R130*0.92*(EA130-W130)</f>
        <v>0</v>
      </c>
      <c r="AE130">
        <f>2*0.95*5.67E-8*(((EA130+$B$7)+273)^4-(W130+273)^4)</f>
        <v>0</v>
      </c>
      <c r="AF130">
        <f>U130+AE130+AC130+AD130</f>
        <v>0</v>
      </c>
      <c r="AG130">
        <f>DX130*AU130*(DS130-DR130*(1000-AU130*DU130)/(1000-AU130*DT130))/(100*DL130)</f>
        <v>0</v>
      </c>
      <c r="AH130">
        <f>1000*DX130*AU130*(DT130-DU130)/(100*DL130*(1000-AU130*DT130))</f>
        <v>0</v>
      </c>
      <c r="AI130">
        <f>(AJ130 - AK130 - DY130*1E3/(8.314*(EA130+273.15)) * AM130/DX130 * AL130) * DX130/(100*DL130) * (1000 - DU130)/1000</f>
        <v>0</v>
      </c>
      <c r="AJ130">
        <v>288.293797485187</v>
      </c>
      <c r="AK130">
        <v>291.142406060606</v>
      </c>
      <c r="AL130">
        <v>-3.16858006333245</v>
      </c>
      <c r="AM130">
        <v>65.2210784119795</v>
      </c>
      <c r="AN130">
        <f>(AP130 - AO130 + DY130*1E3/(8.314*(EA130+273.15)) * AR130/DX130 * AQ130) * DX130/(100*DL130) * 1000/(1000 - AP130)</f>
        <v>0</v>
      </c>
      <c r="AO130">
        <v>9.74603923010665</v>
      </c>
      <c r="AP130">
        <v>11.8236636363636</v>
      </c>
      <c r="AQ130">
        <v>-3.20987789532521e-05</v>
      </c>
      <c r="AR130">
        <v>115.574510355221</v>
      </c>
      <c r="AS130">
        <v>0</v>
      </c>
      <c r="AT130">
        <v>0</v>
      </c>
      <c r="AU130">
        <f>IF(AS130*$H$13&gt;=AW130,1.0,(AW130/(AW130-AS130*$H$13)))</f>
        <v>0</v>
      </c>
      <c r="AV130">
        <f>(AU130-1)*100</f>
        <v>0</v>
      </c>
      <c r="AW130">
        <f>MAX(0,($B$13+$C$13*EF130)/(1+$D$13*EF130)*DY130/(EA130+273)*$E$13)</f>
        <v>0</v>
      </c>
      <c r="AX130" t="s">
        <v>437</v>
      </c>
      <c r="AY130" t="s">
        <v>437</v>
      </c>
      <c r="AZ130">
        <v>0</v>
      </c>
      <c r="BA130">
        <v>0</v>
      </c>
      <c r="BB130">
        <f>1-AZ130/BA130</f>
        <v>0</v>
      </c>
      <c r="BC130">
        <v>0</v>
      </c>
      <c r="BD130" t="s">
        <v>437</v>
      </c>
      <c r="BE130" t="s">
        <v>437</v>
      </c>
      <c r="BF130">
        <v>0</v>
      </c>
      <c r="BG130">
        <v>0</v>
      </c>
      <c r="BH130">
        <f>1-BF130/BG130</f>
        <v>0</v>
      </c>
      <c r="BI130">
        <v>0.5</v>
      </c>
      <c r="BJ130">
        <f>DI130</f>
        <v>0</v>
      </c>
      <c r="BK130">
        <f>L130</f>
        <v>0</v>
      </c>
      <c r="BL130">
        <f>BH130*BI130*BJ130</f>
        <v>0</v>
      </c>
      <c r="BM130">
        <f>(BK130-BC130)/BJ130</f>
        <v>0</v>
      </c>
      <c r="BN130">
        <f>(BA130-BG130)/BG130</f>
        <v>0</v>
      </c>
      <c r="BO130">
        <f>AZ130/(BB130+AZ130/BG130)</f>
        <v>0</v>
      </c>
      <c r="BP130" t="s">
        <v>437</v>
      </c>
      <c r="BQ130">
        <v>0</v>
      </c>
      <c r="BR130">
        <f>IF(BQ130&lt;&gt;0, BQ130, BO130)</f>
        <v>0</v>
      </c>
      <c r="BS130">
        <f>1-BR130/BG130</f>
        <v>0</v>
      </c>
      <c r="BT130">
        <f>(BG130-BF130)/(BG130-BR130)</f>
        <v>0</v>
      </c>
      <c r="BU130">
        <f>(BA130-BG130)/(BA130-BR130)</f>
        <v>0</v>
      </c>
      <c r="BV130">
        <f>(BG130-BF130)/(BG130-AZ130)</f>
        <v>0</v>
      </c>
      <c r="BW130">
        <f>(BA130-BG130)/(BA130-AZ130)</f>
        <v>0</v>
      </c>
      <c r="BX130">
        <f>(BT130*BR130/BF130)</f>
        <v>0</v>
      </c>
      <c r="BY130">
        <f>(1-BX130)</f>
        <v>0</v>
      </c>
      <c r="BZ130">
        <v>282</v>
      </c>
      <c r="CA130">
        <v>290</v>
      </c>
      <c r="CB130">
        <v>1577.74</v>
      </c>
      <c r="CC130">
        <v>295</v>
      </c>
      <c r="CD130">
        <v>5140.93</v>
      </c>
      <c r="CE130">
        <v>1578.58</v>
      </c>
      <c r="CF130">
        <v>-0.84</v>
      </c>
      <c r="CG130">
        <v>300</v>
      </c>
      <c r="CH130">
        <v>23.8</v>
      </c>
      <c r="CI130">
        <v>1633.28263291266</v>
      </c>
      <c r="CJ130">
        <v>1.49577129053257</v>
      </c>
      <c r="CK130">
        <v>-28.1203876934379</v>
      </c>
      <c r="CL130">
        <v>0.666413418688897</v>
      </c>
      <c r="CM130">
        <v>0.984518017981194</v>
      </c>
      <c r="CN130">
        <v>-0.00424727541713014</v>
      </c>
      <c r="CO130">
        <v>290</v>
      </c>
      <c r="CP130">
        <v>1576.56</v>
      </c>
      <c r="CQ130">
        <v>775</v>
      </c>
      <c r="CR130">
        <v>5139.5</v>
      </c>
      <c r="CS130">
        <v>1578.57</v>
      </c>
      <c r="CT130">
        <v>-2.01</v>
      </c>
      <c r="DH130">
        <f>$B$11*EG130+$C$11*EH130+$F$11*ES130*(1-EV130)</f>
        <v>0</v>
      </c>
      <c r="DI130">
        <f>DH130*DJ130</f>
        <v>0</v>
      </c>
      <c r="DJ130">
        <f>($B$11*$D$9+$C$11*$D$9+$F$11*((FF130+EX130)/MAX(FF130+EX130+FG130, 0.1)*$I$9+FG130/MAX(FF130+EX130+FG130, 0.1)*$J$9))/($B$11+$C$11+$F$11)</f>
        <v>0</v>
      </c>
      <c r="DK130">
        <f>($B$11*$K$9+$C$11*$K$9+$F$11*((FF130+EX130)/MAX(FF130+EX130+FG130, 0.1)*$P$9+FG130/MAX(FF130+EX130+FG130, 0.1)*$Q$9))/($B$11+$C$11+$F$11)</f>
        <v>0</v>
      </c>
      <c r="DL130">
        <v>6</v>
      </c>
      <c r="DM130">
        <v>0.5</v>
      </c>
      <c r="DN130" t="s">
        <v>438</v>
      </c>
      <c r="DO130">
        <v>2</v>
      </c>
      <c r="DP130" t="b">
        <v>1</v>
      </c>
      <c r="DQ130">
        <v>1760991808.84615</v>
      </c>
      <c r="DR130">
        <v>310.490692307692</v>
      </c>
      <c r="DS130">
        <v>301.151153846154</v>
      </c>
      <c r="DT130">
        <v>11.8286076923077</v>
      </c>
      <c r="DU130">
        <v>9.74314692307692</v>
      </c>
      <c r="DV130">
        <v>308.037538461538</v>
      </c>
      <c r="DW130">
        <v>11.9396</v>
      </c>
      <c r="DX130">
        <v>499.996307692308</v>
      </c>
      <c r="DY130">
        <v>89.8326923076923</v>
      </c>
      <c r="DZ130">
        <v>0.00847836538461538</v>
      </c>
      <c r="EA130">
        <v>18.4137615384615</v>
      </c>
      <c r="EB130">
        <v>17.999</v>
      </c>
      <c r="EC130">
        <v>999.9</v>
      </c>
      <c r="ED130">
        <v>0</v>
      </c>
      <c r="EE130">
        <v>0</v>
      </c>
      <c r="EF130">
        <v>10017.2653846154</v>
      </c>
      <c r="EG130">
        <v>0</v>
      </c>
      <c r="EH130">
        <v>1278.90461538462</v>
      </c>
      <c r="EI130">
        <v>9.33945692307693</v>
      </c>
      <c r="EJ130">
        <v>314.207307692308</v>
      </c>
      <c r="EK130">
        <v>304.114307692308</v>
      </c>
      <c r="EL130">
        <v>2.08545538461538</v>
      </c>
      <c r="EM130">
        <v>301.151153846154</v>
      </c>
      <c r="EN130">
        <v>9.74314692307692</v>
      </c>
      <c r="EO130">
        <v>1.06259538461538</v>
      </c>
      <c r="EP130">
        <v>0.875253230769231</v>
      </c>
      <c r="EQ130">
        <v>7.80414615384615</v>
      </c>
      <c r="ER130">
        <v>4.99014923076923</v>
      </c>
      <c r="ES130">
        <v>1199.95384615385</v>
      </c>
      <c r="ET130">
        <v>0.966990538461538</v>
      </c>
      <c r="EU130">
        <v>0.0330092923076923</v>
      </c>
      <c r="EV130">
        <v>0</v>
      </c>
      <c r="EW130">
        <v>1326.24846153846</v>
      </c>
      <c r="EX130">
        <v>5.00059</v>
      </c>
      <c r="EY130">
        <v>15605.4230769231</v>
      </c>
      <c r="EZ130">
        <v>10358.3</v>
      </c>
      <c r="FA130">
        <v>36.9469230769231</v>
      </c>
      <c r="FB130">
        <v>38.5623076923077</v>
      </c>
      <c r="FC130">
        <v>37.3746923076923</v>
      </c>
      <c r="FD130">
        <v>37.8363076923077</v>
      </c>
      <c r="FE130">
        <v>37.8314615384615</v>
      </c>
      <c r="FF130">
        <v>1155.50692307692</v>
      </c>
      <c r="FG130">
        <v>39.4430769230769</v>
      </c>
      <c r="FH130">
        <v>0</v>
      </c>
      <c r="FI130">
        <v>672.800000190735</v>
      </c>
      <c r="FJ130">
        <v>0</v>
      </c>
      <c r="FK130">
        <v>1326.1576</v>
      </c>
      <c r="FL130">
        <v>-11.5699999761822</v>
      </c>
      <c r="FM130">
        <v>-162.861538178226</v>
      </c>
      <c r="FN130">
        <v>15604.16</v>
      </c>
      <c r="FO130">
        <v>15</v>
      </c>
      <c r="FP130">
        <v>0</v>
      </c>
      <c r="FQ130" t="s">
        <v>439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9.01337857142857</v>
      </c>
      <c r="GD130">
        <v>7.93494545454545</v>
      </c>
      <c r="GE130">
        <v>0.962923739962658</v>
      </c>
      <c r="GF130">
        <v>0</v>
      </c>
      <c r="GG130">
        <v>1326.61117647059</v>
      </c>
      <c r="GH130">
        <v>-7.24430863931356</v>
      </c>
      <c r="GI130">
        <v>0.796805255954652</v>
      </c>
      <c r="GJ130">
        <v>-1</v>
      </c>
      <c r="GK130">
        <v>2.08599285714286</v>
      </c>
      <c r="GL130">
        <v>-0.0152516883116886</v>
      </c>
      <c r="GM130">
        <v>0.00288210264325515</v>
      </c>
      <c r="GN130">
        <v>1</v>
      </c>
      <c r="GO130">
        <v>1</v>
      </c>
      <c r="GP130">
        <v>2</v>
      </c>
      <c r="GQ130" t="s">
        <v>446</v>
      </c>
      <c r="GR130">
        <v>3.13071</v>
      </c>
      <c r="GS130">
        <v>2.68668</v>
      </c>
      <c r="GT130">
        <v>0.065638</v>
      </c>
      <c r="GU130">
        <v>0.0641295</v>
      </c>
      <c r="GV130">
        <v>0.0617306</v>
      </c>
      <c r="GW130">
        <v>0.0530634</v>
      </c>
      <c r="GX130">
        <v>35408.5</v>
      </c>
      <c r="GY130">
        <v>38111</v>
      </c>
      <c r="GZ130">
        <v>34264.1</v>
      </c>
      <c r="HA130">
        <v>36848.4</v>
      </c>
      <c r="HB130">
        <v>45344.9</v>
      </c>
      <c r="HC130">
        <v>50029.5</v>
      </c>
      <c r="HD130">
        <v>53337.4</v>
      </c>
      <c r="HE130">
        <v>58775.8</v>
      </c>
      <c r="HF130">
        <v>2.00795</v>
      </c>
      <c r="HG130">
        <v>1.8348</v>
      </c>
      <c r="HH130">
        <v>0.00903383</v>
      </c>
      <c r="HI130">
        <v>0</v>
      </c>
      <c r="HJ130">
        <v>17.8555</v>
      </c>
      <c r="HK130">
        <v>999.9</v>
      </c>
      <c r="HL130">
        <v>27.237</v>
      </c>
      <c r="HM130">
        <v>30.504</v>
      </c>
      <c r="HN130">
        <v>13.2956</v>
      </c>
      <c r="HO130">
        <v>54.4291</v>
      </c>
      <c r="HP130">
        <v>44.4832</v>
      </c>
      <c r="HQ130">
        <v>1</v>
      </c>
      <c r="HR130">
        <v>-0.264479</v>
      </c>
      <c r="HS130">
        <v>4.67078</v>
      </c>
      <c r="HT130">
        <v>20.0746</v>
      </c>
      <c r="HU130">
        <v>5.20231</v>
      </c>
      <c r="HV130">
        <v>12.004</v>
      </c>
      <c r="HW130">
        <v>4.97595</v>
      </c>
      <c r="HX130">
        <v>3.293</v>
      </c>
      <c r="HY130">
        <v>9999</v>
      </c>
      <c r="HZ130">
        <v>999.9</v>
      </c>
      <c r="IA130">
        <v>9999</v>
      </c>
      <c r="IB130">
        <v>9999</v>
      </c>
      <c r="IC130">
        <v>1.86325</v>
      </c>
      <c r="ID130">
        <v>1.86806</v>
      </c>
      <c r="IE130">
        <v>1.86783</v>
      </c>
      <c r="IF130">
        <v>1.86905</v>
      </c>
      <c r="IG130">
        <v>1.86981</v>
      </c>
      <c r="IH130">
        <v>1.86584</v>
      </c>
      <c r="II130">
        <v>1.86691</v>
      </c>
      <c r="IJ130">
        <v>1.8684</v>
      </c>
      <c r="IK130">
        <v>5</v>
      </c>
      <c r="IL130">
        <v>0</v>
      </c>
      <c r="IM130">
        <v>0</v>
      </c>
      <c r="IN130">
        <v>0</v>
      </c>
      <c r="IO130" t="s">
        <v>441</v>
      </c>
      <c r="IP130" t="s">
        <v>442</v>
      </c>
      <c r="IQ130" t="s">
        <v>443</v>
      </c>
      <c r="IR130" t="s">
        <v>443</v>
      </c>
      <c r="IS130" t="s">
        <v>443</v>
      </c>
      <c r="IT130" t="s">
        <v>443</v>
      </c>
      <c r="IU130">
        <v>0</v>
      </c>
      <c r="IV130">
        <v>100</v>
      </c>
      <c r="IW130">
        <v>100</v>
      </c>
      <c r="IX130">
        <v>2.349</v>
      </c>
      <c r="IY130">
        <v>-0.111</v>
      </c>
      <c r="IZ130">
        <v>1.12474291219083</v>
      </c>
      <c r="JA130">
        <v>0.00463155566490582</v>
      </c>
      <c r="JB130">
        <v>-1.1358998729424e-06</v>
      </c>
      <c r="JC130">
        <v>3.28704272115545e-10</v>
      </c>
      <c r="JD130">
        <v>-0.0704455108513773</v>
      </c>
      <c r="JE130">
        <v>-0.0251928478371425</v>
      </c>
      <c r="JF130">
        <v>0.00225751704194564</v>
      </c>
      <c r="JG130">
        <v>-3.61734043746866e-05</v>
      </c>
      <c r="JH130">
        <v>1</v>
      </c>
      <c r="JI130">
        <v>2182</v>
      </c>
      <c r="JJ130">
        <v>0</v>
      </c>
      <c r="JK130">
        <v>24</v>
      </c>
      <c r="JL130">
        <v>29349863.6</v>
      </c>
      <c r="JM130">
        <v>29349863.6</v>
      </c>
      <c r="JN130">
        <v>0.688477</v>
      </c>
      <c r="JO130">
        <v>2.64282</v>
      </c>
      <c r="JP130">
        <v>1.54785</v>
      </c>
      <c r="JQ130">
        <v>2.31323</v>
      </c>
      <c r="JR130">
        <v>1.64673</v>
      </c>
      <c r="JS130">
        <v>2.32666</v>
      </c>
      <c r="JT130">
        <v>33.7155</v>
      </c>
      <c r="JU130">
        <v>24.1751</v>
      </c>
      <c r="JV130">
        <v>18</v>
      </c>
      <c r="JW130">
        <v>500.083</v>
      </c>
      <c r="JX130">
        <v>392.827</v>
      </c>
      <c r="JY130">
        <v>11.5991</v>
      </c>
      <c r="JZ130">
        <v>23.9498</v>
      </c>
      <c r="KA130">
        <v>30.0001</v>
      </c>
      <c r="KB130">
        <v>23.915</v>
      </c>
      <c r="KC130">
        <v>23.8795</v>
      </c>
      <c r="KD130">
        <v>13.7424</v>
      </c>
      <c r="KE130">
        <v>12.7023</v>
      </c>
      <c r="KF130">
        <v>27.2762</v>
      </c>
      <c r="KG130">
        <v>11.5826</v>
      </c>
      <c r="KH130">
        <v>251.2</v>
      </c>
      <c r="KI130">
        <v>9.80404</v>
      </c>
      <c r="KJ130">
        <v>97.0375</v>
      </c>
      <c r="KK130">
        <v>95.302</v>
      </c>
    </row>
    <row r="131" spans="1:297">
      <c r="A131">
        <v>115</v>
      </c>
      <c r="B131">
        <v>1760991822</v>
      </c>
      <c r="C131">
        <v>2631.90000009537</v>
      </c>
      <c r="D131" t="s">
        <v>683</v>
      </c>
      <c r="E131" t="s">
        <v>684</v>
      </c>
      <c r="F131">
        <v>5</v>
      </c>
      <c r="G131" t="s">
        <v>662</v>
      </c>
      <c r="H131" t="s">
        <v>436</v>
      </c>
      <c r="I131">
        <v>1760991813.84615</v>
      </c>
      <c r="J131">
        <f>(K131)/1000</f>
        <v>0</v>
      </c>
      <c r="K131">
        <f>IF(DP131, AN131, AH131)</f>
        <v>0</v>
      </c>
      <c r="L131">
        <f>IF(DP131, AI131, AG131)</f>
        <v>0</v>
      </c>
      <c r="M131">
        <f>DR131 - IF(AU131&gt;1, L131*DL131*100.0/(AW131), 0)</f>
        <v>0</v>
      </c>
      <c r="N131">
        <f>((T131-J131/2)*M131-L131)/(T131+J131/2)</f>
        <v>0</v>
      </c>
      <c r="O131">
        <f>N131*(DY131+DZ131)/1000.0</f>
        <v>0</v>
      </c>
      <c r="P131">
        <f>(DR131 - IF(AU131&gt;1, L131*DL131*100.0/(AW131), 0))*(DY131+DZ131)/1000.0</f>
        <v>0</v>
      </c>
      <c r="Q131">
        <f>2.0/((1/S131-1/R131)+SIGN(S131)*SQRT((1/S131-1/R131)*(1/S131-1/R131) + 4*DM131/((DM131+1)*(DM131+1))*(2*1/S131*1/R131-1/R131*1/R131)))</f>
        <v>0</v>
      </c>
      <c r="R131">
        <f>IF(LEFT(DN131,1)&lt;&gt;"0",IF(LEFT(DN131,1)="1",3.0,DO131),$D$5+$E$5*(EF131*DY131/($K$5*1000))+$F$5*(EF131*DY131/($K$5*1000))*MAX(MIN(DL131,$J$5),$I$5)*MAX(MIN(DL131,$J$5),$I$5)+$G$5*MAX(MIN(DL131,$J$5),$I$5)*(EF131*DY131/($K$5*1000))+$H$5*(EF131*DY131/($K$5*1000))*(EF131*DY131/($K$5*1000)))</f>
        <v>0</v>
      </c>
      <c r="S131">
        <f>J131*(1000-(1000*0.61365*exp(17.502*W131/(240.97+W131))/(DY131+DZ131)+DT131)/2)/(1000*0.61365*exp(17.502*W131/(240.97+W131))/(DY131+DZ131)-DT131)</f>
        <v>0</v>
      </c>
      <c r="T131">
        <f>1/((DM131+1)/(Q131/1.6)+1/(R131/1.37)) + DM131/((DM131+1)/(Q131/1.6) + DM131/(R131/1.37))</f>
        <v>0</v>
      </c>
      <c r="U131">
        <f>(DH131*DK131)</f>
        <v>0</v>
      </c>
      <c r="V131">
        <f>(EA131+(U131+2*0.95*5.67E-8*(((EA131+$B$7)+273)^4-(EA131+273)^4)-44100*J131)/(1.84*29.3*R131+8*0.95*5.67E-8*(EA131+273)^3))</f>
        <v>0</v>
      </c>
      <c r="W131">
        <f>($C$7*EB131+$D$7*EC131+$E$7*V131)</f>
        <v>0</v>
      </c>
      <c r="X131">
        <f>0.61365*exp(17.502*W131/(240.97+W131))</f>
        <v>0</v>
      </c>
      <c r="Y131">
        <f>(Z131/AA131*100)</f>
        <v>0</v>
      </c>
      <c r="Z131">
        <f>DT131*(DY131+DZ131)/1000</f>
        <v>0</v>
      </c>
      <c r="AA131">
        <f>0.61365*exp(17.502*EA131/(240.97+EA131))</f>
        <v>0</v>
      </c>
      <c r="AB131">
        <f>(X131-DT131*(DY131+DZ131)/1000)</f>
        <v>0</v>
      </c>
      <c r="AC131">
        <f>(-J131*44100)</f>
        <v>0</v>
      </c>
      <c r="AD131">
        <f>2*29.3*R131*0.92*(EA131-W131)</f>
        <v>0</v>
      </c>
      <c r="AE131">
        <f>2*0.95*5.67E-8*(((EA131+$B$7)+273)^4-(W131+273)^4)</f>
        <v>0</v>
      </c>
      <c r="AF131">
        <f>U131+AE131+AC131+AD131</f>
        <v>0</v>
      </c>
      <c r="AG131">
        <f>DX131*AU131*(DS131-DR131*(1000-AU131*DU131)/(1000-AU131*DT131))/(100*DL131)</f>
        <v>0</v>
      </c>
      <c r="AH131">
        <f>1000*DX131*AU131*(DT131-DU131)/(100*DL131*(1000-AU131*DT131))</f>
        <v>0</v>
      </c>
      <c r="AI131">
        <f>(AJ131 - AK131 - DY131*1E3/(8.314*(EA131+273.15)) * AM131/DX131 * AL131) * DX131/(100*DL131) * (1000 - DU131)/1000</f>
        <v>0</v>
      </c>
      <c r="AJ131">
        <v>270.848204627008</v>
      </c>
      <c r="AK131">
        <v>274.683672727273</v>
      </c>
      <c r="AL131">
        <v>-3.31336773769794</v>
      </c>
      <c r="AM131">
        <v>65.2210784119795</v>
      </c>
      <c r="AN131">
        <f>(AP131 - AO131 + DY131*1E3/(8.314*(EA131+273.15)) * AR131/DX131 * AQ131) * DX131/(100*DL131) * 1000/(1000 - AP131)</f>
        <v>0</v>
      </c>
      <c r="AO131">
        <v>9.74420373273494</v>
      </c>
      <c r="AP131">
        <v>11.8248381818182</v>
      </c>
      <c r="AQ131">
        <v>1.1094725030676e-05</v>
      </c>
      <c r="AR131">
        <v>115.574510355221</v>
      </c>
      <c r="AS131">
        <v>0</v>
      </c>
      <c r="AT131">
        <v>0</v>
      </c>
      <c r="AU131">
        <f>IF(AS131*$H$13&gt;=AW131,1.0,(AW131/(AW131-AS131*$H$13)))</f>
        <v>0</v>
      </c>
      <c r="AV131">
        <f>(AU131-1)*100</f>
        <v>0</v>
      </c>
      <c r="AW131">
        <f>MAX(0,($B$13+$C$13*EF131)/(1+$D$13*EF131)*DY131/(EA131+273)*$E$13)</f>
        <v>0</v>
      </c>
      <c r="AX131" t="s">
        <v>437</v>
      </c>
      <c r="AY131" t="s">
        <v>437</v>
      </c>
      <c r="AZ131">
        <v>0</v>
      </c>
      <c r="BA131">
        <v>0</v>
      </c>
      <c r="BB131">
        <f>1-AZ131/BA131</f>
        <v>0</v>
      </c>
      <c r="BC131">
        <v>0</v>
      </c>
      <c r="BD131" t="s">
        <v>437</v>
      </c>
      <c r="BE131" t="s">
        <v>437</v>
      </c>
      <c r="BF131">
        <v>0</v>
      </c>
      <c r="BG131">
        <v>0</v>
      </c>
      <c r="BH131">
        <f>1-BF131/BG131</f>
        <v>0</v>
      </c>
      <c r="BI131">
        <v>0.5</v>
      </c>
      <c r="BJ131">
        <f>DI131</f>
        <v>0</v>
      </c>
      <c r="BK131">
        <f>L131</f>
        <v>0</v>
      </c>
      <c r="BL131">
        <f>BH131*BI131*BJ131</f>
        <v>0</v>
      </c>
      <c r="BM131">
        <f>(BK131-BC131)/BJ131</f>
        <v>0</v>
      </c>
      <c r="BN131">
        <f>(BA131-BG131)/BG131</f>
        <v>0</v>
      </c>
      <c r="BO131">
        <f>AZ131/(BB131+AZ131/BG131)</f>
        <v>0</v>
      </c>
      <c r="BP131" t="s">
        <v>437</v>
      </c>
      <c r="BQ131">
        <v>0</v>
      </c>
      <c r="BR131">
        <f>IF(BQ131&lt;&gt;0, BQ131, BO131)</f>
        <v>0</v>
      </c>
      <c r="BS131">
        <f>1-BR131/BG131</f>
        <v>0</v>
      </c>
      <c r="BT131">
        <f>(BG131-BF131)/(BG131-BR131)</f>
        <v>0</v>
      </c>
      <c r="BU131">
        <f>(BA131-BG131)/(BA131-BR131)</f>
        <v>0</v>
      </c>
      <c r="BV131">
        <f>(BG131-BF131)/(BG131-AZ131)</f>
        <v>0</v>
      </c>
      <c r="BW131">
        <f>(BA131-BG131)/(BA131-AZ131)</f>
        <v>0</v>
      </c>
      <c r="BX131">
        <f>(BT131*BR131/BF131)</f>
        <v>0</v>
      </c>
      <c r="BY131">
        <f>(1-BX131)</f>
        <v>0</v>
      </c>
      <c r="BZ131">
        <v>282</v>
      </c>
      <c r="CA131">
        <v>290</v>
      </c>
      <c r="CB131">
        <v>1577.74</v>
      </c>
      <c r="CC131">
        <v>295</v>
      </c>
      <c r="CD131">
        <v>5140.93</v>
      </c>
      <c r="CE131">
        <v>1578.58</v>
      </c>
      <c r="CF131">
        <v>-0.84</v>
      </c>
      <c r="CG131">
        <v>300</v>
      </c>
      <c r="CH131">
        <v>23.8</v>
      </c>
      <c r="CI131">
        <v>1633.28263291266</v>
      </c>
      <c r="CJ131">
        <v>1.49577129053257</v>
      </c>
      <c r="CK131">
        <v>-28.1203876934379</v>
      </c>
      <c r="CL131">
        <v>0.666413418688897</v>
      </c>
      <c r="CM131">
        <v>0.984518017981194</v>
      </c>
      <c r="CN131">
        <v>-0.00424727541713014</v>
      </c>
      <c r="CO131">
        <v>290</v>
      </c>
      <c r="CP131">
        <v>1576.56</v>
      </c>
      <c r="CQ131">
        <v>775</v>
      </c>
      <c r="CR131">
        <v>5139.5</v>
      </c>
      <c r="CS131">
        <v>1578.57</v>
      </c>
      <c r="CT131">
        <v>-2.01</v>
      </c>
      <c r="DH131">
        <f>$B$11*EG131+$C$11*EH131+$F$11*ES131*(1-EV131)</f>
        <v>0</v>
      </c>
      <c r="DI131">
        <f>DH131*DJ131</f>
        <v>0</v>
      </c>
      <c r="DJ131">
        <f>($B$11*$D$9+$C$11*$D$9+$F$11*((FF131+EX131)/MAX(FF131+EX131+FG131, 0.1)*$I$9+FG131/MAX(FF131+EX131+FG131, 0.1)*$J$9))/($B$11+$C$11+$F$11)</f>
        <v>0</v>
      </c>
      <c r="DK131">
        <f>($B$11*$K$9+$C$11*$K$9+$F$11*((FF131+EX131)/MAX(FF131+EX131+FG131, 0.1)*$P$9+FG131/MAX(FF131+EX131+FG131, 0.1)*$Q$9))/($B$11+$C$11+$F$11)</f>
        <v>0</v>
      </c>
      <c r="DL131">
        <v>6</v>
      </c>
      <c r="DM131">
        <v>0.5</v>
      </c>
      <c r="DN131" t="s">
        <v>438</v>
      </c>
      <c r="DO131">
        <v>2</v>
      </c>
      <c r="DP131" t="b">
        <v>1</v>
      </c>
      <c r="DQ131">
        <v>1760991813.84615</v>
      </c>
      <c r="DR131">
        <v>294.503076923077</v>
      </c>
      <c r="DS131">
        <v>284.157384615385</v>
      </c>
      <c r="DT131">
        <v>11.8260615384615</v>
      </c>
      <c r="DU131">
        <v>9.74320076923077</v>
      </c>
      <c r="DV131">
        <v>292.114230769231</v>
      </c>
      <c r="DW131">
        <v>11.9370923076923</v>
      </c>
      <c r="DX131">
        <v>499.992769230769</v>
      </c>
      <c r="DY131">
        <v>89.8322307692308</v>
      </c>
      <c r="DZ131">
        <v>0.00868073769230769</v>
      </c>
      <c r="EA131">
        <v>18.412</v>
      </c>
      <c r="EB131">
        <v>18.0042076923077</v>
      </c>
      <c r="EC131">
        <v>999.9</v>
      </c>
      <c r="ED131">
        <v>0</v>
      </c>
      <c r="EE131">
        <v>0</v>
      </c>
      <c r="EF131">
        <v>10004.1846153846</v>
      </c>
      <c r="EG131">
        <v>0</v>
      </c>
      <c r="EH131">
        <v>1278.87923076923</v>
      </c>
      <c r="EI131">
        <v>10.3457476923077</v>
      </c>
      <c r="EJ131">
        <v>298.027615384615</v>
      </c>
      <c r="EK131">
        <v>286.953153846154</v>
      </c>
      <c r="EL131">
        <v>2.08286461538462</v>
      </c>
      <c r="EM131">
        <v>284.157384615385</v>
      </c>
      <c r="EN131">
        <v>9.74320076923077</v>
      </c>
      <c r="EO131">
        <v>1.06236153846154</v>
      </c>
      <c r="EP131">
        <v>0.875253461538462</v>
      </c>
      <c r="EQ131">
        <v>7.80092076923077</v>
      </c>
      <c r="ER131">
        <v>4.99015307692308</v>
      </c>
      <c r="ES131">
        <v>1199.99153846154</v>
      </c>
      <c r="ET131">
        <v>0.966993</v>
      </c>
      <c r="EU131">
        <v>0.0330068</v>
      </c>
      <c r="EV131">
        <v>0</v>
      </c>
      <c r="EW131">
        <v>1325.05384615385</v>
      </c>
      <c r="EX131">
        <v>5.00059</v>
      </c>
      <c r="EY131">
        <v>15590.0076923077</v>
      </c>
      <c r="EZ131">
        <v>10358.6307692308</v>
      </c>
      <c r="FA131">
        <v>36.8939230769231</v>
      </c>
      <c r="FB131">
        <v>38.5044615384615</v>
      </c>
      <c r="FC131">
        <v>37.3219230769231</v>
      </c>
      <c r="FD131">
        <v>37.7786153846154</v>
      </c>
      <c r="FE131">
        <v>37.7833846153846</v>
      </c>
      <c r="FF131">
        <v>1155.54538461538</v>
      </c>
      <c r="FG131">
        <v>39.4438461538462</v>
      </c>
      <c r="FH131">
        <v>0</v>
      </c>
      <c r="FI131">
        <v>677.600000143051</v>
      </c>
      <c r="FJ131">
        <v>0</v>
      </c>
      <c r="FK131">
        <v>1324.9384</v>
      </c>
      <c r="FL131">
        <v>-18.933076905593</v>
      </c>
      <c r="FM131">
        <v>-238.7153845995</v>
      </c>
      <c r="FN131">
        <v>15587.764</v>
      </c>
      <c r="FO131">
        <v>15</v>
      </c>
      <c r="FP131">
        <v>0</v>
      </c>
      <c r="FQ131" t="s">
        <v>439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9.8595715</v>
      </c>
      <c r="GD131">
        <v>10.4857854135338</v>
      </c>
      <c r="GE131">
        <v>1.1354768696071</v>
      </c>
      <c r="GF131">
        <v>0</v>
      </c>
      <c r="GG131">
        <v>1325.64147058824</v>
      </c>
      <c r="GH131">
        <v>-13.8935064933399</v>
      </c>
      <c r="GI131">
        <v>1.42527836776032</v>
      </c>
      <c r="GJ131">
        <v>-1</v>
      </c>
      <c r="GK131">
        <v>2.0839125</v>
      </c>
      <c r="GL131">
        <v>-0.0372302255639084</v>
      </c>
      <c r="GM131">
        <v>0.00422717976315178</v>
      </c>
      <c r="GN131">
        <v>1</v>
      </c>
      <c r="GO131">
        <v>1</v>
      </c>
      <c r="GP131">
        <v>2</v>
      </c>
      <c r="GQ131" t="s">
        <v>446</v>
      </c>
      <c r="GR131">
        <v>3.13076</v>
      </c>
      <c r="GS131">
        <v>2.68656</v>
      </c>
      <c r="GT131">
        <v>0.0624601</v>
      </c>
      <c r="GU131">
        <v>0.0608393</v>
      </c>
      <c r="GV131">
        <v>0.0617303</v>
      </c>
      <c r="GW131">
        <v>0.0530446</v>
      </c>
      <c r="GX131">
        <v>35529.3</v>
      </c>
      <c r="GY131">
        <v>38245.4</v>
      </c>
      <c r="GZ131">
        <v>34264.5</v>
      </c>
      <c r="HA131">
        <v>36848.8</v>
      </c>
      <c r="HB131">
        <v>45344.9</v>
      </c>
      <c r="HC131">
        <v>50030.6</v>
      </c>
      <c r="HD131">
        <v>53337.9</v>
      </c>
      <c r="HE131">
        <v>58776.3</v>
      </c>
      <c r="HF131">
        <v>2.00802</v>
      </c>
      <c r="HG131">
        <v>1.8347</v>
      </c>
      <c r="HH131">
        <v>0.00953674</v>
      </c>
      <c r="HI131">
        <v>0</v>
      </c>
      <c r="HJ131">
        <v>17.8556</v>
      </c>
      <c r="HK131">
        <v>999.9</v>
      </c>
      <c r="HL131">
        <v>27.237</v>
      </c>
      <c r="HM131">
        <v>30.494</v>
      </c>
      <c r="HN131">
        <v>13.2884</v>
      </c>
      <c r="HO131">
        <v>54.2591</v>
      </c>
      <c r="HP131">
        <v>44.5473</v>
      </c>
      <c r="HQ131">
        <v>1</v>
      </c>
      <c r="HR131">
        <v>-0.26438</v>
      </c>
      <c r="HS131">
        <v>4.73911</v>
      </c>
      <c r="HT131">
        <v>20.0724</v>
      </c>
      <c r="HU131">
        <v>5.20157</v>
      </c>
      <c r="HV131">
        <v>12.004</v>
      </c>
      <c r="HW131">
        <v>4.9756</v>
      </c>
      <c r="HX131">
        <v>3.29298</v>
      </c>
      <c r="HY131">
        <v>9999</v>
      </c>
      <c r="HZ131">
        <v>999.9</v>
      </c>
      <c r="IA131">
        <v>9999</v>
      </c>
      <c r="IB131">
        <v>9999</v>
      </c>
      <c r="IC131">
        <v>1.86324</v>
      </c>
      <c r="ID131">
        <v>1.86806</v>
      </c>
      <c r="IE131">
        <v>1.86783</v>
      </c>
      <c r="IF131">
        <v>1.86905</v>
      </c>
      <c r="IG131">
        <v>1.86981</v>
      </c>
      <c r="IH131">
        <v>1.86585</v>
      </c>
      <c r="II131">
        <v>1.86692</v>
      </c>
      <c r="IJ131">
        <v>1.86839</v>
      </c>
      <c r="IK131">
        <v>5</v>
      </c>
      <c r="IL131">
        <v>0</v>
      </c>
      <c r="IM131">
        <v>0</v>
      </c>
      <c r="IN131">
        <v>0</v>
      </c>
      <c r="IO131" t="s">
        <v>441</v>
      </c>
      <c r="IP131" t="s">
        <v>442</v>
      </c>
      <c r="IQ131" t="s">
        <v>443</v>
      </c>
      <c r="IR131" t="s">
        <v>443</v>
      </c>
      <c r="IS131" t="s">
        <v>443</v>
      </c>
      <c r="IT131" t="s">
        <v>443</v>
      </c>
      <c r="IU131">
        <v>0</v>
      </c>
      <c r="IV131">
        <v>100</v>
      </c>
      <c r="IW131">
        <v>100</v>
      </c>
      <c r="IX131">
        <v>2.282</v>
      </c>
      <c r="IY131">
        <v>-0.111</v>
      </c>
      <c r="IZ131">
        <v>1.12474291219083</v>
      </c>
      <c r="JA131">
        <v>0.00463155566490582</v>
      </c>
      <c r="JB131">
        <v>-1.1358998729424e-06</v>
      </c>
      <c r="JC131">
        <v>3.28704272115545e-10</v>
      </c>
      <c r="JD131">
        <v>-0.0704455108513773</v>
      </c>
      <c r="JE131">
        <v>-0.0251928478371425</v>
      </c>
      <c r="JF131">
        <v>0.00225751704194564</v>
      </c>
      <c r="JG131">
        <v>-3.61734043746866e-05</v>
      </c>
      <c r="JH131">
        <v>1</v>
      </c>
      <c r="JI131">
        <v>2182</v>
      </c>
      <c r="JJ131">
        <v>0</v>
      </c>
      <c r="JK131">
        <v>24</v>
      </c>
      <c r="JL131">
        <v>29349863.7</v>
      </c>
      <c r="JM131">
        <v>29349863.7</v>
      </c>
      <c r="JN131">
        <v>0.657959</v>
      </c>
      <c r="JO131">
        <v>2.64404</v>
      </c>
      <c r="JP131">
        <v>1.54785</v>
      </c>
      <c r="JQ131">
        <v>2.31323</v>
      </c>
      <c r="JR131">
        <v>1.64673</v>
      </c>
      <c r="JS131">
        <v>2.33154</v>
      </c>
      <c r="JT131">
        <v>33.7381</v>
      </c>
      <c r="JU131">
        <v>24.1751</v>
      </c>
      <c r="JV131">
        <v>18</v>
      </c>
      <c r="JW131">
        <v>500.146</v>
      </c>
      <c r="JX131">
        <v>392.788</v>
      </c>
      <c r="JY131">
        <v>11.5904</v>
      </c>
      <c r="JZ131">
        <v>23.951</v>
      </c>
      <c r="KA131">
        <v>30.0002</v>
      </c>
      <c r="KB131">
        <v>23.9168</v>
      </c>
      <c r="KC131">
        <v>23.8813</v>
      </c>
      <c r="KD131">
        <v>13.0762</v>
      </c>
      <c r="KE131">
        <v>12.7023</v>
      </c>
      <c r="KF131">
        <v>27.2762</v>
      </c>
      <c r="KG131">
        <v>11.5703</v>
      </c>
      <c r="KH131">
        <v>230.983</v>
      </c>
      <c r="KI131">
        <v>9.80402</v>
      </c>
      <c r="KJ131">
        <v>97.0383</v>
      </c>
      <c r="KK131">
        <v>95.3029</v>
      </c>
    </row>
    <row r="132" spans="1:297">
      <c r="A132">
        <v>116</v>
      </c>
      <c r="B132">
        <v>1760991827</v>
      </c>
      <c r="C132">
        <v>2636.90000009537</v>
      </c>
      <c r="D132" t="s">
        <v>685</v>
      </c>
      <c r="E132" t="s">
        <v>686</v>
      </c>
      <c r="F132">
        <v>5</v>
      </c>
      <c r="G132" t="s">
        <v>662</v>
      </c>
      <c r="H132" t="s">
        <v>436</v>
      </c>
      <c r="I132">
        <v>1760991818.84615</v>
      </c>
      <c r="J132">
        <f>(K132)/1000</f>
        <v>0</v>
      </c>
      <c r="K132">
        <f>IF(DP132, AN132, AH132)</f>
        <v>0</v>
      </c>
      <c r="L132">
        <f>IF(DP132, AI132, AG132)</f>
        <v>0</v>
      </c>
      <c r="M132">
        <f>DR132 - IF(AU132&gt;1, L132*DL132*100.0/(AW132), 0)</f>
        <v>0</v>
      </c>
      <c r="N132">
        <f>((T132-J132/2)*M132-L132)/(T132+J132/2)</f>
        <v>0</v>
      </c>
      <c r="O132">
        <f>N132*(DY132+DZ132)/1000.0</f>
        <v>0</v>
      </c>
      <c r="P132">
        <f>(DR132 - IF(AU132&gt;1, L132*DL132*100.0/(AW132), 0))*(DY132+DZ132)/1000.0</f>
        <v>0</v>
      </c>
      <c r="Q132">
        <f>2.0/((1/S132-1/R132)+SIGN(S132)*SQRT((1/S132-1/R132)*(1/S132-1/R132) + 4*DM132/((DM132+1)*(DM132+1))*(2*1/S132*1/R132-1/R132*1/R132)))</f>
        <v>0</v>
      </c>
      <c r="R132">
        <f>IF(LEFT(DN132,1)&lt;&gt;"0",IF(LEFT(DN132,1)="1",3.0,DO132),$D$5+$E$5*(EF132*DY132/($K$5*1000))+$F$5*(EF132*DY132/($K$5*1000))*MAX(MIN(DL132,$J$5),$I$5)*MAX(MIN(DL132,$J$5),$I$5)+$G$5*MAX(MIN(DL132,$J$5),$I$5)*(EF132*DY132/($K$5*1000))+$H$5*(EF132*DY132/($K$5*1000))*(EF132*DY132/($K$5*1000)))</f>
        <v>0</v>
      </c>
      <c r="S132">
        <f>J132*(1000-(1000*0.61365*exp(17.502*W132/(240.97+W132))/(DY132+DZ132)+DT132)/2)/(1000*0.61365*exp(17.502*W132/(240.97+W132))/(DY132+DZ132)-DT132)</f>
        <v>0</v>
      </c>
      <c r="T132">
        <f>1/((DM132+1)/(Q132/1.6)+1/(R132/1.37)) + DM132/((DM132+1)/(Q132/1.6) + DM132/(R132/1.37))</f>
        <v>0</v>
      </c>
      <c r="U132">
        <f>(DH132*DK132)</f>
        <v>0</v>
      </c>
      <c r="V132">
        <f>(EA132+(U132+2*0.95*5.67E-8*(((EA132+$B$7)+273)^4-(EA132+273)^4)-44100*J132)/(1.84*29.3*R132+8*0.95*5.67E-8*(EA132+273)^3))</f>
        <v>0</v>
      </c>
      <c r="W132">
        <f>($C$7*EB132+$D$7*EC132+$E$7*V132)</f>
        <v>0</v>
      </c>
      <c r="X132">
        <f>0.61365*exp(17.502*W132/(240.97+W132))</f>
        <v>0</v>
      </c>
      <c r="Y132">
        <f>(Z132/AA132*100)</f>
        <v>0</v>
      </c>
      <c r="Z132">
        <f>DT132*(DY132+DZ132)/1000</f>
        <v>0</v>
      </c>
      <c r="AA132">
        <f>0.61365*exp(17.502*EA132/(240.97+EA132))</f>
        <v>0</v>
      </c>
      <c r="AB132">
        <f>(X132-DT132*(DY132+DZ132)/1000)</f>
        <v>0</v>
      </c>
      <c r="AC132">
        <f>(-J132*44100)</f>
        <v>0</v>
      </c>
      <c r="AD132">
        <f>2*29.3*R132*0.92*(EA132-W132)</f>
        <v>0</v>
      </c>
      <c r="AE132">
        <f>2*0.95*5.67E-8*(((EA132+$B$7)+273)^4-(W132+273)^4)</f>
        <v>0</v>
      </c>
      <c r="AF132">
        <f>U132+AE132+AC132+AD132</f>
        <v>0</v>
      </c>
      <c r="AG132">
        <f>DX132*AU132*(DS132-DR132*(1000-AU132*DU132)/(1000-AU132*DT132))/(100*DL132)</f>
        <v>0</v>
      </c>
      <c r="AH132">
        <f>1000*DX132*AU132*(DT132-DU132)/(100*DL132*(1000-AU132*DT132))</f>
        <v>0</v>
      </c>
      <c r="AI132">
        <f>(AJ132 - AK132 - DY132*1E3/(8.314*(EA132+273.15)) * AM132/DX132 * AL132) * DX132/(100*DL132) * (1000 - DU132)/1000</f>
        <v>0</v>
      </c>
      <c r="AJ132">
        <v>254.480889753387</v>
      </c>
      <c r="AK132">
        <v>258.6468</v>
      </c>
      <c r="AL132">
        <v>-3.18267865022652</v>
      </c>
      <c r="AM132">
        <v>65.2210784119795</v>
      </c>
      <c r="AN132">
        <f>(AP132 - AO132 + DY132*1E3/(8.314*(EA132+273.15)) * AR132/DX132 * AQ132) * DX132/(100*DL132) * 1000/(1000 - AP132)</f>
        <v>0</v>
      </c>
      <c r="AO132">
        <v>9.74097578899467</v>
      </c>
      <c r="AP132">
        <v>11.8194042424242</v>
      </c>
      <c r="AQ132">
        <v>-5.33029944553269e-05</v>
      </c>
      <c r="AR132">
        <v>115.574510355221</v>
      </c>
      <c r="AS132">
        <v>0</v>
      </c>
      <c r="AT132">
        <v>0</v>
      </c>
      <c r="AU132">
        <f>IF(AS132*$H$13&gt;=AW132,1.0,(AW132/(AW132-AS132*$H$13)))</f>
        <v>0</v>
      </c>
      <c r="AV132">
        <f>(AU132-1)*100</f>
        <v>0</v>
      </c>
      <c r="AW132">
        <f>MAX(0,($B$13+$C$13*EF132)/(1+$D$13*EF132)*DY132/(EA132+273)*$E$13)</f>
        <v>0</v>
      </c>
      <c r="AX132" t="s">
        <v>437</v>
      </c>
      <c r="AY132" t="s">
        <v>437</v>
      </c>
      <c r="AZ132">
        <v>0</v>
      </c>
      <c r="BA132">
        <v>0</v>
      </c>
      <c r="BB132">
        <f>1-AZ132/BA132</f>
        <v>0</v>
      </c>
      <c r="BC132">
        <v>0</v>
      </c>
      <c r="BD132" t="s">
        <v>437</v>
      </c>
      <c r="BE132" t="s">
        <v>437</v>
      </c>
      <c r="BF132">
        <v>0</v>
      </c>
      <c r="BG132">
        <v>0</v>
      </c>
      <c r="BH132">
        <f>1-BF132/BG132</f>
        <v>0</v>
      </c>
      <c r="BI132">
        <v>0.5</v>
      </c>
      <c r="BJ132">
        <f>DI132</f>
        <v>0</v>
      </c>
      <c r="BK132">
        <f>L132</f>
        <v>0</v>
      </c>
      <c r="BL132">
        <f>BH132*BI132*BJ132</f>
        <v>0</v>
      </c>
      <c r="BM132">
        <f>(BK132-BC132)/BJ132</f>
        <v>0</v>
      </c>
      <c r="BN132">
        <f>(BA132-BG132)/BG132</f>
        <v>0</v>
      </c>
      <c r="BO132">
        <f>AZ132/(BB132+AZ132/BG132)</f>
        <v>0</v>
      </c>
      <c r="BP132" t="s">
        <v>437</v>
      </c>
      <c r="BQ132">
        <v>0</v>
      </c>
      <c r="BR132">
        <f>IF(BQ132&lt;&gt;0, BQ132, BO132)</f>
        <v>0</v>
      </c>
      <c r="BS132">
        <f>1-BR132/BG132</f>
        <v>0</v>
      </c>
      <c r="BT132">
        <f>(BG132-BF132)/(BG132-BR132)</f>
        <v>0</v>
      </c>
      <c r="BU132">
        <f>(BA132-BG132)/(BA132-BR132)</f>
        <v>0</v>
      </c>
      <c r="BV132">
        <f>(BG132-BF132)/(BG132-AZ132)</f>
        <v>0</v>
      </c>
      <c r="BW132">
        <f>(BA132-BG132)/(BA132-AZ132)</f>
        <v>0</v>
      </c>
      <c r="BX132">
        <f>(BT132*BR132/BF132)</f>
        <v>0</v>
      </c>
      <c r="BY132">
        <f>(1-BX132)</f>
        <v>0</v>
      </c>
      <c r="BZ132">
        <v>282</v>
      </c>
      <c r="CA132">
        <v>290</v>
      </c>
      <c r="CB132">
        <v>1577.74</v>
      </c>
      <c r="CC132">
        <v>295</v>
      </c>
      <c r="CD132">
        <v>5140.93</v>
      </c>
      <c r="CE132">
        <v>1578.58</v>
      </c>
      <c r="CF132">
        <v>-0.84</v>
      </c>
      <c r="CG132">
        <v>300</v>
      </c>
      <c r="CH132">
        <v>23.8</v>
      </c>
      <c r="CI132">
        <v>1633.28263291266</v>
      </c>
      <c r="CJ132">
        <v>1.49577129053257</v>
      </c>
      <c r="CK132">
        <v>-28.1203876934379</v>
      </c>
      <c r="CL132">
        <v>0.666413418688897</v>
      </c>
      <c r="CM132">
        <v>0.984518017981194</v>
      </c>
      <c r="CN132">
        <v>-0.00424727541713014</v>
      </c>
      <c r="CO132">
        <v>290</v>
      </c>
      <c r="CP132">
        <v>1576.56</v>
      </c>
      <c r="CQ132">
        <v>775</v>
      </c>
      <c r="CR132">
        <v>5139.5</v>
      </c>
      <c r="CS132">
        <v>1578.57</v>
      </c>
      <c r="CT132">
        <v>-2.01</v>
      </c>
      <c r="DH132">
        <f>$B$11*EG132+$C$11*EH132+$F$11*ES132*(1-EV132)</f>
        <v>0</v>
      </c>
      <c r="DI132">
        <f>DH132*DJ132</f>
        <v>0</v>
      </c>
      <c r="DJ132">
        <f>($B$11*$D$9+$C$11*$D$9+$F$11*((FF132+EX132)/MAX(FF132+EX132+FG132, 0.1)*$I$9+FG132/MAX(FF132+EX132+FG132, 0.1)*$J$9))/($B$11+$C$11+$F$11)</f>
        <v>0</v>
      </c>
      <c r="DK132">
        <f>($B$11*$K$9+$C$11*$K$9+$F$11*((FF132+EX132)/MAX(FF132+EX132+FG132, 0.1)*$P$9+FG132/MAX(FF132+EX132+FG132, 0.1)*$Q$9))/($B$11+$C$11+$F$11)</f>
        <v>0</v>
      </c>
      <c r="DL132">
        <v>6</v>
      </c>
      <c r="DM132">
        <v>0.5</v>
      </c>
      <c r="DN132" t="s">
        <v>438</v>
      </c>
      <c r="DO132">
        <v>2</v>
      </c>
      <c r="DP132" t="b">
        <v>1</v>
      </c>
      <c r="DQ132">
        <v>1760991818.84615</v>
      </c>
      <c r="DR132">
        <v>278.423384615385</v>
      </c>
      <c r="DS132">
        <v>267.706</v>
      </c>
      <c r="DT132">
        <v>11.8237846153846</v>
      </c>
      <c r="DU132">
        <v>9.74333230769231</v>
      </c>
      <c r="DV132">
        <v>276.099692307692</v>
      </c>
      <c r="DW132">
        <v>11.9348384615385</v>
      </c>
      <c r="DX132">
        <v>499.990307692308</v>
      </c>
      <c r="DY132">
        <v>89.8319461538462</v>
      </c>
      <c r="DZ132">
        <v>0.00877298384615385</v>
      </c>
      <c r="EA132">
        <v>18.4123461538462</v>
      </c>
      <c r="EB132">
        <v>18.0094230769231</v>
      </c>
      <c r="EC132">
        <v>999.9</v>
      </c>
      <c r="ED132">
        <v>0</v>
      </c>
      <c r="EE132">
        <v>0</v>
      </c>
      <c r="EF132">
        <v>9991.38846153846</v>
      </c>
      <c r="EG132">
        <v>0</v>
      </c>
      <c r="EH132">
        <v>1278.85846153846</v>
      </c>
      <c r="EI132">
        <v>10.7174107692308</v>
      </c>
      <c r="EJ132">
        <v>281.754846153846</v>
      </c>
      <c r="EK132">
        <v>270.339923076923</v>
      </c>
      <c r="EL132">
        <v>2.08045076923077</v>
      </c>
      <c r="EM132">
        <v>267.706</v>
      </c>
      <c r="EN132">
        <v>9.74333230769231</v>
      </c>
      <c r="EO132">
        <v>1.06215230769231</v>
      </c>
      <c r="EP132">
        <v>0.875262461538462</v>
      </c>
      <c r="EQ132">
        <v>7.79804153846154</v>
      </c>
      <c r="ER132">
        <v>4.9903</v>
      </c>
      <c r="ES132">
        <v>1199.96</v>
      </c>
      <c r="ET132">
        <v>0.966991615384615</v>
      </c>
      <c r="EU132">
        <v>0.0330081153846154</v>
      </c>
      <c r="EV132">
        <v>0</v>
      </c>
      <c r="EW132">
        <v>1323.35076923077</v>
      </c>
      <c r="EX132">
        <v>5.00059</v>
      </c>
      <c r="EY132">
        <v>15567.5846153846</v>
      </c>
      <c r="EZ132">
        <v>10358.3461538462</v>
      </c>
      <c r="FA132">
        <v>36.8458461538462</v>
      </c>
      <c r="FB132">
        <v>38.4564615384615</v>
      </c>
      <c r="FC132">
        <v>37.2737692307692</v>
      </c>
      <c r="FD132">
        <v>37.7209230769231</v>
      </c>
      <c r="FE132">
        <v>37.7400769230769</v>
      </c>
      <c r="FF132">
        <v>1155.51230769231</v>
      </c>
      <c r="FG132">
        <v>39.4469230769231</v>
      </c>
      <c r="FH132">
        <v>0</v>
      </c>
      <c r="FI132">
        <v>683</v>
      </c>
      <c r="FJ132">
        <v>0</v>
      </c>
      <c r="FK132">
        <v>1323.06153846154</v>
      </c>
      <c r="FL132">
        <v>-25.3682051176495</v>
      </c>
      <c r="FM132">
        <v>-311.634188010851</v>
      </c>
      <c r="FN132">
        <v>15564.15</v>
      </c>
      <c r="FO132">
        <v>15</v>
      </c>
      <c r="FP132">
        <v>0</v>
      </c>
      <c r="FQ132" t="s">
        <v>439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10.4984428571429</v>
      </c>
      <c r="GD132">
        <v>6.29938675324676</v>
      </c>
      <c r="GE132">
        <v>0.801966364988451</v>
      </c>
      <c r="GF132">
        <v>0</v>
      </c>
      <c r="GG132">
        <v>1324.27147058824</v>
      </c>
      <c r="GH132">
        <v>-20.5804430618042</v>
      </c>
      <c r="GI132">
        <v>2.05972032989197</v>
      </c>
      <c r="GJ132">
        <v>-1</v>
      </c>
      <c r="GK132">
        <v>2.08224523809524</v>
      </c>
      <c r="GL132">
        <v>-0.0313722077922098</v>
      </c>
      <c r="GM132">
        <v>0.00399296598085471</v>
      </c>
      <c r="GN132">
        <v>1</v>
      </c>
      <c r="GO132">
        <v>1</v>
      </c>
      <c r="GP132">
        <v>2</v>
      </c>
      <c r="GQ132" t="s">
        <v>446</v>
      </c>
      <c r="GR132">
        <v>3.13074</v>
      </c>
      <c r="GS132">
        <v>2.68681</v>
      </c>
      <c r="GT132">
        <v>0.0593348</v>
      </c>
      <c r="GU132">
        <v>0.0574392</v>
      </c>
      <c r="GV132">
        <v>0.061713</v>
      </c>
      <c r="GW132">
        <v>0.0530294</v>
      </c>
      <c r="GX132">
        <v>35647.6</v>
      </c>
      <c r="GY132">
        <v>38383.6</v>
      </c>
      <c r="GZ132">
        <v>34264.3</v>
      </c>
      <c r="HA132">
        <v>36848.5</v>
      </c>
      <c r="HB132">
        <v>45345</v>
      </c>
      <c r="HC132">
        <v>50030.7</v>
      </c>
      <c r="HD132">
        <v>53337.4</v>
      </c>
      <c r="HE132">
        <v>58776</v>
      </c>
      <c r="HF132">
        <v>2.008</v>
      </c>
      <c r="HG132">
        <v>1.83493</v>
      </c>
      <c r="HH132">
        <v>0.00935048</v>
      </c>
      <c r="HI132">
        <v>0</v>
      </c>
      <c r="HJ132">
        <v>17.8571</v>
      </c>
      <c r="HK132">
        <v>999.9</v>
      </c>
      <c r="HL132">
        <v>27.237</v>
      </c>
      <c r="HM132">
        <v>30.504</v>
      </c>
      <c r="HN132">
        <v>13.2968</v>
      </c>
      <c r="HO132">
        <v>54.2391</v>
      </c>
      <c r="HP132">
        <v>44.5312</v>
      </c>
      <c r="HQ132">
        <v>1</v>
      </c>
      <c r="HR132">
        <v>-0.264123</v>
      </c>
      <c r="HS132">
        <v>4.76332</v>
      </c>
      <c r="HT132">
        <v>20.0718</v>
      </c>
      <c r="HU132">
        <v>5.20142</v>
      </c>
      <c r="HV132">
        <v>12.004</v>
      </c>
      <c r="HW132">
        <v>4.97545</v>
      </c>
      <c r="HX132">
        <v>3.293</v>
      </c>
      <c r="HY132">
        <v>9999</v>
      </c>
      <c r="HZ132">
        <v>999.9</v>
      </c>
      <c r="IA132">
        <v>9999</v>
      </c>
      <c r="IB132">
        <v>9999</v>
      </c>
      <c r="IC132">
        <v>1.86325</v>
      </c>
      <c r="ID132">
        <v>1.86806</v>
      </c>
      <c r="IE132">
        <v>1.86783</v>
      </c>
      <c r="IF132">
        <v>1.86901</v>
      </c>
      <c r="IG132">
        <v>1.86981</v>
      </c>
      <c r="IH132">
        <v>1.86586</v>
      </c>
      <c r="II132">
        <v>1.86691</v>
      </c>
      <c r="IJ132">
        <v>1.8684</v>
      </c>
      <c r="IK132">
        <v>5</v>
      </c>
      <c r="IL132">
        <v>0</v>
      </c>
      <c r="IM132">
        <v>0</v>
      </c>
      <c r="IN132">
        <v>0</v>
      </c>
      <c r="IO132" t="s">
        <v>441</v>
      </c>
      <c r="IP132" t="s">
        <v>442</v>
      </c>
      <c r="IQ132" t="s">
        <v>443</v>
      </c>
      <c r="IR132" t="s">
        <v>443</v>
      </c>
      <c r="IS132" t="s">
        <v>443</v>
      </c>
      <c r="IT132" t="s">
        <v>443</v>
      </c>
      <c r="IU132">
        <v>0</v>
      </c>
      <c r="IV132">
        <v>100</v>
      </c>
      <c r="IW132">
        <v>100</v>
      </c>
      <c r="IX132">
        <v>2.217</v>
      </c>
      <c r="IY132">
        <v>-0.1111</v>
      </c>
      <c r="IZ132">
        <v>1.12474291219083</v>
      </c>
      <c r="JA132">
        <v>0.00463155566490582</v>
      </c>
      <c r="JB132">
        <v>-1.1358998729424e-06</v>
      </c>
      <c r="JC132">
        <v>3.28704272115545e-10</v>
      </c>
      <c r="JD132">
        <v>-0.0704455108513773</v>
      </c>
      <c r="JE132">
        <v>-0.0251928478371425</v>
      </c>
      <c r="JF132">
        <v>0.00225751704194564</v>
      </c>
      <c r="JG132">
        <v>-3.61734043746866e-05</v>
      </c>
      <c r="JH132">
        <v>1</v>
      </c>
      <c r="JI132">
        <v>2182</v>
      </c>
      <c r="JJ132">
        <v>0</v>
      </c>
      <c r="JK132">
        <v>24</v>
      </c>
      <c r="JL132">
        <v>29349863.8</v>
      </c>
      <c r="JM132">
        <v>29349863.8</v>
      </c>
      <c r="JN132">
        <v>0.620117</v>
      </c>
      <c r="JO132">
        <v>2.64404</v>
      </c>
      <c r="JP132">
        <v>1.54785</v>
      </c>
      <c r="JQ132">
        <v>2.31445</v>
      </c>
      <c r="JR132">
        <v>1.64673</v>
      </c>
      <c r="JS132">
        <v>2.29614</v>
      </c>
      <c r="JT132">
        <v>33.7155</v>
      </c>
      <c r="JU132">
        <v>24.1751</v>
      </c>
      <c r="JV132">
        <v>18</v>
      </c>
      <c r="JW132">
        <v>500.133</v>
      </c>
      <c r="JX132">
        <v>392.914</v>
      </c>
      <c r="JY132">
        <v>11.5755</v>
      </c>
      <c r="JZ132">
        <v>23.951</v>
      </c>
      <c r="KA132">
        <v>30.0004</v>
      </c>
      <c r="KB132">
        <v>23.917</v>
      </c>
      <c r="KC132">
        <v>23.8825</v>
      </c>
      <c r="KD132">
        <v>12.3857</v>
      </c>
      <c r="KE132">
        <v>12.4204</v>
      </c>
      <c r="KF132">
        <v>27.2762</v>
      </c>
      <c r="KG132">
        <v>11.5578</v>
      </c>
      <c r="KH132">
        <v>217.443</v>
      </c>
      <c r="KI132">
        <v>9.8048</v>
      </c>
      <c r="KJ132">
        <v>97.0377</v>
      </c>
      <c r="KK132">
        <v>95.3024</v>
      </c>
    </row>
    <row r="133" spans="1:297">
      <c r="A133">
        <v>117</v>
      </c>
      <c r="B133">
        <v>1760991832</v>
      </c>
      <c r="C133">
        <v>2641.90000009537</v>
      </c>
      <c r="D133" t="s">
        <v>687</v>
      </c>
      <c r="E133" t="s">
        <v>688</v>
      </c>
      <c r="F133">
        <v>5</v>
      </c>
      <c r="G133" t="s">
        <v>662</v>
      </c>
      <c r="H133" t="s">
        <v>436</v>
      </c>
      <c r="I133">
        <v>1760991823.84615</v>
      </c>
      <c r="J133">
        <f>(K133)/1000</f>
        <v>0</v>
      </c>
      <c r="K133">
        <f>IF(DP133, AN133, AH133)</f>
        <v>0</v>
      </c>
      <c r="L133">
        <f>IF(DP133, AI133, AG133)</f>
        <v>0</v>
      </c>
      <c r="M133">
        <f>DR133 - IF(AU133&gt;1, L133*DL133*100.0/(AW133), 0)</f>
        <v>0</v>
      </c>
      <c r="N133">
        <f>((T133-J133/2)*M133-L133)/(T133+J133/2)</f>
        <v>0</v>
      </c>
      <c r="O133">
        <f>N133*(DY133+DZ133)/1000.0</f>
        <v>0</v>
      </c>
      <c r="P133">
        <f>(DR133 - IF(AU133&gt;1, L133*DL133*100.0/(AW133), 0))*(DY133+DZ133)/1000.0</f>
        <v>0</v>
      </c>
      <c r="Q133">
        <f>2.0/((1/S133-1/R133)+SIGN(S133)*SQRT((1/S133-1/R133)*(1/S133-1/R133) + 4*DM133/((DM133+1)*(DM133+1))*(2*1/S133*1/R133-1/R133*1/R133)))</f>
        <v>0</v>
      </c>
      <c r="R133">
        <f>IF(LEFT(DN133,1)&lt;&gt;"0",IF(LEFT(DN133,1)="1",3.0,DO133),$D$5+$E$5*(EF133*DY133/($K$5*1000))+$F$5*(EF133*DY133/($K$5*1000))*MAX(MIN(DL133,$J$5),$I$5)*MAX(MIN(DL133,$J$5),$I$5)+$G$5*MAX(MIN(DL133,$J$5),$I$5)*(EF133*DY133/($K$5*1000))+$H$5*(EF133*DY133/($K$5*1000))*(EF133*DY133/($K$5*1000)))</f>
        <v>0</v>
      </c>
      <c r="S133">
        <f>J133*(1000-(1000*0.61365*exp(17.502*W133/(240.97+W133))/(DY133+DZ133)+DT133)/2)/(1000*0.61365*exp(17.502*W133/(240.97+W133))/(DY133+DZ133)-DT133)</f>
        <v>0</v>
      </c>
      <c r="T133">
        <f>1/((DM133+1)/(Q133/1.6)+1/(R133/1.37)) + DM133/((DM133+1)/(Q133/1.6) + DM133/(R133/1.37))</f>
        <v>0</v>
      </c>
      <c r="U133">
        <f>(DH133*DK133)</f>
        <v>0</v>
      </c>
      <c r="V133">
        <f>(EA133+(U133+2*0.95*5.67E-8*(((EA133+$B$7)+273)^4-(EA133+273)^4)-44100*J133)/(1.84*29.3*R133+8*0.95*5.67E-8*(EA133+273)^3))</f>
        <v>0</v>
      </c>
      <c r="W133">
        <f>($C$7*EB133+$D$7*EC133+$E$7*V133)</f>
        <v>0</v>
      </c>
      <c r="X133">
        <f>0.61365*exp(17.502*W133/(240.97+W133))</f>
        <v>0</v>
      </c>
      <c r="Y133">
        <f>(Z133/AA133*100)</f>
        <v>0</v>
      </c>
      <c r="Z133">
        <f>DT133*(DY133+DZ133)/1000</f>
        <v>0</v>
      </c>
      <c r="AA133">
        <f>0.61365*exp(17.502*EA133/(240.97+EA133))</f>
        <v>0</v>
      </c>
      <c r="AB133">
        <f>(X133-DT133*(DY133+DZ133)/1000)</f>
        <v>0</v>
      </c>
      <c r="AC133">
        <f>(-J133*44100)</f>
        <v>0</v>
      </c>
      <c r="AD133">
        <f>2*29.3*R133*0.92*(EA133-W133)</f>
        <v>0</v>
      </c>
      <c r="AE133">
        <f>2*0.95*5.67E-8*(((EA133+$B$7)+273)^4-(W133+273)^4)</f>
        <v>0</v>
      </c>
      <c r="AF133">
        <f>U133+AE133+AC133+AD133</f>
        <v>0</v>
      </c>
      <c r="AG133">
        <f>DX133*AU133*(DS133-DR133*(1000-AU133*DU133)/(1000-AU133*DT133))/(100*DL133)</f>
        <v>0</v>
      </c>
      <c r="AH133">
        <f>1000*DX133*AU133*(DT133-DU133)/(100*DL133*(1000-AU133*DT133))</f>
        <v>0</v>
      </c>
      <c r="AI133">
        <f>(AJ133 - AK133 - DY133*1E3/(8.314*(EA133+273.15)) * AM133/DX133 * AL133) * DX133/(100*DL133) * (1000 - DU133)/1000</f>
        <v>0</v>
      </c>
      <c r="AJ133">
        <v>236.969482688338</v>
      </c>
      <c r="AK133">
        <v>242.132363636364</v>
      </c>
      <c r="AL133">
        <v>-3.32420797596674</v>
      </c>
      <c r="AM133">
        <v>65.2210784119795</v>
      </c>
      <c r="AN133">
        <f>(AP133 - AO133 + DY133*1E3/(8.314*(EA133+273.15)) * AR133/DX133 * AQ133) * DX133/(100*DL133) * 1000/(1000 - AP133)</f>
        <v>0</v>
      </c>
      <c r="AO133">
        <v>9.74374929131861</v>
      </c>
      <c r="AP133">
        <v>11.8144690909091</v>
      </c>
      <c r="AQ133">
        <v>-4.85460890812297e-05</v>
      </c>
      <c r="AR133">
        <v>115.574510355221</v>
      </c>
      <c r="AS133">
        <v>0</v>
      </c>
      <c r="AT133">
        <v>0</v>
      </c>
      <c r="AU133">
        <f>IF(AS133*$H$13&gt;=AW133,1.0,(AW133/(AW133-AS133*$H$13)))</f>
        <v>0</v>
      </c>
      <c r="AV133">
        <f>(AU133-1)*100</f>
        <v>0</v>
      </c>
      <c r="AW133">
        <f>MAX(0,($B$13+$C$13*EF133)/(1+$D$13*EF133)*DY133/(EA133+273)*$E$13)</f>
        <v>0</v>
      </c>
      <c r="AX133" t="s">
        <v>437</v>
      </c>
      <c r="AY133" t="s">
        <v>437</v>
      </c>
      <c r="AZ133">
        <v>0</v>
      </c>
      <c r="BA133">
        <v>0</v>
      </c>
      <c r="BB133">
        <f>1-AZ133/BA133</f>
        <v>0</v>
      </c>
      <c r="BC133">
        <v>0</v>
      </c>
      <c r="BD133" t="s">
        <v>437</v>
      </c>
      <c r="BE133" t="s">
        <v>437</v>
      </c>
      <c r="BF133">
        <v>0</v>
      </c>
      <c r="BG133">
        <v>0</v>
      </c>
      <c r="BH133">
        <f>1-BF133/BG133</f>
        <v>0</v>
      </c>
      <c r="BI133">
        <v>0.5</v>
      </c>
      <c r="BJ133">
        <f>DI133</f>
        <v>0</v>
      </c>
      <c r="BK133">
        <f>L133</f>
        <v>0</v>
      </c>
      <c r="BL133">
        <f>BH133*BI133*BJ133</f>
        <v>0</v>
      </c>
      <c r="BM133">
        <f>(BK133-BC133)/BJ133</f>
        <v>0</v>
      </c>
      <c r="BN133">
        <f>(BA133-BG133)/BG133</f>
        <v>0</v>
      </c>
      <c r="BO133">
        <f>AZ133/(BB133+AZ133/BG133)</f>
        <v>0</v>
      </c>
      <c r="BP133" t="s">
        <v>437</v>
      </c>
      <c r="BQ133">
        <v>0</v>
      </c>
      <c r="BR133">
        <f>IF(BQ133&lt;&gt;0, BQ133, BO133)</f>
        <v>0</v>
      </c>
      <c r="BS133">
        <f>1-BR133/BG133</f>
        <v>0</v>
      </c>
      <c r="BT133">
        <f>(BG133-BF133)/(BG133-BR133)</f>
        <v>0</v>
      </c>
      <c r="BU133">
        <f>(BA133-BG133)/(BA133-BR133)</f>
        <v>0</v>
      </c>
      <c r="BV133">
        <f>(BG133-BF133)/(BG133-AZ133)</f>
        <v>0</v>
      </c>
      <c r="BW133">
        <f>(BA133-BG133)/(BA133-AZ133)</f>
        <v>0</v>
      </c>
      <c r="BX133">
        <f>(BT133*BR133/BF133)</f>
        <v>0</v>
      </c>
      <c r="BY133">
        <f>(1-BX133)</f>
        <v>0</v>
      </c>
      <c r="BZ133">
        <v>282</v>
      </c>
      <c r="CA133">
        <v>290</v>
      </c>
      <c r="CB133">
        <v>1577.74</v>
      </c>
      <c r="CC133">
        <v>295</v>
      </c>
      <c r="CD133">
        <v>5140.93</v>
      </c>
      <c r="CE133">
        <v>1578.58</v>
      </c>
      <c r="CF133">
        <v>-0.84</v>
      </c>
      <c r="CG133">
        <v>300</v>
      </c>
      <c r="CH133">
        <v>23.8</v>
      </c>
      <c r="CI133">
        <v>1633.28263291266</v>
      </c>
      <c r="CJ133">
        <v>1.49577129053257</v>
      </c>
      <c r="CK133">
        <v>-28.1203876934379</v>
      </c>
      <c r="CL133">
        <v>0.666413418688897</v>
      </c>
      <c r="CM133">
        <v>0.984518017981194</v>
      </c>
      <c r="CN133">
        <v>-0.00424727541713014</v>
      </c>
      <c r="CO133">
        <v>290</v>
      </c>
      <c r="CP133">
        <v>1576.56</v>
      </c>
      <c r="CQ133">
        <v>775</v>
      </c>
      <c r="CR133">
        <v>5139.5</v>
      </c>
      <c r="CS133">
        <v>1578.57</v>
      </c>
      <c r="CT133">
        <v>-2.01</v>
      </c>
      <c r="DH133">
        <f>$B$11*EG133+$C$11*EH133+$F$11*ES133*(1-EV133)</f>
        <v>0</v>
      </c>
      <c r="DI133">
        <f>DH133*DJ133</f>
        <v>0</v>
      </c>
      <c r="DJ133">
        <f>($B$11*$D$9+$C$11*$D$9+$F$11*((FF133+EX133)/MAX(FF133+EX133+FG133, 0.1)*$I$9+FG133/MAX(FF133+EX133+FG133, 0.1)*$J$9))/($B$11+$C$11+$F$11)</f>
        <v>0</v>
      </c>
      <c r="DK133">
        <f>($B$11*$K$9+$C$11*$K$9+$F$11*((FF133+EX133)/MAX(FF133+EX133+FG133, 0.1)*$P$9+FG133/MAX(FF133+EX133+FG133, 0.1)*$Q$9))/($B$11+$C$11+$F$11)</f>
        <v>0</v>
      </c>
      <c r="DL133">
        <v>6</v>
      </c>
      <c r="DM133">
        <v>0.5</v>
      </c>
      <c r="DN133" t="s">
        <v>438</v>
      </c>
      <c r="DO133">
        <v>2</v>
      </c>
      <c r="DP133" t="b">
        <v>1</v>
      </c>
      <c r="DQ133">
        <v>1760991823.84615</v>
      </c>
      <c r="DR133">
        <v>262.401615384615</v>
      </c>
      <c r="DS133">
        <v>250.699</v>
      </c>
      <c r="DT133">
        <v>11.8210538461538</v>
      </c>
      <c r="DU133">
        <v>9.74335384615385</v>
      </c>
      <c r="DV133">
        <v>260.143307692308</v>
      </c>
      <c r="DW133">
        <v>11.9321461538462</v>
      </c>
      <c r="DX133">
        <v>499.981461538461</v>
      </c>
      <c r="DY133">
        <v>89.8318538461538</v>
      </c>
      <c r="DZ133">
        <v>0.00878895923076923</v>
      </c>
      <c r="EA133">
        <v>18.4105846153846</v>
      </c>
      <c r="EB133">
        <v>18.0117384615385</v>
      </c>
      <c r="EC133">
        <v>999.9</v>
      </c>
      <c r="ED133">
        <v>0</v>
      </c>
      <c r="EE133">
        <v>0</v>
      </c>
      <c r="EF133">
        <v>9992.78461538461</v>
      </c>
      <c r="EG133">
        <v>0</v>
      </c>
      <c r="EH133">
        <v>1278.84615384615</v>
      </c>
      <c r="EI133">
        <v>11.7025923076923</v>
      </c>
      <c r="EJ133">
        <v>265.540692307692</v>
      </c>
      <c r="EK133">
        <v>253.165692307692</v>
      </c>
      <c r="EL133">
        <v>2.07770615384615</v>
      </c>
      <c r="EM133">
        <v>250.699</v>
      </c>
      <c r="EN133">
        <v>9.74335384615385</v>
      </c>
      <c r="EO133">
        <v>1.06190769230769</v>
      </c>
      <c r="EP133">
        <v>0.875263461538462</v>
      </c>
      <c r="EQ133">
        <v>7.79464461538462</v>
      </c>
      <c r="ER133">
        <v>4.99031769230769</v>
      </c>
      <c r="ES133">
        <v>1200.00076923077</v>
      </c>
      <c r="ET133">
        <v>0.966992307692308</v>
      </c>
      <c r="EU133">
        <v>0.0330074384615385</v>
      </c>
      <c r="EV133">
        <v>0</v>
      </c>
      <c r="EW133">
        <v>1321.12</v>
      </c>
      <c r="EX133">
        <v>5.00059</v>
      </c>
      <c r="EY133">
        <v>15540.1153846154</v>
      </c>
      <c r="EZ133">
        <v>10358.7153846154</v>
      </c>
      <c r="FA133">
        <v>36.7978461538462</v>
      </c>
      <c r="FB133">
        <v>38.4132307692308</v>
      </c>
      <c r="FC133">
        <v>37.2209230769231</v>
      </c>
      <c r="FD133">
        <v>37.6729230769231</v>
      </c>
      <c r="FE133">
        <v>37.6920769230769</v>
      </c>
      <c r="FF133">
        <v>1155.55307692308</v>
      </c>
      <c r="FG133">
        <v>39.4476923076923</v>
      </c>
      <c r="FH133">
        <v>0</v>
      </c>
      <c r="FI133">
        <v>687.800000190735</v>
      </c>
      <c r="FJ133">
        <v>0</v>
      </c>
      <c r="FK133">
        <v>1320.85538461538</v>
      </c>
      <c r="FL133">
        <v>-30.3035897406009</v>
      </c>
      <c r="FM133">
        <v>-383.852991589415</v>
      </c>
      <c r="FN133">
        <v>15536.2038461538</v>
      </c>
      <c r="FO133">
        <v>15</v>
      </c>
      <c r="FP133">
        <v>0</v>
      </c>
      <c r="FQ133" t="s">
        <v>439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11.234319</v>
      </c>
      <c r="GD133">
        <v>10.568224962406</v>
      </c>
      <c r="GE133">
        <v>1.11836087359537</v>
      </c>
      <c r="GF133">
        <v>0</v>
      </c>
      <c r="GG133">
        <v>1322.41117647059</v>
      </c>
      <c r="GH133">
        <v>-26.4033613525064</v>
      </c>
      <c r="GI133">
        <v>2.6115014440715</v>
      </c>
      <c r="GJ133">
        <v>-1</v>
      </c>
      <c r="GK133">
        <v>2.0790595</v>
      </c>
      <c r="GL133">
        <v>-0.0250957894736845</v>
      </c>
      <c r="GM133">
        <v>0.00368090950038163</v>
      </c>
      <c r="GN133">
        <v>1</v>
      </c>
      <c r="GO133">
        <v>1</v>
      </c>
      <c r="GP133">
        <v>2</v>
      </c>
      <c r="GQ133" t="s">
        <v>446</v>
      </c>
      <c r="GR133">
        <v>3.13075</v>
      </c>
      <c r="GS133">
        <v>2.68679</v>
      </c>
      <c r="GT133">
        <v>0.0560093</v>
      </c>
      <c r="GU133">
        <v>0.0539811</v>
      </c>
      <c r="GV133">
        <v>0.0616892</v>
      </c>
      <c r="GW133">
        <v>0.0530596</v>
      </c>
      <c r="GX133">
        <v>35773.3</v>
      </c>
      <c r="GY133">
        <v>38524.6</v>
      </c>
      <c r="GZ133">
        <v>34264</v>
      </c>
      <c r="HA133">
        <v>36848.6</v>
      </c>
      <c r="HB133">
        <v>45345.3</v>
      </c>
      <c r="HC133">
        <v>50028.7</v>
      </c>
      <c r="HD133">
        <v>53336.8</v>
      </c>
      <c r="HE133">
        <v>58776</v>
      </c>
      <c r="HF133">
        <v>2.00773</v>
      </c>
      <c r="HG133">
        <v>1.83477</v>
      </c>
      <c r="HH133">
        <v>0.00949204</v>
      </c>
      <c r="HI133">
        <v>0</v>
      </c>
      <c r="HJ133">
        <v>17.8571</v>
      </c>
      <c r="HK133">
        <v>999.9</v>
      </c>
      <c r="HL133">
        <v>27.237</v>
      </c>
      <c r="HM133">
        <v>30.504</v>
      </c>
      <c r="HN133">
        <v>13.297</v>
      </c>
      <c r="HO133">
        <v>54.3991</v>
      </c>
      <c r="HP133">
        <v>44.2628</v>
      </c>
      <c r="HQ133">
        <v>1</v>
      </c>
      <c r="HR133">
        <v>-0.263946</v>
      </c>
      <c r="HS133">
        <v>4.78173</v>
      </c>
      <c r="HT133">
        <v>20.0713</v>
      </c>
      <c r="HU133">
        <v>5.20202</v>
      </c>
      <c r="HV133">
        <v>12.004</v>
      </c>
      <c r="HW133">
        <v>4.97565</v>
      </c>
      <c r="HX133">
        <v>3.293</v>
      </c>
      <c r="HY133">
        <v>9999</v>
      </c>
      <c r="HZ133">
        <v>999.9</v>
      </c>
      <c r="IA133">
        <v>9999</v>
      </c>
      <c r="IB133">
        <v>9999</v>
      </c>
      <c r="IC133">
        <v>1.86325</v>
      </c>
      <c r="ID133">
        <v>1.86802</v>
      </c>
      <c r="IE133">
        <v>1.86783</v>
      </c>
      <c r="IF133">
        <v>1.86903</v>
      </c>
      <c r="IG133">
        <v>1.86981</v>
      </c>
      <c r="IH133">
        <v>1.86585</v>
      </c>
      <c r="II133">
        <v>1.86691</v>
      </c>
      <c r="IJ133">
        <v>1.86834</v>
      </c>
      <c r="IK133">
        <v>5</v>
      </c>
      <c r="IL133">
        <v>0</v>
      </c>
      <c r="IM133">
        <v>0</v>
      </c>
      <c r="IN133">
        <v>0</v>
      </c>
      <c r="IO133" t="s">
        <v>441</v>
      </c>
      <c r="IP133" t="s">
        <v>442</v>
      </c>
      <c r="IQ133" t="s">
        <v>443</v>
      </c>
      <c r="IR133" t="s">
        <v>443</v>
      </c>
      <c r="IS133" t="s">
        <v>443</v>
      </c>
      <c r="IT133" t="s">
        <v>443</v>
      </c>
      <c r="IU133">
        <v>0</v>
      </c>
      <c r="IV133">
        <v>100</v>
      </c>
      <c r="IW133">
        <v>100</v>
      </c>
      <c r="IX133">
        <v>2.15</v>
      </c>
      <c r="IY133">
        <v>-0.1112</v>
      </c>
      <c r="IZ133">
        <v>1.12474291219083</v>
      </c>
      <c r="JA133">
        <v>0.00463155566490582</v>
      </c>
      <c r="JB133">
        <v>-1.1358998729424e-06</v>
      </c>
      <c r="JC133">
        <v>3.28704272115545e-10</v>
      </c>
      <c r="JD133">
        <v>-0.0704455108513773</v>
      </c>
      <c r="JE133">
        <v>-0.0251928478371425</v>
      </c>
      <c r="JF133">
        <v>0.00225751704194564</v>
      </c>
      <c r="JG133">
        <v>-3.61734043746866e-05</v>
      </c>
      <c r="JH133">
        <v>1</v>
      </c>
      <c r="JI133">
        <v>2182</v>
      </c>
      <c r="JJ133">
        <v>0</v>
      </c>
      <c r="JK133">
        <v>24</v>
      </c>
      <c r="JL133">
        <v>29349863.9</v>
      </c>
      <c r="JM133">
        <v>29349863.9</v>
      </c>
      <c r="JN133">
        <v>0.59082</v>
      </c>
      <c r="JO133">
        <v>2.64526</v>
      </c>
      <c r="JP133">
        <v>1.54785</v>
      </c>
      <c r="JQ133">
        <v>2.31445</v>
      </c>
      <c r="JR133">
        <v>1.64673</v>
      </c>
      <c r="JS133">
        <v>2.31934</v>
      </c>
      <c r="JT133">
        <v>33.7155</v>
      </c>
      <c r="JU133">
        <v>24.1751</v>
      </c>
      <c r="JV133">
        <v>18</v>
      </c>
      <c r="JW133">
        <v>499.977</v>
      </c>
      <c r="JX133">
        <v>392.842</v>
      </c>
      <c r="JY133">
        <v>11.5615</v>
      </c>
      <c r="JZ133">
        <v>23.9522</v>
      </c>
      <c r="KA133">
        <v>30.0004</v>
      </c>
      <c r="KB133">
        <v>23.919</v>
      </c>
      <c r="KC133">
        <v>23.8833</v>
      </c>
      <c r="KD133">
        <v>11.7879</v>
      </c>
      <c r="KE133">
        <v>12.4204</v>
      </c>
      <c r="KF133">
        <v>27.2762</v>
      </c>
      <c r="KG133">
        <v>11.545</v>
      </c>
      <c r="KH133">
        <v>197.093</v>
      </c>
      <c r="KI133">
        <v>9.81382</v>
      </c>
      <c r="KJ133">
        <v>97.0366</v>
      </c>
      <c r="KK133">
        <v>95.3025</v>
      </c>
    </row>
    <row r="134" spans="1:297">
      <c r="A134">
        <v>118</v>
      </c>
      <c r="B134">
        <v>1760991837</v>
      </c>
      <c r="C134">
        <v>2646.90000009537</v>
      </c>
      <c r="D134" t="s">
        <v>689</v>
      </c>
      <c r="E134" t="s">
        <v>690</v>
      </c>
      <c r="F134">
        <v>5</v>
      </c>
      <c r="G134" t="s">
        <v>662</v>
      </c>
      <c r="H134" t="s">
        <v>436</v>
      </c>
      <c r="I134">
        <v>1760991828.84615</v>
      </c>
      <c r="J134">
        <f>(K134)/1000</f>
        <v>0</v>
      </c>
      <c r="K134">
        <f>IF(DP134, AN134, AH134)</f>
        <v>0</v>
      </c>
      <c r="L134">
        <f>IF(DP134, AI134, AG134)</f>
        <v>0</v>
      </c>
      <c r="M134">
        <f>DR134 - IF(AU134&gt;1, L134*DL134*100.0/(AW134), 0)</f>
        <v>0</v>
      </c>
      <c r="N134">
        <f>((T134-J134/2)*M134-L134)/(T134+J134/2)</f>
        <v>0</v>
      </c>
      <c r="O134">
        <f>N134*(DY134+DZ134)/1000.0</f>
        <v>0</v>
      </c>
      <c r="P134">
        <f>(DR134 - IF(AU134&gt;1, L134*DL134*100.0/(AW134), 0))*(DY134+DZ134)/1000.0</f>
        <v>0</v>
      </c>
      <c r="Q134">
        <f>2.0/((1/S134-1/R134)+SIGN(S134)*SQRT((1/S134-1/R134)*(1/S134-1/R134) + 4*DM134/((DM134+1)*(DM134+1))*(2*1/S134*1/R134-1/R134*1/R134)))</f>
        <v>0</v>
      </c>
      <c r="R134">
        <f>IF(LEFT(DN134,1)&lt;&gt;"0",IF(LEFT(DN134,1)="1",3.0,DO134),$D$5+$E$5*(EF134*DY134/($K$5*1000))+$F$5*(EF134*DY134/($K$5*1000))*MAX(MIN(DL134,$J$5),$I$5)*MAX(MIN(DL134,$J$5),$I$5)+$G$5*MAX(MIN(DL134,$J$5),$I$5)*(EF134*DY134/($K$5*1000))+$H$5*(EF134*DY134/($K$5*1000))*(EF134*DY134/($K$5*1000)))</f>
        <v>0</v>
      </c>
      <c r="S134">
        <f>J134*(1000-(1000*0.61365*exp(17.502*W134/(240.97+W134))/(DY134+DZ134)+DT134)/2)/(1000*0.61365*exp(17.502*W134/(240.97+W134))/(DY134+DZ134)-DT134)</f>
        <v>0</v>
      </c>
      <c r="T134">
        <f>1/((DM134+1)/(Q134/1.6)+1/(R134/1.37)) + DM134/((DM134+1)/(Q134/1.6) + DM134/(R134/1.37))</f>
        <v>0</v>
      </c>
      <c r="U134">
        <f>(DH134*DK134)</f>
        <v>0</v>
      </c>
      <c r="V134">
        <f>(EA134+(U134+2*0.95*5.67E-8*(((EA134+$B$7)+273)^4-(EA134+273)^4)-44100*J134)/(1.84*29.3*R134+8*0.95*5.67E-8*(EA134+273)^3))</f>
        <v>0</v>
      </c>
      <c r="W134">
        <f>($C$7*EB134+$D$7*EC134+$E$7*V134)</f>
        <v>0</v>
      </c>
      <c r="X134">
        <f>0.61365*exp(17.502*W134/(240.97+W134))</f>
        <v>0</v>
      </c>
      <c r="Y134">
        <f>(Z134/AA134*100)</f>
        <v>0</v>
      </c>
      <c r="Z134">
        <f>DT134*(DY134+DZ134)/1000</f>
        <v>0</v>
      </c>
      <c r="AA134">
        <f>0.61365*exp(17.502*EA134/(240.97+EA134))</f>
        <v>0</v>
      </c>
      <c r="AB134">
        <f>(X134-DT134*(DY134+DZ134)/1000)</f>
        <v>0</v>
      </c>
      <c r="AC134">
        <f>(-J134*44100)</f>
        <v>0</v>
      </c>
      <c r="AD134">
        <f>2*29.3*R134*0.92*(EA134-W134)</f>
        <v>0</v>
      </c>
      <c r="AE134">
        <f>2*0.95*5.67E-8*(((EA134+$B$7)+273)^4-(W134+273)^4)</f>
        <v>0</v>
      </c>
      <c r="AF134">
        <f>U134+AE134+AC134+AD134</f>
        <v>0</v>
      </c>
      <c r="AG134">
        <f>DX134*AU134*(DS134-DR134*(1000-AU134*DU134)/(1000-AU134*DT134))/(100*DL134)</f>
        <v>0</v>
      </c>
      <c r="AH134">
        <f>1000*DX134*AU134*(DT134-DU134)/(100*DL134*(1000-AU134*DT134))</f>
        <v>0</v>
      </c>
      <c r="AI134">
        <f>(AJ134 - AK134 - DY134*1E3/(8.314*(EA134+273.15)) * AM134/DX134 * AL134) * DX134/(100*DL134) * (1000 - DU134)/1000</f>
        <v>0</v>
      </c>
      <c r="AJ134">
        <v>220.622966090872</v>
      </c>
      <c r="AK134">
        <v>226.057115151515</v>
      </c>
      <c r="AL134">
        <v>-3.18969334117723</v>
      </c>
      <c r="AM134">
        <v>65.2210784119795</v>
      </c>
      <c r="AN134">
        <f>(AP134 - AO134 + DY134*1E3/(8.314*(EA134+273.15)) * AR134/DX134 * AQ134) * DX134/(100*DL134) * 1000/(1000 - AP134)</f>
        <v>0</v>
      </c>
      <c r="AO134">
        <v>9.7450041560265</v>
      </c>
      <c r="AP134">
        <v>11.8133896969697</v>
      </c>
      <c r="AQ134">
        <v>9.21883352260072e-06</v>
      </c>
      <c r="AR134">
        <v>115.574510355221</v>
      </c>
      <c r="AS134">
        <v>0</v>
      </c>
      <c r="AT134">
        <v>0</v>
      </c>
      <c r="AU134">
        <f>IF(AS134*$H$13&gt;=AW134,1.0,(AW134/(AW134-AS134*$H$13)))</f>
        <v>0</v>
      </c>
      <c r="AV134">
        <f>(AU134-1)*100</f>
        <v>0</v>
      </c>
      <c r="AW134">
        <f>MAX(0,($B$13+$C$13*EF134)/(1+$D$13*EF134)*DY134/(EA134+273)*$E$13)</f>
        <v>0</v>
      </c>
      <c r="AX134" t="s">
        <v>437</v>
      </c>
      <c r="AY134" t="s">
        <v>437</v>
      </c>
      <c r="AZ134">
        <v>0</v>
      </c>
      <c r="BA134">
        <v>0</v>
      </c>
      <c r="BB134">
        <f>1-AZ134/BA134</f>
        <v>0</v>
      </c>
      <c r="BC134">
        <v>0</v>
      </c>
      <c r="BD134" t="s">
        <v>437</v>
      </c>
      <c r="BE134" t="s">
        <v>437</v>
      </c>
      <c r="BF134">
        <v>0</v>
      </c>
      <c r="BG134">
        <v>0</v>
      </c>
      <c r="BH134">
        <f>1-BF134/BG134</f>
        <v>0</v>
      </c>
      <c r="BI134">
        <v>0.5</v>
      </c>
      <c r="BJ134">
        <f>DI134</f>
        <v>0</v>
      </c>
      <c r="BK134">
        <f>L134</f>
        <v>0</v>
      </c>
      <c r="BL134">
        <f>BH134*BI134*BJ134</f>
        <v>0</v>
      </c>
      <c r="BM134">
        <f>(BK134-BC134)/BJ134</f>
        <v>0</v>
      </c>
      <c r="BN134">
        <f>(BA134-BG134)/BG134</f>
        <v>0</v>
      </c>
      <c r="BO134">
        <f>AZ134/(BB134+AZ134/BG134)</f>
        <v>0</v>
      </c>
      <c r="BP134" t="s">
        <v>437</v>
      </c>
      <c r="BQ134">
        <v>0</v>
      </c>
      <c r="BR134">
        <f>IF(BQ134&lt;&gt;0, BQ134, BO134)</f>
        <v>0</v>
      </c>
      <c r="BS134">
        <f>1-BR134/BG134</f>
        <v>0</v>
      </c>
      <c r="BT134">
        <f>(BG134-BF134)/(BG134-BR134)</f>
        <v>0</v>
      </c>
      <c r="BU134">
        <f>(BA134-BG134)/(BA134-BR134)</f>
        <v>0</v>
      </c>
      <c r="BV134">
        <f>(BG134-BF134)/(BG134-AZ134)</f>
        <v>0</v>
      </c>
      <c r="BW134">
        <f>(BA134-BG134)/(BA134-AZ134)</f>
        <v>0</v>
      </c>
      <c r="BX134">
        <f>(BT134*BR134/BF134)</f>
        <v>0</v>
      </c>
      <c r="BY134">
        <f>(1-BX134)</f>
        <v>0</v>
      </c>
      <c r="BZ134">
        <v>282</v>
      </c>
      <c r="CA134">
        <v>290</v>
      </c>
      <c r="CB134">
        <v>1577.74</v>
      </c>
      <c r="CC134">
        <v>295</v>
      </c>
      <c r="CD134">
        <v>5140.93</v>
      </c>
      <c r="CE134">
        <v>1578.58</v>
      </c>
      <c r="CF134">
        <v>-0.84</v>
      </c>
      <c r="CG134">
        <v>300</v>
      </c>
      <c r="CH134">
        <v>23.8</v>
      </c>
      <c r="CI134">
        <v>1633.28263291266</v>
      </c>
      <c r="CJ134">
        <v>1.49577129053257</v>
      </c>
      <c r="CK134">
        <v>-28.1203876934379</v>
      </c>
      <c r="CL134">
        <v>0.666413418688897</v>
      </c>
      <c r="CM134">
        <v>0.984518017981194</v>
      </c>
      <c r="CN134">
        <v>-0.00424727541713014</v>
      </c>
      <c r="CO134">
        <v>290</v>
      </c>
      <c r="CP134">
        <v>1576.56</v>
      </c>
      <c r="CQ134">
        <v>775</v>
      </c>
      <c r="CR134">
        <v>5139.5</v>
      </c>
      <c r="CS134">
        <v>1578.57</v>
      </c>
      <c r="CT134">
        <v>-2.01</v>
      </c>
      <c r="DH134">
        <f>$B$11*EG134+$C$11*EH134+$F$11*ES134*(1-EV134)</f>
        <v>0</v>
      </c>
      <c r="DI134">
        <f>DH134*DJ134</f>
        <v>0</v>
      </c>
      <c r="DJ134">
        <f>($B$11*$D$9+$C$11*$D$9+$F$11*((FF134+EX134)/MAX(FF134+EX134+FG134, 0.1)*$I$9+FG134/MAX(FF134+EX134+FG134, 0.1)*$J$9))/($B$11+$C$11+$F$11)</f>
        <v>0</v>
      </c>
      <c r="DK134">
        <f>($B$11*$K$9+$C$11*$K$9+$F$11*((FF134+EX134)/MAX(FF134+EX134+FG134, 0.1)*$P$9+FG134/MAX(FF134+EX134+FG134, 0.1)*$Q$9))/($B$11+$C$11+$F$11)</f>
        <v>0</v>
      </c>
      <c r="DL134">
        <v>6</v>
      </c>
      <c r="DM134">
        <v>0.5</v>
      </c>
      <c r="DN134" t="s">
        <v>438</v>
      </c>
      <c r="DO134">
        <v>2</v>
      </c>
      <c r="DP134" t="b">
        <v>1</v>
      </c>
      <c r="DQ134">
        <v>1760991828.84615</v>
      </c>
      <c r="DR134">
        <v>246.287615384615</v>
      </c>
      <c r="DS134">
        <v>234.207692307692</v>
      </c>
      <c r="DT134">
        <v>11.8176076923077</v>
      </c>
      <c r="DU134">
        <v>9.74317538461539</v>
      </c>
      <c r="DV134">
        <v>244.095538461538</v>
      </c>
      <c r="DW134">
        <v>11.9287384615385</v>
      </c>
      <c r="DX134">
        <v>499.989153846154</v>
      </c>
      <c r="DY134">
        <v>89.8323692307692</v>
      </c>
      <c r="DZ134">
        <v>0.00886216769230769</v>
      </c>
      <c r="EA134">
        <v>18.4030769230769</v>
      </c>
      <c r="EB134">
        <v>18.0142076923077</v>
      </c>
      <c r="EC134">
        <v>999.9</v>
      </c>
      <c r="ED134">
        <v>0</v>
      </c>
      <c r="EE134">
        <v>0</v>
      </c>
      <c r="EF134">
        <v>9990.61384615385</v>
      </c>
      <c r="EG134">
        <v>0</v>
      </c>
      <c r="EH134">
        <v>1278.84923076923</v>
      </c>
      <c r="EI134">
        <v>12.0799615384615</v>
      </c>
      <c r="EJ134">
        <v>249.233153846154</v>
      </c>
      <c r="EK134">
        <v>236.512</v>
      </c>
      <c r="EL134">
        <v>2.07443076923077</v>
      </c>
      <c r="EM134">
        <v>234.207692307692</v>
      </c>
      <c r="EN134">
        <v>9.74317538461539</v>
      </c>
      <c r="EO134">
        <v>1.06160307692308</v>
      </c>
      <c r="EP134">
        <v>0.875252461538462</v>
      </c>
      <c r="EQ134">
        <v>7.79044153846154</v>
      </c>
      <c r="ER134">
        <v>4.99013846153846</v>
      </c>
      <c r="ES134">
        <v>1200.01769230769</v>
      </c>
      <c r="ET134">
        <v>0.966990461538461</v>
      </c>
      <c r="EU134">
        <v>0.0330092923076923</v>
      </c>
      <c r="EV134">
        <v>0</v>
      </c>
      <c r="EW134">
        <v>1318.40153846154</v>
      </c>
      <c r="EX134">
        <v>5.00059</v>
      </c>
      <c r="EY134">
        <v>15505.8923076923</v>
      </c>
      <c r="EZ134">
        <v>10358.8538461538</v>
      </c>
      <c r="FA134">
        <v>36.7496923076923</v>
      </c>
      <c r="FB134">
        <v>38.3699230769231</v>
      </c>
      <c r="FC134">
        <v>37.1729230769231</v>
      </c>
      <c r="FD134">
        <v>37.6199230769231</v>
      </c>
      <c r="FE134">
        <v>37.6439230769231</v>
      </c>
      <c r="FF134">
        <v>1155.56769230769</v>
      </c>
      <c r="FG134">
        <v>39.45</v>
      </c>
      <c r="FH134">
        <v>0</v>
      </c>
      <c r="FI134">
        <v>692.600000143051</v>
      </c>
      <c r="FJ134">
        <v>0</v>
      </c>
      <c r="FK134">
        <v>1318.11</v>
      </c>
      <c r="FL134">
        <v>-36.8950427711469</v>
      </c>
      <c r="FM134">
        <v>-459.425641457624</v>
      </c>
      <c r="FN134">
        <v>15502.3461538462</v>
      </c>
      <c r="FO134">
        <v>15</v>
      </c>
      <c r="FP134">
        <v>0</v>
      </c>
      <c r="FQ134" t="s">
        <v>439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11.838819047619</v>
      </c>
      <c r="GD134">
        <v>6.40768051948052</v>
      </c>
      <c r="GE134">
        <v>0.801833063981731</v>
      </c>
      <c r="GF134">
        <v>0</v>
      </c>
      <c r="GG134">
        <v>1319.72970588235</v>
      </c>
      <c r="GH134">
        <v>-33.0546982536177</v>
      </c>
      <c r="GI134">
        <v>3.26515334771326</v>
      </c>
      <c r="GJ134">
        <v>-1</v>
      </c>
      <c r="GK134">
        <v>2.07547476190476</v>
      </c>
      <c r="GL134">
        <v>-0.0391948051948055</v>
      </c>
      <c r="GM134">
        <v>0.00514519250326861</v>
      </c>
      <c r="GN134">
        <v>1</v>
      </c>
      <c r="GO134">
        <v>1</v>
      </c>
      <c r="GP134">
        <v>2</v>
      </c>
      <c r="GQ134" t="s">
        <v>446</v>
      </c>
      <c r="GR134">
        <v>3.13075</v>
      </c>
      <c r="GS134">
        <v>2.68714</v>
      </c>
      <c r="GT134">
        <v>0.0527435</v>
      </c>
      <c r="GU134">
        <v>0.0505318</v>
      </c>
      <c r="GV134">
        <v>0.061684</v>
      </c>
      <c r="GW134">
        <v>0.0530492</v>
      </c>
      <c r="GX134">
        <v>35897.2</v>
      </c>
      <c r="GY134">
        <v>38664.9</v>
      </c>
      <c r="GZ134">
        <v>34264.1</v>
      </c>
      <c r="HA134">
        <v>36848.4</v>
      </c>
      <c r="HB134">
        <v>45345.9</v>
      </c>
      <c r="HC134">
        <v>50028.5</v>
      </c>
      <c r="HD134">
        <v>53337.6</v>
      </c>
      <c r="HE134">
        <v>58775.6</v>
      </c>
      <c r="HF134">
        <v>2.00767</v>
      </c>
      <c r="HG134">
        <v>1.83485</v>
      </c>
      <c r="HH134">
        <v>0.00938773</v>
      </c>
      <c r="HI134">
        <v>0</v>
      </c>
      <c r="HJ134">
        <v>17.8586</v>
      </c>
      <c r="HK134">
        <v>999.9</v>
      </c>
      <c r="HL134">
        <v>27.237</v>
      </c>
      <c r="HM134">
        <v>30.504</v>
      </c>
      <c r="HN134">
        <v>13.2964</v>
      </c>
      <c r="HO134">
        <v>54.7991</v>
      </c>
      <c r="HP134">
        <v>44.5393</v>
      </c>
      <c r="HQ134">
        <v>1</v>
      </c>
      <c r="HR134">
        <v>-0.263897</v>
      </c>
      <c r="HS134">
        <v>4.79052</v>
      </c>
      <c r="HT134">
        <v>20.0711</v>
      </c>
      <c r="HU134">
        <v>5.20187</v>
      </c>
      <c r="HV134">
        <v>12.004</v>
      </c>
      <c r="HW134">
        <v>4.9756</v>
      </c>
      <c r="HX134">
        <v>3.293</v>
      </c>
      <c r="HY134">
        <v>9999</v>
      </c>
      <c r="HZ134">
        <v>999.9</v>
      </c>
      <c r="IA134">
        <v>9999</v>
      </c>
      <c r="IB134">
        <v>9999</v>
      </c>
      <c r="IC134">
        <v>1.86325</v>
      </c>
      <c r="ID134">
        <v>1.86801</v>
      </c>
      <c r="IE134">
        <v>1.86783</v>
      </c>
      <c r="IF134">
        <v>1.86902</v>
      </c>
      <c r="IG134">
        <v>1.86981</v>
      </c>
      <c r="IH134">
        <v>1.86585</v>
      </c>
      <c r="II134">
        <v>1.86692</v>
      </c>
      <c r="IJ134">
        <v>1.86838</v>
      </c>
      <c r="IK134">
        <v>5</v>
      </c>
      <c r="IL134">
        <v>0</v>
      </c>
      <c r="IM134">
        <v>0</v>
      </c>
      <c r="IN134">
        <v>0</v>
      </c>
      <c r="IO134" t="s">
        <v>441</v>
      </c>
      <c r="IP134" t="s">
        <v>442</v>
      </c>
      <c r="IQ134" t="s">
        <v>443</v>
      </c>
      <c r="IR134" t="s">
        <v>443</v>
      </c>
      <c r="IS134" t="s">
        <v>443</v>
      </c>
      <c r="IT134" t="s">
        <v>443</v>
      </c>
      <c r="IU134">
        <v>0</v>
      </c>
      <c r="IV134">
        <v>100</v>
      </c>
      <c r="IW134">
        <v>100</v>
      </c>
      <c r="IX134">
        <v>2.085</v>
      </c>
      <c r="IY134">
        <v>-0.1112</v>
      </c>
      <c r="IZ134">
        <v>1.12474291219083</v>
      </c>
      <c r="JA134">
        <v>0.00463155566490582</v>
      </c>
      <c r="JB134">
        <v>-1.1358998729424e-06</v>
      </c>
      <c r="JC134">
        <v>3.28704272115545e-10</v>
      </c>
      <c r="JD134">
        <v>-0.0704455108513773</v>
      </c>
      <c r="JE134">
        <v>-0.0251928478371425</v>
      </c>
      <c r="JF134">
        <v>0.00225751704194564</v>
      </c>
      <c r="JG134">
        <v>-3.61734043746866e-05</v>
      </c>
      <c r="JH134">
        <v>1</v>
      </c>
      <c r="JI134">
        <v>2182</v>
      </c>
      <c r="JJ134">
        <v>0</v>
      </c>
      <c r="JK134">
        <v>24</v>
      </c>
      <c r="JL134">
        <v>29349863.9</v>
      </c>
      <c r="JM134">
        <v>29349863.9</v>
      </c>
      <c r="JN134">
        <v>0.552979</v>
      </c>
      <c r="JO134">
        <v>2.64893</v>
      </c>
      <c r="JP134">
        <v>1.54785</v>
      </c>
      <c r="JQ134">
        <v>2.31323</v>
      </c>
      <c r="JR134">
        <v>1.64673</v>
      </c>
      <c r="JS134">
        <v>2.30713</v>
      </c>
      <c r="JT134">
        <v>33.7155</v>
      </c>
      <c r="JU134">
        <v>24.1751</v>
      </c>
      <c r="JV134">
        <v>18</v>
      </c>
      <c r="JW134">
        <v>499.956</v>
      </c>
      <c r="JX134">
        <v>392.895</v>
      </c>
      <c r="JY134">
        <v>11.5468</v>
      </c>
      <c r="JZ134">
        <v>23.9531</v>
      </c>
      <c r="KA134">
        <v>30.0001</v>
      </c>
      <c r="KB134">
        <v>23.9203</v>
      </c>
      <c r="KC134">
        <v>23.8853</v>
      </c>
      <c r="KD134">
        <v>11.0371</v>
      </c>
      <c r="KE134">
        <v>12.1265</v>
      </c>
      <c r="KF134">
        <v>27.2762</v>
      </c>
      <c r="KG134">
        <v>11.5278</v>
      </c>
      <c r="KH134">
        <v>183.584</v>
      </c>
      <c r="KI134">
        <v>9.81898</v>
      </c>
      <c r="KJ134">
        <v>97.0377</v>
      </c>
      <c r="KK134">
        <v>95.3019</v>
      </c>
    </row>
    <row r="135" spans="1:297">
      <c r="A135">
        <v>119</v>
      </c>
      <c r="B135">
        <v>1760991842</v>
      </c>
      <c r="C135">
        <v>2651.90000009537</v>
      </c>
      <c r="D135" t="s">
        <v>691</v>
      </c>
      <c r="E135" t="s">
        <v>692</v>
      </c>
      <c r="F135">
        <v>5</v>
      </c>
      <c r="G135" t="s">
        <v>662</v>
      </c>
      <c r="H135" t="s">
        <v>436</v>
      </c>
      <c r="I135">
        <v>1760991833.84615</v>
      </c>
      <c r="J135">
        <f>(K135)/1000</f>
        <v>0</v>
      </c>
      <c r="K135">
        <f>IF(DP135, AN135, AH135)</f>
        <v>0</v>
      </c>
      <c r="L135">
        <f>IF(DP135, AI135, AG135)</f>
        <v>0</v>
      </c>
      <c r="M135">
        <f>DR135 - IF(AU135&gt;1, L135*DL135*100.0/(AW135), 0)</f>
        <v>0</v>
      </c>
      <c r="N135">
        <f>((T135-J135/2)*M135-L135)/(T135+J135/2)</f>
        <v>0</v>
      </c>
      <c r="O135">
        <f>N135*(DY135+DZ135)/1000.0</f>
        <v>0</v>
      </c>
      <c r="P135">
        <f>(DR135 - IF(AU135&gt;1, L135*DL135*100.0/(AW135), 0))*(DY135+DZ135)/1000.0</f>
        <v>0</v>
      </c>
      <c r="Q135">
        <f>2.0/((1/S135-1/R135)+SIGN(S135)*SQRT((1/S135-1/R135)*(1/S135-1/R135) + 4*DM135/((DM135+1)*(DM135+1))*(2*1/S135*1/R135-1/R135*1/R135)))</f>
        <v>0</v>
      </c>
      <c r="R135">
        <f>IF(LEFT(DN135,1)&lt;&gt;"0",IF(LEFT(DN135,1)="1",3.0,DO135),$D$5+$E$5*(EF135*DY135/($K$5*1000))+$F$5*(EF135*DY135/($K$5*1000))*MAX(MIN(DL135,$J$5),$I$5)*MAX(MIN(DL135,$J$5),$I$5)+$G$5*MAX(MIN(DL135,$J$5),$I$5)*(EF135*DY135/($K$5*1000))+$H$5*(EF135*DY135/($K$5*1000))*(EF135*DY135/($K$5*1000)))</f>
        <v>0</v>
      </c>
      <c r="S135">
        <f>J135*(1000-(1000*0.61365*exp(17.502*W135/(240.97+W135))/(DY135+DZ135)+DT135)/2)/(1000*0.61365*exp(17.502*W135/(240.97+W135))/(DY135+DZ135)-DT135)</f>
        <v>0</v>
      </c>
      <c r="T135">
        <f>1/((DM135+1)/(Q135/1.6)+1/(R135/1.37)) + DM135/((DM135+1)/(Q135/1.6) + DM135/(R135/1.37))</f>
        <v>0</v>
      </c>
      <c r="U135">
        <f>(DH135*DK135)</f>
        <v>0</v>
      </c>
      <c r="V135">
        <f>(EA135+(U135+2*0.95*5.67E-8*(((EA135+$B$7)+273)^4-(EA135+273)^4)-44100*J135)/(1.84*29.3*R135+8*0.95*5.67E-8*(EA135+273)^3))</f>
        <v>0</v>
      </c>
      <c r="W135">
        <f>($C$7*EB135+$D$7*EC135+$E$7*V135)</f>
        <v>0</v>
      </c>
      <c r="X135">
        <f>0.61365*exp(17.502*W135/(240.97+W135))</f>
        <v>0</v>
      </c>
      <c r="Y135">
        <f>(Z135/AA135*100)</f>
        <v>0</v>
      </c>
      <c r="Z135">
        <f>DT135*(DY135+DZ135)/1000</f>
        <v>0</v>
      </c>
      <c r="AA135">
        <f>0.61365*exp(17.502*EA135/(240.97+EA135))</f>
        <v>0</v>
      </c>
      <c r="AB135">
        <f>(X135-DT135*(DY135+DZ135)/1000)</f>
        <v>0</v>
      </c>
      <c r="AC135">
        <f>(-J135*44100)</f>
        <v>0</v>
      </c>
      <c r="AD135">
        <f>2*29.3*R135*0.92*(EA135-W135)</f>
        <v>0</v>
      </c>
      <c r="AE135">
        <f>2*0.95*5.67E-8*(((EA135+$B$7)+273)^4-(W135+273)^4)</f>
        <v>0</v>
      </c>
      <c r="AF135">
        <f>U135+AE135+AC135+AD135</f>
        <v>0</v>
      </c>
      <c r="AG135">
        <f>DX135*AU135*(DS135-DR135*(1000-AU135*DU135)/(1000-AU135*DT135))/(100*DL135)</f>
        <v>0</v>
      </c>
      <c r="AH135">
        <f>1000*DX135*AU135*(DT135-DU135)/(100*DL135*(1000-AU135*DT135))</f>
        <v>0</v>
      </c>
      <c r="AI135">
        <f>(AJ135 - AK135 - DY135*1E3/(8.314*(EA135+273.15)) * AM135/DX135 * AL135) * DX135/(100*DL135) * (1000 - DU135)/1000</f>
        <v>0</v>
      </c>
      <c r="AJ135">
        <v>203.672359743611</v>
      </c>
      <c r="AK135">
        <v>209.877812121212</v>
      </c>
      <c r="AL135">
        <v>-3.24901846537773</v>
      </c>
      <c r="AM135">
        <v>65.2210784119795</v>
      </c>
      <c r="AN135">
        <f>(AP135 - AO135 + DY135*1E3/(8.314*(EA135+273.15)) * AR135/DX135 * AQ135) * DX135/(100*DL135) * 1000/(1000 - AP135)</f>
        <v>0</v>
      </c>
      <c r="AO135">
        <v>9.7555602629872</v>
      </c>
      <c r="AP135">
        <v>11.8105690909091</v>
      </c>
      <c r="AQ135">
        <v>-1.20051419790925e-05</v>
      </c>
      <c r="AR135">
        <v>115.574510355221</v>
      </c>
      <c r="AS135">
        <v>0</v>
      </c>
      <c r="AT135">
        <v>0</v>
      </c>
      <c r="AU135">
        <f>IF(AS135*$H$13&gt;=AW135,1.0,(AW135/(AW135-AS135*$H$13)))</f>
        <v>0</v>
      </c>
      <c r="AV135">
        <f>(AU135-1)*100</f>
        <v>0</v>
      </c>
      <c r="AW135">
        <f>MAX(0,($B$13+$C$13*EF135)/(1+$D$13*EF135)*DY135/(EA135+273)*$E$13)</f>
        <v>0</v>
      </c>
      <c r="AX135" t="s">
        <v>437</v>
      </c>
      <c r="AY135" t="s">
        <v>437</v>
      </c>
      <c r="AZ135">
        <v>0</v>
      </c>
      <c r="BA135">
        <v>0</v>
      </c>
      <c r="BB135">
        <f>1-AZ135/BA135</f>
        <v>0</v>
      </c>
      <c r="BC135">
        <v>0</v>
      </c>
      <c r="BD135" t="s">
        <v>437</v>
      </c>
      <c r="BE135" t="s">
        <v>437</v>
      </c>
      <c r="BF135">
        <v>0</v>
      </c>
      <c r="BG135">
        <v>0</v>
      </c>
      <c r="BH135">
        <f>1-BF135/BG135</f>
        <v>0</v>
      </c>
      <c r="BI135">
        <v>0.5</v>
      </c>
      <c r="BJ135">
        <f>DI135</f>
        <v>0</v>
      </c>
      <c r="BK135">
        <f>L135</f>
        <v>0</v>
      </c>
      <c r="BL135">
        <f>BH135*BI135*BJ135</f>
        <v>0</v>
      </c>
      <c r="BM135">
        <f>(BK135-BC135)/BJ135</f>
        <v>0</v>
      </c>
      <c r="BN135">
        <f>(BA135-BG135)/BG135</f>
        <v>0</v>
      </c>
      <c r="BO135">
        <f>AZ135/(BB135+AZ135/BG135)</f>
        <v>0</v>
      </c>
      <c r="BP135" t="s">
        <v>437</v>
      </c>
      <c r="BQ135">
        <v>0</v>
      </c>
      <c r="BR135">
        <f>IF(BQ135&lt;&gt;0, BQ135, BO135)</f>
        <v>0</v>
      </c>
      <c r="BS135">
        <f>1-BR135/BG135</f>
        <v>0</v>
      </c>
      <c r="BT135">
        <f>(BG135-BF135)/(BG135-BR135)</f>
        <v>0</v>
      </c>
      <c r="BU135">
        <f>(BA135-BG135)/(BA135-BR135)</f>
        <v>0</v>
      </c>
      <c r="BV135">
        <f>(BG135-BF135)/(BG135-AZ135)</f>
        <v>0</v>
      </c>
      <c r="BW135">
        <f>(BA135-BG135)/(BA135-AZ135)</f>
        <v>0</v>
      </c>
      <c r="BX135">
        <f>(BT135*BR135/BF135)</f>
        <v>0</v>
      </c>
      <c r="BY135">
        <f>(1-BX135)</f>
        <v>0</v>
      </c>
      <c r="BZ135">
        <v>282</v>
      </c>
      <c r="CA135">
        <v>290</v>
      </c>
      <c r="CB135">
        <v>1577.74</v>
      </c>
      <c r="CC135">
        <v>295</v>
      </c>
      <c r="CD135">
        <v>5140.93</v>
      </c>
      <c r="CE135">
        <v>1578.58</v>
      </c>
      <c r="CF135">
        <v>-0.84</v>
      </c>
      <c r="CG135">
        <v>300</v>
      </c>
      <c r="CH135">
        <v>23.8</v>
      </c>
      <c r="CI135">
        <v>1633.28263291266</v>
      </c>
      <c r="CJ135">
        <v>1.49577129053257</v>
      </c>
      <c r="CK135">
        <v>-28.1203876934379</v>
      </c>
      <c r="CL135">
        <v>0.666413418688897</v>
      </c>
      <c r="CM135">
        <v>0.984518017981194</v>
      </c>
      <c r="CN135">
        <v>-0.00424727541713014</v>
      </c>
      <c r="CO135">
        <v>290</v>
      </c>
      <c r="CP135">
        <v>1576.56</v>
      </c>
      <c r="CQ135">
        <v>775</v>
      </c>
      <c r="CR135">
        <v>5139.5</v>
      </c>
      <c r="CS135">
        <v>1578.57</v>
      </c>
      <c r="CT135">
        <v>-2.01</v>
      </c>
      <c r="DH135">
        <f>$B$11*EG135+$C$11*EH135+$F$11*ES135*(1-EV135)</f>
        <v>0</v>
      </c>
      <c r="DI135">
        <f>DH135*DJ135</f>
        <v>0</v>
      </c>
      <c r="DJ135">
        <f>($B$11*$D$9+$C$11*$D$9+$F$11*((FF135+EX135)/MAX(FF135+EX135+FG135, 0.1)*$I$9+FG135/MAX(FF135+EX135+FG135, 0.1)*$J$9))/($B$11+$C$11+$F$11)</f>
        <v>0</v>
      </c>
      <c r="DK135">
        <f>($B$11*$K$9+$C$11*$K$9+$F$11*((FF135+EX135)/MAX(FF135+EX135+FG135, 0.1)*$P$9+FG135/MAX(FF135+EX135+FG135, 0.1)*$Q$9))/($B$11+$C$11+$F$11)</f>
        <v>0</v>
      </c>
      <c r="DL135">
        <v>6</v>
      </c>
      <c r="DM135">
        <v>0.5</v>
      </c>
      <c r="DN135" t="s">
        <v>438</v>
      </c>
      <c r="DO135">
        <v>2</v>
      </c>
      <c r="DP135" t="b">
        <v>1</v>
      </c>
      <c r="DQ135">
        <v>1760991833.84615</v>
      </c>
      <c r="DR135">
        <v>230.287846153846</v>
      </c>
      <c r="DS135">
        <v>217.370846153846</v>
      </c>
      <c r="DT135">
        <v>11.8140384615385</v>
      </c>
      <c r="DU135">
        <v>9.74573153846154</v>
      </c>
      <c r="DV135">
        <v>228.161923076923</v>
      </c>
      <c r="DW135">
        <v>11.9252153846154</v>
      </c>
      <c r="DX135">
        <v>499.972923076923</v>
      </c>
      <c r="DY135">
        <v>89.8320230769231</v>
      </c>
      <c r="DZ135">
        <v>0.00905261692307692</v>
      </c>
      <c r="EA135">
        <v>18.3951153846154</v>
      </c>
      <c r="EB135">
        <v>18.0123923076923</v>
      </c>
      <c r="EC135">
        <v>999.9</v>
      </c>
      <c r="ED135">
        <v>0</v>
      </c>
      <c r="EE135">
        <v>0</v>
      </c>
      <c r="EF135">
        <v>9997.06</v>
      </c>
      <c r="EG135">
        <v>0</v>
      </c>
      <c r="EH135">
        <v>1278.85923076923</v>
      </c>
      <c r="EI135">
        <v>12.9169846153846</v>
      </c>
      <c r="EJ135">
        <v>233.041153846154</v>
      </c>
      <c r="EK135">
        <v>219.510076923077</v>
      </c>
      <c r="EL135">
        <v>2.06830153846154</v>
      </c>
      <c r="EM135">
        <v>217.370846153846</v>
      </c>
      <c r="EN135">
        <v>9.74573153846154</v>
      </c>
      <c r="EO135">
        <v>1.06127769230769</v>
      </c>
      <c r="EP135">
        <v>0.875478923076923</v>
      </c>
      <c r="EQ135">
        <v>7.78594923076923</v>
      </c>
      <c r="ER135">
        <v>4.99384769230769</v>
      </c>
      <c r="ES135">
        <v>1200.00769230769</v>
      </c>
      <c r="ET135">
        <v>0.966991615384615</v>
      </c>
      <c r="EU135">
        <v>0.0330081230769231</v>
      </c>
      <c r="EV135">
        <v>0</v>
      </c>
      <c r="EW135">
        <v>1314.98692307692</v>
      </c>
      <c r="EX135">
        <v>5.00059</v>
      </c>
      <c r="EY135">
        <v>15463.3769230769</v>
      </c>
      <c r="EZ135">
        <v>10358.7615384615</v>
      </c>
      <c r="FA135">
        <v>36.6969230769231</v>
      </c>
      <c r="FB135">
        <v>38.3171538461538</v>
      </c>
      <c r="FC135">
        <v>37.1199230769231</v>
      </c>
      <c r="FD135">
        <v>37.5719230769231</v>
      </c>
      <c r="FE135">
        <v>37.6054615384615</v>
      </c>
      <c r="FF135">
        <v>1155.56</v>
      </c>
      <c r="FG135">
        <v>39.4476923076923</v>
      </c>
      <c r="FH135">
        <v>0</v>
      </c>
      <c r="FI135">
        <v>698</v>
      </c>
      <c r="FJ135">
        <v>0</v>
      </c>
      <c r="FK135">
        <v>1314.1624</v>
      </c>
      <c r="FL135">
        <v>-46.926923161854</v>
      </c>
      <c r="FM135">
        <v>-567.953847161749</v>
      </c>
      <c r="FN135">
        <v>15453.656</v>
      </c>
      <c r="FO135">
        <v>15</v>
      </c>
      <c r="FP135">
        <v>0</v>
      </c>
      <c r="FQ135" t="s">
        <v>439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12.3411380952381</v>
      </c>
      <c r="GD135">
        <v>7.66164155844155</v>
      </c>
      <c r="GE135">
        <v>0.908425390953877</v>
      </c>
      <c r="GF135">
        <v>0</v>
      </c>
      <c r="GG135">
        <v>1317.16117647059</v>
      </c>
      <c r="GH135">
        <v>-39.1685255943332</v>
      </c>
      <c r="GI135">
        <v>3.87032128526965</v>
      </c>
      <c r="GJ135">
        <v>-1</v>
      </c>
      <c r="GK135">
        <v>2.07288523809524</v>
      </c>
      <c r="GL135">
        <v>-0.0636397402597369</v>
      </c>
      <c r="GM135">
        <v>0.0068758920592151</v>
      </c>
      <c r="GN135">
        <v>1</v>
      </c>
      <c r="GO135">
        <v>1</v>
      </c>
      <c r="GP135">
        <v>2</v>
      </c>
      <c r="GQ135" t="s">
        <v>446</v>
      </c>
      <c r="GR135">
        <v>3.13071</v>
      </c>
      <c r="GS135">
        <v>2.68773</v>
      </c>
      <c r="GT135">
        <v>0.0493403</v>
      </c>
      <c r="GU135">
        <v>0.0469569</v>
      </c>
      <c r="GV135">
        <v>0.0616764</v>
      </c>
      <c r="GW135">
        <v>0.053125</v>
      </c>
      <c r="GX135">
        <v>36026.2</v>
      </c>
      <c r="GY135">
        <v>38810.5</v>
      </c>
      <c r="GZ135">
        <v>34264.1</v>
      </c>
      <c r="HA135">
        <v>36848.3</v>
      </c>
      <c r="HB135">
        <v>45345.6</v>
      </c>
      <c r="HC135">
        <v>50024.2</v>
      </c>
      <c r="HD135">
        <v>53337.3</v>
      </c>
      <c r="HE135">
        <v>58775.9</v>
      </c>
      <c r="HF135">
        <v>2.00787</v>
      </c>
      <c r="HG135">
        <v>1.83503</v>
      </c>
      <c r="HH135">
        <v>0.00851601</v>
      </c>
      <c r="HI135">
        <v>0</v>
      </c>
      <c r="HJ135">
        <v>17.8586</v>
      </c>
      <c r="HK135">
        <v>999.9</v>
      </c>
      <c r="HL135">
        <v>27.213</v>
      </c>
      <c r="HM135">
        <v>30.494</v>
      </c>
      <c r="HN135">
        <v>13.2771</v>
      </c>
      <c r="HO135">
        <v>55.0491</v>
      </c>
      <c r="HP135">
        <v>44.5433</v>
      </c>
      <c r="HQ135">
        <v>1</v>
      </c>
      <c r="HR135">
        <v>-0.26374</v>
      </c>
      <c r="HS135">
        <v>4.82724</v>
      </c>
      <c r="HT135">
        <v>20.0701</v>
      </c>
      <c r="HU135">
        <v>5.19947</v>
      </c>
      <c r="HV135">
        <v>12.004</v>
      </c>
      <c r="HW135">
        <v>4.9756</v>
      </c>
      <c r="HX135">
        <v>3.29298</v>
      </c>
      <c r="HY135">
        <v>9999</v>
      </c>
      <c r="HZ135">
        <v>999.9</v>
      </c>
      <c r="IA135">
        <v>9999</v>
      </c>
      <c r="IB135">
        <v>9999</v>
      </c>
      <c r="IC135">
        <v>1.86325</v>
      </c>
      <c r="ID135">
        <v>1.86805</v>
      </c>
      <c r="IE135">
        <v>1.86783</v>
      </c>
      <c r="IF135">
        <v>1.86904</v>
      </c>
      <c r="IG135">
        <v>1.86981</v>
      </c>
      <c r="IH135">
        <v>1.86584</v>
      </c>
      <c r="II135">
        <v>1.86692</v>
      </c>
      <c r="IJ135">
        <v>1.86838</v>
      </c>
      <c r="IK135">
        <v>5</v>
      </c>
      <c r="IL135">
        <v>0</v>
      </c>
      <c r="IM135">
        <v>0</v>
      </c>
      <c r="IN135">
        <v>0</v>
      </c>
      <c r="IO135" t="s">
        <v>441</v>
      </c>
      <c r="IP135" t="s">
        <v>442</v>
      </c>
      <c r="IQ135" t="s">
        <v>443</v>
      </c>
      <c r="IR135" t="s">
        <v>443</v>
      </c>
      <c r="IS135" t="s">
        <v>443</v>
      </c>
      <c r="IT135" t="s">
        <v>443</v>
      </c>
      <c r="IU135">
        <v>0</v>
      </c>
      <c r="IV135">
        <v>100</v>
      </c>
      <c r="IW135">
        <v>100</v>
      </c>
      <c r="IX135">
        <v>2.017</v>
      </c>
      <c r="IY135">
        <v>-0.1112</v>
      </c>
      <c r="IZ135">
        <v>1.12474291219083</v>
      </c>
      <c r="JA135">
        <v>0.00463155566490582</v>
      </c>
      <c r="JB135">
        <v>-1.1358998729424e-06</v>
      </c>
      <c r="JC135">
        <v>3.28704272115545e-10</v>
      </c>
      <c r="JD135">
        <v>-0.0704455108513773</v>
      </c>
      <c r="JE135">
        <v>-0.0251928478371425</v>
      </c>
      <c r="JF135">
        <v>0.00225751704194564</v>
      </c>
      <c r="JG135">
        <v>-3.61734043746866e-05</v>
      </c>
      <c r="JH135">
        <v>1</v>
      </c>
      <c r="JI135">
        <v>2182</v>
      </c>
      <c r="JJ135">
        <v>0</v>
      </c>
      <c r="JK135">
        <v>24</v>
      </c>
      <c r="JL135">
        <v>29349864</v>
      </c>
      <c r="JM135">
        <v>29349864</v>
      </c>
      <c r="JN135">
        <v>0.52124</v>
      </c>
      <c r="JO135">
        <v>2.65381</v>
      </c>
      <c r="JP135">
        <v>1.54785</v>
      </c>
      <c r="JQ135">
        <v>2.31445</v>
      </c>
      <c r="JR135">
        <v>1.64673</v>
      </c>
      <c r="JS135">
        <v>2.27295</v>
      </c>
      <c r="JT135">
        <v>33.7155</v>
      </c>
      <c r="JU135">
        <v>24.1751</v>
      </c>
      <c r="JV135">
        <v>18</v>
      </c>
      <c r="JW135">
        <v>500.091</v>
      </c>
      <c r="JX135">
        <v>392.995</v>
      </c>
      <c r="JY135">
        <v>11.5322</v>
      </c>
      <c r="JZ135">
        <v>23.9533</v>
      </c>
      <c r="KA135">
        <v>30.0002</v>
      </c>
      <c r="KB135">
        <v>23.921</v>
      </c>
      <c r="KC135">
        <v>23.8864</v>
      </c>
      <c r="KD135">
        <v>10.4053</v>
      </c>
      <c r="KE135">
        <v>12.1265</v>
      </c>
      <c r="KF135">
        <v>27.2762</v>
      </c>
      <c r="KG135">
        <v>11.5219</v>
      </c>
      <c r="KH135">
        <v>163.363</v>
      </c>
      <c r="KI135">
        <v>9.82015</v>
      </c>
      <c r="KJ135">
        <v>97.0373</v>
      </c>
      <c r="KK135">
        <v>95.3021</v>
      </c>
    </row>
    <row r="136" spans="1:297">
      <c r="A136">
        <v>120</v>
      </c>
      <c r="B136">
        <v>1760991847</v>
      </c>
      <c r="C136">
        <v>2656.90000009537</v>
      </c>
      <c r="D136" t="s">
        <v>693</v>
      </c>
      <c r="E136" t="s">
        <v>694</v>
      </c>
      <c r="F136">
        <v>5</v>
      </c>
      <c r="G136" t="s">
        <v>662</v>
      </c>
      <c r="H136" t="s">
        <v>436</v>
      </c>
      <c r="I136">
        <v>1760991838.84615</v>
      </c>
      <c r="J136">
        <f>(K136)/1000</f>
        <v>0</v>
      </c>
      <c r="K136">
        <f>IF(DP136, AN136, AH136)</f>
        <v>0</v>
      </c>
      <c r="L136">
        <f>IF(DP136, AI136, AG136)</f>
        <v>0</v>
      </c>
      <c r="M136">
        <f>DR136 - IF(AU136&gt;1, L136*DL136*100.0/(AW136), 0)</f>
        <v>0</v>
      </c>
      <c r="N136">
        <f>((T136-J136/2)*M136-L136)/(T136+J136/2)</f>
        <v>0</v>
      </c>
      <c r="O136">
        <f>N136*(DY136+DZ136)/1000.0</f>
        <v>0</v>
      </c>
      <c r="P136">
        <f>(DR136 - IF(AU136&gt;1, L136*DL136*100.0/(AW136), 0))*(DY136+DZ136)/1000.0</f>
        <v>0</v>
      </c>
      <c r="Q136">
        <f>2.0/((1/S136-1/R136)+SIGN(S136)*SQRT((1/S136-1/R136)*(1/S136-1/R136) + 4*DM136/((DM136+1)*(DM136+1))*(2*1/S136*1/R136-1/R136*1/R136)))</f>
        <v>0</v>
      </c>
      <c r="R136">
        <f>IF(LEFT(DN136,1)&lt;&gt;"0",IF(LEFT(DN136,1)="1",3.0,DO136),$D$5+$E$5*(EF136*DY136/($K$5*1000))+$F$5*(EF136*DY136/($K$5*1000))*MAX(MIN(DL136,$J$5),$I$5)*MAX(MIN(DL136,$J$5),$I$5)+$G$5*MAX(MIN(DL136,$J$5),$I$5)*(EF136*DY136/($K$5*1000))+$H$5*(EF136*DY136/($K$5*1000))*(EF136*DY136/($K$5*1000)))</f>
        <v>0</v>
      </c>
      <c r="S136">
        <f>J136*(1000-(1000*0.61365*exp(17.502*W136/(240.97+W136))/(DY136+DZ136)+DT136)/2)/(1000*0.61365*exp(17.502*W136/(240.97+W136))/(DY136+DZ136)-DT136)</f>
        <v>0</v>
      </c>
      <c r="T136">
        <f>1/((DM136+1)/(Q136/1.6)+1/(R136/1.37)) + DM136/((DM136+1)/(Q136/1.6) + DM136/(R136/1.37))</f>
        <v>0</v>
      </c>
      <c r="U136">
        <f>(DH136*DK136)</f>
        <v>0</v>
      </c>
      <c r="V136">
        <f>(EA136+(U136+2*0.95*5.67E-8*(((EA136+$B$7)+273)^4-(EA136+273)^4)-44100*J136)/(1.84*29.3*R136+8*0.95*5.67E-8*(EA136+273)^3))</f>
        <v>0</v>
      </c>
      <c r="W136">
        <f>($C$7*EB136+$D$7*EC136+$E$7*V136)</f>
        <v>0</v>
      </c>
      <c r="X136">
        <f>0.61365*exp(17.502*W136/(240.97+W136))</f>
        <v>0</v>
      </c>
      <c r="Y136">
        <f>(Z136/AA136*100)</f>
        <v>0</v>
      </c>
      <c r="Z136">
        <f>DT136*(DY136+DZ136)/1000</f>
        <v>0</v>
      </c>
      <c r="AA136">
        <f>0.61365*exp(17.502*EA136/(240.97+EA136))</f>
        <v>0</v>
      </c>
      <c r="AB136">
        <f>(X136-DT136*(DY136+DZ136)/1000)</f>
        <v>0</v>
      </c>
      <c r="AC136">
        <f>(-J136*44100)</f>
        <v>0</v>
      </c>
      <c r="AD136">
        <f>2*29.3*R136*0.92*(EA136-W136)</f>
        <v>0</v>
      </c>
      <c r="AE136">
        <f>2*0.95*5.67E-8*(((EA136+$B$7)+273)^4-(W136+273)^4)</f>
        <v>0</v>
      </c>
      <c r="AF136">
        <f>U136+AE136+AC136+AD136</f>
        <v>0</v>
      </c>
      <c r="AG136">
        <f>DX136*AU136*(DS136-DR136*(1000-AU136*DU136)/(1000-AU136*DT136))/(100*DL136)</f>
        <v>0</v>
      </c>
      <c r="AH136">
        <f>1000*DX136*AU136*(DT136-DU136)/(100*DL136*(1000-AU136*DT136))</f>
        <v>0</v>
      </c>
      <c r="AI136">
        <f>(AJ136 - AK136 - DY136*1E3/(8.314*(EA136+273.15)) * AM136/DX136 * AL136) * DX136/(100*DL136) * (1000 - DU136)/1000</f>
        <v>0</v>
      </c>
      <c r="AJ136">
        <v>187.267787831338</v>
      </c>
      <c r="AK136">
        <v>194.038193939394</v>
      </c>
      <c r="AL136">
        <v>-3.1512887602654</v>
      </c>
      <c r="AM136">
        <v>65.2210784119795</v>
      </c>
      <c r="AN136">
        <f>(AP136 - AO136 + DY136*1E3/(8.314*(EA136+273.15)) * AR136/DX136 * AQ136) * DX136/(100*DL136) * 1000/(1000 - AP136)</f>
        <v>0</v>
      </c>
      <c r="AO136">
        <v>9.76482777374103</v>
      </c>
      <c r="AP136">
        <v>11.8113872727273</v>
      </c>
      <c r="AQ136">
        <v>1.59701238262702e-07</v>
      </c>
      <c r="AR136">
        <v>115.574510355221</v>
      </c>
      <c r="AS136">
        <v>0</v>
      </c>
      <c r="AT136">
        <v>0</v>
      </c>
      <c r="AU136">
        <f>IF(AS136*$H$13&gt;=AW136,1.0,(AW136/(AW136-AS136*$H$13)))</f>
        <v>0</v>
      </c>
      <c r="AV136">
        <f>(AU136-1)*100</f>
        <v>0</v>
      </c>
      <c r="AW136">
        <f>MAX(0,($B$13+$C$13*EF136)/(1+$D$13*EF136)*DY136/(EA136+273)*$E$13)</f>
        <v>0</v>
      </c>
      <c r="AX136" t="s">
        <v>437</v>
      </c>
      <c r="AY136" t="s">
        <v>437</v>
      </c>
      <c r="AZ136">
        <v>0</v>
      </c>
      <c r="BA136">
        <v>0</v>
      </c>
      <c r="BB136">
        <f>1-AZ136/BA136</f>
        <v>0</v>
      </c>
      <c r="BC136">
        <v>0</v>
      </c>
      <c r="BD136" t="s">
        <v>437</v>
      </c>
      <c r="BE136" t="s">
        <v>437</v>
      </c>
      <c r="BF136">
        <v>0</v>
      </c>
      <c r="BG136">
        <v>0</v>
      </c>
      <c r="BH136">
        <f>1-BF136/BG136</f>
        <v>0</v>
      </c>
      <c r="BI136">
        <v>0.5</v>
      </c>
      <c r="BJ136">
        <f>DI136</f>
        <v>0</v>
      </c>
      <c r="BK136">
        <f>L136</f>
        <v>0</v>
      </c>
      <c r="BL136">
        <f>BH136*BI136*BJ136</f>
        <v>0</v>
      </c>
      <c r="BM136">
        <f>(BK136-BC136)/BJ136</f>
        <v>0</v>
      </c>
      <c r="BN136">
        <f>(BA136-BG136)/BG136</f>
        <v>0</v>
      </c>
      <c r="BO136">
        <f>AZ136/(BB136+AZ136/BG136)</f>
        <v>0</v>
      </c>
      <c r="BP136" t="s">
        <v>437</v>
      </c>
      <c r="BQ136">
        <v>0</v>
      </c>
      <c r="BR136">
        <f>IF(BQ136&lt;&gt;0, BQ136, BO136)</f>
        <v>0</v>
      </c>
      <c r="BS136">
        <f>1-BR136/BG136</f>
        <v>0</v>
      </c>
      <c r="BT136">
        <f>(BG136-BF136)/(BG136-BR136)</f>
        <v>0</v>
      </c>
      <c r="BU136">
        <f>(BA136-BG136)/(BA136-BR136)</f>
        <v>0</v>
      </c>
      <c r="BV136">
        <f>(BG136-BF136)/(BG136-AZ136)</f>
        <v>0</v>
      </c>
      <c r="BW136">
        <f>(BA136-BG136)/(BA136-AZ136)</f>
        <v>0</v>
      </c>
      <c r="BX136">
        <f>(BT136*BR136/BF136)</f>
        <v>0</v>
      </c>
      <c r="BY136">
        <f>(1-BX136)</f>
        <v>0</v>
      </c>
      <c r="BZ136">
        <v>282</v>
      </c>
      <c r="CA136">
        <v>290</v>
      </c>
      <c r="CB136">
        <v>1577.74</v>
      </c>
      <c r="CC136">
        <v>295</v>
      </c>
      <c r="CD136">
        <v>5140.93</v>
      </c>
      <c r="CE136">
        <v>1578.58</v>
      </c>
      <c r="CF136">
        <v>-0.84</v>
      </c>
      <c r="CG136">
        <v>300</v>
      </c>
      <c r="CH136">
        <v>23.8</v>
      </c>
      <c r="CI136">
        <v>1633.28263291266</v>
      </c>
      <c r="CJ136">
        <v>1.49577129053257</v>
      </c>
      <c r="CK136">
        <v>-28.1203876934379</v>
      </c>
      <c r="CL136">
        <v>0.666413418688897</v>
      </c>
      <c r="CM136">
        <v>0.984518017981194</v>
      </c>
      <c r="CN136">
        <v>-0.00424727541713014</v>
      </c>
      <c r="CO136">
        <v>290</v>
      </c>
      <c r="CP136">
        <v>1576.56</v>
      </c>
      <c r="CQ136">
        <v>775</v>
      </c>
      <c r="CR136">
        <v>5139.5</v>
      </c>
      <c r="CS136">
        <v>1578.57</v>
      </c>
      <c r="CT136">
        <v>-2.01</v>
      </c>
      <c r="DH136">
        <f>$B$11*EG136+$C$11*EH136+$F$11*ES136*(1-EV136)</f>
        <v>0</v>
      </c>
      <c r="DI136">
        <f>DH136*DJ136</f>
        <v>0</v>
      </c>
      <c r="DJ136">
        <f>($B$11*$D$9+$C$11*$D$9+$F$11*((FF136+EX136)/MAX(FF136+EX136+FG136, 0.1)*$I$9+FG136/MAX(FF136+EX136+FG136, 0.1)*$J$9))/($B$11+$C$11+$F$11)</f>
        <v>0</v>
      </c>
      <c r="DK136">
        <f>($B$11*$K$9+$C$11*$K$9+$F$11*((FF136+EX136)/MAX(FF136+EX136+FG136, 0.1)*$P$9+FG136/MAX(FF136+EX136+FG136, 0.1)*$Q$9))/($B$11+$C$11+$F$11)</f>
        <v>0</v>
      </c>
      <c r="DL136">
        <v>6</v>
      </c>
      <c r="DM136">
        <v>0.5</v>
      </c>
      <c r="DN136" t="s">
        <v>438</v>
      </c>
      <c r="DO136">
        <v>2</v>
      </c>
      <c r="DP136" t="b">
        <v>1</v>
      </c>
      <c r="DQ136">
        <v>1760991838.84615</v>
      </c>
      <c r="DR136">
        <v>214.313615384615</v>
      </c>
      <c r="DS136">
        <v>200.989769230769</v>
      </c>
      <c r="DT136">
        <v>11.8120230769231</v>
      </c>
      <c r="DU136">
        <v>9.75300076923077</v>
      </c>
      <c r="DV136">
        <v>212.254153846154</v>
      </c>
      <c r="DW136">
        <v>11.9232153846154</v>
      </c>
      <c r="DX136">
        <v>499.979307692308</v>
      </c>
      <c r="DY136">
        <v>89.8308615384615</v>
      </c>
      <c r="DZ136">
        <v>0.00936610615384615</v>
      </c>
      <c r="EA136">
        <v>18.3890076923077</v>
      </c>
      <c r="EB136">
        <v>18.0077615384615</v>
      </c>
      <c r="EC136">
        <v>999.9</v>
      </c>
      <c r="ED136">
        <v>0</v>
      </c>
      <c r="EE136">
        <v>0</v>
      </c>
      <c r="EF136">
        <v>9993.08307692307</v>
      </c>
      <c r="EG136">
        <v>0</v>
      </c>
      <c r="EH136">
        <v>1278.85384615385</v>
      </c>
      <c r="EI136">
        <v>13.3237923076923</v>
      </c>
      <c r="EJ136">
        <v>216.875461538462</v>
      </c>
      <c r="EK136">
        <v>202.969230769231</v>
      </c>
      <c r="EL136">
        <v>2.05900923076923</v>
      </c>
      <c r="EM136">
        <v>200.989769230769</v>
      </c>
      <c r="EN136">
        <v>9.75300076923077</v>
      </c>
      <c r="EO136">
        <v>1.06108230769231</v>
      </c>
      <c r="EP136">
        <v>0.876120692307692</v>
      </c>
      <c r="EQ136">
        <v>7.78324769230769</v>
      </c>
      <c r="ER136">
        <v>5.00435615384615</v>
      </c>
      <c r="ES136">
        <v>1199.94384615385</v>
      </c>
      <c r="ET136">
        <v>0.966993230769231</v>
      </c>
      <c r="EU136">
        <v>0.0330064307692308</v>
      </c>
      <c r="EV136">
        <v>0</v>
      </c>
      <c r="EW136">
        <v>1310.84923076923</v>
      </c>
      <c r="EX136">
        <v>5.00059</v>
      </c>
      <c r="EY136">
        <v>15412.0615384615</v>
      </c>
      <c r="EZ136">
        <v>10358.2153846154</v>
      </c>
      <c r="FA136">
        <v>36.6536153846154</v>
      </c>
      <c r="FB136">
        <v>38.2786923076923</v>
      </c>
      <c r="FC136">
        <v>37.0766923076923</v>
      </c>
      <c r="FD136">
        <v>37.5237692307692</v>
      </c>
      <c r="FE136">
        <v>37.5574615384615</v>
      </c>
      <c r="FF136">
        <v>1155.50076923077</v>
      </c>
      <c r="FG136">
        <v>39.4430769230769</v>
      </c>
      <c r="FH136">
        <v>0</v>
      </c>
      <c r="FI136">
        <v>702.800000190735</v>
      </c>
      <c r="FJ136">
        <v>0</v>
      </c>
      <c r="FK136">
        <v>1310.1084</v>
      </c>
      <c r="FL136">
        <v>-54.3446153262738</v>
      </c>
      <c r="FM136">
        <v>-673.576922135493</v>
      </c>
      <c r="FN136">
        <v>15403.828</v>
      </c>
      <c r="FO136">
        <v>15</v>
      </c>
      <c r="FP136">
        <v>0</v>
      </c>
      <c r="FQ136" t="s">
        <v>439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13.1069761904762</v>
      </c>
      <c r="GD136">
        <v>6.00805714285715</v>
      </c>
      <c r="GE136">
        <v>0.716275784148058</v>
      </c>
      <c r="GF136">
        <v>0</v>
      </c>
      <c r="GG136">
        <v>1312.75941176471</v>
      </c>
      <c r="GH136">
        <v>-48.9145912944172</v>
      </c>
      <c r="GI136">
        <v>4.82190951996045</v>
      </c>
      <c r="GJ136">
        <v>-1</v>
      </c>
      <c r="GK136">
        <v>2.06376428571429</v>
      </c>
      <c r="GL136">
        <v>-0.106411948051947</v>
      </c>
      <c r="GM136">
        <v>0.0112155141577696</v>
      </c>
      <c r="GN136">
        <v>0</v>
      </c>
      <c r="GO136">
        <v>0</v>
      </c>
      <c r="GP136">
        <v>2</v>
      </c>
      <c r="GQ136" t="s">
        <v>519</v>
      </c>
      <c r="GR136">
        <v>3.13097</v>
      </c>
      <c r="GS136">
        <v>2.68752</v>
      </c>
      <c r="GT136">
        <v>0.0459557</v>
      </c>
      <c r="GU136">
        <v>0.0432475</v>
      </c>
      <c r="GV136">
        <v>0.0616782</v>
      </c>
      <c r="GW136">
        <v>0.0531311</v>
      </c>
      <c r="GX136">
        <v>36154.4</v>
      </c>
      <c r="GY136">
        <v>38961.5</v>
      </c>
      <c r="GZ136">
        <v>34264</v>
      </c>
      <c r="HA136">
        <v>36848.2</v>
      </c>
      <c r="HB136">
        <v>45345.3</v>
      </c>
      <c r="HC136">
        <v>50023.4</v>
      </c>
      <c r="HD136">
        <v>53337.5</v>
      </c>
      <c r="HE136">
        <v>58775.9</v>
      </c>
      <c r="HF136">
        <v>2.00785</v>
      </c>
      <c r="HG136">
        <v>1.83425</v>
      </c>
      <c r="HH136">
        <v>0.00827014</v>
      </c>
      <c r="HI136">
        <v>0</v>
      </c>
      <c r="HJ136">
        <v>17.8586</v>
      </c>
      <c r="HK136">
        <v>999.9</v>
      </c>
      <c r="HL136">
        <v>27.213</v>
      </c>
      <c r="HM136">
        <v>30.504</v>
      </c>
      <c r="HN136">
        <v>13.2851</v>
      </c>
      <c r="HO136">
        <v>54.5791</v>
      </c>
      <c r="HP136">
        <v>44.4071</v>
      </c>
      <c r="HQ136">
        <v>1</v>
      </c>
      <c r="HR136">
        <v>-0.263702</v>
      </c>
      <c r="HS136">
        <v>4.79653</v>
      </c>
      <c r="HT136">
        <v>20.0712</v>
      </c>
      <c r="HU136">
        <v>5.19992</v>
      </c>
      <c r="HV136">
        <v>12.004</v>
      </c>
      <c r="HW136">
        <v>4.9757</v>
      </c>
      <c r="HX136">
        <v>3.29305</v>
      </c>
      <c r="HY136">
        <v>9999</v>
      </c>
      <c r="HZ136">
        <v>999.9</v>
      </c>
      <c r="IA136">
        <v>9999</v>
      </c>
      <c r="IB136">
        <v>9999</v>
      </c>
      <c r="IC136">
        <v>1.86325</v>
      </c>
      <c r="ID136">
        <v>1.86808</v>
      </c>
      <c r="IE136">
        <v>1.86783</v>
      </c>
      <c r="IF136">
        <v>1.86904</v>
      </c>
      <c r="IG136">
        <v>1.86981</v>
      </c>
      <c r="IH136">
        <v>1.86586</v>
      </c>
      <c r="II136">
        <v>1.86693</v>
      </c>
      <c r="IJ136">
        <v>1.86842</v>
      </c>
      <c r="IK136">
        <v>5</v>
      </c>
      <c r="IL136">
        <v>0</v>
      </c>
      <c r="IM136">
        <v>0</v>
      </c>
      <c r="IN136">
        <v>0</v>
      </c>
      <c r="IO136" t="s">
        <v>441</v>
      </c>
      <c r="IP136" t="s">
        <v>442</v>
      </c>
      <c r="IQ136" t="s">
        <v>443</v>
      </c>
      <c r="IR136" t="s">
        <v>443</v>
      </c>
      <c r="IS136" t="s">
        <v>443</v>
      </c>
      <c r="IT136" t="s">
        <v>443</v>
      </c>
      <c r="IU136">
        <v>0</v>
      </c>
      <c r="IV136">
        <v>100</v>
      </c>
      <c r="IW136">
        <v>100</v>
      </c>
      <c r="IX136">
        <v>1.951</v>
      </c>
      <c r="IY136">
        <v>-0.1112</v>
      </c>
      <c r="IZ136">
        <v>1.12474291219083</v>
      </c>
      <c r="JA136">
        <v>0.00463155566490582</v>
      </c>
      <c r="JB136">
        <v>-1.1358998729424e-06</v>
      </c>
      <c r="JC136">
        <v>3.28704272115545e-10</v>
      </c>
      <c r="JD136">
        <v>-0.0704455108513773</v>
      </c>
      <c r="JE136">
        <v>-0.0251928478371425</v>
      </c>
      <c r="JF136">
        <v>0.00225751704194564</v>
      </c>
      <c r="JG136">
        <v>-3.61734043746866e-05</v>
      </c>
      <c r="JH136">
        <v>1</v>
      </c>
      <c r="JI136">
        <v>2182</v>
      </c>
      <c r="JJ136">
        <v>0</v>
      </c>
      <c r="JK136">
        <v>24</v>
      </c>
      <c r="JL136">
        <v>29349864.1</v>
      </c>
      <c r="JM136">
        <v>29349864.1</v>
      </c>
      <c r="JN136">
        <v>0.484619</v>
      </c>
      <c r="JO136">
        <v>2.65503</v>
      </c>
      <c r="JP136">
        <v>1.54785</v>
      </c>
      <c r="JQ136">
        <v>2.31323</v>
      </c>
      <c r="JR136">
        <v>1.64673</v>
      </c>
      <c r="JS136">
        <v>2.27051</v>
      </c>
      <c r="JT136">
        <v>33.7155</v>
      </c>
      <c r="JU136">
        <v>24.1751</v>
      </c>
      <c r="JV136">
        <v>18</v>
      </c>
      <c r="JW136">
        <v>500.092</v>
      </c>
      <c r="JX136">
        <v>392.595</v>
      </c>
      <c r="JY136">
        <v>11.5194</v>
      </c>
      <c r="JZ136">
        <v>23.9551</v>
      </c>
      <c r="KA136">
        <v>30.0002</v>
      </c>
      <c r="KB136">
        <v>23.9227</v>
      </c>
      <c r="KC136">
        <v>23.8873</v>
      </c>
      <c r="KD136">
        <v>9.662</v>
      </c>
      <c r="KE136">
        <v>12.1265</v>
      </c>
      <c r="KF136">
        <v>27.2762</v>
      </c>
      <c r="KG136">
        <v>11.551</v>
      </c>
      <c r="KH136">
        <v>149.834</v>
      </c>
      <c r="KI136">
        <v>9.82487</v>
      </c>
      <c r="KJ136">
        <v>97.0374</v>
      </c>
      <c r="KK136">
        <v>95.302</v>
      </c>
    </row>
    <row r="137" spans="1:297">
      <c r="A137">
        <v>121</v>
      </c>
      <c r="B137">
        <v>1760991852</v>
      </c>
      <c r="C137">
        <v>2661.90000009537</v>
      </c>
      <c r="D137" t="s">
        <v>695</v>
      </c>
      <c r="E137" t="s">
        <v>696</v>
      </c>
      <c r="F137">
        <v>5</v>
      </c>
      <c r="G137" t="s">
        <v>662</v>
      </c>
      <c r="H137" t="s">
        <v>436</v>
      </c>
      <c r="I137">
        <v>1760991843.84615</v>
      </c>
      <c r="J137">
        <f>(K137)/1000</f>
        <v>0</v>
      </c>
      <c r="K137">
        <f>IF(DP137, AN137, AH137)</f>
        <v>0</v>
      </c>
      <c r="L137">
        <f>IF(DP137, AI137, AG137)</f>
        <v>0</v>
      </c>
      <c r="M137">
        <f>DR137 - IF(AU137&gt;1, L137*DL137*100.0/(AW137), 0)</f>
        <v>0</v>
      </c>
      <c r="N137">
        <f>((T137-J137/2)*M137-L137)/(T137+J137/2)</f>
        <v>0</v>
      </c>
      <c r="O137">
        <f>N137*(DY137+DZ137)/1000.0</f>
        <v>0</v>
      </c>
      <c r="P137">
        <f>(DR137 - IF(AU137&gt;1, L137*DL137*100.0/(AW137), 0))*(DY137+DZ137)/1000.0</f>
        <v>0</v>
      </c>
      <c r="Q137">
        <f>2.0/((1/S137-1/R137)+SIGN(S137)*SQRT((1/S137-1/R137)*(1/S137-1/R137) + 4*DM137/((DM137+1)*(DM137+1))*(2*1/S137*1/R137-1/R137*1/R137)))</f>
        <v>0</v>
      </c>
      <c r="R137">
        <f>IF(LEFT(DN137,1)&lt;&gt;"0",IF(LEFT(DN137,1)="1",3.0,DO137),$D$5+$E$5*(EF137*DY137/($K$5*1000))+$F$5*(EF137*DY137/($K$5*1000))*MAX(MIN(DL137,$J$5),$I$5)*MAX(MIN(DL137,$J$5),$I$5)+$G$5*MAX(MIN(DL137,$J$5),$I$5)*(EF137*DY137/($K$5*1000))+$H$5*(EF137*DY137/($K$5*1000))*(EF137*DY137/($K$5*1000)))</f>
        <v>0</v>
      </c>
      <c r="S137">
        <f>J137*(1000-(1000*0.61365*exp(17.502*W137/(240.97+W137))/(DY137+DZ137)+DT137)/2)/(1000*0.61365*exp(17.502*W137/(240.97+W137))/(DY137+DZ137)-DT137)</f>
        <v>0</v>
      </c>
      <c r="T137">
        <f>1/((DM137+1)/(Q137/1.6)+1/(R137/1.37)) + DM137/((DM137+1)/(Q137/1.6) + DM137/(R137/1.37))</f>
        <v>0</v>
      </c>
      <c r="U137">
        <f>(DH137*DK137)</f>
        <v>0</v>
      </c>
      <c r="V137">
        <f>(EA137+(U137+2*0.95*5.67E-8*(((EA137+$B$7)+273)^4-(EA137+273)^4)-44100*J137)/(1.84*29.3*R137+8*0.95*5.67E-8*(EA137+273)^3))</f>
        <v>0</v>
      </c>
      <c r="W137">
        <f>($C$7*EB137+$D$7*EC137+$E$7*V137)</f>
        <v>0</v>
      </c>
      <c r="X137">
        <f>0.61365*exp(17.502*W137/(240.97+W137))</f>
        <v>0</v>
      </c>
      <c r="Y137">
        <f>(Z137/AA137*100)</f>
        <v>0</v>
      </c>
      <c r="Z137">
        <f>DT137*(DY137+DZ137)/1000</f>
        <v>0</v>
      </c>
      <c r="AA137">
        <f>0.61365*exp(17.502*EA137/(240.97+EA137))</f>
        <v>0</v>
      </c>
      <c r="AB137">
        <f>(X137-DT137*(DY137+DZ137)/1000)</f>
        <v>0</v>
      </c>
      <c r="AC137">
        <f>(-J137*44100)</f>
        <v>0</v>
      </c>
      <c r="AD137">
        <f>2*29.3*R137*0.92*(EA137-W137)</f>
        <v>0</v>
      </c>
      <c r="AE137">
        <f>2*0.95*5.67E-8*(((EA137+$B$7)+273)^4-(W137+273)^4)</f>
        <v>0</v>
      </c>
      <c r="AF137">
        <f>U137+AE137+AC137+AD137</f>
        <v>0</v>
      </c>
      <c r="AG137">
        <f>DX137*AU137*(DS137-DR137*(1000-AU137*DU137)/(1000-AU137*DT137))/(100*DL137)</f>
        <v>0</v>
      </c>
      <c r="AH137">
        <f>1000*DX137*AU137*(DT137-DU137)/(100*DL137*(1000-AU137*DT137))</f>
        <v>0</v>
      </c>
      <c r="AI137">
        <f>(AJ137 - AK137 - DY137*1E3/(8.314*(EA137+273.15)) * AM137/DX137 * AL137) * DX137/(100*DL137) * (1000 - DU137)/1000</f>
        <v>0</v>
      </c>
      <c r="AJ137">
        <v>170.203192400537</v>
      </c>
      <c r="AK137">
        <v>177.852860606061</v>
      </c>
      <c r="AL137">
        <v>-3.24186670993174</v>
      </c>
      <c r="AM137">
        <v>65.2210784119795</v>
      </c>
      <c r="AN137">
        <f>(AP137 - AO137 + DY137*1E3/(8.314*(EA137+273.15)) * AR137/DX137 * AQ137) * DX137/(100*DL137) * 1000/(1000 - AP137)</f>
        <v>0</v>
      </c>
      <c r="AO137">
        <v>9.7604138974366</v>
      </c>
      <c r="AP137">
        <v>11.8112672727273</v>
      </c>
      <c r="AQ137">
        <v>1.30638606796943e-07</v>
      </c>
      <c r="AR137">
        <v>115.574510355221</v>
      </c>
      <c r="AS137">
        <v>0</v>
      </c>
      <c r="AT137">
        <v>0</v>
      </c>
      <c r="AU137">
        <f>IF(AS137*$H$13&gt;=AW137,1.0,(AW137/(AW137-AS137*$H$13)))</f>
        <v>0</v>
      </c>
      <c r="AV137">
        <f>(AU137-1)*100</f>
        <v>0</v>
      </c>
      <c r="AW137">
        <f>MAX(0,($B$13+$C$13*EF137)/(1+$D$13*EF137)*DY137/(EA137+273)*$E$13)</f>
        <v>0</v>
      </c>
      <c r="AX137" t="s">
        <v>437</v>
      </c>
      <c r="AY137" t="s">
        <v>437</v>
      </c>
      <c r="AZ137">
        <v>0</v>
      </c>
      <c r="BA137">
        <v>0</v>
      </c>
      <c r="BB137">
        <f>1-AZ137/BA137</f>
        <v>0</v>
      </c>
      <c r="BC137">
        <v>0</v>
      </c>
      <c r="BD137" t="s">
        <v>437</v>
      </c>
      <c r="BE137" t="s">
        <v>437</v>
      </c>
      <c r="BF137">
        <v>0</v>
      </c>
      <c r="BG137">
        <v>0</v>
      </c>
      <c r="BH137">
        <f>1-BF137/BG137</f>
        <v>0</v>
      </c>
      <c r="BI137">
        <v>0.5</v>
      </c>
      <c r="BJ137">
        <f>DI137</f>
        <v>0</v>
      </c>
      <c r="BK137">
        <f>L137</f>
        <v>0</v>
      </c>
      <c r="BL137">
        <f>BH137*BI137*BJ137</f>
        <v>0</v>
      </c>
      <c r="BM137">
        <f>(BK137-BC137)/BJ137</f>
        <v>0</v>
      </c>
      <c r="BN137">
        <f>(BA137-BG137)/BG137</f>
        <v>0</v>
      </c>
      <c r="BO137">
        <f>AZ137/(BB137+AZ137/BG137)</f>
        <v>0</v>
      </c>
      <c r="BP137" t="s">
        <v>437</v>
      </c>
      <c r="BQ137">
        <v>0</v>
      </c>
      <c r="BR137">
        <f>IF(BQ137&lt;&gt;0, BQ137, BO137)</f>
        <v>0</v>
      </c>
      <c r="BS137">
        <f>1-BR137/BG137</f>
        <v>0</v>
      </c>
      <c r="BT137">
        <f>(BG137-BF137)/(BG137-BR137)</f>
        <v>0</v>
      </c>
      <c r="BU137">
        <f>(BA137-BG137)/(BA137-BR137)</f>
        <v>0</v>
      </c>
      <c r="BV137">
        <f>(BG137-BF137)/(BG137-AZ137)</f>
        <v>0</v>
      </c>
      <c r="BW137">
        <f>(BA137-BG137)/(BA137-AZ137)</f>
        <v>0</v>
      </c>
      <c r="BX137">
        <f>(BT137*BR137/BF137)</f>
        <v>0</v>
      </c>
      <c r="BY137">
        <f>(1-BX137)</f>
        <v>0</v>
      </c>
      <c r="BZ137">
        <v>282</v>
      </c>
      <c r="CA137">
        <v>290</v>
      </c>
      <c r="CB137">
        <v>1577.74</v>
      </c>
      <c r="CC137">
        <v>295</v>
      </c>
      <c r="CD137">
        <v>5140.93</v>
      </c>
      <c r="CE137">
        <v>1578.58</v>
      </c>
      <c r="CF137">
        <v>-0.84</v>
      </c>
      <c r="CG137">
        <v>300</v>
      </c>
      <c r="CH137">
        <v>23.8</v>
      </c>
      <c r="CI137">
        <v>1633.28263291266</v>
      </c>
      <c r="CJ137">
        <v>1.49577129053257</v>
      </c>
      <c r="CK137">
        <v>-28.1203876934379</v>
      </c>
      <c r="CL137">
        <v>0.666413418688897</v>
      </c>
      <c r="CM137">
        <v>0.984518017981194</v>
      </c>
      <c r="CN137">
        <v>-0.00424727541713014</v>
      </c>
      <c r="CO137">
        <v>290</v>
      </c>
      <c r="CP137">
        <v>1576.56</v>
      </c>
      <c r="CQ137">
        <v>775</v>
      </c>
      <c r="CR137">
        <v>5139.5</v>
      </c>
      <c r="CS137">
        <v>1578.57</v>
      </c>
      <c r="CT137">
        <v>-2.01</v>
      </c>
      <c r="DH137">
        <f>$B$11*EG137+$C$11*EH137+$F$11*ES137*(1-EV137)</f>
        <v>0</v>
      </c>
      <c r="DI137">
        <f>DH137*DJ137</f>
        <v>0</v>
      </c>
      <c r="DJ137">
        <f>($B$11*$D$9+$C$11*$D$9+$F$11*((FF137+EX137)/MAX(FF137+EX137+FG137, 0.1)*$I$9+FG137/MAX(FF137+EX137+FG137, 0.1)*$J$9))/($B$11+$C$11+$F$11)</f>
        <v>0</v>
      </c>
      <c r="DK137">
        <f>($B$11*$K$9+$C$11*$K$9+$F$11*((FF137+EX137)/MAX(FF137+EX137+FG137, 0.1)*$P$9+FG137/MAX(FF137+EX137+FG137, 0.1)*$Q$9))/($B$11+$C$11+$F$11)</f>
        <v>0</v>
      </c>
      <c r="DL137">
        <v>6</v>
      </c>
      <c r="DM137">
        <v>0.5</v>
      </c>
      <c r="DN137" t="s">
        <v>438</v>
      </c>
      <c r="DO137">
        <v>2</v>
      </c>
      <c r="DP137" t="b">
        <v>1</v>
      </c>
      <c r="DQ137">
        <v>1760991843.84615</v>
      </c>
      <c r="DR137">
        <v>198.475538461538</v>
      </c>
      <c r="DS137">
        <v>184.317</v>
      </c>
      <c r="DT137">
        <v>11.8113076923077</v>
      </c>
      <c r="DU137">
        <v>9.75785076923077</v>
      </c>
      <c r="DV137">
        <v>196.482307692308</v>
      </c>
      <c r="DW137">
        <v>11.9225076923077</v>
      </c>
      <c r="DX137">
        <v>500.019615384615</v>
      </c>
      <c r="DY137">
        <v>89.83</v>
      </c>
      <c r="DZ137">
        <v>0.00929691923076923</v>
      </c>
      <c r="EA137">
        <v>18.3859461538461</v>
      </c>
      <c r="EB137">
        <v>18.0010230769231</v>
      </c>
      <c r="EC137">
        <v>999.9</v>
      </c>
      <c r="ED137">
        <v>0</v>
      </c>
      <c r="EE137">
        <v>0</v>
      </c>
      <c r="EF137">
        <v>10006.7446153846</v>
      </c>
      <c r="EG137">
        <v>0</v>
      </c>
      <c r="EH137">
        <v>1278.84846153846</v>
      </c>
      <c r="EI137">
        <v>14.1584384615385</v>
      </c>
      <c r="EJ137">
        <v>200.847846153846</v>
      </c>
      <c r="EK137">
        <v>186.133307692308</v>
      </c>
      <c r="EL137">
        <v>2.05344307692308</v>
      </c>
      <c r="EM137">
        <v>184.317</v>
      </c>
      <c r="EN137">
        <v>9.75785076923077</v>
      </c>
      <c r="EO137">
        <v>1.06100769230769</v>
      </c>
      <c r="EP137">
        <v>0.876548</v>
      </c>
      <c r="EQ137">
        <v>7.78221615384615</v>
      </c>
      <c r="ER137">
        <v>5.01135076923077</v>
      </c>
      <c r="ES137">
        <v>1199.95769230769</v>
      </c>
      <c r="ET137">
        <v>0.966993307692308</v>
      </c>
      <c r="EU137">
        <v>0.0330064076923077</v>
      </c>
      <c r="EV137">
        <v>0</v>
      </c>
      <c r="EW137">
        <v>1305.97846153846</v>
      </c>
      <c r="EX137">
        <v>5.00059</v>
      </c>
      <c r="EY137">
        <v>15352.9538461538</v>
      </c>
      <c r="EZ137">
        <v>10358.3230769231</v>
      </c>
      <c r="FA137">
        <v>36.6103076923077</v>
      </c>
      <c r="FB137">
        <v>38.2402307692308</v>
      </c>
      <c r="FC137">
        <v>37.0382307692308</v>
      </c>
      <c r="FD137">
        <v>37.4804615384615</v>
      </c>
      <c r="FE137">
        <v>37.519</v>
      </c>
      <c r="FF137">
        <v>1155.51461538462</v>
      </c>
      <c r="FG137">
        <v>39.4430769230769</v>
      </c>
      <c r="FH137">
        <v>0</v>
      </c>
      <c r="FI137">
        <v>707.600000143051</v>
      </c>
      <c r="FJ137">
        <v>0</v>
      </c>
      <c r="FK137">
        <v>1305.364</v>
      </c>
      <c r="FL137">
        <v>-63.7607692464786</v>
      </c>
      <c r="FM137">
        <v>-776.023076876617</v>
      </c>
      <c r="FN137">
        <v>15345.736</v>
      </c>
      <c r="FO137">
        <v>15</v>
      </c>
      <c r="FP137">
        <v>0</v>
      </c>
      <c r="FQ137" t="s">
        <v>439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13.751445</v>
      </c>
      <c r="GD137">
        <v>9.59958045112781</v>
      </c>
      <c r="GE137">
        <v>0.969793631385049</v>
      </c>
      <c r="GF137">
        <v>0</v>
      </c>
      <c r="GG137">
        <v>1308.46882352941</v>
      </c>
      <c r="GH137">
        <v>-57.7063407494566</v>
      </c>
      <c r="GI137">
        <v>5.68380918497543</v>
      </c>
      <c r="GJ137">
        <v>-1</v>
      </c>
      <c r="GK137">
        <v>2.056435</v>
      </c>
      <c r="GL137">
        <v>-0.0805010526315806</v>
      </c>
      <c r="GM137">
        <v>0.00893413258240552</v>
      </c>
      <c r="GN137">
        <v>1</v>
      </c>
      <c r="GO137">
        <v>1</v>
      </c>
      <c r="GP137">
        <v>2</v>
      </c>
      <c r="GQ137" t="s">
        <v>446</v>
      </c>
      <c r="GR137">
        <v>3.13091</v>
      </c>
      <c r="GS137">
        <v>2.68647</v>
      </c>
      <c r="GT137">
        <v>0.0424212</v>
      </c>
      <c r="GU137">
        <v>0.0395718</v>
      </c>
      <c r="GV137">
        <v>0.06168</v>
      </c>
      <c r="GW137">
        <v>0.0531144</v>
      </c>
      <c r="GX137">
        <v>36288.6</v>
      </c>
      <c r="GY137">
        <v>39111.1</v>
      </c>
      <c r="GZ137">
        <v>34264.1</v>
      </c>
      <c r="HA137">
        <v>36848.1</v>
      </c>
      <c r="HB137">
        <v>45344.8</v>
      </c>
      <c r="HC137">
        <v>50023.8</v>
      </c>
      <c r="HD137">
        <v>53337.4</v>
      </c>
      <c r="HE137">
        <v>58775.8</v>
      </c>
      <c r="HF137">
        <v>2.0078</v>
      </c>
      <c r="HG137">
        <v>1.83412</v>
      </c>
      <c r="HH137">
        <v>0.00822544</v>
      </c>
      <c r="HI137">
        <v>0</v>
      </c>
      <c r="HJ137">
        <v>17.8586</v>
      </c>
      <c r="HK137">
        <v>999.9</v>
      </c>
      <c r="HL137">
        <v>27.213</v>
      </c>
      <c r="HM137">
        <v>30.504</v>
      </c>
      <c r="HN137">
        <v>13.2848</v>
      </c>
      <c r="HO137">
        <v>53.4791</v>
      </c>
      <c r="HP137">
        <v>44.351</v>
      </c>
      <c r="HQ137">
        <v>1</v>
      </c>
      <c r="HR137">
        <v>-0.263994</v>
      </c>
      <c r="HS137">
        <v>4.63857</v>
      </c>
      <c r="HT137">
        <v>20.0756</v>
      </c>
      <c r="HU137">
        <v>5.19872</v>
      </c>
      <c r="HV137">
        <v>12.004</v>
      </c>
      <c r="HW137">
        <v>4.9752</v>
      </c>
      <c r="HX137">
        <v>3.29283</v>
      </c>
      <c r="HY137">
        <v>9999</v>
      </c>
      <c r="HZ137">
        <v>999.9</v>
      </c>
      <c r="IA137">
        <v>9999</v>
      </c>
      <c r="IB137">
        <v>9999</v>
      </c>
      <c r="IC137">
        <v>1.86325</v>
      </c>
      <c r="ID137">
        <v>1.86806</v>
      </c>
      <c r="IE137">
        <v>1.86783</v>
      </c>
      <c r="IF137">
        <v>1.86904</v>
      </c>
      <c r="IG137">
        <v>1.86981</v>
      </c>
      <c r="IH137">
        <v>1.86586</v>
      </c>
      <c r="II137">
        <v>1.86691</v>
      </c>
      <c r="IJ137">
        <v>1.86842</v>
      </c>
      <c r="IK137">
        <v>5</v>
      </c>
      <c r="IL137">
        <v>0</v>
      </c>
      <c r="IM137">
        <v>0</v>
      </c>
      <c r="IN137">
        <v>0</v>
      </c>
      <c r="IO137" t="s">
        <v>441</v>
      </c>
      <c r="IP137" t="s">
        <v>442</v>
      </c>
      <c r="IQ137" t="s">
        <v>443</v>
      </c>
      <c r="IR137" t="s">
        <v>443</v>
      </c>
      <c r="IS137" t="s">
        <v>443</v>
      </c>
      <c r="IT137" t="s">
        <v>443</v>
      </c>
      <c r="IU137">
        <v>0</v>
      </c>
      <c r="IV137">
        <v>100</v>
      </c>
      <c r="IW137">
        <v>100</v>
      </c>
      <c r="IX137">
        <v>1.884</v>
      </c>
      <c r="IY137">
        <v>-0.1112</v>
      </c>
      <c r="IZ137">
        <v>1.12474291219083</v>
      </c>
      <c r="JA137">
        <v>0.00463155566490582</v>
      </c>
      <c r="JB137">
        <v>-1.1358998729424e-06</v>
      </c>
      <c r="JC137">
        <v>3.28704272115545e-10</v>
      </c>
      <c r="JD137">
        <v>-0.0704455108513773</v>
      </c>
      <c r="JE137">
        <v>-0.0251928478371425</v>
      </c>
      <c r="JF137">
        <v>0.00225751704194564</v>
      </c>
      <c r="JG137">
        <v>-3.61734043746866e-05</v>
      </c>
      <c r="JH137">
        <v>1</v>
      </c>
      <c r="JI137">
        <v>2182</v>
      </c>
      <c r="JJ137">
        <v>0</v>
      </c>
      <c r="JK137">
        <v>24</v>
      </c>
      <c r="JL137">
        <v>29349864.2</v>
      </c>
      <c r="JM137">
        <v>29349864.2</v>
      </c>
      <c r="JN137">
        <v>0.45166</v>
      </c>
      <c r="JO137">
        <v>2.66113</v>
      </c>
      <c r="JP137">
        <v>1.54785</v>
      </c>
      <c r="JQ137">
        <v>2.31323</v>
      </c>
      <c r="JR137">
        <v>1.64673</v>
      </c>
      <c r="JS137">
        <v>2.25708</v>
      </c>
      <c r="JT137">
        <v>33.7155</v>
      </c>
      <c r="JU137">
        <v>24.1751</v>
      </c>
      <c r="JV137">
        <v>18</v>
      </c>
      <c r="JW137">
        <v>500.063</v>
      </c>
      <c r="JX137">
        <v>392.543</v>
      </c>
      <c r="JY137">
        <v>11.5319</v>
      </c>
      <c r="JZ137">
        <v>23.9551</v>
      </c>
      <c r="KA137">
        <v>29.9999</v>
      </c>
      <c r="KB137">
        <v>23.9231</v>
      </c>
      <c r="KC137">
        <v>23.8893</v>
      </c>
      <c r="KD137">
        <v>9.00263</v>
      </c>
      <c r="KE137">
        <v>11.841</v>
      </c>
      <c r="KF137">
        <v>27.2762</v>
      </c>
      <c r="KG137">
        <v>11.5542</v>
      </c>
      <c r="KH137">
        <v>135.729</v>
      </c>
      <c r="KI137">
        <v>9.82876</v>
      </c>
      <c r="KJ137">
        <v>97.0374</v>
      </c>
      <c r="KK137">
        <v>95.3018</v>
      </c>
    </row>
    <row r="138" spans="1:297">
      <c r="A138">
        <v>122</v>
      </c>
      <c r="B138">
        <v>1760991857</v>
      </c>
      <c r="C138">
        <v>2666.90000009537</v>
      </c>
      <c r="D138" t="s">
        <v>697</v>
      </c>
      <c r="E138" t="s">
        <v>698</v>
      </c>
      <c r="F138">
        <v>5</v>
      </c>
      <c r="G138" t="s">
        <v>662</v>
      </c>
      <c r="H138" t="s">
        <v>436</v>
      </c>
      <c r="I138">
        <v>1760991848.84615</v>
      </c>
      <c r="J138">
        <f>(K138)/1000</f>
        <v>0</v>
      </c>
      <c r="K138">
        <f>IF(DP138, AN138, AH138)</f>
        <v>0</v>
      </c>
      <c r="L138">
        <f>IF(DP138, AI138, AG138)</f>
        <v>0</v>
      </c>
      <c r="M138">
        <f>DR138 - IF(AU138&gt;1, L138*DL138*100.0/(AW138), 0)</f>
        <v>0</v>
      </c>
      <c r="N138">
        <f>((T138-J138/2)*M138-L138)/(T138+J138/2)</f>
        <v>0</v>
      </c>
      <c r="O138">
        <f>N138*(DY138+DZ138)/1000.0</f>
        <v>0</v>
      </c>
      <c r="P138">
        <f>(DR138 - IF(AU138&gt;1, L138*DL138*100.0/(AW138), 0))*(DY138+DZ138)/1000.0</f>
        <v>0</v>
      </c>
      <c r="Q138">
        <f>2.0/((1/S138-1/R138)+SIGN(S138)*SQRT((1/S138-1/R138)*(1/S138-1/R138) + 4*DM138/((DM138+1)*(DM138+1))*(2*1/S138*1/R138-1/R138*1/R138)))</f>
        <v>0</v>
      </c>
      <c r="R138">
        <f>IF(LEFT(DN138,1)&lt;&gt;"0",IF(LEFT(DN138,1)="1",3.0,DO138),$D$5+$E$5*(EF138*DY138/($K$5*1000))+$F$5*(EF138*DY138/($K$5*1000))*MAX(MIN(DL138,$J$5),$I$5)*MAX(MIN(DL138,$J$5),$I$5)+$G$5*MAX(MIN(DL138,$J$5),$I$5)*(EF138*DY138/($K$5*1000))+$H$5*(EF138*DY138/($K$5*1000))*(EF138*DY138/($K$5*1000)))</f>
        <v>0</v>
      </c>
      <c r="S138">
        <f>J138*(1000-(1000*0.61365*exp(17.502*W138/(240.97+W138))/(DY138+DZ138)+DT138)/2)/(1000*0.61365*exp(17.502*W138/(240.97+W138))/(DY138+DZ138)-DT138)</f>
        <v>0</v>
      </c>
      <c r="T138">
        <f>1/((DM138+1)/(Q138/1.6)+1/(R138/1.37)) + DM138/((DM138+1)/(Q138/1.6) + DM138/(R138/1.37))</f>
        <v>0</v>
      </c>
      <c r="U138">
        <f>(DH138*DK138)</f>
        <v>0</v>
      </c>
      <c r="V138">
        <f>(EA138+(U138+2*0.95*5.67E-8*(((EA138+$B$7)+273)^4-(EA138+273)^4)-44100*J138)/(1.84*29.3*R138+8*0.95*5.67E-8*(EA138+273)^3))</f>
        <v>0</v>
      </c>
      <c r="W138">
        <f>($C$7*EB138+$D$7*EC138+$E$7*V138)</f>
        <v>0</v>
      </c>
      <c r="X138">
        <f>0.61365*exp(17.502*W138/(240.97+W138))</f>
        <v>0</v>
      </c>
      <c r="Y138">
        <f>(Z138/AA138*100)</f>
        <v>0</v>
      </c>
      <c r="Z138">
        <f>DT138*(DY138+DZ138)/1000</f>
        <v>0</v>
      </c>
      <c r="AA138">
        <f>0.61365*exp(17.502*EA138/(240.97+EA138))</f>
        <v>0</v>
      </c>
      <c r="AB138">
        <f>(X138-DT138*(DY138+DZ138)/1000)</f>
        <v>0</v>
      </c>
      <c r="AC138">
        <f>(-J138*44100)</f>
        <v>0</v>
      </c>
      <c r="AD138">
        <f>2*29.3*R138*0.92*(EA138-W138)</f>
        <v>0</v>
      </c>
      <c r="AE138">
        <f>2*0.95*5.67E-8*(((EA138+$B$7)+273)^4-(W138+273)^4)</f>
        <v>0</v>
      </c>
      <c r="AF138">
        <f>U138+AE138+AC138+AD138</f>
        <v>0</v>
      </c>
      <c r="AG138">
        <f>DX138*AU138*(DS138-DR138*(1000-AU138*DU138)/(1000-AU138*DT138))/(100*DL138)</f>
        <v>0</v>
      </c>
      <c r="AH138">
        <f>1000*DX138*AU138*(DT138-DU138)/(100*DL138*(1000-AU138*DT138))</f>
        <v>0</v>
      </c>
      <c r="AI138">
        <f>(AJ138 - AK138 - DY138*1E3/(8.314*(EA138+273.15)) * AM138/DX138 * AL138) * DX138/(100*DL138) * (1000 - DU138)/1000</f>
        <v>0</v>
      </c>
      <c r="AJ138">
        <v>154.213633904385</v>
      </c>
      <c r="AK138">
        <v>162.245854545455</v>
      </c>
      <c r="AL138">
        <v>-3.101301244041</v>
      </c>
      <c r="AM138">
        <v>65.2210784119795</v>
      </c>
      <c r="AN138">
        <f>(AP138 - AO138 + DY138*1E3/(8.314*(EA138+273.15)) * AR138/DX138 * AQ138) * DX138/(100*DL138) * 1000/(1000 - AP138)</f>
        <v>0</v>
      </c>
      <c r="AO138">
        <v>9.77047637086366</v>
      </c>
      <c r="AP138">
        <v>11.8157254545455</v>
      </c>
      <c r="AQ138">
        <v>3.62980939660546e-05</v>
      </c>
      <c r="AR138">
        <v>115.574510355221</v>
      </c>
      <c r="AS138">
        <v>0</v>
      </c>
      <c r="AT138">
        <v>0</v>
      </c>
      <c r="AU138">
        <f>IF(AS138*$H$13&gt;=AW138,1.0,(AW138/(AW138-AS138*$H$13)))</f>
        <v>0</v>
      </c>
      <c r="AV138">
        <f>(AU138-1)*100</f>
        <v>0</v>
      </c>
      <c r="AW138">
        <f>MAX(0,($B$13+$C$13*EF138)/(1+$D$13*EF138)*DY138/(EA138+273)*$E$13)</f>
        <v>0</v>
      </c>
      <c r="AX138" t="s">
        <v>437</v>
      </c>
      <c r="AY138" t="s">
        <v>437</v>
      </c>
      <c r="AZ138">
        <v>0</v>
      </c>
      <c r="BA138">
        <v>0</v>
      </c>
      <c r="BB138">
        <f>1-AZ138/BA138</f>
        <v>0</v>
      </c>
      <c r="BC138">
        <v>0</v>
      </c>
      <c r="BD138" t="s">
        <v>437</v>
      </c>
      <c r="BE138" t="s">
        <v>437</v>
      </c>
      <c r="BF138">
        <v>0</v>
      </c>
      <c r="BG138">
        <v>0</v>
      </c>
      <c r="BH138">
        <f>1-BF138/BG138</f>
        <v>0</v>
      </c>
      <c r="BI138">
        <v>0.5</v>
      </c>
      <c r="BJ138">
        <f>DI138</f>
        <v>0</v>
      </c>
      <c r="BK138">
        <f>L138</f>
        <v>0</v>
      </c>
      <c r="BL138">
        <f>BH138*BI138*BJ138</f>
        <v>0</v>
      </c>
      <c r="BM138">
        <f>(BK138-BC138)/BJ138</f>
        <v>0</v>
      </c>
      <c r="BN138">
        <f>(BA138-BG138)/BG138</f>
        <v>0</v>
      </c>
      <c r="BO138">
        <f>AZ138/(BB138+AZ138/BG138)</f>
        <v>0</v>
      </c>
      <c r="BP138" t="s">
        <v>437</v>
      </c>
      <c r="BQ138">
        <v>0</v>
      </c>
      <c r="BR138">
        <f>IF(BQ138&lt;&gt;0, BQ138, BO138)</f>
        <v>0</v>
      </c>
      <c r="BS138">
        <f>1-BR138/BG138</f>
        <v>0</v>
      </c>
      <c r="BT138">
        <f>(BG138-BF138)/(BG138-BR138)</f>
        <v>0</v>
      </c>
      <c r="BU138">
        <f>(BA138-BG138)/(BA138-BR138)</f>
        <v>0</v>
      </c>
      <c r="BV138">
        <f>(BG138-BF138)/(BG138-AZ138)</f>
        <v>0</v>
      </c>
      <c r="BW138">
        <f>(BA138-BG138)/(BA138-AZ138)</f>
        <v>0</v>
      </c>
      <c r="BX138">
        <f>(BT138*BR138/BF138)</f>
        <v>0</v>
      </c>
      <c r="BY138">
        <f>(1-BX138)</f>
        <v>0</v>
      </c>
      <c r="BZ138">
        <v>282</v>
      </c>
      <c r="CA138">
        <v>290</v>
      </c>
      <c r="CB138">
        <v>1577.74</v>
      </c>
      <c r="CC138">
        <v>295</v>
      </c>
      <c r="CD138">
        <v>5140.93</v>
      </c>
      <c r="CE138">
        <v>1578.58</v>
      </c>
      <c r="CF138">
        <v>-0.84</v>
      </c>
      <c r="CG138">
        <v>300</v>
      </c>
      <c r="CH138">
        <v>23.8</v>
      </c>
      <c r="CI138">
        <v>1633.28263291266</v>
      </c>
      <c r="CJ138">
        <v>1.49577129053257</v>
      </c>
      <c r="CK138">
        <v>-28.1203876934379</v>
      </c>
      <c r="CL138">
        <v>0.666413418688897</v>
      </c>
      <c r="CM138">
        <v>0.984518017981194</v>
      </c>
      <c r="CN138">
        <v>-0.00424727541713014</v>
      </c>
      <c r="CO138">
        <v>290</v>
      </c>
      <c r="CP138">
        <v>1576.56</v>
      </c>
      <c r="CQ138">
        <v>775</v>
      </c>
      <c r="CR138">
        <v>5139.5</v>
      </c>
      <c r="CS138">
        <v>1578.57</v>
      </c>
      <c r="CT138">
        <v>-2.01</v>
      </c>
      <c r="DH138">
        <f>$B$11*EG138+$C$11*EH138+$F$11*ES138*(1-EV138)</f>
        <v>0</v>
      </c>
      <c r="DI138">
        <f>DH138*DJ138</f>
        <v>0</v>
      </c>
      <c r="DJ138">
        <f>($B$11*$D$9+$C$11*$D$9+$F$11*((FF138+EX138)/MAX(FF138+EX138+FG138, 0.1)*$I$9+FG138/MAX(FF138+EX138+FG138, 0.1)*$J$9))/($B$11+$C$11+$F$11)</f>
        <v>0</v>
      </c>
      <c r="DK138">
        <f>($B$11*$K$9+$C$11*$K$9+$F$11*((FF138+EX138)/MAX(FF138+EX138+FG138, 0.1)*$P$9+FG138/MAX(FF138+EX138+FG138, 0.1)*$Q$9))/($B$11+$C$11+$F$11)</f>
        <v>0</v>
      </c>
      <c r="DL138">
        <v>6</v>
      </c>
      <c r="DM138">
        <v>0.5</v>
      </c>
      <c r="DN138" t="s">
        <v>438</v>
      </c>
      <c r="DO138">
        <v>2</v>
      </c>
      <c r="DP138" t="b">
        <v>1</v>
      </c>
      <c r="DQ138">
        <v>1760991848.84615</v>
      </c>
      <c r="DR138">
        <v>182.678384615385</v>
      </c>
      <c r="DS138">
        <v>168.076538461538</v>
      </c>
      <c r="DT138">
        <v>11.8121230769231</v>
      </c>
      <c r="DU138">
        <v>9.76358230769231</v>
      </c>
      <c r="DV138">
        <v>180.751692307692</v>
      </c>
      <c r="DW138">
        <v>11.9233230769231</v>
      </c>
      <c r="DX138">
        <v>500.050461538462</v>
      </c>
      <c r="DY138">
        <v>89.8295769230769</v>
      </c>
      <c r="DZ138">
        <v>0.00897252153846154</v>
      </c>
      <c r="EA138">
        <v>18.3854692307692</v>
      </c>
      <c r="EB138">
        <v>17.9988615384615</v>
      </c>
      <c r="EC138">
        <v>999.9</v>
      </c>
      <c r="ED138">
        <v>0</v>
      </c>
      <c r="EE138">
        <v>0</v>
      </c>
      <c r="EF138">
        <v>10008.9553846154</v>
      </c>
      <c r="EG138">
        <v>0</v>
      </c>
      <c r="EH138">
        <v>1278.83615384615</v>
      </c>
      <c r="EI138">
        <v>14.6017076923077</v>
      </c>
      <c r="EJ138">
        <v>184.862</v>
      </c>
      <c r="EK138">
        <v>169.733846153846</v>
      </c>
      <c r="EL138">
        <v>2.04853923076923</v>
      </c>
      <c r="EM138">
        <v>168.076538461538</v>
      </c>
      <c r="EN138">
        <v>9.76358230769231</v>
      </c>
      <c r="EO138">
        <v>1.06107846153846</v>
      </c>
      <c r="EP138">
        <v>0.877058615384615</v>
      </c>
      <c r="EQ138">
        <v>7.78317538461538</v>
      </c>
      <c r="ER138">
        <v>5.01970846153846</v>
      </c>
      <c r="ES138">
        <v>1199.99307692308</v>
      </c>
      <c r="ET138">
        <v>0.966992230769231</v>
      </c>
      <c r="EU138">
        <v>0.0330075538461539</v>
      </c>
      <c r="EV138">
        <v>0</v>
      </c>
      <c r="EW138">
        <v>1300.36846153846</v>
      </c>
      <c r="EX138">
        <v>5.00059</v>
      </c>
      <c r="EY138">
        <v>15286.0153846154</v>
      </c>
      <c r="EZ138">
        <v>10358.6307692308</v>
      </c>
      <c r="FA138">
        <v>36.5623076923077</v>
      </c>
      <c r="FB138">
        <v>38.197</v>
      </c>
      <c r="FC138">
        <v>36.9949230769231</v>
      </c>
      <c r="FD138">
        <v>37.4324615384615</v>
      </c>
      <c r="FE138">
        <v>37.4805384615385</v>
      </c>
      <c r="FF138">
        <v>1155.54769230769</v>
      </c>
      <c r="FG138">
        <v>39.4453846153846</v>
      </c>
      <c r="FH138">
        <v>0</v>
      </c>
      <c r="FI138">
        <v>713</v>
      </c>
      <c r="FJ138">
        <v>0</v>
      </c>
      <c r="FK138">
        <v>1299.47615384615</v>
      </c>
      <c r="FL138">
        <v>-74.7336752180152</v>
      </c>
      <c r="FM138">
        <v>-894.393162220136</v>
      </c>
      <c r="FN138">
        <v>15274.4230769231</v>
      </c>
      <c r="FO138">
        <v>15</v>
      </c>
      <c r="FP138">
        <v>0</v>
      </c>
      <c r="FQ138" t="s">
        <v>439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14.3094619047619</v>
      </c>
      <c r="GD138">
        <v>6.7098</v>
      </c>
      <c r="GE138">
        <v>0.752786885972126</v>
      </c>
      <c r="GF138">
        <v>0</v>
      </c>
      <c r="GG138">
        <v>1303.45617647059</v>
      </c>
      <c r="GH138">
        <v>-67.1194804728437</v>
      </c>
      <c r="GI138">
        <v>6.60993993685705</v>
      </c>
      <c r="GJ138">
        <v>-1</v>
      </c>
      <c r="GK138">
        <v>2.05254952380952</v>
      </c>
      <c r="GL138">
        <v>-0.0529675324675313</v>
      </c>
      <c r="GM138">
        <v>0.00744218188448884</v>
      </c>
      <c r="GN138">
        <v>1</v>
      </c>
      <c r="GO138">
        <v>1</v>
      </c>
      <c r="GP138">
        <v>2</v>
      </c>
      <c r="GQ138" t="s">
        <v>446</v>
      </c>
      <c r="GR138">
        <v>3.13079</v>
      </c>
      <c r="GS138">
        <v>2.68645</v>
      </c>
      <c r="GT138">
        <v>0.0389492</v>
      </c>
      <c r="GU138">
        <v>0.0359045</v>
      </c>
      <c r="GV138">
        <v>0.0617022</v>
      </c>
      <c r="GW138">
        <v>0.0531902</v>
      </c>
      <c r="GX138">
        <v>36419.8</v>
      </c>
      <c r="GY138">
        <v>39260</v>
      </c>
      <c r="GZ138">
        <v>34263.6</v>
      </c>
      <c r="HA138">
        <v>36847.6</v>
      </c>
      <c r="HB138">
        <v>45343</v>
      </c>
      <c r="HC138">
        <v>50018.5</v>
      </c>
      <c r="HD138">
        <v>53337</v>
      </c>
      <c r="HE138">
        <v>58774.8</v>
      </c>
      <c r="HF138">
        <v>2.00793</v>
      </c>
      <c r="HG138">
        <v>1.83445</v>
      </c>
      <c r="HH138">
        <v>0.00867993</v>
      </c>
      <c r="HI138">
        <v>0</v>
      </c>
      <c r="HJ138">
        <v>17.8586</v>
      </c>
      <c r="HK138">
        <v>999.9</v>
      </c>
      <c r="HL138">
        <v>27.213</v>
      </c>
      <c r="HM138">
        <v>30.504</v>
      </c>
      <c r="HN138">
        <v>13.2855</v>
      </c>
      <c r="HO138">
        <v>54.4191</v>
      </c>
      <c r="HP138">
        <v>44.2949</v>
      </c>
      <c r="HQ138">
        <v>1</v>
      </c>
      <c r="HR138">
        <v>-0.264159</v>
      </c>
      <c r="HS138">
        <v>4.65455</v>
      </c>
      <c r="HT138">
        <v>20.075</v>
      </c>
      <c r="HU138">
        <v>5.19917</v>
      </c>
      <c r="HV138">
        <v>12.004</v>
      </c>
      <c r="HW138">
        <v>4.9756</v>
      </c>
      <c r="HX138">
        <v>3.29293</v>
      </c>
      <c r="HY138">
        <v>9999</v>
      </c>
      <c r="HZ138">
        <v>999.9</v>
      </c>
      <c r="IA138">
        <v>9999</v>
      </c>
      <c r="IB138">
        <v>9999</v>
      </c>
      <c r="IC138">
        <v>1.86324</v>
      </c>
      <c r="ID138">
        <v>1.86809</v>
      </c>
      <c r="IE138">
        <v>1.86783</v>
      </c>
      <c r="IF138">
        <v>1.86905</v>
      </c>
      <c r="IG138">
        <v>1.86981</v>
      </c>
      <c r="IH138">
        <v>1.86585</v>
      </c>
      <c r="II138">
        <v>1.86693</v>
      </c>
      <c r="IJ138">
        <v>1.86843</v>
      </c>
      <c r="IK138">
        <v>5</v>
      </c>
      <c r="IL138">
        <v>0</v>
      </c>
      <c r="IM138">
        <v>0</v>
      </c>
      <c r="IN138">
        <v>0</v>
      </c>
      <c r="IO138" t="s">
        <v>441</v>
      </c>
      <c r="IP138" t="s">
        <v>442</v>
      </c>
      <c r="IQ138" t="s">
        <v>443</v>
      </c>
      <c r="IR138" t="s">
        <v>443</v>
      </c>
      <c r="IS138" t="s">
        <v>443</v>
      </c>
      <c r="IT138" t="s">
        <v>443</v>
      </c>
      <c r="IU138">
        <v>0</v>
      </c>
      <c r="IV138">
        <v>100</v>
      </c>
      <c r="IW138">
        <v>100</v>
      </c>
      <c r="IX138">
        <v>1.819</v>
      </c>
      <c r="IY138">
        <v>-0.1111</v>
      </c>
      <c r="IZ138">
        <v>1.12474291219083</v>
      </c>
      <c r="JA138">
        <v>0.00463155566490582</v>
      </c>
      <c r="JB138">
        <v>-1.1358998729424e-06</v>
      </c>
      <c r="JC138">
        <v>3.28704272115545e-10</v>
      </c>
      <c r="JD138">
        <v>-0.0704455108513773</v>
      </c>
      <c r="JE138">
        <v>-0.0251928478371425</v>
      </c>
      <c r="JF138">
        <v>0.00225751704194564</v>
      </c>
      <c r="JG138">
        <v>-3.61734043746866e-05</v>
      </c>
      <c r="JH138">
        <v>1</v>
      </c>
      <c r="JI138">
        <v>2182</v>
      </c>
      <c r="JJ138">
        <v>0</v>
      </c>
      <c r="JK138">
        <v>24</v>
      </c>
      <c r="JL138">
        <v>29349864.3</v>
      </c>
      <c r="JM138">
        <v>29349864.3</v>
      </c>
      <c r="JN138">
        <v>0.421143</v>
      </c>
      <c r="JO138">
        <v>2.66479</v>
      </c>
      <c r="JP138">
        <v>1.54785</v>
      </c>
      <c r="JQ138">
        <v>2.31445</v>
      </c>
      <c r="JR138">
        <v>1.64673</v>
      </c>
      <c r="JS138">
        <v>2.24976</v>
      </c>
      <c r="JT138">
        <v>33.7155</v>
      </c>
      <c r="JU138">
        <v>24.1751</v>
      </c>
      <c r="JV138">
        <v>18</v>
      </c>
      <c r="JW138">
        <v>500.162</v>
      </c>
      <c r="JX138">
        <v>392.721</v>
      </c>
      <c r="JY138">
        <v>11.5494</v>
      </c>
      <c r="JZ138">
        <v>23.9567</v>
      </c>
      <c r="KA138">
        <v>29.9999</v>
      </c>
      <c r="KB138">
        <v>23.925</v>
      </c>
      <c r="KC138">
        <v>23.8902</v>
      </c>
      <c r="KD138">
        <v>8.32365</v>
      </c>
      <c r="KE138">
        <v>11.841</v>
      </c>
      <c r="KF138">
        <v>27.2762</v>
      </c>
      <c r="KG138">
        <v>11.5502</v>
      </c>
      <c r="KH138">
        <v>115.466</v>
      </c>
      <c r="KI138">
        <v>9.82399</v>
      </c>
      <c r="KJ138">
        <v>97.0365</v>
      </c>
      <c r="KK138">
        <v>95.3003</v>
      </c>
    </row>
    <row r="139" spans="1:297">
      <c r="A139">
        <v>123</v>
      </c>
      <c r="B139">
        <v>1760991862</v>
      </c>
      <c r="C139">
        <v>2671.90000009537</v>
      </c>
      <c r="D139" t="s">
        <v>699</v>
      </c>
      <c r="E139" t="s">
        <v>700</v>
      </c>
      <c r="F139">
        <v>5</v>
      </c>
      <c r="G139" t="s">
        <v>662</v>
      </c>
      <c r="H139" t="s">
        <v>436</v>
      </c>
      <c r="I139">
        <v>1760991853.84615</v>
      </c>
      <c r="J139">
        <f>(K139)/1000</f>
        <v>0</v>
      </c>
      <c r="K139">
        <f>IF(DP139, AN139, AH139)</f>
        <v>0</v>
      </c>
      <c r="L139">
        <f>IF(DP139, AI139, AG139)</f>
        <v>0</v>
      </c>
      <c r="M139">
        <f>DR139 - IF(AU139&gt;1, L139*DL139*100.0/(AW139), 0)</f>
        <v>0</v>
      </c>
      <c r="N139">
        <f>((T139-J139/2)*M139-L139)/(T139+J139/2)</f>
        <v>0</v>
      </c>
      <c r="O139">
        <f>N139*(DY139+DZ139)/1000.0</f>
        <v>0</v>
      </c>
      <c r="P139">
        <f>(DR139 - IF(AU139&gt;1, L139*DL139*100.0/(AW139), 0))*(DY139+DZ139)/1000.0</f>
        <v>0</v>
      </c>
      <c r="Q139">
        <f>2.0/((1/S139-1/R139)+SIGN(S139)*SQRT((1/S139-1/R139)*(1/S139-1/R139) + 4*DM139/((DM139+1)*(DM139+1))*(2*1/S139*1/R139-1/R139*1/R139)))</f>
        <v>0</v>
      </c>
      <c r="R139">
        <f>IF(LEFT(DN139,1)&lt;&gt;"0",IF(LEFT(DN139,1)="1",3.0,DO139),$D$5+$E$5*(EF139*DY139/($K$5*1000))+$F$5*(EF139*DY139/($K$5*1000))*MAX(MIN(DL139,$J$5),$I$5)*MAX(MIN(DL139,$J$5),$I$5)+$G$5*MAX(MIN(DL139,$J$5),$I$5)*(EF139*DY139/($K$5*1000))+$H$5*(EF139*DY139/($K$5*1000))*(EF139*DY139/($K$5*1000)))</f>
        <v>0</v>
      </c>
      <c r="S139">
        <f>J139*(1000-(1000*0.61365*exp(17.502*W139/(240.97+W139))/(DY139+DZ139)+DT139)/2)/(1000*0.61365*exp(17.502*W139/(240.97+W139))/(DY139+DZ139)-DT139)</f>
        <v>0</v>
      </c>
      <c r="T139">
        <f>1/((DM139+1)/(Q139/1.6)+1/(R139/1.37)) + DM139/((DM139+1)/(Q139/1.6) + DM139/(R139/1.37))</f>
        <v>0</v>
      </c>
      <c r="U139">
        <f>(DH139*DK139)</f>
        <v>0</v>
      </c>
      <c r="V139">
        <f>(EA139+(U139+2*0.95*5.67E-8*(((EA139+$B$7)+273)^4-(EA139+273)^4)-44100*J139)/(1.84*29.3*R139+8*0.95*5.67E-8*(EA139+273)^3))</f>
        <v>0</v>
      </c>
      <c r="W139">
        <f>($C$7*EB139+$D$7*EC139+$E$7*V139)</f>
        <v>0</v>
      </c>
      <c r="X139">
        <f>0.61365*exp(17.502*W139/(240.97+W139))</f>
        <v>0</v>
      </c>
      <c r="Y139">
        <f>(Z139/AA139*100)</f>
        <v>0</v>
      </c>
      <c r="Z139">
        <f>DT139*(DY139+DZ139)/1000</f>
        <v>0</v>
      </c>
      <c r="AA139">
        <f>0.61365*exp(17.502*EA139/(240.97+EA139))</f>
        <v>0</v>
      </c>
      <c r="AB139">
        <f>(X139-DT139*(DY139+DZ139)/1000)</f>
        <v>0</v>
      </c>
      <c r="AC139">
        <f>(-J139*44100)</f>
        <v>0</v>
      </c>
      <c r="AD139">
        <f>2*29.3*R139*0.92*(EA139-W139)</f>
        <v>0</v>
      </c>
      <c r="AE139">
        <f>2*0.95*5.67E-8*(((EA139+$B$7)+273)^4-(W139+273)^4)</f>
        <v>0</v>
      </c>
      <c r="AF139">
        <f>U139+AE139+AC139+AD139</f>
        <v>0</v>
      </c>
      <c r="AG139">
        <f>DX139*AU139*(DS139-DR139*(1000-AU139*DU139)/(1000-AU139*DT139))/(100*DL139)</f>
        <v>0</v>
      </c>
      <c r="AH139">
        <f>1000*DX139*AU139*(DT139-DU139)/(100*DL139*(1000-AU139*DT139))</f>
        <v>0</v>
      </c>
      <c r="AI139">
        <f>(AJ139 - AK139 - DY139*1E3/(8.314*(EA139+273.15)) * AM139/DX139 * AL139) * DX139/(100*DL139) * (1000 - DU139)/1000</f>
        <v>0</v>
      </c>
      <c r="AJ139">
        <v>138.202243320043</v>
      </c>
      <c r="AK139">
        <v>146.733466666667</v>
      </c>
      <c r="AL139">
        <v>-3.09650394844809</v>
      </c>
      <c r="AM139">
        <v>65.2210784119795</v>
      </c>
      <c r="AN139">
        <f>(AP139 - AO139 + DY139*1E3/(8.314*(EA139+273.15)) * AR139/DX139 * AQ139) * DX139/(100*DL139) * 1000/(1000 - AP139)</f>
        <v>0</v>
      </c>
      <c r="AO139">
        <v>9.77843957376527</v>
      </c>
      <c r="AP139">
        <v>11.8217066666667</v>
      </c>
      <c r="AQ139">
        <v>3.1113132575981e-05</v>
      </c>
      <c r="AR139">
        <v>115.574510355221</v>
      </c>
      <c r="AS139">
        <v>0</v>
      </c>
      <c r="AT139">
        <v>0</v>
      </c>
      <c r="AU139">
        <f>IF(AS139*$H$13&gt;=AW139,1.0,(AW139/(AW139-AS139*$H$13)))</f>
        <v>0</v>
      </c>
      <c r="AV139">
        <f>(AU139-1)*100</f>
        <v>0</v>
      </c>
      <c r="AW139">
        <f>MAX(0,($B$13+$C$13*EF139)/(1+$D$13*EF139)*DY139/(EA139+273)*$E$13)</f>
        <v>0</v>
      </c>
      <c r="AX139" t="s">
        <v>437</v>
      </c>
      <c r="AY139" t="s">
        <v>437</v>
      </c>
      <c r="AZ139">
        <v>0</v>
      </c>
      <c r="BA139">
        <v>0</v>
      </c>
      <c r="BB139">
        <f>1-AZ139/BA139</f>
        <v>0</v>
      </c>
      <c r="BC139">
        <v>0</v>
      </c>
      <c r="BD139" t="s">
        <v>437</v>
      </c>
      <c r="BE139" t="s">
        <v>437</v>
      </c>
      <c r="BF139">
        <v>0</v>
      </c>
      <c r="BG139">
        <v>0</v>
      </c>
      <c r="BH139">
        <f>1-BF139/BG139</f>
        <v>0</v>
      </c>
      <c r="BI139">
        <v>0.5</v>
      </c>
      <c r="BJ139">
        <f>DI139</f>
        <v>0</v>
      </c>
      <c r="BK139">
        <f>L139</f>
        <v>0</v>
      </c>
      <c r="BL139">
        <f>BH139*BI139*BJ139</f>
        <v>0</v>
      </c>
      <c r="BM139">
        <f>(BK139-BC139)/BJ139</f>
        <v>0</v>
      </c>
      <c r="BN139">
        <f>(BA139-BG139)/BG139</f>
        <v>0</v>
      </c>
      <c r="BO139">
        <f>AZ139/(BB139+AZ139/BG139)</f>
        <v>0</v>
      </c>
      <c r="BP139" t="s">
        <v>437</v>
      </c>
      <c r="BQ139">
        <v>0</v>
      </c>
      <c r="BR139">
        <f>IF(BQ139&lt;&gt;0, BQ139, BO139)</f>
        <v>0</v>
      </c>
      <c r="BS139">
        <f>1-BR139/BG139</f>
        <v>0</v>
      </c>
      <c r="BT139">
        <f>(BG139-BF139)/(BG139-BR139)</f>
        <v>0</v>
      </c>
      <c r="BU139">
        <f>(BA139-BG139)/(BA139-BR139)</f>
        <v>0</v>
      </c>
      <c r="BV139">
        <f>(BG139-BF139)/(BG139-AZ139)</f>
        <v>0</v>
      </c>
      <c r="BW139">
        <f>(BA139-BG139)/(BA139-AZ139)</f>
        <v>0</v>
      </c>
      <c r="BX139">
        <f>(BT139*BR139/BF139)</f>
        <v>0</v>
      </c>
      <c r="BY139">
        <f>(1-BX139)</f>
        <v>0</v>
      </c>
      <c r="BZ139">
        <v>282</v>
      </c>
      <c r="CA139">
        <v>290</v>
      </c>
      <c r="CB139">
        <v>1577.74</v>
      </c>
      <c r="CC139">
        <v>295</v>
      </c>
      <c r="CD139">
        <v>5140.93</v>
      </c>
      <c r="CE139">
        <v>1578.58</v>
      </c>
      <c r="CF139">
        <v>-0.84</v>
      </c>
      <c r="CG139">
        <v>300</v>
      </c>
      <c r="CH139">
        <v>23.8</v>
      </c>
      <c r="CI139">
        <v>1633.28263291266</v>
      </c>
      <c r="CJ139">
        <v>1.49577129053257</v>
      </c>
      <c r="CK139">
        <v>-28.1203876934379</v>
      </c>
      <c r="CL139">
        <v>0.666413418688897</v>
      </c>
      <c r="CM139">
        <v>0.984518017981194</v>
      </c>
      <c r="CN139">
        <v>-0.00424727541713014</v>
      </c>
      <c r="CO139">
        <v>290</v>
      </c>
      <c r="CP139">
        <v>1576.56</v>
      </c>
      <c r="CQ139">
        <v>775</v>
      </c>
      <c r="CR139">
        <v>5139.5</v>
      </c>
      <c r="CS139">
        <v>1578.57</v>
      </c>
      <c r="CT139">
        <v>-2.01</v>
      </c>
      <c r="DH139">
        <f>$B$11*EG139+$C$11*EH139+$F$11*ES139*(1-EV139)</f>
        <v>0</v>
      </c>
      <c r="DI139">
        <f>DH139*DJ139</f>
        <v>0</v>
      </c>
      <c r="DJ139">
        <f>($B$11*$D$9+$C$11*$D$9+$F$11*((FF139+EX139)/MAX(FF139+EX139+FG139, 0.1)*$I$9+FG139/MAX(FF139+EX139+FG139, 0.1)*$J$9))/($B$11+$C$11+$F$11)</f>
        <v>0</v>
      </c>
      <c r="DK139">
        <f>($B$11*$K$9+$C$11*$K$9+$F$11*((FF139+EX139)/MAX(FF139+EX139+FG139, 0.1)*$P$9+FG139/MAX(FF139+EX139+FG139, 0.1)*$Q$9))/($B$11+$C$11+$F$11)</f>
        <v>0</v>
      </c>
      <c r="DL139">
        <v>6</v>
      </c>
      <c r="DM139">
        <v>0.5</v>
      </c>
      <c r="DN139" t="s">
        <v>438</v>
      </c>
      <c r="DO139">
        <v>2</v>
      </c>
      <c r="DP139" t="b">
        <v>1</v>
      </c>
      <c r="DQ139">
        <v>1760991853.84615</v>
      </c>
      <c r="DR139">
        <v>167.069307692308</v>
      </c>
      <c r="DS139">
        <v>151.873307692308</v>
      </c>
      <c r="DT139">
        <v>11.8148153846154</v>
      </c>
      <c r="DU139">
        <v>9.76833</v>
      </c>
      <c r="DV139">
        <v>165.209076923077</v>
      </c>
      <c r="DW139">
        <v>11.9259846153846</v>
      </c>
      <c r="DX139">
        <v>500.046923076923</v>
      </c>
      <c r="DY139">
        <v>89.8303384615385</v>
      </c>
      <c r="DZ139">
        <v>0.00858758769230769</v>
      </c>
      <c r="EA139">
        <v>18.3820461538462</v>
      </c>
      <c r="EB139">
        <v>17.9993923076923</v>
      </c>
      <c r="EC139">
        <v>999.9</v>
      </c>
      <c r="ED139">
        <v>0</v>
      </c>
      <c r="EE139">
        <v>0</v>
      </c>
      <c r="EF139">
        <v>10010.34</v>
      </c>
      <c r="EG139">
        <v>0</v>
      </c>
      <c r="EH139">
        <v>1278.84076923077</v>
      </c>
      <c r="EI139">
        <v>15.1959692307692</v>
      </c>
      <c r="EJ139">
        <v>169.066769230769</v>
      </c>
      <c r="EK139">
        <v>153.371461538462</v>
      </c>
      <c r="EL139">
        <v>2.04648538461538</v>
      </c>
      <c r="EM139">
        <v>151.873307692308</v>
      </c>
      <c r="EN139">
        <v>9.76833</v>
      </c>
      <c r="EO139">
        <v>1.06132923076923</v>
      </c>
      <c r="EP139">
        <v>0.877492538461539</v>
      </c>
      <c r="EQ139">
        <v>7.78664615384615</v>
      </c>
      <c r="ER139">
        <v>5.02680230769231</v>
      </c>
      <c r="ES139">
        <v>1200.00923076923</v>
      </c>
      <c r="ET139">
        <v>0.966990384615385</v>
      </c>
      <c r="EU139">
        <v>0.0330094</v>
      </c>
      <c r="EV139">
        <v>0</v>
      </c>
      <c r="EW139">
        <v>1294.02769230769</v>
      </c>
      <c r="EX139">
        <v>5.00059</v>
      </c>
      <c r="EY139">
        <v>15208.7846153846</v>
      </c>
      <c r="EZ139">
        <v>10358.7615384615</v>
      </c>
      <c r="FA139">
        <v>36.5093076923077</v>
      </c>
      <c r="FB139">
        <v>38.1585384615385</v>
      </c>
      <c r="FC139">
        <v>36.9469230769231</v>
      </c>
      <c r="FD139">
        <v>37.3891538461538</v>
      </c>
      <c r="FE139">
        <v>37.4373076923077</v>
      </c>
      <c r="FF139">
        <v>1155.56153846154</v>
      </c>
      <c r="FG139">
        <v>39.4476923076923</v>
      </c>
      <c r="FH139">
        <v>0</v>
      </c>
      <c r="FI139">
        <v>717.800000190735</v>
      </c>
      <c r="FJ139">
        <v>0</v>
      </c>
      <c r="FK139">
        <v>1293.13807692308</v>
      </c>
      <c r="FL139">
        <v>-83.4239316391253</v>
      </c>
      <c r="FM139">
        <v>-1007.78803419916</v>
      </c>
      <c r="FN139">
        <v>15198.2230769231</v>
      </c>
      <c r="FO139">
        <v>15</v>
      </c>
      <c r="FP139">
        <v>0</v>
      </c>
      <c r="FQ139" t="s">
        <v>439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14.87887</v>
      </c>
      <c r="GD139">
        <v>6.55087218045112</v>
      </c>
      <c r="GE139">
        <v>0.712828833662051</v>
      </c>
      <c r="GF139">
        <v>0</v>
      </c>
      <c r="GG139">
        <v>1297.72764705882</v>
      </c>
      <c r="GH139">
        <v>-76.3996944638925</v>
      </c>
      <c r="GI139">
        <v>7.51528523149497</v>
      </c>
      <c r="GJ139">
        <v>-1</v>
      </c>
      <c r="GK139">
        <v>2.046669</v>
      </c>
      <c r="GL139">
        <v>-0.0215566917293235</v>
      </c>
      <c r="GM139">
        <v>0.00382685366848535</v>
      </c>
      <c r="GN139">
        <v>1</v>
      </c>
      <c r="GO139">
        <v>1</v>
      </c>
      <c r="GP139">
        <v>2</v>
      </c>
      <c r="GQ139" t="s">
        <v>446</v>
      </c>
      <c r="GR139">
        <v>3.13091</v>
      </c>
      <c r="GS139">
        <v>2.68634</v>
      </c>
      <c r="GT139">
        <v>0.0354119</v>
      </c>
      <c r="GU139">
        <v>0.0319795</v>
      </c>
      <c r="GV139">
        <v>0.061725</v>
      </c>
      <c r="GW139">
        <v>0.0531904</v>
      </c>
      <c r="GX139">
        <v>36553.7</v>
      </c>
      <c r="GY139">
        <v>39419.9</v>
      </c>
      <c r="GZ139">
        <v>34263.5</v>
      </c>
      <c r="HA139">
        <v>36847.5</v>
      </c>
      <c r="HB139">
        <v>45341</v>
      </c>
      <c r="HC139">
        <v>50018.1</v>
      </c>
      <c r="HD139">
        <v>53336.5</v>
      </c>
      <c r="HE139">
        <v>58775</v>
      </c>
      <c r="HF139">
        <v>2.00785</v>
      </c>
      <c r="HG139">
        <v>1.83425</v>
      </c>
      <c r="HH139">
        <v>0.00920147</v>
      </c>
      <c r="HI139">
        <v>0</v>
      </c>
      <c r="HJ139">
        <v>17.8571</v>
      </c>
      <c r="HK139">
        <v>999.9</v>
      </c>
      <c r="HL139">
        <v>27.213</v>
      </c>
      <c r="HM139">
        <v>30.494</v>
      </c>
      <c r="HN139">
        <v>13.2783</v>
      </c>
      <c r="HO139">
        <v>54.2191</v>
      </c>
      <c r="HP139">
        <v>44.2228</v>
      </c>
      <c r="HQ139">
        <v>1</v>
      </c>
      <c r="HR139">
        <v>-0.264098</v>
      </c>
      <c r="HS139">
        <v>4.69752</v>
      </c>
      <c r="HT139">
        <v>20.0738</v>
      </c>
      <c r="HU139">
        <v>5.19902</v>
      </c>
      <c r="HV139">
        <v>12.004</v>
      </c>
      <c r="HW139">
        <v>4.97525</v>
      </c>
      <c r="HX139">
        <v>3.29298</v>
      </c>
      <c r="HY139">
        <v>9999</v>
      </c>
      <c r="HZ139">
        <v>999.9</v>
      </c>
      <c r="IA139">
        <v>9999</v>
      </c>
      <c r="IB139">
        <v>9999</v>
      </c>
      <c r="IC139">
        <v>1.86325</v>
      </c>
      <c r="ID139">
        <v>1.86808</v>
      </c>
      <c r="IE139">
        <v>1.86783</v>
      </c>
      <c r="IF139">
        <v>1.86905</v>
      </c>
      <c r="IG139">
        <v>1.86981</v>
      </c>
      <c r="IH139">
        <v>1.86586</v>
      </c>
      <c r="II139">
        <v>1.86692</v>
      </c>
      <c r="IJ139">
        <v>1.8684</v>
      </c>
      <c r="IK139">
        <v>5</v>
      </c>
      <c r="IL139">
        <v>0</v>
      </c>
      <c r="IM139">
        <v>0</v>
      </c>
      <c r="IN139">
        <v>0</v>
      </c>
      <c r="IO139" t="s">
        <v>441</v>
      </c>
      <c r="IP139" t="s">
        <v>442</v>
      </c>
      <c r="IQ139" t="s">
        <v>443</v>
      </c>
      <c r="IR139" t="s">
        <v>443</v>
      </c>
      <c r="IS139" t="s">
        <v>443</v>
      </c>
      <c r="IT139" t="s">
        <v>443</v>
      </c>
      <c r="IU139">
        <v>0</v>
      </c>
      <c r="IV139">
        <v>100</v>
      </c>
      <c r="IW139">
        <v>100</v>
      </c>
      <c r="IX139">
        <v>1.752</v>
      </c>
      <c r="IY139">
        <v>-0.1111</v>
      </c>
      <c r="IZ139">
        <v>1.12474291219083</v>
      </c>
      <c r="JA139">
        <v>0.00463155566490582</v>
      </c>
      <c r="JB139">
        <v>-1.1358998729424e-06</v>
      </c>
      <c r="JC139">
        <v>3.28704272115545e-10</v>
      </c>
      <c r="JD139">
        <v>-0.0704455108513773</v>
      </c>
      <c r="JE139">
        <v>-0.0251928478371425</v>
      </c>
      <c r="JF139">
        <v>0.00225751704194564</v>
      </c>
      <c r="JG139">
        <v>-3.61734043746866e-05</v>
      </c>
      <c r="JH139">
        <v>1</v>
      </c>
      <c r="JI139">
        <v>2182</v>
      </c>
      <c r="JJ139">
        <v>0</v>
      </c>
      <c r="JK139">
        <v>24</v>
      </c>
      <c r="JL139">
        <v>29349864.4</v>
      </c>
      <c r="JM139">
        <v>29349864.4</v>
      </c>
      <c r="JN139">
        <v>0.380859</v>
      </c>
      <c r="JO139">
        <v>2.66846</v>
      </c>
      <c r="JP139">
        <v>1.54785</v>
      </c>
      <c r="JQ139">
        <v>2.31323</v>
      </c>
      <c r="JR139">
        <v>1.64673</v>
      </c>
      <c r="JS139">
        <v>2.30713</v>
      </c>
      <c r="JT139">
        <v>33.7155</v>
      </c>
      <c r="JU139">
        <v>24.1751</v>
      </c>
      <c r="JV139">
        <v>18</v>
      </c>
      <c r="JW139">
        <v>500.123</v>
      </c>
      <c r="JX139">
        <v>392.624</v>
      </c>
      <c r="JY139">
        <v>11.5537</v>
      </c>
      <c r="JZ139">
        <v>23.9571</v>
      </c>
      <c r="KA139">
        <v>30.0003</v>
      </c>
      <c r="KB139">
        <v>23.9261</v>
      </c>
      <c r="KC139">
        <v>23.8912</v>
      </c>
      <c r="KD139">
        <v>7.61084</v>
      </c>
      <c r="KE139">
        <v>11.841</v>
      </c>
      <c r="KF139">
        <v>27.2762</v>
      </c>
      <c r="KG139">
        <v>11.5481</v>
      </c>
      <c r="KH139">
        <v>101.986</v>
      </c>
      <c r="KI139">
        <v>9.82349</v>
      </c>
      <c r="KJ139">
        <v>97.0357</v>
      </c>
      <c r="KK139">
        <v>95.3004</v>
      </c>
    </row>
    <row r="140" spans="1:297">
      <c r="A140">
        <v>124</v>
      </c>
      <c r="B140">
        <v>1760991867</v>
      </c>
      <c r="C140">
        <v>2676.90000009537</v>
      </c>
      <c r="D140" t="s">
        <v>701</v>
      </c>
      <c r="E140" t="s">
        <v>702</v>
      </c>
      <c r="F140">
        <v>5</v>
      </c>
      <c r="G140" t="s">
        <v>662</v>
      </c>
      <c r="H140" t="s">
        <v>436</v>
      </c>
      <c r="I140">
        <v>1760991858.84615</v>
      </c>
      <c r="J140">
        <f>(K140)/1000</f>
        <v>0</v>
      </c>
      <c r="K140">
        <f>IF(DP140, AN140, AH140)</f>
        <v>0</v>
      </c>
      <c r="L140">
        <f>IF(DP140, AI140, AG140)</f>
        <v>0</v>
      </c>
      <c r="M140">
        <f>DR140 - IF(AU140&gt;1, L140*DL140*100.0/(AW140), 0)</f>
        <v>0</v>
      </c>
      <c r="N140">
        <f>((T140-J140/2)*M140-L140)/(T140+J140/2)</f>
        <v>0</v>
      </c>
      <c r="O140">
        <f>N140*(DY140+DZ140)/1000.0</f>
        <v>0</v>
      </c>
      <c r="P140">
        <f>(DR140 - IF(AU140&gt;1, L140*DL140*100.0/(AW140), 0))*(DY140+DZ140)/1000.0</f>
        <v>0</v>
      </c>
      <c r="Q140">
        <f>2.0/((1/S140-1/R140)+SIGN(S140)*SQRT((1/S140-1/R140)*(1/S140-1/R140) + 4*DM140/((DM140+1)*(DM140+1))*(2*1/S140*1/R140-1/R140*1/R140)))</f>
        <v>0</v>
      </c>
      <c r="R140">
        <f>IF(LEFT(DN140,1)&lt;&gt;"0",IF(LEFT(DN140,1)="1",3.0,DO140),$D$5+$E$5*(EF140*DY140/($K$5*1000))+$F$5*(EF140*DY140/($K$5*1000))*MAX(MIN(DL140,$J$5),$I$5)*MAX(MIN(DL140,$J$5),$I$5)+$G$5*MAX(MIN(DL140,$J$5),$I$5)*(EF140*DY140/($K$5*1000))+$H$5*(EF140*DY140/($K$5*1000))*(EF140*DY140/($K$5*1000)))</f>
        <v>0</v>
      </c>
      <c r="S140">
        <f>J140*(1000-(1000*0.61365*exp(17.502*W140/(240.97+W140))/(DY140+DZ140)+DT140)/2)/(1000*0.61365*exp(17.502*W140/(240.97+W140))/(DY140+DZ140)-DT140)</f>
        <v>0</v>
      </c>
      <c r="T140">
        <f>1/((DM140+1)/(Q140/1.6)+1/(R140/1.37)) + DM140/((DM140+1)/(Q140/1.6) + DM140/(R140/1.37))</f>
        <v>0</v>
      </c>
      <c r="U140">
        <f>(DH140*DK140)</f>
        <v>0</v>
      </c>
      <c r="V140">
        <f>(EA140+(U140+2*0.95*5.67E-8*(((EA140+$B$7)+273)^4-(EA140+273)^4)-44100*J140)/(1.84*29.3*R140+8*0.95*5.67E-8*(EA140+273)^3))</f>
        <v>0</v>
      </c>
      <c r="W140">
        <f>($C$7*EB140+$D$7*EC140+$E$7*V140)</f>
        <v>0</v>
      </c>
      <c r="X140">
        <f>0.61365*exp(17.502*W140/(240.97+W140))</f>
        <v>0</v>
      </c>
      <c r="Y140">
        <f>(Z140/AA140*100)</f>
        <v>0</v>
      </c>
      <c r="Z140">
        <f>DT140*(DY140+DZ140)/1000</f>
        <v>0</v>
      </c>
      <c r="AA140">
        <f>0.61365*exp(17.502*EA140/(240.97+EA140))</f>
        <v>0</v>
      </c>
      <c r="AB140">
        <f>(X140-DT140*(DY140+DZ140)/1000)</f>
        <v>0</v>
      </c>
      <c r="AC140">
        <f>(-J140*44100)</f>
        <v>0</v>
      </c>
      <c r="AD140">
        <f>2*29.3*R140*0.92*(EA140-W140)</f>
        <v>0</v>
      </c>
      <c r="AE140">
        <f>2*0.95*5.67E-8*(((EA140+$B$7)+273)^4-(W140+273)^4)</f>
        <v>0</v>
      </c>
      <c r="AF140">
        <f>U140+AE140+AC140+AD140</f>
        <v>0</v>
      </c>
      <c r="AG140">
        <f>DX140*AU140*(DS140-DR140*(1000-AU140*DU140)/(1000-AU140*DT140))/(100*DL140)</f>
        <v>0</v>
      </c>
      <c r="AH140">
        <f>1000*DX140*AU140*(DT140-DU140)/(100*DL140*(1000-AU140*DT140))</f>
        <v>0</v>
      </c>
      <c r="AI140">
        <f>(AJ140 - AK140 - DY140*1E3/(8.314*(EA140+273.15)) * AM140/DX140 * AL140) * DX140/(100*DL140) * (1000 - DU140)/1000</f>
        <v>0</v>
      </c>
      <c r="AJ140">
        <v>120.972025004701</v>
      </c>
      <c r="AK140">
        <v>130.783339393939</v>
      </c>
      <c r="AL140">
        <v>-3.21167451683352</v>
      </c>
      <c r="AM140">
        <v>65.2210784119795</v>
      </c>
      <c r="AN140">
        <f>(AP140 - AO140 + DY140*1E3/(8.314*(EA140+273.15)) * AR140/DX140 * AQ140) * DX140/(100*DL140) * 1000/(1000 - AP140)</f>
        <v>0</v>
      </c>
      <c r="AO140">
        <v>9.77602292713928</v>
      </c>
      <c r="AP140">
        <v>11.8258812121212</v>
      </c>
      <c r="AQ140">
        <v>1.19655799689407e-05</v>
      </c>
      <c r="AR140">
        <v>115.574510355221</v>
      </c>
      <c r="AS140">
        <v>0</v>
      </c>
      <c r="AT140">
        <v>0</v>
      </c>
      <c r="AU140">
        <f>IF(AS140*$H$13&gt;=AW140,1.0,(AW140/(AW140-AS140*$H$13)))</f>
        <v>0</v>
      </c>
      <c r="AV140">
        <f>(AU140-1)*100</f>
        <v>0</v>
      </c>
      <c r="AW140">
        <f>MAX(0,($B$13+$C$13*EF140)/(1+$D$13*EF140)*DY140/(EA140+273)*$E$13)</f>
        <v>0</v>
      </c>
      <c r="AX140" t="s">
        <v>437</v>
      </c>
      <c r="AY140" t="s">
        <v>437</v>
      </c>
      <c r="AZ140">
        <v>0</v>
      </c>
      <c r="BA140">
        <v>0</v>
      </c>
      <c r="BB140">
        <f>1-AZ140/BA140</f>
        <v>0</v>
      </c>
      <c r="BC140">
        <v>0</v>
      </c>
      <c r="BD140" t="s">
        <v>437</v>
      </c>
      <c r="BE140" t="s">
        <v>437</v>
      </c>
      <c r="BF140">
        <v>0</v>
      </c>
      <c r="BG140">
        <v>0</v>
      </c>
      <c r="BH140">
        <f>1-BF140/BG140</f>
        <v>0</v>
      </c>
      <c r="BI140">
        <v>0.5</v>
      </c>
      <c r="BJ140">
        <f>DI140</f>
        <v>0</v>
      </c>
      <c r="BK140">
        <f>L140</f>
        <v>0</v>
      </c>
      <c r="BL140">
        <f>BH140*BI140*BJ140</f>
        <v>0</v>
      </c>
      <c r="BM140">
        <f>(BK140-BC140)/BJ140</f>
        <v>0</v>
      </c>
      <c r="BN140">
        <f>(BA140-BG140)/BG140</f>
        <v>0</v>
      </c>
      <c r="BO140">
        <f>AZ140/(BB140+AZ140/BG140)</f>
        <v>0</v>
      </c>
      <c r="BP140" t="s">
        <v>437</v>
      </c>
      <c r="BQ140">
        <v>0</v>
      </c>
      <c r="BR140">
        <f>IF(BQ140&lt;&gt;0, BQ140, BO140)</f>
        <v>0</v>
      </c>
      <c r="BS140">
        <f>1-BR140/BG140</f>
        <v>0</v>
      </c>
      <c r="BT140">
        <f>(BG140-BF140)/(BG140-BR140)</f>
        <v>0</v>
      </c>
      <c r="BU140">
        <f>(BA140-BG140)/(BA140-BR140)</f>
        <v>0</v>
      </c>
      <c r="BV140">
        <f>(BG140-BF140)/(BG140-AZ140)</f>
        <v>0</v>
      </c>
      <c r="BW140">
        <f>(BA140-BG140)/(BA140-AZ140)</f>
        <v>0</v>
      </c>
      <c r="BX140">
        <f>(BT140*BR140/BF140)</f>
        <v>0</v>
      </c>
      <c r="BY140">
        <f>(1-BX140)</f>
        <v>0</v>
      </c>
      <c r="BZ140">
        <v>282</v>
      </c>
      <c r="CA140">
        <v>290</v>
      </c>
      <c r="CB140">
        <v>1577.74</v>
      </c>
      <c r="CC140">
        <v>295</v>
      </c>
      <c r="CD140">
        <v>5140.93</v>
      </c>
      <c r="CE140">
        <v>1578.58</v>
      </c>
      <c r="CF140">
        <v>-0.84</v>
      </c>
      <c r="CG140">
        <v>300</v>
      </c>
      <c r="CH140">
        <v>23.8</v>
      </c>
      <c r="CI140">
        <v>1633.28263291266</v>
      </c>
      <c r="CJ140">
        <v>1.49577129053257</v>
      </c>
      <c r="CK140">
        <v>-28.1203876934379</v>
      </c>
      <c r="CL140">
        <v>0.666413418688897</v>
      </c>
      <c r="CM140">
        <v>0.984518017981194</v>
      </c>
      <c r="CN140">
        <v>-0.00424727541713014</v>
      </c>
      <c r="CO140">
        <v>290</v>
      </c>
      <c r="CP140">
        <v>1576.56</v>
      </c>
      <c r="CQ140">
        <v>775</v>
      </c>
      <c r="CR140">
        <v>5139.5</v>
      </c>
      <c r="CS140">
        <v>1578.57</v>
      </c>
      <c r="CT140">
        <v>-2.01</v>
      </c>
      <c r="DH140">
        <f>$B$11*EG140+$C$11*EH140+$F$11*ES140*(1-EV140)</f>
        <v>0</v>
      </c>
      <c r="DI140">
        <f>DH140*DJ140</f>
        <v>0</v>
      </c>
      <c r="DJ140">
        <f>($B$11*$D$9+$C$11*$D$9+$F$11*((FF140+EX140)/MAX(FF140+EX140+FG140, 0.1)*$I$9+FG140/MAX(FF140+EX140+FG140, 0.1)*$J$9))/($B$11+$C$11+$F$11)</f>
        <v>0</v>
      </c>
      <c r="DK140">
        <f>($B$11*$K$9+$C$11*$K$9+$F$11*((FF140+EX140)/MAX(FF140+EX140+FG140, 0.1)*$P$9+FG140/MAX(FF140+EX140+FG140, 0.1)*$Q$9))/($B$11+$C$11+$F$11)</f>
        <v>0</v>
      </c>
      <c r="DL140">
        <v>6</v>
      </c>
      <c r="DM140">
        <v>0.5</v>
      </c>
      <c r="DN140" t="s">
        <v>438</v>
      </c>
      <c r="DO140">
        <v>2</v>
      </c>
      <c r="DP140" t="b">
        <v>1</v>
      </c>
      <c r="DQ140">
        <v>1760991858.84615</v>
      </c>
      <c r="DR140">
        <v>151.520307692308</v>
      </c>
      <c r="DS140">
        <v>135.538846153846</v>
      </c>
      <c r="DT140">
        <v>11.8191769230769</v>
      </c>
      <c r="DU140">
        <v>9.77262</v>
      </c>
      <c r="DV140">
        <v>149.726769230769</v>
      </c>
      <c r="DW140">
        <v>11.9302923076923</v>
      </c>
      <c r="DX140">
        <v>500.022846153846</v>
      </c>
      <c r="DY140">
        <v>89.8302538461539</v>
      </c>
      <c r="DZ140">
        <v>0.00842005076923077</v>
      </c>
      <c r="EA140">
        <v>18.3770538461538</v>
      </c>
      <c r="EB140">
        <v>17.9998923076923</v>
      </c>
      <c r="EC140">
        <v>999.9</v>
      </c>
      <c r="ED140">
        <v>0</v>
      </c>
      <c r="EE140">
        <v>0</v>
      </c>
      <c r="EF140">
        <v>9998.02461538461</v>
      </c>
      <c r="EG140">
        <v>0</v>
      </c>
      <c r="EH140">
        <v>1278.83538461538</v>
      </c>
      <c r="EI140">
        <v>15.9815615384615</v>
      </c>
      <c r="EJ140">
        <v>153.332538461538</v>
      </c>
      <c r="EK140">
        <v>136.876384615385</v>
      </c>
      <c r="EL140">
        <v>2.04655692307692</v>
      </c>
      <c r="EM140">
        <v>135.538846153846</v>
      </c>
      <c r="EN140">
        <v>9.77262</v>
      </c>
      <c r="EO140">
        <v>1.06172076923077</v>
      </c>
      <c r="EP140">
        <v>0.877876923076923</v>
      </c>
      <c r="EQ140">
        <v>7.79204769230769</v>
      </c>
      <c r="ER140">
        <v>5.03308846153846</v>
      </c>
      <c r="ES140">
        <v>1199.99538461538</v>
      </c>
      <c r="ET140">
        <v>0.966989692307692</v>
      </c>
      <c r="EU140">
        <v>0.0330100461538462</v>
      </c>
      <c r="EV140">
        <v>0</v>
      </c>
      <c r="EW140">
        <v>1286.73769230769</v>
      </c>
      <c r="EX140">
        <v>5.00059</v>
      </c>
      <c r="EY140">
        <v>15121.9538461538</v>
      </c>
      <c r="EZ140">
        <v>10358.6461538462</v>
      </c>
      <c r="FA140">
        <v>36.4708461538462</v>
      </c>
      <c r="FB140">
        <v>38.1103846153846</v>
      </c>
      <c r="FC140">
        <v>36.9036153846154</v>
      </c>
      <c r="FD140">
        <v>37.3459230769231</v>
      </c>
      <c r="FE140">
        <v>37.3843076923077</v>
      </c>
      <c r="FF140">
        <v>1155.54769230769</v>
      </c>
      <c r="FG140">
        <v>39.4476923076923</v>
      </c>
      <c r="FH140">
        <v>0</v>
      </c>
      <c r="FI140">
        <v>722.600000143051</v>
      </c>
      <c r="FJ140">
        <v>0</v>
      </c>
      <c r="FK140">
        <v>1286.08038461538</v>
      </c>
      <c r="FL140">
        <v>-92.5760684477107</v>
      </c>
      <c r="FM140">
        <v>-1104.04444523657</v>
      </c>
      <c r="FN140">
        <v>15114.0576923077</v>
      </c>
      <c r="FO140">
        <v>15</v>
      </c>
      <c r="FP140">
        <v>0</v>
      </c>
      <c r="FQ140" t="s">
        <v>439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15.6895571428571</v>
      </c>
      <c r="GD140">
        <v>8.78171688311687</v>
      </c>
      <c r="GE140">
        <v>1.00345182700299</v>
      </c>
      <c r="GF140">
        <v>0</v>
      </c>
      <c r="GG140">
        <v>1290.35676470588</v>
      </c>
      <c r="GH140">
        <v>-87.0974790302518</v>
      </c>
      <c r="GI140">
        <v>8.56021464841797</v>
      </c>
      <c r="GJ140">
        <v>-1</v>
      </c>
      <c r="GK140">
        <v>2.04691666666667</v>
      </c>
      <c r="GL140">
        <v>-0.010298181818177</v>
      </c>
      <c r="GM140">
        <v>0.00383784206892774</v>
      </c>
      <c r="GN140">
        <v>1</v>
      </c>
      <c r="GO140">
        <v>1</v>
      </c>
      <c r="GP140">
        <v>2</v>
      </c>
      <c r="GQ140" t="s">
        <v>446</v>
      </c>
      <c r="GR140">
        <v>3.13077</v>
      </c>
      <c r="GS140">
        <v>2.68643</v>
      </c>
      <c r="GT140">
        <v>0.0316665</v>
      </c>
      <c r="GU140">
        <v>0.0279782</v>
      </c>
      <c r="GV140">
        <v>0.0617322</v>
      </c>
      <c r="GW140">
        <v>0.0531798</v>
      </c>
      <c r="GX140">
        <v>36696.1</v>
      </c>
      <c r="GY140">
        <v>39582.8</v>
      </c>
      <c r="GZ140">
        <v>34263.8</v>
      </c>
      <c r="HA140">
        <v>36847.4</v>
      </c>
      <c r="HB140">
        <v>45340.6</v>
      </c>
      <c r="HC140">
        <v>50017.9</v>
      </c>
      <c r="HD140">
        <v>53336.9</v>
      </c>
      <c r="HE140">
        <v>58774.6</v>
      </c>
      <c r="HF140">
        <v>2.00752</v>
      </c>
      <c r="HG140">
        <v>1.8346</v>
      </c>
      <c r="HH140">
        <v>0.0077337</v>
      </c>
      <c r="HI140">
        <v>0</v>
      </c>
      <c r="HJ140">
        <v>17.8559</v>
      </c>
      <c r="HK140">
        <v>999.9</v>
      </c>
      <c r="HL140">
        <v>27.213</v>
      </c>
      <c r="HM140">
        <v>30.504</v>
      </c>
      <c r="HN140">
        <v>13.2854</v>
      </c>
      <c r="HO140">
        <v>54.4691</v>
      </c>
      <c r="HP140">
        <v>44.2107</v>
      </c>
      <c r="HQ140">
        <v>1</v>
      </c>
      <c r="HR140">
        <v>-0.263892</v>
      </c>
      <c r="HS140">
        <v>4.7131</v>
      </c>
      <c r="HT140">
        <v>20.0732</v>
      </c>
      <c r="HU140">
        <v>5.19872</v>
      </c>
      <c r="HV140">
        <v>12.004</v>
      </c>
      <c r="HW140">
        <v>4.97545</v>
      </c>
      <c r="HX140">
        <v>3.29288</v>
      </c>
      <c r="HY140">
        <v>9999</v>
      </c>
      <c r="HZ140">
        <v>999.9</v>
      </c>
      <c r="IA140">
        <v>9999</v>
      </c>
      <c r="IB140">
        <v>9999</v>
      </c>
      <c r="IC140">
        <v>1.86325</v>
      </c>
      <c r="ID140">
        <v>1.86805</v>
      </c>
      <c r="IE140">
        <v>1.86783</v>
      </c>
      <c r="IF140">
        <v>1.86905</v>
      </c>
      <c r="IG140">
        <v>1.86981</v>
      </c>
      <c r="IH140">
        <v>1.86585</v>
      </c>
      <c r="II140">
        <v>1.86692</v>
      </c>
      <c r="IJ140">
        <v>1.8684</v>
      </c>
      <c r="IK140">
        <v>5</v>
      </c>
      <c r="IL140">
        <v>0</v>
      </c>
      <c r="IM140">
        <v>0</v>
      </c>
      <c r="IN140">
        <v>0</v>
      </c>
      <c r="IO140" t="s">
        <v>441</v>
      </c>
      <c r="IP140" t="s">
        <v>442</v>
      </c>
      <c r="IQ140" t="s">
        <v>443</v>
      </c>
      <c r="IR140" t="s">
        <v>443</v>
      </c>
      <c r="IS140" t="s">
        <v>443</v>
      </c>
      <c r="IT140" t="s">
        <v>443</v>
      </c>
      <c r="IU140">
        <v>0</v>
      </c>
      <c r="IV140">
        <v>100</v>
      </c>
      <c r="IW140">
        <v>100</v>
      </c>
      <c r="IX140">
        <v>1.684</v>
      </c>
      <c r="IY140">
        <v>-0.1111</v>
      </c>
      <c r="IZ140">
        <v>1.12474291219083</v>
      </c>
      <c r="JA140">
        <v>0.00463155566490582</v>
      </c>
      <c r="JB140">
        <v>-1.1358998729424e-06</v>
      </c>
      <c r="JC140">
        <v>3.28704272115545e-10</v>
      </c>
      <c r="JD140">
        <v>-0.0704455108513773</v>
      </c>
      <c r="JE140">
        <v>-0.0251928478371425</v>
      </c>
      <c r="JF140">
        <v>0.00225751704194564</v>
      </c>
      <c r="JG140">
        <v>-3.61734043746866e-05</v>
      </c>
      <c r="JH140">
        <v>1</v>
      </c>
      <c r="JI140">
        <v>2182</v>
      </c>
      <c r="JJ140">
        <v>0</v>
      </c>
      <c r="JK140">
        <v>24</v>
      </c>
      <c r="JL140">
        <v>29349864.4</v>
      </c>
      <c r="JM140">
        <v>29349864.4</v>
      </c>
      <c r="JN140">
        <v>0.350342</v>
      </c>
      <c r="JO140">
        <v>2.66724</v>
      </c>
      <c r="JP140">
        <v>1.54785</v>
      </c>
      <c r="JQ140">
        <v>2.31445</v>
      </c>
      <c r="JR140">
        <v>1.64673</v>
      </c>
      <c r="JS140">
        <v>2.31567</v>
      </c>
      <c r="JT140">
        <v>33.7155</v>
      </c>
      <c r="JU140">
        <v>24.1751</v>
      </c>
      <c r="JV140">
        <v>18</v>
      </c>
      <c r="JW140">
        <v>499.925</v>
      </c>
      <c r="JX140">
        <v>392.821</v>
      </c>
      <c r="JY140">
        <v>11.5512</v>
      </c>
      <c r="JZ140">
        <v>23.9571</v>
      </c>
      <c r="KA140">
        <v>30.0001</v>
      </c>
      <c r="KB140">
        <v>23.927</v>
      </c>
      <c r="KC140">
        <v>23.8932</v>
      </c>
      <c r="KD140">
        <v>6.90785</v>
      </c>
      <c r="KE140">
        <v>11.841</v>
      </c>
      <c r="KF140">
        <v>27.2762</v>
      </c>
      <c r="KG140">
        <v>11.5507</v>
      </c>
      <c r="KH140">
        <v>81.7592</v>
      </c>
      <c r="KI140">
        <v>9.82349</v>
      </c>
      <c r="KJ140">
        <v>97.0365</v>
      </c>
      <c r="KK140">
        <v>95.2999</v>
      </c>
    </row>
    <row r="141" spans="1:297">
      <c r="A141">
        <v>125</v>
      </c>
      <c r="B141">
        <v>1760991872</v>
      </c>
      <c r="C141">
        <v>2681.90000009537</v>
      </c>
      <c r="D141" t="s">
        <v>703</v>
      </c>
      <c r="E141" t="s">
        <v>704</v>
      </c>
      <c r="F141">
        <v>5</v>
      </c>
      <c r="G141" t="s">
        <v>662</v>
      </c>
      <c r="H141" t="s">
        <v>436</v>
      </c>
      <c r="I141">
        <v>1760991863.84615</v>
      </c>
      <c r="J141">
        <f>(K141)/1000</f>
        <v>0</v>
      </c>
      <c r="K141">
        <f>IF(DP141, AN141, AH141)</f>
        <v>0</v>
      </c>
      <c r="L141">
        <f>IF(DP141, AI141, AG141)</f>
        <v>0</v>
      </c>
      <c r="M141">
        <f>DR141 - IF(AU141&gt;1, L141*DL141*100.0/(AW141), 0)</f>
        <v>0</v>
      </c>
      <c r="N141">
        <f>((T141-J141/2)*M141-L141)/(T141+J141/2)</f>
        <v>0</v>
      </c>
      <c r="O141">
        <f>N141*(DY141+DZ141)/1000.0</f>
        <v>0</v>
      </c>
      <c r="P141">
        <f>(DR141 - IF(AU141&gt;1, L141*DL141*100.0/(AW141), 0))*(DY141+DZ141)/1000.0</f>
        <v>0</v>
      </c>
      <c r="Q141">
        <f>2.0/((1/S141-1/R141)+SIGN(S141)*SQRT((1/S141-1/R141)*(1/S141-1/R141) + 4*DM141/((DM141+1)*(DM141+1))*(2*1/S141*1/R141-1/R141*1/R141)))</f>
        <v>0</v>
      </c>
      <c r="R141">
        <f>IF(LEFT(DN141,1)&lt;&gt;"0",IF(LEFT(DN141,1)="1",3.0,DO141),$D$5+$E$5*(EF141*DY141/($K$5*1000))+$F$5*(EF141*DY141/($K$5*1000))*MAX(MIN(DL141,$J$5),$I$5)*MAX(MIN(DL141,$J$5),$I$5)+$G$5*MAX(MIN(DL141,$J$5),$I$5)*(EF141*DY141/($K$5*1000))+$H$5*(EF141*DY141/($K$5*1000))*(EF141*DY141/($K$5*1000)))</f>
        <v>0</v>
      </c>
      <c r="S141">
        <f>J141*(1000-(1000*0.61365*exp(17.502*W141/(240.97+W141))/(DY141+DZ141)+DT141)/2)/(1000*0.61365*exp(17.502*W141/(240.97+W141))/(DY141+DZ141)-DT141)</f>
        <v>0</v>
      </c>
      <c r="T141">
        <f>1/((DM141+1)/(Q141/1.6)+1/(R141/1.37)) + DM141/((DM141+1)/(Q141/1.6) + DM141/(R141/1.37))</f>
        <v>0</v>
      </c>
      <c r="U141">
        <f>(DH141*DK141)</f>
        <v>0</v>
      </c>
      <c r="V141">
        <f>(EA141+(U141+2*0.95*5.67E-8*(((EA141+$B$7)+273)^4-(EA141+273)^4)-44100*J141)/(1.84*29.3*R141+8*0.95*5.67E-8*(EA141+273)^3))</f>
        <v>0</v>
      </c>
      <c r="W141">
        <f>($C$7*EB141+$D$7*EC141+$E$7*V141)</f>
        <v>0</v>
      </c>
      <c r="X141">
        <f>0.61365*exp(17.502*W141/(240.97+W141))</f>
        <v>0</v>
      </c>
      <c r="Y141">
        <f>(Z141/AA141*100)</f>
        <v>0</v>
      </c>
      <c r="Z141">
        <f>DT141*(DY141+DZ141)/1000</f>
        <v>0</v>
      </c>
      <c r="AA141">
        <f>0.61365*exp(17.502*EA141/(240.97+EA141))</f>
        <v>0</v>
      </c>
      <c r="AB141">
        <f>(X141-DT141*(DY141+DZ141)/1000)</f>
        <v>0</v>
      </c>
      <c r="AC141">
        <f>(-J141*44100)</f>
        <v>0</v>
      </c>
      <c r="AD141">
        <f>2*29.3*R141*0.92*(EA141-W141)</f>
        <v>0</v>
      </c>
      <c r="AE141">
        <f>2*0.95*5.67E-8*(((EA141+$B$7)+273)^4-(W141+273)^4)</f>
        <v>0</v>
      </c>
      <c r="AF141">
        <f>U141+AE141+AC141+AD141</f>
        <v>0</v>
      </c>
      <c r="AG141">
        <f>DX141*AU141*(DS141-DR141*(1000-AU141*DU141)/(1000-AU141*DT141))/(100*DL141)</f>
        <v>0</v>
      </c>
      <c r="AH141">
        <f>1000*DX141*AU141*(DT141-DU141)/(100*DL141*(1000-AU141*DT141))</f>
        <v>0</v>
      </c>
      <c r="AI141">
        <f>(AJ141 - AK141 - DY141*1E3/(8.314*(EA141+273.15)) * AM141/DX141 * AL141) * DX141/(100*DL141) * (1000 - DU141)/1000</f>
        <v>0</v>
      </c>
      <c r="AJ141">
        <v>104.613388527897</v>
      </c>
      <c r="AK141">
        <v>115.061490909091</v>
      </c>
      <c r="AL141">
        <v>-3.12599523062857</v>
      </c>
      <c r="AM141">
        <v>65.2210784119795</v>
      </c>
      <c r="AN141">
        <f>(AP141 - AO141 + DY141*1E3/(8.314*(EA141+273.15)) * AR141/DX141 * AQ141) * DX141/(100*DL141) * 1000/(1000 - AP141)</f>
        <v>0</v>
      </c>
      <c r="AO141">
        <v>9.77236676782931</v>
      </c>
      <c r="AP141">
        <v>11.8267133333333</v>
      </c>
      <c r="AQ141">
        <v>1.08823207173203e-05</v>
      </c>
      <c r="AR141">
        <v>115.574510355221</v>
      </c>
      <c r="AS141">
        <v>0</v>
      </c>
      <c r="AT141">
        <v>0</v>
      </c>
      <c r="AU141">
        <f>IF(AS141*$H$13&gt;=AW141,1.0,(AW141/(AW141-AS141*$H$13)))</f>
        <v>0</v>
      </c>
      <c r="AV141">
        <f>(AU141-1)*100</f>
        <v>0</v>
      </c>
      <c r="AW141">
        <f>MAX(0,($B$13+$C$13*EF141)/(1+$D$13*EF141)*DY141/(EA141+273)*$E$13)</f>
        <v>0</v>
      </c>
      <c r="AX141" t="s">
        <v>437</v>
      </c>
      <c r="AY141" t="s">
        <v>437</v>
      </c>
      <c r="AZ141">
        <v>0</v>
      </c>
      <c r="BA141">
        <v>0</v>
      </c>
      <c r="BB141">
        <f>1-AZ141/BA141</f>
        <v>0</v>
      </c>
      <c r="BC141">
        <v>0</v>
      </c>
      <c r="BD141" t="s">
        <v>437</v>
      </c>
      <c r="BE141" t="s">
        <v>437</v>
      </c>
      <c r="BF141">
        <v>0</v>
      </c>
      <c r="BG141">
        <v>0</v>
      </c>
      <c r="BH141">
        <f>1-BF141/BG141</f>
        <v>0</v>
      </c>
      <c r="BI141">
        <v>0.5</v>
      </c>
      <c r="BJ141">
        <f>DI141</f>
        <v>0</v>
      </c>
      <c r="BK141">
        <f>L141</f>
        <v>0</v>
      </c>
      <c r="BL141">
        <f>BH141*BI141*BJ141</f>
        <v>0</v>
      </c>
      <c r="BM141">
        <f>(BK141-BC141)/BJ141</f>
        <v>0</v>
      </c>
      <c r="BN141">
        <f>(BA141-BG141)/BG141</f>
        <v>0</v>
      </c>
      <c r="BO141">
        <f>AZ141/(BB141+AZ141/BG141)</f>
        <v>0</v>
      </c>
      <c r="BP141" t="s">
        <v>437</v>
      </c>
      <c r="BQ141">
        <v>0</v>
      </c>
      <c r="BR141">
        <f>IF(BQ141&lt;&gt;0, BQ141, BO141)</f>
        <v>0</v>
      </c>
      <c r="BS141">
        <f>1-BR141/BG141</f>
        <v>0</v>
      </c>
      <c r="BT141">
        <f>(BG141-BF141)/(BG141-BR141)</f>
        <v>0</v>
      </c>
      <c r="BU141">
        <f>(BA141-BG141)/(BA141-BR141)</f>
        <v>0</v>
      </c>
      <c r="BV141">
        <f>(BG141-BF141)/(BG141-AZ141)</f>
        <v>0</v>
      </c>
      <c r="BW141">
        <f>(BA141-BG141)/(BA141-AZ141)</f>
        <v>0</v>
      </c>
      <c r="BX141">
        <f>(BT141*BR141/BF141)</f>
        <v>0</v>
      </c>
      <c r="BY141">
        <f>(1-BX141)</f>
        <v>0</v>
      </c>
      <c r="BZ141">
        <v>282</v>
      </c>
      <c r="CA141">
        <v>290</v>
      </c>
      <c r="CB141">
        <v>1577.74</v>
      </c>
      <c r="CC141">
        <v>295</v>
      </c>
      <c r="CD141">
        <v>5140.93</v>
      </c>
      <c r="CE141">
        <v>1578.58</v>
      </c>
      <c r="CF141">
        <v>-0.84</v>
      </c>
      <c r="CG141">
        <v>300</v>
      </c>
      <c r="CH141">
        <v>23.8</v>
      </c>
      <c r="CI141">
        <v>1633.28263291266</v>
      </c>
      <c r="CJ141">
        <v>1.49577129053257</v>
      </c>
      <c r="CK141">
        <v>-28.1203876934379</v>
      </c>
      <c r="CL141">
        <v>0.666413418688897</v>
      </c>
      <c r="CM141">
        <v>0.984518017981194</v>
      </c>
      <c r="CN141">
        <v>-0.00424727541713014</v>
      </c>
      <c r="CO141">
        <v>290</v>
      </c>
      <c r="CP141">
        <v>1576.56</v>
      </c>
      <c r="CQ141">
        <v>775</v>
      </c>
      <c r="CR141">
        <v>5139.5</v>
      </c>
      <c r="CS141">
        <v>1578.57</v>
      </c>
      <c r="CT141">
        <v>-2.01</v>
      </c>
      <c r="DH141">
        <f>$B$11*EG141+$C$11*EH141+$F$11*ES141*(1-EV141)</f>
        <v>0</v>
      </c>
      <c r="DI141">
        <f>DH141*DJ141</f>
        <v>0</v>
      </c>
      <c r="DJ141">
        <f>($B$11*$D$9+$C$11*$D$9+$F$11*((FF141+EX141)/MAX(FF141+EX141+FG141, 0.1)*$I$9+FG141/MAX(FF141+EX141+FG141, 0.1)*$J$9))/($B$11+$C$11+$F$11)</f>
        <v>0</v>
      </c>
      <c r="DK141">
        <f>($B$11*$K$9+$C$11*$K$9+$F$11*((FF141+EX141)/MAX(FF141+EX141+FG141, 0.1)*$P$9+FG141/MAX(FF141+EX141+FG141, 0.1)*$Q$9))/($B$11+$C$11+$F$11)</f>
        <v>0</v>
      </c>
      <c r="DL141">
        <v>6</v>
      </c>
      <c r="DM141">
        <v>0.5</v>
      </c>
      <c r="DN141" t="s">
        <v>438</v>
      </c>
      <c r="DO141">
        <v>2</v>
      </c>
      <c r="DP141" t="b">
        <v>1</v>
      </c>
      <c r="DQ141">
        <v>1760991863.84615</v>
      </c>
      <c r="DR141">
        <v>135.998692307692</v>
      </c>
      <c r="DS141">
        <v>119.181015384615</v>
      </c>
      <c r="DT141">
        <v>11.8232153846154</v>
      </c>
      <c r="DU141">
        <v>9.77578461538462</v>
      </c>
      <c r="DV141">
        <v>134.272230769231</v>
      </c>
      <c r="DW141">
        <v>11.9342923076923</v>
      </c>
      <c r="DX141">
        <v>499.972923076923</v>
      </c>
      <c r="DY141">
        <v>89.8305230769231</v>
      </c>
      <c r="DZ141">
        <v>0.00857592923076923</v>
      </c>
      <c r="EA141">
        <v>18.3723153846154</v>
      </c>
      <c r="EB141">
        <v>17.9975538461538</v>
      </c>
      <c r="EC141">
        <v>999.9</v>
      </c>
      <c r="ED141">
        <v>0</v>
      </c>
      <c r="EE141">
        <v>0</v>
      </c>
      <c r="EF141">
        <v>9995.42538461538</v>
      </c>
      <c r="EG141">
        <v>0</v>
      </c>
      <c r="EH141">
        <v>1278.83769230769</v>
      </c>
      <c r="EI141">
        <v>16.8178230769231</v>
      </c>
      <c r="EJ141">
        <v>137.625923076923</v>
      </c>
      <c r="EK141">
        <v>120.357553846154</v>
      </c>
      <c r="EL141">
        <v>2.04743538461538</v>
      </c>
      <c r="EM141">
        <v>119.181015384615</v>
      </c>
      <c r="EN141">
        <v>9.77578461538462</v>
      </c>
      <c r="EO141">
        <v>1.06208692307692</v>
      </c>
      <c r="EP141">
        <v>0.878163923076923</v>
      </c>
      <c r="EQ141">
        <v>7.79711</v>
      </c>
      <c r="ER141">
        <v>5.03778</v>
      </c>
      <c r="ES141">
        <v>1199.98461538462</v>
      </c>
      <c r="ET141">
        <v>0.966988923076923</v>
      </c>
      <c r="EU141">
        <v>0.0330107307692308</v>
      </c>
      <c r="EV141">
        <v>0</v>
      </c>
      <c r="EW141">
        <v>1278.71076923077</v>
      </c>
      <c r="EX141">
        <v>5.00059</v>
      </c>
      <c r="EY141">
        <v>15026.4923076923</v>
      </c>
      <c r="EZ141">
        <v>10358.5461538462</v>
      </c>
      <c r="FA141">
        <v>36.4276153846154</v>
      </c>
      <c r="FB141">
        <v>38.0766923076923</v>
      </c>
      <c r="FC141">
        <v>36.8603076923077</v>
      </c>
      <c r="FD141">
        <v>37.3026923076923</v>
      </c>
      <c r="FE141">
        <v>37.3458461538462</v>
      </c>
      <c r="FF141">
        <v>1155.53692307692</v>
      </c>
      <c r="FG141">
        <v>39.4476923076923</v>
      </c>
      <c r="FH141">
        <v>0</v>
      </c>
      <c r="FI141">
        <v>728</v>
      </c>
      <c r="FJ141">
        <v>0</v>
      </c>
      <c r="FK141">
        <v>1276.8748</v>
      </c>
      <c r="FL141">
        <v>-102.124615547732</v>
      </c>
      <c r="FM141">
        <v>-1213.7461557399</v>
      </c>
      <c r="FN141">
        <v>15003.904</v>
      </c>
      <c r="FO141">
        <v>15</v>
      </c>
      <c r="FP141">
        <v>0</v>
      </c>
      <c r="FQ141" t="s">
        <v>439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16.38619</v>
      </c>
      <c r="GD141">
        <v>11.5355368421053</v>
      </c>
      <c r="GE141">
        <v>1.16839649601494</v>
      </c>
      <c r="GF141">
        <v>0</v>
      </c>
      <c r="GG141">
        <v>1283.04911764706</v>
      </c>
      <c r="GH141">
        <v>-95.6961038196124</v>
      </c>
      <c r="GI141">
        <v>9.4021603799174</v>
      </c>
      <c r="GJ141">
        <v>-1</v>
      </c>
      <c r="GK141">
        <v>2.0476715</v>
      </c>
      <c r="GL141">
        <v>0.0203463157894747</v>
      </c>
      <c r="GM141">
        <v>0.00460178799489935</v>
      </c>
      <c r="GN141">
        <v>1</v>
      </c>
      <c r="GO141">
        <v>1</v>
      </c>
      <c r="GP141">
        <v>2</v>
      </c>
      <c r="GQ141" t="s">
        <v>446</v>
      </c>
      <c r="GR141">
        <v>3.13092</v>
      </c>
      <c r="GS141">
        <v>2.68684</v>
      </c>
      <c r="GT141">
        <v>0.0279374</v>
      </c>
      <c r="GU141">
        <v>0.0237547</v>
      </c>
      <c r="GV141">
        <v>0.0617403</v>
      </c>
      <c r="GW141">
        <v>0.0531662</v>
      </c>
      <c r="GX141">
        <v>36837.7</v>
      </c>
      <c r="GY141">
        <v>39754.9</v>
      </c>
      <c r="GZ141">
        <v>34264</v>
      </c>
      <c r="HA141">
        <v>36847.4</v>
      </c>
      <c r="HB141">
        <v>45340.2</v>
      </c>
      <c r="HC141">
        <v>50018.2</v>
      </c>
      <c r="HD141">
        <v>53337.4</v>
      </c>
      <c r="HE141">
        <v>58774.7</v>
      </c>
      <c r="HF141">
        <v>2.0078</v>
      </c>
      <c r="HG141">
        <v>1.83415</v>
      </c>
      <c r="HH141">
        <v>0.00868738</v>
      </c>
      <c r="HI141">
        <v>0</v>
      </c>
      <c r="HJ141">
        <v>17.8555</v>
      </c>
      <c r="HK141">
        <v>999.9</v>
      </c>
      <c r="HL141">
        <v>27.188</v>
      </c>
      <c r="HM141">
        <v>30.494</v>
      </c>
      <c r="HN141">
        <v>13.2651</v>
      </c>
      <c r="HO141">
        <v>54.3291</v>
      </c>
      <c r="HP141">
        <v>44.2027</v>
      </c>
      <c r="HQ141">
        <v>1</v>
      </c>
      <c r="HR141">
        <v>-0.263862</v>
      </c>
      <c r="HS141">
        <v>4.70194</v>
      </c>
      <c r="HT141">
        <v>20.0738</v>
      </c>
      <c r="HU141">
        <v>5.19932</v>
      </c>
      <c r="HV141">
        <v>12.004</v>
      </c>
      <c r="HW141">
        <v>4.97575</v>
      </c>
      <c r="HX141">
        <v>3.29295</v>
      </c>
      <c r="HY141">
        <v>9999</v>
      </c>
      <c r="HZ141">
        <v>999.9</v>
      </c>
      <c r="IA141">
        <v>9999</v>
      </c>
      <c r="IB141">
        <v>9999</v>
      </c>
      <c r="IC141">
        <v>1.86325</v>
      </c>
      <c r="ID141">
        <v>1.86803</v>
      </c>
      <c r="IE141">
        <v>1.86783</v>
      </c>
      <c r="IF141">
        <v>1.86905</v>
      </c>
      <c r="IG141">
        <v>1.86981</v>
      </c>
      <c r="IH141">
        <v>1.86584</v>
      </c>
      <c r="II141">
        <v>1.86692</v>
      </c>
      <c r="IJ141">
        <v>1.86836</v>
      </c>
      <c r="IK141">
        <v>5</v>
      </c>
      <c r="IL141">
        <v>0</v>
      </c>
      <c r="IM141">
        <v>0</v>
      </c>
      <c r="IN141">
        <v>0</v>
      </c>
      <c r="IO141" t="s">
        <v>441</v>
      </c>
      <c r="IP141" t="s">
        <v>442</v>
      </c>
      <c r="IQ141" t="s">
        <v>443</v>
      </c>
      <c r="IR141" t="s">
        <v>443</v>
      </c>
      <c r="IS141" t="s">
        <v>443</v>
      </c>
      <c r="IT141" t="s">
        <v>443</v>
      </c>
      <c r="IU141">
        <v>0</v>
      </c>
      <c r="IV141">
        <v>100</v>
      </c>
      <c r="IW141">
        <v>100</v>
      </c>
      <c r="IX141">
        <v>1.616</v>
      </c>
      <c r="IY141">
        <v>-0.111</v>
      </c>
      <c r="IZ141">
        <v>1.12474291219083</v>
      </c>
      <c r="JA141">
        <v>0.00463155566490582</v>
      </c>
      <c r="JB141">
        <v>-1.1358998729424e-06</v>
      </c>
      <c r="JC141">
        <v>3.28704272115545e-10</v>
      </c>
      <c r="JD141">
        <v>-0.0704455108513773</v>
      </c>
      <c r="JE141">
        <v>-0.0251928478371425</v>
      </c>
      <c r="JF141">
        <v>0.00225751704194564</v>
      </c>
      <c r="JG141">
        <v>-3.61734043746866e-05</v>
      </c>
      <c r="JH141">
        <v>1</v>
      </c>
      <c r="JI141">
        <v>2182</v>
      </c>
      <c r="JJ141">
        <v>0</v>
      </c>
      <c r="JK141">
        <v>24</v>
      </c>
      <c r="JL141">
        <v>29349864.5</v>
      </c>
      <c r="JM141">
        <v>29349864.5</v>
      </c>
      <c r="JN141">
        <v>0.310059</v>
      </c>
      <c r="JO141">
        <v>2.66968</v>
      </c>
      <c r="JP141">
        <v>1.54785</v>
      </c>
      <c r="JQ141">
        <v>2.31445</v>
      </c>
      <c r="JR141">
        <v>1.64673</v>
      </c>
      <c r="JS141">
        <v>2.34619</v>
      </c>
      <c r="JT141">
        <v>33.7155</v>
      </c>
      <c r="JU141">
        <v>24.1751</v>
      </c>
      <c r="JV141">
        <v>18</v>
      </c>
      <c r="JW141">
        <v>500.119</v>
      </c>
      <c r="JX141">
        <v>392.586</v>
      </c>
      <c r="JY141">
        <v>11.5507</v>
      </c>
      <c r="JZ141">
        <v>23.9587</v>
      </c>
      <c r="KA141">
        <v>30.0001</v>
      </c>
      <c r="KB141">
        <v>23.9289</v>
      </c>
      <c r="KC141">
        <v>23.8932</v>
      </c>
      <c r="KD141">
        <v>6.19226</v>
      </c>
      <c r="KE141">
        <v>11.841</v>
      </c>
      <c r="KF141">
        <v>26.9061</v>
      </c>
      <c r="KG141">
        <v>11.555</v>
      </c>
      <c r="KH141">
        <v>68.3091</v>
      </c>
      <c r="KI141">
        <v>9.82349</v>
      </c>
      <c r="KJ141">
        <v>97.0373</v>
      </c>
      <c r="KK141">
        <v>95.3</v>
      </c>
    </row>
    <row r="142" spans="1:297">
      <c r="A142">
        <v>126</v>
      </c>
      <c r="B142">
        <v>1760991877</v>
      </c>
      <c r="C142">
        <v>2686.90000009537</v>
      </c>
      <c r="D142" t="s">
        <v>705</v>
      </c>
      <c r="E142" t="s">
        <v>706</v>
      </c>
      <c r="F142">
        <v>5</v>
      </c>
      <c r="G142" t="s">
        <v>662</v>
      </c>
      <c r="H142" t="s">
        <v>436</v>
      </c>
      <c r="I142">
        <v>1760991868.84615</v>
      </c>
      <c r="J142">
        <f>(K142)/1000</f>
        <v>0</v>
      </c>
      <c r="K142">
        <f>IF(DP142, AN142, AH142)</f>
        <v>0</v>
      </c>
      <c r="L142">
        <f>IF(DP142, AI142, AG142)</f>
        <v>0</v>
      </c>
      <c r="M142">
        <f>DR142 - IF(AU142&gt;1, L142*DL142*100.0/(AW142), 0)</f>
        <v>0</v>
      </c>
      <c r="N142">
        <f>((T142-J142/2)*M142-L142)/(T142+J142/2)</f>
        <v>0</v>
      </c>
      <c r="O142">
        <f>N142*(DY142+DZ142)/1000.0</f>
        <v>0</v>
      </c>
      <c r="P142">
        <f>(DR142 - IF(AU142&gt;1, L142*DL142*100.0/(AW142), 0))*(DY142+DZ142)/1000.0</f>
        <v>0</v>
      </c>
      <c r="Q142">
        <f>2.0/((1/S142-1/R142)+SIGN(S142)*SQRT((1/S142-1/R142)*(1/S142-1/R142) + 4*DM142/((DM142+1)*(DM142+1))*(2*1/S142*1/R142-1/R142*1/R142)))</f>
        <v>0</v>
      </c>
      <c r="R142">
        <f>IF(LEFT(DN142,1)&lt;&gt;"0",IF(LEFT(DN142,1)="1",3.0,DO142),$D$5+$E$5*(EF142*DY142/($K$5*1000))+$F$5*(EF142*DY142/($K$5*1000))*MAX(MIN(DL142,$J$5),$I$5)*MAX(MIN(DL142,$J$5),$I$5)+$G$5*MAX(MIN(DL142,$J$5),$I$5)*(EF142*DY142/($K$5*1000))+$H$5*(EF142*DY142/($K$5*1000))*(EF142*DY142/($K$5*1000)))</f>
        <v>0</v>
      </c>
      <c r="S142">
        <f>J142*(1000-(1000*0.61365*exp(17.502*W142/(240.97+W142))/(DY142+DZ142)+DT142)/2)/(1000*0.61365*exp(17.502*W142/(240.97+W142))/(DY142+DZ142)-DT142)</f>
        <v>0</v>
      </c>
      <c r="T142">
        <f>1/((DM142+1)/(Q142/1.6)+1/(R142/1.37)) + DM142/((DM142+1)/(Q142/1.6) + DM142/(R142/1.37))</f>
        <v>0</v>
      </c>
      <c r="U142">
        <f>(DH142*DK142)</f>
        <v>0</v>
      </c>
      <c r="V142">
        <f>(EA142+(U142+2*0.95*5.67E-8*(((EA142+$B$7)+273)^4-(EA142+273)^4)-44100*J142)/(1.84*29.3*R142+8*0.95*5.67E-8*(EA142+273)^3))</f>
        <v>0</v>
      </c>
      <c r="W142">
        <f>($C$7*EB142+$D$7*EC142+$E$7*V142)</f>
        <v>0</v>
      </c>
      <c r="X142">
        <f>0.61365*exp(17.502*W142/(240.97+W142))</f>
        <v>0</v>
      </c>
      <c r="Y142">
        <f>(Z142/AA142*100)</f>
        <v>0</v>
      </c>
      <c r="Z142">
        <f>DT142*(DY142+DZ142)/1000</f>
        <v>0</v>
      </c>
      <c r="AA142">
        <f>0.61365*exp(17.502*EA142/(240.97+EA142))</f>
        <v>0</v>
      </c>
      <c r="AB142">
        <f>(X142-DT142*(DY142+DZ142)/1000)</f>
        <v>0</v>
      </c>
      <c r="AC142">
        <f>(-J142*44100)</f>
        <v>0</v>
      </c>
      <c r="AD142">
        <f>2*29.3*R142*0.92*(EA142-W142)</f>
        <v>0</v>
      </c>
      <c r="AE142">
        <f>2*0.95*5.67E-8*(((EA142+$B$7)+273)^4-(W142+273)^4)</f>
        <v>0</v>
      </c>
      <c r="AF142">
        <f>U142+AE142+AC142+AD142</f>
        <v>0</v>
      </c>
      <c r="AG142">
        <f>DX142*AU142*(DS142-DR142*(1000-AU142*DU142)/(1000-AU142*DT142))/(100*DL142)</f>
        <v>0</v>
      </c>
      <c r="AH142">
        <f>1000*DX142*AU142*(DT142-DU142)/(100*DL142*(1000-AU142*DT142))</f>
        <v>0</v>
      </c>
      <c r="AI142">
        <f>(AJ142 - AK142 - DY142*1E3/(8.314*(EA142+273.15)) * AM142/DX142 * AL142) * DX142/(100*DL142) * (1000 - DU142)/1000</f>
        <v>0</v>
      </c>
      <c r="AJ142">
        <v>86.96934255018</v>
      </c>
      <c r="AK142">
        <v>98.7095296969697</v>
      </c>
      <c r="AL142">
        <v>-3.28959808878712</v>
      </c>
      <c r="AM142">
        <v>65.2210784119795</v>
      </c>
      <c r="AN142">
        <f>(AP142 - AO142 + DY142*1E3/(8.314*(EA142+273.15)) * AR142/DX142 * AQ142) * DX142/(100*DL142) * 1000/(1000 - AP142)</f>
        <v>0</v>
      </c>
      <c r="AO142">
        <v>9.71315845606039</v>
      </c>
      <c r="AP142">
        <v>11.8221072727273</v>
      </c>
      <c r="AQ142">
        <v>-4.54897053116027e-05</v>
      </c>
      <c r="AR142">
        <v>115.574510355221</v>
      </c>
      <c r="AS142">
        <v>0</v>
      </c>
      <c r="AT142">
        <v>0</v>
      </c>
      <c r="AU142">
        <f>IF(AS142*$H$13&gt;=AW142,1.0,(AW142/(AW142-AS142*$H$13)))</f>
        <v>0</v>
      </c>
      <c r="AV142">
        <f>(AU142-1)*100</f>
        <v>0</v>
      </c>
      <c r="AW142">
        <f>MAX(0,($B$13+$C$13*EF142)/(1+$D$13*EF142)*DY142/(EA142+273)*$E$13)</f>
        <v>0</v>
      </c>
      <c r="AX142" t="s">
        <v>437</v>
      </c>
      <c r="AY142" t="s">
        <v>437</v>
      </c>
      <c r="AZ142">
        <v>0</v>
      </c>
      <c r="BA142">
        <v>0</v>
      </c>
      <c r="BB142">
        <f>1-AZ142/BA142</f>
        <v>0</v>
      </c>
      <c r="BC142">
        <v>0</v>
      </c>
      <c r="BD142" t="s">
        <v>437</v>
      </c>
      <c r="BE142" t="s">
        <v>437</v>
      </c>
      <c r="BF142">
        <v>0</v>
      </c>
      <c r="BG142">
        <v>0</v>
      </c>
      <c r="BH142">
        <f>1-BF142/BG142</f>
        <v>0</v>
      </c>
      <c r="BI142">
        <v>0.5</v>
      </c>
      <c r="BJ142">
        <f>DI142</f>
        <v>0</v>
      </c>
      <c r="BK142">
        <f>L142</f>
        <v>0</v>
      </c>
      <c r="BL142">
        <f>BH142*BI142*BJ142</f>
        <v>0</v>
      </c>
      <c r="BM142">
        <f>(BK142-BC142)/BJ142</f>
        <v>0</v>
      </c>
      <c r="BN142">
        <f>(BA142-BG142)/BG142</f>
        <v>0</v>
      </c>
      <c r="BO142">
        <f>AZ142/(BB142+AZ142/BG142)</f>
        <v>0</v>
      </c>
      <c r="BP142" t="s">
        <v>437</v>
      </c>
      <c r="BQ142">
        <v>0</v>
      </c>
      <c r="BR142">
        <f>IF(BQ142&lt;&gt;0, BQ142, BO142)</f>
        <v>0</v>
      </c>
      <c r="BS142">
        <f>1-BR142/BG142</f>
        <v>0</v>
      </c>
      <c r="BT142">
        <f>(BG142-BF142)/(BG142-BR142)</f>
        <v>0</v>
      </c>
      <c r="BU142">
        <f>(BA142-BG142)/(BA142-BR142)</f>
        <v>0</v>
      </c>
      <c r="BV142">
        <f>(BG142-BF142)/(BG142-AZ142)</f>
        <v>0</v>
      </c>
      <c r="BW142">
        <f>(BA142-BG142)/(BA142-AZ142)</f>
        <v>0</v>
      </c>
      <c r="BX142">
        <f>(BT142*BR142/BF142)</f>
        <v>0</v>
      </c>
      <c r="BY142">
        <f>(1-BX142)</f>
        <v>0</v>
      </c>
      <c r="BZ142">
        <v>282</v>
      </c>
      <c r="CA142">
        <v>290</v>
      </c>
      <c r="CB142">
        <v>1577.74</v>
      </c>
      <c r="CC142">
        <v>295</v>
      </c>
      <c r="CD142">
        <v>5140.93</v>
      </c>
      <c r="CE142">
        <v>1578.58</v>
      </c>
      <c r="CF142">
        <v>-0.84</v>
      </c>
      <c r="CG142">
        <v>300</v>
      </c>
      <c r="CH142">
        <v>23.8</v>
      </c>
      <c r="CI142">
        <v>1633.28263291266</v>
      </c>
      <c r="CJ142">
        <v>1.49577129053257</v>
      </c>
      <c r="CK142">
        <v>-28.1203876934379</v>
      </c>
      <c r="CL142">
        <v>0.666413418688897</v>
      </c>
      <c r="CM142">
        <v>0.984518017981194</v>
      </c>
      <c r="CN142">
        <v>-0.00424727541713014</v>
      </c>
      <c r="CO142">
        <v>290</v>
      </c>
      <c r="CP142">
        <v>1576.56</v>
      </c>
      <c r="CQ142">
        <v>775</v>
      </c>
      <c r="CR142">
        <v>5139.5</v>
      </c>
      <c r="CS142">
        <v>1578.57</v>
      </c>
      <c r="CT142">
        <v>-2.01</v>
      </c>
      <c r="DH142">
        <f>$B$11*EG142+$C$11*EH142+$F$11*ES142*(1-EV142)</f>
        <v>0</v>
      </c>
      <c r="DI142">
        <f>DH142*DJ142</f>
        <v>0</v>
      </c>
      <c r="DJ142">
        <f>($B$11*$D$9+$C$11*$D$9+$F$11*((FF142+EX142)/MAX(FF142+EX142+FG142, 0.1)*$I$9+FG142/MAX(FF142+EX142+FG142, 0.1)*$J$9))/($B$11+$C$11+$F$11)</f>
        <v>0</v>
      </c>
      <c r="DK142">
        <f>($B$11*$K$9+$C$11*$K$9+$F$11*((FF142+EX142)/MAX(FF142+EX142+FG142, 0.1)*$P$9+FG142/MAX(FF142+EX142+FG142, 0.1)*$Q$9))/($B$11+$C$11+$F$11)</f>
        <v>0</v>
      </c>
      <c r="DL142">
        <v>6</v>
      </c>
      <c r="DM142">
        <v>0.5</v>
      </c>
      <c r="DN142" t="s">
        <v>438</v>
      </c>
      <c r="DO142">
        <v>2</v>
      </c>
      <c r="DP142" t="b">
        <v>1</v>
      </c>
      <c r="DQ142">
        <v>1760991868.84615</v>
      </c>
      <c r="DR142">
        <v>120.318107692308</v>
      </c>
      <c r="DS142">
        <v>102.239353846154</v>
      </c>
      <c r="DT142">
        <v>11.8250230769231</v>
      </c>
      <c r="DU142">
        <v>9.76308846153846</v>
      </c>
      <c r="DV142">
        <v>118.659807692308</v>
      </c>
      <c r="DW142">
        <v>11.9360615384615</v>
      </c>
      <c r="DX142">
        <v>499.987461538462</v>
      </c>
      <c r="DY142">
        <v>89.8312384615385</v>
      </c>
      <c r="DZ142">
        <v>0.00861660076923077</v>
      </c>
      <c r="EA142">
        <v>18.3677769230769</v>
      </c>
      <c r="EB142">
        <v>17.9970769230769</v>
      </c>
      <c r="EC142">
        <v>999.9</v>
      </c>
      <c r="ED142">
        <v>0</v>
      </c>
      <c r="EE142">
        <v>0</v>
      </c>
      <c r="EF142">
        <v>9992.87769230769</v>
      </c>
      <c r="EG142">
        <v>0</v>
      </c>
      <c r="EH142">
        <v>1278.84</v>
      </c>
      <c r="EI142">
        <v>18.0789230769231</v>
      </c>
      <c r="EJ142">
        <v>121.758046153846</v>
      </c>
      <c r="EK142">
        <v>103.247684615385</v>
      </c>
      <c r="EL142">
        <v>2.06192923076923</v>
      </c>
      <c r="EM142">
        <v>102.239353846154</v>
      </c>
      <c r="EN142">
        <v>9.76308846153846</v>
      </c>
      <c r="EO142">
        <v>1.06225692307692</v>
      </c>
      <c r="EP142">
        <v>0.877030230769231</v>
      </c>
      <c r="EQ142">
        <v>7.79945692307692</v>
      </c>
      <c r="ER142">
        <v>5.01921076923077</v>
      </c>
      <c r="ES142">
        <v>1199.99153846154</v>
      </c>
      <c r="ET142">
        <v>0.966988846153846</v>
      </c>
      <c r="EU142">
        <v>0.0330107538461538</v>
      </c>
      <c r="EV142">
        <v>0</v>
      </c>
      <c r="EW142">
        <v>1270.13230769231</v>
      </c>
      <c r="EX142">
        <v>5.00059</v>
      </c>
      <c r="EY142">
        <v>14923.7307692308</v>
      </c>
      <c r="EZ142">
        <v>10358.6153846154</v>
      </c>
      <c r="FA142">
        <v>36.3794615384615</v>
      </c>
      <c r="FB142">
        <v>38.0382307692308</v>
      </c>
      <c r="FC142">
        <v>36.8123076923077</v>
      </c>
      <c r="FD142">
        <v>37.2593846153846</v>
      </c>
      <c r="FE142">
        <v>37.3073846153846</v>
      </c>
      <c r="FF142">
        <v>1155.54384615385</v>
      </c>
      <c r="FG142">
        <v>39.4476923076923</v>
      </c>
      <c r="FH142">
        <v>0</v>
      </c>
      <c r="FI142">
        <v>732.800000190735</v>
      </c>
      <c r="FJ142">
        <v>0</v>
      </c>
      <c r="FK142">
        <v>1268.4716</v>
      </c>
      <c r="FL142">
        <v>-108.123846001183</v>
      </c>
      <c r="FM142">
        <v>-1302.53845957562</v>
      </c>
      <c r="FN142">
        <v>14903.572</v>
      </c>
      <c r="FO142">
        <v>15</v>
      </c>
      <c r="FP142">
        <v>0</v>
      </c>
      <c r="FQ142" t="s">
        <v>439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17.4034</v>
      </c>
      <c r="GD142">
        <v>13.6841844155844</v>
      </c>
      <c r="GE142">
        <v>1.43428291258501</v>
      </c>
      <c r="GF142">
        <v>0</v>
      </c>
      <c r="GG142">
        <v>1275.15588235294</v>
      </c>
      <c r="GH142">
        <v>-102.635294169127</v>
      </c>
      <c r="GI142">
        <v>10.0778271810962</v>
      </c>
      <c r="GJ142">
        <v>-1</v>
      </c>
      <c r="GK142">
        <v>2.05529333333333</v>
      </c>
      <c r="GL142">
        <v>0.148281038961039</v>
      </c>
      <c r="GM142">
        <v>0.0195179046819735</v>
      </c>
      <c r="GN142">
        <v>0</v>
      </c>
      <c r="GO142">
        <v>0</v>
      </c>
      <c r="GP142">
        <v>2</v>
      </c>
      <c r="GQ142" t="s">
        <v>519</v>
      </c>
      <c r="GR142">
        <v>3.13086</v>
      </c>
      <c r="GS142">
        <v>2.68628</v>
      </c>
      <c r="GT142">
        <v>0.023965</v>
      </c>
      <c r="GU142">
        <v>0.0195823</v>
      </c>
      <c r="GV142">
        <v>0.0617065</v>
      </c>
      <c r="GW142">
        <v>0.0527659</v>
      </c>
      <c r="GX142">
        <v>36988.1</v>
      </c>
      <c r="GY142">
        <v>39924.6</v>
      </c>
      <c r="GZ142">
        <v>34263.7</v>
      </c>
      <c r="HA142">
        <v>36847</v>
      </c>
      <c r="HB142">
        <v>45341.1</v>
      </c>
      <c r="HC142">
        <v>50038.6</v>
      </c>
      <c r="HD142">
        <v>53337</v>
      </c>
      <c r="HE142">
        <v>58774.1</v>
      </c>
      <c r="HF142">
        <v>2.008</v>
      </c>
      <c r="HG142">
        <v>1.8341</v>
      </c>
      <c r="HH142">
        <v>0.00852346</v>
      </c>
      <c r="HI142">
        <v>0</v>
      </c>
      <c r="HJ142">
        <v>17.854</v>
      </c>
      <c r="HK142">
        <v>999.9</v>
      </c>
      <c r="HL142">
        <v>27.164</v>
      </c>
      <c r="HM142">
        <v>30.494</v>
      </c>
      <c r="HN142">
        <v>13.2527</v>
      </c>
      <c r="HO142">
        <v>53.3491</v>
      </c>
      <c r="HP142">
        <v>44.1947</v>
      </c>
      <c r="HQ142">
        <v>1</v>
      </c>
      <c r="HR142">
        <v>-0.263892</v>
      </c>
      <c r="HS142">
        <v>4.6863</v>
      </c>
      <c r="HT142">
        <v>20.0744</v>
      </c>
      <c r="HU142">
        <v>5.19887</v>
      </c>
      <c r="HV142">
        <v>12.004</v>
      </c>
      <c r="HW142">
        <v>4.97565</v>
      </c>
      <c r="HX142">
        <v>3.29298</v>
      </c>
      <c r="HY142">
        <v>9999</v>
      </c>
      <c r="HZ142">
        <v>999.9</v>
      </c>
      <c r="IA142">
        <v>9999</v>
      </c>
      <c r="IB142">
        <v>9999</v>
      </c>
      <c r="IC142">
        <v>1.86324</v>
      </c>
      <c r="ID142">
        <v>1.86809</v>
      </c>
      <c r="IE142">
        <v>1.86783</v>
      </c>
      <c r="IF142">
        <v>1.86903</v>
      </c>
      <c r="IG142">
        <v>1.86981</v>
      </c>
      <c r="IH142">
        <v>1.86585</v>
      </c>
      <c r="II142">
        <v>1.86693</v>
      </c>
      <c r="IJ142">
        <v>1.86836</v>
      </c>
      <c r="IK142">
        <v>5</v>
      </c>
      <c r="IL142">
        <v>0</v>
      </c>
      <c r="IM142">
        <v>0</v>
      </c>
      <c r="IN142">
        <v>0</v>
      </c>
      <c r="IO142" t="s">
        <v>441</v>
      </c>
      <c r="IP142" t="s">
        <v>442</v>
      </c>
      <c r="IQ142" t="s">
        <v>443</v>
      </c>
      <c r="IR142" t="s">
        <v>443</v>
      </c>
      <c r="IS142" t="s">
        <v>443</v>
      </c>
      <c r="IT142" t="s">
        <v>443</v>
      </c>
      <c r="IU142">
        <v>0</v>
      </c>
      <c r="IV142">
        <v>100</v>
      </c>
      <c r="IW142">
        <v>100</v>
      </c>
      <c r="IX142">
        <v>1.545</v>
      </c>
      <c r="IY142">
        <v>-0.1111</v>
      </c>
      <c r="IZ142">
        <v>1.12474291219083</v>
      </c>
      <c r="JA142">
        <v>0.00463155566490582</v>
      </c>
      <c r="JB142">
        <v>-1.1358998729424e-06</v>
      </c>
      <c r="JC142">
        <v>3.28704272115545e-10</v>
      </c>
      <c r="JD142">
        <v>-0.0704455108513773</v>
      </c>
      <c r="JE142">
        <v>-0.0251928478371425</v>
      </c>
      <c r="JF142">
        <v>0.00225751704194564</v>
      </c>
      <c r="JG142">
        <v>-3.61734043746866e-05</v>
      </c>
      <c r="JH142">
        <v>1</v>
      </c>
      <c r="JI142">
        <v>2182</v>
      </c>
      <c r="JJ142">
        <v>0</v>
      </c>
      <c r="JK142">
        <v>24</v>
      </c>
      <c r="JL142">
        <v>29349864.6</v>
      </c>
      <c r="JM142">
        <v>29349864.6</v>
      </c>
      <c r="JN142">
        <v>0.279541</v>
      </c>
      <c r="JO142">
        <v>2.67822</v>
      </c>
      <c r="JP142">
        <v>1.54785</v>
      </c>
      <c r="JQ142">
        <v>2.31445</v>
      </c>
      <c r="JR142">
        <v>1.64551</v>
      </c>
      <c r="JS142">
        <v>2.32544</v>
      </c>
      <c r="JT142">
        <v>33.7155</v>
      </c>
      <c r="JU142">
        <v>24.1838</v>
      </c>
      <c r="JV142">
        <v>18</v>
      </c>
      <c r="JW142">
        <v>500.248</v>
      </c>
      <c r="JX142">
        <v>392.573</v>
      </c>
      <c r="JY142">
        <v>11.5532</v>
      </c>
      <c r="JZ142">
        <v>23.9591</v>
      </c>
      <c r="KA142">
        <v>30.0001</v>
      </c>
      <c r="KB142">
        <v>23.929</v>
      </c>
      <c r="KC142">
        <v>23.8952</v>
      </c>
      <c r="KD142">
        <v>5.48838</v>
      </c>
      <c r="KE142">
        <v>10.868</v>
      </c>
      <c r="KF142">
        <v>26.9061</v>
      </c>
      <c r="KG142">
        <v>11.5562</v>
      </c>
      <c r="KH142">
        <v>48.1106</v>
      </c>
      <c r="KI142">
        <v>9.83239</v>
      </c>
      <c r="KJ142">
        <v>97.0366</v>
      </c>
      <c r="KK142">
        <v>95.299</v>
      </c>
    </row>
    <row r="143" spans="1:297">
      <c r="A143">
        <v>127</v>
      </c>
      <c r="B143">
        <v>1760991882</v>
      </c>
      <c r="C143">
        <v>2691.90000009537</v>
      </c>
      <c r="D143" t="s">
        <v>707</v>
      </c>
      <c r="E143" t="s">
        <v>708</v>
      </c>
      <c r="F143">
        <v>5</v>
      </c>
      <c r="G143" t="s">
        <v>662</v>
      </c>
      <c r="H143" t="s">
        <v>436</v>
      </c>
      <c r="I143">
        <v>1760991873.84615</v>
      </c>
      <c r="J143">
        <f>(K143)/1000</f>
        <v>0</v>
      </c>
      <c r="K143">
        <f>IF(DP143, AN143, AH143)</f>
        <v>0</v>
      </c>
      <c r="L143">
        <f>IF(DP143, AI143, AG143)</f>
        <v>0</v>
      </c>
      <c r="M143">
        <f>DR143 - IF(AU143&gt;1, L143*DL143*100.0/(AW143), 0)</f>
        <v>0</v>
      </c>
      <c r="N143">
        <f>((T143-J143/2)*M143-L143)/(T143+J143/2)</f>
        <v>0</v>
      </c>
      <c r="O143">
        <f>N143*(DY143+DZ143)/1000.0</f>
        <v>0</v>
      </c>
      <c r="P143">
        <f>(DR143 - IF(AU143&gt;1, L143*DL143*100.0/(AW143), 0))*(DY143+DZ143)/1000.0</f>
        <v>0</v>
      </c>
      <c r="Q143">
        <f>2.0/((1/S143-1/R143)+SIGN(S143)*SQRT((1/S143-1/R143)*(1/S143-1/R143) + 4*DM143/((DM143+1)*(DM143+1))*(2*1/S143*1/R143-1/R143*1/R143)))</f>
        <v>0</v>
      </c>
      <c r="R143">
        <f>IF(LEFT(DN143,1)&lt;&gt;"0",IF(LEFT(DN143,1)="1",3.0,DO143),$D$5+$E$5*(EF143*DY143/($K$5*1000))+$F$5*(EF143*DY143/($K$5*1000))*MAX(MIN(DL143,$J$5),$I$5)*MAX(MIN(DL143,$J$5),$I$5)+$G$5*MAX(MIN(DL143,$J$5),$I$5)*(EF143*DY143/($K$5*1000))+$H$5*(EF143*DY143/($K$5*1000))*(EF143*DY143/($K$5*1000)))</f>
        <v>0</v>
      </c>
      <c r="S143">
        <f>J143*(1000-(1000*0.61365*exp(17.502*W143/(240.97+W143))/(DY143+DZ143)+DT143)/2)/(1000*0.61365*exp(17.502*W143/(240.97+W143))/(DY143+DZ143)-DT143)</f>
        <v>0</v>
      </c>
      <c r="T143">
        <f>1/((DM143+1)/(Q143/1.6)+1/(R143/1.37)) + DM143/((DM143+1)/(Q143/1.6) + DM143/(R143/1.37))</f>
        <v>0</v>
      </c>
      <c r="U143">
        <f>(DH143*DK143)</f>
        <v>0</v>
      </c>
      <c r="V143">
        <f>(EA143+(U143+2*0.95*5.67E-8*(((EA143+$B$7)+273)^4-(EA143+273)^4)-44100*J143)/(1.84*29.3*R143+8*0.95*5.67E-8*(EA143+273)^3))</f>
        <v>0</v>
      </c>
      <c r="W143">
        <f>($C$7*EB143+$D$7*EC143+$E$7*V143)</f>
        <v>0</v>
      </c>
      <c r="X143">
        <f>0.61365*exp(17.502*W143/(240.97+W143))</f>
        <v>0</v>
      </c>
      <c r="Y143">
        <f>(Z143/AA143*100)</f>
        <v>0</v>
      </c>
      <c r="Z143">
        <f>DT143*(DY143+DZ143)/1000</f>
        <v>0</v>
      </c>
      <c r="AA143">
        <f>0.61365*exp(17.502*EA143/(240.97+EA143))</f>
        <v>0</v>
      </c>
      <c r="AB143">
        <f>(X143-DT143*(DY143+DZ143)/1000)</f>
        <v>0</v>
      </c>
      <c r="AC143">
        <f>(-J143*44100)</f>
        <v>0</v>
      </c>
      <c r="AD143">
        <f>2*29.3*R143*0.92*(EA143-W143)</f>
        <v>0</v>
      </c>
      <c r="AE143">
        <f>2*0.95*5.67E-8*(((EA143+$B$7)+273)^4-(W143+273)^4)</f>
        <v>0</v>
      </c>
      <c r="AF143">
        <f>U143+AE143+AC143+AD143</f>
        <v>0</v>
      </c>
      <c r="AG143">
        <f>DX143*AU143*(DS143-DR143*(1000-AU143*DU143)/(1000-AU143*DT143))/(100*DL143)</f>
        <v>0</v>
      </c>
      <c r="AH143">
        <f>1000*DX143*AU143*(DT143-DU143)/(100*DL143*(1000-AU143*DT143))</f>
        <v>0</v>
      </c>
      <c r="AI143">
        <f>(AJ143 - AK143 - DY143*1E3/(8.314*(EA143+273.15)) * AM143/DX143 * AL143) * DX143/(100*DL143) * (1000 - DU143)/1000</f>
        <v>0</v>
      </c>
      <c r="AJ143">
        <v>70.6321985047673</v>
      </c>
      <c r="AK143">
        <v>82.866266060606</v>
      </c>
      <c r="AL143">
        <v>-3.14989451969603</v>
      </c>
      <c r="AM143">
        <v>65.2210784119795</v>
      </c>
      <c r="AN143">
        <f>(AP143 - AO143 + DY143*1E3/(8.314*(EA143+273.15)) * AR143/DX143 * AQ143) * DX143/(100*DL143) * 1000/(1000 - AP143)</f>
        <v>0</v>
      </c>
      <c r="AO143">
        <v>9.67787359754434</v>
      </c>
      <c r="AP143">
        <v>11.8003654545454</v>
      </c>
      <c r="AQ143">
        <v>-0.00505474848301638</v>
      </c>
      <c r="AR143">
        <v>115.574510355221</v>
      </c>
      <c r="AS143">
        <v>0</v>
      </c>
      <c r="AT143">
        <v>0</v>
      </c>
      <c r="AU143">
        <f>IF(AS143*$H$13&gt;=AW143,1.0,(AW143/(AW143-AS143*$H$13)))</f>
        <v>0</v>
      </c>
      <c r="AV143">
        <f>(AU143-1)*100</f>
        <v>0</v>
      </c>
      <c r="AW143">
        <f>MAX(0,($B$13+$C$13*EF143)/(1+$D$13*EF143)*DY143/(EA143+273)*$E$13)</f>
        <v>0</v>
      </c>
      <c r="AX143" t="s">
        <v>437</v>
      </c>
      <c r="AY143" t="s">
        <v>437</v>
      </c>
      <c r="AZ143">
        <v>0</v>
      </c>
      <c r="BA143">
        <v>0</v>
      </c>
      <c r="BB143">
        <f>1-AZ143/BA143</f>
        <v>0</v>
      </c>
      <c r="BC143">
        <v>0</v>
      </c>
      <c r="BD143" t="s">
        <v>437</v>
      </c>
      <c r="BE143" t="s">
        <v>437</v>
      </c>
      <c r="BF143">
        <v>0</v>
      </c>
      <c r="BG143">
        <v>0</v>
      </c>
      <c r="BH143">
        <f>1-BF143/BG143</f>
        <v>0</v>
      </c>
      <c r="BI143">
        <v>0.5</v>
      </c>
      <c r="BJ143">
        <f>DI143</f>
        <v>0</v>
      </c>
      <c r="BK143">
        <f>L143</f>
        <v>0</v>
      </c>
      <c r="BL143">
        <f>BH143*BI143*BJ143</f>
        <v>0</v>
      </c>
      <c r="BM143">
        <f>(BK143-BC143)/BJ143</f>
        <v>0</v>
      </c>
      <c r="BN143">
        <f>(BA143-BG143)/BG143</f>
        <v>0</v>
      </c>
      <c r="BO143">
        <f>AZ143/(BB143+AZ143/BG143)</f>
        <v>0</v>
      </c>
      <c r="BP143" t="s">
        <v>437</v>
      </c>
      <c r="BQ143">
        <v>0</v>
      </c>
      <c r="BR143">
        <f>IF(BQ143&lt;&gt;0, BQ143, BO143)</f>
        <v>0</v>
      </c>
      <c r="BS143">
        <f>1-BR143/BG143</f>
        <v>0</v>
      </c>
      <c r="BT143">
        <f>(BG143-BF143)/(BG143-BR143)</f>
        <v>0</v>
      </c>
      <c r="BU143">
        <f>(BA143-BG143)/(BA143-BR143)</f>
        <v>0</v>
      </c>
      <c r="BV143">
        <f>(BG143-BF143)/(BG143-AZ143)</f>
        <v>0</v>
      </c>
      <c r="BW143">
        <f>(BA143-BG143)/(BA143-AZ143)</f>
        <v>0</v>
      </c>
      <c r="BX143">
        <f>(BT143*BR143/BF143)</f>
        <v>0</v>
      </c>
      <c r="BY143">
        <f>(1-BX143)</f>
        <v>0</v>
      </c>
      <c r="BZ143">
        <v>282</v>
      </c>
      <c r="CA143">
        <v>290</v>
      </c>
      <c r="CB143">
        <v>1577.74</v>
      </c>
      <c r="CC143">
        <v>295</v>
      </c>
      <c r="CD143">
        <v>5140.93</v>
      </c>
      <c r="CE143">
        <v>1578.58</v>
      </c>
      <c r="CF143">
        <v>-0.84</v>
      </c>
      <c r="CG143">
        <v>300</v>
      </c>
      <c r="CH143">
        <v>23.8</v>
      </c>
      <c r="CI143">
        <v>1633.28263291266</v>
      </c>
      <c r="CJ143">
        <v>1.49577129053257</v>
      </c>
      <c r="CK143">
        <v>-28.1203876934379</v>
      </c>
      <c r="CL143">
        <v>0.666413418688897</v>
      </c>
      <c r="CM143">
        <v>0.984518017981194</v>
      </c>
      <c r="CN143">
        <v>-0.00424727541713014</v>
      </c>
      <c r="CO143">
        <v>290</v>
      </c>
      <c r="CP143">
        <v>1576.56</v>
      </c>
      <c r="CQ143">
        <v>775</v>
      </c>
      <c r="CR143">
        <v>5139.5</v>
      </c>
      <c r="CS143">
        <v>1578.57</v>
      </c>
      <c r="CT143">
        <v>-2.01</v>
      </c>
      <c r="DH143">
        <f>$B$11*EG143+$C$11*EH143+$F$11*ES143*(1-EV143)</f>
        <v>0</v>
      </c>
      <c r="DI143">
        <f>DH143*DJ143</f>
        <v>0</v>
      </c>
      <c r="DJ143">
        <f>($B$11*$D$9+$C$11*$D$9+$F$11*((FF143+EX143)/MAX(FF143+EX143+FG143, 0.1)*$I$9+FG143/MAX(FF143+EX143+FG143, 0.1)*$J$9))/($B$11+$C$11+$F$11)</f>
        <v>0</v>
      </c>
      <c r="DK143">
        <f>($B$11*$K$9+$C$11*$K$9+$F$11*((FF143+EX143)/MAX(FF143+EX143+FG143, 0.1)*$P$9+FG143/MAX(FF143+EX143+FG143, 0.1)*$Q$9))/($B$11+$C$11+$F$11)</f>
        <v>0</v>
      </c>
      <c r="DL143">
        <v>6</v>
      </c>
      <c r="DM143">
        <v>0.5</v>
      </c>
      <c r="DN143" t="s">
        <v>438</v>
      </c>
      <c r="DO143">
        <v>2</v>
      </c>
      <c r="DP143" t="b">
        <v>1</v>
      </c>
      <c r="DQ143">
        <v>1760991873.84615</v>
      </c>
      <c r="DR143">
        <v>104.489223076923</v>
      </c>
      <c r="DS143">
        <v>85.6807846153846</v>
      </c>
      <c r="DT143">
        <v>11.8197615384615</v>
      </c>
      <c r="DU143">
        <v>9.73160615384615</v>
      </c>
      <c r="DV143">
        <v>102.900007692308</v>
      </c>
      <c r="DW143">
        <v>11.9308538461538</v>
      </c>
      <c r="DX143">
        <v>500.001769230769</v>
      </c>
      <c r="DY143">
        <v>89.8329230769231</v>
      </c>
      <c r="DZ143">
        <v>0.00856668692307692</v>
      </c>
      <c r="EA143">
        <v>18.3637846153846</v>
      </c>
      <c r="EB143">
        <v>17.9950769230769</v>
      </c>
      <c r="EC143">
        <v>999.9</v>
      </c>
      <c r="ED143">
        <v>0</v>
      </c>
      <c r="EE143">
        <v>0</v>
      </c>
      <c r="EF143">
        <v>10001.6776923077</v>
      </c>
      <c r="EG143">
        <v>0</v>
      </c>
      <c r="EH143">
        <v>1278.85076923077</v>
      </c>
      <c r="EI143">
        <v>18.8085384615385</v>
      </c>
      <c r="EJ143">
        <v>105.739261538462</v>
      </c>
      <c r="EK143">
        <v>86.5234153846154</v>
      </c>
      <c r="EL143">
        <v>2.08814384615385</v>
      </c>
      <c r="EM143">
        <v>85.6807846153846</v>
      </c>
      <c r="EN143">
        <v>9.73160615384615</v>
      </c>
      <c r="EO143">
        <v>1.06180384615385</v>
      </c>
      <c r="EP143">
        <v>0.874218692307692</v>
      </c>
      <c r="EQ143">
        <v>7.79319230769231</v>
      </c>
      <c r="ER143">
        <v>4.97306</v>
      </c>
      <c r="ES143">
        <v>1199.99846153846</v>
      </c>
      <c r="ET143">
        <v>0.966987692307692</v>
      </c>
      <c r="EU143">
        <v>0.0330119384615385</v>
      </c>
      <c r="EV143">
        <v>0</v>
      </c>
      <c r="EW143">
        <v>1260.63769230769</v>
      </c>
      <c r="EX143">
        <v>5.00059</v>
      </c>
      <c r="EY143">
        <v>14811.5538461538</v>
      </c>
      <c r="EZ143">
        <v>10358.6769230769</v>
      </c>
      <c r="FA143">
        <v>36.341</v>
      </c>
      <c r="FB143">
        <v>38.0094615384615</v>
      </c>
      <c r="FC143">
        <v>36.7738461538462</v>
      </c>
      <c r="FD143">
        <v>37.2353846153846</v>
      </c>
      <c r="FE143">
        <v>37.2833846153846</v>
      </c>
      <c r="FF143">
        <v>1155.54923076923</v>
      </c>
      <c r="FG143">
        <v>39.4492307692308</v>
      </c>
      <c r="FH143">
        <v>0</v>
      </c>
      <c r="FI143">
        <v>737.600000143051</v>
      </c>
      <c r="FJ143">
        <v>0</v>
      </c>
      <c r="FK143">
        <v>1259.4164</v>
      </c>
      <c r="FL143">
        <v>-117.421538473397</v>
      </c>
      <c r="FM143">
        <v>-1381.8076923566</v>
      </c>
      <c r="FN143">
        <v>14795.996</v>
      </c>
      <c r="FO143">
        <v>15</v>
      </c>
      <c r="FP143">
        <v>0</v>
      </c>
      <c r="FQ143" t="s">
        <v>439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18.461565</v>
      </c>
      <c r="GD143">
        <v>10.1398962406015</v>
      </c>
      <c r="GE143">
        <v>1.07288787544412</v>
      </c>
      <c r="GF143">
        <v>0</v>
      </c>
      <c r="GG143">
        <v>1265.47558823529</v>
      </c>
      <c r="GH143">
        <v>-111.368831219212</v>
      </c>
      <c r="GI143">
        <v>10.9381467381702</v>
      </c>
      <c r="GJ143">
        <v>-1</v>
      </c>
      <c r="GK143">
        <v>2.0791135</v>
      </c>
      <c r="GL143">
        <v>0.335599849624059</v>
      </c>
      <c r="GM143">
        <v>0.0367222270940911</v>
      </c>
      <c r="GN143">
        <v>0</v>
      </c>
      <c r="GO143">
        <v>0</v>
      </c>
      <c r="GP143">
        <v>2</v>
      </c>
      <c r="GQ143" t="s">
        <v>519</v>
      </c>
      <c r="GR143">
        <v>3.13093</v>
      </c>
      <c r="GS143">
        <v>2.68629</v>
      </c>
      <c r="GT143">
        <v>0.0200658</v>
      </c>
      <c r="GU143">
        <v>0.0152139</v>
      </c>
      <c r="GV143">
        <v>0.0616275</v>
      </c>
      <c r="GW143">
        <v>0.0528287</v>
      </c>
      <c r="GX143">
        <v>37136.1</v>
      </c>
      <c r="GY143">
        <v>40102.5</v>
      </c>
      <c r="GZ143">
        <v>34263.8</v>
      </c>
      <c r="HA143">
        <v>36846.9</v>
      </c>
      <c r="HB143">
        <v>45344.6</v>
      </c>
      <c r="HC143">
        <v>50034.4</v>
      </c>
      <c r="HD143">
        <v>53337</v>
      </c>
      <c r="HE143">
        <v>58773.8</v>
      </c>
      <c r="HF143">
        <v>2.00795</v>
      </c>
      <c r="HG143">
        <v>1.834</v>
      </c>
      <c r="HH143">
        <v>0.00873208</v>
      </c>
      <c r="HI143">
        <v>0</v>
      </c>
      <c r="HJ143">
        <v>17.854</v>
      </c>
      <c r="HK143">
        <v>999.9</v>
      </c>
      <c r="HL143">
        <v>27.115</v>
      </c>
      <c r="HM143">
        <v>30.494</v>
      </c>
      <c r="HN143">
        <v>13.2294</v>
      </c>
      <c r="HO143">
        <v>54.1991</v>
      </c>
      <c r="HP143">
        <v>44.1466</v>
      </c>
      <c r="HQ143">
        <v>1</v>
      </c>
      <c r="HR143">
        <v>-0.263852</v>
      </c>
      <c r="HS143">
        <v>4.68788</v>
      </c>
      <c r="HT143">
        <v>20.0758</v>
      </c>
      <c r="HU143">
        <v>5.19902</v>
      </c>
      <c r="HV143">
        <v>12.004</v>
      </c>
      <c r="HW143">
        <v>4.97565</v>
      </c>
      <c r="HX143">
        <v>3.293</v>
      </c>
      <c r="HY143">
        <v>9999</v>
      </c>
      <c r="HZ143">
        <v>999.9</v>
      </c>
      <c r="IA143">
        <v>9999</v>
      </c>
      <c r="IB143">
        <v>9999</v>
      </c>
      <c r="IC143">
        <v>1.86325</v>
      </c>
      <c r="ID143">
        <v>1.86809</v>
      </c>
      <c r="IE143">
        <v>1.86782</v>
      </c>
      <c r="IF143">
        <v>1.86904</v>
      </c>
      <c r="IG143">
        <v>1.86981</v>
      </c>
      <c r="IH143">
        <v>1.86585</v>
      </c>
      <c r="II143">
        <v>1.86692</v>
      </c>
      <c r="IJ143">
        <v>1.8684</v>
      </c>
      <c r="IK143">
        <v>5</v>
      </c>
      <c r="IL143">
        <v>0</v>
      </c>
      <c r="IM143">
        <v>0</v>
      </c>
      <c r="IN143">
        <v>0</v>
      </c>
      <c r="IO143" t="s">
        <v>441</v>
      </c>
      <c r="IP143" t="s">
        <v>442</v>
      </c>
      <c r="IQ143" t="s">
        <v>443</v>
      </c>
      <c r="IR143" t="s">
        <v>443</v>
      </c>
      <c r="IS143" t="s">
        <v>443</v>
      </c>
      <c r="IT143" t="s">
        <v>443</v>
      </c>
      <c r="IU143">
        <v>0</v>
      </c>
      <c r="IV143">
        <v>100</v>
      </c>
      <c r="IW143">
        <v>100</v>
      </c>
      <c r="IX143">
        <v>1.476</v>
      </c>
      <c r="IY143">
        <v>-0.1114</v>
      </c>
      <c r="IZ143">
        <v>1.12474291219083</v>
      </c>
      <c r="JA143">
        <v>0.00463155566490582</v>
      </c>
      <c r="JB143">
        <v>-1.1358998729424e-06</v>
      </c>
      <c r="JC143">
        <v>3.28704272115545e-10</v>
      </c>
      <c r="JD143">
        <v>-0.0704455108513773</v>
      </c>
      <c r="JE143">
        <v>-0.0251928478371425</v>
      </c>
      <c r="JF143">
        <v>0.00225751704194564</v>
      </c>
      <c r="JG143">
        <v>-3.61734043746866e-05</v>
      </c>
      <c r="JH143">
        <v>1</v>
      </c>
      <c r="JI143">
        <v>2182</v>
      </c>
      <c r="JJ143">
        <v>0</v>
      </c>
      <c r="JK143">
        <v>24</v>
      </c>
      <c r="JL143">
        <v>29349864.7</v>
      </c>
      <c r="JM143">
        <v>29349864.7</v>
      </c>
      <c r="JN143">
        <v>0.240479</v>
      </c>
      <c r="JO143">
        <v>2.68433</v>
      </c>
      <c r="JP143">
        <v>1.54785</v>
      </c>
      <c r="JQ143">
        <v>2.31323</v>
      </c>
      <c r="JR143">
        <v>1.64551</v>
      </c>
      <c r="JS143">
        <v>2.33643</v>
      </c>
      <c r="JT143">
        <v>33.7155</v>
      </c>
      <c r="JU143">
        <v>24.1838</v>
      </c>
      <c r="JV143">
        <v>18</v>
      </c>
      <c r="JW143">
        <v>500.234</v>
      </c>
      <c r="JX143">
        <v>392.521</v>
      </c>
      <c r="JY143">
        <v>11.5556</v>
      </c>
      <c r="JZ143">
        <v>23.9591</v>
      </c>
      <c r="KA143">
        <v>30.0001</v>
      </c>
      <c r="KB143">
        <v>23.931</v>
      </c>
      <c r="KC143">
        <v>23.8952</v>
      </c>
      <c r="KD143">
        <v>4.79795</v>
      </c>
      <c r="KE143">
        <v>10.2482</v>
      </c>
      <c r="KF143">
        <v>26.9061</v>
      </c>
      <c r="KG143">
        <v>11.5588</v>
      </c>
      <c r="KH143">
        <v>34.5836</v>
      </c>
      <c r="KI143">
        <v>9.82891</v>
      </c>
      <c r="KJ143">
        <v>97.0366</v>
      </c>
      <c r="KK143">
        <v>95.2986</v>
      </c>
    </row>
    <row r="144" spans="1:297">
      <c r="A144">
        <v>128</v>
      </c>
      <c r="B144">
        <v>1760991979</v>
      </c>
      <c r="C144">
        <v>2788.90000009537</v>
      </c>
      <c r="D144" t="s">
        <v>709</v>
      </c>
      <c r="E144" t="s">
        <v>710</v>
      </c>
      <c r="F144">
        <v>5</v>
      </c>
      <c r="G144" t="s">
        <v>662</v>
      </c>
      <c r="H144" t="s">
        <v>436</v>
      </c>
      <c r="I144">
        <v>1760991970.5</v>
      </c>
      <c r="J144">
        <f>(K144)/1000</f>
        <v>0</v>
      </c>
      <c r="K144">
        <f>IF(DP144, AN144, AH144)</f>
        <v>0</v>
      </c>
      <c r="L144">
        <f>IF(DP144, AI144, AG144)</f>
        <v>0</v>
      </c>
      <c r="M144">
        <f>DR144 - IF(AU144&gt;1, L144*DL144*100.0/(AW144), 0)</f>
        <v>0</v>
      </c>
      <c r="N144">
        <f>((T144-J144/2)*M144-L144)/(T144+J144/2)</f>
        <v>0</v>
      </c>
      <c r="O144">
        <f>N144*(DY144+DZ144)/1000.0</f>
        <v>0</v>
      </c>
      <c r="P144">
        <f>(DR144 - IF(AU144&gt;1, L144*DL144*100.0/(AW144), 0))*(DY144+DZ144)/1000.0</f>
        <v>0</v>
      </c>
      <c r="Q144">
        <f>2.0/((1/S144-1/R144)+SIGN(S144)*SQRT((1/S144-1/R144)*(1/S144-1/R144) + 4*DM144/((DM144+1)*(DM144+1))*(2*1/S144*1/R144-1/R144*1/R144)))</f>
        <v>0</v>
      </c>
      <c r="R144">
        <f>IF(LEFT(DN144,1)&lt;&gt;"0",IF(LEFT(DN144,1)="1",3.0,DO144),$D$5+$E$5*(EF144*DY144/($K$5*1000))+$F$5*(EF144*DY144/($K$5*1000))*MAX(MIN(DL144,$J$5),$I$5)*MAX(MIN(DL144,$J$5),$I$5)+$G$5*MAX(MIN(DL144,$J$5),$I$5)*(EF144*DY144/($K$5*1000))+$H$5*(EF144*DY144/($K$5*1000))*(EF144*DY144/($K$5*1000)))</f>
        <v>0</v>
      </c>
      <c r="S144">
        <f>J144*(1000-(1000*0.61365*exp(17.502*W144/(240.97+W144))/(DY144+DZ144)+DT144)/2)/(1000*0.61365*exp(17.502*W144/(240.97+W144))/(DY144+DZ144)-DT144)</f>
        <v>0</v>
      </c>
      <c r="T144">
        <f>1/((DM144+1)/(Q144/1.6)+1/(R144/1.37)) + DM144/((DM144+1)/(Q144/1.6) + DM144/(R144/1.37))</f>
        <v>0</v>
      </c>
      <c r="U144">
        <f>(DH144*DK144)</f>
        <v>0</v>
      </c>
      <c r="V144">
        <f>(EA144+(U144+2*0.95*5.67E-8*(((EA144+$B$7)+273)^4-(EA144+273)^4)-44100*J144)/(1.84*29.3*R144+8*0.95*5.67E-8*(EA144+273)^3))</f>
        <v>0</v>
      </c>
      <c r="W144">
        <f>($C$7*EB144+$D$7*EC144+$E$7*V144)</f>
        <v>0</v>
      </c>
      <c r="X144">
        <f>0.61365*exp(17.502*W144/(240.97+W144))</f>
        <v>0</v>
      </c>
      <c r="Y144">
        <f>(Z144/AA144*100)</f>
        <v>0</v>
      </c>
      <c r="Z144">
        <f>DT144*(DY144+DZ144)/1000</f>
        <v>0</v>
      </c>
      <c r="AA144">
        <f>0.61365*exp(17.502*EA144/(240.97+EA144))</f>
        <v>0</v>
      </c>
      <c r="AB144">
        <f>(X144-DT144*(DY144+DZ144)/1000)</f>
        <v>0</v>
      </c>
      <c r="AC144">
        <f>(-J144*44100)</f>
        <v>0</v>
      </c>
      <c r="AD144">
        <f>2*29.3*R144*0.92*(EA144-W144)</f>
        <v>0</v>
      </c>
      <c r="AE144">
        <f>2*0.95*5.67E-8*(((EA144+$B$7)+273)^4-(W144+273)^4)</f>
        <v>0</v>
      </c>
      <c r="AF144">
        <f>U144+AE144+AC144+AD144</f>
        <v>0</v>
      </c>
      <c r="AG144">
        <f>DX144*AU144*(DS144-DR144*(1000-AU144*DU144)/(1000-AU144*DT144))/(100*DL144)</f>
        <v>0</v>
      </c>
      <c r="AH144">
        <f>1000*DX144*AU144*(DT144-DU144)/(100*DL144*(1000-AU144*DT144))</f>
        <v>0</v>
      </c>
      <c r="AI144">
        <f>(AJ144 - AK144 - DY144*1E3/(8.314*(EA144+273.15)) * AM144/DX144 * AL144) * DX144/(100*DL144) * (1000 - DU144)/1000</f>
        <v>0</v>
      </c>
      <c r="AJ144">
        <v>424.157861443673</v>
      </c>
      <c r="AK144">
        <v>407.200836363636</v>
      </c>
      <c r="AL144">
        <v>0.000603814418850725</v>
      </c>
      <c r="AM144">
        <v>65.2210784119795</v>
      </c>
      <c r="AN144">
        <f>(AP144 - AO144 + DY144*1E3/(8.314*(EA144+273.15)) * AR144/DX144 * AQ144) * DX144/(100*DL144) * 1000/(1000 - AP144)</f>
        <v>0</v>
      </c>
      <c r="AO144">
        <v>9.72511006992804</v>
      </c>
      <c r="AP144">
        <v>11.8457363636364</v>
      </c>
      <c r="AQ144">
        <v>-5.1346069958758e-05</v>
      </c>
      <c r="AR144">
        <v>115.574510355221</v>
      </c>
      <c r="AS144">
        <v>0</v>
      </c>
      <c r="AT144">
        <v>0</v>
      </c>
      <c r="AU144">
        <f>IF(AS144*$H$13&gt;=AW144,1.0,(AW144/(AW144-AS144*$H$13)))</f>
        <v>0</v>
      </c>
      <c r="AV144">
        <f>(AU144-1)*100</f>
        <v>0</v>
      </c>
      <c r="AW144">
        <f>MAX(0,($B$13+$C$13*EF144)/(1+$D$13*EF144)*DY144/(EA144+273)*$E$13)</f>
        <v>0</v>
      </c>
      <c r="AX144" t="s">
        <v>437</v>
      </c>
      <c r="AY144" t="s">
        <v>437</v>
      </c>
      <c r="AZ144">
        <v>0</v>
      </c>
      <c r="BA144">
        <v>0</v>
      </c>
      <c r="BB144">
        <f>1-AZ144/BA144</f>
        <v>0</v>
      </c>
      <c r="BC144">
        <v>0</v>
      </c>
      <c r="BD144" t="s">
        <v>437</v>
      </c>
      <c r="BE144" t="s">
        <v>437</v>
      </c>
      <c r="BF144">
        <v>0</v>
      </c>
      <c r="BG144">
        <v>0</v>
      </c>
      <c r="BH144">
        <f>1-BF144/BG144</f>
        <v>0</v>
      </c>
      <c r="BI144">
        <v>0.5</v>
      </c>
      <c r="BJ144">
        <f>DI144</f>
        <v>0</v>
      </c>
      <c r="BK144">
        <f>L144</f>
        <v>0</v>
      </c>
      <c r="BL144">
        <f>BH144*BI144*BJ144</f>
        <v>0</v>
      </c>
      <c r="BM144">
        <f>(BK144-BC144)/BJ144</f>
        <v>0</v>
      </c>
      <c r="BN144">
        <f>(BA144-BG144)/BG144</f>
        <v>0</v>
      </c>
      <c r="BO144">
        <f>AZ144/(BB144+AZ144/BG144)</f>
        <v>0</v>
      </c>
      <c r="BP144" t="s">
        <v>437</v>
      </c>
      <c r="BQ144">
        <v>0</v>
      </c>
      <c r="BR144">
        <f>IF(BQ144&lt;&gt;0, BQ144, BO144)</f>
        <v>0</v>
      </c>
      <c r="BS144">
        <f>1-BR144/BG144</f>
        <v>0</v>
      </c>
      <c r="BT144">
        <f>(BG144-BF144)/(BG144-BR144)</f>
        <v>0</v>
      </c>
      <c r="BU144">
        <f>(BA144-BG144)/(BA144-BR144)</f>
        <v>0</v>
      </c>
      <c r="BV144">
        <f>(BG144-BF144)/(BG144-AZ144)</f>
        <v>0</v>
      </c>
      <c r="BW144">
        <f>(BA144-BG144)/(BA144-AZ144)</f>
        <v>0</v>
      </c>
      <c r="BX144">
        <f>(BT144*BR144/BF144)</f>
        <v>0</v>
      </c>
      <c r="BY144">
        <f>(1-BX144)</f>
        <v>0</v>
      </c>
      <c r="BZ144">
        <v>282</v>
      </c>
      <c r="CA144">
        <v>290</v>
      </c>
      <c r="CB144">
        <v>1577.74</v>
      </c>
      <c r="CC144">
        <v>295</v>
      </c>
      <c r="CD144">
        <v>5140.93</v>
      </c>
      <c r="CE144">
        <v>1578.58</v>
      </c>
      <c r="CF144">
        <v>-0.84</v>
      </c>
      <c r="CG144">
        <v>300</v>
      </c>
      <c r="CH144">
        <v>23.8</v>
      </c>
      <c r="CI144">
        <v>1633.28263291266</v>
      </c>
      <c r="CJ144">
        <v>1.49577129053257</v>
      </c>
      <c r="CK144">
        <v>-28.1203876934379</v>
      </c>
      <c r="CL144">
        <v>0.666413418688897</v>
      </c>
      <c r="CM144">
        <v>0.984518017981194</v>
      </c>
      <c r="CN144">
        <v>-0.00424727541713014</v>
      </c>
      <c r="CO144">
        <v>290</v>
      </c>
      <c r="CP144">
        <v>1576.56</v>
      </c>
      <c r="CQ144">
        <v>775</v>
      </c>
      <c r="CR144">
        <v>5139.5</v>
      </c>
      <c r="CS144">
        <v>1578.57</v>
      </c>
      <c r="CT144">
        <v>-2.01</v>
      </c>
      <c r="DH144">
        <f>$B$11*EG144+$C$11*EH144+$F$11*ES144*(1-EV144)</f>
        <v>0</v>
      </c>
      <c r="DI144">
        <f>DH144*DJ144</f>
        <v>0</v>
      </c>
      <c r="DJ144">
        <f>($B$11*$D$9+$C$11*$D$9+$F$11*((FF144+EX144)/MAX(FF144+EX144+FG144, 0.1)*$I$9+FG144/MAX(FF144+EX144+FG144, 0.1)*$J$9))/($B$11+$C$11+$F$11)</f>
        <v>0</v>
      </c>
      <c r="DK144">
        <f>($B$11*$K$9+$C$11*$K$9+$F$11*((FF144+EX144)/MAX(FF144+EX144+FG144, 0.1)*$P$9+FG144/MAX(FF144+EX144+FG144, 0.1)*$Q$9))/($B$11+$C$11+$F$11)</f>
        <v>0</v>
      </c>
      <c r="DL144">
        <v>6</v>
      </c>
      <c r="DM144">
        <v>0.5</v>
      </c>
      <c r="DN144" t="s">
        <v>438</v>
      </c>
      <c r="DO144">
        <v>2</v>
      </c>
      <c r="DP144" t="b">
        <v>1</v>
      </c>
      <c r="DQ144">
        <v>1760991970.5</v>
      </c>
      <c r="DR144">
        <v>402.385125</v>
      </c>
      <c r="DS144">
        <v>420.0245625</v>
      </c>
      <c r="DT144">
        <v>11.85339375</v>
      </c>
      <c r="DU144">
        <v>9.745115</v>
      </c>
      <c r="DV144">
        <v>399.570125</v>
      </c>
      <c r="DW144">
        <v>11.9640625</v>
      </c>
      <c r="DX144">
        <v>500.0324375</v>
      </c>
      <c r="DY144">
        <v>89.83835625</v>
      </c>
      <c r="DZ144">
        <v>0.008779164375</v>
      </c>
      <c r="EA144">
        <v>18.345025</v>
      </c>
      <c r="EB144">
        <v>17.98650625</v>
      </c>
      <c r="EC144">
        <v>999.9</v>
      </c>
      <c r="ED144">
        <v>0</v>
      </c>
      <c r="EE144">
        <v>0</v>
      </c>
      <c r="EF144">
        <v>10004.7625</v>
      </c>
      <c r="EG144">
        <v>0</v>
      </c>
      <c r="EH144">
        <v>1278.83375</v>
      </c>
      <c r="EI144">
        <v>-17.6393</v>
      </c>
      <c r="EJ144">
        <v>407.2121875</v>
      </c>
      <c r="EK144">
        <v>424.1580625</v>
      </c>
      <c r="EL144">
        <v>2.10828375</v>
      </c>
      <c r="EM144">
        <v>420.0245625</v>
      </c>
      <c r="EN144">
        <v>9.745115</v>
      </c>
      <c r="EO144">
        <v>1.064889375</v>
      </c>
      <c r="EP144">
        <v>0.8754851875</v>
      </c>
      <c r="EQ144">
        <v>7.835801875</v>
      </c>
      <c r="ER144">
        <v>4.99393625</v>
      </c>
      <c r="ES144">
        <v>1199.979375</v>
      </c>
      <c r="ET144">
        <v>0.9669985</v>
      </c>
      <c r="EU144">
        <v>0.0330016625</v>
      </c>
      <c r="EV144">
        <v>0</v>
      </c>
      <c r="EW144">
        <v>1229.9</v>
      </c>
      <c r="EX144">
        <v>5.00059</v>
      </c>
      <c r="EY144">
        <v>14524.46875</v>
      </c>
      <c r="EZ144">
        <v>10358.525</v>
      </c>
      <c r="FA144">
        <v>37.62475</v>
      </c>
      <c r="FB144">
        <v>40.316125</v>
      </c>
      <c r="FC144">
        <v>38.175625</v>
      </c>
      <c r="FD144">
        <v>39.933375</v>
      </c>
      <c r="FE144">
        <v>38.7496875</v>
      </c>
      <c r="FF144">
        <v>1155.539375</v>
      </c>
      <c r="FG144">
        <v>39.43875</v>
      </c>
      <c r="FH144">
        <v>0</v>
      </c>
      <c r="FI144">
        <v>834.800000190735</v>
      </c>
      <c r="FJ144">
        <v>0</v>
      </c>
      <c r="FK144">
        <v>1230.7152</v>
      </c>
      <c r="FL144">
        <v>35.5861537901974</v>
      </c>
      <c r="FM144">
        <v>463.238460857343</v>
      </c>
      <c r="FN144">
        <v>14534.936</v>
      </c>
      <c r="FO144">
        <v>15</v>
      </c>
      <c r="FP144">
        <v>0</v>
      </c>
      <c r="FQ144" t="s">
        <v>439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-17.635255</v>
      </c>
      <c r="GD144">
        <v>-0.243712781954889</v>
      </c>
      <c r="GE144">
        <v>0.0346977733435447</v>
      </c>
      <c r="GF144">
        <v>1</v>
      </c>
      <c r="GG144">
        <v>1227.77411764706</v>
      </c>
      <c r="GH144">
        <v>39.2406417299965</v>
      </c>
      <c r="GI144">
        <v>3.85851397610613</v>
      </c>
      <c r="GJ144">
        <v>-1</v>
      </c>
      <c r="GK144">
        <v>2.1015395</v>
      </c>
      <c r="GL144">
        <v>0.139895187969926</v>
      </c>
      <c r="GM144">
        <v>0.0136545506974781</v>
      </c>
      <c r="GN144">
        <v>0</v>
      </c>
      <c r="GO144">
        <v>1</v>
      </c>
      <c r="GP144">
        <v>2</v>
      </c>
      <c r="GQ144" t="s">
        <v>446</v>
      </c>
      <c r="GR144">
        <v>3.13074</v>
      </c>
      <c r="GS144">
        <v>2.68661</v>
      </c>
      <c r="GT144">
        <v>0.0867001</v>
      </c>
      <c r="GU144">
        <v>0.0901956</v>
      </c>
      <c r="GV144">
        <v>0.0618079</v>
      </c>
      <c r="GW144">
        <v>0.0529465</v>
      </c>
      <c r="GX144">
        <v>34609.2</v>
      </c>
      <c r="GY144">
        <v>37047.5</v>
      </c>
      <c r="GZ144">
        <v>34263.1</v>
      </c>
      <c r="HA144">
        <v>36846.4</v>
      </c>
      <c r="HB144">
        <v>45342.8</v>
      </c>
      <c r="HC144">
        <v>50037</v>
      </c>
      <c r="HD144">
        <v>53336.9</v>
      </c>
      <c r="HE144">
        <v>58773.6</v>
      </c>
      <c r="HF144">
        <v>2.008</v>
      </c>
      <c r="HG144">
        <v>1.8355</v>
      </c>
      <c r="HH144">
        <v>0.00855327</v>
      </c>
      <c r="HI144">
        <v>0</v>
      </c>
      <c r="HJ144">
        <v>17.8476</v>
      </c>
      <c r="HK144">
        <v>999.9</v>
      </c>
      <c r="HL144">
        <v>26.914</v>
      </c>
      <c r="HM144">
        <v>30.484</v>
      </c>
      <c r="HN144">
        <v>13.1234</v>
      </c>
      <c r="HO144">
        <v>54.3091</v>
      </c>
      <c r="HP144">
        <v>44.2909</v>
      </c>
      <c r="HQ144">
        <v>1</v>
      </c>
      <c r="HR144">
        <v>-0.263895</v>
      </c>
      <c r="HS144">
        <v>4.44368</v>
      </c>
      <c r="HT144">
        <v>20.0827</v>
      </c>
      <c r="HU144">
        <v>5.20246</v>
      </c>
      <c r="HV144">
        <v>12.004</v>
      </c>
      <c r="HW144">
        <v>4.9758</v>
      </c>
      <c r="HX144">
        <v>3.293</v>
      </c>
      <c r="HY144">
        <v>9999</v>
      </c>
      <c r="HZ144">
        <v>999.9</v>
      </c>
      <c r="IA144">
        <v>9999</v>
      </c>
      <c r="IB144">
        <v>9999</v>
      </c>
      <c r="IC144">
        <v>1.86324</v>
      </c>
      <c r="ID144">
        <v>1.86808</v>
      </c>
      <c r="IE144">
        <v>1.86783</v>
      </c>
      <c r="IF144">
        <v>1.86904</v>
      </c>
      <c r="IG144">
        <v>1.86981</v>
      </c>
      <c r="IH144">
        <v>1.86584</v>
      </c>
      <c r="II144">
        <v>1.86691</v>
      </c>
      <c r="IJ144">
        <v>1.86835</v>
      </c>
      <c r="IK144">
        <v>5</v>
      </c>
      <c r="IL144">
        <v>0</v>
      </c>
      <c r="IM144">
        <v>0</v>
      </c>
      <c r="IN144">
        <v>0</v>
      </c>
      <c r="IO144" t="s">
        <v>441</v>
      </c>
      <c r="IP144" t="s">
        <v>442</v>
      </c>
      <c r="IQ144" t="s">
        <v>443</v>
      </c>
      <c r="IR144" t="s">
        <v>443</v>
      </c>
      <c r="IS144" t="s">
        <v>443</v>
      </c>
      <c r="IT144" t="s">
        <v>443</v>
      </c>
      <c r="IU144">
        <v>0</v>
      </c>
      <c r="IV144">
        <v>100</v>
      </c>
      <c r="IW144">
        <v>100</v>
      </c>
      <c r="IX144">
        <v>2.815</v>
      </c>
      <c r="IY144">
        <v>-0.1108</v>
      </c>
      <c r="IZ144">
        <v>1.12474291219083</v>
      </c>
      <c r="JA144">
        <v>0.00463155566490582</v>
      </c>
      <c r="JB144">
        <v>-1.1358998729424e-06</v>
      </c>
      <c r="JC144">
        <v>3.28704272115545e-10</v>
      </c>
      <c r="JD144">
        <v>-0.0704455108513773</v>
      </c>
      <c r="JE144">
        <v>-0.0251928478371425</v>
      </c>
      <c r="JF144">
        <v>0.00225751704194564</v>
      </c>
      <c r="JG144">
        <v>-3.61734043746866e-05</v>
      </c>
      <c r="JH144">
        <v>1</v>
      </c>
      <c r="JI144">
        <v>2182</v>
      </c>
      <c r="JJ144">
        <v>0</v>
      </c>
      <c r="JK144">
        <v>24</v>
      </c>
      <c r="JL144">
        <v>29349866.3</v>
      </c>
      <c r="JM144">
        <v>29349866.3</v>
      </c>
      <c r="JN144">
        <v>1.00098</v>
      </c>
      <c r="JO144">
        <v>2.63794</v>
      </c>
      <c r="JP144">
        <v>1.54785</v>
      </c>
      <c r="JQ144">
        <v>2.31445</v>
      </c>
      <c r="JR144">
        <v>1.64673</v>
      </c>
      <c r="JS144">
        <v>2.34497</v>
      </c>
      <c r="JT144">
        <v>33.6705</v>
      </c>
      <c r="JU144">
        <v>24.1926</v>
      </c>
      <c r="JV144">
        <v>18</v>
      </c>
      <c r="JW144">
        <v>500.437</v>
      </c>
      <c r="JX144">
        <v>393.454</v>
      </c>
      <c r="JY144">
        <v>11.796</v>
      </c>
      <c r="JZ144">
        <v>23.9712</v>
      </c>
      <c r="KA144">
        <v>30.0001</v>
      </c>
      <c r="KB144">
        <v>23.9489</v>
      </c>
      <c r="KC144">
        <v>23.915</v>
      </c>
      <c r="KD144">
        <v>20.0713</v>
      </c>
      <c r="KE144">
        <v>10.7727</v>
      </c>
      <c r="KF144">
        <v>26.9061</v>
      </c>
      <c r="KG144">
        <v>11.7925</v>
      </c>
      <c r="KH144">
        <v>426.79</v>
      </c>
      <c r="KI144">
        <v>9.65931</v>
      </c>
      <c r="KJ144">
        <v>97.0358</v>
      </c>
      <c r="KK144">
        <v>95.2979</v>
      </c>
    </row>
    <row r="145" spans="1:297">
      <c r="A145">
        <v>129</v>
      </c>
      <c r="B145">
        <v>1760991984</v>
      </c>
      <c r="C145">
        <v>2793.90000009537</v>
      </c>
      <c r="D145" t="s">
        <v>711</v>
      </c>
      <c r="E145" t="s">
        <v>712</v>
      </c>
      <c r="F145">
        <v>5</v>
      </c>
      <c r="G145" t="s">
        <v>662</v>
      </c>
      <c r="H145" t="s">
        <v>436</v>
      </c>
      <c r="I145">
        <v>1760991975.26667</v>
      </c>
      <c r="J145">
        <f>(K145)/1000</f>
        <v>0</v>
      </c>
      <c r="K145">
        <f>IF(DP145, AN145, AH145)</f>
        <v>0</v>
      </c>
      <c r="L145">
        <f>IF(DP145, AI145, AG145)</f>
        <v>0</v>
      </c>
      <c r="M145">
        <f>DR145 - IF(AU145&gt;1, L145*DL145*100.0/(AW145), 0)</f>
        <v>0</v>
      </c>
      <c r="N145">
        <f>((T145-J145/2)*M145-L145)/(T145+J145/2)</f>
        <v>0</v>
      </c>
      <c r="O145">
        <f>N145*(DY145+DZ145)/1000.0</f>
        <v>0</v>
      </c>
      <c r="P145">
        <f>(DR145 - IF(AU145&gt;1, L145*DL145*100.0/(AW145), 0))*(DY145+DZ145)/1000.0</f>
        <v>0</v>
      </c>
      <c r="Q145">
        <f>2.0/((1/S145-1/R145)+SIGN(S145)*SQRT((1/S145-1/R145)*(1/S145-1/R145) + 4*DM145/((DM145+1)*(DM145+1))*(2*1/S145*1/R145-1/R145*1/R145)))</f>
        <v>0</v>
      </c>
      <c r="R145">
        <f>IF(LEFT(DN145,1)&lt;&gt;"0",IF(LEFT(DN145,1)="1",3.0,DO145),$D$5+$E$5*(EF145*DY145/($K$5*1000))+$F$5*(EF145*DY145/($K$5*1000))*MAX(MIN(DL145,$J$5),$I$5)*MAX(MIN(DL145,$J$5),$I$5)+$G$5*MAX(MIN(DL145,$J$5),$I$5)*(EF145*DY145/($K$5*1000))+$H$5*(EF145*DY145/($K$5*1000))*(EF145*DY145/($K$5*1000)))</f>
        <v>0</v>
      </c>
      <c r="S145">
        <f>J145*(1000-(1000*0.61365*exp(17.502*W145/(240.97+W145))/(DY145+DZ145)+DT145)/2)/(1000*0.61365*exp(17.502*W145/(240.97+W145))/(DY145+DZ145)-DT145)</f>
        <v>0</v>
      </c>
      <c r="T145">
        <f>1/((DM145+1)/(Q145/1.6)+1/(R145/1.37)) + DM145/((DM145+1)/(Q145/1.6) + DM145/(R145/1.37))</f>
        <v>0</v>
      </c>
      <c r="U145">
        <f>(DH145*DK145)</f>
        <v>0</v>
      </c>
      <c r="V145">
        <f>(EA145+(U145+2*0.95*5.67E-8*(((EA145+$B$7)+273)^4-(EA145+273)^4)-44100*J145)/(1.84*29.3*R145+8*0.95*5.67E-8*(EA145+273)^3))</f>
        <v>0</v>
      </c>
      <c r="W145">
        <f>($C$7*EB145+$D$7*EC145+$E$7*V145)</f>
        <v>0</v>
      </c>
      <c r="X145">
        <f>0.61365*exp(17.502*W145/(240.97+W145))</f>
        <v>0</v>
      </c>
      <c r="Y145">
        <f>(Z145/AA145*100)</f>
        <v>0</v>
      </c>
      <c r="Z145">
        <f>DT145*(DY145+DZ145)/1000</f>
        <v>0</v>
      </c>
      <c r="AA145">
        <f>0.61365*exp(17.502*EA145/(240.97+EA145))</f>
        <v>0</v>
      </c>
      <c r="AB145">
        <f>(X145-DT145*(DY145+DZ145)/1000)</f>
        <v>0</v>
      </c>
      <c r="AC145">
        <f>(-J145*44100)</f>
        <v>0</v>
      </c>
      <c r="AD145">
        <f>2*29.3*R145*0.92*(EA145-W145)</f>
        <v>0</v>
      </c>
      <c r="AE145">
        <f>2*0.95*5.67E-8*(((EA145+$B$7)+273)^4-(W145+273)^4)</f>
        <v>0</v>
      </c>
      <c r="AF145">
        <f>U145+AE145+AC145+AD145</f>
        <v>0</v>
      </c>
      <c r="AG145">
        <f>DX145*AU145*(DS145-DR145*(1000-AU145*DU145)/(1000-AU145*DT145))/(100*DL145)</f>
        <v>0</v>
      </c>
      <c r="AH145">
        <f>1000*DX145*AU145*(DT145-DU145)/(100*DL145*(1000-AU145*DT145))</f>
        <v>0</v>
      </c>
      <c r="AI145">
        <f>(AJ145 - AK145 - DY145*1E3/(8.314*(EA145+273.15)) * AM145/DX145 * AL145) * DX145/(100*DL145) * (1000 - DU145)/1000</f>
        <v>0</v>
      </c>
      <c r="AJ145">
        <v>424.280980401928</v>
      </c>
      <c r="AK145">
        <v>407.154739393939</v>
      </c>
      <c r="AL145">
        <v>-0.000953391697708482</v>
      </c>
      <c r="AM145">
        <v>65.2210784119795</v>
      </c>
      <c r="AN145">
        <f>(AP145 - AO145 + DY145*1E3/(8.314*(EA145+273.15)) * AR145/DX145 * AQ145) * DX145/(100*DL145) * 1000/(1000 - AP145)</f>
        <v>0</v>
      </c>
      <c r="AO145">
        <v>9.71665142119069</v>
      </c>
      <c r="AP145">
        <v>11.83534</v>
      </c>
      <c r="AQ145">
        <v>-0.000102660511139794</v>
      </c>
      <c r="AR145">
        <v>115.574510355221</v>
      </c>
      <c r="AS145">
        <v>0</v>
      </c>
      <c r="AT145">
        <v>0</v>
      </c>
      <c r="AU145">
        <f>IF(AS145*$H$13&gt;=AW145,1.0,(AW145/(AW145-AS145*$H$13)))</f>
        <v>0</v>
      </c>
      <c r="AV145">
        <f>(AU145-1)*100</f>
        <v>0</v>
      </c>
      <c r="AW145">
        <f>MAX(0,($B$13+$C$13*EF145)/(1+$D$13*EF145)*DY145/(EA145+273)*$E$13)</f>
        <v>0</v>
      </c>
      <c r="AX145" t="s">
        <v>437</v>
      </c>
      <c r="AY145" t="s">
        <v>437</v>
      </c>
      <c r="AZ145">
        <v>0</v>
      </c>
      <c r="BA145">
        <v>0</v>
      </c>
      <c r="BB145">
        <f>1-AZ145/BA145</f>
        <v>0</v>
      </c>
      <c r="BC145">
        <v>0</v>
      </c>
      <c r="BD145" t="s">
        <v>437</v>
      </c>
      <c r="BE145" t="s">
        <v>437</v>
      </c>
      <c r="BF145">
        <v>0</v>
      </c>
      <c r="BG145">
        <v>0</v>
      </c>
      <c r="BH145">
        <f>1-BF145/BG145</f>
        <v>0</v>
      </c>
      <c r="BI145">
        <v>0.5</v>
      </c>
      <c r="BJ145">
        <f>DI145</f>
        <v>0</v>
      </c>
      <c r="BK145">
        <f>L145</f>
        <v>0</v>
      </c>
      <c r="BL145">
        <f>BH145*BI145*BJ145</f>
        <v>0</v>
      </c>
      <c r="BM145">
        <f>(BK145-BC145)/BJ145</f>
        <v>0</v>
      </c>
      <c r="BN145">
        <f>(BA145-BG145)/BG145</f>
        <v>0</v>
      </c>
      <c r="BO145">
        <f>AZ145/(BB145+AZ145/BG145)</f>
        <v>0</v>
      </c>
      <c r="BP145" t="s">
        <v>437</v>
      </c>
      <c r="BQ145">
        <v>0</v>
      </c>
      <c r="BR145">
        <f>IF(BQ145&lt;&gt;0, BQ145, BO145)</f>
        <v>0</v>
      </c>
      <c r="BS145">
        <f>1-BR145/BG145</f>
        <v>0</v>
      </c>
      <c r="BT145">
        <f>(BG145-BF145)/(BG145-BR145)</f>
        <v>0</v>
      </c>
      <c r="BU145">
        <f>(BA145-BG145)/(BA145-BR145)</f>
        <v>0</v>
      </c>
      <c r="BV145">
        <f>(BG145-BF145)/(BG145-AZ145)</f>
        <v>0</v>
      </c>
      <c r="BW145">
        <f>(BA145-BG145)/(BA145-AZ145)</f>
        <v>0</v>
      </c>
      <c r="BX145">
        <f>(BT145*BR145/BF145)</f>
        <v>0</v>
      </c>
      <c r="BY145">
        <f>(1-BX145)</f>
        <v>0</v>
      </c>
      <c r="BZ145">
        <v>282</v>
      </c>
      <c r="CA145">
        <v>290</v>
      </c>
      <c r="CB145">
        <v>1577.74</v>
      </c>
      <c r="CC145">
        <v>295</v>
      </c>
      <c r="CD145">
        <v>5140.93</v>
      </c>
      <c r="CE145">
        <v>1578.58</v>
      </c>
      <c r="CF145">
        <v>-0.84</v>
      </c>
      <c r="CG145">
        <v>300</v>
      </c>
      <c r="CH145">
        <v>23.8</v>
      </c>
      <c r="CI145">
        <v>1633.28263291266</v>
      </c>
      <c r="CJ145">
        <v>1.49577129053257</v>
      </c>
      <c r="CK145">
        <v>-28.1203876934379</v>
      </c>
      <c r="CL145">
        <v>0.666413418688897</v>
      </c>
      <c r="CM145">
        <v>0.984518017981194</v>
      </c>
      <c r="CN145">
        <v>-0.00424727541713014</v>
      </c>
      <c r="CO145">
        <v>290</v>
      </c>
      <c r="CP145">
        <v>1576.56</v>
      </c>
      <c r="CQ145">
        <v>775</v>
      </c>
      <c r="CR145">
        <v>5139.5</v>
      </c>
      <c r="CS145">
        <v>1578.57</v>
      </c>
      <c r="CT145">
        <v>-2.01</v>
      </c>
      <c r="DH145">
        <f>$B$11*EG145+$C$11*EH145+$F$11*ES145*(1-EV145)</f>
        <v>0</v>
      </c>
      <c r="DI145">
        <f>DH145*DJ145</f>
        <v>0</v>
      </c>
      <c r="DJ145">
        <f>($B$11*$D$9+$C$11*$D$9+$F$11*((FF145+EX145)/MAX(FF145+EX145+FG145, 0.1)*$I$9+FG145/MAX(FF145+EX145+FG145, 0.1)*$J$9))/($B$11+$C$11+$F$11)</f>
        <v>0</v>
      </c>
      <c r="DK145">
        <f>($B$11*$K$9+$C$11*$K$9+$F$11*((FF145+EX145)/MAX(FF145+EX145+FG145, 0.1)*$P$9+FG145/MAX(FF145+EX145+FG145, 0.1)*$Q$9))/($B$11+$C$11+$F$11)</f>
        <v>0</v>
      </c>
      <c r="DL145">
        <v>6</v>
      </c>
      <c r="DM145">
        <v>0.5</v>
      </c>
      <c r="DN145" t="s">
        <v>438</v>
      </c>
      <c r="DO145">
        <v>2</v>
      </c>
      <c r="DP145" t="b">
        <v>1</v>
      </c>
      <c r="DQ145">
        <v>1760991975.26667</v>
      </c>
      <c r="DR145">
        <v>402.368466666667</v>
      </c>
      <c r="DS145">
        <v>420.124666666667</v>
      </c>
      <c r="DT145">
        <v>11.84812</v>
      </c>
      <c r="DU145">
        <v>9.73171666666667</v>
      </c>
      <c r="DV145">
        <v>399.553466666667</v>
      </c>
      <c r="DW145">
        <v>11.9588533333333</v>
      </c>
      <c r="DX145">
        <v>500.0192</v>
      </c>
      <c r="DY145">
        <v>89.8381666666667</v>
      </c>
      <c r="DZ145">
        <v>0.00876831066666667</v>
      </c>
      <c r="EA145">
        <v>18.3488</v>
      </c>
      <c r="EB145">
        <v>17.9935</v>
      </c>
      <c r="EC145">
        <v>999.9</v>
      </c>
      <c r="ED145">
        <v>0</v>
      </c>
      <c r="EE145">
        <v>0</v>
      </c>
      <c r="EF145">
        <v>9996.46</v>
      </c>
      <c r="EG145">
        <v>0</v>
      </c>
      <c r="EH145">
        <v>1278.81533333333</v>
      </c>
      <c r="EI145">
        <v>-17.7560733333333</v>
      </c>
      <c r="EJ145">
        <v>407.193133333333</v>
      </c>
      <c r="EK145">
        <v>424.2534</v>
      </c>
      <c r="EL145">
        <v>2.11640333333333</v>
      </c>
      <c r="EM145">
        <v>420.124666666667</v>
      </c>
      <c r="EN145">
        <v>9.73171666666667</v>
      </c>
      <c r="EO145">
        <v>1.06441266666667</v>
      </c>
      <c r="EP145">
        <v>0.874279733333333</v>
      </c>
      <c r="EQ145">
        <v>7.82923266666667</v>
      </c>
      <c r="ER145">
        <v>4.97417666666667</v>
      </c>
      <c r="ES145">
        <v>1199.99266666667</v>
      </c>
      <c r="ET145">
        <v>0.9669996</v>
      </c>
      <c r="EU145">
        <v>0.0330005</v>
      </c>
      <c r="EV145">
        <v>0</v>
      </c>
      <c r="EW145">
        <v>1232.754</v>
      </c>
      <c r="EX145">
        <v>5.00059</v>
      </c>
      <c r="EY145">
        <v>14560.8466666667</v>
      </c>
      <c r="EZ145">
        <v>10358.6466666667</v>
      </c>
      <c r="FA145">
        <v>37.6914666666667</v>
      </c>
      <c r="FB145">
        <v>40.4039333333333</v>
      </c>
      <c r="FC145">
        <v>38.2330666666667</v>
      </c>
      <c r="FD145">
        <v>40.0539333333333</v>
      </c>
      <c r="FE145">
        <v>38.8164</v>
      </c>
      <c r="FF145">
        <v>1155.55533333333</v>
      </c>
      <c r="FG145">
        <v>39.436</v>
      </c>
      <c r="FH145">
        <v>0</v>
      </c>
      <c r="FI145">
        <v>839.600000143051</v>
      </c>
      <c r="FJ145">
        <v>0</v>
      </c>
      <c r="FK145">
        <v>1233.4944</v>
      </c>
      <c r="FL145">
        <v>34.1538461443715</v>
      </c>
      <c r="FM145">
        <v>438.207692332775</v>
      </c>
      <c r="FN145">
        <v>14570.78</v>
      </c>
      <c r="FO145">
        <v>15</v>
      </c>
      <c r="FP145">
        <v>0</v>
      </c>
      <c r="FQ145" t="s">
        <v>439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-17.71516</v>
      </c>
      <c r="GD145">
        <v>-1.44841804511278</v>
      </c>
      <c r="GE145">
        <v>0.260019276977689</v>
      </c>
      <c r="GF145">
        <v>0</v>
      </c>
      <c r="GG145">
        <v>1231.52058823529</v>
      </c>
      <c r="GH145">
        <v>35.5523300350924</v>
      </c>
      <c r="GI145">
        <v>3.49668409410677</v>
      </c>
      <c r="GJ145">
        <v>-1</v>
      </c>
      <c r="GK145">
        <v>2.1124675</v>
      </c>
      <c r="GL145">
        <v>0.0949592481203014</v>
      </c>
      <c r="GM145">
        <v>0.0100674946610366</v>
      </c>
      <c r="GN145">
        <v>1</v>
      </c>
      <c r="GO145">
        <v>1</v>
      </c>
      <c r="GP145">
        <v>2</v>
      </c>
      <c r="GQ145" t="s">
        <v>446</v>
      </c>
      <c r="GR145">
        <v>3.13064</v>
      </c>
      <c r="GS145">
        <v>2.68667</v>
      </c>
      <c r="GT145">
        <v>0.0867117</v>
      </c>
      <c r="GU145">
        <v>0.090566</v>
      </c>
      <c r="GV145">
        <v>0.0617681</v>
      </c>
      <c r="GW145">
        <v>0.0529242</v>
      </c>
      <c r="GX145">
        <v>34608.9</v>
      </c>
      <c r="GY145">
        <v>37032.4</v>
      </c>
      <c r="GZ145">
        <v>34263.3</v>
      </c>
      <c r="HA145">
        <v>36846.4</v>
      </c>
      <c r="HB145">
        <v>45345</v>
      </c>
      <c r="HC145">
        <v>50038.2</v>
      </c>
      <c r="HD145">
        <v>53337.1</v>
      </c>
      <c r="HE145">
        <v>58773.5</v>
      </c>
      <c r="HF145">
        <v>2.0075</v>
      </c>
      <c r="HG145">
        <v>1.8354</v>
      </c>
      <c r="HH145">
        <v>0.0090301</v>
      </c>
      <c r="HI145">
        <v>0</v>
      </c>
      <c r="HJ145">
        <v>17.8477</v>
      </c>
      <c r="HK145">
        <v>999.9</v>
      </c>
      <c r="HL145">
        <v>26.914</v>
      </c>
      <c r="HM145">
        <v>30.484</v>
      </c>
      <c r="HN145">
        <v>13.1225</v>
      </c>
      <c r="HO145">
        <v>54.0191</v>
      </c>
      <c r="HP145">
        <v>44.4271</v>
      </c>
      <c r="HQ145">
        <v>1</v>
      </c>
      <c r="HR145">
        <v>-0.263935</v>
      </c>
      <c r="HS145">
        <v>4.45907</v>
      </c>
      <c r="HT145">
        <v>20.0821</v>
      </c>
      <c r="HU145">
        <v>5.20187</v>
      </c>
      <c r="HV145">
        <v>12.004</v>
      </c>
      <c r="HW145">
        <v>4.9755</v>
      </c>
      <c r="HX145">
        <v>3.2929</v>
      </c>
      <c r="HY145">
        <v>9999</v>
      </c>
      <c r="HZ145">
        <v>999.9</v>
      </c>
      <c r="IA145">
        <v>9999</v>
      </c>
      <c r="IB145">
        <v>9999</v>
      </c>
      <c r="IC145">
        <v>1.86324</v>
      </c>
      <c r="ID145">
        <v>1.86803</v>
      </c>
      <c r="IE145">
        <v>1.86783</v>
      </c>
      <c r="IF145">
        <v>1.86904</v>
      </c>
      <c r="IG145">
        <v>1.86981</v>
      </c>
      <c r="IH145">
        <v>1.86586</v>
      </c>
      <c r="II145">
        <v>1.86692</v>
      </c>
      <c r="IJ145">
        <v>1.86835</v>
      </c>
      <c r="IK145">
        <v>5</v>
      </c>
      <c r="IL145">
        <v>0</v>
      </c>
      <c r="IM145">
        <v>0</v>
      </c>
      <c r="IN145">
        <v>0</v>
      </c>
      <c r="IO145" t="s">
        <v>441</v>
      </c>
      <c r="IP145" t="s">
        <v>442</v>
      </c>
      <c r="IQ145" t="s">
        <v>443</v>
      </c>
      <c r="IR145" t="s">
        <v>443</v>
      </c>
      <c r="IS145" t="s">
        <v>443</v>
      </c>
      <c r="IT145" t="s">
        <v>443</v>
      </c>
      <c r="IU145">
        <v>0</v>
      </c>
      <c r="IV145">
        <v>100</v>
      </c>
      <c r="IW145">
        <v>100</v>
      </c>
      <c r="IX145">
        <v>2.816</v>
      </c>
      <c r="IY145">
        <v>-0.1109</v>
      </c>
      <c r="IZ145">
        <v>1.12474291219083</v>
      </c>
      <c r="JA145">
        <v>0.00463155566490582</v>
      </c>
      <c r="JB145">
        <v>-1.1358998729424e-06</v>
      </c>
      <c r="JC145">
        <v>3.28704272115545e-10</v>
      </c>
      <c r="JD145">
        <v>-0.0704455108513773</v>
      </c>
      <c r="JE145">
        <v>-0.0251928478371425</v>
      </c>
      <c r="JF145">
        <v>0.00225751704194564</v>
      </c>
      <c r="JG145">
        <v>-3.61734043746866e-05</v>
      </c>
      <c r="JH145">
        <v>1</v>
      </c>
      <c r="JI145">
        <v>2182</v>
      </c>
      <c r="JJ145">
        <v>0</v>
      </c>
      <c r="JK145">
        <v>24</v>
      </c>
      <c r="JL145">
        <v>29349866.4</v>
      </c>
      <c r="JM145">
        <v>29349866.4</v>
      </c>
      <c r="JN145">
        <v>1.02539</v>
      </c>
      <c r="JO145">
        <v>2.6355</v>
      </c>
      <c r="JP145">
        <v>1.54785</v>
      </c>
      <c r="JQ145">
        <v>2.31445</v>
      </c>
      <c r="JR145">
        <v>1.64673</v>
      </c>
      <c r="JS145">
        <v>2.3877</v>
      </c>
      <c r="JT145">
        <v>33.693</v>
      </c>
      <c r="JU145">
        <v>24.1838</v>
      </c>
      <c r="JV145">
        <v>18</v>
      </c>
      <c r="JW145">
        <v>500.133</v>
      </c>
      <c r="JX145">
        <v>393.412</v>
      </c>
      <c r="JY145">
        <v>11.7989</v>
      </c>
      <c r="JZ145">
        <v>23.9712</v>
      </c>
      <c r="KA145">
        <v>30.0002</v>
      </c>
      <c r="KB145">
        <v>23.9505</v>
      </c>
      <c r="KC145">
        <v>23.9165</v>
      </c>
      <c r="KD145">
        <v>20.5985</v>
      </c>
      <c r="KE145">
        <v>10.7727</v>
      </c>
      <c r="KF145">
        <v>26.9061</v>
      </c>
      <c r="KG145">
        <v>11.7968</v>
      </c>
      <c r="KH145">
        <v>440.313</v>
      </c>
      <c r="KI145">
        <v>9.65934</v>
      </c>
      <c r="KJ145">
        <v>97.0362</v>
      </c>
      <c r="KK145">
        <v>95.2978</v>
      </c>
    </row>
    <row r="146" spans="1:297">
      <c r="A146">
        <v>130</v>
      </c>
      <c r="B146">
        <v>1760991989</v>
      </c>
      <c r="C146">
        <v>2798.90000009537</v>
      </c>
      <c r="D146" t="s">
        <v>713</v>
      </c>
      <c r="E146" t="s">
        <v>714</v>
      </c>
      <c r="F146">
        <v>5</v>
      </c>
      <c r="G146" t="s">
        <v>662</v>
      </c>
      <c r="H146" t="s">
        <v>436</v>
      </c>
      <c r="I146">
        <v>1760991980.35714</v>
      </c>
      <c r="J146">
        <f>(K146)/1000</f>
        <v>0</v>
      </c>
      <c r="K146">
        <f>IF(DP146, AN146, AH146)</f>
        <v>0</v>
      </c>
      <c r="L146">
        <f>IF(DP146, AI146, AG146)</f>
        <v>0</v>
      </c>
      <c r="M146">
        <f>DR146 - IF(AU146&gt;1, L146*DL146*100.0/(AW146), 0)</f>
        <v>0</v>
      </c>
      <c r="N146">
        <f>((T146-J146/2)*M146-L146)/(T146+J146/2)</f>
        <v>0</v>
      </c>
      <c r="O146">
        <f>N146*(DY146+DZ146)/1000.0</f>
        <v>0</v>
      </c>
      <c r="P146">
        <f>(DR146 - IF(AU146&gt;1, L146*DL146*100.0/(AW146), 0))*(DY146+DZ146)/1000.0</f>
        <v>0</v>
      </c>
      <c r="Q146">
        <f>2.0/((1/S146-1/R146)+SIGN(S146)*SQRT((1/S146-1/R146)*(1/S146-1/R146) + 4*DM146/((DM146+1)*(DM146+1))*(2*1/S146*1/R146-1/R146*1/R146)))</f>
        <v>0</v>
      </c>
      <c r="R146">
        <f>IF(LEFT(DN146,1)&lt;&gt;"0",IF(LEFT(DN146,1)="1",3.0,DO146),$D$5+$E$5*(EF146*DY146/($K$5*1000))+$F$5*(EF146*DY146/($K$5*1000))*MAX(MIN(DL146,$J$5),$I$5)*MAX(MIN(DL146,$J$5),$I$5)+$G$5*MAX(MIN(DL146,$J$5),$I$5)*(EF146*DY146/($K$5*1000))+$H$5*(EF146*DY146/($K$5*1000))*(EF146*DY146/($K$5*1000)))</f>
        <v>0</v>
      </c>
      <c r="S146">
        <f>J146*(1000-(1000*0.61365*exp(17.502*W146/(240.97+W146))/(DY146+DZ146)+DT146)/2)/(1000*0.61365*exp(17.502*W146/(240.97+W146))/(DY146+DZ146)-DT146)</f>
        <v>0</v>
      </c>
      <c r="T146">
        <f>1/((DM146+1)/(Q146/1.6)+1/(R146/1.37)) + DM146/((DM146+1)/(Q146/1.6) + DM146/(R146/1.37))</f>
        <v>0</v>
      </c>
      <c r="U146">
        <f>(DH146*DK146)</f>
        <v>0</v>
      </c>
      <c r="V146">
        <f>(EA146+(U146+2*0.95*5.67E-8*(((EA146+$B$7)+273)^4-(EA146+273)^4)-44100*J146)/(1.84*29.3*R146+8*0.95*5.67E-8*(EA146+273)^3))</f>
        <v>0</v>
      </c>
      <c r="W146">
        <f>($C$7*EB146+$D$7*EC146+$E$7*V146)</f>
        <v>0</v>
      </c>
      <c r="X146">
        <f>0.61365*exp(17.502*W146/(240.97+W146))</f>
        <v>0</v>
      </c>
      <c r="Y146">
        <f>(Z146/AA146*100)</f>
        <v>0</v>
      </c>
      <c r="Z146">
        <f>DT146*(DY146+DZ146)/1000</f>
        <v>0</v>
      </c>
      <c r="AA146">
        <f>0.61365*exp(17.502*EA146/(240.97+EA146))</f>
        <v>0</v>
      </c>
      <c r="AB146">
        <f>(X146-DT146*(DY146+DZ146)/1000)</f>
        <v>0</v>
      </c>
      <c r="AC146">
        <f>(-J146*44100)</f>
        <v>0</v>
      </c>
      <c r="AD146">
        <f>2*29.3*R146*0.92*(EA146-W146)</f>
        <v>0</v>
      </c>
      <c r="AE146">
        <f>2*0.95*5.67E-8*(((EA146+$B$7)+273)^4-(W146+273)^4)</f>
        <v>0</v>
      </c>
      <c r="AF146">
        <f>U146+AE146+AC146+AD146</f>
        <v>0</v>
      </c>
      <c r="AG146">
        <f>DX146*AU146*(DS146-DR146*(1000-AU146*DU146)/(1000-AU146*DT146))/(100*DL146)</f>
        <v>0</v>
      </c>
      <c r="AH146">
        <f>1000*DX146*AU146*(DT146-DU146)/(100*DL146*(1000-AU146*DT146))</f>
        <v>0</v>
      </c>
      <c r="AI146">
        <f>(AJ146 - AK146 - DY146*1E3/(8.314*(EA146+273.15)) * AM146/DX146 * AL146) * DX146/(100*DL146) * (1000 - DU146)/1000</f>
        <v>0</v>
      </c>
      <c r="AJ146">
        <v>429.538899416884</v>
      </c>
      <c r="AK146">
        <v>409.534975757576</v>
      </c>
      <c r="AL146">
        <v>0.59047456062943</v>
      </c>
      <c r="AM146">
        <v>65.2210784119795</v>
      </c>
      <c r="AN146">
        <f>(AP146 - AO146 + DY146*1E3/(8.314*(EA146+273.15)) * AR146/DX146 * AQ146) * DX146/(100*DL146) * 1000/(1000 - AP146)</f>
        <v>0</v>
      </c>
      <c r="AO146">
        <v>9.71490494842432</v>
      </c>
      <c r="AP146">
        <v>11.8296357575758</v>
      </c>
      <c r="AQ146">
        <v>-3.57468853462372e-05</v>
      </c>
      <c r="AR146">
        <v>115.574510355221</v>
      </c>
      <c r="AS146">
        <v>0</v>
      </c>
      <c r="AT146">
        <v>0</v>
      </c>
      <c r="AU146">
        <f>IF(AS146*$H$13&gt;=AW146,1.0,(AW146/(AW146-AS146*$H$13)))</f>
        <v>0</v>
      </c>
      <c r="AV146">
        <f>(AU146-1)*100</f>
        <v>0</v>
      </c>
      <c r="AW146">
        <f>MAX(0,($B$13+$C$13*EF146)/(1+$D$13*EF146)*DY146/(EA146+273)*$E$13)</f>
        <v>0</v>
      </c>
      <c r="AX146" t="s">
        <v>437</v>
      </c>
      <c r="AY146" t="s">
        <v>437</v>
      </c>
      <c r="AZ146">
        <v>0</v>
      </c>
      <c r="BA146">
        <v>0</v>
      </c>
      <c r="BB146">
        <f>1-AZ146/BA146</f>
        <v>0</v>
      </c>
      <c r="BC146">
        <v>0</v>
      </c>
      <c r="BD146" t="s">
        <v>437</v>
      </c>
      <c r="BE146" t="s">
        <v>437</v>
      </c>
      <c r="BF146">
        <v>0</v>
      </c>
      <c r="BG146">
        <v>0</v>
      </c>
      <c r="BH146">
        <f>1-BF146/BG146</f>
        <v>0</v>
      </c>
      <c r="BI146">
        <v>0.5</v>
      </c>
      <c r="BJ146">
        <f>DI146</f>
        <v>0</v>
      </c>
      <c r="BK146">
        <f>L146</f>
        <v>0</v>
      </c>
      <c r="BL146">
        <f>BH146*BI146*BJ146</f>
        <v>0</v>
      </c>
      <c r="BM146">
        <f>(BK146-BC146)/BJ146</f>
        <v>0</v>
      </c>
      <c r="BN146">
        <f>(BA146-BG146)/BG146</f>
        <v>0</v>
      </c>
      <c r="BO146">
        <f>AZ146/(BB146+AZ146/BG146)</f>
        <v>0</v>
      </c>
      <c r="BP146" t="s">
        <v>437</v>
      </c>
      <c r="BQ146">
        <v>0</v>
      </c>
      <c r="BR146">
        <f>IF(BQ146&lt;&gt;0, BQ146, BO146)</f>
        <v>0</v>
      </c>
      <c r="BS146">
        <f>1-BR146/BG146</f>
        <v>0</v>
      </c>
      <c r="BT146">
        <f>(BG146-BF146)/(BG146-BR146)</f>
        <v>0</v>
      </c>
      <c r="BU146">
        <f>(BA146-BG146)/(BA146-BR146)</f>
        <v>0</v>
      </c>
      <c r="BV146">
        <f>(BG146-BF146)/(BG146-AZ146)</f>
        <v>0</v>
      </c>
      <c r="BW146">
        <f>(BA146-BG146)/(BA146-AZ146)</f>
        <v>0</v>
      </c>
      <c r="BX146">
        <f>(BT146*BR146/BF146)</f>
        <v>0</v>
      </c>
      <c r="BY146">
        <f>(1-BX146)</f>
        <v>0</v>
      </c>
      <c r="BZ146">
        <v>282</v>
      </c>
      <c r="CA146">
        <v>290</v>
      </c>
      <c r="CB146">
        <v>1577.74</v>
      </c>
      <c r="CC146">
        <v>295</v>
      </c>
      <c r="CD146">
        <v>5140.93</v>
      </c>
      <c r="CE146">
        <v>1578.58</v>
      </c>
      <c r="CF146">
        <v>-0.84</v>
      </c>
      <c r="CG146">
        <v>300</v>
      </c>
      <c r="CH146">
        <v>23.8</v>
      </c>
      <c r="CI146">
        <v>1633.28263291266</v>
      </c>
      <c r="CJ146">
        <v>1.49577129053257</v>
      </c>
      <c r="CK146">
        <v>-28.1203876934379</v>
      </c>
      <c r="CL146">
        <v>0.666413418688897</v>
      </c>
      <c r="CM146">
        <v>0.984518017981194</v>
      </c>
      <c r="CN146">
        <v>-0.00424727541713014</v>
      </c>
      <c r="CO146">
        <v>290</v>
      </c>
      <c r="CP146">
        <v>1576.56</v>
      </c>
      <c r="CQ146">
        <v>775</v>
      </c>
      <c r="CR146">
        <v>5139.5</v>
      </c>
      <c r="CS146">
        <v>1578.57</v>
      </c>
      <c r="CT146">
        <v>-2.01</v>
      </c>
      <c r="DH146">
        <f>$B$11*EG146+$C$11*EH146+$F$11*ES146*(1-EV146)</f>
        <v>0</v>
      </c>
      <c r="DI146">
        <f>DH146*DJ146</f>
        <v>0</v>
      </c>
      <c r="DJ146">
        <f>($B$11*$D$9+$C$11*$D$9+$F$11*((FF146+EX146)/MAX(FF146+EX146+FG146, 0.1)*$I$9+FG146/MAX(FF146+EX146+FG146, 0.1)*$J$9))/($B$11+$C$11+$F$11)</f>
        <v>0</v>
      </c>
      <c r="DK146">
        <f>($B$11*$K$9+$C$11*$K$9+$F$11*((FF146+EX146)/MAX(FF146+EX146+FG146, 0.1)*$P$9+FG146/MAX(FF146+EX146+FG146, 0.1)*$Q$9))/($B$11+$C$11+$F$11)</f>
        <v>0</v>
      </c>
      <c r="DL146">
        <v>6</v>
      </c>
      <c r="DM146">
        <v>0.5</v>
      </c>
      <c r="DN146" t="s">
        <v>438</v>
      </c>
      <c r="DO146">
        <v>2</v>
      </c>
      <c r="DP146" t="b">
        <v>1</v>
      </c>
      <c r="DQ146">
        <v>1760991980.35714</v>
      </c>
      <c r="DR146">
        <v>402.722214285714</v>
      </c>
      <c r="DS146">
        <v>422.389357142857</v>
      </c>
      <c r="DT146">
        <v>11.8407357142857</v>
      </c>
      <c r="DU146">
        <v>9.72224357142857</v>
      </c>
      <c r="DV146">
        <v>399.905785714286</v>
      </c>
      <c r="DW146">
        <v>11.95155</v>
      </c>
      <c r="DX146">
        <v>500.018142857143</v>
      </c>
      <c r="DY146">
        <v>89.8374928571428</v>
      </c>
      <c r="DZ146">
        <v>0.00868940428571429</v>
      </c>
      <c r="EA146">
        <v>18.35145</v>
      </c>
      <c r="EB146">
        <v>17.9956142857143</v>
      </c>
      <c r="EC146">
        <v>999.9</v>
      </c>
      <c r="ED146">
        <v>0</v>
      </c>
      <c r="EE146">
        <v>0</v>
      </c>
      <c r="EF146">
        <v>9991.92142857143</v>
      </c>
      <c r="EG146">
        <v>0</v>
      </c>
      <c r="EH146">
        <v>1278.79142857143</v>
      </c>
      <c r="EI146">
        <v>-19.6669857142857</v>
      </c>
      <c r="EJ146">
        <v>407.548142857143</v>
      </c>
      <c r="EK146">
        <v>426.536214285714</v>
      </c>
      <c r="EL146">
        <v>2.11848071428571</v>
      </c>
      <c r="EM146">
        <v>422.389357142857</v>
      </c>
      <c r="EN146">
        <v>9.72224357142857</v>
      </c>
      <c r="EO146">
        <v>1.06374142857143</v>
      </c>
      <c r="EP146">
        <v>0.873422</v>
      </c>
      <c r="EQ146">
        <v>7.81995642857143</v>
      </c>
      <c r="ER146">
        <v>4.96010571428572</v>
      </c>
      <c r="ES146">
        <v>1200.01214285714</v>
      </c>
      <c r="ET146">
        <v>0.967000857142857</v>
      </c>
      <c r="EU146">
        <v>0.0329991428571429</v>
      </c>
      <c r="EV146">
        <v>0</v>
      </c>
      <c r="EW146">
        <v>1235.62357142857</v>
      </c>
      <c r="EX146">
        <v>5.00059</v>
      </c>
      <c r="EY146">
        <v>14596.8357142857</v>
      </c>
      <c r="EZ146">
        <v>10358.8214285714</v>
      </c>
      <c r="FA146">
        <v>37.7541428571429</v>
      </c>
      <c r="FB146">
        <v>40.4908571428571</v>
      </c>
      <c r="FC146">
        <v>38.3033571428571</v>
      </c>
      <c r="FD146">
        <v>40.1827857142857</v>
      </c>
      <c r="FE146">
        <v>38.8925714285714</v>
      </c>
      <c r="FF146">
        <v>1155.57785714286</v>
      </c>
      <c r="FG146">
        <v>39.4328571428571</v>
      </c>
      <c r="FH146">
        <v>0</v>
      </c>
      <c r="FI146">
        <v>845</v>
      </c>
      <c r="FJ146">
        <v>0</v>
      </c>
      <c r="FK146">
        <v>1236.26153846154</v>
      </c>
      <c r="FL146">
        <v>30.9832478570668</v>
      </c>
      <c r="FM146">
        <v>391.264957222095</v>
      </c>
      <c r="FN146">
        <v>14605.6576923077</v>
      </c>
      <c r="FO146">
        <v>15</v>
      </c>
      <c r="FP146">
        <v>0</v>
      </c>
      <c r="FQ146" t="s">
        <v>439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-18.687655</v>
      </c>
      <c r="GD146">
        <v>-15.3723293233083</v>
      </c>
      <c r="GE146">
        <v>2.10830010778233</v>
      </c>
      <c r="GF146">
        <v>0</v>
      </c>
      <c r="GG146">
        <v>1233.94617647059</v>
      </c>
      <c r="GH146">
        <v>33.3960274975669</v>
      </c>
      <c r="GI146">
        <v>3.28254744574453</v>
      </c>
      <c r="GJ146">
        <v>-1</v>
      </c>
      <c r="GK146">
        <v>2.116819</v>
      </c>
      <c r="GL146">
        <v>0.0310330827067692</v>
      </c>
      <c r="GM146">
        <v>0.00499216375933326</v>
      </c>
      <c r="GN146">
        <v>1</v>
      </c>
      <c r="GO146">
        <v>1</v>
      </c>
      <c r="GP146">
        <v>2</v>
      </c>
      <c r="GQ146" t="s">
        <v>446</v>
      </c>
      <c r="GR146">
        <v>3.1309</v>
      </c>
      <c r="GS146">
        <v>2.6866</v>
      </c>
      <c r="GT146">
        <v>0.0873116</v>
      </c>
      <c r="GU146">
        <v>0.092626</v>
      </c>
      <c r="GV146">
        <v>0.061747</v>
      </c>
      <c r="GW146">
        <v>0.0529185</v>
      </c>
      <c r="GX146">
        <v>34586.4</v>
      </c>
      <c r="GY146">
        <v>36948.5</v>
      </c>
      <c r="GZ146">
        <v>34263.5</v>
      </c>
      <c r="HA146">
        <v>36846.4</v>
      </c>
      <c r="HB146">
        <v>45346.2</v>
      </c>
      <c r="HC146">
        <v>50038.8</v>
      </c>
      <c r="HD146">
        <v>53337.2</v>
      </c>
      <c r="HE146">
        <v>58773.6</v>
      </c>
      <c r="HF146">
        <v>2.00793</v>
      </c>
      <c r="HG146">
        <v>1.8351</v>
      </c>
      <c r="HH146">
        <v>0.0096038</v>
      </c>
      <c r="HI146">
        <v>0</v>
      </c>
      <c r="HJ146">
        <v>17.8489</v>
      </c>
      <c r="HK146">
        <v>999.9</v>
      </c>
      <c r="HL146">
        <v>26.914</v>
      </c>
      <c r="HM146">
        <v>30.484</v>
      </c>
      <c r="HN146">
        <v>13.1235</v>
      </c>
      <c r="HO146">
        <v>54.2391</v>
      </c>
      <c r="HP146">
        <v>44.1266</v>
      </c>
      <c r="HQ146">
        <v>1</v>
      </c>
      <c r="HR146">
        <v>-0.263796</v>
      </c>
      <c r="HS146">
        <v>4.47222</v>
      </c>
      <c r="HT146">
        <v>20.0815</v>
      </c>
      <c r="HU146">
        <v>5.20172</v>
      </c>
      <c r="HV146">
        <v>12.004</v>
      </c>
      <c r="HW146">
        <v>4.9756</v>
      </c>
      <c r="HX146">
        <v>3.293</v>
      </c>
      <c r="HY146">
        <v>9999</v>
      </c>
      <c r="HZ146">
        <v>999.9</v>
      </c>
      <c r="IA146">
        <v>9999</v>
      </c>
      <c r="IB146">
        <v>9999</v>
      </c>
      <c r="IC146">
        <v>1.86325</v>
      </c>
      <c r="ID146">
        <v>1.86806</v>
      </c>
      <c r="IE146">
        <v>1.86783</v>
      </c>
      <c r="IF146">
        <v>1.86905</v>
      </c>
      <c r="IG146">
        <v>1.86981</v>
      </c>
      <c r="IH146">
        <v>1.86585</v>
      </c>
      <c r="II146">
        <v>1.86691</v>
      </c>
      <c r="IJ146">
        <v>1.86835</v>
      </c>
      <c r="IK146">
        <v>5</v>
      </c>
      <c r="IL146">
        <v>0</v>
      </c>
      <c r="IM146">
        <v>0</v>
      </c>
      <c r="IN146">
        <v>0</v>
      </c>
      <c r="IO146" t="s">
        <v>441</v>
      </c>
      <c r="IP146" t="s">
        <v>442</v>
      </c>
      <c r="IQ146" t="s">
        <v>443</v>
      </c>
      <c r="IR146" t="s">
        <v>443</v>
      </c>
      <c r="IS146" t="s">
        <v>443</v>
      </c>
      <c r="IT146" t="s">
        <v>443</v>
      </c>
      <c r="IU146">
        <v>0</v>
      </c>
      <c r="IV146">
        <v>100</v>
      </c>
      <c r="IW146">
        <v>100</v>
      </c>
      <c r="IX146">
        <v>2.829</v>
      </c>
      <c r="IY146">
        <v>-0.111</v>
      </c>
      <c r="IZ146">
        <v>1.12474291219083</v>
      </c>
      <c r="JA146">
        <v>0.00463155566490582</v>
      </c>
      <c r="JB146">
        <v>-1.1358998729424e-06</v>
      </c>
      <c r="JC146">
        <v>3.28704272115545e-10</v>
      </c>
      <c r="JD146">
        <v>-0.0704455108513773</v>
      </c>
      <c r="JE146">
        <v>-0.0251928478371425</v>
      </c>
      <c r="JF146">
        <v>0.00225751704194564</v>
      </c>
      <c r="JG146">
        <v>-3.61734043746866e-05</v>
      </c>
      <c r="JH146">
        <v>1</v>
      </c>
      <c r="JI146">
        <v>2182</v>
      </c>
      <c r="JJ146">
        <v>0</v>
      </c>
      <c r="JK146">
        <v>24</v>
      </c>
      <c r="JL146">
        <v>29349866.5</v>
      </c>
      <c r="JM146">
        <v>29349866.5</v>
      </c>
      <c r="JN146">
        <v>1.05591</v>
      </c>
      <c r="JO146">
        <v>2.63428</v>
      </c>
      <c r="JP146">
        <v>1.54785</v>
      </c>
      <c r="JQ146">
        <v>2.31445</v>
      </c>
      <c r="JR146">
        <v>1.64673</v>
      </c>
      <c r="JS146">
        <v>2.33643</v>
      </c>
      <c r="JT146">
        <v>33.6705</v>
      </c>
      <c r="JU146">
        <v>24.1926</v>
      </c>
      <c r="JV146">
        <v>18</v>
      </c>
      <c r="JW146">
        <v>500.409</v>
      </c>
      <c r="JX146">
        <v>393.258</v>
      </c>
      <c r="JY146">
        <v>11.8009</v>
      </c>
      <c r="JZ146">
        <v>23.9712</v>
      </c>
      <c r="KA146">
        <v>30.0002</v>
      </c>
      <c r="KB146">
        <v>23.9509</v>
      </c>
      <c r="KC146">
        <v>23.917</v>
      </c>
      <c r="KD146">
        <v>21.1722</v>
      </c>
      <c r="KE146">
        <v>10.7727</v>
      </c>
      <c r="KF146">
        <v>26.9061</v>
      </c>
      <c r="KG146">
        <v>11.7983</v>
      </c>
      <c r="KH146">
        <v>460.595</v>
      </c>
      <c r="KI146">
        <v>9.66027</v>
      </c>
      <c r="KJ146">
        <v>97.0365</v>
      </c>
      <c r="KK146">
        <v>95.2979</v>
      </c>
    </row>
    <row r="147" spans="1:297">
      <c r="A147">
        <v>131</v>
      </c>
      <c r="B147">
        <v>1760991994</v>
      </c>
      <c r="C147">
        <v>2803.90000009537</v>
      </c>
      <c r="D147" t="s">
        <v>715</v>
      </c>
      <c r="E147" t="s">
        <v>716</v>
      </c>
      <c r="F147">
        <v>5</v>
      </c>
      <c r="G147" t="s">
        <v>662</v>
      </c>
      <c r="H147" t="s">
        <v>436</v>
      </c>
      <c r="I147">
        <v>1760991985.84615</v>
      </c>
      <c r="J147">
        <f>(K147)/1000</f>
        <v>0</v>
      </c>
      <c r="K147">
        <f>IF(DP147, AN147, AH147)</f>
        <v>0</v>
      </c>
      <c r="L147">
        <f>IF(DP147, AI147, AG147)</f>
        <v>0</v>
      </c>
      <c r="M147">
        <f>DR147 - IF(AU147&gt;1, L147*DL147*100.0/(AW147), 0)</f>
        <v>0</v>
      </c>
      <c r="N147">
        <f>((T147-J147/2)*M147-L147)/(T147+J147/2)</f>
        <v>0</v>
      </c>
      <c r="O147">
        <f>N147*(DY147+DZ147)/1000.0</f>
        <v>0</v>
      </c>
      <c r="P147">
        <f>(DR147 - IF(AU147&gt;1, L147*DL147*100.0/(AW147), 0))*(DY147+DZ147)/1000.0</f>
        <v>0</v>
      </c>
      <c r="Q147">
        <f>2.0/((1/S147-1/R147)+SIGN(S147)*SQRT((1/S147-1/R147)*(1/S147-1/R147) + 4*DM147/((DM147+1)*(DM147+1))*(2*1/S147*1/R147-1/R147*1/R147)))</f>
        <v>0</v>
      </c>
      <c r="R147">
        <f>IF(LEFT(DN147,1)&lt;&gt;"0",IF(LEFT(DN147,1)="1",3.0,DO147),$D$5+$E$5*(EF147*DY147/($K$5*1000))+$F$5*(EF147*DY147/($K$5*1000))*MAX(MIN(DL147,$J$5),$I$5)*MAX(MIN(DL147,$J$5),$I$5)+$G$5*MAX(MIN(DL147,$J$5),$I$5)*(EF147*DY147/($K$5*1000))+$H$5*(EF147*DY147/($K$5*1000))*(EF147*DY147/($K$5*1000)))</f>
        <v>0</v>
      </c>
      <c r="S147">
        <f>J147*(1000-(1000*0.61365*exp(17.502*W147/(240.97+W147))/(DY147+DZ147)+DT147)/2)/(1000*0.61365*exp(17.502*W147/(240.97+W147))/(DY147+DZ147)-DT147)</f>
        <v>0</v>
      </c>
      <c r="T147">
        <f>1/((DM147+1)/(Q147/1.6)+1/(R147/1.37)) + DM147/((DM147+1)/(Q147/1.6) + DM147/(R147/1.37))</f>
        <v>0</v>
      </c>
      <c r="U147">
        <f>(DH147*DK147)</f>
        <v>0</v>
      </c>
      <c r="V147">
        <f>(EA147+(U147+2*0.95*5.67E-8*(((EA147+$B$7)+273)^4-(EA147+273)^4)-44100*J147)/(1.84*29.3*R147+8*0.95*5.67E-8*(EA147+273)^3))</f>
        <v>0</v>
      </c>
      <c r="W147">
        <f>($C$7*EB147+$D$7*EC147+$E$7*V147)</f>
        <v>0</v>
      </c>
      <c r="X147">
        <f>0.61365*exp(17.502*W147/(240.97+W147))</f>
        <v>0</v>
      </c>
      <c r="Y147">
        <f>(Z147/AA147*100)</f>
        <v>0</v>
      </c>
      <c r="Z147">
        <f>DT147*(DY147+DZ147)/1000</f>
        <v>0</v>
      </c>
      <c r="AA147">
        <f>0.61365*exp(17.502*EA147/(240.97+EA147))</f>
        <v>0</v>
      </c>
      <c r="AB147">
        <f>(X147-DT147*(DY147+DZ147)/1000)</f>
        <v>0</v>
      </c>
      <c r="AC147">
        <f>(-J147*44100)</f>
        <v>0</v>
      </c>
      <c r="AD147">
        <f>2*29.3*R147*0.92*(EA147-W147)</f>
        <v>0</v>
      </c>
      <c r="AE147">
        <f>2*0.95*5.67E-8*(((EA147+$B$7)+273)^4-(W147+273)^4)</f>
        <v>0</v>
      </c>
      <c r="AF147">
        <f>U147+AE147+AC147+AD147</f>
        <v>0</v>
      </c>
      <c r="AG147">
        <f>DX147*AU147*(DS147-DR147*(1000-AU147*DU147)/(1000-AU147*DT147))/(100*DL147)</f>
        <v>0</v>
      </c>
      <c r="AH147">
        <f>1000*DX147*AU147*(DT147-DU147)/(100*DL147*(1000-AU147*DT147))</f>
        <v>0</v>
      </c>
      <c r="AI147">
        <f>(AJ147 - AK147 - DY147*1E3/(8.314*(EA147+273.15)) * AM147/DX147 * AL147) * DX147/(100*DL147) * (1000 - DU147)/1000</f>
        <v>0</v>
      </c>
      <c r="AJ147">
        <v>444.156094081016</v>
      </c>
      <c r="AK147">
        <v>418.161606060606</v>
      </c>
      <c r="AL147">
        <v>1.8492746586141</v>
      </c>
      <c r="AM147">
        <v>65.2210784119795</v>
      </c>
      <c r="AN147">
        <f>(AP147 - AO147 + DY147*1E3/(8.314*(EA147+273.15)) * AR147/DX147 * AQ147) * DX147/(100*DL147) * 1000/(1000 - AP147)</f>
        <v>0</v>
      </c>
      <c r="AO147">
        <v>9.71395151332823</v>
      </c>
      <c r="AP147">
        <v>11.8258987878788</v>
      </c>
      <c r="AQ147">
        <v>-2.95633218730324e-05</v>
      </c>
      <c r="AR147">
        <v>115.574510355221</v>
      </c>
      <c r="AS147">
        <v>0</v>
      </c>
      <c r="AT147">
        <v>0</v>
      </c>
      <c r="AU147">
        <f>IF(AS147*$H$13&gt;=AW147,1.0,(AW147/(AW147-AS147*$H$13)))</f>
        <v>0</v>
      </c>
      <c r="AV147">
        <f>(AU147-1)*100</f>
        <v>0</v>
      </c>
      <c r="AW147">
        <f>MAX(0,($B$13+$C$13*EF147)/(1+$D$13*EF147)*DY147/(EA147+273)*$E$13)</f>
        <v>0</v>
      </c>
      <c r="AX147" t="s">
        <v>437</v>
      </c>
      <c r="AY147" t="s">
        <v>437</v>
      </c>
      <c r="AZ147">
        <v>0</v>
      </c>
      <c r="BA147">
        <v>0</v>
      </c>
      <c r="BB147">
        <f>1-AZ147/BA147</f>
        <v>0</v>
      </c>
      <c r="BC147">
        <v>0</v>
      </c>
      <c r="BD147" t="s">
        <v>437</v>
      </c>
      <c r="BE147" t="s">
        <v>437</v>
      </c>
      <c r="BF147">
        <v>0</v>
      </c>
      <c r="BG147">
        <v>0</v>
      </c>
      <c r="BH147">
        <f>1-BF147/BG147</f>
        <v>0</v>
      </c>
      <c r="BI147">
        <v>0.5</v>
      </c>
      <c r="BJ147">
        <f>DI147</f>
        <v>0</v>
      </c>
      <c r="BK147">
        <f>L147</f>
        <v>0</v>
      </c>
      <c r="BL147">
        <f>BH147*BI147*BJ147</f>
        <v>0</v>
      </c>
      <c r="BM147">
        <f>(BK147-BC147)/BJ147</f>
        <v>0</v>
      </c>
      <c r="BN147">
        <f>(BA147-BG147)/BG147</f>
        <v>0</v>
      </c>
      <c r="BO147">
        <f>AZ147/(BB147+AZ147/BG147)</f>
        <v>0</v>
      </c>
      <c r="BP147" t="s">
        <v>437</v>
      </c>
      <c r="BQ147">
        <v>0</v>
      </c>
      <c r="BR147">
        <f>IF(BQ147&lt;&gt;0, BQ147, BO147)</f>
        <v>0</v>
      </c>
      <c r="BS147">
        <f>1-BR147/BG147</f>
        <v>0</v>
      </c>
      <c r="BT147">
        <f>(BG147-BF147)/(BG147-BR147)</f>
        <v>0</v>
      </c>
      <c r="BU147">
        <f>(BA147-BG147)/(BA147-BR147)</f>
        <v>0</v>
      </c>
      <c r="BV147">
        <f>(BG147-BF147)/(BG147-AZ147)</f>
        <v>0</v>
      </c>
      <c r="BW147">
        <f>(BA147-BG147)/(BA147-AZ147)</f>
        <v>0</v>
      </c>
      <c r="BX147">
        <f>(BT147*BR147/BF147)</f>
        <v>0</v>
      </c>
      <c r="BY147">
        <f>(1-BX147)</f>
        <v>0</v>
      </c>
      <c r="BZ147">
        <v>282</v>
      </c>
      <c r="CA147">
        <v>290</v>
      </c>
      <c r="CB147">
        <v>1577.74</v>
      </c>
      <c r="CC147">
        <v>295</v>
      </c>
      <c r="CD147">
        <v>5140.93</v>
      </c>
      <c r="CE147">
        <v>1578.58</v>
      </c>
      <c r="CF147">
        <v>-0.84</v>
      </c>
      <c r="CG147">
        <v>300</v>
      </c>
      <c r="CH147">
        <v>23.8</v>
      </c>
      <c r="CI147">
        <v>1633.28263291266</v>
      </c>
      <c r="CJ147">
        <v>1.49577129053257</v>
      </c>
      <c r="CK147">
        <v>-28.1203876934379</v>
      </c>
      <c r="CL147">
        <v>0.666413418688897</v>
      </c>
      <c r="CM147">
        <v>0.984518017981194</v>
      </c>
      <c r="CN147">
        <v>-0.00424727541713014</v>
      </c>
      <c r="CO147">
        <v>290</v>
      </c>
      <c r="CP147">
        <v>1576.56</v>
      </c>
      <c r="CQ147">
        <v>775</v>
      </c>
      <c r="CR147">
        <v>5139.5</v>
      </c>
      <c r="CS147">
        <v>1578.57</v>
      </c>
      <c r="CT147">
        <v>-2.01</v>
      </c>
      <c r="DH147">
        <f>$B$11*EG147+$C$11*EH147+$F$11*ES147*(1-EV147)</f>
        <v>0</v>
      </c>
      <c r="DI147">
        <f>DH147*DJ147</f>
        <v>0</v>
      </c>
      <c r="DJ147">
        <f>($B$11*$D$9+$C$11*$D$9+$F$11*((FF147+EX147)/MAX(FF147+EX147+FG147, 0.1)*$I$9+FG147/MAX(FF147+EX147+FG147, 0.1)*$J$9))/($B$11+$C$11+$F$11)</f>
        <v>0</v>
      </c>
      <c r="DK147">
        <f>($B$11*$K$9+$C$11*$K$9+$F$11*((FF147+EX147)/MAX(FF147+EX147+FG147, 0.1)*$P$9+FG147/MAX(FF147+EX147+FG147, 0.1)*$Q$9))/($B$11+$C$11+$F$11)</f>
        <v>0</v>
      </c>
      <c r="DL147">
        <v>6</v>
      </c>
      <c r="DM147">
        <v>0.5</v>
      </c>
      <c r="DN147" t="s">
        <v>438</v>
      </c>
      <c r="DO147">
        <v>2</v>
      </c>
      <c r="DP147" t="b">
        <v>1</v>
      </c>
      <c r="DQ147">
        <v>1760991985.84615</v>
      </c>
      <c r="DR147">
        <v>405.181153846154</v>
      </c>
      <c r="DS147">
        <v>429.624384615385</v>
      </c>
      <c r="DT147">
        <v>11.8332923076923</v>
      </c>
      <c r="DU147">
        <v>9.71624461538462</v>
      </c>
      <c r="DV147">
        <v>402.355307692308</v>
      </c>
      <c r="DW147">
        <v>11.9442153846154</v>
      </c>
      <c r="DX147">
        <v>500.006153846154</v>
      </c>
      <c r="DY147">
        <v>89.8366846153846</v>
      </c>
      <c r="DZ147">
        <v>0.00878739846153846</v>
      </c>
      <c r="EA147">
        <v>18.3581307692308</v>
      </c>
      <c r="EB147">
        <v>18.0017</v>
      </c>
      <c r="EC147">
        <v>999.9</v>
      </c>
      <c r="ED147">
        <v>0</v>
      </c>
      <c r="EE147">
        <v>0</v>
      </c>
      <c r="EF147">
        <v>9974.12846153846</v>
      </c>
      <c r="EG147">
        <v>0</v>
      </c>
      <c r="EH147">
        <v>1278.76307692308</v>
      </c>
      <c r="EI147">
        <v>-24.4430923076923</v>
      </c>
      <c r="EJ147">
        <v>410.033384615385</v>
      </c>
      <c r="EK147">
        <v>433.839615384615</v>
      </c>
      <c r="EL147">
        <v>2.11703923076923</v>
      </c>
      <c r="EM147">
        <v>429.624384615385</v>
      </c>
      <c r="EN147">
        <v>9.71624461538462</v>
      </c>
      <c r="EO147">
        <v>1.06306307692308</v>
      </c>
      <c r="EP147">
        <v>0.872875076923077</v>
      </c>
      <c r="EQ147">
        <v>7.81059923076923</v>
      </c>
      <c r="ER147">
        <v>4.95112769230769</v>
      </c>
      <c r="ES147">
        <v>1200.01</v>
      </c>
      <c r="ET147">
        <v>0.967001692307692</v>
      </c>
      <c r="EU147">
        <v>0.0329982307692308</v>
      </c>
      <c r="EV147">
        <v>0</v>
      </c>
      <c r="EW147">
        <v>1238.20153846154</v>
      </c>
      <c r="EX147">
        <v>5.00059</v>
      </c>
      <c r="EY147">
        <v>14630.5615384615</v>
      </c>
      <c r="EZ147">
        <v>10358.8153846154</v>
      </c>
      <c r="FA147">
        <v>37.8362307692308</v>
      </c>
      <c r="FB147">
        <v>40.5814615384615</v>
      </c>
      <c r="FC147">
        <v>38.3698461538462</v>
      </c>
      <c r="FD147">
        <v>40.3218461538462</v>
      </c>
      <c r="FE147">
        <v>38.9661538461539</v>
      </c>
      <c r="FF147">
        <v>1155.57923076923</v>
      </c>
      <c r="FG147">
        <v>39.43</v>
      </c>
      <c r="FH147">
        <v>0</v>
      </c>
      <c r="FI147">
        <v>849.800000190735</v>
      </c>
      <c r="FJ147">
        <v>0</v>
      </c>
      <c r="FK147">
        <v>1238.46807692308</v>
      </c>
      <c r="FL147">
        <v>25.8505982738816</v>
      </c>
      <c r="FM147">
        <v>326.239316082398</v>
      </c>
      <c r="FN147">
        <v>14634.2423076923</v>
      </c>
      <c r="FO147">
        <v>15</v>
      </c>
      <c r="FP147">
        <v>0</v>
      </c>
      <c r="FQ147" t="s">
        <v>439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-22.74441</v>
      </c>
      <c r="GD147">
        <v>-57.7700030075188</v>
      </c>
      <c r="GE147">
        <v>6.03882314991092</v>
      </c>
      <c r="GF147">
        <v>0</v>
      </c>
      <c r="GG147">
        <v>1236.72058823529</v>
      </c>
      <c r="GH147">
        <v>28.9763178056058</v>
      </c>
      <c r="GI147">
        <v>2.86162329618579</v>
      </c>
      <c r="GJ147">
        <v>-1</v>
      </c>
      <c r="GK147">
        <v>2.117452</v>
      </c>
      <c r="GL147">
        <v>-0.0253966917293264</v>
      </c>
      <c r="GM147">
        <v>0.00331973884515033</v>
      </c>
      <c r="GN147">
        <v>1</v>
      </c>
      <c r="GO147">
        <v>1</v>
      </c>
      <c r="GP147">
        <v>2</v>
      </c>
      <c r="GQ147" t="s">
        <v>446</v>
      </c>
      <c r="GR147">
        <v>3.13071</v>
      </c>
      <c r="GS147">
        <v>2.68678</v>
      </c>
      <c r="GT147">
        <v>0.0888639</v>
      </c>
      <c r="GU147">
        <v>0.0952673</v>
      </c>
      <c r="GV147">
        <v>0.0617281</v>
      </c>
      <c r="GW147">
        <v>0.0529161</v>
      </c>
      <c r="GX147">
        <v>34527.1</v>
      </c>
      <c r="GY147">
        <v>36841</v>
      </c>
      <c r="GZ147">
        <v>34263.1</v>
      </c>
      <c r="HA147">
        <v>36846.4</v>
      </c>
      <c r="HB147">
        <v>45347.1</v>
      </c>
      <c r="HC147">
        <v>50039.4</v>
      </c>
      <c r="HD147">
        <v>53336.9</v>
      </c>
      <c r="HE147">
        <v>58773.8</v>
      </c>
      <c r="HF147">
        <v>2.0078</v>
      </c>
      <c r="HG147">
        <v>1.83538</v>
      </c>
      <c r="HH147">
        <v>0.00915676</v>
      </c>
      <c r="HI147">
        <v>0</v>
      </c>
      <c r="HJ147">
        <v>17.8505</v>
      </c>
      <c r="HK147">
        <v>999.9</v>
      </c>
      <c r="HL147">
        <v>26.914</v>
      </c>
      <c r="HM147">
        <v>30.484</v>
      </c>
      <c r="HN147">
        <v>13.1229</v>
      </c>
      <c r="HO147">
        <v>54.7291</v>
      </c>
      <c r="HP147">
        <v>44.4511</v>
      </c>
      <c r="HQ147">
        <v>1</v>
      </c>
      <c r="HR147">
        <v>-0.263377</v>
      </c>
      <c r="HS147">
        <v>4.78976</v>
      </c>
      <c r="HT147">
        <v>20.0721</v>
      </c>
      <c r="HU147">
        <v>5.20202</v>
      </c>
      <c r="HV147">
        <v>12.004</v>
      </c>
      <c r="HW147">
        <v>4.9756</v>
      </c>
      <c r="HX147">
        <v>3.293</v>
      </c>
      <c r="HY147">
        <v>9999</v>
      </c>
      <c r="HZ147">
        <v>999.9</v>
      </c>
      <c r="IA147">
        <v>9999</v>
      </c>
      <c r="IB147">
        <v>9999</v>
      </c>
      <c r="IC147">
        <v>1.86324</v>
      </c>
      <c r="ID147">
        <v>1.8681</v>
      </c>
      <c r="IE147">
        <v>1.86783</v>
      </c>
      <c r="IF147">
        <v>1.86904</v>
      </c>
      <c r="IG147">
        <v>1.86981</v>
      </c>
      <c r="IH147">
        <v>1.86584</v>
      </c>
      <c r="II147">
        <v>1.86691</v>
      </c>
      <c r="IJ147">
        <v>1.86839</v>
      </c>
      <c r="IK147">
        <v>5</v>
      </c>
      <c r="IL147">
        <v>0</v>
      </c>
      <c r="IM147">
        <v>0</v>
      </c>
      <c r="IN147">
        <v>0</v>
      </c>
      <c r="IO147" t="s">
        <v>441</v>
      </c>
      <c r="IP147" t="s">
        <v>442</v>
      </c>
      <c r="IQ147" t="s">
        <v>443</v>
      </c>
      <c r="IR147" t="s">
        <v>443</v>
      </c>
      <c r="IS147" t="s">
        <v>443</v>
      </c>
      <c r="IT147" t="s">
        <v>443</v>
      </c>
      <c r="IU147">
        <v>0</v>
      </c>
      <c r="IV147">
        <v>100</v>
      </c>
      <c r="IW147">
        <v>100</v>
      </c>
      <c r="IX147">
        <v>2.865</v>
      </c>
      <c r="IY147">
        <v>-0.1111</v>
      </c>
      <c r="IZ147">
        <v>1.12474291219083</v>
      </c>
      <c r="JA147">
        <v>0.00463155566490582</v>
      </c>
      <c r="JB147">
        <v>-1.1358998729424e-06</v>
      </c>
      <c r="JC147">
        <v>3.28704272115545e-10</v>
      </c>
      <c r="JD147">
        <v>-0.0704455108513773</v>
      </c>
      <c r="JE147">
        <v>-0.0251928478371425</v>
      </c>
      <c r="JF147">
        <v>0.00225751704194564</v>
      </c>
      <c r="JG147">
        <v>-3.61734043746866e-05</v>
      </c>
      <c r="JH147">
        <v>1</v>
      </c>
      <c r="JI147">
        <v>2182</v>
      </c>
      <c r="JJ147">
        <v>0</v>
      </c>
      <c r="JK147">
        <v>24</v>
      </c>
      <c r="JL147">
        <v>29349866.6</v>
      </c>
      <c r="JM147">
        <v>29349866.6</v>
      </c>
      <c r="JN147">
        <v>1.08643</v>
      </c>
      <c r="JO147">
        <v>2.63306</v>
      </c>
      <c r="JP147">
        <v>1.54785</v>
      </c>
      <c r="JQ147">
        <v>2.31445</v>
      </c>
      <c r="JR147">
        <v>1.64551</v>
      </c>
      <c r="JS147">
        <v>2.3938</v>
      </c>
      <c r="JT147">
        <v>33.6705</v>
      </c>
      <c r="JU147">
        <v>24.1838</v>
      </c>
      <c r="JV147">
        <v>18</v>
      </c>
      <c r="JW147">
        <v>500.334</v>
      </c>
      <c r="JX147">
        <v>393.413</v>
      </c>
      <c r="JY147">
        <v>11.7954</v>
      </c>
      <c r="JZ147">
        <v>23.9712</v>
      </c>
      <c r="KA147">
        <v>30.0005</v>
      </c>
      <c r="KB147">
        <v>23.9515</v>
      </c>
      <c r="KC147">
        <v>23.9185</v>
      </c>
      <c r="KD147">
        <v>21.8332</v>
      </c>
      <c r="KE147">
        <v>10.7727</v>
      </c>
      <c r="KF147">
        <v>26.9061</v>
      </c>
      <c r="KG147">
        <v>11.6756</v>
      </c>
      <c r="KH147">
        <v>474.176</v>
      </c>
      <c r="KI147">
        <v>9.66232</v>
      </c>
      <c r="KJ147">
        <v>97.0358</v>
      </c>
      <c r="KK147">
        <v>95.298</v>
      </c>
    </row>
    <row r="148" spans="1:297">
      <c r="A148">
        <v>132</v>
      </c>
      <c r="B148">
        <v>1760991999</v>
      </c>
      <c r="C148">
        <v>2808.90000009537</v>
      </c>
      <c r="D148" t="s">
        <v>717</v>
      </c>
      <c r="E148" t="s">
        <v>718</v>
      </c>
      <c r="F148">
        <v>5</v>
      </c>
      <c r="G148" t="s">
        <v>662</v>
      </c>
      <c r="H148" t="s">
        <v>436</v>
      </c>
      <c r="I148">
        <v>1760991990.84615</v>
      </c>
      <c r="J148">
        <f>(K148)/1000</f>
        <v>0</v>
      </c>
      <c r="K148">
        <f>IF(DP148, AN148, AH148)</f>
        <v>0</v>
      </c>
      <c r="L148">
        <f>IF(DP148, AI148, AG148)</f>
        <v>0</v>
      </c>
      <c r="M148">
        <f>DR148 - IF(AU148&gt;1, L148*DL148*100.0/(AW148), 0)</f>
        <v>0</v>
      </c>
      <c r="N148">
        <f>((T148-J148/2)*M148-L148)/(T148+J148/2)</f>
        <v>0</v>
      </c>
      <c r="O148">
        <f>N148*(DY148+DZ148)/1000.0</f>
        <v>0</v>
      </c>
      <c r="P148">
        <f>(DR148 - IF(AU148&gt;1, L148*DL148*100.0/(AW148), 0))*(DY148+DZ148)/1000.0</f>
        <v>0</v>
      </c>
      <c r="Q148">
        <f>2.0/((1/S148-1/R148)+SIGN(S148)*SQRT((1/S148-1/R148)*(1/S148-1/R148) + 4*DM148/((DM148+1)*(DM148+1))*(2*1/S148*1/R148-1/R148*1/R148)))</f>
        <v>0</v>
      </c>
      <c r="R148">
        <f>IF(LEFT(DN148,1)&lt;&gt;"0",IF(LEFT(DN148,1)="1",3.0,DO148),$D$5+$E$5*(EF148*DY148/($K$5*1000))+$F$5*(EF148*DY148/($K$5*1000))*MAX(MIN(DL148,$J$5),$I$5)*MAX(MIN(DL148,$J$5),$I$5)+$G$5*MAX(MIN(DL148,$J$5),$I$5)*(EF148*DY148/($K$5*1000))+$H$5*(EF148*DY148/($K$5*1000))*(EF148*DY148/($K$5*1000)))</f>
        <v>0</v>
      </c>
      <c r="S148">
        <f>J148*(1000-(1000*0.61365*exp(17.502*W148/(240.97+W148))/(DY148+DZ148)+DT148)/2)/(1000*0.61365*exp(17.502*W148/(240.97+W148))/(DY148+DZ148)-DT148)</f>
        <v>0</v>
      </c>
      <c r="T148">
        <f>1/((DM148+1)/(Q148/1.6)+1/(R148/1.37)) + DM148/((DM148+1)/(Q148/1.6) + DM148/(R148/1.37))</f>
        <v>0</v>
      </c>
      <c r="U148">
        <f>(DH148*DK148)</f>
        <v>0</v>
      </c>
      <c r="V148">
        <f>(EA148+(U148+2*0.95*5.67E-8*(((EA148+$B$7)+273)^4-(EA148+273)^4)-44100*J148)/(1.84*29.3*R148+8*0.95*5.67E-8*(EA148+273)^3))</f>
        <v>0</v>
      </c>
      <c r="W148">
        <f>($C$7*EB148+$D$7*EC148+$E$7*V148)</f>
        <v>0</v>
      </c>
      <c r="X148">
        <f>0.61365*exp(17.502*W148/(240.97+W148))</f>
        <v>0</v>
      </c>
      <c r="Y148">
        <f>(Z148/AA148*100)</f>
        <v>0</v>
      </c>
      <c r="Z148">
        <f>DT148*(DY148+DZ148)/1000</f>
        <v>0</v>
      </c>
      <c r="AA148">
        <f>0.61365*exp(17.502*EA148/(240.97+EA148))</f>
        <v>0</v>
      </c>
      <c r="AB148">
        <f>(X148-DT148*(DY148+DZ148)/1000)</f>
        <v>0</v>
      </c>
      <c r="AC148">
        <f>(-J148*44100)</f>
        <v>0</v>
      </c>
      <c r="AD148">
        <f>2*29.3*R148*0.92*(EA148-W148)</f>
        <v>0</v>
      </c>
      <c r="AE148">
        <f>2*0.95*5.67E-8*(((EA148+$B$7)+273)^4-(W148+273)^4)</f>
        <v>0</v>
      </c>
      <c r="AF148">
        <f>U148+AE148+AC148+AD148</f>
        <v>0</v>
      </c>
      <c r="AG148">
        <f>DX148*AU148*(DS148-DR148*(1000-AU148*DU148)/(1000-AU148*DT148))/(100*DL148)</f>
        <v>0</v>
      </c>
      <c r="AH148">
        <f>1000*DX148*AU148*(DT148-DU148)/(100*DL148*(1000-AU148*DT148))</f>
        <v>0</v>
      </c>
      <c r="AI148">
        <f>(AJ148 - AK148 - DY148*1E3/(8.314*(EA148+273.15)) * AM148/DX148 * AL148) * DX148/(100*DL148) * (1000 - DU148)/1000</f>
        <v>0</v>
      </c>
      <c r="AJ148">
        <v>461.042734950003</v>
      </c>
      <c r="AK148">
        <v>430.925842424242</v>
      </c>
      <c r="AL148">
        <v>2.64919047276212</v>
      </c>
      <c r="AM148">
        <v>65.2210784119795</v>
      </c>
      <c r="AN148">
        <f>(AP148 - AO148 + DY148*1E3/(8.314*(EA148+273.15)) * AR148/DX148 * AQ148) * DX148/(100*DL148) * 1000/(1000 - AP148)</f>
        <v>0</v>
      </c>
      <c r="AO148">
        <v>9.71208795188211</v>
      </c>
      <c r="AP148">
        <v>11.8165272727273</v>
      </c>
      <c r="AQ148">
        <v>-8.3055191777432e-05</v>
      </c>
      <c r="AR148">
        <v>115.574510355221</v>
      </c>
      <c r="AS148">
        <v>0</v>
      </c>
      <c r="AT148">
        <v>0</v>
      </c>
      <c r="AU148">
        <f>IF(AS148*$H$13&gt;=AW148,1.0,(AW148/(AW148-AS148*$H$13)))</f>
        <v>0</v>
      </c>
      <c r="AV148">
        <f>(AU148-1)*100</f>
        <v>0</v>
      </c>
      <c r="AW148">
        <f>MAX(0,($B$13+$C$13*EF148)/(1+$D$13*EF148)*DY148/(EA148+273)*$E$13)</f>
        <v>0</v>
      </c>
      <c r="AX148" t="s">
        <v>437</v>
      </c>
      <c r="AY148" t="s">
        <v>437</v>
      </c>
      <c r="AZ148">
        <v>0</v>
      </c>
      <c r="BA148">
        <v>0</v>
      </c>
      <c r="BB148">
        <f>1-AZ148/BA148</f>
        <v>0</v>
      </c>
      <c r="BC148">
        <v>0</v>
      </c>
      <c r="BD148" t="s">
        <v>437</v>
      </c>
      <c r="BE148" t="s">
        <v>437</v>
      </c>
      <c r="BF148">
        <v>0</v>
      </c>
      <c r="BG148">
        <v>0</v>
      </c>
      <c r="BH148">
        <f>1-BF148/BG148</f>
        <v>0</v>
      </c>
      <c r="BI148">
        <v>0.5</v>
      </c>
      <c r="BJ148">
        <f>DI148</f>
        <v>0</v>
      </c>
      <c r="BK148">
        <f>L148</f>
        <v>0</v>
      </c>
      <c r="BL148">
        <f>BH148*BI148*BJ148</f>
        <v>0</v>
      </c>
      <c r="BM148">
        <f>(BK148-BC148)/BJ148</f>
        <v>0</v>
      </c>
      <c r="BN148">
        <f>(BA148-BG148)/BG148</f>
        <v>0</v>
      </c>
      <c r="BO148">
        <f>AZ148/(BB148+AZ148/BG148)</f>
        <v>0</v>
      </c>
      <c r="BP148" t="s">
        <v>437</v>
      </c>
      <c r="BQ148">
        <v>0</v>
      </c>
      <c r="BR148">
        <f>IF(BQ148&lt;&gt;0, BQ148, BO148)</f>
        <v>0</v>
      </c>
      <c r="BS148">
        <f>1-BR148/BG148</f>
        <v>0</v>
      </c>
      <c r="BT148">
        <f>(BG148-BF148)/(BG148-BR148)</f>
        <v>0</v>
      </c>
      <c r="BU148">
        <f>(BA148-BG148)/(BA148-BR148)</f>
        <v>0</v>
      </c>
      <c r="BV148">
        <f>(BG148-BF148)/(BG148-AZ148)</f>
        <v>0</v>
      </c>
      <c r="BW148">
        <f>(BA148-BG148)/(BA148-AZ148)</f>
        <v>0</v>
      </c>
      <c r="BX148">
        <f>(BT148*BR148/BF148)</f>
        <v>0</v>
      </c>
      <c r="BY148">
        <f>(1-BX148)</f>
        <v>0</v>
      </c>
      <c r="BZ148">
        <v>282</v>
      </c>
      <c r="CA148">
        <v>290</v>
      </c>
      <c r="CB148">
        <v>1577.74</v>
      </c>
      <c r="CC148">
        <v>295</v>
      </c>
      <c r="CD148">
        <v>5140.93</v>
      </c>
      <c r="CE148">
        <v>1578.58</v>
      </c>
      <c r="CF148">
        <v>-0.84</v>
      </c>
      <c r="CG148">
        <v>300</v>
      </c>
      <c r="CH148">
        <v>23.8</v>
      </c>
      <c r="CI148">
        <v>1633.28263291266</v>
      </c>
      <c r="CJ148">
        <v>1.49577129053257</v>
      </c>
      <c r="CK148">
        <v>-28.1203876934379</v>
      </c>
      <c r="CL148">
        <v>0.666413418688897</v>
      </c>
      <c r="CM148">
        <v>0.984518017981194</v>
      </c>
      <c r="CN148">
        <v>-0.00424727541713014</v>
      </c>
      <c r="CO148">
        <v>290</v>
      </c>
      <c r="CP148">
        <v>1576.56</v>
      </c>
      <c r="CQ148">
        <v>775</v>
      </c>
      <c r="CR148">
        <v>5139.5</v>
      </c>
      <c r="CS148">
        <v>1578.57</v>
      </c>
      <c r="CT148">
        <v>-2.01</v>
      </c>
      <c r="DH148">
        <f>$B$11*EG148+$C$11*EH148+$F$11*ES148*(1-EV148)</f>
        <v>0</v>
      </c>
      <c r="DI148">
        <f>DH148*DJ148</f>
        <v>0</v>
      </c>
      <c r="DJ148">
        <f>($B$11*$D$9+$C$11*$D$9+$F$11*((FF148+EX148)/MAX(FF148+EX148+FG148, 0.1)*$I$9+FG148/MAX(FF148+EX148+FG148, 0.1)*$J$9))/($B$11+$C$11+$F$11)</f>
        <v>0</v>
      </c>
      <c r="DK148">
        <f>($B$11*$K$9+$C$11*$K$9+$F$11*((FF148+EX148)/MAX(FF148+EX148+FG148, 0.1)*$P$9+FG148/MAX(FF148+EX148+FG148, 0.1)*$Q$9))/($B$11+$C$11+$F$11)</f>
        <v>0</v>
      </c>
      <c r="DL148">
        <v>6</v>
      </c>
      <c r="DM148">
        <v>0.5</v>
      </c>
      <c r="DN148" t="s">
        <v>438</v>
      </c>
      <c r="DO148">
        <v>2</v>
      </c>
      <c r="DP148" t="b">
        <v>1</v>
      </c>
      <c r="DQ148">
        <v>1760991990.84615</v>
      </c>
      <c r="DR148">
        <v>411.160153846154</v>
      </c>
      <c r="DS148">
        <v>441.752769230769</v>
      </c>
      <c r="DT148">
        <v>11.8266846153846</v>
      </c>
      <c r="DU148">
        <v>9.71411846153846</v>
      </c>
      <c r="DV148">
        <v>408.311230769231</v>
      </c>
      <c r="DW148">
        <v>11.9376923076923</v>
      </c>
      <c r="DX148">
        <v>499.968384615385</v>
      </c>
      <c r="DY148">
        <v>89.8374461538462</v>
      </c>
      <c r="DZ148">
        <v>0.00907659076923077</v>
      </c>
      <c r="EA148">
        <v>18.3646461538462</v>
      </c>
      <c r="EB148">
        <v>18.0054153846154</v>
      </c>
      <c r="EC148">
        <v>999.9</v>
      </c>
      <c r="ED148">
        <v>0</v>
      </c>
      <c r="EE148">
        <v>0</v>
      </c>
      <c r="EF148">
        <v>9963.21461538462</v>
      </c>
      <c r="EG148">
        <v>0</v>
      </c>
      <c r="EH148">
        <v>1278.72846153846</v>
      </c>
      <c r="EI148">
        <v>-30.5924769230769</v>
      </c>
      <c r="EJ148">
        <v>416.081076923077</v>
      </c>
      <c r="EK148">
        <v>446.086076923077</v>
      </c>
      <c r="EL148">
        <v>2.11255846153846</v>
      </c>
      <c r="EM148">
        <v>441.752769230769</v>
      </c>
      <c r="EN148">
        <v>9.71411846153846</v>
      </c>
      <c r="EO148">
        <v>1.06247769230769</v>
      </c>
      <c r="EP148">
        <v>0.872691384615385</v>
      </c>
      <c r="EQ148">
        <v>7.80253</v>
      </c>
      <c r="ER148">
        <v>4.94811230769231</v>
      </c>
      <c r="ES148">
        <v>1200.05230769231</v>
      </c>
      <c r="ET148">
        <v>0.967003538461538</v>
      </c>
      <c r="EU148">
        <v>0.0329962384615385</v>
      </c>
      <c r="EV148">
        <v>0</v>
      </c>
      <c r="EW148">
        <v>1240.12307692308</v>
      </c>
      <c r="EX148">
        <v>5.00059</v>
      </c>
      <c r="EY148">
        <v>14656.6615384615</v>
      </c>
      <c r="EZ148">
        <v>10359.1923076923</v>
      </c>
      <c r="FA148">
        <v>37.9035384615385</v>
      </c>
      <c r="FB148">
        <v>40.668</v>
      </c>
      <c r="FC148">
        <v>38.4324615384615</v>
      </c>
      <c r="FD148">
        <v>40.4323846153846</v>
      </c>
      <c r="FE148">
        <v>39.0334615384615</v>
      </c>
      <c r="FF148">
        <v>1155.62230769231</v>
      </c>
      <c r="FG148">
        <v>39.43</v>
      </c>
      <c r="FH148">
        <v>0</v>
      </c>
      <c r="FI148">
        <v>854.600000143051</v>
      </c>
      <c r="FJ148">
        <v>0</v>
      </c>
      <c r="FK148">
        <v>1240.26576923077</v>
      </c>
      <c r="FL148">
        <v>18.8912820583248</v>
      </c>
      <c r="FM148">
        <v>257.459829096565</v>
      </c>
      <c r="FN148">
        <v>14657.7038461538</v>
      </c>
      <c r="FO148">
        <v>15</v>
      </c>
      <c r="FP148">
        <v>0</v>
      </c>
      <c r="FQ148" t="s">
        <v>439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-27.1978428571429</v>
      </c>
      <c r="GD148">
        <v>-76.3475298701299</v>
      </c>
      <c r="GE148">
        <v>7.8326873976987</v>
      </c>
      <c r="GF148">
        <v>0</v>
      </c>
      <c r="GG148">
        <v>1239.02823529412</v>
      </c>
      <c r="GH148">
        <v>23.0655462248519</v>
      </c>
      <c r="GI148">
        <v>2.29979598914674</v>
      </c>
      <c r="GJ148">
        <v>-1</v>
      </c>
      <c r="GK148">
        <v>2.11500714285714</v>
      </c>
      <c r="GL148">
        <v>-0.0517753246753282</v>
      </c>
      <c r="GM148">
        <v>0.00527796420245993</v>
      </c>
      <c r="GN148">
        <v>1</v>
      </c>
      <c r="GO148">
        <v>1</v>
      </c>
      <c r="GP148">
        <v>2</v>
      </c>
      <c r="GQ148" t="s">
        <v>446</v>
      </c>
      <c r="GR148">
        <v>3.13059</v>
      </c>
      <c r="GS148">
        <v>2.68748</v>
      </c>
      <c r="GT148">
        <v>0.0909989</v>
      </c>
      <c r="GU148">
        <v>0.0978141</v>
      </c>
      <c r="GV148">
        <v>0.0616883</v>
      </c>
      <c r="GW148">
        <v>0.0529088</v>
      </c>
      <c r="GX148">
        <v>34446.5</v>
      </c>
      <c r="GY148">
        <v>36737.2</v>
      </c>
      <c r="GZ148">
        <v>34263.3</v>
      </c>
      <c r="HA148">
        <v>36846.3</v>
      </c>
      <c r="HB148">
        <v>45349.5</v>
      </c>
      <c r="HC148">
        <v>50040.1</v>
      </c>
      <c r="HD148">
        <v>53337.2</v>
      </c>
      <c r="HE148">
        <v>58773.8</v>
      </c>
      <c r="HF148">
        <v>2.00775</v>
      </c>
      <c r="HG148">
        <v>1.83582</v>
      </c>
      <c r="HH148">
        <v>0.00930578</v>
      </c>
      <c r="HI148">
        <v>0</v>
      </c>
      <c r="HJ148">
        <v>17.8524</v>
      </c>
      <c r="HK148">
        <v>999.9</v>
      </c>
      <c r="HL148">
        <v>26.938</v>
      </c>
      <c r="HM148">
        <v>30.494</v>
      </c>
      <c r="HN148">
        <v>13.1425</v>
      </c>
      <c r="HO148">
        <v>54.7091</v>
      </c>
      <c r="HP148">
        <v>44.5593</v>
      </c>
      <c r="HQ148">
        <v>1</v>
      </c>
      <c r="HR148">
        <v>-0.261357</v>
      </c>
      <c r="HS148">
        <v>4.91085</v>
      </c>
      <c r="HT148">
        <v>20.0682</v>
      </c>
      <c r="HU148">
        <v>5.20217</v>
      </c>
      <c r="HV148">
        <v>12.0044</v>
      </c>
      <c r="HW148">
        <v>4.9757</v>
      </c>
      <c r="HX148">
        <v>3.29295</v>
      </c>
      <c r="HY148">
        <v>9999</v>
      </c>
      <c r="HZ148">
        <v>999.9</v>
      </c>
      <c r="IA148">
        <v>9999</v>
      </c>
      <c r="IB148">
        <v>9999</v>
      </c>
      <c r="IC148">
        <v>1.86324</v>
      </c>
      <c r="ID148">
        <v>1.86807</v>
      </c>
      <c r="IE148">
        <v>1.86783</v>
      </c>
      <c r="IF148">
        <v>1.86905</v>
      </c>
      <c r="IG148">
        <v>1.86981</v>
      </c>
      <c r="IH148">
        <v>1.86584</v>
      </c>
      <c r="II148">
        <v>1.86693</v>
      </c>
      <c r="IJ148">
        <v>1.86836</v>
      </c>
      <c r="IK148">
        <v>5</v>
      </c>
      <c r="IL148">
        <v>0</v>
      </c>
      <c r="IM148">
        <v>0</v>
      </c>
      <c r="IN148">
        <v>0</v>
      </c>
      <c r="IO148" t="s">
        <v>441</v>
      </c>
      <c r="IP148" t="s">
        <v>442</v>
      </c>
      <c r="IQ148" t="s">
        <v>443</v>
      </c>
      <c r="IR148" t="s">
        <v>443</v>
      </c>
      <c r="IS148" t="s">
        <v>443</v>
      </c>
      <c r="IT148" t="s">
        <v>443</v>
      </c>
      <c r="IU148">
        <v>0</v>
      </c>
      <c r="IV148">
        <v>100</v>
      </c>
      <c r="IW148">
        <v>100</v>
      </c>
      <c r="IX148">
        <v>2.915</v>
      </c>
      <c r="IY148">
        <v>-0.1112</v>
      </c>
      <c r="IZ148">
        <v>1.12474291219083</v>
      </c>
      <c r="JA148">
        <v>0.00463155566490582</v>
      </c>
      <c r="JB148">
        <v>-1.1358998729424e-06</v>
      </c>
      <c r="JC148">
        <v>3.28704272115545e-10</v>
      </c>
      <c r="JD148">
        <v>-0.0704455108513773</v>
      </c>
      <c r="JE148">
        <v>-0.0251928478371425</v>
      </c>
      <c r="JF148">
        <v>0.00225751704194564</v>
      </c>
      <c r="JG148">
        <v>-3.61734043746866e-05</v>
      </c>
      <c r="JH148">
        <v>1</v>
      </c>
      <c r="JI148">
        <v>2182</v>
      </c>
      <c r="JJ148">
        <v>0</v>
      </c>
      <c r="JK148">
        <v>24</v>
      </c>
      <c r="JL148">
        <v>29349866.6</v>
      </c>
      <c r="JM148">
        <v>29349866.6</v>
      </c>
      <c r="JN148">
        <v>1.11694</v>
      </c>
      <c r="JO148">
        <v>2.63184</v>
      </c>
      <c r="JP148">
        <v>1.54785</v>
      </c>
      <c r="JQ148">
        <v>2.31323</v>
      </c>
      <c r="JR148">
        <v>1.64551</v>
      </c>
      <c r="JS148">
        <v>2.40234</v>
      </c>
      <c r="JT148">
        <v>33.6705</v>
      </c>
      <c r="JU148">
        <v>24.1838</v>
      </c>
      <c r="JV148">
        <v>18</v>
      </c>
      <c r="JW148">
        <v>500.316</v>
      </c>
      <c r="JX148">
        <v>393.654</v>
      </c>
      <c r="JY148">
        <v>11.6962</v>
      </c>
      <c r="JZ148">
        <v>23.9713</v>
      </c>
      <c r="KA148">
        <v>30.0014</v>
      </c>
      <c r="KB148">
        <v>23.9529</v>
      </c>
      <c r="KC148">
        <v>23.919</v>
      </c>
      <c r="KD148">
        <v>22.4194</v>
      </c>
      <c r="KE148">
        <v>10.7727</v>
      </c>
      <c r="KF148">
        <v>26.9061</v>
      </c>
      <c r="KG148">
        <v>11.6705</v>
      </c>
      <c r="KH148">
        <v>487.694</v>
      </c>
      <c r="KI148">
        <v>9.66338</v>
      </c>
      <c r="KJ148">
        <v>97.0363</v>
      </c>
      <c r="KK148">
        <v>95.298</v>
      </c>
    </row>
    <row r="149" spans="1:297">
      <c r="A149">
        <v>133</v>
      </c>
      <c r="B149">
        <v>1760992004</v>
      </c>
      <c r="C149">
        <v>2813.90000009537</v>
      </c>
      <c r="D149" t="s">
        <v>719</v>
      </c>
      <c r="E149" t="s">
        <v>720</v>
      </c>
      <c r="F149">
        <v>5</v>
      </c>
      <c r="G149" t="s">
        <v>662</v>
      </c>
      <c r="H149" t="s">
        <v>436</v>
      </c>
      <c r="I149">
        <v>1760991995.84615</v>
      </c>
      <c r="J149">
        <f>(K149)/1000</f>
        <v>0</v>
      </c>
      <c r="K149">
        <f>IF(DP149, AN149, AH149)</f>
        <v>0</v>
      </c>
      <c r="L149">
        <f>IF(DP149, AI149, AG149)</f>
        <v>0</v>
      </c>
      <c r="M149">
        <f>DR149 - IF(AU149&gt;1, L149*DL149*100.0/(AW149), 0)</f>
        <v>0</v>
      </c>
      <c r="N149">
        <f>((T149-J149/2)*M149-L149)/(T149+J149/2)</f>
        <v>0</v>
      </c>
      <c r="O149">
        <f>N149*(DY149+DZ149)/1000.0</f>
        <v>0</v>
      </c>
      <c r="P149">
        <f>(DR149 - IF(AU149&gt;1, L149*DL149*100.0/(AW149), 0))*(DY149+DZ149)/1000.0</f>
        <v>0</v>
      </c>
      <c r="Q149">
        <f>2.0/((1/S149-1/R149)+SIGN(S149)*SQRT((1/S149-1/R149)*(1/S149-1/R149) + 4*DM149/((DM149+1)*(DM149+1))*(2*1/S149*1/R149-1/R149*1/R149)))</f>
        <v>0</v>
      </c>
      <c r="R149">
        <f>IF(LEFT(DN149,1)&lt;&gt;"0",IF(LEFT(DN149,1)="1",3.0,DO149),$D$5+$E$5*(EF149*DY149/($K$5*1000))+$F$5*(EF149*DY149/($K$5*1000))*MAX(MIN(DL149,$J$5),$I$5)*MAX(MIN(DL149,$J$5),$I$5)+$G$5*MAX(MIN(DL149,$J$5),$I$5)*(EF149*DY149/($K$5*1000))+$H$5*(EF149*DY149/($K$5*1000))*(EF149*DY149/($K$5*1000)))</f>
        <v>0</v>
      </c>
      <c r="S149">
        <f>J149*(1000-(1000*0.61365*exp(17.502*W149/(240.97+W149))/(DY149+DZ149)+DT149)/2)/(1000*0.61365*exp(17.502*W149/(240.97+W149))/(DY149+DZ149)-DT149)</f>
        <v>0</v>
      </c>
      <c r="T149">
        <f>1/((DM149+1)/(Q149/1.6)+1/(R149/1.37)) + DM149/((DM149+1)/(Q149/1.6) + DM149/(R149/1.37))</f>
        <v>0</v>
      </c>
      <c r="U149">
        <f>(DH149*DK149)</f>
        <v>0</v>
      </c>
      <c r="V149">
        <f>(EA149+(U149+2*0.95*5.67E-8*(((EA149+$B$7)+273)^4-(EA149+273)^4)-44100*J149)/(1.84*29.3*R149+8*0.95*5.67E-8*(EA149+273)^3))</f>
        <v>0</v>
      </c>
      <c r="W149">
        <f>($C$7*EB149+$D$7*EC149+$E$7*V149)</f>
        <v>0</v>
      </c>
      <c r="X149">
        <f>0.61365*exp(17.502*W149/(240.97+W149))</f>
        <v>0</v>
      </c>
      <c r="Y149">
        <f>(Z149/AA149*100)</f>
        <v>0</v>
      </c>
      <c r="Z149">
        <f>DT149*(DY149+DZ149)/1000</f>
        <v>0</v>
      </c>
      <c r="AA149">
        <f>0.61365*exp(17.502*EA149/(240.97+EA149))</f>
        <v>0</v>
      </c>
      <c r="AB149">
        <f>(X149-DT149*(DY149+DZ149)/1000)</f>
        <v>0</v>
      </c>
      <c r="AC149">
        <f>(-J149*44100)</f>
        <v>0</v>
      </c>
      <c r="AD149">
        <f>2*29.3*R149*0.92*(EA149-W149)</f>
        <v>0</v>
      </c>
      <c r="AE149">
        <f>2*0.95*5.67E-8*(((EA149+$B$7)+273)^4-(W149+273)^4)</f>
        <v>0</v>
      </c>
      <c r="AF149">
        <f>U149+AE149+AC149+AD149</f>
        <v>0</v>
      </c>
      <c r="AG149">
        <f>DX149*AU149*(DS149-DR149*(1000-AU149*DU149)/(1000-AU149*DT149))/(100*DL149)</f>
        <v>0</v>
      </c>
      <c r="AH149">
        <f>1000*DX149*AU149*(DT149-DU149)/(100*DL149*(1000-AU149*DT149))</f>
        <v>0</v>
      </c>
      <c r="AI149">
        <f>(AJ149 - AK149 - DY149*1E3/(8.314*(EA149+273.15)) * AM149/DX149 * AL149) * DX149/(100*DL149) * (1000 - DU149)/1000</f>
        <v>0</v>
      </c>
      <c r="AJ149">
        <v>477.532020424643</v>
      </c>
      <c r="AK149">
        <v>445.493533333333</v>
      </c>
      <c r="AL149">
        <v>2.9710008085077</v>
      </c>
      <c r="AM149">
        <v>65.2210784119795</v>
      </c>
      <c r="AN149">
        <f>(AP149 - AO149 + DY149*1E3/(8.314*(EA149+273.15)) * AR149/DX149 * AQ149) * DX149/(100*DL149) * 1000/(1000 - AP149)</f>
        <v>0</v>
      </c>
      <c r="AO149">
        <v>9.71069423255449</v>
      </c>
      <c r="AP149">
        <v>11.7998187878788</v>
      </c>
      <c r="AQ149">
        <v>-0.00013796239635672</v>
      </c>
      <c r="AR149">
        <v>115.574510355221</v>
      </c>
      <c r="AS149">
        <v>0</v>
      </c>
      <c r="AT149">
        <v>0</v>
      </c>
      <c r="AU149">
        <f>IF(AS149*$H$13&gt;=AW149,1.0,(AW149/(AW149-AS149*$H$13)))</f>
        <v>0</v>
      </c>
      <c r="AV149">
        <f>(AU149-1)*100</f>
        <v>0</v>
      </c>
      <c r="AW149">
        <f>MAX(0,($B$13+$C$13*EF149)/(1+$D$13*EF149)*DY149/(EA149+273)*$E$13)</f>
        <v>0</v>
      </c>
      <c r="AX149" t="s">
        <v>437</v>
      </c>
      <c r="AY149" t="s">
        <v>437</v>
      </c>
      <c r="AZ149">
        <v>0</v>
      </c>
      <c r="BA149">
        <v>0</v>
      </c>
      <c r="BB149">
        <f>1-AZ149/BA149</f>
        <v>0</v>
      </c>
      <c r="BC149">
        <v>0</v>
      </c>
      <c r="BD149" t="s">
        <v>437</v>
      </c>
      <c r="BE149" t="s">
        <v>437</v>
      </c>
      <c r="BF149">
        <v>0</v>
      </c>
      <c r="BG149">
        <v>0</v>
      </c>
      <c r="BH149">
        <f>1-BF149/BG149</f>
        <v>0</v>
      </c>
      <c r="BI149">
        <v>0.5</v>
      </c>
      <c r="BJ149">
        <f>DI149</f>
        <v>0</v>
      </c>
      <c r="BK149">
        <f>L149</f>
        <v>0</v>
      </c>
      <c r="BL149">
        <f>BH149*BI149*BJ149</f>
        <v>0</v>
      </c>
      <c r="BM149">
        <f>(BK149-BC149)/BJ149</f>
        <v>0</v>
      </c>
      <c r="BN149">
        <f>(BA149-BG149)/BG149</f>
        <v>0</v>
      </c>
      <c r="BO149">
        <f>AZ149/(BB149+AZ149/BG149)</f>
        <v>0</v>
      </c>
      <c r="BP149" t="s">
        <v>437</v>
      </c>
      <c r="BQ149">
        <v>0</v>
      </c>
      <c r="BR149">
        <f>IF(BQ149&lt;&gt;0, BQ149, BO149)</f>
        <v>0</v>
      </c>
      <c r="BS149">
        <f>1-BR149/BG149</f>
        <v>0</v>
      </c>
      <c r="BT149">
        <f>(BG149-BF149)/(BG149-BR149)</f>
        <v>0</v>
      </c>
      <c r="BU149">
        <f>(BA149-BG149)/(BA149-BR149)</f>
        <v>0</v>
      </c>
      <c r="BV149">
        <f>(BG149-BF149)/(BG149-AZ149)</f>
        <v>0</v>
      </c>
      <c r="BW149">
        <f>(BA149-BG149)/(BA149-AZ149)</f>
        <v>0</v>
      </c>
      <c r="BX149">
        <f>(BT149*BR149/BF149)</f>
        <v>0</v>
      </c>
      <c r="BY149">
        <f>(1-BX149)</f>
        <v>0</v>
      </c>
      <c r="BZ149">
        <v>282</v>
      </c>
      <c r="CA149">
        <v>290</v>
      </c>
      <c r="CB149">
        <v>1577.74</v>
      </c>
      <c r="CC149">
        <v>295</v>
      </c>
      <c r="CD149">
        <v>5140.93</v>
      </c>
      <c r="CE149">
        <v>1578.58</v>
      </c>
      <c r="CF149">
        <v>-0.84</v>
      </c>
      <c r="CG149">
        <v>300</v>
      </c>
      <c r="CH149">
        <v>23.8</v>
      </c>
      <c r="CI149">
        <v>1633.28263291266</v>
      </c>
      <c r="CJ149">
        <v>1.49577129053257</v>
      </c>
      <c r="CK149">
        <v>-28.1203876934379</v>
      </c>
      <c r="CL149">
        <v>0.666413418688897</v>
      </c>
      <c r="CM149">
        <v>0.984518017981194</v>
      </c>
      <c r="CN149">
        <v>-0.00424727541713014</v>
      </c>
      <c r="CO149">
        <v>290</v>
      </c>
      <c r="CP149">
        <v>1576.56</v>
      </c>
      <c r="CQ149">
        <v>775</v>
      </c>
      <c r="CR149">
        <v>5139.5</v>
      </c>
      <c r="CS149">
        <v>1578.57</v>
      </c>
      <c r="CT149">
        <v>-2.01</v>
      </c>
      <c r="DH149">
        <f>$B$11*EG149+$C$11*EH149+$F$11*ES149*(1-EV149)</f>
        <v>0</v>
      </c>
      <c r="DI149">
        <f>DH149*DJ149</f>
        <v>0</v>
      </c>
      <c r="DJ149">
        <f>($B$11*$D$9+$C$11*$D$9+$F$11*((FF149+EX149)/MAX(FF149+EX149+FG149, 0.1)*$I$9+FG149/MAX(FF149+EX149+FG149, 0.1)*$J$9))/($B$11+$C$11+$F$11)</f>
        <v>0</v>
      </c>
      <c r="DK149">
        <f>($B$11*$K$9+$C$11*$K$9+$F$11*((FF149+EX149)/MAX(FF149+EX149+FG149, 0.1)*$P$9+FG149/MAX(FF149+EX149+FG149, 0.1)*$Q$9))/($B$11+$C$11+$F$11)</f>
        <v>0</v>
      </c>
      <c r="DL149">
        <v>6</v>
      </c>
      <c r="DM149">
        <v>0.5</v>
      </c>
      <c r="DN149" t="s">
        <v>438</v>
      </c>
      <c r="DO149">
        <v>2</v>
      </c>
      <c r="DP149" t="b">
        <v>1</v>
      </c>
      <c r="DQ149">
        <v>1760991995.84615</v>
      </c>
      <c r="DR149">
        <v>421.240538461539</v>
      </c>
      <c r="DS149">
        <v>457.358615384615</v>
      </c>
      <c r="DT149">
        <v>11.8182461538462</v>
      </c>
      <c r="DU149">
        <v>9.71274230769231</v>
      </c>
      <c r="DV149">
        <v>418.352846153846</v>
      </c>
      <c r="DW149">
        <v>11.9293769230769</v>
      </c>
      <c r="DX149">
        <v>499.976153846154</v>
      </c>
      <c r="DY149">
        <v>89.8372230769231</v>
      </c>
      <c r="DZ149">
        <v>0.00935615923076923</v>
      </c>
      <c r="EA149">
        <v>18.3691846153846</v>
      </c>
      <c r="EB149">
        <v>18.008</v>
      </c>
      <c r="EC149">
        <v>999.9</v>
      </c>
      <c r="ED149">
        <v>0</v>
      </c>
      <c r="EE149">
        <v>0</v>
      </c>
      <c r="EF149">
        <v>9965.00307692308</v>
      </c>
      <c r="EG149">
        <v>0</v>
      </c>
      <c r="EH149">
        <v>1278.69769230769</v>
      </c>
      <c r="EI149">
        <v>-36.1180461538462</v>
      </c>
      <c r="EJ149">
        <v>426.278230769231</v>
      </c>
      <c r="EK149">
        <v>461.844307692308</v>
      </c>
      <c r="EL149">
        <v>2.10550692307692</v>
      </c>
      <c r="EM149">
        <v>457.358615384615</v>
      </c>
      <c r="EN149">
        <v>9.71274230769231</v>
      </c>
      <c r="EO149">
        <v>1.06171846153846</v>
      </c>
      <c r="EP149">
        <v>0.872565692307692</v>
      </c>
      <c r="EQ149">
        <v>7.79203076923077</v>
      </c>
      <c r="ER149">
        <v>4.94604538461538</v>
      </c>
      <c r="ES149">
        <v>1200.02153846154</v>
      </c>
      <c r="ET149">
        <v>0.967003538461538</v>
      </c>
      <c r="EU149">
        <v>0.0329962307692308</v>
      </c>
      <c r="EV149">
        <v>0</v>
      </c>
      <c r="EW149">
        <v>1241.50153846154</v>
      </c>
      <c r="EX149">
        <v>5.00059</v>
      </c>
      <c r="EY149">
        <v>14676.0230769231</v>
      </c>
      <c r="EZ149">
        <v>10358.9230769231</v>
      </c>
      <c r="FA149">
        <v>37.9709230769231</v>
      </c>
      <c r="FB149">
        <v>40.7497692307692</v>
      </c>
      <c r="FC149">
        <v>38.4948461538462</v>
      </c>
      <c r="FD149">
        <v>40.5429230769231</v>
      </c>
      <c r="FE149">
        <v>39.0959230769231</v>
      </c>
      <c r="FF149">
        <v>1155.59153846154</v>
      </c>
      <c r="FG149">
        <v>39.43</v>
      </c>
      <c r="FH149">
        <v>0</v>
      </c>
      <c r="FI149">
        <v>860</v>
      </c>
      <c r="FJ149">
        <v>0</v>
      </c>
      <c r="FK149">
        <v>1241.7992</v>
      </c>
      <c r="FL149">
        <v>13.6746153907738</v>
      </c>
      <c r="FM149">
        <v>201.176923490718</v>
      </c>
      <c r="FN149">
        <v>14679.884</v>
      </c>
      <c r="FO149">
        <v>15</v>
      </c>
      <c r="FP149">
        <v>0</v>
      </c>
      <c r="FQ149" t="s">
        <v>439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-33.1823</v>
      </c>
      <c r="GD149">
        <v>-66.0826195488722</v>
      </c>
      <c r="GE149">
        <v>6.58713730022382</v>
      </c>
      <c r="GF149">
        <v>0</v>
      </c>
      <c r="GG149">
        <v>1240.68470588235</v>
      </c>
      <c r="GH149">
        <v>17.0004583442057</v>
      </c>
      <c r="GI149">
        <v>1.69740673363138</v>
      </c>
      <c r="GJ149">
        <v>-1</v>
      </c>
      <c r="GK149">
        <v>2.1082595</v>
      </c>
      <c r="GL149">
        <v>-0.0818368421052647</v>
      </c>
      <c r="GM149">
        <v>0.00829132708014826</v>
      </c>
      <c r="GN149">
        <v>1</v>
      </c>
      <c r="GO149">
        <v>1</v>
      </c>
      <c r="GP149">
        <v>2</v>
      </c>
      <c r="GQ149" t="s">
        <v>446</v>
      </c>
      <c r="GR149">
        <v>3.13079</v>
      </c>
      <c r="GS149">
        <v>2.68732</v>
      </c>
      <c r="GT149">
        <v>0.0933498</v>
      </c>
      <c r="GU149">
        <v>0.100233</v>
      </c>
      <c r="GV149">
        <v>0.0616196</v>
      </c>
      <c r="GW149">
        <v>0.0528999</v>
      </c>
      <c r="GX149">
        <v>34357.3</v>
      </c>
      <c r="GY149">
        <v>36638.7</v>
      </c>
      <c r="GZ149">
        <v>34263.2</v>
      </c>
      <c r="HA149">
        <v>36846.3</v>
      </c>
      <c r="HB149">
        <v>45352.7</v>
      </c>
      <c r="HC149">
        <v>50040.5</v>
      </c>
      <c r="HD149">
        <v>53336.7</v>
      </c>
      <c r="HE149">
        <v>58773.4</v>
      </c>
      <c r="HF149">
        <v>2.0082</v>
      </c>
      <c r="HG149">
        <v>1.83575</v>
      </c>
      <c r="HH149">
        <v>0.00923872</v>
      </c>
      <c r="HI149">
        <v>0</v>
      </c>
      <c r="HJ149">
        <v>17.8544</v>
      </c>
      <c r="HK149">
        <v>999.9</v>
      </c>
      <c r="HL149">
        <v>26.914</v>
      </c>
      <c r="HM149">
        <v>30.484</v>
      </c>
      <c r="HN149">
        <v>13.1235</v>
      </c>
      <c r="HO149">
        <v>54.8991</v>
      </c>
      <c r="HP149">
        <v>44.4952</v>
      </c>
      <c r="HQ149">
        <v>1</v>
      </c>
      <c r="HR149">
        <v>-0.262068</v>
      </c>
      <c r="HS149">
        <v>4.77584</v>
      </c>
      <c r="HT149">
        <v>20.0725</v>
      </c>
      <c r="HU149">
        <v>5.20231</v>
      </c>
      <c r="HV149">
        <v>12.004</v>
      </c>
      <c r="HW149">
        <v>4.97575</v>
      </c>
      <c r="HX149">
        <v>3.293</v>
      </c>
      <c r="HY149">
        <v>9999</v>
      </c>
      <c r="HZ149">
        <v>999.9</v>
      </c>
      <c r="IA149">
        <v>9999</v>
      </c>
      <c r="IB149">
        <v>9999</v>
      </c>
      <c r="IC149">
        <v>1.86324</v>
      </c>
      <c r="ID149">
        <v>1.86808</v>
      </c>
      <c r="IE149">
        <v>1.86783</v>
      </c>
      <c r="IF149">
        <v>1.86904</v>
      </c>
      <c r="IG149">
        <v>1.86981</v>
      </c>
      <c r="IH149">
        <v>1.86585</v>
      </c>
      <c r="II149">
        <v>1.86691</v>
      </c>
      <c r="IJ149">
        <v>1.86838</v>
      </c>
      <c r="IK149">
        <v>5</v>
      </c>
      <c r="IL149">
        <v>0</v>
      </c>
      <c r="IM149">
        <v>0</v>
      </c>
      <c r="IN149">
        <v>0</v>
      </c>
      <c r="IO149" t="s">
        <v>441</v>
      </c>
      <c r="IP149" t="s">
        <v>442</v>
      </c>
      <c r="IQ149" t="s">
        <v>443</v>
      </c>
      <c r="IR149" t="s">
        <v>443</v>
      </c>
      <c r="IS149" t="s">
        <v>443</v>
      </c>
      <c r="IT149" t="s">
        <v>443</v>
      </c>
      <c r="IU149">
        <v>0</v>
      </c>
      <c r="IV149">
        <v>100</v>
      </c>
      <c r="IW149">
        <v>100</v>
      </c>
      <c r="IX149">
        <v>2.972</v>
      </c>
      <c r="IY149">
        <v>-0.1114</v>
      </c>
      <c r="IZ149">
        <v>1.12474291219083</v>
      </c>
      <c r="JA149">
        <v>0.00463155566490582</v>
      </c>
      <c r="JB149">
        <v>-1.1358998729424e-06</v>
      </c>
      <c r="JC149">
        <v>3.28704272115545e-10</v>
      </c>
      <c r="JD149">
        <v>-0.0704455108513773</v>
      </c>
      <c r="JE149">
        <v>-0.0251928478371425</v>
      </c>
      <c r="JF149">
        <v>0.00225751704194564</v>
      </c>
      <c r="JG149">
        <v>-3.61734043746866e-05</v>
      </c>
      <c r="JH149">
        <v>1</v>
      </c>
      <c r="JI149">
        <v>2182</v>
      </c>
      <c r="JJ149">
        <v>0</v>
      </c>
      <c r="JK149">
        <v>24</v>
      </c>
      <c r="JL149">
        <v>29349866.7</v>
      </c>
      <c r="JM149">
        <v>29349866.7</v>
      </c>
      <c r="JN149">
        <v>1.14624</v>
      </c>
      <c r="JO149">
        <v>2.63062</v>
      </c>
      <c r="JP149">
        <v>1.54785</v>
      </c>
      <c r="JQ149">
        <v>2.31323</v>
      </c>
      <c r="JR149">
        <v>1.64673</v>
      </c>
      <c r="JS149">
        <v>2.39258</v>
      </c>
      <c r="JT149">
        <v>33.6705</v>
      </c>
      <c r="JU149">
        <v>24.1838</v>
      </c>
      <c r="JV149">
        <v>18</v>
      </c>
      <c r="JW149">
        <v>500.604</v>
      </c>
      <c r="JX149">
        <v>393.622</v>
      </c>
      <c r="JY149">
        <v>11.6582</v>
      </c>
      <c r="JZ149">
        <v>23.9732</v>
      </c>
      <c r="KA149">
        <v>30.0001</v>
      </c>
      <c r="KB149">
        <v>23.9529</v>
      </c>
      <c r="KC149">
        <v>23.92</v>
      </c>
      <c r="KD149">
        <v>23.0816</v>
      </c>
      <c r="KE149">
        <v>10.7727</v>
      </c>
      <c r="KF149">
        <v>26.9061</v>
      </c>
      <c r="KG149">
        <v>11.6634</v>
      </c>
      <c r="KH149">
        <v>507.988</v>
      </c>
      <c r="KI149">
        <v>9.66338</v>
      </c>
      <c r="KJ149">
        <v>97.0357</v>
      </c>
      <c r="KK149">
        <v>95.2976</v>
      </c>
    </row>
    <row r="150" spans="1:297">
      <c r="A150">
        <v>134</v>
      </c>
      <c r="B150">
        <v>1760992009</v>
      </c>
      <c r="C150">
        <v>2818.90000009537</v>
      </c>
      <c r="D150" t="s">
        <v>721</v>
      </c>
      <c r="E150" t="s">
        <v>722</v>
      </c>
      <c r="F150">
        <v>5</v>
      </c>
      <c r="G150" t="s">
        <v>662</v>
      </c>
      <c r="H150" t="s">
        <v>436</v>
      </c>
      <c r="I150">
        <v>1760992000.84615</v>
      </c>
      <c r="J150">
        <f>(K150)/1000</f>
        <v>0</v>
      </c>
      <c r="K150">
        <f>IF(DP150, AN150, AH150)</f>
        <v>0</v>
      </c>
      <c r="L150">
        <f>IF(DP150, AI150, AG150)</f>
        <v>0</v>
      </c>
      <c r="M150">
        <f>DR150 - IF(AU150&gt;1, L150*DL150*100.0/(AW150), 0)</f>
        <v>0</v>
      </c>
      <c r="N150">
        <f>((T150-J150/2)*M150-L150)/(T150+J150/2)</f>
        <v>0</v>
      </c>
      <c r="O150">
        <f>N150*(DY150+DZ150)/1000.0</f>
        <v>0</v>
      </c>
      <c r="P150">
        <f>(DR150 - IF(AU150&gt;1, L150*DL150*100.0/(AW150), 0))*(DY150+DZ150)/1000.0</f>
        <v>0</v>
      </c>
      <c r="Q150">
        <f>2.0/((1/S150-1/R150)+SIGN(S150)*SQRT((1/S150-1/R150)*(1/S150-1/R150) + 4*DM150/((DM150+1)*(DM150+1))*(2*1/S150*1/R150-1/R150*1/R150)))</f>
        <v>0</v>
      </c>
      <c r="R150">
        <f>IF(LEFT(DN150,1)&lt;&gt;"0",IF(LEFT(DN150,1)="1",3.0,DO150),$D$5+$E$5*(EF150*DY150/($K$5*1000))+$F$5*(EF150*DY150/($K$5*1000))*MAX(MIN(DL150,$J$5),$I$5)*MAX(MIN(DL150,$J$5),$I$5)+$G$5*MAX(MIN(DL150,$J$5),$I$5)*(EF150*DY150/($K$5*1000))+$H$5*(EF150*DY150/($K$5*1000))*(EF150*DY150/($K$5*1000)))</f>
        <v>0</v>
      </c>
      <c r="S150">
        <f>J150*(1000-(1000*0.61365*exp(17.502*W150/(240.97+W150))/(DY150+DZ150)+DT150)/2)/(1000*0.61365*exp(17.502*W150/(240.97+W150))/(DY150+DZ150)-DT150)</f>
        <v>0</v>
      </c>
      <c r="T150">
        <f>1/((DM150+1)/(Q150/1.6)+1/(R150/1.37)) + DM150/((DM150+1)/(Q150/1.6) + DM150/(R150/1.37))</f>
        <v>0</v>
      </c>
      <c r="U150">
        <f>(DH150*DK150)</f>
        <v>0</v>
      </c>
      <c r="V150">
        <f>(EA150+(U150+2*0.95*5.67E-8*(((EA150+$B$7)+273)^4-(EA150+273)^4)-44100*J150)/(1.84*29.3*R150+8*0.95*5.67E-8*(EA150+273)^3))</f>
        <v>0</v>
      </c>
      <c r="W150">
        <f>($C$7*EB150+$D$7*EC150+$E$7*V150)</f>
        <v>0</v>
      </c>
      <c r="X150">
        <f>0.61365*exp(17.502*W150/(240.97+W150))</f>
        <v>0</v>
      </c>
      <c r="Y150">
        <f>(Z150/AA150*100)</f>
        <v>0</v>
      </c>
      <c r="Z150">
        <f>DT150*(DY150+DZ150)/1000</f>
        <v>0</v>
      </c>
      <c r="AA150">
        <f>0.61365*exp(17.502*EA150/(240.97+EA150))</f>
        <v>0</v>
      </c>
      <c r="AB150">
        <f>(X150-DT150*(DY150+DZ150)/1000)</f>
        <v>0</v>
      </c>
      <c r="AC150">
        <f>(-J150*44100)</f>
        <v>0</v>
      </c>
      <c r="AD150">
        <f>2*29.3*R150*0.92*(EA150-W150)</f>
        <v>0</v>
      </c>
      <c r="AE150">
        <f>2*0.95*5.67E-8*(((EA150+$B$7)+273)^4-(W150+273)^4)</f>
        <v>0</v>
      </c>
      <c r="AF150">
        <f>U150+AE150+AC150+AD150</f>
        <v>0</v>
      </c>
      <c r="AG150">
        <f>DX150*AU150*(DS150-DR150*(1000-AU150*DU150)/(1000-AU150*DT150))/(100*DL150)</f>
        <v>0</v>
      </c>
      <c r="AH150">
        <f>1000*DX150*AU150*(DT150-DU150)/(100*DL150*(1000-AU150*DT150))</f>
        <v>0</v>
      </c>
      <c r="AI150">
        <f>(AJ150 - AK150 - DY150*1E3/(8.314*(EA150+273.15)) * AM150/DX150 * AL150) * DX150/(100*DL150) * (1000 - DU150)/1000</f>
        <v>0</v>
      </c>
      <c r="AJ150">
        <v>493.622733028289</v>
      </c>
      <c r="AK150">
        <v>460.557084848484</v>
      </c>
      <c r="AL150">
        <v>3.02860616606639</v>
      </c>
      <c r="AM150">
        <v>65.2210784119795</v>
      </c>
      <c r="AN150">
        <f>(AP150 - AO150 + DY150*1E3/(8.314*(EA150+273.15)) * AR150/DX150 * AQ150) * DX150/(100*DL150) * 1000/(1000 - AP150)</f>
        <v>0</v>
      </c>
      <c r="AO150">
        <v>9.70936331429913</v>
      </c>
      <c r="AP150">
        <v>11.7932703030303</v>
      </c>
      <c r="AQ150">
        <v>-1.6561740264739e-05</v>
      </c>
      <c r="AR150">
        <v>115.574510355221</v>
      </c>
      <c r="AS150">
        <v>0</v>
      </c>
      <c r="AT150">
        <v>0</v>
      </c>
      <c r="AU150">
        <f>IF(AS150*$H$13&gt;=AW150,1.0,(AW150/(AW150-AS150*$H$13)))</f>
        <v>0</v>
      </c>
      <c r="AV150">
        <f>(AU150-1)*100</f>
        <v>0</v>
      </c>
      <c r="AW150">
        <f>MAX(0,($B$13+$C$13*EF150)/(1+$D$13*EF150)*DY150/(EA150+273)*$E$13)</f>
        <v>0</v>
      </c>
      <c r="AX150" t="s">
        <v>437</v>
      </c>
      <c r="AY150" t="s">
        <v>437</v>
      </c>
      <c r="AZ150">
        <v>0</v>
      </c>
      <c r="BA150">
        <v>0</v>
      </c>
      <c r="BB150">
        <f>1-AZ150/BA150</f>
        <v>0</v>
      </c>
      <c r="BC150">
        <v>0</v>
      </c>
      <c r="BD150" t="s">
        <v>437</v>
      </c>
      <c r="BE150" t="s">
        <v>437</v>
      </c>
      <c r="BF150">
        <v>0</v>
      </c>
      <c r="BG150">
        <v>0</v>
      </c>
      <c r="BH150">
        <f>1-BF150/BG150</f>
        <v>0</v>
      </c>
      <c r="BI150">
        <v>0.5</v>
      </c>
      <c r="BJ150">
        <f>DI150</f>
        <v>0</v>
      </c>
      <c r="BK150">
        <f>L150</f>
        <v>0</v>
      </c>
      <c r="BL150">
        <f>BH150*BI150*BJ150</f>
        <v>0</v>
      </c>
      <c r="BM150">
        <f>(BK150-BC150)/BJ150</f>
        <v>0</v>
      </c>
      <c r="BN150">
        <f>(BA150-BG150)/BG150</f>
        <v>0</v>
      </c>
      <c r="BO150">
        <f>AZ150/(BB150+AZ150/BG150)</f>
        <v>0</v>
      </c>
      <c r="BP150" t="s">
        <v>437</v>
      </c>
      <c r="BQ150">
        <v>0</v>
      </c>
      <c r="BR150">
        <f>IF(BQ150&lt;&gt;0, BQ150, BO150)</f>
        <v>0</v>
      </c>
      <c r="BS150">
        <f>1-BR150/BG150</f>
        <v>0</v>
      </c>
      <c r="BT150">
        <f>(BG150-BF150)/(BG150-BR150)</f>
        <v>0</v>
      </c>
      <c r="BU150">
        <f>(BA150-BG150)/(BA150-BR150)</f>
        <v>0</v>
      </c>
      <c r="BV150">
        <f>(BG150-BF150)/(BG150-AZ150)</f>
        <v>0</v>
      </c>
      <c r="BW150">
        <f>(BA150-BG150)/(BA150-AZ150)</f>
        <v>0</v>
      </c>
      <c r="BX150">
        <f>(BT150*BR150/BF150)</f>
        <v>0</v>
      </c>
      <c r="BY150">
        <f>(1-BX150)</f>
        <v>0</v>
      </c>
      <c r="BZ150">
        <v>282</v>
      </c>
      <c r="CA150">
        <v>290</v>
      </c>
      <c r="CB150">
        <v>1577.74</v>
      </c>
      <c r="CC150">
        <v>295</v>
      </c>
      <c r="CD150">
        <v>5140.93</v>
      </c>
      <c r="CE150">
        <v>1578.58</v>
      </c>
      <c r="CF150">
        <v>-0.84</v>
      </c>
      <c r="CG150">
        <v>300</v>
      </c>
      <c r="CH150">
        <v>23.8</v>
      </c>
      <c r="CI150">
        <v>1633.28263291266</v>
      </c>
      <c r="CJ150">
        <v>1.49577129053257</v>
      </c>
      <c r="CK150">
        <v>-28.1203876934379</v>
      </c>
      <c r="CL150">
        <v>0.666413418688897</v>
      </c>
      <c r="CM150">
        <v>0.984518017981194</v>
      </c>
      <c r="CN150">
        <v>-0.00424727541713014</v>
      </c>
      <c r="CO150">
        <v>290</v>
      </c>
      <c r="CP150">
        <v>1576.56</v>
      </c>
      <c r="CQ150">
        <v>775</v>
      </c>
      <c r="CR150">
        <v>5139.5</v>
      </c>
      <c r="CS150">
        <v>1578.57</v>
      </c>
      <c r="CT150">
        <v>-2.01</v>
      </c>
      <c r="DH150">
        <f>$B$11*EG150+$C$11*EH150+$F$11*ES150*(1-EV150)</f>
        <v>0</v>
      </c>
      <c r="DI150">
        <f>DH150*DJ150</f>
        <v>0</v>
      </c>
      <c r="DJ150">
        <f>($B$11*$D$9+$C$11*$D$9+$F$11*((FF150+EX150)/MAX(FF150+EX150+FG150, 0.1)*$I$9+FG150/MAX(FF150+EX150+FG150, 0.1)*$J$9))/($B$11+$C$11+$F$11)</f>
        <v>0</v>
      </c>
      <c r="DK150">
        <f>($B$11*$K$9+$C$11*$K$9+$F$11*((FF150+EX150)/MAX(FF150+EX150+FG150, 0.1)*$P$9+FG150/MAX(FF150+EX150+FG150, 0.1)*$Q$9))/($B$11+$C$11+$F$11)</f>
        <v>0</v>
      </c>
      <c r="DL150">
        <v>6</v>
      </c>
      <c r="DM150">
        <v>0.5</v>
      </c>
      <c r="DN150" t="s">
        <v>438</v>
      </c>
      <c r="DO150">
        <v>2</v>
      </c>
      <c r="DP150" t="b">
        <v>1</v>
      </c>
      <c r="DQ150">
        <v>1760992000.84615</v>
      </c>
      <c r="DR150">
        <v>434.299692307692</v>
      </c>
      <c r="DS150">
        <v>473.692538461538</v>
      </c>
      <c r="DT150">
        <v>11.8078615384615</v>
      </c>
      <c r="DU150">
        <v>9.71129615384615</v>
      </c>
      <c r="DV150">
        <v>431.361923076923</v>
      </c>
      <c r="DW150">
        <v>11.9191230769231</v>
      </c>
      <c r="DX150">
        <v>499.996461538462</v>
      </c>
      <c r="DY150">
        <v>89.8356538461538</v>
      </c>
      <c r="DZ150">
        <v>0.00934748923076923</v>
      </c>
      <c r="EA150">
        <v>18.3671538461539</v>
      </c>
      <c r="EB150">
        <v>18.0043461538462</v>
      </c>
      <c r="EC150">
        <v>999.9</v>
      </c>
      <c r="ED150">
        <v>0</v>
      </c>
      <c r="EE150">
        <v>0</v>
      </c>
      <c r="EF150">
        <v>9988.36461538462</v>
      </c>
      <c r="EG150">
        <v>0</v>
      </c>
      <c r="EH150">
        <v>1278.69307692308</v>
      </c>
      <c r="EI150">
        <v>-39.3928461538462</v>
      </c>
      <c r="EJ150">
        <v>439.488923076923</v>
      </c>
      <c r="EK150">
        <v>478.337923076923</v>
      </c>
      <c r="EL150">
        <v>2.09657230769231</v>
      </c>
      <c r="EM150">
        <v>473.692538461538</v>
      </c>
      <c r="EN150">
        <v>9.71129615384615</v>
      </c>
      <c r="EO150">
        <v>1.06076692307692</v>
      </c>
      <c r="EP150">
        <v>0.872420461538462</v>
      </c>
      <c r="EQ150">
        <v>7.77887769230769</v>
      </c>
      <c r="ER150">
        <v>4.94365846153846</v>
      </c>
      <c r="ES150">
        <v>1200.04076923077</v>
      </c>
      <c r="ET150">
        <v>0.967004769230769</v>
      </c>
      <c r="EU150">
        <v>0.0329949307692308</v>
      </c>
      <c r="EV150">
        <v>0</v>
      </c>
      <c r="EW150">
        <v>1242.61923076923</v>
      </c>
      <c r="EX150">
        <v>5.00059</v>
      </c>
      <c r="EY150">
        <v>14692.8769230769</v>
      </c>
      <c r="EZ150">
        <v>10359.1076923077</v>
      </c>
      <c r="FA150">
        <v>38.0334615384615</v>
      </c>
      <c r="FB150">
        <v>40.8266923076923</v>
      </c>
      <c r="FC150">
        <v>38.5574615384615</v>
      </c>
      <c r="FD150">
        <v>40.6535384615385</v>
      </c>
      <c r="FE150">
        <v>39.1583846153846</v>
      </c>
      <c r="FF150">
        <v>1155.61076923077</v>
      </c>
      <c r="FG150">
        <v>39.43</v>
      </c>
      <c r="FH150">
        <v>0</v>
      </c>
      <c r="FI150">
        <v>864.800000190735</v>
      </c>
      <c r="FJ150">
        <v>0</v>
      </c>
      <c r="FK150">
        <v>1242.8572</v>
      </c>
      <c r="FL150">
        <v>12.6507692010305</v>
      </c>
      <c r="FM150">
        <v>180.684615254791</v>
      </c>
      <c r="FN150">
        <v>14695.416</v>
      </c>
      <c r="FO150">
        <v>15</v>
      </c>
      <c r="FP150">
        <v>0</v>
      </c>
      <c r="FQ150" t="s">
        <v>439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-37.1326857142857</v>
      </c>
      <c r="GD150">
        <v>-39.9234623376624</v>
      </c>
      <c r="GE150">
        <v>4.28734776325985</v>
      </c>
      <c r="GF150">
        <v>0</v>
      </c>
      <c r="GG150">
        <v>1241.95029411765</v>
      </c>
      <c r="GH150">
        <v>13.5909854847794</v>
      </c>
      <c r="GI150">
        <v>1.34845333033185</v>
      </c>
      <c r="GJ150">
        <v>-1</v>
      </c>
      <c r="GK150">
        <v>2.10113380952381</v>
      </c>
      <c r="GL150">
        <v>-0.109259220779222</v>
      </c>
      <c r="GM150">
        <v>0.0112775011907149</v>
      </c>
      <c r="GN150">
        <v>0</v>
      </c>
      <c r="GO150">
        <v>0</v>
      </c>
      <c r="GP150">
        <v>2</v>
      </c>
      <c r="GQ150" t="s">
        <v>519</v>
      </c>
      <c r="GR150">
        <v>3.1309</v>
      </c>
      <c r="GS150">
        <v>2.68695</v>
      </c>
      <c r="GT150">
        <v>0.0957455</v>
      </c>
      <c r="GU150">
        <v>0.102928</v>
      </c>
      <c r="GV150">
        <v>0.0615969</v>
      </c>
      <c r="GW150">
        <v>0.0528922</v>
      </c>
      <c r="GX150">
        <v>34266.3</v>
      </c>
      <c r="GY150">
        <v>36529</v>
      </c>
      <c r="GZ150">
        <v>34263</v>
      </c>
      <c r="HA150">
        <v>36846.2</v>
      </c>
      <c r="HB150">
        <v>45354</v>
      </c>
      <c r="HC150">
        <v>50041.5</v>
      </c>
      <c r="HD150">
        <v>53336.6</v>
      </c>
      <c r="HE150">
        <v>58773.7</v>
      </c>
      <c r="HF150">
        <v>2.00802</v>
      </c>
      <c r="HG150">
        <v>1.8353</v>
      </c>
      <c r="HH150">
        <v>0.0082776</v>
      </c>
      <c r="HI150">
        <v>0</v>
      </c>
      <c r="HJ150">
        <v>17.8559</v>
      </c>
      <c r="HK150">
        <v>999.9</v>
      </c>
      <c r="HL150">
        <v>26.914</v>
      </c>
      <c r="HM150">
        <v>30.484</v>
      </c>
      <c r="HN150">
        <v>13.1228</v>
      </c>
      <c r="HO150">
        <v>53.9491</v>
      </c>
      <c r="HP150">
        <v>44.4872</v>
      </c>
      <c r="HQ150">
        <v>1</v>
      </c>
      <c r="HR150">
        <v>-0.262228</v>
      </c>
      <c r="HS150">
        <v>4.68714</v>
      </c>
      <c r="HT150">
        <v>20.0753</v>
      </c>
      <c r="HU150">
        <v>5.20217</v>
      </c>
      <c r="HV150">
        <v>12.004</v>
      </c>
      <c r="HW150">
        <v>4.9755</v>
      </c>
      <c r="HX150">
        <v>3.29295</v>
      </c>
      <c r="HY150">
        <v>9999</v>
      </c>
      <c r="HZ150">
        <v>999.9</v>
      </c>
      <c r="IA150">
        <v>9999</v>
      </c>
      <c r="IB150">
        <v>9999</v>
      </c>
      <c r="IC150">
        <v>1.86324</v>
      </c>
      <c r="ID150">
        <v>1.86808</v>
      </c>
      <c r="IE150">
        <v>1.86783</v>
      </c>
      <c r="IF150">
        <v>1.86905</v>
      </c>
      <c r="IG150">
        <v>1.86981</v>
      </c>
      <c r="IH150">
        <v>1.86584</v>
      </c>
      <c r="II150">
        <v>1.86691</v>
      </c>
      <c r="IJ150">
        <v>1.86839</v>
      </c>
      <c r="IK150">
        <v>5</v>
      </c>
      <c r="IL150">
        <v>0</v>
      </c>
      <c r="IM150">
        <v>0</v>
      </c>
      <c r="IN150">
        <v>0</v>
      </c>
      <c r="IO150" t="s">
        <v>441</v>
      </c>
      <c r="IP150" t="s">
        <v>442</v>
      </c>
      <c r="IQ150" t="s">
        <v>443</v>
      </c>
      <c r="IR150" t="s">
        <v>443</v>
      </c>
      <c r="IS150" t="s">
        <v>443</v>
      </c>
      <c r="IT150" t="s">
        <v>443</v>
      </c>
      <c r="IU150">
        <v>0</v>
      </c>
      <c r="IV150">
        <v>100</v>
      </c>
      <c r="IW150">
        <v>100</v>
      </c>
      <c r="IX150">
        <v>3.029</v>
      </c>
      <c r="IY150">
        <v>-0.1114</v>
      </c>
      <c r="IZ150">
        <v>1.12474291219083</v>
      </c>
      <c r="JA150">
        <v>0.00463155566490582</v>
      </c>
      <c r="JB150">
        <v>-1.1358998729424e-06</v>
      </c>
      <c r="JC150">
        <v>3.28704272115545e-10</v>
      </c>
      <c r="JD150">
        <v>-0.0704455108513773</v>
      </c>
      <c r="JE150">
        <v>-0.0251928478371425</v>
      </c>
      <c r="JF150">
        <v>0.00225751704194564</v>
      </c>
      <c r="JG150">
        <v>-3.61734043746866e-05</v>
      </c>
      <c r="JH150">
        <v>1</v>
      </c>
      <c r="JI150">
        <v>2182</v>
      </c>
      <c r="JJ150">
        <v>0</v>
      </c>
      <c r="JK150">
        <v>24</v>
      </c>
      <c r="JL150">
        <v>29349866.8</v>
      </c>
      <c r="JM150">
        <v>29349866.8</v>
      </c>
      <c r="JN150">
        <v>1.1792</v>
      </c>
      <c r="JO150">
        <v>2.63062</v>
      </c>
      <c r="JP150">
        <v>1.54785</v>
      </c>
      <c r="JQ150">
        <v>2.31445</v>
      </c>
      <c r="JR150">
        <v>1.64673</v>
      </c>
      <c r="JS150">
        <v>2.38525</v>
      </c>
      <c r="JT150">
        <v>33.6705</v>
      </c>
      <c r="JU150">
        <v>24.1838</v>
      </c>
      <c r="JV150">
        <v>18</v>
      </c>
      <c r="JW150">
        <v>500.502</v>
      </c>
      <c r="JX150">
        <v>393.392</v>
      </c>
      <c r="JY150">
        <v>11.6462</v>
      </c>
      <c r="JZ150">
        <v>23.9732</v>
      </c>
      <c r="KA150">
        <v>29.9999</v>
      </c>
      <c r="KB150">
        <v>23.954</v>
      </c>
      <c r="KC150">
        <v>23.9209</v>
      </c>
      <c r="KD150">
        <v>23.668</v>
      </c>
      <c r="KE150">
        <v>10.7727</v>
      </c>
      <c r="KF150">
        <v>26.9061</v>
      </c>
      <c r="KG150">
        <v>11.6591</v>
      </c>
      <c r="KH150">
        <v>521.509</v>
      </c>
      <c r="KI150">
        <v>9.66338</v>
      </c>
      <c r="KJ150">
        <v>97.0353</v>
      </c>
      <c r="KK150">
        <v>95.2978</v>
      </c>
    </row>
    <row r="151" spans="1:297">
      <c r="A151">
        <v>135</v>
      </c>
      <c r="B151">
        <v>1760992014</v>
      </c>
      <c r="C151">
        <v>2823.90000009537</v>
      </c>
      <c r="D151" t="s">
        <v>723</v>
      </c>
      <c r="E151" t="s">
        <v>724</v>
      </c>
      <c r="F151">
        <v>5</v>
      </c>
      <c r="G151" t="s">
        <v>662</v>
      </c>
      <c r="H151" t="s">
        <v>436</v>
      </c>
      <c r="I151">
        <v>1760992005.84615</v>
      </c>
      <c r="J151">
        <f>(K151)/1000</f>
        <v>0</v>
      </c>
      <c r="K151">
        <f>IF(DP151, AN151, AH151)</f>
        <v>0</v>
      </c>
      <c r="L151">
        <f>IF(DP151, AI151, AG151)</f>
        <v>0</v>
      </c>
      <c r="M151">
        <f>DR151 - IF(AU151&gt;1, L151*DL151*100.0/(AW151), 0)</f>
        <v>0</v>
      </c>
      <c r="N151">
        <f>((T151-J151/2)*M151-L151)/(T151+J151/2)</f>
        <v>0</v>
      </c>
      <c r="O151">
        <f>N151*(DY151+DZ151)/1000.0</f>
        <v>0</v>
      </c>
      <c r="P151">
        <f>(DR151 - IF(AU151&gt;1, L151*DL151*100.0/(AW151), 0))*(DY151+DZ151)/1000.0</f>
        <v>0</v>
      </c>
      <c r="Q151">
        <f>2.0/((1/S151-1/R151)+SIGN(S151)*SQRT((1/S151-1/R151)*(1/S151-1/R151) + 4*DM151/((DM151+1)*(DM151+1))*(2*1/S151*1/R151-1/R151*1/R151)))</f>
        <v>0</v>
      </c>
      <c r="R151">
        <f>IF(LEFT(DN151,1)&lt;&gt;"0",IF(LEFT(DN151,1)="1",3.0,DO151),$D$5+$E$5*(EF151*DY151/($K$5*1000))+$F$5*(EF151*DY151/($K$5*1000))*MAX(MIN(DL151,$J$5),$I$5)*MAX(MIN(DL151,$J$5),$I$5)+$G$5*MAX(MIN(DL151,$J$5),$I$5)*(EF151*DY151/($K$5*1000))+$H$5*(EF151*DY151/($K$5*1000))*(EF151*DY151/($K$5*1000)))</f>
        <v>0</v>
      </c>
      <c r="S151">
        <f>J151*(1000-(1000*0.61365*exp(17.502*W151/(240.97+W151))/(DY151+DZ151)+DT151)/2)/(1000*0.61365*exp(17.502*W151/(240.97+W151))/(DY151+DZ151)-DT151)</f>
        <v>0</v>
      </c>
      <c r="T151">
        <f>1/((DM151+1)/(Q151/1.6)+1/(R151/1.37)) + DM151/((DM151+1)/(Q151/1.6) + DM151/(R151/1.37))</f>
        <v>0</v>
      </c>
      <c r="U151">
        <f>(DH151*DK151)</f>
        <v>0</v>
      </c>
      <c r="V151">
        <f>(EA151+(U151+2*0.95*5.67E-8*(((EA151+$B$7)+273)^4-(EA151+273)^4)-44100*J151)/(1.84*29.3*R151+8*0.95*5.67E-8*(EA151+273)^3))</f>
        <v>0</v>
      </c>
      <c r="W151">
        <f>($C$7*EB151+$D$7*EC151+$E$7*V151)</f>
        <v>0</v>
      </c>
      <c r="X151">
        <f>0.61365*exp(17.502*W151/(240.97+W151))</f>
        <v>0</v>
      </c>
      <c r="Y151">
        <f>(Z151/AA151*100)</f>
        <v>0</v>
      </c>
      <c r="Z151">
        <f>DT151*(DY151+DZ151)/1000</f>
        <v>0</v>
      </c>
      <c r="AA151">
        <f>0.61365*exp(17.502*EA151/(240.97+EA151))</f>
        <v>0</v>
      </c>
      <c r="AB151">
        <f>(X151-DT151*(DY151+DZ151)/1000)</f>
        <v>0</v>
      </c>
      <c r="AC151">
        <f>(-J151*44100)</f>
        <v>0</v>
      </c>
      <c r="AD151">
        <f>2*29.3*R151*0.92*(EA151-W151)</f>
        <v>0</v>
      </c>
      <c r="AE151">
        <f>2*0.95*5.67E-8*(((EA151+$B$7)+273)^4-(W151+273)^4)</f>
        <v>0</v>
      </c>
      <c r="AF151">
        <f>U151+AE151+AC151+AD151</f>
        <v>0</v>
      </c>
      <c r="AG151">
        <f>DX151*AU151*(DS151-DR151*(1000-AU151*DU151)/(1000-AU151*DT151))/(100*DL151)</f>
        <v>0</v>
      </c>
      <c r="AH151">
        <f>1000*DX151*AU151*(DT151-DU151)/(100*DL151*(1000-AU151*DT151))</f>
        <v>0</v>
      </c>
      <c r="AI151">
        <f>(AJ151 - AK151 - DY151*1E3/(8.314*(EA151+273.15)) * AM151/DX151 * AL151) * DX151/(100*DL151) * (1000 - DU151)/1000</f>
        <v>0</v>
      </c>
      <c r="AJ151">
        <v>511.625029125653</v>
      </c>
      <c r="AK151">
        <v>477.102466666667</v>
      </c>
      <c r="AL151">
        <v>3.32728345641488</v>
      </c>
      <c r="AM151">
        <v>65.2210784119795</v>
      </c>
      <c r="AN151">
        <f>(AP151 - AO151 + DY151*1E3/(8.314*(EA151+273.15)) * AR151/DX151 * AQ151) * DX151/(100*DL151) * 1000/(1000 - AP151)</f>
        <v>0</v>
      </c>
      <c r="AO151">
        <v>9.7096924649627</v>
      </c>
      <c r="AP151">
        <v>11.7915854545455</v>
      </c>
      <c r="AQ151">
        <v>4.22702962549639e-07</v>
      </c>
      <c r="AR151">
        <v>115.574510355221</v>
      </c>
      <c r="AS151">
        <v>0</v>
      </c>
      <c r="AT151">
        <v>0</v>
      </c>
      <c r="AU151">
        <f>IF(AS151*$H$13&gt;=AW151,1.0,(AW151/(AW151-AS151*$H$13)))</f>
        <v>0</v>
      </c>
      <c r="AV151">
        <f>(AU151-1)*100</f>
        <v>0</v>
      </c>
      <c r="AW151">
        <f>MAX(0,($B$13+$C$13*EF151)/(1+$D$13*EF151)*DY151/(EA151+273)*$E$13)</f>
        <v>0</v>
      </c>
      <c r="AX151" t="s">
        <v>437</v>
      </c>
      <c r="AY151" t="s">
        <v>437</v>
      </c>
      <c r="AZ151">
        <v>0</v>
      </c>
      <c r="BA151">
        <v>0</v>
      </c>
      <c r="BB151">
        <f>1-AZ151/BA151</f>
        <v>0</v>
      </c>
      <c r="BC151">
        <v>0</v>
      </c>
      <c r="BD151" t="s">
        <v>437</v>
      </c>
      <c r="BE151" t="s">
        <v>437</v>
      </c>
      <c r="BF151">
        <v>0</v>
      </c>
      <c r="BG151">
        <v>0</v>
      </c>
      <c r="BH151">
        <f>1-BF151/BG151</f>
        <v>0</v>
      </c>
      <c r="BI151">
        <v>0.5</v>
      </c>
      <c r="BJ151">
        <f>DI151</f>
        <v>0</v>
      </c>
      <c r="BK151">
        <f>L151</f>
        <v>0</v>
      </c>
      <c r="BL151">
        <f>BH151*BI151*BJ151</f>
        <v>0</v>
      </c>
      <c r="BM151">
        <f>(BK151-BC151)/BJ151</f>
        <v>0</v>
      </c>
      <c r="BN151">
        <f>(BA151-BG151)/BG151</f>
        <v>0</v>
      </c>
      <c r="BO151">
        <f>AZ151/(BB151+AZ151/BG151)</f>
        <v>0</v>
      </c>
      <c r="BP151" t="s">
        <v>437</v>
      </c>
      <c r="BQ151">
        <v>0</v>
      </c>
      <c r="BR151">
        <f>IF(BQ151&lt;&gt;0, BQ151, BO151)</f>
        <v>0</v>
      </c>
      <c r="BS151">
        <f>1-BR151/BG151</f>
        <v>0</v>
      </c>
      <c r="BT151">
        <f>(BG151-BF151)/(BG151-BR151)</f>
        <v>0</v>
      </c>
      <c r="BU151">
        <f>(BA151-BG151)/(BA151-BR151)</f>
        <v>0</v>
      </c>
      <c r="BV151">
        <f>(BG151-BF151)/(BG151-AZ151)</f>
        <v>0</v>
      </c>
      <c r="BW151">
        <f>(BA151-BG151)/(BA151-AZ151)</f>
        <v>0</v>
      </c>
      <c r="BX151">
        <f>(BT151*BR151/BF151)</f>
        <v>0</v>
      </c>
      <c r="BY151">
        <f>(1-BX151)</f>
        <v>0</v>
      </c>
      <c r="BZ151">
        <v>282</v>
      </c>
      <c r="CA151">
        <v>290</v>
      </c>
      <c r="CB151">
        <v>1577.74</v>
      </c>
      <c r="CC151">
        <v>295</v>
      </c>
      <c r="CD151">
        <v>5140.93</v>
      </c>
      <c r="CE151">
        <v>1578.58</v>
      </c>
      <c r="CF151">
        <v>-0.84</v>
      </c>
      <c r="CG151">
        <v>300</v>
      </c>
      <c r="CH151">
        <v>23.8</v>
      </c>
      <c r="CI151">
        <v>1633.28263291266</v>
      </c>
      <c r="CJ151">
        <v>1.49577129053257</v>
      </c>
      <c r="CK151">
        <v>-28.1203876934379</v>
      </c>
      <c r="CL151">
        <v>0.666413418688897</v>
      </c>
      <c r="CM151">
        <v>0.984518017981194</v>
      </c>
      <c r="CN151">
        <v>-0.00424727541713014</v>
      </c>
      <c r="CO151">
        <v>290</v>
      </c>
      <c r="CP151">
        <v>1576.56</v>
      </c>
      <c r="CQ151">
        <v>775</v>
      </c>
      <c r="CR151">
        <v>5139.5</v>
      </c>
      <c r="CS151">
        <v>1578.57</v>
      </c>
      <c r="CT151">
        <v>-2.01</v>
      </c>
      <c r="DH151">
        <f>$B$11*EG151+$C$11*EH151+$F$11*ES151*(1-EV151)</f>
        <v>0</v>
      </c>
      <c r="DI151">
        <f>DH151*DJ151</f>
        <v>0</v>
      </c>
      <c r="DJ151">
        <f>($B$11*$D$9+$C$11*$D$9+$F$11*((FF151+EX151)/MAX(FF151+EX151+FG151, 0.1)*$I$9+FG151/MAX(FF151+EX151+FG151, 0.1)*$J$9))/($B$11+$C$11+$F$11)</f>
        <v>0</v>
      </c>
      <c r="DK151">
        <f>($B$11*$K$9+$C$11*$K$9+$F$11*((FF151+EX151)/MAX(FF151+EX151+FG151, 0.1)*$P$9+FG151/MAX(FF151+EX151+FG151, 0.1)*$Q$9))/($B$11+$C$11+$F$11)</f>
        <v>0</v>
      </c>
      <c r="DL151">
        <v>6</v>
      </c>
      <c r="DM151">
        <v>0.5</v>
      </c>
      <c r="DN151" t="s">
        <v>438</v>
      </c>
      <c r="DO151">
        <v>2</v>
      </c>
      <c r="DP151" t="b">
        <v>1</v>
      </c>
      <c r="DQ151">
        <v>1760992005.84615</v>
      </c>
      <c r="DR151">
        <v>449.027846153846</v>
      </c>
      <c r="DS151">
        <v>490.381153846154</v>
      </c>
      <c r="DT151">
        <v>11.7985384615385</v>
      </c>
      <c r="DU151">
        <v>9.71023153846154</v>
      </c>
      <c r="DV151">
        <v>446.034076923077</v>
      </c>
      <c r="DW151">
        <v>11.9099307692308</v>
      </c>
      <c r="DX151">
        <v>500.035153846154</v>
      </c>
      <c r="DY151">
        <v>89.8332076923077</v>
      </c>
      <c r="DZ151">
        <v>0.00911623076923077</v>
      </c>
      <c r="EA151">
        <v>18.3653923076923</v>
      </c>
      <c r="EB151">
        <v>18.0028923076923</v>
      </c>
      <c r="EC151">
        <v>999.9</v>
      </c>
      <c r="ED151">
        <v>0</v>
      </c>
      <c r="EE151">
        <v>0</v>
      </c>
      <c r="EF151">
        <v>10007.3538461538</v>
      </c>
      <c r="EG151">
        <v>0</v>
      </c>
      <c r="EH151">
        <v>1278.71230769231</v>
      </c>
      <c r="EI151">
        <v>-41.3534153846154</v>
      </c>
      <c r="EJ151">
        <v>454.388923076923</v>
      </c>
      <c r="EK151">
        <v>495.189692307692</v>
      </c>
      <c r="EL151">
        <v>2.08831615384615</v>
      </c>
      <c r="EM151">
        <v>490.381153846154</v>
      </c>
      <c r="EN151">
        <v>9.71023153846154</v>
      </c>
      <c r="EO151">
        <v>1.05990153846154</v>
      </c>
      <c r="EP151">
        <v>0.872301076923077</v>
      </c>
      <c r="EQ151">
        <v>7.76689461538462</v>
      </c>
      <c r="ER151">
        <v>4.94169538461539</v>
      </c>
      <c r="ES151">
        <v>1200.03538461538</v>
      </c>
      <c r="ET151">
        <v>0.967005384615385</v>
      </c>
      <c r="EU151">
        <v>0.0329942769230769</v>
      </c>
      <c r="EV151">
        <v>0</v>
      </c>
      <c r="EW151">
        <v>1243.69384615385</v>
      </c>
      <c r="EX151">
        <v>5.00059</v>
      </c>
      <c r="EY151">
        <v>14708.1692307692</v>
      </c>
      <c r="EZ151">
        <v>10359.0538461538</v>
      </c>
      <c r="FA151">
        <v>38.0959230769231</v>
      </c>
      <c r="FB151">
        <v>40.9084615384615</v>
      </c>
      <c r="FC151">
        <v>38.6246923076923</v>
      </c>
      <c r="FD151">
        <v>40.7641538461538</v>
      </c>
      <c r="FE151">
        <v>39.2208461538462</v>
      </c>
      <c r="FF151">
        <v>1155.60538461538</v>
      </c>
      <c r="FG151">
        <v>39.43</v>
      </c>
      <c r="FH151">
        <v>0</v>
      </c>
      <c r="FI151">
        <v>869.600000143051</v>
      </c>
      <c r="FJ151">
        <v>0</v>
      </c>
      <c r="FK151">
        <v>1243.8284</v>
      </c>
      <c r="FL151">
        <v>12.703846141009</v>
      </c>
      <c r="FM151">
        <v>177.815384766988</v>
      </c>
      <c r="FN151">
        <v>14710.108</v>
      </c>
      <c r="FO151">
        <v>15</v>
      </c>
      <c r="FP151">
        <v>0</v>
      </c>
      <c r="FQ151" t="s">
        <v>439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-40.42373</v>
      </c>
      <c r="GD151">
        <v>-22.1976</v>
      </c>
      <c r="GE151">
        <v>2.18146447899112</v>
      </c>
      <c r="GF151">
        <v>0</v>
      </c>
      <c r="GG151">
        <v>1243.16441176471</v>
      </c>
      <c r="GH151">
        <v>12.266615737074</v>
      </c>
      <c r="GI151">
        <v>1.21461490187697</v>
      </c>
      <c r="GJ151">
        <v>-1</v>
      </c>
      <c r="GK151">
        <v>2.0926955</v>
      </c>
      <c r="GL151">
        <v>-0.10282060150376</v>
      </c>
      <c r="GM151">
        <v>0.0102816212121436</v>
      </c>
      <c r="GN151">
        <v>0</v>
      </c>
      <c r="GO151">
        <v>0</v>
      </c>
      <c r="GP151">
        <v>2</v>
      </c>
      <c r="GQ151" t="s">
        <v>519</v>
      </c>
      <c r="GR151">
        <v>3.13076</v>
      </c>
      <c r="GS151">
        <v>2.6865</v>
      </c>
      <c r="GT151">
        <v>0.0982865</v>
      </c>
      <c r="GU151">
        <v>0.105324</v>
      </c>
      <c r="GV151">
        <v>0.0615964</v>
      </c>
      <c r="GW151">
        <v>0.0528911</v>
      </c>
      <c r="GX151">
        <v>34170.2</v>
      </c>
      <c r="GY151">
        <v>36431.9</v>
      </c>
      <c r="GZ151">
        <v>34263.1</v>
      </c>
      <c r="HA151">
        <v>36846.7</v>
      </c>
      <c r="HB151">
        <v>45354.6</v>
      </c>
      <c r="HC151">
        <v>50042.4</v>
      </c>
      <c r="HD151">
        <v>53336.9</v>
      </c>
      <c r="HE151">
        <v>58774.3</v>
      </c>
      <c r="HF151">
        <v>2.00775</v>
      </c>
      <c r="HG151">
        <v>1.83528</v>
      </c>
      <c r="HH151">
        <v>0.00891834</v>
      </c>
      <c r="HI151">
        <v>0</v>
      </c>
      <c r="HJ151">
        <v>17.8571</v>
      </c>
      <c r="HK151">
        <v>999.9</v>
      </c>
      <c r="HL151">
        <v>26.914</v>
      </c>
      <c r="HM151">
        <v>30.484</v>
      </c>
      <c r="HN151">
        <v>13.1235</v>
      </c>
      <c r="HO151">
        <v>54.2291</v>
      </c>
      <c r="HP151">
        <v>44.4671</v>
      </c>
      <c r="HQ151">
        <v>1</v>
      </c>
      <c r="HR151">
        <v>-0.262823</v>
      </c>
      <c r="HS151">
        <v>4.62591</v>
      </c>
      <c r="HT151">
        <v>20.0772</v>
      </c>
      <c r="HU151">
        <v>5.20202</v>
      </c>
      <c r="HV151">
        <v>12.0043</v>
      </c>
      <c r="HW151">
        <v>4.9756</v>
      </c>
      <c r="HX151">
        <v>3.2929</v>
      </c>
      <c r="HY151">
        <v>9999</v>
      </c>
      <c r="HZ151">
        <v>999.9</v>
      </c>
      <c r="IA151">
        <v>9999</v>
      </c>
      <c r="IB151">
        <v>9999</v>
      </c>
      <c r="IC151">
        <v>1.86325</v>
      </c>
      <c r="ID151">
        <v>1.86808</v>
      </c>
      <c r="IE151">
        <v>1.86783</v>
      </c>
      <c r="IF151">
        <v>1.86902</v>
      </c>
      <c r="IG151">
        <v>1.86981</v>
      </c>
      <c r="IH151">
        <v>1.86584</v>
      </c>
      <c r="II151">
        <v>1.86691</v>
      </c>
      <c r="IJ151">
        <v>1.86839</v>
      </c>
      <c r="IK151">
        <v>5</v>
      </c>
      <c r="IL151">
        <v>0</v>
      </c>
      <c r="IM151">
        <v>0</v>
      </c>
      <c r="IN151">
        <v>0</v>
      </c>
      <c r="IO151" t="s">
        <v>441</v>
      </c>
      <c r="IP151" t="s">
        <v>442</v>
      </c>
      <c r="IQ151" t="s">
        <v>443</v>
      </c>
      <c r="IR151" t="s">
        <v>443</v>
      </c>
      <c r="IS151" t="s">
        <v>443</v>
      </c>
      <c r="IT151" t="s">
        <v>443</v>
      </c>
      <c r="IU151">
        <v>0</v>
      </c>
      <c r="IV151">
        <v>100</v>
      </c>
      <c r="IW151">
        <v>100</v>
      </c>
      <c r="IX151">
        <v>3.091</v>
      </c>
      <c r="IY151">
        <v>-0.1114</v>
      </c>
      <c r="IZ151">
        <v>1.12474291219083</v>
      </c>
      <c r="JA151">
        <v>0.00463155566490582</v>
      </c>
      <c r="JB151">
        <v>-1.1358998729424e-06</v>
      </c>
      <c r="JC151">
        <v>3.28704272115545e-10</v>
      </c>
      <c r="JD151">
        <v>-0.0704455108513773</v>
      </c>
      <c r="JE151">
        <v>-0.0251928478371425</v>
      </c>
      <c r="JF151">
        <v>0.00225751704194564</v>
      </c>
      <c r="JG151">
        <v>-3.61734043746866e-05</v>
      </c>
      <c r="JH151">
        <v>1</v>
      </c>
      <c r="JI151">
        <v>2182</v>
      </c>
      <c r="JJ151">
        <v>0</v>
      </c>
      <c r="JK151">
        <v>24</v>
      </c>
      <c r="JL151">
        <v>29349866.9</v>
      </c>
      <c r="JM151">
        <v>29349866.9</v>
      </c>
      <c r="JN151">
        <v>1.20483</v>
      </c>
      <c r="JO151">
        <v>2.63306</v>
      </c>
      <c r="JP151">
        <v>1.54785</v>
      </c>
      <c r="JQ151">
        <v>2.31445</v>
      </c>
      <c r="JR151">
        <v>1.64673</v>
      </c>
      <c r="JS151">
        <v>2.39258</v>
      </c>
      <c r="JT151">
        <v>33.6705</v>
      </c>
      <c r="JU151">
        <v>24.1838</v>
      </c>
      <c r="JV151">
        <v>18</v>
      </c>
      <c r="JW151">
        <v>500.335</v>
      </c>
      <c r="JX151">
        <v>393.382</v>
      </c>
      <c r="JY151">
        <v>11.6457</v>
      </c>
      <c r="JZ151">
        <v>23.9732</v>
      </c>
      <c r="KA151">
        <v>29.9999</v>
      </c>
      <c r="KB151">
        <v>23.9549</v>
      </c>
      <c r="KC151">
        <v>23.9214</v>
      </c>
      <c r="KD151">
        <v>24.2735</v>
      </c>
      <c r="KE151">
        <v>10.7727</v>
      </c>
      <c r="KF151">
        <v>26.9061</v>
      </c>
      <c r="KG151">
        <v>11.6603</v>
      </c>
      <c r="KH151">
        <v>541.766</v>
      </c>
      <c r="KI151">
        <v>9.66338</v>
      </c>
      <c r="KJ151">
        <v>97.0358</v>
      </c>
      <c r="KK151">
        <v>95.2989</v>
      </c>
    </row>
    <row r="152" spans="1:297">
      <c r="A152">
        <v>136</v>
      </c>
      <c r="B152">
        <v>1760992019</v>
      </c>
      <c r="C152">
        <v>2828.90000009537</v>
      </c>
      <c r="D152" t="s">
        <v>725</v>
      </c>
      <c r="E152" t="s">
        <v>726</v>
      </c>
      <c r="F152">
        <v>5</v>
      </c>
      <c r="G152" t="s">
        <v>662</v>
      </c>
      <c r="H152" t="s">
        <v>436</v>
      </c>
      <c r="I152">
        <v>1760992010.84615</v>
      </c>
      <c r="J152">
        <f>(K152)/1000</f>
        <v>0</v>
      </c>
      <c r="K152">
        <f>IF(DP152, AN152, AH152)</f>
        <v>0</v>
      </c>
      <c r="L152">
        <f>IF(DP152, AI152, AG152)</f>
        <v>0</v>
      </c>
      <c r="M152">
        <f>DR152 - IF(AU152&gt;1, L152*DL152*100.0/(AW152), 0)</f>
        <v>0</v>
      </c>
      <c r="N152">
        <f>((T152-J152/2)*M152-L152)/(T152+J152/2)</f>
        <v>0</v>
      </c>
      <c r="O152">
        <f>N152*(DY152+DZ152)/1000.0</f>
        <v>0</v>
      </c>
      <c r="P152">
        <f>(DR152 - IF(AU152&gt;1, L152*DL152*100.0/(AW152), 0))*(DY152+DZ152)/1000.0</f>
        <v>0</v>
      </c>
      <c r="Q152">
        <f>2.0/((1/S152-1/R152)+SIGN(S152)*SQRT((1/S152-1/R152)*(1/S152-1/R152) + 4*DM152/((DM152+1)*(DM152+1))*(2*1/S152*1/R152-1/R152*1/R152)))</f>
        <v>0</v>
      </c>
      <c r="R152">
        <f>IF(LEFT(DN152,1)&lt;&gt;"0",IF(LEFT(DN152,1)="1",3.0,DO152),$D$5+$E$5*(EF152*DY152/($K$5*1000))+$F$5*(EF152*DY152/($K$5*1000))*MAX(MIN(DL152,$J$5),$I$5)*MAX(MIN(DL152,$J$5),$I$5)+$G$5*MAX(MIN(DL152,$J$5),$I$5)*(EF152*DY152/($K$5*1000))+$H$5*(EF152*DY152/($K$5*1000))*(EF152*DY152/($K$5*1000)))</f>
        <v>0</v>
      </c>
      <c r="S152">
        <f>J152*(1000-(1000*0.61365*exp(17.502*W152/(240.97+W152))/(DY152+DZ152)+DT152)/2)/(1000*0.61365*exp(17.502*W152/(240.97+W152))/(DY152+DZ152)-DT152)</f>
        <v>0</v>
      </c>
      <c r="T152">
        <f>1/((DM152+1)/(Q152/1.6)+1/(R152/1.37)) + DM152/((DM152+1)/(Q152/1.6) + DM152/(R152/1.37))</f>
        <v>0</v>
      </c>
      <c r="U152">
        <f>(DH152*DK152)</f>
        <v>0</v>
      </c>
      <c r="V152">
        <f>(EA152+(U152+2*0.95*5.67E-8*(((EA152+$B$7)+273)^4-(EA152+273)^4)-44100*J152)/(1.84*29.3*R152+8*0.95*5.67E-8*(EA152+273)^3))</f>
        <v>0</v>
      </c>
      <c r="W152">
        <f>($C$7*EB152+$D$7*EC152+$E$7*V152)</f>
        <v>0</v>
      </c>
      <c r="X152">
        <f>0.61365*exp(17.502*W152/(240.97+W152))</f>
        <v>0</v>
      </c>
      <c r="Y152">
        <f>(Z152/AA152*100)</f>
        <v>0</v>
      </c>
      <c r="Z152">
        <f>DT152*(DY152+DZ152)/1000</f>
        <v>0</v>
      </c>
      <c r="AA152">
        <f>0.61365*exp(17.502*EA152/(240.97+EA152))</f>
        <v>0</v>
      </c>
      <c r="AB152">
        <f>(X152-DT152*(DY152+DZ152)/1000)</f>
        <v>0</v>
      </c>
      <c r="AC152">
        <f>(-J152*44100)</f>
        <v>0</v>
      </c>
      <c r="AD152">
        <f>2*29.3*R152*0.92*(EA152-W152)</f>
        <v>0</v>
      </c>
      <c r="AE152">
        <f>2*0.95*5.67E-8*(((EA152+$B$7)+273)^4-(W152+273)^4)</f>
        <v>0</v>
      </c>
      <c r="AF152">
        <f>U152+AE152+AC152+AD152</f>
        <v>0</v>
      </c>
      <c r="AG152">
        <f>DX152*AU152*(DS152-DR152*(1000-AU152*DU152)/(1000-AU152*DT152))/(100*DL152)</f>
        <v>0</v>
      </c>
      <c r="AH152">
        <f>1000*DX152*AU152*(DT152-DU152)/(100*DL152*(1000-AU152*DT152))</f>
        <v>0</v>
      </c>
      <c r="AI152">
        <f>(AJ152 - AK152 - DY152*1E3/(8.314*(EA152+273.15)) * AM152/DX152 * AL152) * DX152/(100*DL152) * (1000 - DU152)/1000</f>
        <v>0</v>
      </c>
      <c r="AJ152">
        <v>527.323218454695</v>
      </c>
      <c r="AK152">
        <v>492.837048484848</v>
      </c>
      <c r="AL152">
        <v>3.13441515434953</v>
      </c>
      <c r="AM152">
        <v>65.2210784119795</v>
      </c>
      <c r="AN152">
        <f>(AP152 - AO152 + DY152*1E3/(8.314*(EA152+273.15)) * AR152/DX152 * AQ152) * DX152/(100*DL152) * 1000/(1000 - AP152)</f>
        <v>0</v>
      </c>
      <c r="AO152">
        <v>9.70661197473582</v>
      </c>
      <c r="AP152">
        <v>11.7929018181818</v>
      </c>
      <c r="AQ152">
        <v>1.1023955144831e-05</v>
      </c>
      <c r="AR152">
        <v>115.574510355221</v>
      </c>
      <c r="AS152">
        <v>0</v>
      </c>
      <c r="AT152">
        <v>0</v>
      </c>
      <c r="AU152">
        <f>IF(AS152*$H$13&gt;=AW152,1.0,(AW152/(AW152-AS152*$H$13)))</f>
        <v>0</v>
      </c>
      <c r="AV152">
        <f>(AU152-1)*100</f>
        <v>0</v>
      </c>
      <c r="AW152">
        <f>MAX(0,($B$13+$C$13*EF152)/(1+$D$13*EF152)*DY152/(EA152+273)*$E$13)</f>
        <v>0</v>
      </c>
      <c r="AX152" t="s">
        <v>437</v>
      </c>
      <c r="AY152" t="s">
        <v>437</v>
      </c>
      <c r="AZ152">
        <v>0</v>
      </c>
      <c r="BA152">
        <v>0</v>
      </c>
      <c r="BB152">
        <f>1-AZ152/BA152</f>
        <v>0</v>
      </c>
      <c r="BC152">
        <v>0</v>
      </c>
      <c r="BD152" t="s">
        <v>437</v>
      </c>
      <c r="BE152" t="s">
        <v>437</v>
      </c>
      <c r="BF152">
        <v>0</v>
      </c>
      <c r="BG152">
        <v>0</v>
      </c>
      <c r="BH152">
        <f>1-BF152/BG152</f>
        <v>0</v>
      </c>
      <c r="BI152">
        <v>0.5</v>
      </c>
      <c r="BJ152">
        <f>DI152</f>
        <v>0</v>
      </c>
      <c r="BK152">
        <f>L152</f>
        <v>0</v>
      </c>
      <c r="BL152">
        <f>BH152*BI152*BJ152</f>
        <v>0</v>
      </c>
      <c r="BM152">
        <f>(BK152-BC152)/BJ152</f>
        <v>0</v>
      </c>
      <c r="BN152">
        <f>(BA152-BG152)/BG152</f>
        <v>0</v>
      </c>
      <c r="BO152">
        <f>AZ152/(BB152+AZ152/BG152)</f>
        <v>0</v>
      </c>
      <c r="BP152" t="s">
        <v>437</v>
      </c>
      <c r="BQ152">
        <v>0</v>
      </c>
      <c r="BR152">
        <f>IF(BQ152&lt;&gt;0, BQ152, BO152)</f>
        <v>0</v>
      </c>
      <c r="BS152">
        <f>1-BR152/BG152</f>
        <v>0</v>
      </c>
      <c r="BT152">
        <f>(BG152-BF152)/(BG152-BR152)</f>
        <v>0</v>
      </c>
      <c r="BU152">
        <f>(BA152-BG152)/(BA152-BR152)</f>
        <v>0</v>
      </c>
      <c r="BV152">
        <f>(BG152-BF152)/(BG152-AZ152)</f>
        <v>0</v>
      </c>
      <c r="BW152">
        <f>(BA152-BG152)/(BA152-AZ152)</f>
        <v>0</v>
      </c>
      <c r="BX152">
        <f>(BT152*BR152/BF152)</f>
        <v>0</v>
      </c>
      <c r="BY152">
        <f>(1-BX152)</f>
        <v>0</v>
      </c>
      <c r="BZ152">
        <v>282</v>
      </c>
      <c r="CA152">
        <v>290</v>
      </c>
      <c r="CB152">
        <v>1577.74</v>
      </c>
      <c r="CC152">
        <v>295</v>
      </c>
      <c r="CD152">
        <v>5140.93</v>
      </c>
      <c r="CE152">
        <v>1578.58</v>
      </c>
      <c r="CF152">
        <v>-0.84</v>
      </c>
      <c r="CG152">
        <v>300</v>
      </c>
      <c r="CH152">
        <v>23.8</v>
      </c>
      <c r="CI152">
        <v>1633.28263291266</v>
      </c>
      <c r="CJ152">
        <v>1.49577129053257</v>
      </c>
      <c r="CK152">
        <v>-28.1203876934379</v>
      </c>
      <c r="CL152">
        <v>0.666413418688897</v>
      </c>
      <c r="CM152">
        <v>0.984518017981194</v>
      </c>
      <c r="CN152">
        <v>-0.00424727541713014</v>
      </c>
      <c r="CO152">
        <v>290</v>
      </c>
      <c r="CP152">
        <v>1576.56</v>
      </c>
      <c r="CQ152">
        <v>775</v>
      </c>
      <c r="CR152">
        <v>5139.5</v>
      </c>
      <c r="CS152">
        <v>1578.57</v>
      </c>
      <c r="CT152">
        <v>-2.01</v>
      </c>
      <c r="DH152">
        <f>$B$11*EG152+$C$11*EH152+$F$11*ES152*(1-EV152)</f>
        <v>0</v>
      </c>
      <c r="DI152">
        <f>DH152*DJ152</f>
        <v>0</v>
      </c>
      <c r="DJ152">
        <f>($B$11*$D$9+$C$11*$D$9+$F$11*((FF152+EX152)/MAX(FF152+EX152+FG152, 0.1)*$I$9+FG152/MAX(FF152+EX152+FG152, 0.1)*$J$9))/($B$11+$C$11+$F$11)</f>
        <v>0</v>
      </c>
      <c r="DK152">
        <f>($B$11*$K$9+$C$11*$K$9+$F$11*((FF152+EX152)/MAX(FF152+EX152+FG152, 0.1)*$P$9+FG152/MAX(FF152+EX152+FG152, 0.1)*$Q$9))/($B$11+$C$11+$F$11)</f>
        <v>0</v>
      </c>
      <c r="DL152">
        <v>6</v>
      </c>
      <c r="DM152">
        <v>0.5</v>
      </c>
      <c r="DN152" t="s">
        <v>438</v>
      </c>
      <c r="DO152">
        <v>2</v>
      </c>
      <c r="DP152" t="b">
        <v>1</v>
      </c>
      <c r="DQ152">
        <v>1760992010.84615</v>
      </c>
      <c r="DR152">
        <v>464.490692307692</v>
      </c>
      <c r="DS152">
        <v>506.752846153846</v>
      </c>
      <c r="DT152">
        <v>11.7933769230769</v>
      </c>
      <c r="DU152">
        <v>9.70890384615385</v>
      </c>
      <c r="DV152">
        <v>461.438461538462</v>
      </c>
      <c r="DW152">
        <v>11.9048384615385</v>
      </c>
      <c r="DX152">
        <v>500.044461538462</v>
      </c>
      <c r="DY152">
        <v>89.8321230769231</v>
      </c>
      <c r="DZ152">
        <v>0.00875997</v>
      </c>
      <c r="EA152">
        <v>18.3659692307692</v>
      </c>
      <c r="EB152">
        <v>18.0027846153846</v>
      </c>
      <c r="EC152">
        <v>999.9</v>
      </c>
      <c r="ED152">
        <v>0</v>
      </c>
      <c r="EE152">
        <v>0</v>
      </c>
      <c r="EF152">
        <v>10013.6</v>
      </c>
      <c r="EG152">
        <v>0</v>
      </c>
      <c r="EH152">
        <v>1278.74230769231</v>
      </c>
      <c r="EI152">
        <v>-42.2623076923077</v>
      </c>
      <c r="EJ152">
        <v>470.034153846154</v>
      </c>
      <c r="EK152">
        <v>511.721230769231</v>
      </c>
      <c r="EL152">
        <v>2.08448384615385</v>
      </c>
      <c r="EM152">
        <v>506.752846153846</v>
      </c>
      <c r="EN152">
        <v>9.70890384615385</v>
      </c>
      <c r="EO152">
        <v>1.05942538461538</v>
      </c>
      <c r="EP152">
        <v>0.872171153846154</v>
      </c>
      <c r="EQ152">
        <v>7.76030153846154</v>
      </c>
      <c r="ER152">
        <v>4.93956076923077</v>
      </c>
      <c r="ES152">
        <v>1200.03230769231</v>
      </c>
      <c r="ET152">
        <v>0.967006</v>
      </c>
      <c r="EU152">
        <v>0.0329936153846154</v>
      </c>
      <c r="EV152">
        <v>0</v>
      </c>
      <c r="EW152">
        <v>1244.77769230769</v>
      </c>
      <c r="EX152">
        <v>5.00059</v>
      </c>
      <c r="EY152">
        <v>14723.5307692308</v>
      </c>
      <c r="EZ152">
        <v>10359.0230769231</v>
      </c>
      <c r="FA152">
        <v>38.1632307692308</v>
      </c>
      <c r="FB152">
        <v>40.9805384615385</v>
      </c>
      <c r="FC152">
        <v>38.6873076923077</v>
      </c>
      <c r="FD152">
        <v>40.8747692307692</v>
      </c>
      <c r="FE152">
        <v>39.2882307692308</v>
      </c>
      <c r="FF152">
        <v>1155.60230769231</v>
      </c>
      <c r="FG152">
        <v>39.43</v>
      </c>
      <c r="FH152">
        <v>0</v>
      </c>
      <c r="FI152">
        <v>875</v>
      </c>
      <c r="FJ152">
        <v>0</v>
      </c>
      <c r="FK152">
        <v>1244.945</v>
      </c>
      <c r="FL152">
        <v>13.3316239386833</v>
      </c>
      <c r="FM152">
        <v>192.451282101377</v>
      </c>
      <c r="FN152">
        <v>14725.7615384615</v>
      </c>
      <c r="FO152">
        <v>15</v>
      </c>
      <c r="FP152">
        <v>0</v>
      </c>
      <c r="FQ152" t="s">
        <v>439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-41.5911619047619</v>
      </c>
      <c r="GD152">
        <v>-13.029638961039</v>
      </c>
      <c r="GE152">
        <v>1.47797994975645</v>
      </c>
      <c r="GF152">
        <v>0</v>
      </c>
      <c r="GG152">
        <v>1244.19823529412</v>
      </c>
      <c r="GH152">
        <v>13.0444614066299</v>
      </c>
      <c r="GI152">
        <v>1.29032478945565</v>
      </c>
      <c r="GJ152">
        <v>-1</v>
      </c>
      <c r="GK152">
        <v>2.08787285714286</v>
      </c>
      <c r="GL152">
        <v>-0.050480259740259</v>
      </c>
      <c r="GM152">
        <v>0.0066471262267863</v>
      </c>
      <c r="GN152">
        <v>1</v>
      </c>
      <c r="GO152">
        <v>1</v>
      </c>
      <c r="GP152">
        <v>2</v>
      </c>
      <c r="GQ152" t="s">
        <v>446</v>
      </c>
      <c r="GR152">
        <v>3.13071</v>
      </c>
      <c r="GS152">
        <v>2.68671</v>
      </c>
      <c r="GT152">
        <v>0.10068</v>
      </c>
      <c r="GU152">
        <v>0.107821</v>
      </c>
      <c r="GV152">
        <v>0.0616022</v>
      </c>
      <c r="GW152">
        <v>0.0528854</v>
      </c>
      <c r="GX152">
        <v>34079.9</v>
      </c>
      <c r="GY152">
        <v>36330</v>
      </c>
      <c r="GZ152">
        <v>34263.5</v>
      </c>
      <c r="HA152">
        <v>36846.4</v>
      </c>
      <c r="HB152">
        <v>45355</v>
      </c>
      <c r="HC152">
        <v>50042.6</v>
      </c>
      <c r="HD152">
        <v>53337.4</v>
      </c>
      <c r="HE152">
        <v>58773.8</v>
      </c>
      <c r="HF152">
        <v>2.00775</v>
      </c>
      <c r="HG152">
        <v>1.83563</v>
      </c>
      <c r="HH152">
        <v>0.009045</v>
      </c>
      <c r="HI152">
        <v>0</v>
      </c>
      <c r="HJ152">
        <v>17.8583</v>
      </c>
      <c r="HK152">
        <v>999.9</v>
      </c>
      <c r="HL152">
        <v>26.914</v>
      </c>
      <c r="HM152">
        <v>30.484</v>
      </c>
      <c r="HN152">
        <v>13.1226</v>
      </c>
      <c r="HO152">
        <v>53.6691</v>
      </c>
      <c r="HP152">
        <v>44.4872</v>
      </c>
      <c r="HQ152">
        <v>1</v>
      </c>
      <c r="HR152">
        <v>-0.262899</v>
      </c>
      <c r="HS152">
        <v>4.61233</v>
      </c>
      <c r="HT152">
        <v>20.0775</v>
      </c>
      <c r="HU152">
        <v>5.20217</v>
      </c>
      <c r="HV152">
        <v>12.0041</v>
      </c>
      <c r="HW152">
        <v>4.9758</v>
      </c>
      <c r="HX152">
        <v>3.293</v>
      </c>
      <c r="HY152">
        <v>9999</v>
      </c>
      <c r="HZ152">
        <v>999.9</v>
      </c>
      <c r="IA152">
        <v>9999</v>
      </c>
      <c r="IB152">
        <v>9999</v>
      </c>
      <c r="IC152">
        <v>1.86325</v>
      </c>
      <c r="ID152">
        <v>1.86808</v>
      </c>
      <c r="IE152">
        <v>1.86783</v>
      </c>
      <c r="IF152">
        <v>1.86903</v>
      </c>
      <c r="IG152">
        <v>1.86981</v>
      </c>
      <c r="IH152">
        <v>1.86586</v>
      </c>
      <c r="II152">
        <v>1.86691</v>
      </c>
      <c r="IJ152">
        <v>1.86838</v>
      </c>
      <c r="IK152">
        <v>5</v>
      </c>
      <c r="IL152">
        <v>0</v>
      </c>
      <c r="IM152">
        <v>0</v>
      </c>
      <c r="IN152">
        <v>0</v>
      </c>
      <c r="IO152" t="s">
        <v>441</v>
      </c>
      <c r="IP152" t="s">
        <v>442</v>
      </c>
      <c r="IQ152" t="s">
        <v>443</v>
      </c>
      <c r="IR152" t="s">
        <v>443</v>
      </c>
      <c r="IS152" t="s">
        <v>443</v>
      </c>
      <c r="IT152" t="s">
        <v>443</v>
      </c>
      <c r="IU152">
        <v>0</v>
      </c>
      <c r="IV152">
        <v>100</v>
      </c>
      <c r="IW152">
        <v>100</v>
      </c>
      <c r="IX152">
        <v>3.15</v>
      </c>
      <c r="IY152">
        <v>-0.1115</v>
      </c>
      <c r="IZ152">
        <v>1.12474291219083</v>
      </c>
      <c r="JA152">
        <v>0.00463155566490582</v>
      </c>
      <c r="JB152">
        <v>-1.1358998729424e-06</v>
      </c>
      <c r="JC152">
        <v>3.28704272115545e-10</v>
      </c>
      <c r="JD152">
        <v>-0.0704455108513773</v>
      </c>
      <c r="JE152">
        <v>-0.0251928478371425</v>
      </c>
      <c r="JF152">
        <v>0.00225751704194564</v>
      </c>
      <c r="JG152">
        <v>-3.61734043746866e-05</v>
      </c>
      <c r="JH152">
        <v>1</v>
      </c>
      <c r="JI152">
        <v>2182</v>
      </c>
      <c r="JJ152">
        <v>0</v>
      </c>
      <c r="JK152">
        <v>24</v>
      </c>
      <c r="JL152">
        <v>29349867</v>
      </c>
      <c r="JM152">
        <v>29349867</v>
      </c>
      <c r="JN152">
        <v>1.24023</v>
      </c>
      <c r="JO152">
        <v>2.62329</v>
      </c>
      <c r="JP152">
        <v>1.54785</v>
      </c>
      <c r="JQ152">
        <v>2.31445</v>
      </c>
      <c r="JR152">
        <v>1.64673</v>
      </c>
      <c r="JS152">
        <v>2.39746</v>
      </c>
      <c r="JT152">
        <v>33.6705</v>
      </c>
      <c r="JU152">
        <v>24.1838</v>
      </c>
      <c r="JV152">
        <v>18</v>
      </c>
      <c r="JW152">
        <v>500.335</v>
      </c>
      <c r="JX152">
        <v>393.578</v>
      </c>
      <c r="JY152">
        <v>11.6515</v>
      </c>
      <c r="JZ152">
        <v>23.9732</v>
      </c>
      <c r="KA152">
        <v>29.9998</v>
      </c>
      <c r="KB152">
        <v>23.955</v>
      </c>
      <c r="KC152">
        <v>23.9229</v>
      </c>
      <c r="KD152">
        <v>24.8963</v>
      </c>
      <c r="KE152">
        <v>10.7727</v>
      </c>
      <c r="KF152">
        <v>26.9061</v>
      </c>
      <c r="KG152">
        <v>11.6548</v>
      </c>
      <c r="KH152">
        <v>555.23</v>
      </c>
      <c r="KI152">
        <v>9.66338</v>
      </c>
      <c r="KJ152">
        <v>97.0367</v>
      </c>
      <c r="KK152">
        <v>95.2981</v>
      </c>
    </row>
    <row r="153" spans="1:297">
      <c r="A153">
        <v>137</v>
      </c>
      <c r="B153">
        <v>1760992024</v>
      </c>
      <c r="C153">
        <v>2833.90000009537</v>
      </c>
      <c r="D153" t="s">
        <v>727</v>
      </c>
      <c r="E153" t="s">
        <v>728</v>
      </c>
      <c r="F153">
        <v>5</v>
      </c>
      <c r="G153" t="s">
        <v>662</v>
      </c>
      <c r="H153" t="s">
        <v>436</v>
      </c>
      <c r="I153">
        <v>1760992015.84615</v>
      </c>
      <c r="J153">
        <f>(K153)/1000</f>
        <v>0</v>
      </c>
      <c r="K153">
        <f>IF(DP153, AN153, AH153)</f>
        <v>0</v>
      </c>
      <c r="L153">
        <f>IF(DP153, AI153, AG153)</f>
        <v>0</v>
      </c>
      <c r="M153">
        <f>DR153 - IF(AU153&gt;1, L153*DL153*100.0/(AW153), 0)</f>
        <v>0</v>
      </c>
      <c r="N153">
        <f>((T153-J153/2)*M153-L153)/(T153+J153/2)</f>
        <v>0</v>
      </c>
      <c r="O153">
        <f>N153*(DY153+DZ153)/1000.0</f>
        <v>0</v>
      </c>
      <c r="P153">
        <f>(DR153 - IF(AU153&gt;1, L153*DL153*100.0/(AW153), 0))*(DY153+DZ153)/1000.0</f>
        <v>0</v>
      </c>
      <c r="Q153">
        <f>2.0/((1/S153-1/R153)+SIGN(S153)*SQRT((1/S153-1/R153)*(1/S153-1/R153) + 4*DM153/((DM153+1)*(DM153+1))*(2*1/S153*1/R153-1/R153*1/R153)))</f>
        <v>0</v>
      </c>
      <c r="R153">
        <f>IF(LEFT(DN153,1)&lt;&gt;"0",IF(LEFT(DN153,1)="1",3.0,DO153),$D$5+$E$5*(EF153*DY153/($K$5*1000))+$F$5*(EF153*DY153/($K$5*1000))*MAX(MIN(DL153,$J$5),$I$5)*MAX(MIN(DL153,$J$5),$I$5)+$G$5*MAX(MIN(DL153,$J$5),$I$5)*(EF153*DY153/($K$5*1000))+$H$5*(EF153*DY153/($K$5*1000))*(EF153*DY153/($K$5*1000)))</f>
        <v>0</v>
      </c>
      <c r="S153">
        <f>J153*(1000-(1000*0.61365*exp(17.502*W153/(240.97+W153))/(DY153+DZ153)+DT153)/2)/(1000*0.61365*exp(17.502*W153/(240.97+W153))/(DY153+DZ153)-DT153)</f>
        <v>0</v>
      </c>
      <c r="T153">
        <f>1/((DM153+1)/(Q153/1.6)+1/(R153/1.37)) + DM153/((DM153+1)/(Q153/1.6) + DM153/(R153/1.37))</f>
        <v>0</v>
      </c>
      <c r="U153">
        <f>(DH153*DK153)</f>
        <v>0</v>
      </c>
      <c r="V153">
        <f>(EA153+(U153+2*0.95*5.67E-8*(((EA153+$B$7)+273)^4-(EA153+273)^4)-44100*J153)/(1.84*29.3*R153+8*0.95*5.67E-8*(EA153+273)^3))</f>
        <v>0</v>
      </c>
      <c r="W153">
        <f>($C$7*EB153+$D$7*EC153+$E$7*V153)</f>
        <v>0</v>
      </c>
      <c r="X153">
        <f>0.61365*exp(17.502*W153/(240.97+W153))</f>
        <v>0</v>
      </c>
      <c r="Y153">
        <f>(Z153/AA153*100)</f>
        <v>0</v>
      </c>
      <c r="Z153">
        <f>DT153*(DY153+DZ153)/1000</f>
        <v>0</v>
      </c>
      <c r="AA153">
        <f>0.61365*exp(17.502*EA153/(240.97+EA153))</f>
        <v>0</v>
      </c>
      <c r="AB153">
        <f>(X153-DT153*(DY153+DZ153)/1000)</f>
        <v>0</v>
      </c>
      <c r="AC153">
        <f>(-J153*44100)</f>
        <v>0</v>
      </c>
      <c r="AD153">
        <f>2*29.3*R153*0.92*(EA153-W153)</f>
        <v>0</v>
      </c>
      <c r="AE153">
        <f>2*0.95*5.67E-8*(((EA153+$B$7)+273)^4-(W153+273)^4)</f>
        <v>0</v>
      </c>
      <c r="AF153">
        <f>U153+AE153+AC153+AD153</f>
        <v>0</v>
      </c>
      <c r="AG153">
        <f>DX153*AU153*(DS153-DR153*(1000-AU153*DU153)/(1000-AU153*DT153))/(100*DL153)</f>
        <v>0</v>
      </c>
      <c r="AH153">
        <f>1000*DX153*AU153*(DT153-DU153)/(100*DL153*(1000-AU153*DT153))</f>
        <v>0</v>
      </c>
      <c r="AI153">
        <f>(AJ153 - AK153 - DY153*1E3/(8.314*(EA153+273.15)) * AM153/DX153 * AL153) * DX153/(100*DL153) * (1000 - DU153)/1000</f>
        <v>0</v>
      </c>
      <c r="AJ153">
        <v>545.12547960809</v>
      </c>
      <c r="AK153">
        <v>509.569703030303</v>
      </c>
      <c r="AL153">
        <v>3.37301141476704</v>
      </c>
      <c r="AM153">
        <v>65.2210784119795</v>
      </c>
      <c r="AN153">
        <f>(AP153 - AO153 + DY153*1E3/(8.314*(EA153+273.15)) * AR153/DX153 * AQ153) * DX153/(100*DL153) * 1000/(1000 - AP153)</f>
        <v>0</v>
      </c>
      <c r="AO153">
        <v>9.70662881064086</v>
      </c>
      <c r="AP153">
        <v>11.7959490909091</v>
      </c>
      <c r="AQ153">
        <v>2.07151559022426e-05</v>
      </c>
      <c r="AR153">
        <v>115.574510355221</v>
      </c>
      <c r="AS153">
        <v>0</v>
      </c>
      <c r="AT153">
        <v>0</v>
      </c>
      <c r="AU153">
        <f>IF(AS153*$H$13&gt;=AW153,1.0,(AW153/(AW153-AS153*$H$13)))</f>
        <v>0</v>
      </c>
      <c r="AV153">
        <f>(AU153-1)*100</f>
        <v>0</v>
      </c>
      <c r="AW153">
        <f>MAX(0,($B$13+$C$13*EF153)/(1+$D$13*EF153)*DY153/(EA153+273)*$E$13)</f>
        <v>0</v>
      </c>
      <c r="AX153" t="s">
        <v>437</v>
      </c>
      <c r="AY153" t="s">
        <v>437</v>
      </c>
      <c r="AZ153">
        <v>0</v>
      </c>
      <c r="BA153">
        <v>0</v>
      </c>
      <c r="BB153">
        <f>1-AZ153/BA153</f>
        <v>0</v>
      </c>
      <c r="BC153">
        <v>0</v>
      </c>
      <c r="BD153" t="s">
        <v>437</v>
      </c>
      <c r="BE153" t="s">
        <v>437</v>
      </c>
      <c r="BF153">
        <v>0</v>
      </c>
      <c r="BG153">
        <v>0</v>
      </c>
      <c r="BH153">
        <f>1-BF153/BG153</f>
        <v>0</v>
      </c>
      <c r="BI153">
        <v>0.5</v>
      </c>
      <c r="BJ153">
        <f>DI153</f>
        <v>0</v>
      </c>
      <c r="BK153">
        <f>L153</f>
        <v>0</v>
      </c>
      <c r="BL153">
        <f>BH153*BI153*BJ153</f>
        <v>0</v>
      </c>
      <c r="BM153">
        <f>(BK153-BC153)/BJ153</f>
        <v>0</v>
      </c>
      <c r="BN153">
        <f>(BA153-BG153)/BG153</f>
        <v>0</v>
      </c>
      <c r="BO153">
        <f>AZ153/(BB153+AZ153/BG153)</f>
        <v>0</v>
      </c>
      <c r="BP153" t="s">
        <v>437</v>
      </c>
      <c r="BQ153">
        <v>0</v>
      </c>
      <c r="BR153">
        <f>IF(BQ153&lt;&gt;0, BQ153, BO153)</f>
        <v>0</v>
      </c>
      <c r="BS153">
        <f>1-BR153/BG153</f>
        <v>0</v>
      </c>
      <c r="BT153">
        <f>(BG153-BF153)/(BG153-BR153)</f>
        <v>0</v>
      </c>
      <c r="BU153">
        <f>(BA153-BG153)/(BA153-BR153)</f>
        <v>0</v>
      </c>
      <c r="BV153">
        <f>(BG153-BF153)/(BG153-AZ153)</f>
        <v>0</v>
      </c>
      <c r="BW153">
        <f>(BA153-BG153)/(BA153-AZ153)</f>
        <v>0</v>
      </c>
      <c r="BX153">
        <f>(BT153*BR153/BF153)</f>
        <v>0</v>
      </c>
      <c r="BY153">
        <f>(1-BX153)</f>
        <v>0</v>
      </c>
      <c r="BZ153">
        <v>282</v>
      </c>
      <c r="CA153">
        <v>290</v>
      </c>
      <c r="CB153">
        <v>1577.74</v>
      </c>
      <c r="CC153">
        <v>295</v>
      </c>
      <c r="CD153">
        <v>5140.93</v>
      </c>
      <c r="CE153">
        <v>1578.58</v>
      </c>
      <c r="CF153">
        <v>-0.84</v>
      </c>
      <c r="CG153">
        <v>300</v>
      </c>
      <c r="CH153">
        <v>23.8</v>
      </c>
      <c r="CI153">
        <v>1633.28263291266</v>
      </c>
      <c r="CJ153">
        <v>1.49577129053257</v>
      </c>
      <c r="CK153">
        <v>-28.1203876934379</v>
      </c>
      <c r="CL153">
        <v>0.666413418688897</v>
      </c>
      <c r="CM153">
        <v>0.984518017981194</v>
      </c>
      <c r="CN153">
        <v>-0.00424727541713014</v>
      </c>
      <c r="CO153">
        <v>290</v>
      </c>
      <c r="CP153">
        <v>1576.56</v>
      </c>
      <c r="CQ153">
        <v>775</v>
      </c>
      <c r="CR153">
        <v>5139.5</v>
      </c>
      <c r="CS153">
        <v>1578.57</v>
      </c>
      <c r="CT153">
        <v>-2.01</v>
      </c>
      <c r="DH153">
        <f>$B$11*EG153+$C$11*EH153+$F$11*ES153*(1-EV153)</f>
        <v>0</v>
      </c>
      <c r="DI153">
        <f>DH153*DJ153</f>
        <v>0</v>
      </c>
      <c r="DJ153">
        <f>($B$11*$D$9+$C$11*$D$9+$F$11*((FF153+EX153)/MAX(FF153+EX153+FG153, 0.1)*$I$9+FG153/MAX(FF153+EX153+FG153, 0.1)*$J$9))/($B$11+$C$11+$F$11)</f>
        <v>0</v>
      </c>
      <c r="DK153">
        <f>($B$11*$K$9+$C$11*$K$9+$F$11*((FF153+EX153)/MAX(FF153+EX153+FG153, 0.1)*$P$9+FG153/MAX(FF153+EX153+FG153, 0.1)*$Q$9))/($B$11+$C$11+$F$11)</f>
        <v>0</v>
      </c>
      <c r="DL153">
        <v>6</v>
      </c>
      <c r="DM153">
        <v>0.5</v>
      </c>
      <c r="DN153" t="s">
        <v>438</v>
      </c>
      <c r="DO153">
        <v>2</v>
      </c>
      <c r="DP153" t="b">
        <v>1</v>
      </c>
      <c r="DQ153">
        <v>1760992015.84615</v>
      </c>
      <c r="DR153">
        <v>480.379923076923</v>
      </c>
      <c r="DS153">
        <v>523.804384615385</v>
      </c>
      <c r="DT153">
        <v>11.7930615384615</v>
      </c>
      <c r="DU153">
        <v>9.70799076923077</v>
      </c>
      <c r="DV153">
        <v>477.267769230769</v>
      </c>
      <c r="DW153">
        <v>11.9045384615385</v>
      </c>
      <c r="DX153">
        <v>500.03</v>
      </c>
      <c r="DY153">
        <v>89.8323230769231</v>
      </c>
      <c r="DZ153">
        <v>0.00852398692307692</v>
      </c>
      <c r="EA153">
        <v>18.3697846153846</v>
      </c>
      <c r="EB153">
        <v>18.0023307692308</v>
      </c>
      <c r="EC153">
        <v>999.9</v>
      </c>
      <c r="ED153">
        <v>0</v>
      </c>
      <c r="EE153">
        <v>0</v>
      </c>
      <c r="EF153">
        <v>10014.3692307692</v>
      </c>
      <c r="EG153">
        <v>0</v>
      </c>
      <c r="EH153">
        <v>1278.75769230769</v>
      </c>
      <c r="EI153">
        <v>-43.4245538461538</v>
      </c>
      <c r="EJ153">
        <v>486.112769230769</v>
      </c>
      <c r="EK153">
        <v>528.939307692307</v>
      </c>
      <c r="EL153">
        <v>2.08508769230769</v>
      </c>
      <c r="EM153">
        <v>523.804384615385</v>
      </c>
      <c r="EN153">
        <v>9.70799076923077</v>
      </c>
      <c r="EO153">
        <v>1.05939923076923</v>
      </c>
      <c r="EP153">
        <v>0.872091230769231</v>
      </c>
      <c r="EQ153">
        <v>7.75995384615385</v>
      </c>
      <c r="ER153">
        <v>4.93824692307692</v>
      </c>
      <c r="ES153">
        <v>1200.00538461538</v>
      </c>
      <c r="ET153">
        <v>0.967006</v>
      </c>
      <c r="EU153">
        <v>0.0329936</v>
      </c>
      <c r="EV153">
        <v>0</v>
      </c>
      <c r="EW153">
        <v>1246.05461538462</v>
      </c>
      <c r="EX153">
        <v>5.00059</v>
      </c>
      <c r="EY153">
        <v>14739.4230769231</v>
      </c>
      <c r="EZ153">
        <v>10358.7846153846</v>
      </c>
      <c r="FA153">
        <v>38.2256923076923</v>
      </c>
      <c r="FB153">
        <v>41.0526923076923</v>
      </c>
      <c r="FC153">
        <v>38.7593846153846</v>
      </c>
      <c r="FD153">
        <v>40.9853846153846</v>
      </c>
      <c r="FE153">
        <v>39.3603076923077</v>
      </c>
      <c r="FF153">
        <v>1155.57538461538</v>
      </c>
      <c r="FG153">
        <v>39.43</v>
      </c>
      <c r="FH153">
        <v>0</v>
      </c>
      <c r="FI153">
        <v>879.800000190735</v>
      </c>
      <c r="FJ153">
        <v>0</v>
      </c>
      <c r="FK153">
        <v>1246.14230769231</v>
      </c>
      <c r="FL153">
        <v>15.5446153916027</v>
      </c>
      <c r="FM153">
        <v>202.071794880252</v>
      </c>
      <c r="FN153">
        <v>14741.6230769231</v>
      </c>
      <c r="FO153">
        <v>15</v>
      </c>
      <c r="FP153">
        <v>0</v>
      </c>
      <c r="FQ153" t="s">
        <v>439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-42.877825</v>
      </c>
      <c r="GD153">
        <v>-11.6245308270677</v>
      </c>
      <c r="GE153">
        <v>1.29505206029526</v>
      </c>
      <c r="GF153">
        <v>0</v>
      </c>
      <c r="GG153">
        <v>1245.28911764706</v>
      </c>
      <c r="GH153">
        <v>14.5009931325763</v>
      </c>
      <c r="GI153">
        <v>1.43893213600974</v>
      </c>
      <c r="GJ153">
        <v>-1</v>
      </c>
      <c r="GK153">
        <v>2.0850505</v>
      </c>
      <c r="GL153">
        <v>0.0121565413533844</v>
      </c>
      <c r="GM153">
        <v>0.00219351424659149</v>
      </c>
      <c r="GN153">
        <v>1</v>
      </c>
      <c r="GO153">
        <v>1</v>
      </c>
      <c r="GP153">
        <v>2</v>
      </c>
      <c r="GQ153" t="s">
        <v>446</v>
      </c>
      <c r="GR153">
        <v>3.13079</v>
      </c>
      <c r="GS153">
        <v>2.68645</v>
      </c>
      <c r="GT153">
        <v>0.103187</v>
      </c>
      <c r="GU153">
        <v>0.11023</v>
      </c>
      <c r="GV153">
        <v>0.061613</v>
      </c>
      <c r="GW153">
        <v>0.0528786</v>
      </c>
      <c r="GX153">
        <v>33985</v>
      </c>
      <c r="GY153">
        <v>36232.1</v>
      </c>
      <c r="GZ153">
        <v>34263.5</v>
      </c>
      <c r="HA153">
        <v>36846.5</v>
      </c>
      <c r="HB153">
        <v>45354.8</v>
      </c>
      <c r="HC153">
        <v>50043.6</v>
      </c>
      <c r="HD153">
        <v>53337.4</v>
      </c>
      <c r="HE153">
        <v>58774.2</v>
      </c>
      <c r="HF153">
        <v>2.00787</v>
      </c>
      <c r="HG153">
        <v>1.83563</v>
      </c>
      <c r="HH153">
        <v>0.00844896</v>
      </c>
      <c r="HI153">
        <v>0</v>
      </c>
      <c r="HJ153">
        <v>17.8586</v>
      </c>
      <c r="HK153">
        <v>999.9</v>
      </c>
      <c r="HL153">
        <v>26.914</v>
      </c>
      <c r="HM153">
        <v>30.484</v>
      </c>
      <c r="HN153">
        <v>13.1235</v>
      </c>
      <c r="HO153">
        <v>54.3091</v>
      </c>
      <c r="HP153">
        <v>44.4351</v>
      </c>
      <c r="HQ153">
        <v>1</v>
      </c>
      <c r="HR153">
        <v>-0.263341</v>
      </c>
      <c r="HS153">
        <v>4.62257</v>
      </c>
      <c r="HT153">
        <v>20.0773</v>
      </c>
      <c r="HU153">
        <v>5.20142</v>
      </c>
      <c r="HV153">
        <v>12.004</v>
      </c>
      <c r="HW153">
        <v>4.97545</v>
      </c>
      <c r="HX153">
        <v>3.29295</v>
      </c>
      <c r="HY153">
        <v>9999</v>
      </c>
      <c r="HZ153">
        <v>999.9</v>
      </c>
      <c r="IA153">
        <v>9999</v>
      </c>
      <c r="IB153">
        <v>9999</v>
      </c>
      <c r="IC153">
        <v>1.86324</v>
      </c>
      <c r="ID153">
        <v>1.86812</v>
      </c>
      <c r="IE153">
        <v>1.86783</v>
      </c>
      <c r="IF153">
        <v>1.86902</v>
      </c>
      <c r="IG153">
        <v>1.86981</v>
      </c>
      <c r="IH153">
        <v>1.86584</v>
      </c>
      <c r="II153">
        <v>1.86691</v>
      </c>
      <c r="IJ153">
        <v>1.8684</v>
      </c>
      <c r="IK153">
        <v>5</v>
      </c>
      <c r="IL153">
        <v>0</v>
      </c>
      <c r="IM153">
        <v>0</v>
      </c>
      <c r="IN153">
        <v>0</v>
      </c>
      <c r="IO153" t="s">
        <v>441</v>
      </c>
      <c r="IP153" t="s">
        <v>442</v>
      </c>
      <c r="IQ153" t="s">
        <v>443</v>
      </c>
      <c r="IR153" t="s">
        <v>443</v>
      </c>
      <c r="IS153" t="s">
        <v>443</v>
      </c>
      <c r="IT153" t="s">
        <v>443</v>
      </c>
      <c r="IU153">
        <v>0</v>
      </c>
      <c r="IV153">
        <v>100</v>
      </c>
      <c r="IW153">
        <v>100</v>
      </c>
      <c r="IX153">
        <v>3.211</v>
      </c>
      <c r="IY153">
        <v>-0.1114</v>
      </c>
      <c r="IZ153">
        <v>1.12474291219083</v>
      </c>
      <c r="JA153">
        <v>0.00463155566490582</v>
      </c>
      <c r="JB153">
        <v>-1.1358998729424e-06</v>
      </c>
      <c r="JC153">
        <v>3.28704272115545e-10</v>
      </c>
      <c r="JD153">
        <v>-0.0704455108513773</v>
      </c>
      <c r="JE153">
        <v>-0.0251928478371425</v>
      </c>
      <c r="JF153">
        <v>0.00225751704194564</v>
      </c>
      <c r="JG153">
        <v>-3.61734043746866e-05</v>
      </c>
      <c r="JH153">
        <v>1</v>
      </c>
      <c r="JI153">
        <v>2182</v>
      </c>
      <c r="JJ153">
        <v>0</v>
      </c>
      <c r="JK153">
        <v>24</v>
      </c>
      <c r="JL153">
        <v>29349867.1</v>
      </c>
      <c r="JM153">
        <v>29349867.1</v>
      </c>
      <c r="JN153">
        <v>1.26709</v>
      </c>
      <c r="JO153">
        <v>2.62695</v>
      </c>
      <c r="JP153">
        <v>1.54785</v>
      </c>
      <c r="JQ153">
        <v>2.31445</v>
      </c>
      <c r="JR153">
        <v>1.64673</v>
      </c>
      <c r="JS153">
        <v>2.39258</v>
      </c>
      <c r="JT153">
        <v>33.6705</v>
      </c>
      <c r="JU153">
        <v>24.1926</v>
      </c>
      <c r="JV153">
        <v>18</v>
      </c>
      <c r="JW153">
        <v>500.434</v>
      </c>
      <c r="JX153">
        <v>393.578</v>
      </c>
      <c r="JY153">
        <v>11.6515</v>
      </c>
      <c r="JZ153">
        <v>23.9738</v>
      </c>
      <c r="KA153">
        <v>29.9999</v>
      </c>
      <c r="KB153">
        <v>23.9569</v>
      </c>
      <c r="KC153">
        <v>23.9229</v>
      </c>
      <c r="KD153">
        <v>25.5053</v>
      </c>
      <c r="KE153">
        <v>10.7727</v>
      </c>
      <c r="KF153">
        <v>26.9061</v>
      </c>
      <c r="KG153">
        <v>11.6493</v>
      </c>
      <c r="KH153">
        <v>575.471</v>
      </c>
      <c r="KI153">
        <v>9.66338</v>
      </c>
      <c r="KJ153">
        <v>97.0368</v>
      </c>
      <c r="KK153">
        <v>95.2986</v>
      </c>
    </row>
    <row r="154" spans="1:297">
      <c r="A154">
        <v>138</v>
      </c>
      <c r="B154">
        <v>1760992029</v>
      </c>
      <c r="C154">
        <v>2838.90000009537</v>
      </c>
      <c r="D154" t="s">
        <v>729</v>
      </c>
      <c r="E154" t="s">
        <v>730</v>
      </c>
      <c r="F154">
        <v>5</v>
      </c>
      <c r="G154" t="s">
        <v>662</v>
      </c>
      <c r="H154" t="s">
        <v>436</v>
      </c>
      <c r="I154">
        <v>1760992020.84615</v>
      </c>
      <c r="J154">
        <f>(K154)/1000</f>
        <v>0</v>
      </c>
      <c r="K154">
        <f>IF(DP154, AN154, AH154)</f>
        <v>0</v>
      </c>
      <c r="L154">
        <f>IF(DP154, AI154, AG154)</f>
        <v>0</v>
      </c>
      <c r="M154">
        <f>DR154 - IF(AU154&gt;1, L154*DL154*100.0/(AW154), 0)</f>
        <v>0</v>
      </c>
      <c r="N154">
        <f>((T154-J154/2)*M154-L154)/(T154+J154/2)</f>
        <v>0</v>
      </c>
      <c r="O154">
        <f>N154*(DY154+DZ154)/1000.0</f>
        <v>0</v>
      </c>
      <c r="P154">
        <f>(DR154 - IF(AU154&gt;1, L154*DL154*100.0/(AW154), 0))*(DY154+DZ154)/1000.0</f>
        <v>0</v>
      </c>
      <c r="Q154">
        <f>2.0/((1/S154-1/R154)+SIGN(S154)*SQRT((1/S154-1/R154)*(1/S154-1/R154) + 4*DM154/((DM154+1)*(DM154+1))*(2*1/S154*1/R154-1/R154*1/R154)))</f>
        <v>0</v>
      </c>
      <c r="R154">
        <f>IF(LEFT(DN154,1)&lt;&gt;"0",IF(LEFT(DN154,1)="1",3.0,DO154),$D$5+$E$5*(EF154*DY154/($K$5*1000))+$F$5*(EF154*DY154/($K$5*1000))*MAX(MIN(DL154,$J$5),$I$5)*MAX(MIN(DL154,$J$5),$I$5)+$G$5*MAX(MIN(DL154,$J$5),$I$5)*(EF154*DY154/($K$5*1000))+$H$5*(EF154*DY154/($K$5*1000))*(EF154*DY154/($K$5*1000)))</f>
        <v>0</v>
      </c>
      <c r="S154">
        <f>J154*(1000-(1000*0.61365*exp(17.502*W154/(240.97+W154))/(DY154+DZ154)+DT154)/2)/(1000*0.61365*exp(17.502*W154/(240.97+W154))/(DY154+DZ154)-DT154)</f>
        <v>0</v>
      </c>
      <c r="T154">
        <f>1/((DM154+1)/(Q154/1.6)+1/(R154/1.37)) + DM154/((DM154+1)/(Q154/1.6) + DM154/(R154/1.37))</f>
        <v>0</v>
      </c>
      <c r="U154">
        <f>(DH154*DK154)</f>
        <v>0</v>
      </c>
      <c r="V154">
        <f>(EA154+(U154+2*0.95*5.67E-8*(((EA154+$B$7)+273)^4-(EA154+273)^4)-44100*J154)/(1.84*29.3*R154+8*0.95*5.67E-8*(EA154+273)^3))</f>
        <v>0</v>
      </c>
      <c r="W154">
        <f>($C$7*EB154+$D$7*EC154+$E$7*V154)</f>
        <v>0</v>
      </c>
      <c r="X154">
        <f>0.61365*exp(17.502*W154/(240.97+W154))</f>
        <v>0</v>
      </c>
      <c r="Y154">
        <f>(Z154/AA154*100)</f>
        <v>0</v>
      </c>
      <c r="Z154">
        <f>DT154*(DY154+DZ154)/1000</f>
        <v>0</v>
      </c>
      <c r="AA154">
        <f>0.61365*exp(17.502*EA154/(240.97+EA154))</f>
        <v>0</v>
      </c>
      <c r="AB154">
        <f>(X154-DT154*(DY154+DZ154)/1000)</f>
        <v>0</v>
      </c>
      <c r="AC154">
        <f>(-J154*44100)</f>
        <v>0</v>
      </c>
      <c r="AD154">
        <f>2*29.3*R154*0.92*(EA154-W154)</f>
        <v>0</v>
      </c>
      <c r="AE154">
        <f>2*0.95*5.67E-8*(((EA154+$B$7)+273)^4-(W154+273)^4)</f>
        <v>0</v>
      </c>
      <c r="AF154">
        <f>U154+AE154+AC154+AD154</f>
        <v>0</v>
      </c>
      <c r="AG154">
        <f>DX154*AU154*(DS154-DR154*(1000-AU154*DU154)/(1000-AU154*DT154))/(100*DL154)</f>
        <v>0</v>
      </c>
      <c r="AH154">
        <f>1000*DX154*AU154*(DT154-DU154)/(100*DL154*(1000-AU154*DT154))</f>
        <v>0</v>
      </c>
      <c r="AI154">
        <f>(AJ154 - AK154 - DY154*1E3/(8.314*(EA154+273.15)) * AM154/DX154 * AL154) * DX154/(100*DL154) * (1000 - DU154)/1000</f>
        <v>0</v>
      </c>
      <c r="AJ154">
        <v>561.379388714348</v>
      </c>
      <c r="AK154">
        <v>525.742878787879</v>
      </c>
      <c r="AL154">
        <v>3.21504476248855</v>
      </c>
      <c r="AM154">
        <v>65.2210784119795</v>
      </c>
      <c r="AN154">
        <f>(AP154 - AO154 + DY154*1E3/(8.314*(EA154+273.15)) * AR154/DX154 * AQ154) * DX154/(100*DL154) * 1000/(1000 - AP154)</f>
        <v>0</v>
      </c>
      <c r="AO154">
        <v>9.70456846823678</v>
      </c>
      <c r="AP154">
        <v>11.7979048484848</v>
      </c>
      <c r="AQ154">
        <v>1.08504765536365e-05</v>
      </c>
      <c r="AR154">
        <v>115.574510355221</v>
      </c>
      <c r="AS154">
        <v>0</v>
      </c>
      <c r="AT154">
        <v>0</v>
      </c>
      <c r="AU154">
        <f>IF(AS154*$H$13&gt;=AW154,1.0,(AW154/(AW154-AS154*$H$13)))</f>
        <v>0</v>
      </c>
      <c r="AV154">
        <f>(AU154-1)*100</f>
        <v>0</v>
      </c>
      <c r="AW154">
        <f>MAX(0,($B$13+$C$13*EF154)/(1+$D$13*EF154)*DY154/(EA154+273)*$E$13)</f>
        <v>0</v>
      </c>
      <c r="AX154" t="s">
        <v>437</v>
      </c>
      <c r="AY154" t="s">
        <v>437</v>
      </c>
      <c r="AZ154">
        <v>0</v>
      </c>
      <c r="BA154">
        <v>0</v>
      </c>
      <c r="BB154">
        <f>1-AZ154/BA154</f>
        <v>0</v>
      </c>
      <c r="BC154">
        <v>0</v>
      </c>
      <c r="BD154" t="s">
        <v>437</v>
      </c>
      <c r="BE154" t="s">
        <v>437</v>
      </c>
      <c r="BF154">
        <v>0</v>
      </c>
      <c r="BG154">
        <v>0</v>
      </c>
      <c r="BH154">
        <f>1-BF154/BG154</f>
        <v>0</v>
      </c>
      <c r="BI154">
        <v>0.5</v>
      </c>
      <c r="BJ154">
        <f>DI154</f>
        <v>0</v>
      </c>
      <c r="BK154">
        <f>L154</f>
        <v>0</v>
      </c>
      <c r="BL154">
        <f>BH154*BI154*BJ154</f>
        <v>0</v>
      </c>
      <c r="BM154">
        <f>(BK154-BC154)/BJ154</f>
        <v>0</v>
      </c>
      <c r="BN154">
        <f>(BA154-BG154)/BG154</f>
        <v>0</v>
      </c>
      <c r="BO154">
        <f>AZ154/(BB154+AZ154/BG154)</f>
        <v>0</v>
      </c>
      <c r="BP154" t="s">
        <v>437</v>
      </c>
      <c r="BQ154">
        <v>0</v>
      </c>
      <c r="BR154">
        <f>IF(BQ154&lt;&gt;0, BQ154, BO154)</f>
        <v>0</v>
      </c>
      <c r="BS154">
        <f>1-BR154/BG154</f>
        <v>0</v>
      </c>
      <c r="BT154">
        <f>(BG154-BF154)/(BG154-BR154)</f>
        <v>0</v>
      </c>
      <c r="BU154">
        <f>(BA154-BG154)/(BA154-BR154)</f>
        <v>0</v>
      </c>
      <c r="BV154">
        <f>(BG154-BF154)/(BG154-AZ154)</f>
        <v>0</v>
      </c>
      <c r="BW154">
        <f>(BA154-BG154)/(BA154-AZ154)</f>
        <v>0</v>
      </c>
      <c r="BX154">
        <f>(BT154*BR154/BF154)</f>
        <v>0</v>
      </c>
      <c r="BY154">
        <f>(1-BX154)</f>
        <v>0</v>
      </c>
      <c r="BZ154">
        <v>282</v>
      </c>
      <c r="CA154">
        <v>290</v>
      </c>
      <c r="CB154">
        <v>1577.74</v>
      </c>
      <c r="CC154">
        <v>295</v>
      </c>
      <c r="CD154">
        <v>5140.93</v>
      </c>
      <c r="CE154">
        <v>1578.58</v>
      </c>
      <c r="CF154">
        <v>-0.84</v>
      </c>
      <c r="CG154">
        <v>300</v>
      </c>
      <c r="CH154">
        <v>23.8</v>
      </c>
      <c r="CI154">
        <v>1633.28263291266</v>
      </c>
      <c r="CJ154">
        <v>1.49577129053257</v>
      </c>
      <c r="CK154">
        <v>-28.1203876934379</v>
      </c>
      <c r="CL154">
        <v>0.666413418688897</v>
      </c>
      <c r="CM154">
        <v>0.984518017981194</v>
      </c>
      <c r="CN154">
        <v>-0.00424727541713014</v>
      </c>
      <c r="CO154">
        <v>290</v>
      </c>
      <c r="CP154">
        <v>1576.56</v>
      </c>
      <c r="CQ154">
        <v>775</v>
      </c>
      <c r="CR154">
        <v>5139.5</v>
      </c>
      <c r="CS154">
        <v>1578.57</v>
      </c>
      <c r="CT154">
        <v>-2.01</v>
      </c>
      <c r="DH154">
        <f>$B$11*EG154+$C$11*EH154+$F$11*ES154*(1-EV154)</f>
        <v>0</v>
      </c>
      <c r="DI154">
        <f>DH154*DJ154</f>
        <v>0</v>
      </c>
      <c r="DJ154">
        <f>($B$11*$D$9+$C$11*$D$9+$F$11*((FF154+EX154)/MAX(FF154+EX154+FG154, 0.1)*$I$9+FG154/MAX(FF154+EX154+FG154, 0.1)*$J$9))/($B$11+$C$11+$F$11)</f>
        <v>0</v>
      </c>
      <c r="DK154">
        <f>($B$11*$K$9+$C$11*$K$9+$F$11*((FF154+EX154)/MAX(FF154+EX154+FG154, 0.1)*$P$9+FG154/MAX(FF154+EX154+FG154, 0.1)*$Q$9))/($B$11+$C$11+$F$11)</f>
        <v>0</v>
      </c>
      <c r="DL154">
        <v>6</v>
      </c>
      <c r="DM154">
        <v>0.5</v>
      </c>
      <c r="DN154" t="s">
        <v>438</v>
      </c>
      <c r="DO154">
        <v>2</v>
      </c>
      <c r="DP154" t="b">
        <v>1</v>
      </c>
      <c r="DQ154">
        <v>1760992020.84615</v>
      </c>
      <c r="DR154">
        <v>496.492615384615</v>
      </c>
      <c r="DS154">
        <v>540.212</v>
      </c>
      <c r="DT154">
        <v>11.7947153846154</v>
      </c>
      <c r="DU154">
        <v>9.70651384615385</v>
      </c>
      <c r="DV154">
        <v>493.320076923077</v>
      </c>
      <c r="DW154">
        <v>11.9061615384615</v>
      </c>
      <c r="DX154">
        <v>500.013846153846</v>
      </c>
      <c r="DY154">
        <v>89.8335</v>
      </c>
      <c r="DZ154">
        <v>0.00847734461538461</v>
      </c>
      <c r="EA154">
        <v>18.3728923076923</v>
      </c>
      <c r="EB154">
        <v>18.0028461538462</v>
      </c>
      <c r="EC154">
        <v>999.9</v>
      </c>
      <c r="ED154">
        <v>0</v>
      </c>
      <c r="EE154">
        <v>0</v>
      </c>
      <c r="EF154">
        <v>10011.8715384615</v>
      </c>
      <c r="EG154">
        <v>0</v>
      </c>
      <c r="EH154">
        <v>1278.76153846154</v>
      </c>
      <c r="EI154">
        <v>-43.7195153846154</v>
      </c>
      <c r="EJ154">
        <v>502.418538461538</v>
      </c>
      <c r="EK154">
        <v>545.507</v>
      </c>
      <c r="EL154">
        <v>2.08820615384615</v>
      </c>
      <c r="EM154">
        <v>540.212</v>
      </c>
      <c r="EN154">
        <v>9.70651384615385</v>
      </c>
      <c r="EO154">
        <v>1.05956076923077</v>
      </c>
      <c r="EP154">
        <v>0.87197</v>
      </c>
      <c r="EQ154">
        <v>7.76218692307692</v>
      </c>
      <c r="ER154">
        <v>4.93625461538462</v>
      </c>
      <c r="ES154">
        <v>1199.97846153846</v>
      </c>
      <c r="ET154">
        <v>0.967006</v>
      </c>
      <c r="EU154">
        <v>0.0329936</v>
      </c>
      <c r="EV154">
        <v>0</v>
      </c>
      <c r="EW154">
        <v>1247.36615384615</v>
      </c>
      <c r="EX154">
        <v>5.00059</v>
      </c>
      <c r="EY154">
        <v>14757.0769230769</v>
      </c>
      <c r="EZ154">
        <v>10358.5384615385</v>
      </c>
      <c r="FA154">
        <v>38.2882307692308</v>
      </c>
      <c r="FB154">
        <v>41.1247692307692</v>
      </c>
      <c r="FC154">
        <v>38.822</v>
      </c>
      <c r="FD154">
        <v>41.0959230769231</v>
      </c>
      <c r="FE154">
        <v>39.4276923076923</v>
      </c>
      <c r="FF154">
        <v>1155.54846153846</v>
      </c>
      <c r="FG154">
        <v>39.43</v>
      </c>
      <c r="FH154">
        <v>0</v>
      </c>
      <c r="FI154">
        <v>884.600000143051</v>
      </c>
      <c r="FJ154">
        <v>0</v>
      </c>
      <c r="FK154">
        <v>1247.40192307692</v>
      </c>
      <c r="FL154">
        <v>16.0523077071536</v>
      </c>
      <c r="FM154">
        <v>218.786324936344</v>
      </c>
      <c r="FN154">
        <v>14758.4961538462</v>
      </c>
      <c r="FO154">
        <v>15</v>
      </c>
      <c r="FP154">
        <v>0</v>
      </c>
      <c r="FQ154" t="s">
        <v>439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-43.5401142857143</v>
      </c>
      <c r="GD154">
        <v>-5.66587012987018</v>
      </c>
      <c r="GE154">
        <v>0.822320549991775</v>
      </c>
      <c r="GF154">
        <v>0</v>
      </c>
      <c r="GG154">
        <v>1246.63294117647</v>
      </c>
      <c r="GH154">
        <v>15.5364400384027</v>
      </c>
      <c r="GI154">
        <v>1.54040011878457</v>
      </c>
      <c r="GJ154">
        <v>-1</v>
      </c>
      <c r="GK154">
        <v>2.08662666666667</v>
      </c>
      <c r="GL154">
        <v>0.035239480519483</v>
      </c>
      <c r="GM154">
        <v>0.00372195843651894</v>
      </c>
      <c r="GN154">
        <v>1</v>
      </c>
      <c r="GO154">
        <v>1</v>
      </c>
      <c r="GP154">
        <v>2</v>
      </c>
      <c r="GQ154" t="s">
        <v>446</v>
      </c>
      <c r="GR154">
        <v>3.13082</v>
      </c>
      <c r="GS154">
        <v>2.68688</v>
      </c>
      <c r="GT154">
        <v>0.105573</v>
      </c>
      <c r="GU154">
        <v>0.112698</v>
      </c>
      <c r="GV154">
        <v>0.0616229</v>
      </c>
      <c r="GW154">
        <v>0.0528768</v>
      </c>
      <c r="GX154">
        <v>33894.7</v>
      </c>
      <c r="GY154">
        <v>36131.9</v>
      </c>
      <c r="GZ154">
        <v>34263.7</v>
      </c>
      <c r="HA154">
        <v>36846.8</v>
      </c>
      <c r="HB154">
        <v>45354.7</v>
      </c>
      <c r="HC154">
        <v>50044.1</v>
      </c>
      <c r="HD154">
        <v>53337.6</v>
      </c>
      <c r="HE154">
        <v>58774.4</v>
      </c>
      <c r="HF154">
        <v>2.00775</v>
      </c>
      <c r="HG154">
        <v>1.8355</v>
      </c>
      <c r="HH154">
        <v>0.00864267</v>
      </c>
      <c r="HI154">
        <v>0</v>
      </c>
      <c r="HJ154">
        <v>17.8586</v>
      </c>
      <c r="HK154">
        <v>999.9</v>
      </c>
      <c r="HL154">
        <v>26.914</v>
      </c>
      <c r="HM154">
        <v>30.464</v>
      </c>
      <c r="HN154">
        <v>13.1064</v>
      </c>
      <c r="HO154">
        <v>54.6491</v>
      </c>
      <c r="HP154">
        <v>44.399</v>
      </c>
      <c r="HQ154">
        <v>1</v>
      </c>
      <c r="HR154">
        <v>-0.262894</v>
      </c>
      <c r="HS154">
        <v>4.61736</v>
      </c>
      <c r="HT154">
        <v>20.0776</v>
      </c>
      <c r="HU154">
        <v>5.20217</v>
      </c>
      <c r="HV154">
        <v>12.004</v>
      </c>
      <c r="HW154">
        <v>4.9757</v>
      </c>
      <c r="HX154">
        <v>3.29295</v>
      </c>
      <c r="HY154">
        <v>9999</v>
      </c>
      <c r="HZ154">
        <v>999.9</v>
      </c>
      <c r="IA154">
        <v>9999</v>
      </c>
      <c r="IB154">
        <v>9999</v>
      </c>
      <c r="IC154">
        <v>1.86325</v>
      </c>
      <c r="ID154">
        <v>1.8681</v>
      </c>
      <c r="IE154">
        <v>1.86783</v>
      </c>
      <c r="IF154">
        <v>1.86904</v>
      </c>
      <c r="IG154">
        <v>1.86981</v>
      </c>
      <c r="IH154">
        <v>1.86585</v>
      </c>
      <c r="II154">
        <v>1.86691</v>
      </c>
      <c r="IJ154">
        <v>1.86839</v>
      </c>
      <c r="IK154">
        <v>5</v>
      </c>
      <c r="IL154">
        <v>0</v>
      </c>
      <c r="IM154">
        <v>0</v>
      </c>
      <c r="IN154">
        <v>0</v>
      </c>
      <c r="IO154" t="s">
        <v>441</v>
      </c>
      <c r="IP154" t="s">
        <v>442</v>
      </c>
      <c r="IQ154" t="s">
        <v>443</v>
      </c>
      <c r="IR154" t="s">
        <v>443</v>
      </c>
      <c r="IS154" t="s">
        <v>443</v>
      </c>
      <c r="IT154" t="s">
        <v>443</v>
      </c>
      <c r="IU154">
        <v>0</v>
      </c>
      <c r="IV154">
        <v>100</v>
      </c>
      <c r="IW154">
        <v>100</v>
      </c>
      <c r="IX154">
        <v>3.27</v>
      </c>
      <c r="IY154">
        <v>-0.1114</v>
      </c>
      <c r="IZ154">
        <v>1.12474291219083</v>
      </c>
      <c r="JA154">
        <v>0.00463155566490582</v>
      </c>
      <c r="JB154">
        <v>-1.1358998729424e-06</v>
      </c>
      <c r="JC154">
        <v>3.28704272115545e-10</v>
      </c>
      <c r="JD154">
        <v>-0.0704455108513773</v>
      </c>
      <c r="JE154">
        <v>-0.0251928478371425</v>
      </c>
      <c r="JF154">
        <v>0.00225751704194564</v>
      </c>
      <c r="JG154">
        <v>-3.61734043746866e-05</v>
      </c>
      <c r="JH154">
        <v>1</v>
      </c>
      <c r="JI154">
        <v>2182</v>
      </c>
      <c r="JJ154">
        <v>0</v>
      </c>
      <c r="JK154">
        <v>24</v>
      </c>
      <c r="JL154">
        <v>29349867.1</v>
      </c>
      <c r="JM154">
        <v>29349867.1</v>
      </c>
      <c r="JN154">
        <v>1.30127</v>
      </c>
      <c r="JO154">
        <v>2.63184</v>
      </c>
      <c r="JP154">
        <v>1.54785</v>
      </c>
      <c r="JQ154">
        <v>2.31445</v>
      </c>
      <c r="JR154">
        <v>1.64673</v>
      </c>
      <c r="JS154">
        <v>2.40723</v>
      </c>
      <c r="JT154">
        <v>33.6705</v>
      </c>
      <c r="JU154">
        <v>24.1926</v>
      </c>
      <c r="JV154">
        <v>18</v>
      </c>
      <c r="JW154">
        <v>500.354</v>
      </c>
      <c r="JX154">
        <v>393.519</v>
      </c>
      <c r="JY154">
        <v>11.6488</v>
      </c>
      <c r="JZ154">
        <v>23.9752</v>
      </c>
      <c r="KA154">
        <v>30.0002</v>
      </c>
      <c r="KB154">
        <v>23.9569</v>
      </c>
      <c r="KC154">
        <v>23.9239</v>
      </c>
      <c r="KD154">
        <v>26.1258</v>
      </c>
      <c r="KE154">
        <v>10.7727</v>
      </c>
      <c r="KF154">
        <v>26.9061</v>
      </c>
      <c r="KG154">
        <v>11.6524</v>
      </c>
      <c r="KH154">
        <v>589.031</v>
      </c>
      <c r="KI154">
        <v>9.66338</v>
      </c>
      <c r="KJ154">
        <v>97.0372</v>
      </c>
      <c r="KK154">
        <v>95.299</v>
      </c>
    </row>
    <row r="155" spans="1:297">
      <c r="A155">
        <v>139</v>
      </c>
      <c r="B155">
        <v>1760992034.1</v>
      </c>
      <c r="C155">
        <v>2844</v>
      </c>
      <c r="D155" t="s">
        <v>731</v>
      </c>
      <c r="E155" t="s">
        <v>732</v>
      </c>
      <c r="F155">
        <v>5</v>
      </c>
      <c r="G155" t="s">
        <v>662</v>
      </c>
      <c r="H155" t="s">
        <v>436</v>
      </c>
      <c r="I155">
        <v>1760992026.8</v>
      </c>
      <c r="J155">
        <f>(K155)/1000</f>
        <v>0</v>
      </c>
      <c r="K155">
        <f>IF(DP155, AN155, AH155)</f>
        <v>0</v>
      </c>
      <c r="L155">
        <f>IF(DP155, AI155, AG155)</f>
        <v>0</v>
      </c>
      <c r="M155">
        <f>DR155 - IF(AU155&gt;1, L155*DL155*100.0/(AW155), 0)</f>
        <v>0</v>
      </c>
      <c r="N155">
        <f>((T155-J155/2)*M155-L155)/(T155+J155/2)</f>
        <v>0</v>
      </c>
      <c r="O155">
        <f>N155*(DY155+DZ155)/1000.0</f>
        <v>0</v>
      </c>
      <c r="P155">
        <f>(DR155 - IF(AU155&gt;1, L155*DL155*100.0/(AW155), 0))*(DY155+DZ155)/1000.0</f>
        <v>0</v>
      </c>
      <c r="Q155">
        <f>2.0/((1/S155-1/R155)+SIGN(S155)*SQRT((1/S155-1/R155)*(1/S155-1/R155) + 4*DM155/((DM155+1)*(DM155+1))*(2*1/S155*1/R155-1/R155*1/R155)))</f>
        <v>0</v>
      </c>
      <c r="R155">
        <f>IF(LEFT(DN155,1)&lt;&gt;"0",IF(LEFT(DN155,1)="1",3.0,DO155),$D$5+$E$5*(EF155*DY155/($K$5*1000))+$F$5*(EF155*DY155/($K$5*1000))*MAX(MIN(DL155,$J$5),$I$5)*MAX(MIN(DL155,$J$5),$I$5)+$G$5*MAX(MIN(DL155,$J$5),$I$5)*(EF155*DY155/($K$5*1000))+$H$5*(EF155*DY155/($K$5*1000))*(EF155*DY155/($K$5*1000)))</f>
        <v>0</v>
      </c>
      <c r="S155">
        <f>J155*(1000-(1000*0.61365*exp(17.502*W155/(240.97+W155))/(DY155+DZ155)+DT155)/2)/(1000*0.61365*exp(17.502*W155/(240.97+W155))/(DY155+DZ155)-DT155)</f>
        <v>0</v>
      </c>
      <c r="T155">
        <f>1/((DM155+1)/(Q155/1.6)+1/(R155/1.37)) + DM155/((DM155+1)/(Q155/1.6) + DM155/(R155/1.37))</f>
        <v>0</v>
      </c>
      <c r="U155">
        <f>(DH155*DK155)</f>
        <v>0</v>
      </c>
      <c r="V155">
        <f>(EA155+(U155+2*0.95*5.67E-8*(((EA155+$B$7)+273)^4-(EA155+273)^4)-44100*J155)/(1.84*29.3*R155+8*0.95*5.67E-8*(EA155+273)^3))</f>
        <v>0</v>
      </c>
      <c r="W155">
        <f>($C$7*EB155+$D$7*EC155+$E$7*V155)</f>
        <v>0</v>
      </c>
      <c r="X155">
        <f>0.61365*exp(17.502*W155/(240.97+W155))</f>
        <v>0</v>
      </c>
      <c r="Y155">
        <f>(Z155/AA155*100)</f>
        <v>0</v>
      </c>
      <c r="Z155">
        <f>DT155*(DY155+DZ155)/1000</f>
        <v>0</v>
      </c>
      <c r="AA155">
        <f>0.61365*exp(17.502*EA155/(240.97+EA155))</f>
        <v>0</v>
      </c>
      <c r="AB155">
        <f>(X155-DT155*(DY155+DZ155)/1000)</f>
        <v>0</v>
      </c>
      <c r="AC155">
        <f>(-J155*44100)</f>
        <v>0</v>
      </c>
      <c r="AD155">
        <f>2*29.3*R155*0.92*(EA155-W155)</f>
        <v>0</v>
      </c>
      <c r="AE155">
        <f>2*0.95*5.67E-8*(((EA155+$B$7)+273)^4-(W155+273)^4)</f>
        <v>0</v>
      </c>
      <c r="AF155">
        <f>U155+AE155+AC155+AD155</f>
        <v>0</v>
      </c>
      <c r="AG155">
        <f>DX155*AU155*(DS155-DR155*(1000-AU155*DU155)/(1000-AU155*DT155))/(100*DL155)</f>
        <v>0</v>
      </c>
      <c r="AH155">
        <f>1000*DX155*AU155*(DT155-DU155)/(100*DL155*(1000-AU155*DT155))</f>
        <v>0</v>
      </c>
      <c r="AI155">
        <f>(AJ155 - AK155 - DY155*1E3/(8.314*(EA155+273.15)) * AM155/DX155 * AL155) * DX155/(100*DL155) * (1000 - DU155)/1000</f>
        <v>0</v>
      </c>
      <c r="AJ155">
        <v>579.809726438565</v>
      </c>
      <c r="AK155">
        <v>543.142761370769</v>
      </c>
      <c r="AL155">
        <v>3.43539497662834</v>
      </c>
      <c r="AM155">
        <v>65.2210784119795</v>
      </c>
      <c r="AN155">
        <f>(AP155 - AO155 + DY155*1E3/(8.314*(EA155+273.15)) * AR155/DX155 * AQ155) * DX155/(100*DL155) * 1000/(1000 - AP155)</f>
        <v>0</v>
      </c>
      <c r="AO155">
        <v>9.70485077455271</v>
      </c>
      <c r="AP155">
        <v>11.7975672795233</v>
      </c>
      <c r="AQ155">
        <v>-6.20781464738456e-06</v>
      </c>
      <c r="AR155">
        <v>115.574510355221</v>
      </c>
      <c r="AS155">
        <v>0</v>
      </c>
      <c r="AT155">
        <v>0</v>
      </c>
      <c r="AU155">
        <f>IF(AS155*$H$13&gt;=AW155,1.0,(AW155/(AW155-AS155*$H$13)))</f>
        <v>0</v>
      </c>
      <c r="AV155">
        <f>(AU155-1)*100</f>
        <v>0</v>
      </c>
      <c r="AW155">
        <f>MAX(0,($B$13+$C$13*EF155)/(1+$D$13*EF155)*DY155/(EA155+273)*$E$13)</f>
        <v>0</v>
      </c>
      <c r="AX155" t="s">
        <v>437</v>
      </c>
      <c r="AY155" t="s">
        <v>437</v>
      </c>
      <c r="AZ155">
        <v>0</v>
      </c>
      <c r="BA155">
        <v>0</v>
      </c>
      <c r="BB155">
        <f>1-AZ155/BA155</f>
        <v>0</v>
      </c>
      <c r="BC155">
        <v>0</v>
      </c>
      <c r="BD155" t="s">
        <v>437</v>
      </c>
      <c r="BE155" t="s">
        <v>437</v>
      </c>
      <c r="BF155">
        <v>0</v>
      </c>
      <c r="BG155">
        <v>0</v>
      </c>
      <c r="BH155">
        <f>1-BF155/BG155</f>
        <v>0</v>
      </c>
      <c r="BI155">
        <v>0.5</v>
      </c>
      <c r="BJ155">
        <f>DI155</f>
        <v>0</v>
      </c>
      <c r="BK155">
        <f>L155</f>
        <v>0</v>
      </c>
      <c r="BL155">
        <f>BH155*BI155*BJ155</f>
        <v>0</v>
      </c>
      <c r="BM155">
        <f>(BK155-BC155)/BJ155</f>
        <v>0</v>
      </c>
      <c r="BN155">
        <f>(BA155-BG155)/BG155</f>
        <v>0</v>
      </c>
      <c r="BO155">
        <f>AZ155/(BB155+AZ155/BG155)</f>
        <v>0</v>
      </c>
      <c r="BP155" t="s">
        <v>437</v>
      </c>
      <c r="BQ155">
        <v>0</v>
      </c>
      <c r="BR155">
        <f>IF(BQ155&lt;&gt;0, BQ155, BO155)</f>
        <v>0</v>
      </c>
      <c r="BS155">
        <f>1-BR155/BG155</f>
        <v>0</v>
      </c>
      <c r="BT155">
        <f>(BG155-BF155)/(BG155-BR155)</f>
        <v>0</v>
      </c>
      <c r="BU155">
        <f>(BA155-BG155)/(BA155-BR155)</f>
        <v>0</v>
      </c>
      <c r="BV155">
        <f>(BG155-BF155)/(BG155-AZ155)</f>
        <v>0</v>
      </c>
      <c r="BW155">
        <f>(BA155-BG155)/(BA155-AZ155)</f>
        <v>0</v>
      </c>
      <c r="BX155">
        <f>(BT155*BR155/BF155)</f>
        <v>0</v>
      </c>
      <c r="BY155">
        <f>(1-BX155)</f>
        <v>0</v>
      </c>
      <c r="BZ155">
        <v>282</v>
      </c>
      <c r="CA155">
        <v>290</v>
      </c>
      <c r="CB155">
        <v>1577.74</v>
      </c>
      <c r="CC155">
        <v>295</v>
      </c>
      <c r="CD155">
        <v>5140.93</v>
      </c>
      <c r="CE155">
        <v>1578.58</v>
      </c>
      <c r="CF155">
        <v>-0.84</v>
      </c>
      <c r="CG155">
        <v>300</v>
      </c>
      <c r="CH155">
        <v>23.8</v>
      </c>
      <c r="CI155">
        <v>1633.28263291266</v>
      </c>
      <c r="CJ155">
        <v>1.49577129053257</v>
      </c>
      <c r="CK155">
        <v>-28.1203876934379</v>
      </c>
      <c r="CL155">
        <v>0.666413418688897</v>
      </c>
      <c r="CM155">
        <v>0.984518017981194</v>
      </c>
      <c r="CN155">
        <v>-0.00424727541713014</v>
      </c>
      <c r="CO155">
        <v>290</v>
      </c>
      <c r="CP155">
        <v>1576.56</v>
      </c>
      <c r="CQ155">
        <v>775</v>
      </c>
      <c r="CR155">
        <v>5139.5</v>
      </c>
      <c r="CS155">
        <v>1578.57</v>
      </c>
      <c r="CT155">
        <v>-2.01</v>
      </c>
      <c r="DH155">
        <f>$B$11*EG155+$C$11*EH155+$F$11*ES155*(1-EV155)</f>
        <v>0</v>
      </c>
      <c r="DI155">
        <f>DH155*DJ155</f>
        <v>0</v>
      </c>
      <c r="DJ155">
        <f>($B$11*$D$9+$C$11*$D$9+$F$11*((FF155+EX155)/MAX(FF155+EX155+FG155, 0.1)*$I$9+FG155/MAX(FF155+EX155+FG155, 0.1)*$J$9))/($B$11+$C$11+$F$11)</f>
        <v>0</v>
      </c>
      <c r="DK155">
        <f>($B$11*$K$9+$C$11*$K$9+$F$11*((FF155+EX155)/MAX(FF155+EX155+FG155, 0.1)*$P$9+FG155/MAX(FF155+EX155+FG155, 0.1)*$Q$9))/($B$11+$C$11+$F$11)</f>
        <v>0</v>
      </c>
      <c r="DL155">
        <v>6</v>
      </c>
      <c r="DM155">
        <v>0.5</v>
      </c>
      <c r="DN155" t="s">
        <v>438</v>
      </c>
      <c r="DO155">
        <v>2</v>
      </c>
      <c r="DP155" t="b">
        <v>1</v>
      </c>
      <c r="DQ155">
        <v>1760992026.8</v>
      </c>
      <c r="DR155">
        <v>515.840461538462</v>
      </c>
      <c r="DS155">
        <v>560.704461538462</v>
      </c>
      <c r="DT155">
        <v>11.7968615384615</v>
      </c>
      <c r="DU155">
        <v>9.70549846153846</v>
      </c>
      <c r="DV155">
        <v>512.595846153846</v>
      </c>
      <c r="DW155">
        <v>11.9082692307692</v>
      </c>
      <c r="DX155">
        <v>499.981307692308</v>
      </c>
      <c r="DY155">
        <v>89.835</v>
      </c>
      <c r="DZ155">
        <v>0.00867994769230769</v>
      </c>
      <c r="EA155">
        <v>18.3742230769231</v>
      </c>
      <c r="EB155">
        <v>18.0008538461538</v>
      </c>
      <c r="EC155">
        <v>999.9</v>
      </c>
      <c r="ED155">
        <v>0</v>
      </c>
      <c r="EE155">
        <v>0</v>
      </c>
      <c r="EF155">
        <v>10009.4692307692</v>
      </c>
      <c r="EG155">
        <v>0</v>
      </c>
      <c r="EH155">
        <v>1278.75615384615</v>
      </c>
      <c r="EI155">
        <v>-44.8640615384615</v>
      </c>
      <c r="EJ155">
        <v>521.998307692308</v>
      </c>
      <c r="EK155">
        <v>566.199615384615</v>
      </c>
      <c r="EL155">
        <v>2.09136769230769</v>
      </c>
      <c r="EM155">
        <v>560.704461538462</v>
      </c>
      <c r="EN155">
        <v>9.70549846153846</v>
      </c>
      <c r="EO155">
        <v>1.05977076923077</v>
      </c>
      <c r="EP155">
        <v>0.871893384615385</v>
      </c>
      <c r="EQ155">
        <v>7.76510153846154</v>
      </c>
      <c r="ER155">
        <v>4.93499384615385</v>
      </c>
      <c r="ES155">
        <v>1199.97076923077</v>
      </c>
      <c r="ET155">
        <v>0.967006692307692</v>
      </c>
      <c r="EU155">
        <v>0.0329929461538462</v>
      </c>
      <c r="EV155">
        <v>0</v>
      </c>
      <c r="EW155">
        <v>1249.04384615385</v>
      </c>
      <c r="EX155">
        <v>5.00059</v>
      </c>
      <c r="EY155">
        <v>14779.6846153846</v>
      </c>
      <c r="EZ155">
        <v>10358.5</v>
      </c>
      <c r="FA155">
        <v>38.3698461538462</v>
      </c>
      <c r="FB155">
        <v>41.2161538461539</v>
      </c>
      <c r="FC155">
        <v>38.8987692307692</v>
      </c>
      <c r="FD155">
        <v>41.2113076923077</v>
      </c>
      <c r="FE155">
        <v>39.5044615384615</v>
      </c>
      <c r="FF155">
        <v>1155.54076923077</v>
      </c>
      <c r="FG155">
        <v>39.4284615384615</v>
      </c>
      <c r="FH155">
        <v>0</v>
      </c>
      <c r="FI155">
        <v>890</v>
      </c>
      <c r="FJ155">
        <v>0</v>
      </c>
      <c r="FK155">
        <v>1249.0528</v>
      </c>
      <c r="FL155">
        <v>16.9338461576775</v>
      </c>
      <c r="FM155">
        <v>242.353846512575</v>
      </c>
      <c r="FN155">
        <v>14780.364</v>
      </c>
      <c r="FO155">
        <v>15</v>
      </c>
      <c r="FP155">
        <v>0</v>
      </c>
      <c r="FQ155" t="s">
        <v>439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-44.1633142857143</v>
      </c>
      <c r="GD155">
        <v>-9.94162012607432</v>
      </c>
      <c r="GE155">
        <v>1.13386089021861</v>
      </c>
      <c r="GF155">
        <v>0</v>
      </c>
      <c r="GG155">
        <v>1247.77764705882</v>
      </c>
      <c r="GH155">
        <v>16.8381970955042</v>
      </c>
      <c r="GI155">
        <v>1.66824327966229</v>
      </c>
      <c r="GJ155">
        <v>-1</v>
      </c>
      <c r="GK155">
        <v>2.08912428571429</v>
      </c>
      <c r="GL155">
        <v>0.0361600473772671</v>
      </c>
      <c r="GM155">
        <v>0.00363757450773447</v>
      </c>
      <c r="GN155">
        <v>1</v>
      </c>
      <c r="GO155">
        <v>1</v>
      </c>
      <c r="GP155">
        <v>2</v>
      </c>
      <c r="GQ155" t="s">
        <v>446</v>
      </c>
      <c r="GR155">
        <v>3.1308</v>
      </c>
      <c r="GS155">
        <v>2.6869</v>
      </c>
      <c r="GT155">
        <v>0.108101</v>
      </c>
      <c r="GU155">
        <v>0.115067</v>
      </c>
      <c r="GV155">
        <v>0.0616233</v>
      </c>
      <c r="GW155">
        <v>0.0528756</v>
      </c>
      <c r="GX155">
        <v>33798.7</v>
      </c>
      <c r="GY155">
        <v>36035.4</v>
      </c>
      <c r="GZ155">
        <v>34263.4</v>
      </c>
      <c r="HA155">
        <v>36846.7</v>
      </c>
      <c r="HB155">
        <v>45354.5</v>
      </c>
      <c r="HC155">
        <v>50044.7</v>
      </c>
      <c r="HD155">
        <v>53337</v>
      </c>
      <c r="HE155">
        <v>58774.6</v>
      </c>
      <c r="HF155">
        <v>2.00833</v>
      </c>
      <c r="HG155">
        <v>1.83547</v>
      </c>
      <c r="HH155">
        <v>0.00859424</v>
      </c>
      <c r="HI155">
        <v>0</v>
      </c>
      <c r="HJ155">
        <v>17.8586</v>
      </c>
      <c r="HK155">
        <v>999.9</v>
      </c>
      <c r="HL155">
        <v>26.914</v>
      </c>
      <c r="HM155">
        <v>30.464</v>
      </c>
      <c r="HN155">
        <v>13.1076</v>
      </c>
      <c r="HO155">
        <v>54.2828</v>
      </c>
      <c r="HP155">
        <v>44.2829</v>
      </c>
      <c r="HQ155">
        <v>1</v>
      </c>
      <c r="HR155">
        <v>-0.262894</v>
      </c>
      <c r="HS155">
        <v>4.61267</v>
      </c>
      <c r="HT155">
        <v>20.0777</v>
      </c>
      <c r="HU155">
        <v>5.20172</v>
      </c>
      <c r="HV155">
        <v>12.004</v>
      </c>
      <c r="HW155">
        <v>4.9756</v>
      </c>
      <c r="HX155">
        <v>3.2929</v>
      </c>
      <c r="HY155">
        <v>9999</v>
      </c>
      <c r="HZ155">
        <v>999.9</v>
      </c>
      <c r="IA155">
        <v>9999</v>
      </c>
      <c r="IB155">
        <v>9999</v>
      </c>
      <c r="IC155">
        <v>1.86324</v>
      </c>
      <c r="ID155">
        <v>1.86811</v>
      </c>
      <c r="IE155">
        <v>1.86783</v>
      </c>
      <c r="IF155">
        <v>1.86904</v>
      </c>
      <c r="IG155">
        <v>1.86981</v>
      </c>
      <c r="IH155">
        <v>1.86584</v>
      </c>
      <c r="II155">
        <v>1.86691</v>
      </c>
      <c r="IJ155">
        <v>1.86839</v>
      </c>
      <c r="IK155">
        <v>5</v>
      </c>
      <c r="IL155">
        <v>0</v>
      </c>
      <c r="IM155">
        <v>0</v>
      </c>
      <c r="IN155">
        <v>0</v>
      </c>
      <c r="IO155" t="s">
        <v>441</v>
      </c>
      <c r="IP155" t="s">
        <v>442</v>
      </c>
      <c r="IQ155" t="s">
        <v>443</v>
      </c>
      <c r="IR155" t="s">
        <v>443</v>
      </c>
      <c r="IS155" t="s">
        <v>443</v>
      </c>
      <c r="IT155" t="s">
        <v>443</v>
      </c>
      <c r="IU155">
        <v>0</v>
      </c>
      <c r="IV155">
        <v>100</v>
      </c>
      <c r="IW155">
        <v>100</v>
      </c>
      <c r="IX155">
        <v>3.334</v>
      </c>
      <c r="IY155">
        <v>-0.1114</v>
      </c>
      <c r="IZ155">
        <v>1.12474291219083</v>
      </c>
      <c r="JA155">
        <v>0.00463155566490582</v>
      </c>
      <c r="JB155">
        <v>-1.1358998729424e-06</v>
      </c>
      <c r="JC155">
        <v>3.28704272115545e-10</v>
      </c>
      <c r="JD155">
        <v>-0.0704455108513773</v>
      </c>
      <c r="JE155">
        <v>-0.0251928478371425</v>
      </c>
      <c r="JF155">
        <v>0.00225751704194564</v>
      </c>
      <c r="JG155">
        <v>-3.61734043746866e-05</v>
      </c>
      <c r="JH155">
        <v>1</v>
      </c>
      <c r="JI155">
        <v>2182</v>
      </c>
      <c r="JJ155">
        <v>0</v>
      </c>
      <c r="JK155">
        <v>24</v>
      </c>
      <c r="JL155">
        <v>29349867.2</v>
      </c>
      <c r="JM155">
        <v>29349867.2</v>
      </c>
      <c r="JN155">
        <v>1.3269</v>
      </c>
      <c r="JO155">
        <v>2.62329</v>
      </c>
      <c r="JP155">
        <v>1.54785</v>
      </c>
      <c r="JQ155">
        <v>2.31323</v>
      </c>
      <c r="JR155">
        <v>1.64673</v>
      </c>
      <c r="JS155">
        <v>2.40234</v>
      </c>
      <c r="JT155">
        <v>33.6705</v>
      </c>
      <c r="JU155">
        <v>24.1838</v>
      </c>
      <c r="JV155">
        <v>18</v>
      </c>
      <c r="JW155">
        <v>500.727</v>
      </c>
      <c r="JX155">
        <v>393.514</v>
      </c>
      <c r="JY155">
        <v>11.651</v>
      </c>
      <c r="JZ155">
        <v>23.9752</v>
      </c>
      <c r="KA155">
        <v>30.0002</v>
      </c>
      <c r="KB155">
        <v>23.9575</v>
      </c>
      <c r="KC155">
        <v>23.9249</v>
      </c>
      <c r="KD155">
        <v>26.709</v>
      </c>
      <c r="KE155">
        <v>10.7727</v>
      </c>
      <c r="KF155">
        <v>26.9061</v>
      </c>
      <c r="KG155">
        <v>11.6512</v>
      </c>
      <c r="KH155">
        <v>609.231</v>
      </c>
      <c r="KI155">
        <v>9.66338</v>
      </c>
      <c r="KJ155">
        <v>97.0362</v>
      </c>
      <c r="KK155">
        <v>95.2992</v>
      </c>
    </row>
    <row r="156" spans="1:297">
      <c r="A156">
        <v>140</v>
      </c>
      <c r="B156">
        <v>1760992039.1</v>
      </c>
      <c r="C156">
        <v>2849</v>
      </c>
      <c r="D156" t="s">
        <v>733</v>
      </c>
      <c r="E156" t="s">
        <v>734</v>
      </c>
      <c r="F156">
        <v>5</v>
      </c>
      <c r="G156" t="s">
        <v>662</v>
      </c>
      <c r="H156" t="s">
        <v>436</v>
      </c>
      <c r="I156">
        <v>1760992031.44615</v>
      </c>
      <c r="J156">
        <f>(K156)/1000</f>
        <v>0</v>
      </c>
      <c r="K156">
        <f>IF(DP156, AN156, AH156)</f>
        <v>0</v>
      </c>
      <c r="L156">
        <f>IF(DP156, AI156, AG156)</f>
        <v>0</v>
      </c>
      <c r="M156">
        <f>DR156 - IF(AU156&gt;1, L156*DL156*100.0/(AW156), 0)</f>
        <v>0</v>
      </c>
      <c r="N156">
        <f>((T156-J156/2)*M156-L156)/(T156+J156/2)</f>
        <v>0</v>
      </c>
      <c r="O156">
        <f>N156*(DY156+DZ156)/1000.0</f>
        <v>0</v>
      </c>
      <c r="P156">
        <f>(DR156 - IF(AU156&gt;1, L156*DL156*100.0/(AW156), 0))*(DY156+DZ156)/1000.0</f>
        <v>0</v>
      </c>
      <c r="Q156">
        <f>2.0/((1/S156-1/R156)+SIGN(S156)*SQRT((1/S156-1/R156)*(1/S156-1/R156) + 4*DM156/((DM156+1)*(DM156+1))*(2*1/S156*1/R156-1/R156*1/R156)))</f>
        <v>0</v>
      </c>
      <c r="R156">
        <f>IF(LEFT(DN156,1)&lt;&gt;"0",IF(LEFT(DN156,1)="1",3.0,DO156),$D$5+$E$5*(EF156*DY156/($K$5*1000))+$F$5*(EF156*DY156/($K$5*1000))*MAX(MIN(DL156,$J$5),$I$5)*MAX(MIN(DL156,$J$5),$I$5)+$G$5*MAX(MIN(DL156,$J$5),$I$5)*(EF156*DY156/($K$5*1000))+$H$5*(EF156*DY156/($K$5*1000))*(EF156*DY156/($K$5*1000)))</f>
        <v>0</v>
      </c>
      <c r="S156">
        <f>J156*(1000-(1000*0.61365*exp(17.502*W156/(240.97+W156))/(DY156+DZ156)+DT156)/2)/(1000*0.61365*exp(17.502*W156/(240.97+W156))/(DY156+DZ156)-DT156)</f>
        <v>0</v>
      </c>
      <c r="T156">
        <f>1/((DM156+1)/(Q156/1.6)+1/(R156/1.37)) + DM156/((DM156+1)/(Q156/1.6) + DM156/(R156/1.37))</f>
        <v>0</v>
      </c>
      <c r="U156">
        <f>(DH156*DK156)</f>
        <v>0</v>
      </c>
      <c r="V156">
        <f>(EA156+(U156+2*0.95*5.67E-8*(((EA156+$B$7)+273)^4-(EA156+273)^4)-44100*J156)/(1.84*29.3*R156+8*0.95*5.67E-8*(EA156+273)^3))</f>
        <v>0</v>
      </c>
      <c r="W156">
        <f>($C$7*EB156+$D$7*EC156+$E$7*V156)</f>
        <v>0</v>
      </c>
      <c r="X156">
        <f>0.61365*exp(17.502*W156/(240.97+W156))</f>
        <v>0</v>
      </c>
      <c r="Y156">
        <f>(Z156/AA156*100)</f>
        <v>0</v>
      </c>
      <c r="Z156">
        <f>DT156*(DY156+DZ156)/1000</f>
        <v>0</v>
      </c>
      <c r="AA156">
        <f>0.61365*exp(17.502*EA156/(240.97+EA156))</f>
        <v>0</v>
      </c>
      <c r="AB156">
        <f>(X156-DT156*(DY156+DZ156)/1000)</f>
        <v>0</v>
      </c>
      <c r="AC156">
        <f>(-J156*44100)</f>
        <v>0</v>
      </c>
      <c r="AD156">
        <f>2*29.3*R156*0.92*(EA156-W156)</f>
        <v>0</v>
      </c>
      <c r="AE156">
        <f>2*0.95*5.67E-8*(((EA156+$B$7)+273)^4-(W156+273)^4)</f>
        <v>0</v>
      </c>
      <c r="AF156">
        <f>U156+AE156+AC156+AD156</f>
        <v>0</v>
      </c>
      <c r="AG156">
        <f>DX156*AU156*(DS156-DR156*(1000-AU156*DU156)/(1000-AU156*DT156))/(100*DL156)</f>
        <v>0</v>
      </c>
      <c r="AH156">
        <f>1000*DX156*AU156*(DT156-DU156)/(100*DL156*(1000-AU156*DT156))</f>
        <v>0</v>
      </c>
      <c r="AI156">
        <f>(AJ156 - AK156 - DY156*1E3/(8.314*(EA156+273.15)) * AM156/DX156 * AL156) * DX156/(100*DL156) * (1000 - DU156)/1000</f>
        <v>0</v>
      </c>
      <c r="AJ156">
        <v>595.610723676867</v>
      </c>
      <c r="AK156">
        <v>559.333545454545</v>
      </c>
      <c r="AL156">
        <v>3.20531215907274</v>
      </c>
      <c r="AM156">
        <v>65.2210784119795</v>
      </c>
      <c r="AN156">
        <f>(AP156 - AO156 + DY156*1E3/(8.314*(EA156+273.15)) * AR156/DX156 * AQ156) * DX156/(100*DL156) * 1000/(1000 - AP156)</f>
        <v>0</v>
      </c>
      <c r="AO156">
        <v>9.70218486692202</v>
      </c>
      <c r="AP156">
        <v>11.8000727272727</v>
      </c>
      <c r="AQ156">
        <v>1.50015316062093e-05</v>
      </c>
      <c r="AR156">
        <v>115.574510355221</v>
      </c>
      <c r="AS156">
        <v>0</v>
      </c>
      <c r="AT156">
        <v>0</v>
      </c>
      <c r="AU156">
        <f>IF(AS156*$H$13&gt;=AW156,1.0,(AW156/(AW156-AS156*$H$13)))</f>
        <v>0</v>
      </c>
      <c r="AV156">
        <f>(AU156-1)*100</f>
        <v>0</v>
      </c>
      <c r="AW156">
        <f>MAX(0,($B$13+$C$13*EF156)/(1+$D$13*EF156)*DY156/(EA156+273)*$E$13)</f>
        <v>0</v>
      </c>
      <c r="AX156" t="s">
        <v>437</v>
      </c>
      <c r="AY156" t="s">
        <v>437</v>
      </c>
      <c r="AZ156">
        <v>0</v>
      </c>
      <c r="BA156">
        <v>0</v>
      </c>
      <c r="BB156">
        <f>1-AZ156/BA156</f>
        <v>0</v>
      </c>
      <c r="BC156">
        <v>0</v>
      </c>
      <c r="BD156" t="s">
        <v>437</v>
      </c>
      <c r="BE156" t="s">
        <v>437</v>
      </c>
      <c r="BF156">
        <v>0</v>
      </c>
      <c r="BG156">
        <v>0</v>
      </c>
      <c r="BH156">
        <f>1-BF156/BG156</f>
        <v>0</v>
      </c>
      <c r="BI156">
        <v>0.5</v>
      </c>
      <c r="BJ156">
        <f>DI156</f>
        <v>0</v>
      </c>
      <c r="BK156">
        <f>L156</f>
        <v>0</v>
      </c>
      <c r="BL156">
        <f>BH156*BI156*BJ156</f>
        <v>0</v>
      </c>
      <c r="BM156">
        <f>(BK156-BC156)/BJ156</f>
        <v>0</v>
      </c>
      <c r="BN156">
        <f>(BA156-BG156)/BG156</f>
        <v>0</v>
      </c>
      <c r="BO156">
        <f>AZ156/(BB156+AZ156/BG156)</f>
        <v>0</v>
      </c>
      <c r="BP156" t="s">
        <v>437</v>
      </c>
      <c r="BQ156">
        <v>0</v>
      </c>
      <c r="BR156">
        <f>IF(BQ156&lt;&gt;0, BQ156, BO156)</f>
        <v>0</v>
      </c>
      <c r="BS156">
        <f>1-BR156/BG156</f>
        <v>0</v>
      </c>
      <c r="BT156">
        <f>(BG156-BF156)/(BG156-BR156)</f>
        <v>0</v>
      </c>
      <c r="BU156">
        <f>(BA156-BG156)/(BA156-BR156)</f>
        <v>0</v>
      </c>
      <c r="BV156">
        <f>(BG156-BF156)/(BG156-AZ156)</f>
        <v>0</v>
      </c>
      <c r="BW156">
        <f>(BA156-BG156)/(BA156-AZ156)</f>
        <v>0</v>
      </c>
      <c r="BX156">
        <f>(BT156*BR156/BF156)</f>
        <v>0</v>
      </c>
      <c r="BY156">
        <f>(1-BX156)</f>
        <v>0</v>
      </c>
      <c r="BZ156">
        <v>282</v>
      </c>
      <c r="CA156">
        <v>290</v>
      </c>
      <c r="CB156">
        <v>1577.74</v>
      </c>
      <c r="CC156">
        <v>295</v>
      </c>
      <c r="CD156">
        <v>5140.93</v>
      </c>
      <c r="CE156">
        <v>1578.58</v>
      </c>
      <c r="CF156">
        <v>-0.84</v>
      </c>
      <c r="CG156">
        <v>300</v>
      </c>
      <c r="CH156">
        <v>23.8</v>
      </c>
      <c r="CI156">
        <v>1633.28263291266</v>
      </c>
      <c r="CJ156">
        <v>1.49577129053257</v>
      </c>
      <c r="CK156">
        <v>-28.1203876934379</v>
      </c>
      <c r="CL156">
        <v>0.666413418688897</v>
      </c>
      <c r="CM156">
        <v>0.984518017981194</v>
      </c>
      <c r="CN156">
        <v>-0.00424727541713014</v>
      </c>
      <c r="CO156">
        <v>290</v>
      </c>
      <c r="CP156">
        <v>1576.56</v>
      </c>
      <c r="CQ156">
        <v>775</v>
      </c>
      <c r="CR156">
        <v>5139.5</v>
      </c>
      <c r="CS156">
        <v>1578.57</v>
      </c>
      <c r="CT156">
        <v>-2.01</v>
      </c>
      <c r="DH156">
        <f>$B$11*EG156+$C$11*EH156+$F$11*ES156*(1-EV156)</f>
        <v>0</v>
      </c>
      <c r="DI156">
        <f>DH156*DJ156</f>
        <v>0</v>
      </c>
      <c r="DJ156">
        <f>($B$11*$D$9+$C$11*$D$9+$F$11*((FF156+EX156)/MAX(FF156+EX156+FG156, 0.1)*$I$9+FG156/MAX(FF156+EX156+FG156, 0.1)*$J$9))/($B$11+$C$11+$F$11)</f>
        <v>0</v>
      </c>
      <c r="DK156">
        <f>($B$11*$K$9+$C$11*$K$9+$F$11*((FF156+EX156)/MAX(FF156+EX156+FG156, 0.1)*$P$9+FG156/MAX(FF156+EX156+FG156, 0.1)*$Q$9))/($B$11+$C$11+$F$11)</f>
        <v>0</v>
      </c>
      <c r="DL156">
        <v>6</v>
      </c>
      <c r="DM156">
        <v>0.5</v>
      </c>
      <c r="DN156" t="s">
        <v>438</v>
      </c>
      <c r="DO156">
        <v>2</v>
      </c>
      <c r="DP156" t="b">
        <v>1</v>
      </c>
      <c r="DQ156">
        <v>1760992031.44615</v>
      </c>
      <c r="DR156">
        <v>531.077538461539</v>
      </c>
      <c r="DS156">
        <v>575.917538461538</v>
      </c>
      <c r="DT156">
        <v>11.7982076923077</v>
      </c>
      <c r="DU156">
        <v>9.70423153846154</v>
      </c>
      <c r="DV156">
        <v>527.776538461538</v>
      </c>
      <c r="DW156">
        <v>11.9095846153846</v>
      </c>
      <c r="DX156">
        <v>500.004230769231</v>
      </c>
      <c r="DY156">
        <v>89.8361692307692</v>
      </c>
      <c r="DZ156">
        <v>0.00878150538461538</v>
      </c>
      <c r="EA156">
        <v>18.3745615384615</v>
      </c>
      <c r="EB156">
        <v>17.9937615384615</v>
      </c>
      <c r="EC156">
        <v>999.9</v>
      </c>
      <c r="ED156">
        <v>0</v>
      </c>
      <c r="EE156">
        <v>0</v>
      </c>
      <c r="EF156">
        <v>10005.2923076923</v>
      </c>
      <c r="EG156">
        <v>0</v>
      </c>
      <c r="EH156">
        <v>1278.75538461538</v>
      </c>
      <c r="EI156">
        <v>-44.8400384615385</v>
      </c>
      <c r="EJ156">
        <v>537.418</v>
      </c>
      <c r="EK156">
        <v>581.561153846154</v>
      </c>
      <c r="EL156">
        <v>2.09397846153846</v>
      </c>
      <c r="EM156">
        <v>575.917538461538</v>
      </c>
      <c r="EN156">
        <v>9.70423153846154</v>
      </c>
      <c r="EO156">
        <v>1.05990615384615</v>
      </c>
      <c r="EP156">
        <v>0.871791</v>
      </c>
      <c r="EQ156">
        <v>7.76696230769231</v>
      </c>
      <c r="ER156">
        <v>4.93331</v>
      </c>
      <c r="ES156">
        <v>1199.99615384615</v>
      </c>
      <c r="ET156">
        <v>0.967008076923077</v>
      </c>
      <c r="EU156">
        <v>0.0329916230769231</v>
      </c>
      <c r="EV156">
        <v>0</v>
      </c>
      <c r="EW156">
        <v>1250.40076923077</v>
      </c>
      <c r="EX156">
        <v>5.00059</v>
      </c>
      <c r="EY156">
        <v>14799.0538461538</v>
      </c>
      <c r="EZ156">
        <v>10358.7153846154</v>
      </c>
      <c r="FA156">
        <v>38.4324615384615</v>
      </c>
      <c r="FB156">
        <v>41.2833846153846</v>
      </c>
      <c r="FC156">
        <v>38.9516923076923</v>
      </c>
      <c r="FD156">
        <v>41.3026153846154</v>
      </c>
      <c r="FE156">
        <v>39.5623076923077</v>
      </c>
      <c r="FF156">
        <v>1155.56846153846</v>
      </c>
      <c r="FG156">
        <v>39.4253846153846</v>
      </c>
      <c r="FH156">
        <v>0</v>
      </c>
      <c r="FI156">
        <v>894.800000190735</v>
      </c>
      <c r="FJ156">
        <v>0</v>
      </c>
      <c r="FK156">
        <v>1250.4748</v>
      </c>
      <c r="FL156">
        <v>18.7892307261659</v>
      </c>
      <c r="FM156">
        <v>253.838461089055</v>
      </c>
      <c r="FN156">
        <v>14800.228</v>
      </c>
      <c r="FO156">
        <v>15</v>
      </c>
      <c r="FP156">
        <v>0</v>
      </c>
      <c r="FQ156" t="s">
        <v>439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-44.7548571428571</v>
      </c>
      <c r="GD156">
        <v>-2.77037778871249</v>
      </c>
      <c r="GE156">
        <v>0.705481927527578</v>
      </c>
      <c r="GF156">
        <v>0</v>
      </c>
      <c r="GG156">
        <v>1249.32970588235</v>
      </c>
      <c r="GH156">
        <v>18.1324675357142</v>
      </c>
      <c r="GI156">
        <v>1.79709485378342</v>
      </c>
      <c r="GJ156">
        <v>-1</v>
      </c>
      <c r="GK156">
        <v>2.0922619047619</v>
      </c>
      <c r="GL156">
        <v>0.0309488434051134</v>
      </c>
      <c r="GM156">
        <v>0.00308874395653395</v>
      </c>
      <c r="GN156">
        <v>1</v>
      </c>
      <c r="GO156">
        <v>1</v>
      </c>
      <c r="GP156">
        <v>2</v>
      </c>
      <c r="GQ156" t="s">
        <v>446</v>
      </c>
      <c r="GR156">
        <v>3.13072</v>
      </c>
      <c r="GS156">
        <v>2.68689</v>
      </c>
      <c r="GT156">
        <v>0.110397</v>
      </c>
      <c r="GU156">
        <v>0.117435</v>
      </c>
      <c r="GV156">
        <v>0.0616289</v>
      </c>
      <c r="GW156">
        <v>0.0528665</v>
      </c>
      <c r="GX156">
        <v>33711.8</v>
      </c>
      <c r="GY156">
        <v>35939</v>
      </c>
      <c r="GZ156">
        <v>34263.4</v>
      </c>
      <c r="HA156">
        <v>36846.6</v>
      </c>
      <c r="HB156">
        <v>45354.4</v>
      </c>
      <c r="HC156">
        <v>50045.2</v>
      </c>
      <c r="HD156">
        <v>53337</v>
      </c>
      <c r="HE156">
        <v>58774.3</v>
      </c>
      <c r="HF156">
        <v>2.00773</v>
      </c>
      <c r="HG156">
        <v>1.83622</v>
      </c>
      <c r="HH156">
        <v>0.00650436</v>
      </c>
      <c r="HI156">
        <v>0</v>
      </c>
      <c r="HJ156">
        <v>17.8586</v>
      </c>
      <c r="HK156">
        <v>999.9</v>
      </c>
      <c r="HL156">
        <v>26.914</v>
      </c>
      <c r="HM156">
        <v>30.484</v>
      </c>
      <c r="HN156">
        <v>13.123</v>
      </c>
      <c r="HO156">
        <v>53.7228</v>
      </c>
      <c r="HP156">
        <v>44.3309</v>
      </c>
      <c r="HQ156">
        <v>1</v>
      </c>
      <c r="HR156">
        <v>-0.263082</v>
      </c>
      <c r="HS156">
        <v>4.61387</v>
      </c>
      <c r="HT156">
        <v>20.0778</v>
      </c>
      <c r="HU156">
        <v>5.20261</v>
      </c>
      <c r="HV156">
        <v>12.004</v>
      </c>
      <c r="HW156">
        <v>4.9756</v>
      </c>
      <c r="HX156">
        <v>3.29305</v>
      </c>
      <c r="HY156">
        <v>9999</v>
      </c>
      <c r="HZ156">
        <v>999.9</v>
      </c>
      <c r="IA156">
        <v>9999</v>
      </c>
      <c r="IB156">
        <v>9999</v>
      </c>
      <c r="IC156">
        <v>1.86324</v>
      </c>
      <c r="ID156">
        <v>1.86807</v>
      </c>
      <c r="IE156">
        <v>1.86783</v>
      </c>
      <c r="IF156">
        <v>1.86903</v>
      </c>
      <c r="IG156">
        <v>1.8698</v>
      </c>
      <c r="IH156">
        <v>1.86584</v>
      </c>
      <c r="II156">
        <v>1.86691</v>
      </c>
      <c r="IJ156">
        <v>1.86836</v>
      </c>
      <c r="IK156">
        <v>5</v>
      </c>
      <c r="IL156">
        <v>0</v>
      </c>
      <c r="IM156">
        <v>0</v>
      </c>
      <c r="IN156">
        <v>0</v>
      </c>
      <c r="IO156" t="s">
        <v>441</v>
      </c>
      <c r="IP156" t="s">
        <v>442</v>
      </c>
      <c r="IQ156" t="s">
        <v>443</v>
      </c>
      <c r="IR156" t="s">
        <v>443</v>
      </c>
      <c r="IS156" t="s">
        <v>443</v>
      </c>
      <c r="IT156" t="s">
        <v>443</v>
      </c>
      <c r="IU156">
        <v>0</v>
      </c>
      <c r="IV156">
        <v>100</v>
      </c>
      <c r="IW156">
        <v>100</v>
      </c>
      <c r="IX156">
        <v>3.393</v>
      </c>
      <c r="IY156">
        <v>-0.1113</v>
      </c>
      <c r="IZ156">
        <v>1.12474291219083</v>
      </c>
      <c r="JA156">
        <v>0.00463155566490582</v>
      </c>
      <c r="JB156">
        <v>-1.1358998729424e-06</v>
      </c>
      <c r="JC156">
        <v>3.28704272115545e-10</v>
      </c>
      <c r="JD156">
        <v>-0.0704455108513773</v>
      </c>
      <c r="JE156">
        <v>-0.0251928478371425</v>
      </c>
      <c r="JF156">
        <v>0.00225751704194564</v>
      </c>
      <c r="JG156">
        <v>-3.61734043746866e-05</v>
      </c>
      <c r="JH156">
        <v>1</v>
      </c>
      <c r="JI156">
        <v>2182</v>
      </c>
      <c r="JJ156">
        <v>0</v>
      </c>
      <c r="JK156">
        <v>24</v>
      </c>
      <c r="JL156">
        <v>29349867.3</v>
      </c>
      <c r="JM156">
        <v>29349867.3</v>
      </c>
      <c r="JN156">
        <v>1.3623</v>
      </c>
      <c r="JO156">
        <v>2.62573</v>
      </c>
      <c r="JP156">
        <v>1.54785</v>
      </c>
      <c r="JQ156">
        <v>2.31323</v>
      </c>
      <c r="JR156">
        <v>1.64673</v>
      </c>
      <c r="JS156">
        <v>2.3999</v>
      </c>
      <c r="JT156">
        <v>33.6705</v>
      </c>
      <c r="JU156">
        <v>24.1926</v>
      </c>
      <c r="JV156">
        <v>18</v>
      </c>
      <c r="JW156">
        <v>500.357</v>
      </c>
      <c r="JX156">
        <v>393.908</v>
      </c>
      <c r="JY156">
        <v>11.6508</v>
      </c>
      <c r="JZ156">
        <v>23.9752</v>
      </c>
      <c r="KA156">
        <v>30.0001</v>
      </c>
      <c r="KB156">
        <v>23.9589</v>
      </c>
      <c r="KC156">
        <v>23.9249</v>
      </c>
      <c r="KD156">
        <v>27.3372</v>
      </c>
      <c r="KE156">
        <v>10.7727</v>
      </c>
      <c r="KF156">
        <v>26.9061</v>
      </c>
      <c r="KG156">
        <v>11.6511</v>
      </c>
      <c r="KH156">
        <v>622.715</v>
      </c>
      <c r="KI156">
        <v>9.66338</v>
      </c>
      <c r="KJ156">
        <v>97.0363</v>
      </c>
      <c r="KK156">
        <v>95.2988</v>
      </c>
    </row>
    <row r="157" spans="1:297">
      <c r="A157">
        <v>141</v>
      </c>
      <c r="B157">
        <v>1760992044.1</v>
      </c>
      <c r="C157">
        <v>2854</v>
      </c>
      <c r="D157" t="s">
        <v>735</v>
      </c>
      <c r="E157" t="s">
        <v>736</v>
      </c>
      <c r="F157">
        <v>5</v>
      </c>
      <c r="G157" t="s">
        <v>662</v>
      </c>
      <c r="H157" t="s">
        <v>436</v>
      </c>
      <c r="I157">
        <v>1760992036.09231</v>
      </c>
      <c r="J157">
        <f>(K157)/1000</f>
        <v>0</v>
      </c>
      <c r="K157">
        <f>IF(DP157, AN157, AH157)</f>
        <v>0</v>
      </c>
      <c r="L157">
        <f>IF(DP157, AI157, AG157)</f>
        <v>0</v>
      </c>
      <c r="M157">
        <f>DR157 - IF(AU157&gt;1, L157*DL157*100.0/(AW157), 0)</f>
        <v>0</v>
      </c>
      <c r="N157">
        <f>((T157-J157/2)*M157-L157)/(T157+J157/2)</f>
        <v>0</v>
      </c>
      <c r="O157">
        <f>N157*(DY157+DZ157)/1000.0</f>
        <v>0</v>
      </c>
      <c r="P157">
        <f>(DR157 - IF(AU157&gt;1, L157*DL157*100.0/(AW157), 0))*(DY157+DZ157)/1000.0</f>
        <v>0</v>
      </c>
      <c r="Q157">
        <f>2.0/((1/S157-1/R157)+SIGN(S157)*SQRT((1/S157-1/R157)*(1/S157-1/R157) + 4*DM157/((DM157+1)*(DM157+1))*(2*1/S157*1/R157-1/R157*1/R157)))</f>
        <v>0</v>
      </c>
      <c r="R157">
        <f>IF(LEFT(DN157,1)&lt;&gt;"0",IF(LEFT(DN157,1)="1",3.0,DO157),$D$5+$E$5*(EF157*DY157/($K$5*1000))+$F$5*(EF157*DY157/($K$5*1000))*MAX(MIN(DL157,$J$5),$I$5)*MAX(MIN(DL157,$J$5),$I$5)+$G$5*MAX(MIN(DL157,$J$5),$I$5)*(EF157*DY157/($K$5*1000))+$H$5*(EF157*DY157/($K$5*1000))*(EF157*DY157/($K$5*1000)))</f>
        <v>0</v>
      </c>
      <c r="S157">
        <f>J157*(1000-(1000*0.61365*exp(17.502*W157/(240.97+W157))/(DY157+DZ157)+DT157)/2)/(1000*0.61365*exp(17.502*W157/(240.97+W157))/(DY157+DZ157)-DT157)</f>
        <v>0</v>
      </c>
      <c r="T157">
        <f>1/((DM157+1)/(Q157/1.6)+1/(R157/1.37)) + DM157/((DM157+1)/(Q157/1.6) + DM157/(R157/1.37))</f>
        <v>0</v>
      </c>
      <c r="U157">
        <f>(DH157*DK157)</f>
        <v>0</v>
      </c>
      <c r="V157">
        <f>(EA157+(U157+2*0.95*5.67E-8*(((EA157+$B$7)+273)^4-(EA157+273)^4)-44100*J157)/(1.84*29.3*R157+8*0.95*5.67E-8*(EA157+273)^3))</f>
        <v>0</v>
      </c>
      <c r="W157">
        <f>($C$7*EB157+$D$7*EC157+$E$7*V157)</f>
        <v>0</v>
      </c>
      <c r="X157">
        <f>0.61365*exp(17.502*W157/(240.97+W157))</f>
        <v>0</v>
      </c>
      <c r="Y157">
        <f>(Z157/AA157*100)</f>
        <v>0</v>
      </c>
      <c r="Z157">
        <f>DT157*(DY157+DZ157)/1000</f>
        <v>0</v>
      </c>
      <c r="AA157">
        <f>0.61365*exp(17.502*EA157/(240.97+EA157))</f>
        <v>0</v>
      </c>
      <c r="AB157">
        <f>(X157-DT157*(DY157+DZ157)/1000)</f>
        <v>0</v>
      </c>
      <c r="AC157">
        <f>(-J157*44100)</f>
        <v>0</v>
      </c>
      <c r="AD157">
        <f>2*29.3*R157*0.92*(EA157-W157)</f>
        <v>0</v>
      </c>
      <c r="AE157">
        <f>2*0.95*5.67E-8*(((EA157+$B$7)+273)^4-(W157+273)^4)</f>
        <v>0</v>
      </c>
      <c r="AF157">
        <f>U157+AE157+AC157+AD157</f>
        <v>0</v>
      </c>
      <c r="AG157">
        <f>DX157*AU157*(DS157-DR157*(1000-AU157*DU157)/(1000-AU157*DT157))/(100*DL157)</f>
        <v>0</v>
      </c>
      <c r="AH157">
        <f>1000*DX157*AU157*(DT157-DU157)/(100*DL157*(1000-AU157*DT157))</f>
        <v>0</v>
      </c>
      <c r="AI157">
        <f>(AJ157 - AK157 - DY157*1E3/(8.314*(EA157+273.15)) * AM157/DX157 * AL157) * DX157/(100*DL157) * (1000 - DU157)/1000</f>
        <v>0</v>
      </c>
      <c r="AJ157">
        <v>613.641304916823</v>
      </c>
      <c r="AK157">
        <v>576.4202</v>
      </c>
      <c r="AL157">
        <v>3.44984136151652</v>
      </c>
      <c r="AM157">
        <v>65.2210784119795</v>
      </c>
      <c r="AN157">
        <f>(AP157 - AO157 + DY157*1E3/(8.314*(EA157+273.15)) * AR157/DX157 * AQ157) * DX157/(100*DL157) * 1000/(1000 - AP157)</f>
        <v>0</v>
      </c>
      <c r="AO157">
        <v>9.70242902779874</v>
      </c>
      <c r="AP157">
        <v>11.8008618181818</v>
      </c>
      <c r="AQ157">
        <v>9.32722965725601e-06</v>
      </c>
      <c r="AR157">
        <v>115.574510355221</v>
      </c>
      <c r="AS157">
        <v>0</v>
      </c>
      <c r="AT157">
        <v>0</v>
      </c>
      <c r="AU157">
        <f>IF(AS157*$H$13&gt;=AW157,1.0,(AW157/(AW157-AS157*$H$13)))</f>
        <v>0</v>
      </c>
      <c r="AV157">
        <f>(AU157-1)*100</f>
        <v>0</v>
      </c>
      <c r="AW157">
        <f>MAX(0,($B$13+$C$13*EF157)/(1+$D$13*EF157)*DY157/(EA157+273)*$E$13)</f>
        <v>0</v>
      </c>
      <c r="AX157" t="s">
        <v>437</v>
      </c>
      <c r="AY157" t="s">
        <v>437</v>
      </c>
      <c r="AZ157">
        <v>0</v>
      </c>
      <c r="BA157">
        <v>0</v>
      </c>
      <c r="BB157">
        <f>1-AZ157/BA157</f>
        <v>0</v>
      </c>
      <c r="BC157">
        <v>0</v>
      </c>
      <c r="BD157" t="s">
        <v>437</v>
      </c>
      <c r="BE157" t="s">
        <v>437</v>
      </c>
      <c r="BF157">
        <v>0</v>
      </c>
      <c r="BG157">
        <v>0</v>
      </c>
      <c r="BH157">
        <f>1-BF157/BG157</f>
        <v>0</v>
      </c>
      <c r="BI157">
        <v>0.5</v>
      </c>
      <c r="BJ157">
        <f>DI157</f>
        <v>0</v>
      </c>
      <c r="BK157">
        <f>L157</f>
        <v>0</v>
      </c>
      <c r="BL157">
        <f>BH157*BI157*BJ157</f>
        <v>0</v>
      </c>
      <c r="BM157">
        <f>(BK157-BC157)/BJ157</f>
        <v>0</v>
      </c>
      <c r="BN157">
        <f>(BA157-BG157)/BG157</f>
        <v>0</v>
      </c>
      <c r="BO157">
        <f>AZ157/(BB157+AZ157/BG157)</f>
        <v>0</v>
      </c>
      <c r="BP157" t="s">
        <v>437</v>
      </c>
      <c r="BQ157">
        <v>0</v>
      </c>
      <c r="BR157">
        <f>IF(BQ157&lt;&gt;0, BQ157, BO157)</f>
        <v>0</v>
      </c>
      <c r="BS157">
        <f>1-BR157/BG157</f>
        <v>0</v>
      </c>
      <c r="BT157">
        <f>(BG157-BF157)/(BG157-BR157)</f>
        <v>0</v>
      </c>
      <c r="BU157">
        <f>(BA157-BG157)/(BA157-BR157)</f>
        <v>0</v>
      </c>
      <c r="BV157">
        <f>(BG157-BF157)/(BG157-AZ157)</f>
        <v>0</v>
      </c>
      <c r="BW157">
        <f>(BA157-BG157)/(BA157-AZ157)</f>
        <v>0</v>
      </c>
      <c r="BX157">
        <f>(BT157*BR157/BF157)</f>
        <v>0</v>
      </c>
      <c r="BY157">
        <f>(1-BX157)</f>
        <v>0</v>
      </c>
      <c r="BZ157">
        <v>282</v>
      </c>
      <c r="CA157">
        <v>290</v>
      </c>
      <c r="CB157">
        <v>1577.74</v>
      </c>
      <c r="CC157">
        <v>295</v>
      </c>
      <c r="CD157">
        <v>5140.93</v>
      </c>
      <c r="CE157">
        <v>1578.58</v>
      </c>
      <c r="CF157">
        <v>-0.84</v>
      </c>
      <c r="CG157">
        <v>300</v>
      </c>
      <c r="CH157">
        <v>23.8</v>
      </c>
      <c r="CI157">
        <v>1633.28263291266</v>
      </c>
      <c r="CJ157">
        <v>1.49577129053257</v>
      </c>
      <c r="CK157">
        <v>-28.1203876934379</v>
      </c>
      <c r="CL157">
        <v>0.666413418688897</v>
      </c>
      <c r="CM157">
        <v>0.984518017981194</v>
      </c>
      <c r="CN157">
        <v>-0.00424727541713014</v>
      </c>
      <c r="CO157">
        <v>290</v>
      </c>
      <c r="CP157">
        <v>1576.56</v>
      </c>
      <c r="CQ157">
        <v>775</v>
      </c>
      <c r="CR157">
        <v>5139.5</v>
      </c>
      <c r="CS157">
        <v>1578.57</v>
      </c>
      <c r="CT157">
        <v>-2.01</v>
      </c>
      <c r="DH157">
        <f>$B$11*EG157+$C$11*EH157+$F$11*ES157*(1-EV157)</f>
        <v>0</v>
      </c>
      <c r="DI157">
        <f>DH157*DJ157</f>
        <v>0</v>
      </c>
      <c r="DJ157">
        <f>($B$11*$D$9+$C$11*$D$9+$F$11*((FF157+EX157)/MAX(FF157+EX157+FG157, 0.1)*$I$9+FG157/MAX(FF157+EX157+FG157, 0.1)*$J$9))/($B$11+$C$11+$F$11)</f>
        <v>0</v>
      </c>
      <c r="DK157">
        <f>($B$11*$K$9+$C$11*$K$9+$F$11*((FF157+EX157)/MAX(FF157+EX157+FG157, 0.1)*$P$9+FG157/MAX(FF157+EX157+FG157, 0.1)*$Q$9))/($B$11+$C$11+$F$11)</f>
        <v>0</v>
      </c>
      <c r="DL157">
        <v>6</v>
      </c>
      <c r="DM157">
        <v>0.5</v>
      </c>
      <c r="DN157" t="s">
        <v>438</v>
      </c>
      <c r="DO157">
        <v>2</v>
      </c>
      <c r="DP157" t="b">
        <v>1</v>
      </c>
      <c r="DQ157">
        <v>1760992036.09231</v>
      </c>
      <c r="DR157">
        <v>546.351923076923</v>
      </c>
      <c r="DS157">
        <v>592.004769230769</v>
      </c>
      <c r="DT157">
        <v>11.7990923076923</v>
      </c>
      <c r="DU157">
        <v>9.7035</v>
      </c>
      <c r="DV157">
        <v>542.994615384615</v>
      </c>
      <c r="DW157">
        <v>11.9104538461538</v>
      </c>
      <c r="DX157">
        <v>500.009307692308</v>
      </c>
      <c r="DY157">
        <v>89.8368384615385</v>
      </c>
      <c r="DZ157">
        <v>0.00885551076923077</v>
      </c>
      <c r="EA157">
        <v>18.3796923076923</v>
      </c>
      <c r="EB157">
        <v>17.9887230769231</v>
      </c>
      <c r="EC157">
        <v>999.9</v>
      </c>
      <c r="ED157">
        <v>0</v>
      </c>
      <c r="EE157">
        <v>0</v>
      </c>
      <c r="EF157">
        <v>10003.6092307692</v>
      </c>
      <c r="EG157">
        <v>0</v>
      </c>
      <c r="EH157">
        <v>1278.75538461538</v>
      </c>
      <c r="EI157">
        <v>-45.6529076923077</v>
      </c>
      <c r="EJ157">
        <v>552.875153846154</v>
      </c>
      <c r="EK157">
        <v>597.805538461538</v>
      </c>
      <c r="EL157">
        <v>2.09559692307692</v>
      </c>
      <c r="EM157">
        <v>592.004769230769</v>
      </c>
      <c r="EN157">
        <v>9.7035</v>
      </c>
      <c r="EO157">
        <v>1.05999384615385</v>
      </c>
      <c r="EP157">
        <v>0.871731769230769</v>
      </c>
      <c r="EQ157">
        <v>7.76817769230769</v>
      </c>
      <c r="ER157">
        <v>4.93233615384615</v>
      </c>
      <c r="ES157">
        <v>1200.02153846154</v>
      </c>
      <c r="ET157">
        <v>0.967009461538461</v>
      </c>
      <c r="EU157">
        <v>0.0329903076923077</v>
      </c>
      <c r="EV157">
        <v>0</v>
      </c>
      <c r="EW157">
        <v>1251.79230769231</v>
      </c>
      <c r="EX157">
        <v>5.00059</v>
      </c>
      <c r="EY157">
        <v>14818.6692307692</v>
      </c>
      <c r="EZ157">
        <v>10358.9461538462</v>
      </c>
      <c r="FA157">
        <v>38.4900769230769</v>
      </c>
      <c r="FB157">
        <v>41.3410769230769</v>
      </c>
      <c r="FC157">
        <v>39.0044615384615</v>
      </c>
      <c r="FD157">
        <v>41.394</v>
      </c>
      <c r="FE157">
        <v>39.6198461538462</v>
      </c>
      <c r="FF157">
        <v>1155.59692307692</v>
      </c>
      <c r="FG157">
        <v>39.4223076923077</v>
      </c>
      <c r="FH157">
        <v>0</v>
      </c>
      <c r="FI157">
        <v>899.600000143051</v>
      </c>
      <c r="FJ157">
        <v>0</v>
      </c>
      <c r="FK157">
        <v>1251.9168</v>
      </c>
      <c r="FL157">
        <v>17.4423076782478</v>
      </c>
      <c r="FM157">
        <v>253.723076902893</v>
      </c>
      <c r="FN157">
        <v>14820.584</v>
      </c>
      <c r="FO157">
        <v>15</v>
      </c>
      <c r="FP157">
        <v>0</v>
      </c>
      <c r="FQ157" t="s">
        <v>439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-45.2343857142857</v>
      </c>
      <c r="GD157">
        <v>-7.5252137352681</v>
      </c>
      <c r="GE157">
        <v>1.00801474398028</v>
      </c>
      <c r="GF157">
        <v>0</v>
      </c>
      <c r="GG157">
        <v>1250.89941176471</v>
      </c>
      <c r="GH157">
        <v>17.9309396487677</v>
      </c>
      <c r="GI157">
        <v>1.77340971208586</v>
      </c>
      <c r="GJ157">
        <v>-1</v>
      </c>
      <c r="GK157">
        <v>2.09461</v>
      </c>
      <c r="GL157">
        <v>0.0238387935981369</v>
      </c>
      <c r="GM157">
        <v>0.00241418427513015</v>
      </c>
      <c r="GN157">
        <v>1</v>
      </c>
      <c r="GO157">
        <v>1</v>
      </c>
      <c r="GP157">
        <v>2</v>
      </c>
      <c r="GQ157" t="s">
        <v>446</v>
      </c>
      <c r="GR157">
        <v>3.13073</v>
      </c>
      <c r="GS157">
        <v>2.68676</v>
      </c>
      <c r="GT157">
        <v>0.112822</v>
      </c>
      <c r="GU157">
        <v>0.119768</v>
      </c>
      <c r="GV157">
        <v>0.0616376</v>
      </c>
      <c r="GW157">
        <v>0.0528627</v>
      </c>
      <c r="GX157">
        <v>33619.9</v>
      </c>
      <c r="GY157">
        <v>35844.4</v>
      </c>
      <c r="GZ157">
        <v>34263.5</v>
      </c>
      <c r="HA157">
        <v>36847</v>
      </c>
      <c r="HB157">
        <v>45354.5</v>
      </c>
      <c r="HC157">
        <v>50045.9</v>
      </c>
      <c r="HD157">
        <v>53337.3</v>
      </c>
      <c r="HE157">
        <v>58774.6</v>
      </c>
      <c r="HF157">
        <v>2.0079</v>
      </c>
      <c r="HG157">
        <v>1.83563</v>
      </c>
      <c r="HH157">
        <v>0.00768527</v>
      </c>
      <c r="HI157">
        <v>0</v>
      </c>
      <c r="HJ157">
        <v>17.8586</v>
      </c>
      <c r="HK157">
        <v>999.9</v>
      </c>
      <c r="HL157">
        <v>26.889</v>
      </c>
      <c r="HM157">
        <v>30.484</v>
      </c>
      <c r="HN157">
        <v>13.1114</v>
      </c>
      <c r="HO157">
        <v>54.2728</v>
      </c>
      <c r="HP157">
        <v>44.359</v>
      </c>
      <c r="HQ157">
        <v>1</v>
      </c>
      <c r="HR157">
        <v>-0.263067</v>
      </c>
      <c r="HS157">
        <v>4.56759</v>
      </c>
      <c r="HT157">
        <v>20.0789</v>
      </c>
      <c r="HU157">
        <v>5.20187</v>
      </c>
      <c r="HV157">
        <v>12.004</v>
      </c>
      <c r="HW157">
        <v>4.97545</v>
      </c>
      <c r="HX157">
        <v>3.2929</v>
      </c>
      <c r="HY157">
        <v>9999</v>
      </c>
      <c r="HZ157">
        <v>999.9</v>
      </c>
      <c r="IA157">
        <v>9999</v>
      </c>
      <c r="IB157">
        <v>9999</v>
      </c>
      <c r="IC157">
        <v>1.86324</v>
      </c>
      <c r="ID157">
        <v>1.86809</v>
      </c>
      <c r="IE157">
        <v>1.86783</v>
      </c>
      <c r="IF157">
        <v>1.86903</v>
      </c>
      <c r="IG157">
        <v>1.86981</v>
      </c>
      <c r="IH157">
        <v>1.86584</v>
      </c>
      <c r="II157">
        <v>1.86691</v>
      </c>
      <c r="IJ157">
        <v>1.86836</v>
      </c>
      <c r="IK157">
        <v>5</v>
      </c>
      <c r="IL157">
        <v>0</v>
      </c>
      <c r="IM157">
        <v>0</v>
      </c>
      <c r="IN157">
        <v>0</v>
      </c>
      <c r="IO157" t="s">
        <v>441</v>
      </c>
      <c r="IP157" t="s">
        <v>442</v>
      </c>
      <c r="IQ157" t="s">
        <v>443</v>
      </c>
      <c r="IR157" t="s">
        <v>443</v>
      </c>
      <c r="IS157" t="s">
        <v>443</v>
      </c>
      <c r="IT157" t="s">
        <v>443</v>
      </c>
      <c r="IU157">
        <v>0</v>
      </c>
      <c r="IV157">
        <v>100</v>
      </c>
      <c r="IW157">
        <v>100</v>
      </c>
      <c r="IX157">
        <v>3.455</v>
      </c>
      <c r="IY157">
        <v>-0.1114</v>
      </c>
      <c r="IZ157">
        <v>1.12474291219083</v>
      </c>
      <c r="JA157">
        <v>0.00463155566490582</v>
      </c>
      <c r="JB157">
        <v>-1.1358998729424e-06</v>
      </c>
      <c r="JC157">
        <v>3.28704272115545e-10</v>
      </c>
      <c r="JD157">
        <v>-0.0704455108513773</v>
      </c>
      <c r="JE157">
        <v>-0.0251928478371425</v>
      </c>
      <c r="JF157">
        <v>0.00225751704194564</v>
      </c>
      <c r="JG157">
        <v>-3.61734043746866e-05</v>
      </c>
      <c r="JH157">
        <v>1</v>
      </c>
      <c r="JI157">
        <v>2182</v>
      </c>
      <c r="JJ157">
        <v>0</v>
      </c>
      <c r="JK157">
        <v>24</v>
      </c>
      <c r="JL157">
        <v>29349867.4</v>
      </c>
      <c r="JM157">
        <v>29349867.4</v>
      </c>
      <c r="JN157">
        <v>1.38794</v>
      </c>
      <c r="JO157">
        <v>2.62451</v>
      </c>
      <c r="JP157">
        <v>1.54785</v>
      </c>
      <c r="JQ157">
        <v>2.31445</v>
      </c>
      <c r="JR157">
        <v>1.64673</v>
      </c>
      <c r="JS157">
        <v>2.40234</v>
      </c>
      <c r="JT157">
        <v>33.6705</v>
      </c>
      <c r="JU157">
        <v>24.1926</v>
      </c>
      <c r="JV157">
        <v>18</v>
      </c>
      <c r="JW157">
        <v>500.47</v>
      </c>
      <c r="JX157">
        <v>393.607</v>
      </c>
      <c r="JY157">
        <v>11.6515</v>
      </c>
      <c r="JZ157">
        <v>23.9752</v>
      </c>
      <c r="KA157">
        <v>30</v>
      </c>
      <c r="KB157">
        <v>23.9589</v>
      </c>
      <c r="KC157">
        <v>23.9269</v>
      </c>
      <c r="KD157">
        <v>27.9303</v>
      </c>
      <c r="KE157">
        <v>10.7727</v>
      </c>
      <c r="KF157">
        <v>26.9061</v>
      </c>
      <c r="KG157">
        <v>11.6693</v>
      </c>
      <c r="KH157">
        <v>642.927</v>
      </c>
      <c r="KI157">
        <v>9.66338</v>
      </c>
      <c r="KJ157">
        <v>97.0366</v>
      </c>
      <c r="KK157">
        <v>95.2995</v>
      </c>
    </row>
    <row r="158" spans="1:297">
      <c r="A158">
        <v>142</v>
      </c>
      <c r="B158">
        <v>1760992049.1</v>
      </c>
      <c r="C158">
        <v>2859</v>
      </c>
      <c r="D158" t="s">
        <v>737</v>
      </c>
      <c r="E158" t="s">
        <v>738</v>
      </c>
      <c r="F158">
        <v>5</v>
      </c>
      <c r="G158" t="s">
        <v>662</v>
      </c>
      <c r="H158" t="s">
        <v>436</v>
      </c>
      <c r="I158">
        <v>1760992040.94615</v>
      </c>
      <c r="J158">
        <f>(K158)/1000</f>
        <v>0</v>
      </c>
      <c r="K158">
        <f>IF(DP158, AN158, AH158)</f>
        <v>0</v>
      </c>
      <c r="L158">
        <f>IF(DP158, AI158, AG158)</f>
        <v>0</v>
      </c>
      <c r="M158">
        <f>DR158 - IF(AU158&gt;1, L158*DL158*100.0/(AW158), 0)</f>
        <v>0</v>
      </c>
      <c r="N158">
        <f>((T158-J158/2)*M158-L158)/(T158+J158/2)</f>
        <v>0</v>
      </c>
      <c r="O158">
        <f>N158*(DY158+DZ158)/1000.0</f>
        <v>0</v>
      </c>
      <c r="P158">
        <f>(DR158 - IF(AU158&gt;1, L158*DL158*100.0/(AW158), 0))*(DY158+DZ158)/1000.0</f>
        <v>0</v>
      </c>
      <c r="Q158">
        <f>2.0/((1/S158-1/R158)+SIGN(S158)*SQRT((1/S158-1/R158)*(1/S158-1/R158) + 4*DM158/((DM158+1)*(DM158+1))*(2*1/S158*1/R158-1/R158*1/R158)))</f>
        <v>0</v>
      </c>
      <c r="R158">
        <f>IF(LEFT(DN158,1)&lt;&gt;"0",IF(LEFT(DN158,1)="1",3.0,DO158),$D$5+$E$5*(EF158*DY158/($K$5*1000))+$F$5*(EF158*DY158/($K$5*1000))*MAX(MIN(DL158,$J$5),$I$5)*MAX(MIN(DL158,$J$5),$I$5)+$G$5*MAX(MIN(DL158,$J$5),$I$5)*(EF158*DY158/($K$5*1000))+$H$5*(EF158*DY158/($K$5*1000))*(EF158*DY158/($K$5*1000)))</f>
        <v>0</v>
      </c>
      <c r="S158">
        <f>J158*(1000-(1000*0.61365*exp(17.502*W158/(240.97+W158))/(DY158+DZ158)+DT158)/2)/(1000*0.61365*exp(17.502*W158/(240.97+W158))/(DY158+DZ158)-DT158)</f>
        <v>0</v>
      </c>
      <c r="T158">
        <f>1/((DM158+1)/(Q158/1.6)+1/(R158/1.37)) + DM158/((DM158+1)/(Q158/1.6) + DM158/(R158/1.37))</f>
        <v>0</v>
      </c>
      <c r="U158">
        <f>(DH158*DK158)</f>
        <v>0</v>
      </c>
      <c r="V158">
        <f>(EA158+(U158+2*0.95*5.67E-8*(((EA158+$B$7)+273)^4-(EA158+273)^4)-44100*J158)/(1.84*29.3*R158+8*0.95*5.67E-8*(EA158+273)^3))</f>
        <v>0</v>
      </c>
      <c r="W158">
        <f>($C$7*EB158+$D$7*EC158+$E$7*V158)</f>
        <v>0</v>
      </c>
      <c r="X158">
        <f>0.61365*exp(17.502*W158/(240.97+W158))</f>
        <v>0</v>
      </c>
      <c r="Y158">
        <f>(Z158/AA158*100)</f>
        <v>0</v>
      </c>
      <c r="Z158">
        <f>DT158*(DY158+DZ158)/1000</f>
        <v>0</v>
      </c>
      <c r="AA158">
        <f>0.61365*exp(17.502*EA158/(240.97+EA158))</f>
        <v>0</v>
      </c>
      <c r="AB158">
        <f>(X158-DT158*(DY158+DZ158)/1000)</f>
        <v>0</v>
      </c>
      <c r="AC158">
        <f>(-J158*44100)</f>
        <v>0</v>
      </c>
      <c r="AD158">
        <f>2*29.3*R158*0.92*(EA158-W158)</f>
        <v>0</v>
      </c>
      <c r="AE158">
        <f>2*0.95*5.67E-8*(((EA158+$B$7)+273)^4-(W158+273)^4)</f>
        <v>0</v>
      </c>
      <c r="AF158">
        <f>U158+AE158+AC158+AD158</f>
        <v>0</v>
      </c>
      <c r="AG158">
        <f>DX158*AU158*(DS158-DR158*(1000-AU158*DU158)/(1000-AU158*DT158))/(100*DL158)</f>
        <v>0</v>
      </c>
      <c r="AH158">
        <f>1000*DX158*AU158*(DT158-DU158)/(100*DL158*(1000-AU158*DT158))</f>
        <v>0</v>
      </c>
      <c r="AI158">
        <f>(AJ158 - AK158 - DY158*1E3/(8.314*(EA158+273.15)) * AM158/DX158 * AL158) * DX158/(100*DL158) * (1000 - DU158)/1000</f>
        <v>0</v>
      </c>
      <c r="AJ158">
        <v>630.230580656999</v>
      </c>
      <c r="AK158">
        <v>593.014533333333</v>
      </c>
      <c r="AL158">
        <v>3.29120451079258</v>
      </c>
      <c r="AM158">
        <v>65.2210784119795</v>
      </c>
      <c r="AN158">
        <f>(AP158 - AO158 + DY158*1E3/(8.314*(EA158+273.15)) * AR158/DX158 * AQ158) * DX158/(100*DL158) * 1000/(1000 - AP158)</f>
        <v>0</v>
      </c>
      <c r="AO158">
        <v>9.70097322516073</v>
      </c>
      <c r="AP158">
        <v>11.8031315151515</v>
      </c>
      <c r="AQ158">
        <v>1.12113828361618e-05</v>
      </c>
      <c r="AR158">
        <v>115.574510355221</v>
      </c>
      <c r="AS158">
        <v>0</v>
      </c>
      <c r="AT158">
        <v>0</v>
      </c>
      <c r="AU158">
        <f>IF(AS158*$H$13&gt;=AW158,1.0,(AW158/(AW158-AS158*$H$13)))</f>
        <v>0</v>
      </c>
      <c r="AV158">
        <f>(AU158-1)*100</f>
        <v>0</v>
      </c>
      <c r="AW158">
        <f>MAX(0,($B$13+$C$13*EF158)/(1+$D$13*EF158)*DY158/(EA158+273)*$E$13)</f>
        <v>0</v>
      </c>
      <c r="AX158" t="s">
        <v>437</v>
      </c>
      <c r="AY158" t="s">
        <v>437</v>
      </c>
      <c r="AZ158">
        <v>0</v>
      </c>
      <c r="BA158">
        <v>0</v>
      </c>
      <c r="BB158">
        <f>1-AZ158/BA158</f>
        <v>0</v>
      </c>
      <c r="BC158">
        <v>0</v>
      </c>
      <c r="BD158" t="s">
        <v>437</v>
      </c>
      <c r="BE158" t="s">
        <v>437</v>
      </c>
      <c r="BF158">
        <v>0</v>
      </c>
      <c r="BG158">
        <v>0</v>
      </c>
      <c r="BH158">
        <f>1-BF158/BG158</f>
        <v>0</v>
      </c>
      <c r="BI158">
        <v>0.5</v>
      </c>
      <c r="BJ158">
        <f>DI158</f>
        <v>0</v>
      </c>
      <c r="BK158">
        <f>L158</f>
        <v>0</v>
      </c>
      <c r="BL158">
        <f>BH158*BI158*BJ158</f>
        <v>0</v>
      </c>
      <c r="BM158">
        <f>(BK158-BC158)/BJ158</f>
        <v>0</v>
      </c>
      <c r="BN158">
        <f>(BA158-BG158)/BG158</f>
        <v>0</v>
      </c>
      <c r="BO158">
        <f>AZ158/(BB158+AZ158/BG158)</f>
        <v>0</v>
      </c>
      <c r="BP158" t="s">
        <v>437</v>
      </c>
      <c r="BQ158">
        <v>0</v>
      </c>
      <c r="BR158">
        <f>IF(BQ158&lt;&gt;0, BQ158, BO158)</f>
        <v>0</v>
      </c>
      <c r="BS158">
        <f>1-BR158/BG158</f>
        <v>0</v>
      </c>
      <c r="BT158">
        <f>(BG158-BF158)/(BG158-BR158)</f>
        <v>0</v>
      </c>
      <c r="BU158">
        <f>(BA158-BG158)/(BA158-BR158)</f>
        <v>0</v>
      </c>
      <c r="BV158">
        <f>(BG158-BF158)/(BG158-AZ158)</f>
        <v>0</v>
      </c>
      <c r="BW158">
        <f>(BA158-BG158)/(BA158-AZ158)</f>
        <v>0</v>
      </c>
      <c r="BX158">
        <f>(BT158*BR158/BF158)</f>
        <v>0</v>
      </c>
      <c r="BY158">
        <f>(1-BX158)</f>
        <v>0</v>
      </c>
      <c r="BZ158">
        <v>282</v>
      </c>
      <c r="CA158">
        <v>290</v>
      </c>
      <c r="CB158">
        <v>1577.74</v>
      </c>
      <c r="CC158">
        <v>295</v>
      </c>
      <c r="CD158">
        <v>5140.93</v>
      </c>
      <c r="CE158">
        <v>1578.58</v>
      </c>
      <c r="CF158">
        <v>-0.84</v>
      </c>
      <c r="CG158">
        <v>300</v>
      </c>
      <c r="CH158">
        <v>23.8</v>
      </c>
      <c r="CI158">
        <v>1633.28263291266</v>
      </c>
      <c r="CJ158">
        <v>1.49577129053257</v>
      </c>
      <c r="CK158">
        <v>-28.1203876934379</v>
      </c>
      <c r="CL158">
        <v>0.666413418688897</v>
      </c>
      <c r="CM158">
        <v>0.984518017981194</v>
      </c>
      <c r="CN158">
        <v>-0.00424727541713014</v>
      </c>
      <c r="CO158">
        <v>290</v>
      </c>
      <c r="CP158">
        <v>1576.56</v>
      </c>
      <c r="CQ158">
        <v>775</v>
      </c>
      <c r="CR158">
        <v>5139.5</v>
      </c>
      <c r="CS158">
        <v>1578.57</v>
      </c>
      <c r="CT158">
        <v>-2.01</v>
      </c>
      <c r="DH158">
        <f>$B$11*EG158+$C$11*EH158+$F$11*ES158*(1-EV158)</f>
        <v>0</v>
      </c>
      <c r="DI158">
        <f>DH158*DJ158</f>
        <v>0</v>
      </c>
      <c r="DJ158">
        <f>($B$11*$D$9+$C$11*$D$9+$F$11*((FF158+EX158)/MAX(FF158+EX158+FG158, 0.1)*$I$9+FG158/MAX(FF158+EX158+FG158, 0.1)*$J$9))/($B$11+$C$11+$F$11)</f>
        <v>0</v>
      </c>
      <c r="DK158">
        <f>($B$11*$K$9+$C$11*$K$9+$F$11*((FF158+EX158)/MAX(FF158+EX158+FG158, 0.1)*$P$9+FG158/MAX(FF158+EX158+FG158, 0.1)*$Q$9))/($B$11+$C$11+$F$11)</f>
        <v>0</v>
      </c>
      <c r="DL158">
        <v>6</v>
      </c>
      <c r="DM158">
        <v>0.5</v>
      </c>
      <c r="DN158" t="s">
        <v>438</v>
      </c>
      <c r="DO158">
        <v>2</v>
      </c>
      <c r="DP158" t="b">
        <v>1</v>
      </c>
      <c r="DQ158">
        <v>1760992040.94615</v>
      </c>
      <c r="DR158">
        <v>562.415538461539</v>
      </c>
      <c r="DS158">
        <v>608.093</v>
      </c>
      <c r="DT158">
        <v>11.8004692307692</v>
      </c>
      <c r="DU158">
        <v>9.70240153846154</v>
      </c>
      <c r="DV158">
        <v>558.999307692308</v>
      </c>
      <c r="DW158">
        <v>11.9118076923077</v>
      </c>
      <c r="DX158">
        <v>500.026384615385</v>
      </c>
      <c r="DY158">
        <v>89.8366461538461</v>
      </c>
      <c r="DZ158">
        <v>0.00870782461538461</v>
      </c>
      <c r="EA158">
        <v>18.3855846153846</v>
      </c>
      <c r="EB158">
        <v>17.9859230769231</v>
      </c>
      <c r="EC158">
        <v>999.9</v>
      </c>
      <c r="ED158">
        <v>0</v>
      </c>
      <c r="EE158">
        <v>0</v>
      </c>
      <c r="EF158">
        <v>10010.1538461538</v>
      </c>
      <c r="EG158">
        <v>0</v>
      </c>
      <c r="EH158">
        <v>1278.75307692308</v>
      </c>
      <c r="EI158">
        <v>-45.6775846153846</v>
      </c>
      <c r="EJ158">
        <v>569.131461538462</v>
      </c>
      <c r="EK158">
        <v>614.050846153846</v>
      </c>
      <c r="EL158">
        <v>2.09806615384615</v>
      </c>
      <c r="EM158">
        <v>608.093</v>
      </c>
      <c r="EN158">
        <v>9.70240153846154</v>
      </c>
      <c r="EO158">
        <v>1.06011538461538</v>
      </c>
      <c r="EP158">
        <v>0.871631307692308</v>
      </c>
      <c r="EQ158">
        <v>7.76985230769231</v>
      </c>
      <c r="ER158">
        <v>4.93068461538462</v>
      </c>
      <c r="ES158">
        <v>1199.99846153846</v>
      </c>
      <c r="ET158">
        <v>0.967009461538461</v>
      </c>
      <c r="EU158">
        <v>0.0329903153846154</v>
      </c>
      <c r="EV158">
        <v>0</v>
      </c>
      <c r="EW158">
        <v>1253.21615384615</v>
      </c>
      <c r="EX158">
        <v>5.00059</v>
      </c>
      <c r="EY158">
        <v>14838.1769230769</v>
      </c>
      <c r="EZ158">
        <v>10358.7307692308</v>
      </c>
      <c r="FA158">
        <v>38.5430769230769</v>
      </c>
      <c r="FB158">
        <v>41.4084615384615</v>
      </c>
      <c r="FC158">
        <v>39.0670769230769</v>
      </c>
      <c r="FD158">
        <v>41.495</v>
      </c>
      <c r="FE158">
        <v>39.6728461538462</v>
      </c>
      <c r="FF158">
        <v>1155.57692307692</v>
      </c>
      <c r="FG158">
        <v>39.42</v>
      </c>
      <c r="FH158">
        <v>0</v>
      </c>
      <c r="FI158">
        <v>905</v>
      </c>
      <c r="FJ158">
        <v>0</v>
      </c>
      <c r="FK158">
        <v>1253.46576923077</v>
      </c>
      <c r="FL158">
        <v>17.4547008512262</v>
      </c>
      <c r="FM158">
        <v>239.22051281712</v>
      </c>
      <c r="FN158">
        <v>14841.3384615385</v>
      </c>
      <c r="FO158">
        <v>15</v>
      </c>
      <c r="FP158">
        <v>0</v>
      </c>
      <c r="FQ158" t="s">
        <v>439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-45.6727904761905</v>
      </c>
      <c r="GD158">
        <v>-2.99338704283429</v>
      </c>
      <c r="GE158">
        <v>0.746540560506075</v>
      </c>
      <c r="GF158">
        <v>0</v>
      </c>
      <c r="GG158">
        <v>1252.36352941176</v>
      </c>
      <c r="GH158">
        <v>18.0241405445638</v>
      </c>
      <c r="GI158">
        <v>1.78269439555928</v>
      </c>
      <c r="GJ158">
        <v>-1</v>
      </c>
      <c r="GK158">
        <v>2.09669285714286</v>
      </c>
      <c r="GL158">
        <v>0.0296240976129691</v>
      </c>
      <c r="GM158">
        <v>0.00303077413159326</v>
      </c>
      <c r="GN158">
        <v>1</v>
      </c>
      <c r="GO158">
        <v>1</v>
      </c>
      <c r="GP158">
        <v>2</v>
      </c>
      <c r="GQ158" t="s">
        <v>446</v>
      </c>
      <c r="GR158">
        <v>3.1308</v>
      </c>
      <c r="GS158">
        <v>2.68652</v>
      </c>
      <c r="GT158">
        <v>0.115108</v>
      </c>
      <c r="GU158">
        <v>0.122075</v>
      </c>
      <c r="GV158">
        <v>0.0616462</v>
      </c>
      <c r="GW158">
        <v>0.0528549</v>
      </c>
      <c r="GX158">
        <v>33533.4</v>
      </c>
      <c r="GY158">
        <v>35750.2</v>
      </c>
      <c r="GZ158">
        <v>34263.5</v>
      </c>
      <c r="HA158">
        <v>36846.6</v>
      </c>
      <c r="HB158">
        <v>45354.5</v>
      </c>
      <c r="HC158">
        <v>50046.4</v>
      </c>
      <c r="HD158">
        <v>53337.5</v>
      </c>
      <c r="HE158">
        <v>58774.4</v>
      </c>
      <c r="HF158">
        <v>2.00785</v>
      </c>
      <c r="HG158">
        <v>1.83585</v>
      </c>
      <c r="HH158">
        <v>0.0083074</v>
      </c>
      <c r="HI158">
        <v>0</v>
      </c>
      <c r="HJ158">
        <v>17.8602</v>
      </c>
      <c r="HK158">
        <v>999.9</v>
      </c>
      <c r="HL158">
        <v>26.889</v>
      </c>
      <c r="HM158">
        <v>30.464</v>
      </c>
      <c r="HN158">
        <v>13.096</v>
      </c>
      <c r="HO158">
        <v>53.8027</v>
      </c>
      <c r="HP158">
        <v>44.3229</v>
      </c>
      <c r="HQ158">
        <v>1</v>
      </c>
      <c r="HR158">
        <v>-0.263209</v>
      </c>
      <c r="HS158">
        <v>4.53559</v>
      </c>
      <c r="HT158">
        <v>20.0799</v>
      </c>
      <c r="HU158">
        <v>5.20217</v>
      </c>
      <c r="HV158">
        <v>12.004</v>
      </c>
      <c r="HW158">
        <v>4.9754</v>
      </c>
      <c r="HX158">
        <v>3.29295</v>
      </c>
      <c r="HY158">
        <v>9999</v>
      </c>
      <c r="HZ158">
        <v>999.9</v>
      </c>
      <c r="IA158">
        <v>9999</v>
      </c>
      <c r="IB158">
        <v>9999</v>
      </c>
      <c r="IC158">
        <v>1.86323</v>
      </c>
      <c r="ID158">
        <v>1.86809</v>
      </c>
      <c r="IE158">
        <v>1.86783</v>
      </c>
      <c r="IF158">
        <v>1.86904</v>
      </c>
      <c r="IG158">
        <v>1.8698</v>
      </c>
      <c r="IH158">
        <v>1.86584</v>
      </c>
      <c r="II158">
        <v>1.86691</v>
      </c>
      <c r="IJ158">
        <v>1.86839</v>
      </c>
      <c r="IK158">
        <v>5</v>
      </c>
      <c r="IL158">
        <v>0</v>
      </c>
      <c r="IM158">
        <v>0</v>
      </c>
      <c r="IN158">
        <v>0</v>
      </c>
      <c r="IO158" t="s">
        <v>441</v>
      </c>
      <c r="IP158" t="s">
        <v>442</v>
      </c>
      <c r="IQ158" t="s">
        <v>443</v>
      </c>
      <c r="IR158" t="s">
        <v>443</v>
      </c>
      <c r="IS158" t="s">
        <v>443</v>
      </c>
      <c r="IT158" t="s">
        <v>443</v>
      </c>
      <c r="IU158">
        <v>0</v>
      </c>
      <c r="IV158">
        <v>100</v>
      </c>
      <c r="IW158">
        <v>100</v>
      </c>
      <c r="IX158">
        <v>3.514</v>
      </c>
      <c r="IY158">
        <v>-0.1113</v>
      </c>
      <c r="IZ158">
        <v>1.12474291219083</v>
      </c>
      <c r="JA158">
        <v>0.00463155566490582</v>
      </c>
      <c r="JB158">
        <v>-1.1358998729424e-06</v>
      </c>
      <c r="JC158">
        <v>3.28704272115545e-10</v>
      </c>
      <c r="JD158">
        <v>-0.0704455108513773</v>
      </c>
      <c r="JE158">
        <v>-0.0251928478371425</v>
      </c>
      <c r="JF158">
        <v>0.00225751704194564</v>
      </c>
      <c r="JG158">
        <v>-3.61734043746866e-05</v>
      </c>
      <c r="JH158">
        <v>1</v>
      </c>
      <c r="JI158">
        <v>2182</v>
      </c>
      <c r="JJ158">
        <v>0</v>
      </c>
      <c r="JK158">
        <v>24</v>
      </c>
      <c r="JL158">
        <v>29349867.5</v>
      </c>
      <c r="JM158">
        <v>29349867.5</v>
      </c>
      <c r="JN158">
        <v>1.4209</v>
      </c>
      <c r="JO158">
        <v>2.62695</v>
      </c>
      <c r="JP158">
        <v>1.54785</v>
      </c>
      <c r="JQ158">
        <v>2.31323</v>
      </c>
      <c r="JR158">
        <v>1.64673</v>
      </c>
      <c r="JS158">
        <v>2.42065</v>
      </c>
      <c r="JT158">
        <v>33.6479</v>
      </c>
      <c r="JU158">
        <v>24.1926</v>
      </c>
      <c r="JV158">
        <v>18</v>
      </c>
      <c r="JW158">
        <v>500.447</v>
      </c>
      <c r="JX158">
        <v>393.725</v>
      </c>
      <c r="JY158">
        <v>11.667</v>
      </c>
      <c r="JZ158">
        <v>23.9752</v>
      </c>
      <c r="KA158">
        <v>30.0001</v>
      </c>
      <c r="KB158">
        <v>23.96</v>
      </c>
      <c r="KC158">
        <v>23.9269</v>
      </c>
      <c r="KD158">
        <v>28.5105</v>
      </c>
      <c r="KE158">
        <v>10.7727</v>
      </c>
      <c r="KF158">
        <v>26.9061</v>
      </c>
      <c r="KG158">
        <v>11.6764</v>
      </c>
      <c r="KH158">
        <v>656.435</v>
      </c>
      <c r="KI158">
        <v>9.66338</v>
      </c>
      <c r="KJ158">
        <v>97.0369</v>
      </c>
      <c r="KK158">
        <v>95.2989</v>
      </c>
    </row>
    <row r="159" spans="1:297">
      <c r="A159">
        <v>143</v>
      </c>
      <c r="B159">
        <v>1760992054.1</v>
      </c>
      <c r="C159">
        <v>2864</v>
      </c>
      <c r="D159" t="s">
        <v>739</v>
      </c>
      <c r="E159" t="s">
        <v>740</v>
      </c>
      <c r="F159">
        <v>5</v>
      </c>
      <c r="G159" t="s">
        <v>662</v>
      </c>
      <c r="H159" t="s">
        <v>436</v>
      </c>
      <c r="I159">
        <v>1760992045.94615</v>
      </c>
      <c r="J159">
        <f>(K159)/1000</f>
        <v>0</v>
      </c>
      <c r="K159">
        <f>IF(DP159, AN159, AH159)</f>
        <v>0</v>
      </c>
      <c r="L159">
        <f>IF(DP159, AI159, AG159)</f>
        <v>0</v>
      </c>
      <c r="M159">
        <f>DR159 - IF(AU159&gt;1, L159*DL159*100.0/(AW159), 0)</f>
        <v>0</v>
      </c>
      <c r="N159">
        <f>((T159-J159/2)*M159-L159)/(T159+J159/2)</f>
        <v>0</v>
      </c>
      <c r="O159">
        <f>N159*(DY159+DZ159)/1000.0</f>
        <v>0</v>
      </c>
      <c r="P159">
        <f>(DR159 - IF(AU159&gt;1, L159*DL159*100.0/(AW159), 0))*(DY159+DZ159)/1000.0</f>
        <v>0</v>
      </c>
      <c r="Q159">
        <f>2.0/((1/S159-1/R159)+SIGN(S159)*SQRT((1/S159-1/R159)*(1/S159-1/R159) + 4*DM159/((DM159+1)*(DM159+1))*(2*1/S159*1/R159-1/R159*1/R159)))</f>
        <v>0</v>
      </c>
      <c r="R159">
        <f>IF(LEFT(DN159,1)&lt;&gt;"0",IF(LEFT(DN159,1)="1",3.0,DO159),$D$5+$E$5*(EF159*DY159/($K$5*1000))+$F$5*(EF159*DY159/($K$5*1000))*MAX(MIN(DL159,$J$5),$I$5)*MAX(MIN(DL159,$J$5),$I$5)+$G$5*MAX(MIN(DL159,$J$5),$I$5)*(EF159*DY159/($K$5*1000))+$H$5*(EF159*DY159/($K$5*1000))*(EF159*DY159/($K$5*1000)))</f>
        <v>0</v>
      </c>
      <c r="S159">
        <f>J159*(1000-(1000*0.61365*exp(17.502*W159/(240.97+W159))/(DY159+DZ159)+DT159)/2)/(1000*0.61365*exp(17.502*W159/(240.97+W159))/(DY159+DZ159)-DT159)</f>
        <v>0</v>
      </c>
      <c r="T159">
        <f>1/((DM159+1)/(Q159/1.6)+1/(R159/1.37)) + DM159/((DM159+1)/(Q159/1.6) + DM159/(R159/1.37))</f>
        <v>0</v>
      </c>
      <c r="U159">
        <f>(DH159*DK159)</f>
        <v>0</v>
      </c>
      <c r="V159">
        <f>(EA159+(U159+2*0.95*5.67E-8*(((EA159+$B$7)+273)^4-(EA159+273)^4)-44100*J159)/(1.84*29.3*R159+8*0.95*5.67E-8*(EA159+273)^3))</f>
        <v>0</v>
      </c>
      <c r="W159">
        <f>($C$7*EB159+$D$7*EC159+$E$7*V159)</f>
        <v>0</v>
      </c>
      <c r="X159">
        <f>0.61365*exp(17.502*W159/(240.97+W159))</f>
        <v>0</v>
      </c>
      <c r="Y159">
        <f>(Z159/AA159*100)</f>
        <v>0</v>
      </c>
      <c r="Z159">
        <f>DT159*(DY159+DZ159)/1000</f>
        <v>0</v>
      </c>
      <c r="AA159">
        <f>0.61365*exp(17.502*EA159/(240.97+EA159))</f>
        <v>0</v>
      </c>
      <c r="AB159">
        <f>(X159-DT159*(DY159+DZ159)/1000)</f>
        <v>0</v>
      </c>
      <c r="AC159">
        <f>(-J159*44100)</f>
        <v>0</v>
      </c>
      <c r="AD159">
        <f>2*29.3*R159*0.92*(EA159-W159)</f>
        <v>0</v>
      </c>
      <c r="AE159">
        <f>2*0.95*5.67E-8*(((EA159+$B$7)+273)^4-(W159+273)^4)</f>
        <v>0</v>
      </c>
      <c r="AF159">
        <f>U159+AE159+AC159+AD159</f>
        <v>0</v>
      </c>
      <c r="AG159">
        <f>DX159*AU159*(DS159-DR159*(1000-AU159*DU159)/(1000-AU159*DT159))/(100*DL159)</f>
        <v>0</v>
      </c>
      <c r="AH159">
        <f>1000*DX159*AU159*(DT159-DU159)/(100*DL159*(1000-AU159*DT159))</f>
        <v>0</v>
      </c>
      <c r="AI159">
        <f>(AJ159 - AK159 - DY159*1E3/(8.314*(EA159+273.15)) * AM159/DX159 * AL159) * DX159/(100*DL159) * (1000 - DU159)/1000</f>
        <v>0</v>
      </c>
      <c r="AJ159">
        <v>647.853609078931</v>
      </c>
      <c r="AK159">
        <v>610.069412121212</v>
      </c>
      <c r="AL159">
        <v>3.42749064774423</v>
      </c>
      <c r="AM159">
        <v>65.2210784119795</v>
      </c>
      <c r="AN159">
        <f>(AP159 - AO159 + DY159*1E3/(8.314*(EA159+273.15)) * AR159/DX159 * AQ159) * DX159/(100*DL159) * 1000/(1000 - AP159)</f>
        <v>0</v>
      </c>
      <c r="AO159">
        <v>9.69948902096429</v>
      </c>
      <c r="AP159">
        <v>11.8074412121212</v>
      </c>
      <c r="AQ159">
        <v>1.84827250844952e-05</v>
      </c>
      <c r="AR159">
        <v>115.574510355221</v>
      </c>
      <c r="AS159">
        <v>0</v>
      </c>
      <c r="AT159">
        <v>0</v>
      </c>
      <c r="AU159">
        <f>IF(AS159*$H$13&gt;=AW159,1.0,(AW159/(AW159-AS159*$H$13)))</f>
        <v>0</v>
      </c>
      <c r="AV159">
        <f>(AU159-1)*100</f>
        <v>0</v>
      </c>
      <c r="AW159">
        <f>MAX(0,($B$13+$C$13*EF159)/(1+$D$13*EF159)*DY159/(EA159+273)*$E$13)</f>
        <v>0</v>
      </c>
      <c r="AX159" t="s">
        <v>437</v>
      </c>
      <c r="AY159" t="s">
        <v>437</v>
      </c>
      <c r="AZ159">
        <v>0</v>
      </c>
      <c r="BA159">
        <v>0</v>
      </c>
      <c r="BB159">
        <f>1-AZ159/BA159</f>
        <v>0</v>
      </c>
      <c r="BC159">
        <v>0</v>
      </c>
      <c r="BD159" t="s">
        <v>437</v>
      </c>
      <c r="BE159" t="s">
        <v>437</v>
      </c>
      <c r="BF159">
        <v>0</v>
      </c>
      <c r="BG159">
        <v>0</v>
      </c>
      <c r="BH159">
        <f>1-BF159/BG159</f>
        <v>0</v>
      </c>
      <c r="BI159">
        <v>0.5</v>
      </c>
      <c r="BJ159">
        <f>DI159</f>
        <v>0</v>
      </c>
      <c r="BK159">
        <f>L159</f>
        <v>0</v>
      </c>
      <c r="BL159">
        <f>BH159*BI159*BJ159</f>
        <v>0</v>
      </c>
      <c r="BM159">
        <f>(BK159-BC159)/BJ159</f>
        <v>0</v>
      </c>
      <c r="BN159">
        <f>(BA159-BG159)/BG159</f>
        <v>0</v>
      </c>
      <c r="BO159">
        <f>AZ159/(BB159+AZ159/BG159)</f>
        <v>0</v>
      </c>
      <c r="BP159" t="s">
        <v>437</v>
      </c>
      <c r="BQ159">
        <v>0</v>
      </c>
      <c r="BR159">
        <f>IF(BQ159&lt;&gt;0, BQ159, BO159)</f>
        <v>0</v>
      </c>
      <c r="BS159">
        <f>1-BR159/BG159</f>
        <v>0</v>
      </c>
      <c r="BT159">
        <f>(BG159-BF159)/(BG159-BR159)</f>
        <v>0</v>
      </c>
      <c r="BU159">
        <f>(BA159-BG159)/(BA159-BR159)</f>
        <v>0</v>
      </c>
      <c r="BV159">
        <f>(BG159-BF159)/(BG159-AZ159)</f>
        <v>0</v>
      </c>
      <c r="BW159">
        <f>(BA159-BG159)/(BA159-AZ159)</f>
        <v>0</v>
      </c>
      <c r="BX159">
        <f>(BT159*BR159/BF159)</f>
        <v>0</v>
      </c>
      <c r="BY159">
        <f>(1-BX159)</f>
        <v>0</v>
      </c>
      <c r="BZ159">
        <v>282</v>
      </c>
      <c r="CA159">
        <v>290</v>
      </c>
      <c r="CB159">
        <v>1577.74</v>
      </c>
      <c r="CC159">
        <v>295</v>
      </c>
      <c r="CD159">
        <v>5140.93</v>
      </c>
      <c r="CE159">
        <v>1578.58</v>
      </c>
      <c r="CF159">
        <v>-0.84</v>
      </c>
      <c r="CG159">
        <v>300</v>
      </c>
      <c r="CH159">
        <v>23.8</v>
      </c>
      <c r="CI159">
        <v>1633.28263291266</v>
      </c>
      <c r="CJ159">
        <v>1.49577129053257</v>
      </c>
      <c r="CK159">
        <v>-28.1203876934379</v>
      </c>
      <c r="CL159">
        <v>0.666413418688897</v>
      </c>
      <c r="CM159">
        <v>0.984518017981194</v>
      </c>
      <c r="CN159">
        <v>-0.00424727541713014</v>
      </c>
      <c r="CO159">
        <v>290</v>
      </c>
      <c r="CP159">
        <v>1576.56</v>
      </c>
      <c r="CQ159">
        <v>775</v>
      </c>
      <c r="CR159">
        <v>5139.5</v>
      </c>
      <c r="CS159">
        <v>1578.57</v>
      </c>
      <c r="CT159">
        <v>-2.01</v>
      </c>
      <c r="DH159">
        <f>$B$11*EG159+$C$11*EH159+$F$11*ES159*(1-EV159)</f>
        <v>0</v>
      </c>
      <c r="DI159">
        <f>DH159*DJ159</f>
        <v>0</v>
      </c>
      <c r="DJ159">
        <f>($B$11*$D$9+$C$11*$D$9+$F$11*((FF159+EX159)/MAX(FF159+EX159+FG159, 0.1)*$I$9+FG159/MAX(FF159+EX159+FG159, 0.1)*$J$9))/($B$11+$C$11+$F$11)</f>
        <v>0</v>
      </c>
      <c r="DK159">
        <f>($B$11*$K$9+$C$11*$K$9+$F$11*((FF159+EX159)/MAX(FF159+EX159+FG159, 0.1)*$P$9+FG159/MAX(FF159+EX159+FG159, 0.1)*$Q$9))/($B$11+$C$11+$F$11)</f>
        <v>0</v>
      </c>
      <c r="DL159">
        <v>6</v>
      </c>
      <c r="DM159">
        <v>0.5</v>
      </c>
      <c r="DN159" t="s">
        <v>438</v>
      </c>
      <c r="DO159">
        <v>2</v>
      </c>
      <c r="DP159" t="b">
        <v>1</v>
      </c>
      <c r="DQ159">
        <v>1760992045.94615</v>
      </c>
      <c r="DR159">
        <v>578.950538461538</v>
      </c>
      <c r="DS159">
        <v>625.357230769231</v>
      </c>
      <c r="DT159">
        <v>11.8027461538462</v>
      </c>
      <c r="DU159">
        <v>9.70128923076923</v>
      </c>
      <c r="DV159">
        <v>575.474</v>
      </c>
      <c r="DW159">
        <v>11.9140461538462</v>
      </c>
      <c r="DX159">
        <v>500.003461538462</v>
      </c>
      <c r="DY159">
        <v>89.8362076923077</v>
      </c>
      <c r="DZ159">
        <v>0.00873678923076923</v>
      </c>
      <c r="EA159">
        <v>18.3916846153846</v>
      </c>
      <c r="EB159">
        <v>17.9883307692308</v>
      </c>
      <c r="EC159">
        <v>999.9</v>
      </c>
      <c r="ED159">
        <v>0</v>
      </c>
      <c r="EE159">
        <v>0</v>
      </c>
      <c r="EF159">
        <v>9991.21384615385</v>
      </c>
      <c r="EG159">
        <v>0</v>
      </c>
      <c r="EH159">
        <v>1278.72692307692</v>
      </c>
      <c r="EI159">
        <v>-46.4068153846154</v>
      </c>
      <c r="EJ159">
        <v>585.865307692308</v>
      </c>
      <c r="EK159">
        <v>631.483461538461</v>
      </c>
      <c r="EL159">
        <v>2.10144076923077</v>
      </c>
      <c r="EM159">
        <v>625.357230769231</v>
      </c>
      <c r="EN159">
        <v>9.70128923076923</v>
      </c>
      <c r="EO159">
        <v>1.06031307692308</v>
      </c>
      <c r="EP159">
        <v>0.871527076923077</v>
      </c>
      <c r="EQ159">
        <v>7.77259307692308</v>
      </c>
      <c r="ER159">
        <v>4.92897</v>
      </c>
      <c r="ES159">
        <v>1199.97692307692</v>
      </c>
      <c r="ET159">
        <v>0.967005769230769</v>
      </c>
      <c r="EU159">
        <v>0.0329940384615385</v>
      </c>
      <c r="EV159">
        <v>0</v>
      </c>
      <c r="EW159">
        <v>1254.62769230769</v>
      </c>
      <c r="EX159">
        <v>5.00059</v>
      </c>
      <c r="EY159">
        <v>14857.8</v>
      </c>
      <c r="EZ159">
        <v>10358.5307692308</v>
      </c>
      <c r="FA159">
        <v>38.6006923076923</v>
      </c>
      <c r="FB159">
        <v>41.4757692307692</v>
      </c>
      <c r="FC159">
        <v>39.1294615384615</v>
      </c>
      <c r="FD159">
        <v>41.5959230769231</v>
      </c>
      <c r="FE159">
        <v>39.7304615384615</v>
      </c>
      <c r="FF159">
        <v>1155.55230769231</v>
      </c>
      <c r="FG159">
        <v>39.4246153846154</v>
      </c>
      <c r="FH159">
        <v>0</v>
      </c>
      <c r="FI159">
        <v>909.800000190735</v>
      </c>
      <c r="FJ159">
        <v>0</v>
      </c>
      <c r="FK159">
        <v>1254.84653846154</v>
      </c>
      <c r="FL159">
        <v>18.0810256372611</v>
      </c>
      <c r="FM159">
        <v>235.381196574828</v>
      </c>
      <c r="FN159">
        <v>14860.4346153846</v>
      </c>
      <c r="FO159">
        <v>15</v>
      </c>
      <c r="FP159">
        <v>0</v>
      </c>
      <c r="FQ159" t="s">
        <v>439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-45.9846333333333</v>
      </c>
      <c r="GD159">
        <v>-6.71417922077924</v>
      </c>
      <c r="GE159">
        <v>0.924594311722629</v>
      </c>
      <c r="GF159">
        <v>0</v>
      </c>
      <c r="GG159">
        <v>1253.78264705882</v>
      </c>
      <c r="GH159">
        <v>17.7703590538243</v>
      </c>
      <c r="GI159">
        <v>1.75768448755328</v>
      </c>
      <c r="GJ159">
        <v>-1</v>
      </c>
      <c r="GK159">
        <v>2.09980476190476</v>
      </c>
      <c r="GL159">
        <v>0.0404485714285744</v>
      </c>
      <c r="GM159">
        <v>0.00421230919482826</v>
      </c>
      <c r="GN159">
        <v>1</v>
      </c>
      <c r="GO159">
        <v>1</v>
      </c>
      <c r="GP159">
        <v>2</v>
      </c>
      <c r="GQ159" t="s">
        <v>446</v>
      </c>
      <c r="GR159">
        <v>3.13061</v>
      </c>
      <c r="GS159">
        <v>2.68687</v>
      </c>
      <c r="GT159">
        <v>0.117444</v>
      </c>
      <c r="GU159">
        <v>0.124246</v>
      </c>
      <c r="GV159">
        <v>0.0616598</v>
      </c>
      <c r="GW159">
        <v>0.0528499</v>
      </c>
      <c r="GX159">
        <v>33444.9</v>
      </c>
      <c r="GY159">
        <v>35661.9</v>
      </c>
      <c r="GZ159">
        <v>34263.5</v>
      </c>
      <c r="HA159">
        <v>36846.7</v>
      </c>
      <c r="HB159">
        <v>45354</v>
      </c>
      <c r="HC159">
        <v>50046.6</v>
      </c>
      <c r="HD159">
        <v>53337.5</v>
      </c>
      <c r="HE159">
        <v>58774</v>
      </c>
      <c r="HF159">
        <v>2.0077</v>
      </c>
      <c r="HG159">
        <v>1.83602</v>
      </c>
      <c r="HH159">
        <v>0.00838563</v>
      </c>
      <c r="HI159">
        <v>0</v>
      </c>
      <c r="HJ159">
        <v>17.8602</v>
      </c>
      <c r="HK159">
        <v>999.9</v>
      </c>
      <c r="HL159">
        <v>26.889</v>
      </c>
      <c r="HM159">
        <v>30.464</v>
      </c>
      <c r="HN159">
        <v>13.0958</v>
      </c>
      <c r="HO159">
        <v>54.4427</v>
      </c>
      <c r="HP159">
        <v>44.2708</v>
      </c>
      <c r="HQ159">
        <v>1</v>
      </c>
      <c r="HR159">
        <v>-0.263229</v>
      </c>
      <c r="HS159">
        <v>4.54369</v>
      </c>
      <c r="HT159">
        <v>20.0797</v>
      </c>
      <c r="HU159">
        <v>5.20261</v>
      </c>
      <c r="HV159">
        <v>12.004</v>
      </c>
      <c r="HW159">
        <v>4.97565</v>
      </c>
      <c r="HX159">
        <v>3.29295</v>
      </c>
      <c r="HY159">
        <v>9999</v>
      </c>
      <c r="HZ159">
        <v>999.9</v>
      </c>
      <c r="IA159">
        <v>9999</v>
      </c>
      <c r="IB159">
        <v>9999</v>
      </c>
      <c r="IC159">
        <v>1.86324</v>
      </c>
      <c r="ID159">
        <v>1.86809</v>
      </c>
      <c r="IE159">
        <v>1.86783</v>
      </c>
      <c r="IF159">
        <v>1.86904</v>
      </c>
      <c r="IG159">
        <v>1.8698</v>
      </c>
      <c r="IH159">
        <v>1.86584</v>
      </c>
      <c r="II159">
        <v>1.86691</v>
      </c>
      <c r="IJ159">
        <v>1.86838</v>
      </c>
      <c r="IK159">
        <v>5</v>
      </c>
      <c r="IL159">
        <v>0</v>
      </c>
      <c r="IM159">
        <v>0</v>
      </c>
      <c r="IN159">
        <v>0</v>
      </c>
      <c r="IO159" t="s">
        <v>441</v>
      </c>
      <c r="IP159" t="s">
        <v>442</v>
      </c>
      <c r="IQ159" t="s">
        <v>443</v>
      </c>
      <c r="IR159" t="s">
        <v>443</v>
      </c>
      <c r="IS159" t="s">
        <v>443</v>
      </c>
      <c r="IT159" t="s">
        <v>443</v>
      </c>
      <c r="IU159">
        <v>0</v>
      </c>
      <c r="IV159">
        <v>100</v>
      </c>
      <c r="IW159">
        <v>100</v>
      </c>
      <c r="IX159">
        <v>3.576</v>
      </c>
      <c r="IY159">
        <v>-0.1113</v>
      </c>
      <c r="IZ159">
        <v>1.12474291219083</v>
      </c>
      <c r="JA159">
        <v>0.00463155566490582</v>
      </c>
      <c r="JB159">
        <v>-1.1358998729424e-06</v>
      </c>
      <c r="JC159">
        <v>3.28704272115545e-10</v>
      </c>
      <c r="JD159">
        <v>-0.0704455108513773</v>
      </c>
      <c r="JE159">
        <v>-0.0251928478371425</v>
      </c>
      <c r="JF159">
        <v>0.00225751704194564</v>
      </c>
      <c r="JG159">
        <v>-3.61734043746866e-05</v>
      </c>
      <c r="JH159">
        <v>1</v>
      </c>
      <c r="JI159">
        <v>2182</v>
      </c>
      <c r="JJ159">
        <v>0</v>
      </c>
      <c r="JK159">
        <v>24</v>
      </c>
      <c r="JL159">
        <v>29349867.6</v>
      </c>
      <c r="JM159">
        <v>29349867.6</v>
      </c>
      <c r="JN159">
        <v>1.44775</v>
      </c>
      <c r="JO159">
        <v>2.62939</v>
      </c>
      <c r="JP159">
        <v>1.54785</v>
      </c>
      <c r="JQ159">
        <v>2.31323</v>
      </c>
      <c r="JR159">
        <v>1.64673</v>
      </c>
      <c r="JS159">
        <v>2.37915</v>
      </c>
      <c r="JT159">
        <v>33.6479</v>
      </c>
      <c r="JU159">
        <v>24.1926</v>
      </c>
      <c r="JV159">
        <v>18</v>
      </c>
      <c r="JW159">
        <v>500.36</v>
      </c>
      <c r="JX159">
        <v>393.824</v>
      </c>
      <c r="JY159">
        <v>11.6766</v>
      </c>
      <c r="JZ159">
        <v>23.9752</v>
      </c>
      <c r="KA159">
        <v>30.0001</v>
      </c>
      <c r="KB159">
        <v>23.9609</v>
      </c>
      <c r="KC159">
        <v>23.9278</v>
      </c>
      <c r="KD159">
        <v>29.0451</v>
      </c>
      <c r="KE159">
        <v>10.7727</v>
      </c>
      <c r="KF159">
        <v>26.9061</v>
      </c>
      <c r="KG159">
        <v>11.6789</v>
      </c>
      <c r="KH159">
        <v>676.892</v>
      </c>
      <c r="KI159">
        <v>9.66338</v>
      </c>
      <c r="KJ159">
        <v>97.0368</v>
      </c>
      <c r="KK159">
        <v>95.2986</v>
      </c>
    </row>
    <row r="160" spans="1:297">
      <c r="A160">
        <v>144</v>
      </c>
      <c r="B160">
        <v>1760992059.1</v>
      </c>
      <c r="C160">
        <v>2869</v>
      </c>
      <c r="D160" t="s">
        <v>741</v>
      </c>
      <c r="E160" t="s">
        <v>742</v>
      </c>
      <c r="F160">
        <v>5</v>
      </c>
      <c r="G160" t="s">
        <v>662</v>
      </c>
      <c r="H160" t="s">
        <v>436</v>
      </c>
      <c r="I160">
        <v>1760992050.94615</v>
      </c>
      <c r="J160">
        <f>(K160)/1000</f>
        <v>0</v>
      </c>
      <c r="K160">
        <f>IF(DP160, AN160, AH160)</f>
        <v>0</v>
      </c>
      <c r="L160">
        <f>IF(DP160, AI160, AG160)</f>
        <v>0</v>
      </c>
      <c r="M160">
        <f>DR160 - IF(AU160&gt;1, L160*DL160*100.0/(AW160), 0)</f>
        <v>0</v>
      </c>
      <c r="N160">
        <f>((T160-J160/2)*M160-L160)/(T160+J160/2)</f>
        <v>0</v>
      </c>
      <c r="O160">
        <f>N160*(DY160+DZ160)/1000.0</f>
        <v>0</v>
      </c>
      <c r="P160">
        <f>(DR160 - IF(AU160&gt;1, L160*DL160*100.0/(AW160), 0))*(DY160+DZ160)/1000.0</f>
        <v>0</v>
      </c>
      <c r="Q160">
        <f>2.0/((1/S160-1/R160)+SIGN(S160)*SQRT((1/S160-1/R160)*(1/S160-1/R160) + 4*DM160/((DM160+1)*(DM160+1))*(2*1/S160*1/R160-1/R160*1/R160)))</f>
        <v>0</v>
      </c>
      <c r="R160">
        <f>IF(LEFT(DN160,1)&lt;&gt;"0",IF(LEFT(DN160,1)="1",3.0,DO160),$D$5+$E$5*(EF160*DY160/($K$5*1000))+$F$5*(EF160*DY160/($K$5*1000))*MAX(MIN(DL160,$J$5),$I$5)*MAX(MIN(DL160,$J$5),$I$5)+$G$5*MAX(MIN(DL160,$J$5),$I$5)*(EF160*DY160/($K$5*1000))+$H$5*(EF160*DY160/($K$5*1000))*(EF160*DY160/($K$5*1000)))</f>
        <v>0</v>
      </c>
      <c r="S160">
        <f>J160*(1000-(1000*0.61365*exp(17.502*W160/(240.97+W160))/(DY160+DZ160)+DT160)/2)/(1000*0.61365*exp(17.502*W160/(240.97+W160))/(DY160+DZ160)-DT160)</f>
        <v>0</v>
      </c>
      <c r="T160">
        <f>1/((DM160+1)/(Q160/1.6)+1/(R160/1.37)) + DM160/((DM160+1)/(Q160/1.6) + DM160/(R160/1.37))</f>
        <v>0</v>
      </c>
      <c r="U160">
        <f>(DH160*DK160)</f>
        <v>0</v>
      </c>
      <c r="V160">
        <f>(EA160+(U160+2*0.95*5.67E-8*(((EA160+$B$7)+273)^4-(EA160+273)^4)-44100*J160)/(1.84*29.3*R160+8*0.95*5.67E-8*(EA160+273)^3))</f>
        <v>0</v>
      </c>
      <c r="W160">
        <f>($C$7*EB160+$D$7*EC160+$E$7*V160)</f>
        <v>0</v>
      </c>
      <c r="X160">
        <f>0.61365*exp(17.502*W160/(240.97+W160))</f>
        <v>0</v>
      </c>
      <c r="Y160">
        <f>(Z160/AA160*100)</f>
        <v>0</v>
      </c>
      <c r="Z160">
        <f>DT160*(DY160+DZ160)/1000</f>
        <v>0</v>
      </c>
      <c r="AA160">
        <f>0.61365*exp(17.502*EA160/(240.97+EA160))</f>
        <v>0</v>
      </c>
      <c r="AB160">
        <f>(X160-DT160*(DY160+DZ160)/1000)</f>
        <v>0</v>
      </c>
      <c r="AC160">
        <f>(-J160*44100)</f>
        <v>0</v>
      </c>
      <c r="AD160">
        <f>2*29.3*R160*0.92*(EA160-W160)</f>
        <v>0</v>
      </c>
      <c r="AE160">
        <f>2*0.95*5.67E-8*(((EA160+$B$7)+273)^4-(W160+273)^4)</f>
        <v>0</v>
      </c>
      <c r="AF160">
        <f>U160+AE160+AC160+AD160</f>
        <v>0</v>
      </c>
      <c r="AG160">
        <f>DX160*AU160*(DS160-DR160*(1000-AU160*DU160)/(1000-AU160*DT160))/(100*DL160)</f>
        <v>0</v>
      </c>
      <c r="AH160">
        <f>1000*DX160*AU160*(DT160-DU160)/(100*DL160*(1000-AU160*DT160))</f>
        <v>0</v>
      </c>
      <c r="AI160">
        <f>(AJ160 - AK160 - DY160*1E3/(8.314*(EA160+273.15)) * AM160/DX160 * AL160) * DX160/(100*DL160) * (1000 - DU160)/1000</f>
        <v>0</v>
      </c>
      <c r="AJ160">
        <v>663.962527979897</v>
      </c>
      <c r="AK160">
        <v>626.426006060606</v>
      </c>
      <c r="AL160">
        <v>3.25338050834795</v>
      </c>
      <c r="AM160">
        <v>65.2210784119795</v>
      </c>
      <c r="AN160">
        <f>(AP160 - AO160 + DY160*1E3/(8.314*(EA160+273.15)) * AR160/DX160 * AQ160) * DX160/(100*DL160) * 1000/(1000 - AP160)</f>
        <v>0</v>
      </c>
      <c r="AO160">
        <v>9.69881941169439</v>
      </c>
      <c r="AP160">
        <v>11.8100163636364</v>
      </c>
      <c r="AQ160">
        <v>1.48150998668752e-05</v>
      </c>
      <c r="AR160">
        <v>115.574510355221</v>
      </c>
      <c r="AS160">
        <v>0</v>
      </c>
      <c r="AT160">
        <v>0</v>
      </c>
      <c r="AU160">
        <f>IF(AS160*$H$13&gt;=AW160,1.0,(AW160/(AW160-AS160*$H$13)))</f>
        <v>0</v>
      </c>
      <c r="AV160">
        <f>(AU160-1)*100</f>
        <v>0</v>
      </c>
      <c r="AW160">
        <f>MAX(0,($B$13+$C$13*EF160)/(1+$D$13*EF160)*DY160/(EA160+273)*$E$13)</f>
        <v>0</v>
      </c>
      <c r="AX160" t="s">
        <v>437</v>
      </c>
      <c r="AY160" t="s">
        <v>437</v>
      </c>
      <c r="AZ160">
        <v>0</v>
      </c>
      <c r="BA160">
        <v>0</v>
      </c>
      <c r="BB160">
        <f>1-AZ160/BA160</f>
        <v>0</v>
      </c>
      <c r="BC160">
        <v>0</v>
      </c>
      <c r="BD160" t="s">
        <v>437</v>
      </c>
      <c r="BE160" t="s">
        <v>437</v>
      </c>
      <c r="BF160">
        <v>0</v>
      </c>
      <c r="BG160">
        <v>0</v>
      </c>
      <c r="BH160">
        <f>1-BF160/BG160</f>
        <v>0</v>
      </c>
      <c r="BI160">
        <v>0.5</v>
      </c>
      <c r="BJ160">
        <f>DI160</f>
        <v>0</v>
      </c>
      <c r="BK160">
        <f>L160</f>
        <v>0</v>
      </c>
      <c r="BL160">
        <f>BH160*BI160*BJ160</f>
        <v>0</v>
      </c>
      <c r="BM160">
        <f>(BK160-BC160)/BJ160</f>
        <v>0</v>
      </c>
      <c r="BN160">
        <f>(BA160-BG160)/BG160</f>
        <v>0</v>
      </c>
      <c r="BO160">
        <f>AZ160/(BB160+AZ160/BG160)</f>
        <v>0</v>
      </c>
      <c r="BP160" t="s">
        <v>437</v>
      </c>
      <c r="BQ160">
        <v>0</v>
      </c>
      <c r="BR160">
        <f>IF(BQ160&lt;&gt;0, BQ160, BO160)</f>
        <v>0</v>
      </c>
      <c r="BS160">
        <f>1-BR160/BG160</f>
        <v>0</v>
      </c>
      <c r="BT160">
        <f>(BG160-BF160)/(BG160-BR160)</f>
        <v>0</v>
      </c>
      <c r="BU160">
        <f>(BA160-BG160)/(BA160-BR160)</f>
        <v>0</v>
      </c>
      <c r="BV160">
        <f>(BG160-BF160)/(BG160-AZ160)</f>
        <v>0</v>
      </c>
      <c r="BW160">
        <f>(BA160-BG160)/(BA160-AZ160)</f>
        <v>0</v>
      </c>
      <c r="BX160">
        <f>(BT160*BR160/BF160)</f>
        <v>0</v>
      </c>
      <c r="BY160">
        <f>(1-BX160)</f>
        <v>0</v>
      </c>
      <c r="BZ160">
        <v>282</v>
      </c>
      <c r="CA160">
        <v>290</v>
      </c>
      <c r="CB160">
        <v>1577.74</v>
      </c>
      <c r="CC160">
        <v>295</v>
      </c>
      <c r="CD160">
        <v>5140.93</v>
      </c>
      <c r="CE160">
        <v>1578.58</v>
      </c>
      <c r="CF160">
        <v>-0.84</v>
      </c>
      <c r="CG160">
        <v>300</v>
      </c>
      <c r="CH160">
        <v>23.8</v>
      </c>
      <c r="CI160">
        <v>1633.28263291266</v>
      </c>
      <c r="CJ160">
        <v>1.49577129053257</v>
      </c>
      <c r="CK160">
        <v>-28.1203876934379</v>
      </c>
      <c r="CL160">
        <v>0.666413418688897</v>
      </c>
      <c r="CM160">
        <v>0.984518017981194</v>
      </c>
      <c r="CN160">
        <v>-0.00424727541713014</v>
      </c>
      <c r="CO160">
        <v>290</v>
      </c>
      <c r="CP160">
        <v>1576.56</v>
      </c>
      <c r="CQ160">
        <v>775</v>
      </c>
      <c r="CR160">
        <v>5139.5</v>
      </c>
      <c r="CS160">
        <v>1578.57</v>
      </c>
      <c r="CT160">
        <v>-2.01</v>
      </c>
      <c r="DH160">
        <f>$B$11*EG160+$C$11*EH160+$F$11*ES160*(1-EV160)</f>
        <v>0</v>
      </c>
      <c r="DI160">
        <f>DH160*DJ160</f>
        <v>0</v>
      </c>
      <c r="DJ160">
        <f>($B$11*$D$9+$C$11*$D$9+$F$11*((FF160+EX160)/MAX(FF160+EX160+FG160, 0.1)*$I$9+FG160/MAX(FF160+EX160+FG160, 0.1)*$J$9))/($B$11+$C$11+$F$11)</f>
        <v>0</v>
      </c>
      <c r="DK160">
        <f>($B$11*$K$9+$C$11*$K$9+$F$11*((FF160+EX160)/MAX(FF160+EX160+FG160, 0.1)*$P$9+FG160/MAX(FF160+EX160+FG160, 0.1)*$Q$9))/($B$11+$C$11+$F$11)</f>
        <v>0</v>
      </c>
      <c r="DL160">
        <v>6</v>
      </c>
      <c r="DM160">
        <v>0.5</v>
      </c>
      <c r="DN160" t="s">
        <v>438</v>
      </c>
      <c r="DO160">
        <v>2</v>
      </c>
      <c r="DP160" t="b">
        <v>1</v>
      </c>
      <c r="DQ160">
        <v>1760992050.94615</v>
      </c>
      <c r="DR160">
        <v>595.567076923077</v>
      </c>
      <c r="DS160">
        <v>641.936</v>
      </c>
      <c r="DT160">
        <v>11.8055769230769</v>
      </c>
      <c r="DU160">
        <v>9.70018153846154</v>
      </c>
      <c r="DV160">
        <v>592.030230769231</v>
      </c>
      <c r="DW160">
        <v>11.9168461538462</v>
      </c>
      <c r="DX160">
        <v>500.006769230769</v>
      </c>
      <c r="DY160">
        <v>89.8365230769231</v>
      </c>
      <c r="DZ160">
        <v>0.00865460692307692</v>
      </c>
      <c r="EA160">
        <v>18.3948384615385</v>
      </c>
      <c r="EB160">
        <v>17.9952692307692</v>
      </c>
      <c r="EC160">
        <v>999.9</v>
      </c>
      <c r="ED160">
        <v>0</v>
      </c>
      <c r="EE160">
        <v>0</v>
      </c>
      <c r="EF160">
        <v>10004.4753846154</v>
      </c>
      <c r="EG160">
        <v>0</v>
      </c>
      <c r="EH160">
        <v>1278.69153846154</v>
      </c>
      <c r="EI160">
        <v>-46.3689769230769</v>
      </c>
      <c r="EJ160">
        <v>602.682153846154</v>
      </c>
      <c r="EK160">
        <v>648.224</v>
      </c>
      <c r="EL160">
        <v>2.10538153846154</v>
      </c>
      <c r="EM160">
        <v>641.936</v>
      </c>
      <c r="EN160">
        <v>9.70018153846154</v>
      </c>
      <c r="EO160">
        <v>1.06057076923077</v>
      </c>
      <c r="EP160">
        <v>0.871430538461539</v>
      </c>
      <c r="EQ160">
        <v>7.77616307692308</v>
      </c>
      <c r="ER160">
        <v>4.92738076923077</v>
      </c>
      <c r="ES160">
        <v>1200.02692307692</v>
      </c>
      <c r="ET160">
        <v>0.967002307692308</v>
      </c>
      <c r="EU160">
        <v>0.0329975769230769</v>
      </c>
      <c r="EV160">
        <v>0</v>
      </c>
      <c r="EW160">
        <v>1256.08230769231</v>
      </c>
      <c r="EX160">
        <v>5.00059</v>
      </c>
      <c r="EY160">
        <v>14878.1461538462</v>
      </c>
      <c r="EZ160">
        <v>10358.9615384615</v>
      </c>
      <c r="FA160">
        <v>38.6680769230769</v>
      </c>
      <c r="FB160">
        <v>41.5479230769231</v>
      </c>
      <c r="FC160">
        <v>39.1873076923077</v>
      </c>
      <c r="FD160">
        <v>41.6872307692308</v>
      </c>
      <c r="FE160">
        <v>39.7882307692308</v>
      </c>
      <c r="FF160">
        <v>1155.59538461538</v>
      </c>
      <c r="FG160">
        <v>39.4315384615385</v>
      </c>
      <c r="FH160">
        <v>0</v>
      </c>
      <c r="FI160">
        <v>914.600000143051</v>
      </c>
      <c r="FJ160">
        <v>0</v>
      </c>
      <c r="FK160">
        <v>1256.28807692308</v>
      </c>
      <c r="FL160">
        <v>17.5066666745895</v>
      </c>
      <c r="FM160">
        <v>235.907692459257</v>
      </c>
      <c r="FN160">
        <v>14879.2884615385</v>
      </c>
      <c r="FO160">
        <v>15</v>
      </c>
      <c r="FP160">
        <v>0</v>
      </c>
      <c r="FQ160" t="s">
        <v>439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-46.40971</v>
      </c>
      <c r="GD160">
        <v>-0.586908270676644</v>
      </c>
      <c r="GE160">
        <v>0.496337766949081</v>
      </c>
      <c r="GF160">
        <v>0</v>
      </c>
      <c r="GG160">
        <v>1255.36205882353</v>
      </c>
      <c r="GH160">
        <v>17.8537815170734</v>
      </c>
      <c r="GI160">
        <v>1.76307848981423</v>
      </c>
      <c r="GJ160">
        <v>-1</v>
      </c>
      <c r="GK160">
        <v>2.103607</v>
      </c>
      <c r="GL160">
        <v>0.0500282706766912</v>
      </c>
      <c r="GM160">
        <v>0.00484481898526664</v>
      </c>
      <c r="GN160">
        <v>1</v>
      </c>
      <c r="GO160">
        <v>1</v>
      </c>
      <c r="GP160">
        <v>2</v>
      </c>
      <c r="GQ160" t="s">
        <v>446</v>
      </c>
      <c r="GR160">
        <v>3.13083</v>
      </c>
      <c r="GS160">
        <v>2.68671</v>
      </c>
      <c r="GT160">
        <v>0.119659</v>
      </c>
      <c r="GU160">
        <v>0.126477</v>
      </c>
      <c r="GV160">
        <v>0.0616732</v>
      </c>
      <c r="GW160">
        <v>0.0528489</v>
      </c>
      <c r="GX160">
        <v>33361.3</v>
      </c>
      <c r="GY160">
        <v>35571.2</v>
      </c>
      <c r="GZ160">
        <v>34263.8</v>
      </c>
      <c r="HA160">
        <v>36846.8</v>
      </c>
      <c r="HB160">
        <v>45353.8</v>
      </c>
      <c r="HC160">
        <v>50047.3</v>
      </c>
      <c r="HD160">
        <v>53337.7</v>
      </c>
      <c r="HE160">
        <v>58774.4</v>
      </c>
      <c r="HF160">
        <v>2.00817</v>
      </c>
      <c r="HG160">
        <v>1.83573</v>
      </c>
      <c r="HH160">
        <v>0.00823289</v>
      </c>
      <c r="HI160">
        <v>0</v>
      </c>
      <c r="HJ160">
        <v>17.8603</v>
      </c>
      <c r="HK160">
        <v>999.9</v>
      </c>
      <c r="HL160">
        <v>26.889</v>
      </c>
      <c r="HM160">
        <v>30.464</v>
      </c>
      <c r="HN160">
        <v>13.095</v>
      </c>
      <c r="HO160">
        <v>54.3627</v>
      </c>
      <c r="HP160">
        <v>44.391</v>
      </c>
      <c r="HQ160">
        <v>1</v>
      </c>
      <c r="HR160">
        <v>-0.263061</v>
      </c>
      <c r="HS160">
        <v>4.56399</v>
      </c>
      <c r="HT160">
        <v>20.0789</v>
      </c>
      <c r="HU160">
        <v>5.20246</v>
      </c>
      <c r="HV160">
        <v>12.004</v>
      </c>
      <c r="HW160">
        <v>4.97565</v>
      </c>
      <c r="HX160">
        <v>3.293</v>
      </c>
      <c r="HY160">
        <v>9999</v>
      </c>
      <c r="HZ160">
        <v>999.9</v>
      </c>
      <c r="IA160">
        <v>9999</v>
      </c>
      <c r="IB160">
        <v>9999</v>
      </c>
      <c r="IC160">
        <v>1.86324</v>
      </c>
      <c r="ID160">
        <v>1.8681</v>
      </c>
      <c r="IE160">
        <v>1.86783</v>
      </c>
      <c r="IF160">
        <v>1.86903</v>
      </c>
      <c r="IG160">
        <v>1.86981</v>
      </c>
      <c r="IH160">
        <v>1.86584</v>
      </c>
      <c r="II160">
        <v>1.86691</v>
      </c>
      <c r="IJ160">
        <v>1.86838</v>
      </c>
      <c r="IK160">
        <v>5</v>
      </c>
      <c r="IL160">
        <v>0</v>
      </c>
      <c r="IM160">
        <v>0</v>
      </c>
      <c r="IN160">
        <v>0</v>
      </c>
      <c r="IO160" t="s">
        <v>441</v>
      </c>
      <c r="IP160" t="s">
        <v>442</v>
      </c>
      <c r="IQ160" t="s">
        <v>443</v>
      </c>
      <c r="IR160" t="s">
        <v>443</v>
      </c>
      <c r="IS160" t="s">
        <v>443</v>
      </c>
      <c r="IT160" t="s">
        <v>443</v>
      </c>
      <c r="IU160">
        <v>0</v>
      </c>
      <c r="IV160">
        <v>100</v>
      </c>
      <c r="IW160">
        <v>100</v>
      </c>
      <c r="IX160">
        <v>3.634</v>
      </c>
      <c r="IY160">
        <v>-0.1112</v>
      </c>
      <c r="IZ160">
        <v>1.12474291219083</v>
      </c>
      <c r="JA160">
        <v>0.00463155566490582</v>
      </c>
      <c r="JB160">
        <v>-1.1358998729424e-06</v>
      </c>
      <c r="JC160">
        <v>3.28704272115545e-10</v>
      </c>
      <c r="JD160">
        <v>-0.0704455108513773</v>
      </c>
      <c r="JE160">
        <v>-0.0251928478371425</v>
      </c>
      <c r="JF160">
        <v>0.00225751704194564</v>
      </c>
      <c r="JG160">
        <v>-3.61734043746866e-05</v>
      </c>
      <c r="JH160">
        <v>1</v>
      </c>
      <c r="JI160">
        <v>2182</v>
      </c>
      <c r="JJ160">
        <v>0</v>
      </c>
      <c r="JK160">
        <v>24</v>
      </c>
      <c r="JL160">
        <v>29349867.7</v>
      </c>
      <c r="JM160">
        <v>29349867.7</v>
      </c>
      <c r="JN160">
        <v>1.47949</v>
      </c>
      <c r="JO160">
        <v>2.62817</v>
      </c>
      <c r="JP160">
        <v>1.54785</v>
      </c>
      <c r="JQ160">
        <v>2.31323</v>
      </c>
      <c r="JR160">
        <v>1.64673</v>
      </c>
      <c r="JS160">
        <v>2.39258</v>
      </c>
      <c r="JT160">
        <v>33.6479</v>
      </c>
      <c r="JU160">
        <v>24.1838</v>
      </c>
      <c r="JV160">
        <v>18</v>
      </c>
      <c r="JW160">
        <v>500.664</v>
      </c>
      <c r="JX160">
        <v>393.674</v>
      </c>
      <c r="JY160">
        <v>11.6817</v>
      </c>
      <c r="JZ160">
        <v>23.9772</v>
      </c>
      <c r="KA160">
        <v>30.0002</v>
      </c>
      <c r="KB160">
        <v>23.9609</v>
      </c>
      <c r="KC160">
        <v>23.9288</v>
      </c>
      <c r="KD160">
        <v>29.6871</v>
      </c>
      <c r="KE160">
        <v>10.7727</v>
      </c>
      <c r="KF160">
        <v>26.9061</v>
      </c>
      <c r="KG160">
        <v>11.6791</v>
      </c>
      <c r="KH160">
        <v>690.558</v>
      </c>
      <c r="KI160">
        <v>9.66338</v>
      </c>
      <c r="KJ160">
        <v>97.0374</v>
      </c>
      <c r="KK160">
        <v>95.2991</v>
      </c>
    </row>
    <row r="161" spans="1:297">
      <c r="A161">
        <v>145</v>
      </c>
      <c r="B161">
        <v>1760992064.1</v>
      </c>
      <c r="C161">
        <v>2874</v>
      </c>
      <c r="D161" t="s">
        <v>743</v>
      </c>
      <c r="E161" t="s">
        <v>744</v>
      </c>
      <c r="F161">
        <v>5</v>
      </c>
      <c r="G161" t="s">
        <v>662</v>
      </c>
      <c r="H161" t="s">
        <v>436</v>
      </c>
      <c r="I161">
        <v>1760992055.94615</v>
      </c>
      <c r="J161">
        <f>(K161)/1000</f>
        <v>0</v>
      </c>
      <c r="K161">
        <f>IF(DP161, AN161, AH161)</f>
        <v>0</v>
      </c>
      <c r="L161">
        <f>IF(DP161, AI161, AG161)</f>
        <v>0</v>
      </c>
      <c r="M161">
        <f>DR161 - IF(AU161&gt;1, L161*DL161*100.0/(AW161), 0)</f>
        <v>0</v>
      </c>
      <c r="N161">
        <f>((T161-J161/2)*M161-L161)/(T161+J161/2)</f>
        <v>0</v>
      </c>
      <c r="O161">
        <f>N161*(DY161+DZ161)/1000.0</f>
        <v>0</v>
      </c>
      <c r="P161">
        <f>(DR161 - IF(AU161&gt;1, L161*DL161*100.0/(AW161), 0))*(DY161+DZ161)/1000.0</f>
        <v>0</v>
      </c>
      <c r="Q161">
        <f>2.0/((1/S161-1/R161)+SIGN(S161)*SQRT((1/S161-1/R161)*(1/S161-1/R161) + 4*DM161/((DM161+1)*(DM161+1))*(2*1/S161*1/R161-1/R161*1/R161)))</f>
        <v>0</v>
      </c>
      <c r="R161">
        <f>IF(LEFT(DN161,1)&lt;&gt;"0",IF(LEFT(DN161,1)="1",3.0,DO161),$D$5+$E$5*(EF161*DY161/($K$5*1000))+$F$5*(EF161*DY161/($K$5*1000))*MAX(MIN(DL161,$J$5),$I$5)*MAX(MIN(DL161,$J$5),$I$5)+$G$5*MAX(MIN(DL161,$J$5),$I$5)*(EF161*DY161/($K$5*1000))+$H$5*(EF161*DY161/($K$5*1000))*(EF161*DY161/($K$5*1000)))</f>
        <v>0</v>
      </c>
      <c r="S161">
        <f>J161*(1000-(1000*0.61365*exp(17.502*W161/(240.97+W161))/(DY161+DZ161)+DT161)/2)/(1000*0.61365*exp(17.502*W161/(240.97+W161))/(DY161+DZ161)-DT161)</f>
        <v>0</v>
      </c>
      <c r="T161">
        <f>1/((DM161+1)/(Q161/1.6)+1/(R161/1.37)) + DM161/((DM161+1)/(Q161/1.6) + DM161/(R161/1.37))</f>
        <v>0</v>
      </c>
      <c r="U161">
        <f>(DH161*DK161)</f>
        <v>0</v>
      </c>
      <c r="V161">
        <f>(EA161+(U161+2*0.95*5.67E-8*(((EA161+$B$7)+273)^4-(EA161+273)^4)-44100*J161)/(1.84*29.3*R161+8*0.95*5.67E-8*(EA161+273)^3))</f>
        <v>0</v>
      </c>
      <c r="W161">
        <f>($C$7*EB161+$D$7*EC161+$E$7*V161)</f>
        <v>0</v>
      </c>
      <c r="X161">
        <f>0.61365*exp(17.502*W161/(240.97+W161))</f>
        <v>0</v>
      </c>
      <c r="Y161">
        <f>(Z161/AA161*100)</f>
        <v>0</v>
      </c>
      <c r="Z161">
        <f>DT161*(DY161+DZ161)/1000</f>
        <v>0</v>
      </c>
      <c r="AA161">
        <f>0.61365*exp(17.502*EA161/(240.97+EA161))</f>
        <v>0</v>
      </c>
      <c r="AB161">
        <f>(X161-DT161*(DY161+DZ161)/1000)</f>
        <v>0</v>
      </c>
      <c r="AC161">
        <f>(-J161*44100)</f>
        <v>0</v>
      </c>
      <c r="AD161">
        <f>2*29.3*R161*0.92*(EA161-W161)</f>
        <v>0</v>
      </c>
      <c r="AE161">
        <f>2*0.95*5.67E-8*(((EA161+$B$7)+273)^4-(W161+273)^4)</f>
        <v>0</v>
      </c>
      <c r="AF161">
        <f>U161+AE161+AC161+AD161</f>
        <v>0</v>
      </c>
      <c r="AG161">
        <f>DX161*AU161*(DS161-DR161*(1000-AU161*DU161)/(1000-AU161*DT161))/(100*DL161)</f>
        <v>0</v>
      </c>
      <c r="AH161">
        <f>1000*DX161*AU161*(DT161-DU161)/(100*DL161*(1000-AU161*DT161))</f>
        <v>0</v>
      </c>
      <c r="AI161">
        <f>(AJ161 - AK161 - DY161*1E3/(8.314*(EA161+273.15)) * AM161/DX161 * AL161) * DX161/(100*DL161) * (1000 - DU161)/1000</f>
        <v>0</v>
      </c>
      <c r="AJ161">
        <v>681.251905230765</v>
      </c>
      <c r="AK161">
        <v>643.247921212121</v>
      </c>
      <c r="AL161">
        <v>3.36739457083006</v>
      </c>
      <c r="AM161">
        <v>65.2210784119795</v>
      </c>
      <c r="AN161">
        <f>(AP161 - AO161 + DY161*1E3/(8.314*(EA161+273.15)) * AR161/DX161 * AQ161) * DX161/(100*DL161) * 1000/(1000 - AP161)</f>
        <v>0</v>
      </c>
      <c r="AO161">
        <v>9.69759742707052</v>
      </c>
      <c r="AP161">
        <v>11.81224</v>
      </c>
      <c r="AQ161">
        <v>8.98290709701703e-06</v>
      </c>
      <c r="AR161">
        <v>115.574510355221</v>
      </c>
      <c r="AS161">
        <v>0</v>
      </c>
      <c r="AT161">
        <v>0</v>
      </c>
      <c r="AU161">
        <f>IF(AS161*$H$13&gt;=AW161,1.0,(AW161/(AW161-AS161*$H$13)))</f>
        <v>0</v>
      </c>
      <c r="AV161">
        <f>(AU161-1)*100</f>
        <v>0</v>
      </c>
      <c r="AW161">
        <f>MAX(0,($B$13+$C$13*EF161)/(1+$D$13*EF161)*DY161/(EA161+273)*$E$13)</f>
        <v>0</v>
      </c>
      <c r="AX161" t="s">
        <v>437</v>
      </c>
      <c r="AY161" t="s">
        <v>437</v>
      </c>
      <c r="AZ161">
        <v>0</v>
      </c>
      <c r="BA161">
        <v>0</v>
      </c>
      <c r="BB161">
        <f>1-AZ161/BA161</f>
        <v>0</v>
      </c>
      <c r="BC161">
        <v>0</v>
      </c>
      <c r="BD161" t="s">
        <v>437</v>
      </c>
      <c r="BE161" t="s">
        <v>437</v>
      </c>
      <c r="BF161">
        <v>0</v>
      </c>
      <c r="BG161">
        <v>0</v>
      </c>
      <c r="BH161">
        <f>1-BF161/BG161</f>
        <v>0</v>
      </c>
      <c r="BI161">
        <v>0.5</v>
      </c>
      <c r="BJ161">
        <f>DI161</f>
        <v>0</v>
      </c>
      <c r="BK161">
        <f>L161</f>
        <v>0</v>
      </c>
      <c r="BL161">
        <f>BH161*BI161*BJ161</f>
        <v>0</v>
      </c>
      <c r="BM161">
        <f>(BK161-BC161)/BJ161</f>
        <v>0</v>
      </c>
      <c r="BN161">
        <f>(BA161-BG161)/BG161</f>
        <v>0</v>
      </c>
      <c r="BO161">
        <f>AZ161/(BB161+AZ161/BG161)</f>
        <v>0</v>
      </c>
      <c r="BP161" t="s">
        <v>437</v>
      </c>
      <c r="BQ161">
        <v>0</v>
      </c>
      <c r="BR161">
        <f>IF(BQ161&lt;&gt;0, BQ161, BO161)</f>
        <v>0</v>
      </c>
      <c r="BS161">
        <f>1-BR161/BG161</f>
        <v>0</v>
      </c>
      <c r="BT161">
        <f>(BG161-BF161)/(BG161-BR161)</f>
        <v>0</v>
      </c>
      <c r="BU161">
        <f>(BA161-BG161)/(BA161-BR161)</f>
        <v>0</v>
      </c>
      <c r="BV161">
        <f>(BG161-BF161)/(BG161-AZ161)</f>
        <v>0</v>
      </c>
      <c r="BW161">
        <f>(BA161-BG161)/(BA161-AZ161)</f>
        <v>0</v>
      </c>
      <c r="BX161">
        <f>(BT161*BR161/BF161)</f>
        <v>0</v>
      </c>
      <c r="BY161">
        <f>(1-BX161)</f>
        <v>0</v>
      </c>
      <c r="BZ161">
        <v>282</v>
      </c>
      <c r="CA161">
        <v>290</v>
      </c>
      <c r="CB161">
        <v>1577.74</v>
      </c>
      <c r="CC161">
        <v>295</v>
      </c>
      <c r="CD161">
        <v>5140.93</v>
      </c>
      <c r="CE161">
        <v>1578.58</v>
      </c>
      <c r="CF161">
        <v>-0.84</v>
      </c>
      <c r="CG161">
        <v>300</v>
      </c>
      <c r="CH161">
        <v>23.8</v>
      </c>
      <c r="CI161">
        <v>1633.28263291266</v>
      </c>
      <c r="CJ161">
        <v>1.49577129053257</v>
      </c>
      <c r="CK161">
        <v>-28.1203876934379</v>
      </c>
      <c r="CL161">
        <v>0.666413418688897</v>
      </c>
      <c r="CM161">
        <v>0.984518017981194</v>
      </c>
      <c r="CN161">
        <v>-0.00424727541713014</v>
      </c>
      <c r="CO161">
        <v>290</v>
      </c>
      <c r="CP161">
        <v>1576.56</v>
      </c>
      <c r="CQ161">
        <v>775</v>
      </c>
      <c r="CR161">
        <v>5139.5</v>
      </c>
      <c r="CS161">
        <v>1578.57</v>
      </c>
      <c r="CT161">
        <v>-2.01</v>
      </c>
      <c r="DH161">
        <f>$B$11*EG161+$C$11*EH161+$F$11*ES161*(1-EV161)</f>
        <v>0</v>
      </c>
      <c r="DI161">
        <f>DH161*DJ161</f>
        <v>0</v>
      </c>
      <c r="DJ161">
        <f>($B$11*$D$9+$C$11*$D$9+$F$11*((FF161+EX161)/MAX(FF161+EX161+FG161, 0.1)*$I$9+FG161/MAX(FF161+EX161+FG161, 0.1)*$J$9))/($B$11+$C$11+$F$11)</f>
        <v>0</v>
      </c>
      <c r="DK161">
        <f>($B$11*$K$9+$C$11*$K$9+$F$11*((FF161+EX161)/MAX(FF161+EX161+FG161, 0.1)*$P$9+FG161/MAX(FF161+EX161+FG161, 0.1)*$Q$9))/($B$11+$C$11+$F$11)</f>
        <v>0</v>
      </c>
      <c r="DL161">
        <v>6</v>
      </c>
      <c r="DM161">
        <v>0.5</v>
      </c>
      <c r="DN161" t="s">
        <v>438</v>
      </c>
      <c r="DO161">
        <v>2</v>
      </c>
      <c r="DP161" t="b">
        <v>1</v>
      </c>
      <c r="DQ161">
        <v>1760992055.94615</v>
      </c>
      <c r="DR161">
        <v>612.049769230769</v>
      </c>
      <c r="DS161">
        <v>658.800538461538</v>
      </c>
      <c r="DT161">
        <v>11.8086384615385</v>
      </c>
      <c r="DU161">
        <v>9.69904538461539</v>
      </c>
      <c r="DV161">
        <v>608.453692307692</v>
      </c>
      <c r="DW161">
        <v>11.9198769230769</v>
      </c>
      <c r="DX161">
        <v>500.021769230769</v>
      </c>
      <c r="DY161">
        <v>89.8369923076923</v>
      </c>
      <c r="DZ161">
        <v>0.00867934230769231</v>
      </c>
      <c r="EA161">
        <v>18.3990384615385</v>
      </c>
      <c r="EB161">
        <v>18.0018846153846</v>
      </c>
      <c r="EC161">
        <v>999.9</v>
      </c>
      <c r="ED161">
        <v>0</v>
      </c>
      <c r="EE161">
        <v>0</v>
      </c>
      <c r="EF161">
        <v>10001.3907692308</v>
      </c>
      <c r="EG161">
        <v>0</v>
      </c>
      <c r="EH161">
        <v>1278.66307692308</v>
      </c>
      <c r="EI161">
        <v>-46.7506384615385</v>
      </c>
      <c r="EJ161">
        <v>619.363769230769</v>
      </c>
      <c r="EK161">
        <v>665.253</v>
      </c>
      <c r="EL161">
        <v>2.10958769230769</v>
      </c>
      <c r="EM161">
        <v>658.800538461538</v>
      </c>
      <c r="EN161">
        <v>9.69904538461539</v>
      </c>
      <c r="EO161">
        <v>1.06085230769231</v>
      </c>
      <c r="EP161">
        <v>0.871333076923077</v>
      </c>
      <c r="EQ161">
        <v>7.78005230769231</v>
      </c>
      <c r="ER161">
        <v>4.92577538461539</v>
      </c>
      <c r="ES161">
        <v>1200.05384615385</v>
      </c>
      <c r="ET161">
        <v>0.967</v>
      </c>
      <c r="EU161">
        <v>0.0329999461538462</v>
      </c>
      <c r="EV161">
        <v>0</v>
      </c>
      <c r="EW161">
        <v>1257.50153846154</v>
      </c>
      <c r="EX161">
        <v>5.00059</v>
      </c>
      <c r="EY161">
        <v>14898.1</v>
      </c>
      <c r="EZ161">
        <v>10359.1846153846</v>
      </c>
      <c r="FA161">
        <v>38.7353076923077</v>
      </c>
      <c r="FB161">
        <v>41.6103076923077</v>
      </c>
      <c r="FC161">
        <v>39.2497692307692</v>
      </c>
      <c r="FD161">
        <v>41.7833846153846</v>
      </c>
      <c r="FE161">
        <v>39.8459230769231</v>
      </c>
      <c r="FF161">
        <v>1155.61769230769</v>
      </c>
      <c r="FG161">
        <v>39.4361538461539</v>
      </c>
      <c r="FH161">
        <v>0</v>
      </c>
      <c r="FI161">
        <v>920</v>
      </c>
      <c r="FJ161">
        <v>0</v>
      </c>
      <c r="FK161">
        <v>1257.9124</v>
      </c>
      <c r="FL161">
        <v>17.3800000234139</v>
      </c>
      <c r="FM161">
        <v>231.246154221054</v>
      </c>
      <c r="FN161">
        <v>14901.612</v>
      </c>
      <c r="FO161">
        <v>15</v>
      </c>
      <c r="FP161">
        <v>0</v>
      </c>
      <c r="FQ161" t="s">
        <v>439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-46.514875</v>
      </c>
      <c r="GD161">
        <v>-2.93800150375941</v>
      </c>
      <c r="GE161">
        <v>0.548342010860923</v>
      </c>
      <c r="GF161">
        <v>0</v>
      </c>
      <c r="GG161">
        <v>1256.62882352941</v>
      </c>
      <c r="GH161">
        <v>17.6253628721483</v>
      </c>
      <c r="GI161">
        <v>1.73903753757456</v>
      </c>
      <c r="GJ161">
        <v>-1</v>
      </c>
      <c r="GK161">
        <v>2.106739</v>
      </c>
      <c r="GL161">
        <v>0.050282706766917</v>
      </c>
      <c r="GM161">
        <v>0.00486182979957138</v>
      </c>
      <c r="GN161">
        <v>1</v>
      </c>
      <c r="GO161">
        <v>1</v>
      </c>
      <c r="GP161">
        <v>2</v>
      </c>
      <c r="GQ161" t="s">
        <v>446</v>
      </c>
      <c r="GR161">
        <v>3.13073</v>
      </c>
      <c r="GS161">
        <v>2.68675</v>
      </c>
      <c r="GT161">
        <v>0.121897</v>
      </c>
      <c r="GU161">
        <v>0.128622</v>
      </c>
      <c r="GV161">
        <v>0.0616812</v>
      </c>
      <c r="GW161">
        <v>0.0528437</v>
      </c>
      <c r="GX161">
        <v>33276.7</v>
      </c>
      <c r="GY161">
        <v>35483.6</v>
      </c>
      <c r="GZ161">
        <v>34263.9</v>
      </c>
      <c r="HA161">
        <v>36846.5</v>
      </c>
      <c r="HB161">
        <v>45353.7</v>
      </c>
      <c r="HC161">
        <v>50047.4</v>
      </c>
      <c r="HD161">
        <v>53337.8</v>
      </c>
      <c r="HE161">
        <v>58773.9</v>
      </c>
      <c r="HF161">
        <v>2.00767</v>
      </c>
      <c r="HG161">
        <v>1.83633</v>
      </c>
      <c r="HH161">
        <v>0.00918657</v>
      </c>
      <c r="HI161">
        <v>0</v>
      </c>
      <c r="HJ161">
        <v>17.8618</v>
      </c>
      <c r="HK161">
        <v>999.9</v>
      </c>
      <c r="HL161">
        <v>26.889</v>
      </c>
      <c r="HM161">
        <v>30.464</v>
      </c>
      <c r="HN161">
        <v>13.0952</v>
      </c>
      <c r="HO161">
        <v>54.0728</v>
      </c>
      <c r="HP161">
        <v>44.2308</v>
      </c>
      <c r="HQ161">
        <v>1</v>
      </c>
      <c r="HR161">
        <v>-0.26266</v>
      </c>
      <c r="HS161">
        <v>4.60689</v>
      </c>
      <c r="HT161">
        <v>20.0778</v>
      </c>
      <c r="HU161">
        <v>5.20321</v>
      </c>
      <c r="HV161">
        <v>12.004</v>
      </c>
      <c r="HW161">
        <v>4.9757</v>
      </c>
      <c r="HX161">
        <v>3.293</v>
      </c>
      <c r="HY161">
        <v>9999</v>
      </c>
      <c r="HZ161">
        <v>999.9</v>
      </c>
      <c r="IA161">
        <v>9999</v>
      </c>
      <c r="IB161">
        <v>9999</v>
      </c>
      <c r="IC161">
        <v>1.86324</v>
      </c>
      <c r="ID161">
        <v>1.86808</v>
      </c>
      <c r="IE161">
        <v>1.86783</v>
      </c>
      <c r="IF161">
        <v>1.86904</v>
      </c>
      <c r="IG161">
        <v>1.8698</v>
      </c>
      <c r="IH161">
        <v>1.86584</v>
      </c>
      <c r="II161">
        <v>1.86691</v>
      </c>
      <c r="IJ161">
        <v>1.86841</v>
      </c>
      <c r="IK161">
        <v>5</v>
      </c>
      <c r="IL161">
        <v>0</v>
      </c>
      <c r="IM161">
        <v>0</v>
      </c>
      <c r="IN161">
        <v>0</v>
      </c>
      <c r="IO161" t="s">
        <v>441</v>
      </c>
      <c r="IP161" t="s">
        <v>442</v>
      </c>
      <c r="IQ161" t="s">
        <v>443</v>
      </c>
      <c r="IR161" t="s">
        <v>443</v>
      </c>
      <c r="IS161" t="s">
        <v>443</v>
      </c>
      <c r="IT161" t="s">
        <v>443</v>
      </c>
      <c r="IU161">
        <v>0</v>
      </c>
      <c r="IV161">
        <v>100</v>
      </c>
      <c r="IW161">
        <v>100</v>
      </c>
      <c r="IX161">
        <v>3.693</v>
      </c>
      <c r="IY161">
        <v>-0.1112</v>
      </c>
      <c r="IZ161">
        <v>1.12474291219083</v>
      </c>
      <c r="JA161">
        <v>0.00463155566490582</v>
      </c>
      <c r="JB161">
        <v>-1.1358998729424e-06</v>
      </c>
      <c r="JC161">
        <v>3.28704272115545e-10</v>
      </c>
      <c r="JD161">
        <v>-0.0704455108513773</v>
      </c>
      <c r="JE161">
        <v>-0.0251928478371425</v>
      </c>
      <c r="JF161">
        <v>0.00225751704194564</v>
      </c>
      <c r="JG161">
        <v>-3.61734043746866e-05</v>
      </c>
      <c r="JH161">
        <v>1</v>
      </c>
      <c r="JI161">
        <v>2182</v>
      </c>
      <c r="JJ161">
        <v>0</v>
      </c>
      <c r="JK161">
        <v>24</v>
      </c>
      <c r="JL161">
        <v>29349867.7</v>
      </c>
      <c r="JM161">
        <v>29349867.7</v>
      </c>
      <c r="JN161">
        <v>1.51001</v>
      </c>
      <c r="JO161">
        <v>2.61963</v>
      </c>
      <c r="JP161">
        <v>1.54785</v>
      </c>
      <c r="JQ161">
        <v>2.31323</v>
      </c>
      <c r="JR161">
        <v>1.64673</v>
      </c>
      <c r="JS161">
        <v>2.38525</v>
      </c>
      <c r="JT161">
        <v>33.6479</v>
      </c>
      <c r="JU161">
        <v>24.1838</v>
      </c>
      <c r="JV161">
        <v>18</v>
      </c>
      <c r="JW161">
        <v>500.359</v>
      </c>
      <c r="JX161">
        <v>393.99</v>
      </c>
      <c r="JY161">
        <v>11.6817</v>
      </c>
      <c r="JZ161">
        <v>23.9772</v>
      </c>
      <c r="KA161">
        <v>30.0001</v>
      </c>
      <c r="KB161">
        <v>23.9625</v>
      </c>
      <c r="KC161">
        <v>23.9288</v>
      </c>
      <c r="KD161">
        <v>30.2446</v>
      </c>
      <c r="KE161">
        <v>10.7727</v>
      </c>
      <c r="KF161">
        <v>26.9061</v>
      </c>
      <c r="KG161">
        <v>11.6666</v>
      </c>
      <c r="KH161">
        <v>710.786</v>
      </c>
      <c r="KI161">
        <v>9.66338</v>
      </c>
      <c r="KJ161">
        <v>97.0376</v>
      </c>
      <c r="KK161">
        <v>95.2982</v>
      </c>
    </row>
    <row r="162" spans="1:297">
      <c r="A162">
        <v>146</v>
      </c>
      <c r="B162">
        <v>1760992069.1</v>
      </c>
      <c r="C162">
        <v>2879</v>
      </c>
      <c r="D162" t="s">
        <v>745</v>
      </c>
      <c r="E162" t="s">
        <v>746</v>
      </c>
      <c r="F162">
        <v>5</v>
      </c>
      <c r="G162" t="s">
        <v>662</v>
      </c>
      <c r="H162" t="s">
        <v>436</v>
      </c>
      <c r="I162">
        <v>1760992060.94615</v>
      </c>
      <c r="J162">
        <f>(K162)/1000</f>
        <v>0</v>
      </c>
      <c r="K162">
        <f>IF(DP162, AN162, AH162)</f>
        <v>0</v>
      </c>
      <c r="L162">
        <f>IF(DP162, AI162, AG162)</f>
        <v>0</v>
      </c>
      <c r="M162">
        <f>DR162 - IF(AU162&gt;1, L162*DL162*100.0/(AW162), 0)</f>
        <v>0</v>
      </c>
      <c r="N162">
        <f>((T162-J162/2)*M162-L162)/(T162+J162/2)</f>
        <v>0</v>
      </c>
      <c r="O162">
        <f>N162*(DY162+DZ162)/1000.0</f>
        <v>0</v>
      </c>
      <c r="P162">
        <f>(DR162 - IF(AU162&gt;1, L162*DL162*100.0/(AW162), 0))*(DY162+DZ162)/1000.0</f>
        <v>0</v>
      </c>
      <c r="Q162">
        <f>2.0/((1/S162-1/R162)+SIGN(S162)*SQRT((1/S162-1/R162)*(1/S162-1/R162) + 4*DM162/((DM162+1)*(DM162+1))*(2*1/S162*1/R162-1/R162*1/R162)))</f>
        <v>0</v>
      </c>
      <c r="R162">
        <f>IF(LEFT(DN162,1)&lt;&gt;"0",IF(LEFT(DN162,1)="1",3.0,DO162),$D$5+$E$5*(EF162*DY162/($K$5*1000))+$F$5*(EF162*DY162/($K$5*1000))*MAX(MIN(DL162,$J$5),$I$5)*MAX(MIN(DL162,$J$5),$I$5)+$G$5*MAX(MIN(DL162,$J$5),$I$5)*(EF162*DY162/($K$5*1000))+$H$5*(EF162*DY162/($K$5*1000))*(EF162*DY162/($K$5*1000)))</f>
        <v>0</v>
      </c>
      <c r="S162">
        <f>J162*(1000-(1000*0.61365*exp(17.502*W162/(240.97+W162))/(DY162+DZ162)+DT162)/2)/(1000*0.61365*exp(17.502*W162/(240.97+W162))/(DY162+DZ162)-DT162)</f>
        <v>0</v>
      </c>
      <c r="T162">
        <f>1/((DM162+1)/(Q162/1.6)+1/(R162/1.37)) + DM162/((DM162+1)/(Q162/1.6) + DM162/(R162/1.37))</f>
        <v>0</v>
      </c>
      <c r="U162">
        <f>(DH162*DK162)</f>
        <v>0</v>
      </c>
      <c r="V162">
        <f>(EA162+(U162+2*0.95*5.67E-8*(((EA162+$B$7)+273)^4-(EA162+273)^4)-44100*J162)/(1.84*29.3*R162+8*0.95*5.67E-8*(EA162+273)^3))</f>
        <v>0</v>
      </c>
      <c r="W162">
        <f>($C$7*EB162+$D$7*EC162+$E$7*V162)</f>
        <v>0</v>
      </c>
      <c r="X162">
        <f>0.61365*exp(17.502*W162/(240.97+W162))</f>
        <v>0</v>
      </c>
      <c r="Y162">
        <f>(Z162/AA162*100)</f>
        <v>0</v>
      </c>
      <c r="Z162">
        <f>DT162*(DY162+DZ162)/1000</f>
        <v>0</v>
      </c>
      <c r="AA162">
        <f>0.61365*exp(17.502*EA162/(240.97+EA162))</f>
        <v>0</v>
      </c>
      <c r="AB162">
        <f>(X162-DT162*(DY162+DZ162)/1000)</f>
        <v>0</v>
      </c>
      <c r="AC162">
        <f>(-J162*44100)</f>
        <v>0</v>
      </c>
      <c r="AD162">
        <f>2*29.3*R162*0.92*(EA162-W162)</f>
        <v>0</v>
      </c>
      <c r="AE162">
        <f>2*0.95*5.67E-8*(((EA162+$B$7)+273)^4-(W162+273)^4)</f>
        <v>0</v>
      </c>
      <c r="AF162">
        <f>U162+AE162+AC162+AD162</f>
        <v>0</v>
      </c>
      <c r="AG162">
        <f>DX162*AU162*(DS162-DR162*(1000-AU162*DU162)/(1000-AU162*DT162))/(100*DL162)</f>
        <v>0</v>
      </c>
      <c r="AH162">
        <f>1000*DX162*AU162*(DT162-DU162)/(100*DL162*(1000-AU162*DT162))</f>
        <v>0</v>
      </c>
      <c r="AI162">
        <f>(AJ162 - AK162 - DY162*1E3/(8.314*(EA162+273.15)) * AM162/DX162 * AL162) * DX162/(100*DL162) * (1000 - DU162)/1000</f>
        <v>0</v>
      </c>
      <c r="AJ162">
        <v>697.975935721211</v>
      </c>
      <c r="AK162">
        <v>659.873472727273</v>
      </c>
      <c r="AL162">
        <v>3.32494208893077</v>
      </c>
      <c r="AM162">
        <v>65.2210784119795</v>
      </c>
      <c r="AN162">
        <f>(AP162 - AO162 + DY162*1E3/(8.314*(EA162+273.15)) * AR162/DX162 * AQ162) * DX162/(100*DL162) * 1000/(1000 - AP162)</f>
        <v>0</v>
      </c>
      <c r="AO162">
        <v>9.69741764623215</v>
      </c>
      <c r="AP162">
        <v>11.811923030303</v>
      </c>
      <c r="AQ162">
        <v>-8.48848476257563e-06</v>
      </c>
      <c r="AR162">
        <v>115.574510355221</v>
      </c>
      <c r="AS162">
        <v>0</v>
      </c>
      <c r="AT162">
        <v>0</v>
      </c>
      <c r="AU162">
        <f>IF(AS162*$H$13&gt;=AW162,1.0,(AW162/(AW162-AS162*$H$13)))</f>
        <v>0</v>
      </c>
      <c r="AV162">
        <f>(AU162-1)*100</f>
        <v>0</v>
      </c>
      <c r="AW162">
        <f>MAX(0,($B$13+$C$13*EF162)/(1+$D$13*EF162)*DY162/(EA162+273)*$E$13)</f>
        <v>0</v>
      </c>
      <c r="AX162" t="s">
        <v>437</v>
      </c>
      <c r="AY162" t="s">
        <v>437</v>
      </c>
      <c r="AZ162">
        <v>0</v>
      </c>
      <c r="BA162">
        <v>0</v>
      </c>
      <c r="BB162">
        <f>1-AZ162/BA162</f>
        <v>0</v>
      </c>
      <c r="BC162">
        <v>0</v>
      </c>
      <c r="BD162" t="s">
        <v>437</v>
      </c>
      <c r="BE162" t="s">
        <v>437</v>
      </c>
      <c r="BF162">
        <v>0</v>
      </c>
      <c r="BG162">
        <v>0</v>
      </c>
      <c r="BH162">
        <f>1-BF162/BG162</f>
        <v>0</v>
      </c>
      <c r="BI162">
        <v>0.5</v>
      </c>
      <c r="BJ162">
        <f>DI162</f>
        <v>0</v>
      </c>
      <c r="BK162">
        <f>L162</f>
        <v>0</v>
      </c>
      <c r="BL162">
        <f>BH162*BI162*BJ162</f>
        <v>0</v>
      </c>
      <c r="BM162">
        <f>(BK162-BC162)/BJ162</f>
        <v>0</v>
      </c>
      <c r="BN162">
        <f>(BA162-BG162)/BG162</f>
        <v>0</v>
      </c>
      <c r="BO162">
        <f>AZ162/(BB162+AZ162/BG162)</f>
        <v>0</v>
      </c>
      <c r="BP162" t="s">
        <v>437</v>
      </c>
      <c r="BQ162">
        <v>0</v>
      </c>
      <c r="BR162">
        <f>IF(BQ162&lt;&gt;0, BQ162, BO162)</f>
        <v>0</v>
      </c>
      <c r="BS162">
        <f>1-BR162/BG162</f>
        <v>0</v>
      </c>
      <c r="BT162">
        <f>(BG162-BF162)/(BG162-BR162)</f>
        <v>0</v>
      </c>
      <c r="BU162">
        <f>(BA162-BG162)/(BA162-BR162)</f>
        <v>0</v>
      </c>
      <c r="BV162">
        <f>(BG162-BF162)/(BG162-AZ162)</f>
        <v>0</v>
      </c>
      <c r="BW162">
        <f>(BA162-BG162)/(BA162-AZ162)</f>
        <v>0</v>
      </c>
      <c r="BX162">
        <f>(BT162*BR162/BF162)</f>
        <v>0</v>
      </c>
      <c r="BY162">
        <f>(1-BX162)</f>
        <v>0</v>
      </c>
      <c r="BZ162">
        <v>282</v>
      </c>
      <c r="CA162">
        <v>290</v>
      </c>
      <c r="CB162">
        <v>1577.74</v>
      </c>
      <c r="CC162">
        <v>295</v>
      </c>
      <c r="CD162">
        <v>5140.93</v>
      </c>
      <c r="CE162">
        <v>1578.58</v>
      </c>
      <c r="CF162">
        <v>-0.84</v>
      </c>
      <c r="CG162">
        <v>300</v>
      </c>
      <c r="CH162">
        <v>23.8</v>
      </c>
      <c r="CI162">
        <v>1633.28263291266</v>
      </c>
      <c r="CJ162">
        <v>1.49577129053257</v>
      </c>
      <c r="CK162">
        <v>-28.1203876934379</v>
      </c>
      <c r="CL162">
        <v>0.666413418688897</v>
      </c>
      <c r="CM162">
        <v>0.984518017981194</v>
      </c>
      <c r="CN162">
        <v>-0.00424727541713014</v>
      </c>
      <c r="CO162">
        <v>290</v>
      </c>
      <c r="CP162">
        <v>1576.56</v>
      </c>
      <c r="CQ162">
        <v>775</v>
      </c>
      <c r="CR162">
        <v>5139.5</v>
      </c>
      <c r="CS162">
        <v>1578.57</v>
      </c>
      <c r="CT162">
        <v>-2.01</v>
      </c>
      <c r="DH162">
        <f>$B$11*EG162+$C$11*EH162+$F$11*ES162*(1-EV162)</f>
        <v>0</v>
      </c>
      <c r="DI162">
        <f>DH162*DJ162</f>
        <v>0</v>
      </c>
      <c r="DJ162">
        <f>($B$11*$D$9+$C$11*$D$9+$F$11*((FF162+EX162)/MAX(FF162+EX162+FG162, 0.1)*$I$9+FG162/MAX(FF162+EX162+FG162, 0.1)*$J$9))/($B$11+$C$11+$F$11)</f>
        <v>0</v>
      </c>
      <c r="DK162">
        <f>($B$11*$K$9+$C$11*$K$9+$F$11*((FF162+EX162)/MAX(FF162+EX162+FG162, 0.1)*$P$9+FG162/MAX(FF162+EX162+FG162, 0.1)*$Q$9))/($B$11+$C$11+$F$11)</f>
        <v>0</v>
      </c>
      <c r="DL162">
        <v>6</v>
      </c>
      <c r="DM162">
        <v>0.5</v>
      </c>
      <c r="DN162" t="s">
        <v>438</v>
      </c>
      <c r="DO162">
        <v>2</v>
      </c>
      <c r="DP162" t="b">
        <v>1</v>
      </c>
      <c r="DQ162">
        <v>1760992060.94615</v>
      </c>
      <c r="DR162">
        <v>628.540615384615</v>
      </c>
      <c r="DS162">
        <v>675.389230769231</v>
      </c>
      <c r="DT162">
        <v>11.8107692307692</v>
      </c>
      <c r="DU162">
        <v>9.69821923076923</v>
      </c>
      <c r="DV162">
        <v>624.885230769231</v>
      </c>
      <c r="DW162">
        <v>11.9219846153846</v>
      </c>
      <c r="DX162">
        <v>500.013076923077</v>
      </c>
      <c r="DY162">
        <v>89.8376769230769</v>
      </c>
      <c r="DZ162">
        <v>0.00876934</v>
      </c>
      <c r="EA162">
        <v>18.4034153846154</v>
      </c>
      <c r="EB162">
        <v>18.0064461538462</v>
      </c>
      <c r="EC162">
        <v>999.9</v>
      </c>
      <c r="ED162">
        <v>0</v>
      </c>
      <c r="EE162">
        <v>0</v>
      </c>
      <c r="EF162">
        <v>10003.7984615385</v>
      </c>
      <c r="EG162">
        <v>0</v>
      </c>
      <c r="EH162">
        <v>1278.66538461538</v>
      </c>
      <c r="EI162">
        <v>-46.8484923076923</v>
      </c>
      <c r="EJ162">
        <v>636.053</v>
      </c>
      <c r="EK162">
        <v>682.003615384615</v>
      </c>
      <c r="EL162">
        <v>2.11255076923077</v>
      </c>
      <c r="EM162">
        <v>675.389230769231</v>
      </c>
      <c r="EN162">
        <v>9.69821923076923</v>
      </c>
      <c r="EO162">
        <v>1.06105153846154</v>
      </c>
      <c r="EP162">
        <v>0.871265461538462</v>
      </c>
      <c r="EQ162">
        <v>7.78281692307692</v>
      </c>
      <c r="ER162">
        <v>4.92466230769231</v>
      </c>
      <c r="ES162">
        <v>1200.05230769231</v>
      </c>
      <c r="ET162">
        <v>0.967000769230769</v>
      </c>
      <c r="EU162">
        <v>0.0329992307692308</v>
      </c>
      <c r="EV162">
        <v>0</v>
      </c>
      <c r="EW162">
        <v>1258.91769230769</v>
      </c>
      <c r="EX162">
        <v>5.00059</v>
      </c>
      <c r="EY162">
        <v>14917.1692307692</v>
      </c>
      <c r="EZ162">
        <v>10359.1846153846</v>
      </c>
      <c r="FA162">
        <v>38.7978461538462</v>
      </c>
      <c r="FB162">
        <v>41.6776923076923</v>
      </c>
      <c r="FC162">
        <v>39.3123846153846</v>
      </c>
      <c r="FD162">
        <v>41.8747692307692</v>
      </c>
      <c r="FE162">
        <v>39.9084615384615</v>
      </c>
      <c r="FF162">
        <v>1155.61615384615</v>
      </c>
      <c r="FG162">
        <v>39.4361538461539</v>
      </c>
      <c r="FH162">
        <v>0</v>
      </c>
      <c r="FI162">
        <v>924.800000190735</v>
      </c>
      <c r="FJ162">
        <v>0</v>
      </c>
      <c r="FK162">
        <v>1259.2248</v>
      </c>
      <c r="FL162">
        <v>15.9084615042039</v>
      </c>
      <c r="FM162">
        <v>219.899999739935</v>
      </c>
      <c r="FN162">
        <v>14919.752</v>
      </c>
      <c r="FO162">
        <v>15</v>
      </c>
      <c r="FP162">
        <v>0</v>
      </c>
      <c r="FQ162" t="s">
        <v>439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-46.870165</v>
      </c>
      <c r="GD162">
        <v>-1.97120751879696</v>
      </c>
      <c r="GE162">
        <v>0.450192287000789</v>
      </c>
      <c r="GF162">
        <v>0</v>
      </c>
      <c r="GG162">
        <v>1258.305</v>
      </c>
      <c r="GH162">
        <v>16.6919786057601</v>
      </c>
      <c r="GI162">
        <v>1.65068835908648</v>
      </c>
      <c r="GJ162">
        <v>-1</v>
      </c>
      <c r="GK162">
        <v>2.1110865</v>
      </c>
      <c r="GL162">
        <v>0.0358930827067663</v>
      </c>
      <c r="GM162">
        <v>0.0035524488384775</v>
      </c>
      <c r="GN162">
        <v>1</v>
      </c>
      <c r="GO162">
        <v>1</v>
      </c>
      <c r="GP162">
        <v>2</v>
      </c>
      <c r="GQ162" t="s">
        <v>446</v>
      </c>
      <c r="GR162">
        <v>3.131</v>
      </c>
      <c r="GS162">
        <v>2.68643</v>
      </c>
      <c r="GT162">
        <v>0.124091</v>
      </c>
      <c r="GU162">
        <v>0.130877</v>
      </c>
      <c r="GV162">
        <v>0.0616767</v>
      </c>
      <c r="GW162">
        <v>0.0528381</v>
      </c>
      <c r="GX162">
        <v>33193.3</v>
      </c>
      <c r="GY162">
        <v>35392</v>
      </c>
      <c r="GZ162">
        <v>34263.6</v>
      </c>
      <c r="HA162">
        <v>36846.6</v>
      </c>
      <c r="HB162">
        <v>45353.9</v>
      </c>
      <c r="HC162">
        <v>50047.7</v>
      </c>
      <c r="HD162">
        <v>53337.5</v>
      </c>
      <c r="HE162">
        <v>58773.6</v>
      </c>
      <c r="HF162">
        <v>2.00802</v>
      </c>
      <c r="HG162">
        <v>1.83585</v>
      </c>
      <c r="HH162">
        <v>0.00897795</v>
      </c>
      <c r="HI162">
        <v>0</v>
      </c>
      <c r="HJ162">
        <v>17.863</v>
      </c>
      <c r="HK162">
        <v>999.9</v>
      </c>
      <c r="HL162">
        <v>26.889</v>
      </c>
      <c r="HM162">
        <v>30.464</v>
      </c>
      <c r="HN162">
        <v>13.0958</v>
      </c>
      <c r="HO162">
        <v>54.5628</v>
      </c>
      <c r="HP162">
        <v>44.0505</v>
      </c>
      <c r="HQ162">
        <v>1</v>
      </c>
      <c r="HR162">
        <v>-0.262635</v>
      </c>
      <c r="HS162">
        <v>4.66552</v>
      </c>
      <c r="HT162">
        <v>20.0763</v>
      </c>
      <c r="HU162">
        <v>5.20097</v>
      </c>
      <c r="HV162">
        <v>12.0041</v>
      </c>
      <c r="HW162">
        <v>4.97555</v>
      </c>
      <c r="HX162">
        <v>3.29295</v>
      </c>
      <c r="HY162">
        <v>9999</v>
      </c>
      <c r="HZ162">
        <v>999.9</v>
      </c>
      <c r="IA162">
        <v>9999</v>
      </c>
      <c r="IB162">
        <v>9999</v>
      </c>
      <c r="IC162">
        <v>1.86324</v>
      </c>
      <c r="ID162">
        <v>1.86808</v>
      </c>
      <c r="IE162">
        <v>1.86783</v>
      </c>
      <c r="IF162">
        <v>1.86904</v>
      </c>
      <c r="IG162">
        <v>1.86981</v>
      </c>
      <c r="IH162">
        <v>1.86584</v>
      </c>
      <c r="II162">
        <v>1.86691</v>
      </c>
      <c r="IJ162">
        <v>1.86842</v>
      </c>
      <c r="IK162">
        <v>5</v>
      </c>
      <c r="IL162">
        <v>0</v>
      </c>
      <c r="IM162">
        <v>0</v>
      </c>
      <c r="IN162">
        <v>0</v>
      </c>
      <c r="IO162" t="s">
        <v>441</v>
      </c>
      <c r="IP162" t="s">
        <v>442</v>
      </c>
      <c r="IQ162" t="s">
        <v>443</v>
      </c>
      <c r="IR162" t="s">
        <v>443</v>
      </c>
      <c r="IS162" t="s">
        <v>443</v>
      </c>
      <c r="IT162" t="s">
        <v>443</v>
      </c>
      <c r="IU162">
        <v>0</v>
      </c>
      <c r="IV162">
        <v>100</v>
      </c>
      <c r="IW162">
        <v>100</v>
      </c>
      <c r="IX162">
        <v>3.752</v>
      </c>
      <c r="IY162">
        <v>-0.1113</v>
      </c>
      <c r="IZ162">
        <v>1.12474291219083</v>
      </c>
      <c r="JA162">
        <v>0.00463155566490582</v>
      </c>
      <c r="JB162">
        <v>-1.1358998729424e-06</v>
      </c>
      <c r="JC162">
        <v>3.28704272115545e-10</v>
      </c>
      <c r="JD162">
        <v>-0.0704455108513773</v>
      </c>
      <c r="JE162">
        <v>-0.0251928478371425</v>
      </c>
      <c r="JF162">
        <v>0.00225751704194564</v>
      </c>
      <c r="JG162">
        <v>-3.61734043746866e-05</v>
      </c>
      <c r="JH162">
        <v>1</v>
      </c>
      <c r="JI162">
        <v>2182</v>
      </c>
      <c r="JJ162">
        <v>0</v>
      </c>
      <c r="JK162">
        <v>24</v>
      </c>
      <c r="JL162">
        <v>29349867.8</v>
      </c>
      <c r="JM162">
        <v>29349867.8</v>
      </c>
      <c r="JN162">
        <v>1.53809</v>
      </c>
      <c r="JO162">
        <v>2.62329</v>
      </c>
      <c r="JP162">
        <v>1.54785</v>
      </c>
      <c r="JQ162">
        <v>2.31445</v>
      </c>
      <c r="JR162">
        <v>1.64673</v>
      </c>
      <c r="JS162">
        <v>2.37793</v>
      </c>
      <c r="JT162">
        <v>33.6479</v>
      </c>
      <c r="JU162">
        <v>24.1838</v>
      </c>
      <c r="JV162">
        <v>18</v>
      </c>
      <c r="JW162">
        <v>500.587</v>
      </c>
      <c r="JX162">
        <v>393.75</v>
      </c>
      <c r="JY162">
        <v>11.6709</v>
      </c>
      <c r="JZ162">
        <v>23.9772</v>
      </c>
      <c r="KA162">
        <v>30.0002</v>
      </c>
      <c r="KB162">
        <v>23.9629</v>
      </c>
      <c r="KC162">
        <v>23.9304</v>
      </c>
      <c r="KD162">
        <v>30.8474</v>
      </c>
      <c r="KE162">
        <v>10.7727</v>
      </c>
      <c r="KF162">
        <v>26.9061</v>
      </c>
      <c r="KG162">
        <v>11.6543</v>
      </c>
      <c r="KH162">
        <v>724.34</v>
      </c>
      <c r="KI162">
        <v>9.66338</v>
      </c>
      <c r="KJ162">
        <v>97.037</v>
      </c>
      <c r="KK162">
        <v>95.298</v>
      </c>
    </row>
    <row r="163" spans="1:297">
      <c r="A163">
        <v>147</v>
      </c>
      <c r="B163">
        <v>1760992074.1</v>
      </c>
      <c r="C163">
        <v>2884</v>
      </c>
      <c r="D163" t="s">
        <v>747</v>
      </c>
      <c r="E163" t="s">
        <v>748</v>
      </c>
      <c r="F163">
        <v>5</v>
      </c>
      <c r="G163" t="s">
        <v>662</v>
      </c>
      <c r="H163" t="s">
        <v>436</v>
      </c>
      <c r="I163">
        <v>1760992065.94615</v>
      </c>
      <c r="J163">
        <f>(K163)/1000</f>
        <v>0</v>
      </c>
      <c r="K163">
        <f>IF(DP163, AN163, AH163)</f>
        <v>0</v>
      </c>
      <c r="L163">
        <f>IF(DP163, AI163, AG163)</f>
        <v>0</v>
      </c>
      <c r="M163">
        <f>DR163 - IF(AU163&gt;1, L163*DL163*100.0/(AW163), 0)</f>
        <v>0</v>
      </c>
      <c r="N163">
        <f>((T163-J163/2)*M163-L163)/(T163+J163/2)</f>
        <v>0</v>
      </c>
      <c r="O163">
        <f>N163*(DY163+DZ163)/1000.0</f>
        <v>0</v>
      </c>
      <c r="P163">
        <f>(DR163 - IF(AU163&gt;1, L163*DL163*100.0/(AW163), 0))*(DY163+DZ163)/1000.0</f>
        <v>0</v>
      </c>
      <c r="Q163">
        <f>2.0/((1/S163-1/R163)+SIGN(S163)*SQRT((1/S163-1/R163)*(1/S163-1/R163) + 4*DM163/((DM163+1)*(DM163+1))*(2*1/S163*1/R163-1/R163*1/R163)))</f>
        <v>0</v>
      </c>
      <c r="R163">
        <f>IF(LEFT(DN163,1)&lt;&gt;"0",IF(LEFT(DN163,1)="1",3.0,DO163),$D$5+$E$5*(EF163*DY163/($K$5*1000))+$F$5*(EF163*DY163/($K$5*1000))*MAX(MIN(DL163,$J$5),$I$5)*MAX(MIN(DL163,$J$5),$I$5)+$G$5*MAX(MIN(DL163,$J$5),$I$5)*(EF163*DY163/($K$5*1000))+$H$5*(EF163*DY163/($K$5*1000))*(EF163*DY163/($K$5*1000)))</f>
        <v>0</v>
      </c>
      <c r="S163">
        <f>J163*(1000-(1000*0.61365*exp(17.502*W163/(240.97+W163))/(DY163+DZ163)+DT163)/2)/(1000*0.61365*exp(17.502*W163/(240.97+W163))/(DY163+DZ163)-DT163)</f>
        <v>0</v>
      </c>
      <c r="T163">
        <f>1/((DM163+1)/(Q163/1.6)+1/(R163/1.37)) + DM163/((DM163+1)/(Q163/1.6) + DM163/(R163/1.37))</f>
        <v>0</v>
      </c>
      <c r="U163">
        <f>(DH163*DK163)</f>
        <v>0</v>
      </c>
      <c r="V163">
        <f>(EA163+(U163+2*0.95*5.67E-8*(((EA163+$B$7)+273)^4-(EA163+273)^4)-44100*J163)/(1.84*29.3*R163+8*0.95*5.67E-8*(EA163+273)^3))</f>
        <v>0</v>
      </c>
      <c r="W163">
        <f>($C$7*EB163+$D$7*EC163+$E$7*V163)</f>
        <v>0</v>
      </c>
      <c r="X163">
        <f>0.61365*exp(17.502*W163/(240.97+W163))</f>
        <v>0</v>
      </c>
      <c r="Y163">
        <f>(Z163/AA163*100)</f>
        <v>0</v>
      </c>
      <c r="Z163">
        <f>DT163*(DY163+DZ163)/1000</f>
        <v>0</v>
      </c>
      <c r="AA163">
        <f>0.61365*exp(17.502*EA163/(240.97+EA163))</f>
        <v>0</v>
      </c>
      <c r="AB163">
        <f>(X163-DT163*(DY163+DZ163)/1000)</f>
        <v>0</v>
      </c>
      <c r="AC163">
        <f>(-J163*44100)</f>
        <v>0</v>
      </c>
      <c r="AD163">
        <f>2*29.3*R163*0.92*(EA163-W163)</f>
        <v>0</v>
      </c>
      <c r="AE163">
        <f>2*0.95*5.67E-8*(((EA163+$B$7)+273)^4-(W163+273)^4)</f>
        <v>0</v>
      </c>
      <c r="AF163">
        <f>U163+AE163+AC163+AD163</f>
        <v>0</v>
      </c>
      <c r="AG163">
        <f>DX163*AU163*(DS163-DR163*(1000-AU163*DU163)/(1000-AU163*DT163))/(100*DL163)</f>
        <v>0</v>
      </c>
      <c r="AH163">
        <f>1000*DX163*AU163*(DT163-DU163)/(100*DL163*(1000-AU163*DT163))</f>
        <v>0</v>
      </c>
      <c r="AI163">
        <f>(AJ163 - AK163 - DY163*1E3/(8.314*(EA163+273.15)) * AM163/DX163 * AL163) * DX163/(100*DL163) * (1000 - DU163)/1000</f>
        <v>0</v>
      </c>
      <c r="AJ163">
        <v>715.434603776656</v>
      </c>
      <c r="AK163">
        <v>676.912212121212</v>
      </c>
      <c r="AL163">
        <v>3.41006999160234</v>
      </c>
      <c r="AM163">
        <v>65.2210784119795</v>
      </c>
      <c r="AN163">
        <f>(AP163 - AO163 + DY163*1E3/(8.314*(EA163+273.15)) * AR163/DX163 * AQ163) * DX163/(100*DL163) * 1000/(1000 - AP163)</f>
        <v>0</v>
      </c>
      <c r="AO163">
        <v>9.69618580554693</v>
      </c>
      <c r="AP163">
        <v>11.8119812121212</v>
      </c>
      <c r="AQ163">
        <v>1.97989407697779e-06</v>
      </c>
      <c r="AR163">
        <v>115.574510355221</v>
      </c>
      <c r="AS163">
        <v>0</v>
      </c>
      <c r="AT163">
        <v>0</v>
      </c>
      <c r="AU163">
        <f>IF(AS163*$H$13&gt;=AW163,1.0,(AW163/(AW163-AS163*$H$13)))</f>
        <v>0</v>
      </c>
      <c r="AV163">
        <f>(AU163-1)*100</f>
        <v>0</v>
      </c>
      <c r="AW163">
        <f>MAX(0,($B$13+$C$13*EF163)/(1+$D$13*EF163)*DY163/(EA163+273)*$E$13)</f>
        <v>0</v>
      </c>
      <c r="AX163" t="s">
        <v>437</v>
      </c>
      <c r="AY163" t="s">
        <v>437</v>
      </c>
      <c r="AZ163">
        <v>0</v>
      </c>
      <c r="BA163">
        <v>0</v>
      </c>
      <c r="BB163">
        <f>1-AZ163/BA163</f>
        <v>0</v>
      </c>
      <c r="BC163">
        <v>0</v>
      </c>
      <c r="BD163" t="s">
        <v>437</v>
      </c>
      <c r="BE163" t="s">
        <v>437</v>
      </c>
      <c r="BF163">
        <v>0</v>
      </c>
      <c r="BG163">
        <v>0</v>
      </c>
      <c r="BH163">
        <f>1-BF163/BG163</f>
        <v>0</v>
      </c>
      <c r="BI163">
        <v>0.5</v>
      </c>
      <c r="BJ163">
        <f>DI163</f>
        <v>0</v>
      </c>
      <c r="BK163">
        <f>L163</f>
        <v>0</v>
      </c>
      <c r="BL163">
        <f>BH163*BI163*BJ163</f>
        <v>0</v>
      </c>
      <c r="BM163">
        <f>(BK163-BC163)/BJ163</f>
        <v>0</v>
      </c>
      <c r="BN163">
        <f>(BA163-BG163)/BG163</f>
        <v>0</v>
      </c>
      <c r="BO163">
        <f>AZ163/(BB163+AZ163/BG163)</f>
        <v>0</v>
      </c>
      <c r="BP163" t="s">
        <v>437</v>
      </c>
      <c r="BQ163">
        <v>0</v>
      </c>
      <c r="BR163">
        <f>IF(BQ163&lt;&gt;0, BQ163, BO163)</f>
        <v>0</v>
      </c>
      <c r="BS163">
        <f>1-BR163/BG163</f>
        <v>0</v>
      </c>
      <c r="BT163">
        <f>(BG163-BF163)/(BG163-BR163)</f>
        <v>0</v>
      </c>
      <c r="BU163">
        <f>(BA163-BG163)/(BA163-BR163)</f>
        <v>0</v>
      </c>
      <c r="BV163">
        <f>(BG163-BF163)/(BG163-AZ163)</f>
        <v>0</v>
      </c>
      <c r="BW163">
        <f>(BA163-BG163)/(BA163-AZ163)</f>
        <v>0</v>
      </c>
      <c r="BX163">
        <f>(BT163*BR163/BF163)</f>
        <v>0</v>
      </c>
      <c r="BY163">
        <f>(1-BX163)</f>
        <v>0</v>
      </c>
      <c r="BZ163">
        <v>282</v>
      </c>
      <c r="CA163">
        <v>290</v>
      </c>
      <c r="CB163">
        <v>1577.74</v>
      </c>
      <c r="CC163">
        <v>295</v>
      </c>
      <c r="CD163">
        <v>5140.93</v>
      </c>
      <c r="CE163">
        <v>1578.58</v>
      </c>
      <c r="CF163">
        <v>-0.84</v>
      </c>
      <c r="CG163">
        <v>300</v>
      </c>
      <c r="CH163">
        <v>23.8</v>
      </c>
      <c r="CI163">
        <v>1633.28263291266</v>
      </c>
      <c r="CJ163">
        <v>1.49577129053257</v>
      </c>
      <c r="CK163">
        <v>-28.1203876934379</v>
      </c>
      <c r="CL163">
        <v>0.666413418688897</v>
      </c>
      <c r="CM163">
        <v>0.984518017981194</v>
      </c>
      <c r="CN163">
        <v>-0.00424727541713014</v>
      </c>
      <c r="CO163">
        <v>290</v>
      </c>
      <c r="CP163">
        <v>1576.56</v>
      </c>
      <c r="CQ163">
        <v>775</v>
      </c>
      <c r="CR163">
        <v>5139.5</v>
      </c>
      <c r="CS163">
        <v>1578.57</v>
      </c>
      <c r="CT163">
        <v>-2.01</v>
      </c>
      <c r="DH163">
        <f>$B$11*EG163+$C$11*EH163+$F$11*ES163*(1-EV163)</f>
        <v>0</v>
      </c>
      <c r="DI163">
        <f>DH163*DJ163</f>
        <v>0</v>
      </c>
      <c r="DJ163">
        <f>($B$11*$D$9+$C$11*$D$9+$F$11*((FF163+EX163)/MAX(FF163+EX163+FG163, 0.1)*$I$9+FG163/MAX(FF163+EX163+FG163, 0.1)*$J$9))/($B$11+$C$11+$F$11)</f>
        <v>0</v>
      </c>
      <c r="DK163">
        <f>($B$11*$K$9+$C$11*$K$9+$F$11*((FF163+EX163)/MAX(FF163+EX163+FG163, 0.1)*$P$9+FG163/MAX(FF163+EX163+FG163, 0.1)*$Q$9))/($B$11+$C$11+$F$11)</f>
        <v>0</v>
      </c>
      <c r="DL163">
        <v>6</v>
      </c>
      <c r="DM163">
        <v>0.5</v>
      </c>
      <c r="DN163" t="s">
        <v>438</v>
      </c>
      <c r="DO163">
        <v>2</v>
      </c>
      <c r="DP163" t="b">
        <v>1</v>
      </c>
      <c r="DQ163">
        <v>1760992065.94615</v>
      </c>
      <c r="DR163">
        <v>645.055384615385</v>
      </c>
      <c r="DS163">
        <v>692.308076923077</v>
      </c>
      <c r="DT163">
        <v>11.8118769230769</v>
      </c>
      <c r="DU163">
        <v>9.69735538461538</v>
      </c>
      <c r="DV163">
        <v>641.341</v>
      </c>
      <c r="DW163">
        <v>11.9230692307692</v>
      </c>
      <c r="DX163">
        <v>500.016461538462</v>
      </c>
      <c r="DY163">
        <v>89.8371307692308</v>
      </c>
      <c r="DZ163">
        <v>0.00874695692307692</v>
      </c>
      <c r="EA163">
        <v>18.4100538461538</v>
      </c>
      <c r="EB163">
        <v>18.0108538461538</v>
      </c>
      <c r="EC163">
        <v>999.9</v>
      </c>
      <c r="ED163">
        <v>0</v>
      </c>
      <c r="EE163">
        <v>0</v>
      </c>
      <c r="EF163">
        <v>9986.25615384615</v>
      </c>
      <c r="EG163">
        <v>0</v>
      </c>
      <c r="EH163">
        <v>1278.67692307692</v>
      </c>
      <c r="EI163">
        <v>-47.2526769230769</v>
      </c>
      <c r="EJ163">
        <v>652.765769230769</v>
      </c>
      <c r="EK163">
        <v>699.087538461538</v>
      </c>
      <c r="EL163">
        <v>2.11452461538462</v>
      </c>
      <c r="EM163">
        <v>692.308076923077</v>
      </c>
      <c r="EN163">
        <v>9.69735538461538</v>
      </c>
      <c r="EO163">
        <v>1.06114538461538</v>
      </c>
      <c r="EP163">
        <v>0.871182692307692</v>
      </c>
      <c r="EQ163">
        <v>7.78410846153846</v>
      </c>
      <c r="ER163">
        <v>4.92330076923077</v>
      </c>
      <c r="ES163">
        <v>1200.03461538462</v>
      </c>
      <c r="ET163">
        <v>0.967004538461538</v>
      </c>
      <c r="EU163">
        <v>0.0329955153846154</v>
      </c>
      <c r="EV163">
        <v>0</v>
      </c>
      <c r="EW163">
        <v>1260.29461538462</v>
      </c>
      <c r="EX163">
        <v>5.00059</v>
      </c>
      <c r="EY163">
        <v>14935.3769230769</v>
      </c>
      <c r="EZ163">
        <v>10359.0384615385</v>
      </c>
      <c r="FA163">
        <v>38.8602307692308</v>
      </c>
      <c r="FB163">
        <v>41.7353076923077</v>
      </c>
      <c r="FC163">
        <v>39.3699230769231</v>
      </c>
      <c r="FD163">
        <v>41.9516153846154</v>
      </c>
      <c r="FE163">
        <v>39.9709230769231</v>
      </c>
      <c r="FF163">
        <v>1155.60307692308</v>
      </c>
      <c r="FG163">
        <v>39.4315384615385</v>
      </c>
      <c r="FH163">
        <v>0</v>
      </c>
      <c r="FI163">
        <v>929.600000143051</v>
      </c>
      <c r="FJ163">
        <v>0</v>
      </c>
      <c r="FK163">
        <v>1260.4496</v>
      </c>
      <c r="FL163">
        <v>14.6176923021293</v>
      </c>
      <c r="FM163">
        <v>209.592307696022</v>
      </c>
      <c r="FN163">
        <v>14937.26</v>
      </c>
      <c r="FO163">
        <v>15</v>
      </c>
      <c r="FP163">
        <v>0</v>
      </c>
      <c r="FQ163" t="s">
        <v>439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-47.0202571428571</v>
      </c>
      <c r="GD163">
        <v>-4.50790909090921</v>
      </c>
      <c r="GE163">
        <v>0.563013145893575</v>
      </c>
      <c r="GF163">
        <v>0</v>
      </c>
      <c r="GG163">
        <v>1259.58647058824</v>
      </c>
      <c r="GH163">
        <v>15.4475171938932</v>
      </c>
      <c r="GI163">
        <v>1.52981521827839</v>
      </c>
      <c r="GJ163">
        <v>-1</v>
      </c>
      <c r="GK163">
        <v>2.11322714285714</v>
      </c>
      <c r="GL163">
        <v>0.0239259740259731</v>
      </c>
      <c r="GM163">
        <v>0.00259925473358574</v>
      </c>
      <c r="GN163">
        <v>1</v>
      </c>
      <c r="GO163">
        <v>1</v>
      </c>
      <c r="GP163">
        <v>2</v>
      </c>
      <c r="GQ163" t="s">
        <v>446</v>
      </c>
      <c r="GR163">
        <v>3.13063</v>
      </c>
      <c r="GS163">
        <v>2.68662</v>
      </c>
      <c r="GT163">
        <v>0.126289</v>
      </c>
      <c r="GU163">
        <v>0.132877</v>
      </c>
      <c r="GV163">
        <v>0.0616731</v>
      </c>
      <c r="GW163">
        <v>0.0528367</v>
      </c>
      <c r="GX163">
        <v>33110.1</v>
      </c>
      <c r="GY163">
        <v>35310.3</v>
      </c>
      <c r="GZ163">
        <v>34263.6</v>
      </c>
      <c r="HA163">
        <v>36846.3</v>
      </c>
      <c r="HB163">
        <v>45354.3</v>
      </c>
      <c r="HC163">
        <v>50047.8</v>
      </c>
      <c r="HD163">
        <v>53337.4</v>
      </c>
      <c r="HE163">
        <v>58773.3</v>
      </c>
      <c r="HF163">
        <v>2.00763</v>
      </c>
      <c r="HG163">
        <v>1.83672</v>
      </c>
      <c r="HH163">
        <v>0.00910833</v>
      </c>
      <c r="HI163">
        <v>0</v>
      </c>
      <c r="HJ163">
        <v>17.8642</v>
      </c>
      <c r="HK163">
        <v>999.9</v>
      </c>
      <c r="HL163">
        <v>26.859</v>
      </c>
      <c r="HM163">
        <v>30.454</v>
      </c>
      <c r="HN163">
        <v>13.0737</v>
      </c>
      <c r="HO163">
        <v>54.0328</v>
      </c>
      <c r="HP163">
        <v>44.4671</v>
      </c>
      <c r="HQ163">
        <v>1</v>
      </c>
      <c r="HR163">
        <v>-0.262571</v>
      </c>
      <c r="HS163">
        <v>4.69021</v>
      </c>
      <c r="HT163">
        <v>20.0736</v>
      </c>
      <c r="HU163">
        <v>5.20037</v>
      </c>
      <c r="HV163">
        <v>12.004</v>
      </c>
      <c r="HW163">
        <v>4.9757</v>
      </c>
      <c r="HX163">
        <v>3.29295</v>
      </c>
      <c r="HY163">
        <v>9999</v>
      </c>
      <c r="HZ163">
        <v>999.9</v>
      </c>
      <c r="IA163">
        <v>9999</v>
      </c>
      <c r="IB163">
        <v>9999</v>
      </c>
      <c r="IC163">
        <v>1.86324</v>
      </c>
      <c r="ID163">
        <v>1.86806</v>
      </c>
      <c r="IE163">
        <v>1.86783</v>
      </c>
      <c r="IF163">
        <v>1.86904</v>
      </c>
      <c r="IG163">
        <v>1.86981</v>
      </c>
      <c r="IH163">
        <v>1.86584</v>
      </c>
      <c r="II163">
        <v>1.86691</v>
      </c>
      <c r="IJ163">
        <v>1.8684</v>
      </c>
      <c r="IK163">
        <v>5</v>
      </c>
      <c r="IL163">
        <v>0</v>
      </c>
      <c r="IM163">
        <v>0</v>
      </c>
      <c r="IN163">
        <v>0</v>
      </c>
      <c r="IO163" t="s">
        <v>441</v>
      </c>
      <c r="IP163" t="s">
        <v>442</v>
      </c>
      <c r="IQ163" t="s">
        <v>443</v>
      </c>
      <c r="IR163" t="s">
        <v>443</v>
      </c>
      <c r="IS163" t="s">
        <v>443</v>
      </c>
      <c r="IT163" t="s">
        <v>443</v>
      </c>
      <c r="IU163">
        <v>0</v>
      </c>
      <c r="IV163">
        <v>100</v>
      </c>
      <c r="IW163">
        <v>100</v>
      </c>
      <c r="IX163">
        <v>3.811</v>
      </c>
      <c r="IY163">
        <v>-0.1112</v>
      </c>
      <c r="IZ163">
        <v>1.12474291219083</v>
      </c>
      <c r="JA163">
        <v>0.00463155566490582</v>
      </c>
      <c r="JB163">
        <v>-1.1358998729424e-06</v>
      </c>
      <c r="JC163">
        <v>3.28704272115545e-10</v>
      </c>
      <c r="JD163">
        <v>-0.0704455108513773</v>
      </c>
      <c r="JE163">
        <v>-0.0251928478371425</v>
      </c>
      <c r="JF163">
        <v>0.00225751704194564</v>
      </c>
      <c r="JG163">
        <v>-3.61734043746866e-05</v>
      </c>
      <c r="JH163">
        <v>1</v>
      </c>
      <c r="JI163">
        <v>2182</v>
      </c>
      <c r="JJ163">
        <v>0</v>
      </c>
      <c r="JK163">
        <v>24</v>
      </c>
      <c r="JL163">
        <v>29349867.9</v>
      </c>
      <c r="JM163">
        <v>29349867.9</v>
      </c>
      <c r="JN163">
        <v>1.56372</v>
      </c>
      <c r="JO163">
        <v>2.62451</v>
      </c>
      <c r="JP163">
        <v>1.54785</v>
      </c>
      <c r="JQ163">
        <v>2.31323</v>
      </c>
      <c r="JR163">
        <v>1.64673</v>
      </c>
      <c r="JS163">
        <v>2.37061</v>
      </c>
      <c r="JT163">
        <v>33.6479</v>
      </c>
      <c r="JU163">
        <v>24.1838</v>
      </c>
      <c r="JV163">
        <v>18</v>
      </c>
      <c r="JW163">
        <v>500.331</v>
      </c>
      <c r="JX163">
        <v>394.215</v>
      </c>
      <c r="JY163">
        <v>11.655</v>
      </c>
      <c r="JZ163">
        <v>23.9772</v>
      </c>
      <c r="KA163">
        <v>30.0002</v>
      </c>
      <c r="KB163">
        <v>23.9629</v>
      </c>
      <c r="KC163">
        <v>23.9308</v>
      </c>
      <c r="KD163">
        <v>31.3766</v>
      </c>
      <c r="KE163">
        <v>10.7727</v>
      </c>
      <c r="KF163">
        <v>26.5359</v>
      </c>
      <c r="KG163">
        <v>11.6414</v>
      </c>
      <c r="KH163">
        <v>738.002</v>
      </c>
      <c r="KI163">
        <v>9.66338</v>
      </c>
      <c r="KJ163">
        <v>97.0369</v>
      </c>
      <c r="KK163">
        <v>95.2975</v>
      </c>
    </row>
    <row r="164" spans="1:297">
      <c r="A164">
        <v>148</v>
      </c>
      <c r="B164">
        <v>1760992079.1</v>
      </c>
      <c r="C164">
        <v>2889</v>
      </c>
      <c r="D164" t="s">
        <v>749</v>
      </c>
      <c r="E164" t="s">
        <v>750</v>
      </c>
      <c r="F164">
        <v>5</v>
      </c>
      <c r="G164" t="s">
        <v>662</v>
      </c>
      <c r="H164" t="s">
        <v>436</v>
      </c>
      <c r="I164">
        <v>1760992070.94615</v>
      </c>
      <c r="J164">
        <f>(K164)/1000</f>
        <v>0</v>
      </c>
      <c r="K164">
        <f>IF(DP164, AN164, AH164)</f>
        <v>0</v>
      </c>
      <c r="L164">
        <f>IF(DP164, AI164, AG164)</f>
        <v>0</v>
      </c>
      <c r="M164">
        <f>DR164 - IF(AU164&gt;1, L164*DL164*100.0/(AW164), 0)</f>
        <v>0</v>
      </c>
      <c r="N164">
        <f>((T164-J164/2)*M164-L164)/(T164+J164/2)</f>
        <v>0</v>
      </c>
      <c r="O164">
        <f>N164*(DY164+DZ164)/1000.0</f>
        <v>0</v>
      </c>
      <c r="P164">
        <f>(DR164 - IF(AU164&gt;1, L164*DL164*100.0/(AW164), 0))*(DY164+DZ164)/1000.0</f>
        <v>0</v>
      </c>
      <c r="Q164">
        <f>2.0/((1/S164-1/R164)+SIGN(S164)*SQRT((1/S164-1/R164)*(1/S164-1/R164) + 4*DM164/((DM164+1)*(DM164+1))*(2*1/S164*1/R164-1/R164*1/R164)))</f>
        <v>0</v>
      </c>
      <c r="R164">
        <f>IF(LEFT(DN164,1)&lt;&gt;"0",IF(LEFT(DN164,1)="1",3.0,DO164),$D$5+$E$5*(EF164*DY164/($K$5*1000))+$F$5*(EF164*DY164/($K$5*1000))*MAX(MIN(DL164,$J$5),$I$5)*MAX(MIN(DL164,$J$5),$I$5)+$G$5*MAX(MIN(DL164,$J$5),$I$5)*(EF164*DY164/($K$5*1000))+$H$5*(EF164*DY164/($K$5*1000))*(EF164*DY164/($K$5*1000)))</f>
        <v>0</v>
      </c>
      <c r="S164">
        <f>J164*(1000-(1000*0.61365*exp(17.502*W164/(240.97+W164))/(DY164+DZ164)+DT164)/2)/(1000*0.61365*exp(17.502*W164/(240.97+W164))/(DY164+DZ164)-DT164)</f>
        <v>0</v>
      </c>
      <c r="T164">
        <f>1/((DM164+1)/(Q164/1.6)+1/(R164/1.37)) + DM164/((DM164+1)/(Q164/1.6) + DM164/(R164/1.37))</f>
        <v>0</v>
      </c>
      <c r="U164">
        <f>(DH164*DK164)</f>
        <v>0</v>
      </c>
      <c r="V164">
        <f>(EA164+(U164+2*0.95*5.67E-8*(((EA164+$B$7)+273)^4-(EA164+273)^4)-44100*J164)/(1.84*29.3*R164+8*0.95*5.67E-8*(EA164+273)^3))</f>
        <v>0</v>
      </c>
      <c r="W164">
        <f>($C$7*EB164+$D$7*EC164+$E$7*V164)</f>
        <v>0</v>
      </c>
      <c r="X164">
        <f>0.61365*exp(17.502*W164/(240.97+W164))</f>
        <v>0</v>
      </c>
      <c r="Y164">
        <f>(Z164/AA164*100)</f>
        <v>0</v>
      </c>
      <c r="Z164">
        <f>DT164*(DY164+DZ164)/1000</f>
        <v>0</v>
      </c>
      <c r="AA164">
        <f>0.61365*exp(17.502*EA164/(240.97+EA164))</f>
        <v>0</v>
      </c>
      <c r="AB164">
        <f>(X164-DT164*(DY164+DZ164)/1000)</f>
        <v>0</v>
      </c>
      <c r="AC164">
        <f>(-J164*44100)</f>
        <v>0</v>
      </c>
      <c r="AD164">
        <f>2*29.3*R164*0.92*(EA164-W164)</f>
        <v>0</v>
      </c>
      <c r="AE164">
        <f>2*0.95*5.67E-8*(((EA164+$B$7)+273)^4-(W164+273)^4)</f>
        <v>0</v>
      </c>
      <c r="AF164">
        <f>U164+AE164+AC164+AD164</f>
        <v>0</v>
      </c>
      <c r="AG164">
        <f>DX164*AU164*(DS164-DR164*(1000-AU164*DU164)/(1000-AU164*DT164))/(100*DL164)</f>
        <v>0</v>
      </c>
      <c r="AH164">
        <f>1000*DX164*AU164*(DT164-DU164)/(100*DL164*(1000-AU164*DT164))</f>
        <v>0</v>
      </c>
      <c r="AI164">
        <f>(AJ164 - AK164 - DY164*1E3/(8.314*(EA164+273.15)) * AM164/DX164 * AL164) * DX164/(100*DL164) * (1000 - DU164)/1000</f>
        <v>0</v>
      </c>
      <c r="AJ164">
        <v>731.040658582016</v>
      </c>
      <c r="AK164">
        <v>693.095381818182</v>
      </c>
      <c r="AL164">
        <v>3.22448380344564</v>
      </c>
      <c r="AM164">
        <v>65.2210784119795</v>
      </c>
      <c r="AN164">
        <f>(AP164 - AO164 + DY164*1E3/(8.314*(EA164+273.15)) * AR164/DX164 * AQ164) * DX164/(100*DL164) * 1000/(1000 - AP164)</f>
        <v>0</v>
      </c>
      <c r="AO164">
        <v>9.67281364391402</v>
      </c>
      <c r="AP164">
        <v>11.8087393939394</v>
      </c>
      <c r="AQ164">
        <v>-1.54965850768163e-05</v>
      </c>
      <c r="AR164">
        <v>115.574510355221</v>
      </c>
      <c r="AS164">
        <v>0</v>
      </c>
      <c r="AT164">
        <v>0</v>
      </c>
      <c r="AU164">
        <f>IF(AS164*$H$13&gt;=AW164,1.0,(AW164/(AW164-AS164*$H$13)))</f>
        <v>0</v>
      </c>
      <c r="AV164">
        <f>(AU164-1)*100</f>
        <v>0</v>
      </c>
      <c r="AW164">
        <f>MAX(0,($B$13+$C$13*EF164)/(1+$D$13*EF164)*DY164/(EA164+273)*$E$13)</f>
        <v>0</v>
      </c>
      <c r="AX164" t="s">
        <v>437</v>
      </c>
      <c r="AY164" t="s">
        <v>437</v>
      </c>
      <c r="AZ164">
        <v>0</v>
      </c>
      <c r="BA164">
        <v>0</v>
      </c>
      <c r="BB164">
        <f>1-AZ164/BA164</f>
        <v>0</v>
      </c>
      <c r="BC164">
        <v>0</v>
      </c>
      <c r="BD164" t="s">
        <v>437</v>
      </c>
      <c r="BE164" t="s">
        <v>437</v>
      </c>
      <c r="BF164">
        <v>0</v>
      </c>
      <c r="BG164">
        <v>0</v>
      </c>
      <c r="BH164">
        <f>1-BF164/BG164</f>
        <v>0</v>
      </c>
      <c r="BI164">
        <v>0.5</v>
      </c>
      <c r="BJ164">
        <f>DI164</f>
        <v>0</v>
      </c>
      <c r="BK164">
        <f>L164</f>
        <v>0</v>
      </c>
      <c r="BL164">
        <f>BH164*BI164*BJ164</f>
        <v>0</v>
      </c>
      <c r="BM164">
        <f>(BK164-BC164)/BJ164</f>
        <v>0</v>
      </c>
      <c r="BN164">
        <f>(BA164-BG164)/BG164</f>
        <v>0</v>
      </c>
      <c r="BO164">
        <f>AZ164/(BB164+AZ164/BG164)</f>
        <v>0</v>
      </c>
      <c r="BP164" t="s">
        <v>437</v>
      </c>
      <c r="BQ164">
        <v>0</v>
      </c>
      <c r="BR164">
        <f>IF(BQ164&lt;&gt;0, BQ164, BO164)</f>
        <v>0</v>
      </c>
      <c r="BS164">
        <f>1-BR164/BG164</f>
        <v>0</v>
      </c>
      <c r="BT164">
        <f>(BG164-BF164)/(BG164-BR164)</f>
        <v>0</v>
      </c>
      <c r="BU164">
        <f>(BA164-BG164)/(BA164-BR164)</f>
        <v>0</v>
      </c>
      <c r="BV164">
        <f>(BG164-BF164)/(BG164-AZ164)</f>
        <v>0</v>
      </c>
      <c r="BW164">
        <f>(BA164-BG164)/(BA164-AZ164)</f>
        <v>0</v>
      </c>
      <c r="BX164">
        <f>(BT164*BR164/BF164)</f>
        <v>0</v>
      </c>
      <c r="BY164">
        <f>(1-BX164)</f>
        <v>0</v>
      </c>
      <c r="BZ164">
        <v>282</v>
      </c>
      <c r="CA164">
        <v>290</v>
      </c>
      <c r="CB164">
        <v>1577.74</v>
      </c>
      <c r="CC164">
        <v>295</v>
      </c>
      <c r="CD164">
        <v>5140.93</v>
      </c>
      <c r="CE164">
        <v>1578.58</v>
      </c>
      <c r="CF164">
        <v>-0.84</v>
      </c>
      <c r="CG164">
        <v>300</v>
      </c>
      <c r="CH164">
        <v>23.8</v>
      </c>
      <c r="CI164">
        <v>1633.28263291266</v>
      </c>
      <c r="CJ164">
        <v>1.49577129053257</v>
      </c>
      <c r="CK164">
        <v>-28.1203876934379</v>
      </c>
      <c r="CL164">
        <v>0.666413418688897</v>
      </c>
      <c r="CM164">
        <v>0.984518017981194</v>
      </c>
      <c r="CN164">
        <v>-0.00424727541713014</v>
      </c>
      <c r="CO164">
        <v>290</v>
      </c>
      <c r="CP164">
        <v>1576.56</v>
      </c>
      <c r="CQ164">
        <v>775</v>
      </c>
      <c r="CR164">
        <v>5139.5</v>
      </c>
      <c r="CS164">
        <v>1578.57</v>
      </c>
      <c r="CT164">
        <v>-2.01</v>
      </c>
      <c r="DH164">
        <f>$B$11*EG164+$C$11*EH164+$F$11*ES164*(1-EV164)</f>
        <v>0</v>
      </c>
      <c r="DI164">
        <f>DH164*DJ164</f>
        <v>0</v>
      </c>
      <c r="DJ164">
        <f>($B$11*$D$9+$C$11*$D$9+$F$11*((FF164+EX164)/MAX(FF164+EX164+FG164, 0.1)*$I$9+FG164/MAX(FF164+EX164+FG164, 0.1)*$J$9))/($B$11+$C$11+$F$11)</f>
        <v>0</v>
      </c>
      <c r="DK164">
        <f>($B$11*$K$9+$C$11*$K$9+$F$11*((FF164+EX164)/MAX(FF164+EX164+FG164, 0.1)*$P$9+FG164/MAX(FF164+EX164+FG164, 0.1)*$Q$9))/($B$11+$C$11+$F$11)</f>
        <v>0</v>
      </c>
      <c r="DL164">
        <v>6</v>
      </c>
      <c r="DM164">
        <v>0.5</v>
      </c>
      <c r="DN164" t="s">
        <v>438</v>
      </c>
      <c r="DO164">
        <v>2</v>
      </c>
      <c r="DP164" t="b">
        <v>1</v>
      </c>
      <c r="DQ164">
        <v>1760992070.94615</v>
      </c>
      <c r="DR164">
        <v>661.564923076923</v>
      </c>
      <c r="DS164">
        <v>708.675769230769</v>
      </c>
      <c r="DT164">
        <v>11.8114538461538</v>
      </c>
      <c r="DU164">
        <v>9.69287076923077</v>
      </c>
      <c r="DV164">
        <v>657.791769230769</v>
      </c>
      <c r="DW164">
        <v>11.9226538461538</v>
      </c>
      <c r="DX164">
        <v>500.002</v>
      </c>
      <c r="DY164">
        <v>89.8367615384616</v>
      </c>
      <c r="DZ164">
        <v>0.00871841615384615</v>
      </c>
      <c r="EA164">
        <v>18.4133153846154</v>
      </c>
      <c r="EB164">
        <v>18.0113615384615</v>
      </c>
      <c r="EC164">
        <v>999.9</v>
      </c>
      <c r="ED164">
        <v>0</v>
      </c>
      <c r="EE164">
        <v>0</v>
      </c>
      <c r="EF164">
        <v>9987.07153846154</v>
      </c>
      <c r="EG164">
        <v>0</v>
      </c>
      <c r="EH164">
        <v>1278.68230769231</v>
      </c>
      <c r="EI164">
        <v>-47.1107384615385</v>
      </c>
      <c r="EJ164">
        <v>669.472384615385</v>
      </c>
      <c r="EK164">
        <v>715.612076923077</v>
      </c>
      <c r="EL164">
        <v>2.11858</v>
      </c>
      <c r="EM164">
        <v>708.675769230769</v>
      </c>
      <c r="EN164">
        <v>9.69287076923077</v>
      </c>
      <c r="EO164">
        <v>1.06110230769231</v>
      </c>
      <c r="EP164">
        <v>0.870776307692308</v>
      </c>
      <c r="EQ164">
        <v>7.78351769230769</v>
      </c>
      <c r="ER164">
        <v>4.91660615384615</v>
      </c>
      <c r="ES164">
        <v>1200.00615384615</v>
      </c>
      <c r="ET164">
        <v>0.967003615384615</v>
      </c>
      <c r="EU164">
        <v>0.0329963076923077</v>
      </c>
      <c r="EV164">
        <v>0</v>
      </c>
      <c r="EW164">
        <v>1261.63846153846</v>
      </c>
      <c r="EX164">
        <v>5.00059</v>
      </c>
      <c r="EY164">
        <v>14952.1615384615</v>
      </c>
      <c r="EZ164">
        <v>10358.7846153846</v>
      </c>
      <c r="FA164">
        <v>38.9034615384615</v>
      </c>
      <c r="FB164">
        <v>41.7257692307692</v>
      </c>
      <c r="FC164">
        <v>39.4036153846154</v>
      </c>
      <c r="FD164">
        <v>41.9276153846154</v>
      </c>
      <c r="FE164">
        <v>39.9997692307692</v>
      </c>
      <c r="FF164">
        <v>1155.57384615385</v>
      </c>
      <c r="FG164">
        <v>39.4315384615385</v>
      </c>
      <c r="FH164">
        <v>0</v>
      </c>
      <c r="FI164">
        <v>935</v>
      </c>
      <c r="FJ164">
        <v>0</v>
      </c>
      <c r="FK164">
        <v>1261.87038461538</v>
      </c>
      <c r="FL164">
        <v>17.6858119555948</v>
      </c>
      <c r="FM164">
        <v>206.991453006218</v>
      </c>
      <c r="FN164">
        <v>14954.6653846154</v>
      </c>
      <c r="FO164">
        <v>15</v>
      </c>
      <c r="FP164">
        <v>0</v>
      </c>
      <c r="FQ164" t="s">
        <v>439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-47.1130714285714</v>
      </c>
      <c r="GD164">
        <v>-0.555958441558544</v>
      </c>
      <c r="GE164">
        <v>0.439492631871558</v>
      </c>
      <c r="GF164">
        <v>0</v>
      </c>
      <c r="GG164">
        <v>1260.75970588235</v>
      </c>
      <c r="GH164">
        <v>15.7122994617431</v>
      </c>
      <c r="GI164">
        <v>1.55855416651634</v>
      </c>
      <c r="GJ164">
        <v>-1</v>
      </c>
      <c r="GK164">
        <v>2.11503619047619</v>
      </c>
      <c r="GL164">
        <v>0.0216335064935051</v>
      </c>
      <c r="GM164">
        <v>0.00310703422543176</v>
      </c>
      <c r="GN164">
        <v>1</v>
      </c>
      <c r="GO164">
        <v>1</v>
      </c>
      <c r="GP164">
        <v>2</v>
      </c>
      <c r="GQ164" t="s">
        <v>446</v>
      </c>
      <c r="GR164">
        <v>3.13069</v>
      </c>
      <c r="GS164">
        <v>2.68649</v>
      </c>
      <c r="GT164">
        <v>0.128367</v>
      </c>
      <c r="GU164">
        <v>0.134795</v>
      </c>
      <c r="GV164">
        <v>0.0616578</v>
      </c>
      <c r="GW164">
        <v>0.0525985</v>
      </c>
      <c r="GX164">
        <v>33031.5</v>
      </c>
      <c r="GY164">
        <v>35232.3</v>
      </c>
      <c r="GZ164">
        <v>34263.7</v>
      </c>
      <c r="HA164">
        <v>36846.3</v>
      </c>
      <c r="HB164">
        <v>45355.2</v>
      </c>
      <c r="HC164">
        <v>50060.8</v>
      </c>
      <c r="HD164">
        <v>53337.3</v>
      </c>
      <c r="HE164">
        <v>58773.3</v>
      </c>
      <c r="HF164">
        <v>2.00805</v>
      </c>
      <c r="HG164">
        <v>1.83605</v>
      </c>
      <c r="HH164">
        <v>0.00762194</v>
      </c>
      <c r="HI164">
        <v>0</v>
      </c>
      <c r="HJ164">
        <v>17.8649</v>
      </c>
      <c r="HK164">
        <v>999.9</v>
      </c>
      <c r="HL164">
        <v>26.834</v>
      </c>
      <c r="HM164">
        <v>30.464</v>
      </c>
      <c r="HN164">
        <v>13.0695</v>
      </c>
      <c r="HO164">
        <v>54.8828</v>
      </c>
      <c r="HP164">
        <v>44.4431</v>
      </c>
      <c r="HQ164">
        <v>1</v>
      </c>
      <c r="HR164">
        <v>-0.262406</v>
      </c>
      <c r="HS164">
        <v>4.70352</v>
      </c>
      <c r="HT164">
        <v>20.0731</v>
      </c>
      <c r="HU164">
        <v>5.19977</v>
      </c>
      <c r="HV164">
        <v>12.004</v>
      </c>
      <c r="HW164">
        <v>4.9756</v>
      </c>
      <c r="HX164">
        <v>3.293</v>
      </c>
      <c r="HY164">
        <v>9999</v>
      </c>
      <c r="HZ164">
        <v>999.9</v>
      </c>
      <c r="IA164">
        <v>9999</v>
      </c>
      <c r="IB164">
        <v>9999</v>
      </c>
      <c r="IC164">
        <v>1.86321</v>
      </c>
      <c r="ID164">
        <v>1.86805</v>
      </c>
      <c r="IE164">
        <v>1.86783</v>
      </c>
      <c r="IF164">
        <v>1.86903</v>
      </c>
      <c r="IG164">
        <v>1.86981</v>
      </c>
      <c r="IH164">
        <v>1.86584</v>
      </c>
      <c r="II164">
        <v>1.86692</v>
      </c>
      <c r="IJ164">
        <v>1.86837</v>
      </c>
      <c r="IK164">
        <v>5</v>
      </c>
      <c r="IL164">
        <v>0</v>
      </c>
      <c r="IM164">
        <v>0</v>
      </c>
      <c r="IN164">
        <v>0</v>
      </c>
      <c r="IO164" t="s">
        <v>441</v>
      </c>
      <c r="IP164" t="s">
        <v>442</v>
      </c>
      <c r="IQ164" t="s">
        <v>443</v>
      </c>
      <c r="IR164" t="s">
        <v>443</v>
      </c>
      <c r="IS164" t="s">
        <v>443</v>
      </c>
      <c r="IT164" t="s">
        <v>443</v>
      </c>
      <c r="IU164">
        <v>0</v>
      </c>
      <c r="IV164">
        <v>100</v>
      </c>
      <c r="IW164">
        <v>100</v>
      </c>
      <c r="IX164">
        <v>3.868</v>
      </c>
      <c r="IY164">
        <v>-0.1113</v>
      </c>
      <c r="IZ164">
        <v>1.12474291219083</v>
      </c>
      <c r="JA164">
        <v>0.00463155566490582</v>
      </c>
      <c r="JB164">
        <v>-1.1358998729424e-06</v>
      </c>
      <c r="JC164">
        <v>3.28704272115545e-10</v>
      </c>
      <c r="JD164">
        <v>-0.0704455108513773</v>
      </c>
      <c r="JE164">
        <v>-0.0251928478371425</v>
      </c>
      <c r="JF164">
        <v>0.00225751704194564</v>
      </c>
      <c r="JG164">
        <v>-3.61734043746866e-05</v>
      </c>
      <c r="JH164">
        <v>1</v>
      </c>
      <c r="JI164">
        <v>2182</v>
      </c>
      <c r="JJ164">
        <v>0</v>
      </c>
      <c r="JK164">
        <v>24</v>
      </c>
      <c r="JL164">
        <v>29349868</v>
      </c>
      <c r="JM164">
        <v>29349868</v>
      </c>
      <c r="JN164">
        <v>1.59058</v>
      </c>
      <c r="JO164">
        <v>2.62451</v>
      </c>
      <c r="JP164">
        <v>1.54785</v>
      </c>
      <c r="JQ164">
        <v>2.31445</v>
      </c>
      <c r="JR164">
        <v>1.64673</v>
      </c>
      <c r="JS164">
        <v>2.3584</v>
      </c>
      <c r="JT164">
        <v>33.6479</v>
      </c>
      <c r="JU164">
        <v>24.1838</v>
      </c>
      <c r="JV164">
        <v>18</v>
      </c>
      <c r="JW164">
        <v>500.623</v>
      </c>
      <c r="JX164">
        <v>393.859</v>
      </c>
      <c r="JY164">
        <v>11.6398</v>
      </c>
      <c r="JZ164">
        <v>23.9772</v>
      </c>
      <c r="KA164">
        <v>30.0002</v>
      </c>
      <c r="KB164">
        <v>23.9649</v>
      </c>
      <c r="KC164">
        <v>23.9308</v>
      </c>
      <c r="KD164">
        <v>31.9742</v>
      </c>
      <c r="KE164">
        <v>10.7727</v>
      </c>
      <c r="KF164">
        <v>26.5359</v>
      </c>
      <c r="KG164">
        <v>11.6287</v>
      </c>
      <c r="KH164">
        <v>758.404</v>
      </c>
      <c r="KI164">
        <v>9.66338</v>
      </c>
      <c r="KJ164">
        <v>97.0369</v>
      </c>
      <c r="KK164">
        <v>95.2975</v>
      </c>
    </row>
    <row r="165" spans="1:297">
      <c r="A165">
        <v>149</v>
      </c>
      <c r="B165">
        <v>1760992084.1</v>
      </c>
      <c r="C165">
        <v>2894</v>
      </c>
      <c r="D165" t="s">
        <v>751</v>
      </c>
      <c r="E165" t="s">
        <v>752</v>
      </c>
      <c r="F165">
        <v>5</v>
      </c>
      <c r="G165" t="s">
        <v>662</v>
      </c>
      <c r="H165" t="s">
        <v>436</v>
      </c>
      <c r="I165">
        <v>1760992075.94615</v>
      </c>
      <c r="J165">
        <f>(K165)/1000</f>
        <v>0</v>
      </c>
      <c r="K165">
        <f>IF(DP165, AN165, AH165)</f>
        <v>0</v>
      </c>
      <c r="L165">
        <f>IF(DP165, AI165, AG165)</f>
        <v>0</v>
      </c>
      <c r="M165">
        <f>DR165 - IF(AU165&gt;1, L165*DL165*100.0/(AW165), 0)</f>
        <v>0</v>
      </c>
      <c r="N165">
        <f>((T165-J165/2)*M165-L165)/(T165+J165/2)</f>
        <v>0</v>
      </c>
      <c r="O165">
        <f>N165*(DY165+DZ165)/1000.0</f>
        <v>0</v>
      </c>
      <c r="P165">
        <f>(DR165 - IF(AU165&gt;1, L165*DL165*100.0/(AW165), 0))*(DY165+DZ165)/1000.0</f>
        <v>0</v>
      </c>
      <c r="Q165">
        <f>2.0/((1/S165-1/R165)+SIGN(S165)*SQRT((1/S165-1/R165)*(1/S165-1/R165) + 4*DM165/((DM165+1)*(DM165+1))*(2*1/S165*1/R165-1/R165*1/R165)))</f>
        <v>0</v>
      </c>
      <c r="R165">
        <f>IF(LEFT(DN165,1)&lt;&gt;"0",IF(LEFT(DN165,1)="1",3.0,DO165),$D$5+$E$5*(EF165*DY165/($K$5*1000))+$F$5*(EF165*DY165/($K$5*1000))*MAX(MIN(DL165,$J$5),$I$5)*MAX(MIN(DL165,$J$5),$I$5)+$G$5*MAX(MIN(DL165,$J$5),$I$5)*(EF165*DY165/($K$5*1000))+$H$5*(EF165*DY165/($K$5*1000))*(EF165*DY165/($K$5*1000)))</f>
        <v>0</v>
      </c>
      <c r="S165">
        <f>J165*(1000-(1000*0.61365*exp(17.502*W165/(240.97+W165))/(DY165+DZ165)+DT165)/2)/(1000*0.61365*exp(17.502*W165/(240.97+W165))/(DY165+DZ165)-DT165)</f>
        <v>0</v>
      </c>
      <c r="T165">
        <f>1/((DM165+1)/(Q165/1.6)+1/(R165/1.37)) + DM165/((DM165+1)/(Q165/1.6) + DM165/(R165/1.37))</f>
        <v>0</v>
      </c>
      <c r="U165">
        <f>(DH165*DK165)</f>
        <v>0</v>
      </c>
      <c r="V165">
        <f>(EA165+(U165+2*0.95*5.67E-8*(((EA165+$B$7)+273)^4-(EA165+273)^4)-44100*J165)/(1.84*29.3*R165+8*0.95*5.67E-8*(EA165+273)^3))</f>
        <v>0</v>
      </c>
      <c r="W165">
        <f>($C$7*EB165+$D$7*EC165+$E$7*V165)</f>
        <v>0</v>
      </c>
      <c r="X165">
        <f>0.61365*exp(17.502*W165/(240.97+W165))</f>
        <v>0</v>
      </c>
      <c r="Y165">
        <f>(Z165/AA165*100)</f>
        <v>0</v>
      </c>
      <c r="Z165">
        <f>DT165*(DY165+DZ165)/1000</f>
        <v>0</v>
      </c>
      <c r="AA165">
        <f>0.61365*exp(17.502*EA165/(240.97+EA165))</f>
        <v>0</v>
      </c>
      <c r="AB165">
        <f>(X165-DT165*(DY165+DZ165)/1000)</f>
        <v>0</v>
      </c>
      <c r="AC165">
        <f>(-J165*44100)</f>
        <v>0</v>
      </c>
      <c r="AD165">
        <f>2*29.3*R165*0.92*(EA165-W165)</f>
        <v>0</v>
      </c>
      <c r="AE165">
        <f>2*0.95*5.67E-8*(((EA165+$B$7)+273)^4-(W165+273)^4)</f>
        <v>0</v>
      </c>
      <c r="AF165">
        <f>U165+AE165+AC165+AD165</f>
        <v>0</v>
      </c>
      <c r="AG165">
        <f>DX165*AU165*(DS165-DR165*(1000-AU165*DU165)/(1000-AU165*DT165))/(100*DL165)</f>
        <v>0</v>
      </c>
      <c r="AH165">
        <f>1000*DX165*AU165*(DT165-DU165)/(100*DL165*(1000-AU165*DT165))</f>
        <v>0</v>
      </c>
      <c r="AI165">
        <f>(AJ165 - AK165 - DY165*1E3/(8.314*(EA165+273.15)) * AM165/DX165 * AL165) * DX165/(100*DL165) * (1000 - DU165)/1000</f>
        <v>0</v>
      </c>
      <c r="AJ165">
        <v>746.795806532511</v>
      </c>
      <c r="AK165">
        <v>708.885424242424</v>
      </c>
      <c r="AL165">
        <v>3.14457726845035</v>
      </c>
      <c r="AM165">
        <v>65.2210784119795</v>
      </c>
      <c r="AN165">
        <f>(AP165 - AO165 + DY165*1E3/(8.314*(EA165+273.15)) * AR165/DX165 * AQ165) * DX165/(100*DL165) * 1000/(1000 - AP165)</f>
        <v>0</v>
      </c>
      <c r="AO165">
        <v>9.58911807369407</v>
      </c>
      <c r="AP165">
        <v>11.7891854545455</v>
      </c>
      <c r="AQ165">
        <v>-0.00545973663876261</v>
      </c>
      <c r="AR165">
        <v>115.574510355221</v>
      </c>
      <c r="AS165">
        <v>0</v>
      </c>
      <c r="AT165">
        <v>0</v>
      </c>
      <c r="AU165">
        <f>IF(AS165*$H$13&gt;=AW165,1.0,(AW165/(AW165-AS165*$H$13)))</f>
        <v>0</v>
      </c>
      <c r="AV165">
        <f>(AU165-1)*100</f>
        <v>0</v>
      </c>
      <c r="AW165">
        <f>MAX(0,($B$13+$C$13*EF165)/(1+$D$13*EF165)*DY165/(EA165+273)*$E$13)</f>
        <v>0</v>
      </c>
      <c r="AX165" t="s">
        <v>437</v>
      </c>
      <c r="AY165" t="s">
        <v>437</v>
      </c>
      <c r="AZ165">
        <v>0</v>
      </c>
      <c r="BA165">
        <v>0</v>
      </c>
      <c r="BB165">
        <f>1-AZ165/BA165</f>
        <v>0</v>
      </c>
      <c r="BC165">
        <v>0</v>
      </c>
      <c r="BD165" t="s">
        <v>437</v>
      </c>
      <c r="BE165" t="s">
        <v>437</v>
      </c>
      <c r="BF165">
        <v>0</v>
      </c>
      <c r="BG165">
        <v>0</v>
      </c>
      <c r="BH165">
        <f>1-BF165/BG165</f>
        <v>0</v>
      </c>
      <c r="BI165">
        <v>0.5</v>
      </c>
      <c r="BJ165">
        <f>DI165</f>
        <v>0</v>
      </c>
      <c r="BK165">
        <f>L165</f>
        <v>0</v>
      </c>
      <c r="BL165">
        <f>BH165*BI165*BJ165</f>
        <v>0</v>
      </c>
      <c r="BM165">
        <f>(BK165-BC165)/BJ165</f>
        <v>0</v>
      </c>
      <c r="BN165">
        <f>(BA165-BG165)/BG165</f>
        <v>0</v>
      </c>
      <c r="BO165">
        <f>AZ165/(BB165+AZ165/BG165)</f>
        <v>0</v>
      </c>
      <c r="BP165" t="s">
        <v>437</v>
      </c>
      <c r="BQ165">
        <v>0</v>
      </c>
      <c r="BR165">
        <f>IF(BQ165&lt;&gt;0, BQ165, BO165)</f>
        <v>0</v>
      </c>
      <c r="BS165">
        <f>1-BR165/BG165</f>
        <v>0</v>
      </c>
      <c r="BT165">
        <f>(BG165-BF165)/(BG165-BR165)</f>
        <v>0</v>
      </c>
      <c r="BU165">
        <f>(BA165-BG165)/(BA165-BR165)</f>
        <v>0</v>
      </c>
      <c r="BV165">
        <f>(BG165-BF165)/(BG165-AZ165)</f>
        <v>0</v>
      </c>
      <c r="BW165">
        <f>(BA165-BG165)/(BA165-AZ165)</f>
        <v>0</v>
      </c>
      <c r="BX165">
        <f>(BT165*BR165/BF165)</f>
        <v>0</v>
      </c>
      <c r="BY165">
        <f>(1-BX165)</f>
        <v>0</v>
      </c>
      <c r="BZ165">
        <v>282</v>
      </c>
      <c r="CA165">
        <v>290</v>
      </c>
      <c r="CB165">
        <v>1577.74</v>
      </c>
      <c r="CC165">
        <v>295</v>
      </c>
      <c r="CD165">
        <v>5140.93</v>
      </c>
      <c r="CE165">
        <v>1578.58</v>
      </c>
      <c r="CF165">
        <v>-0.84</v>
      </c>
      <c r="CG165">
        <v>300</v>
      </c>
      <c r="CH165">
        <v>23.8</v>
      </c>
      <c r="CI165">
        <v>1633.28263291266</v>
      </c>
      <c r="CJ165">
        <v>1.49577129053257</v>
      </c>
      <c r="CK165">
        <v>-28.1203876934379</v>
      </c>
      <c r="CL165">
        <v>0.666413418688897</v>
      </c>
      <c r="CM165">
        <v>0.984518017981194</v>
      </c>
      <c r="CN165">
        <v>-0.00424727541713014</v>
      </c>
      <c r="CO165">
        <v>290</v>
      </c>
      <c r="CP165">
        <v>1576.56</v>
      </c>
      <c r="CQ165">
        <v>775</v>
      </c>
      <c r="CR165">
        <v>5139.5</v>
      </c>
      <c r="CS165">
        <v>1578.57</v>
      </c>
      <c r="CT165">
        <v>-2.01</v>
      </c>
      <c r="DH165">
        <f>$B$11*EG165+$C$11*EH165+$F$11*ES165*(1-EV165)</f>
        <v>0</v>
      </c>
      <c r="DI165">
        <f>DH165*DJ165</f>
        <v>0</v>
      </c>
      <c r="DJ165">
        <f>($B$11*$D$9+$C$11*$D$9+$F$11*((FF165+EX165)/MAX(FF165+EX165+FG165, 0.1)*$I$9+FG165/MAX(FF165+EX165+FG165, 0.1)*$J$9))/($B$11+$C$11+$F$11)</f>
        <v>0</v>
      </c>
      <c r="DK165">
        <f>($B$11*$K$9+$C$11*$K$9+$F$11*((FF165+EX165)/MAX(FF165+EX165+FG165, 0.1)*$P$9+FG165/MAX(FF165+EX165+FG165, 0.1)*$Q$9))/($B$11+$C$11+$F$11)</f>
        <v>0</v>
      </c>
      <c r="DL165">
        <v>6</v>
      </c>
      <c r="DM165">
        <v>0.5</v>
      </c>
      <c r="DN165" t="s">
        <v>438</v>
      </c>
      <c r="DO165">
        <v>2</v>
      </c>
      <c r="DP165" t="b">
        <v>1</v>
      </c>
      <c r="DQ165">
        <v>1760992075.94615</v>
      </c>
      <c r="DR165">
        <v>677.821384615385</v>
      </c>
      <c r="DS165">
        <v>724.896769230769</v>
      </c>
      <c r="DT165">
        <v>11.8065692307692</v>
      </c>
      <c r="DU165">
        <v>9.66355384615385</v>
      </c>
      <c r="DV165">
        <v>673.990615384615</v>
      </c>
      <c r="DW165">
        <v>11.9178307692308</v>
      </c>
      <c r="DX165">
        <v>499.995153846154</v>
      </c>
      <c r="DY165">
        <v>89.8368307692308</v>
      </c>
      <c r="DZ165">
        <v>0.00867292846153846</v>
      </c>
      <c r="EA165">
        <v>18.4121</v>
      </c>
      <c r="EB165">
        <v>18.0024307692308</v>
      </c>
      <c r="EC165">
        <v>999.9</v>
      </c>
      <c r="ED165">
        <v>0</v>
      </c>
      <c r="EE165">
        <v>0</v>
      </c>
      <c r="EF165">
        <v>9991.73076923077</v>
      </c>
      <c r="EG165">
        <v>0</v>
      </c>
      <c r="EH165">
        <v>1278.66230769231</v>
      </c>
      <c r="EI165">
        <v>-47.0752384615385</v>
      </c>
      <c r="EJ165">
        <v>685.919846153846</v>
      </c>
      <c r="EK165">
        <v>731.969769230769</v>
      </c>
      <c r="EL165">
        <v>2.14300076923077</v>
      </c>
      <c r="EM165">
        <v>724.896769230769</v>
      </c>
      <c r="EN165">
        <v>9.66355384615385</v>
      </c>
      <c r="EO165">
        <v>1.06066384615385</v>
      </c>
      <c r="EP165">
        <v>0.868143153846154</v>
      </c>
      <c r="EQ165">
        <v>7.77744307692308</v>
      </c>
      <c r="ER165">
        <v>4.87308461538461</v>
      </c>
      <c r="ES165">
        <v>1200.01846153846</v>
      </c>
      <c r="ET165">
        <v>0.967003923076923</v>
      </c>
      <c r="EU165">
        <v>0.0329959615384615</v>
      </c>
      <c r="EV165">
        <v>0</v>
      </c>
      <c r="EW165">
        <v>1263.03923076923</v>
      </c>
      <c r="EX165">
        <v>5.00059</v>
      </c>
      <c r="EY165">
        <v>14968.2230769231</v>
      </c>
      <c r="EZ165">
        <v>10358.8923076923</v>
      </c>
      <c r="FA165">
        <v>38.9131538461538</v>
      </c>
      <c r="FB165">
        <v>41.644</v>
      </c>
      <c r="FC165">
        <v>39.3987692307692</v>
      </c>
      <c r="FD165">
        <v>41.8074615384615</v>
      </c>
      <c r="FE165">
        <v>39.9613076923077</v>
      </c>
      <c r="FF165">
        <v>1155.58615384615</v>
      </c>
      <c r="FG165">
        <v>39.4307692307692</v>
      </c>
      <c r="FH165">
        <v>0</v>
      </c>
      <c r="FI165">
        <v>939.800000190735</v>
      </c>
      <c r="FJ165">
        <v>0</v>
      </c>
      <c r="FK165">
        <v>1263.25384615385</v>
      </c>
      <c r="FL165">
        <v>18.7979487174166</v>
      </c>
      <c r="FM165">
        <v>183.538461383605</v>
      </c>
      <c r="FN165">
        <v>14970.25</v>
      </c>
      <c r="FO165">
        <v>15</v>
      </c>
      <c r="FP165">
        <v>0</v>
      </c>
      <c r="FQ165" t="s">
        <v>439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-47.0743238095238</v>
      </c>
      <c r="GD165">
        <v>1.78323896103895</v>
      </c>
      <c r="GE165">
        <v>0.539312150009058</v>
      </c>
      <c r="GF165">
        <v>0</v>
      </c>
      <c r="GG165">
        <v>1262.23205882353</v>
      </c>
      <c r="GH165">
        <v>17.376470591684</v>
      </c>
      <c r="GI165">
        <v>1.71799434945959</v>
      </c>
      <c r="GJ165">
        <v>-1</v>
      </c>
      <c r="GK165">
        <v>2.13480714285714</v>
      </c>
      <c r="GL165">
        <v>0.251115584415586</v>
      </c>
      <c r="GM165">
        <v>0.0314423960287255</v>
      </c>
      <c r="GN165">
        <v>0</v>
      </c>
      <c r="GO165">
        <v>0</v>
      </c>
      <c r="GP165">
        <v>2</v>
      </c>
      <c r="GQ165" t="s">
        <v>519</v>
      </c>
      <c r="GR165">
        <v>3.13082</v>
      </c>
      <c r="GS165">
        <v>2.68701</v>
      </c>
      <c r="GT165">
        <v>0.130389</v>
      </c>
      <c r="GU165">
        <v>0.137004</v>
      </c>
      <c r="GV165">
        <v>0.0615708</v>
      </c>
      <c r="GW165">
        <v>0.0523767</v>
      </c>
      <c r="GX165">
        <v>32955</v>
      </c>
      <c r="GY165">
        <v>35142.5</v>
      </c>
      <c r="GZ165">
        <v>34263.7</v>
      </c>
      <c r="HA165">
        <v>36846.4</v>
      </c>
      <c r="HB165">
        <v>45359.7</v>
      </c>
      <c r="HC165">
        <v>50073.2</v>
      </c>
      <c r="HD165">
        <v>53337.3</v>
      </c>
      <c r="HE165">
        <v>58773.6</v>
      </c>
      <c r="HF165">
        <v>2.0082</v>
      </c>
      <c r="HG165">
        <v>1.83582</v>
      </c>
      <c r="HH165">
        <v>0.00758842</v>
      </c>
      <c r="HI165">
        <v>0</v>
      </c>
      <c r="HJ165">
        <v>17.8657</v>
      </c>
      <c r="HK165">
        <v>999.9</v>
      </c>
      <c r="HL165">
        <v>26.81</v>
      </c>
      <c r="HM165">
        <v>30.464</v>
      </c>
      <c r="HN165">
        <v>13.0577</v>
      </c>
      <c r="HO165">
        <v>54.5028</v>
      </c>
      <c r="HP165">
        <v>44.4111</v>
      </c>
      <c r="HQ165">
        <v>1</v>
      </c>
      <c r="HR165">
        <v>-0.262396</v>
      </c>
      <c r="HS165">
        <v>4.6388</v>
      </c>
      <c r="HT165">
        <v>20.0753</v>
      </c>
      <c r="HU165">
        <v>5.19932</v>
      </c>
      <c r="HV165">
        <v>12.0041</v>
      </c>
      <c r="HW165">
        <v>4.9758</v>
      </c>
      <c r="HX165">
        <v>3.293</v>
      </c>
      <c r="HY165">
        <v>9999</v>
      </c>
      <c r="HZ165">
        <v>999.9</v>
      </c>
      <c r="IA165">
        <v>9999</v>
      </c>
      <c r="IB165">
        <v>9999</v>
      </c>
      <c r="IC165">
        <v>1.86321</v>
      </c>
      <c r="ID165">
        <v>1.86804</v>
      </c>
      <c r="IE165">
        <v>1.86783</v>
      </c>
      <c r="IF165">
        <v>1.86903</v>
      </c>
      <c r="IG165">
        <v>1.86981</v>
      </c>
      <c r="IH165">
        <v>1.86584</v>
      </c>
      <c r="II165">
        <v>1.86692</v>
      </c>
      <c r="IJ165">
        <v>1.86836</v>
      </c>
      <c r="IK165">
        <v>5</v>
      </c>
      <c r="IL165">
        <v>0</v>
      </c>
      <c r="IM165">
        <v>0</v>
      </c>
      <c r="IN165">
        <v>0</v>
      </c>
      <c r="IO165" t="s">
        <v>441</v>
      </c>
      <c r="IP165" t="s">
        <v>442</v>
      </c>
      <c r="IQ165" t="s">
        <v>443</v>
      </c>
      <c r="IR165" t="s">
        <v>443</v>
      </c>
      <c r="IS165" t="s">
        <v>443</v>
      </c>
      <c r="IT165" t="s">
        <v>443</v>
      </c>
      <c r="IU165">
        <v>0</v>
      </c>
      <c r="IV165">
        <v>100</v>
      </c>
      <c r="IW165">
        <v>100</v>
      </c>
      <c r="IX165">
        <v>3.923</v>
      </c>
      <c r="IY165">
        <v>-0.1116</v>
      </c>
      <c r="IZ165">
        <v>1.12474291219083</v>
      </c>
      <c r="JA165">
        <v>0.00463155566490582</v>
      </c>
      <c r="JB165">
        <v>-1.1358998729424e-06</v>
      </c>
      <c r="JC165">
        <v>3.28704272115545e-10</v>
      </c>
      <c r="JD165">
        <v>-0.0704455108513773</v>
      </c>
      <c r="JE165">
        <v>-0.0251928478371425</v>
      </c>
      <c r="JF165">
        <v>0.00225751704194564</v>
      </c>
      <c r="JG165">
        <v>-3.61734043746866e-05</v>
      </c>
      <c r="JH165">
        <v>1</v>
      </c>
      <c r="JI165">
        <v>2182</v>
      </c>
      <c r="JJ165">
        <v>0</v>
      </c>
      <c r="JK165">
        <v>24</v>
      </c>
      <c r="JL165">
        <v>29349868.1</v>
      </c>
      <c r="JM165">
        <v>29349868.1</v>
      </c>
      <c r="JN165">
        <v>1.62354</v>
      </c>
      <c r="JO165">
        <v>2.61963</v>
      </c>
      <c r="JP165">
        <v>1.54785</v>
      </c>
      <c r="JQ165">
        <v>2.31445</v>
      </c>
      <c r="JR165">
        <v>1.64673</v>
      </c>
      <c r="JS165">
        <v>2.36328</v>
      </c>
      <c r="JT165">
        <v>33.6479</v>
      </c>
      <c r="JU165">
        <v>24.1838</v>
      </c>
      <c r="JV165">
        <v>18</v>
      </c>
      <c r="JW165">
        <v>500.718</v>
      </c>
      <c r="JX165">
        <v>393.745</v>
      </c>
      <c r="JY165">
        <v>11.6282</v>
      </c>
      <c r="JZ165">
        <v>23.9784</v>
      </c>
      <c r="KA165">
        <v>30.0002</v>
      </c>
      <c r="KB165">
        <v>23.9649</v>
      </c>
      <c r="KC165">
        <v>23.9314</v>
      </c>
      <c r="KD165">
        <v>32.559</v>
      </c>
      <c r="KE165">
        <v>10.7727</v>
      </c>
      <c r="KF165">
        <v>26.5359</v>
      </c>
      <c r="KG165">
        <v>11.6492</v>
      </c>
      <c r="KH165">
        <v>771.844</v>
      </c>
      <c r="KI165">
        <v>9.66338</v>
      </c>
      <c r="KJ165">
        <v>97.0369</v>
      </c>
      <c r="KK165">
        <v>95.2979</v>
      </c>
    </row>
    <row r="166" spans="1:297">
      <c r="A166">
        <v>150</v>
      </c>
      <c r="B166">
        <v>1760992089.1</v>
      </c>
      <c r="C166">
        <v>2899</v>
      </c>
      <c r="D166" t="s">
        <v>753</v>
      </c>
      <c r="E166" t="s">
        <v>754</v>
      </c>
      <c r="F166">
        <v>5</v>
      </c>
      <c r="G166" t="s">
        <v>662</v>
      </c>
      <c r="H166" t="s">
        <v>436</v>
      </c>
      <c r="I166">
        <v>1760992080.94615</v>
      </c>
      <c r="J166">
        <f>(K166)/1000</f>
        <v>0</v>
      </c>
      <c r="K166">
        <f>IF(DP166, AN166, AH166)</f>
        <v>0</v>
      </c>
      <c r="L166">
        <f>IF(DP166, AI166, AG166)</f>
        <v>0</v>
      </c>
      <c r="M166">
        <f>DR166 - IF(AU166&gt;1, L166*DL166*100.0/(AW166), 0)</f>
        <v>0</v>
      </c>
      <c r="N166">
        <f>((T166-J166/2)*M166-L166)/(T166+J166/2)</f>
        <v>0</v>
      </c>
      <c r="O166">
        <f>N166*(DY166+DZ166)/1000.0</f>
        <v>0</v>
      </c>
      <c r="P166">
        <f>(DR166 - IF(AU166&gt;1, L166*DL166*100.0/(AW166), 0))*(DY166+DZ166)/1000.0</f>
        <v>0</v>
      </c>
      <c r="Q166">
        <f>2.0/((1/S166-1/R166)+SIGN(S166)*SQRT((1/S166-1/R166)*(1/S166-1/R166) + 4*DM166/((DM166+1)*(DM166+1))*(2*1/S166*1/R166-1/R166*1/R166)))</f>
        <v>0</v>
      </c>
      <c r="R166">
        <f>IF(LEFT(DN166,1)&lt;&gt;"0",IF(LEFT(DN166,1)="1",3.0,DO166),$D$5+$E$5*(EF166*DY166/($K$5*1000))+$F$5*(EF166*DY166/($K$5*1000))*MAX(MIN(DL166,$J$5),$I$5)*MAX(MIN(DL166,$J$5),$I$5)+$G$5*MAX(MIN(DL166,$J$5),$I$5)*(EF166*DY166/($K$5*1000))+$H$5*(EF166*DY166/($K$5*1000))*(EF166*DY166/($K$5*1000)))</f>
        <v>0</v>
      </c>
      <c r="S166">
        <f>J166*(1000-(1000*0.61365*exp(17.502*W166/(240.97+W166))/(DY166+DZ166)+DT166)/2)/(1000*0.61365*exp(17.502*W166/(240.97+W166))/(DY166+DZ166)-DT166)</f>
        <v>0</v>
      </c>
      <c r="T166">
        <f>1/((DM166+1)/(Q166/1.6)+1/(R166/1.37)) + DM166/((DM166+1)/(Q166/1.6) + DM166/(R166/1.37))</f>
        <v>0</v>
      </c>
      <c r="U166">
        <f>(DH166*DK166)</f>
        <v>0</v>
      </c>
      <c r="V166">
        <f>(EA166+(U166+2*0.95*5.67E-8*(((EA166+$B$7)+273)^4-(EA166+273)^4)-44100*J166)/(1.84*29.3*R166+8*0.95*5.67E-8*(EA166+273)^3))</f>
        <v>0</v>
      </c>
      <c r="W166">
        <f>($C$7*EB166+$D$7*EC166+$E$7*V166)</f>
        <v>0</v>
      </c>
      <c r="X166">
        <f>0.61365*exp(17.502*W166/(240.97+W166))</f>
        <v>0</v>
      </c>
      <c r="Y166">
        <f>(Z166/AA166*100)</f>
        <v>0</v>
      </c>
      <c r="Z166">
        <f>DT166*(DY166+DZ166)/1000</f>
        <v>0</v>
      </c>
      <c r="AA166">
        <f>0.61365*exp(17.502*EA166/(240.97+EA166))</f>
        <v>0</v>
      </c>
      <c r="AB166">
        <f>(X166-DT166*(DY166+DZ166)/1000)</f>
        <v>0</v>
      </c>
      <c r="AC166">
        <f>(-J166*44100)</f>
        <v>0</v>
      </c>
      <c r="AD166">
        <f>2*29.3*R166*0.92*(EA166-W166)</f>
        <v>0</v>
      </c>
      <c r="AE166">
        <f>2*0.95*5.67E-8*(((EA166+$B$7)+273)^4-(W166+273)^4)</f>
        <v>0</v>
      </c>
      <c r="AF166">
        <f>U166+AE166+AC166+AD166</f>
        <v>0</v>
      </c>
      <c r="AG166">
        <f>DX166*AU166*(DS166-DR166*(1000-AU166*DU166)/(1000-AU166*DT166))/(100*DL166)</f>
        <v>0</v>
      </c>
      <c r="AH166">
        <f>1000*DX166*AU166*(DT166-DU166)/(100*DL166*(1000-AU166*DT166))</f>
        <v>0</v>
      </c>
      <c r="AI166">
        <f>(AJ166 - AK166 - DY166*1E3/(8.314*(EA166+273.15)) * AM166/DX166 * AL166) * DX166/(100*DL166) * (1000 - DU166)/1000</f>
        <v>0</v>
      </c>
      <c r="AJ166">
        <v>765.145735060892</v>
      </c>
      <c r="AK166">
        <v>726.020860606061</v>
      </c>
      <c r="AL166">
        <v>3.45528117416436</v>
      </c>
      <c r="AM166">
        <v>65.2210784119795</v>
      </c>
      <c r="AN166">
        <f>(AP166 - AO166 + DY166*1E3/(8.314*(EA166+273.15)) * AR166/DX166 * AQ166) * DX166/(100*DL166) * 1000/(1000 - AP166)</f>
        <v>0</v>
      </c>
      <c r="AO166">
        <v>9.5847078360906</v>
      </c>
      <c r="AP166">
        <v>11.7694412121212</v>
      </c>
      <c r="AQ166">
        <v>-0.00210777636250505</v>
      </c>
      <c r="AR166">
        <v>115.574510355221</v>
      </c>
      <c r="AS166">
        <v>0</v>
      </c>
      <c r="AT166">
        <v>0</v>
      </c>
      <c r="AU166">
        <f>IF(AS166*$H$13&gt;=AW166,1.0,(AW166/(AW166-AS166*$H$13)))</f>
        <v>0</v>
      </c>
      <c r="AV166">
        <f>(AU166-1)*100</f>
        <v>0</v>
      </c>
      <c r="AW166">
        <f>MAX(0,($B$13+$C$13*EF166)/(1+$D$13*EF166)*DY166/(EA166+273)*$E$13)</f>
        <v>0</v>
      </c>
      <c r="AX166" t="s">
        <v>437</v>
      </c>
      <c r="AY166" t="s">
        <v>437</v>
      </c>
      <c r="AZ166">
        <v>0</v>
      </c>
      <c r="BA166">
        <v>0</v>
      </c>
      <c r="BB166">
        <f>1-AZ166/BA166</f>
        <v>0</v>
      </c>
      <c r="BC166">
        <v>0</v>
      </c>
      <c r="BD166" t="s">
        <v>437</v>
      </c>
      <c r="BE166" t="s">
        <v>437</v>
      </c>
      <c r="BF166">
        <v>0</v>
      </c>
      <c r="BG166">
        <v>0</v>
      </c>
      <c r="BH166">
        <f>1-BF166/BG166</f>
        <v>0</v>
      </c>
      <c r="BI166">
        <v>0.5</v>
      </c>
      <c r="BJ166">
        <f>DI166</f>
        <v>0</v>
      </c>
      <c r="BK166">
        <f>L166</f>
        <v>0</v>
      </c>
      <c r="BL166">
        <f>BH166*BI166*BJ166</f>
        <v>0</v>
      </c>
      <c r="BM166">
        <f>(BK166-BC166)/BJ166</f>
        <v>0</v>
      </c>
      <c r="BN166">
        <f>(BA166-BG166)/BG166</f>
        <v>0</v>
      </c>
      <c r="BO166">
        <f>AZ166/(BB166+AZ166/BG166)</f>
        <v>0</v>
      </c>
      <c r="BP166" t="s">
        <v>437</v>
      </c>
      <c r="BQ166">
        <v>0</v>
      </c>
      <c r="BR166">
        <f>IF(BQ166&lt;&gt;0, BQ166, BO166)</f>
        <v>0</v>
      </c>
      <c r="BS166">
        <f>1-BR166/BG166</f>
        <v>0</v>
      </c>
      <c r="BT166">
        <f>(BG166-BF166)/(BG166-BR166)</f>
        <v>0</v>
      </c>
      <c r="BU166">
        <f>(BA166-BG166)/(BA166-BR166)</f>
        <v>0</v>
      </c>
      <c r="BV166">
        <f>(BG166-BF166)/(BG166-AZ166)</f>
        <v>0</v>
      </c>
      <c r="BW166">
        <f>(BA166-BG166)/(BA166-AZ166)</f>
        <v>0</v>
      </c>
      <c r="BX166">
        <f>(BT166*BR166/BF166)</f>
        <v>0</v>
      </c>
      <c r="BY166">
        <f>(1-BX166)</f>
        <v>0</v>
      </c>
      <c r="BZ166">
        <v>282</v>
      </c>
      <c r="CA166">
        <v>290</v>
      </c>
      <c r="CB166">
        <v>1577.74</v>
      </c>
      <c r="CC166">
        <v>295</v>
      </c>
      <c r="CD166">
        <v>5140.93</v>
      </c>
      <c r="CE166">
        <v>1578.58</v>
      </c>
      <c r="CF166">
        <v>-0.84</v>
      </c>
      <c r="CG166">
        <v>300</v>
      </c>
      <c r="CH166">
        <v>23.8</v>
      </c>
      <c r="CI166">
        <v>1633.28263291266</v>
      </c>
      <c r="CJ166">
        <v>1.49577129053257</v>
      </c>
      <c r="CK166">
        <v>-28.1203876934379</v>
      </c>
      <c r="CL166">
        <v>0.666413418688897</v>
      </c>
      <c r="CM166">
        <v>0.984518017981194</v>
      </c>
      <c r="CN166">
        <v>-0.00424727541713014</v>
      </c>
      <c r="CO166">
        <v>290</v>
      </c>
      <c r="CP166">
        <v>1576.56</v>
      </c>
      <c r="CQ166">
        <v>775</v>
      </c>
      <c r="CR166">
        <v>5139.5</v>
      </c>
      <c r="CS166">
        <v>1578.57</v>
      </c>
      <c r="CT166">
        <v>-2.01</v>
      </c>
      <c r="DH166">
        <f>$B$11*EG166+$C$11*EH166+$F$11*ES166*(1-EV166)</f>
        <v>0</v>
      </c>
      <c r="DI166">
        <f>DH166*DJ166</f>
        <v>0</v>
      </c>
      <c r="DJ166">
        <f>($B$11*$D$9+$C$11*$D$9+$F$11*((FF166+EX166)/MAX(FF166+EX166+FG166, 0.1)*$I$9+FG166/MAX(FF166+EX166+FG166, 0.1)*$J$9))/($B$11+$C$11+$F$11)</f>
        <v>0</v>
      </c>
      <c r="DK166">
        <f>($B$11*$K$9+$C$11*$K$9+$F$11*((FF166+EX166)/MAX(FF166+EX166+FG166, 0.1)*$P$9+FG166/MAX(FF166+EX166+FG166, 0.1)*$Q$9))/($B$11+$C$11+$F$11)</f>
        <v>0</v>
      </c>
      <c r="DL166">
        <v>6</v>
      </c>
      <c r="DM166">
        <v>0.5</v>
      </c>
      <c r="DN166" t="s">
        <v>438</v>
      </c>
      <c r="DO166">
        <v>2</v>
      </c>
      <c r="DP166" t="b">
        <v>1</v>
      </c>
      <c r="DQ166">
        <v>1760992080.94615</v>
      </c>
      <c r="DR166">
        <v>694.017846153846</v>
      </c>
      <c r="DS166">
        <v>741.427</v>
      </c>
      <c r="DT166">
        <v>11.7951923076923</v>
      </c>
      <c r="DU166">
        <v>9.62932461538461</v>
      </c>
      <c r="DV166">
        <v>690.129923076923</v>
      </c>
      <c r="DW166">
        <v>11.9066</v>
      </c>
      <c r="DX166">
        <v>499.992076923077</v>
      </c>
      <c r="DY166">
        <v>89.8372</v>
      </c>
      <c r="DZ166">
        <v>0.00876396384615385</v>
      </c>
      <c r="EA166">
        <v>18.4135076923077</v>
      </c>
      <c r="EB166">
        <v>17.9991076923077</v>
      </c>
      <c r="EC166">
        <v>999.9</v>
      </c>
      <c r="ED166">
        <v>0</v>
      </c>
      <c r="EE166">
        <v>0</v>
      </c>
      <c r="EF166">
        <v>10001.4415384615</v>
      </c>
      <c r="EG166">
        <v>0</v>
      </c>
      <c r="EH166">
        <v>1278.64384615385</v>
      </c>
      <c r="EI166">
        <v>-47.4090230769231</v>
      </c>
      <c r="EJ166">
        <v>702.301615384615</v>
      </c>
      <c r="EK166">
        <v>748.635384615385</v>
      </c>
      <c r="EL166">
        <v>2.16584307692308</v>
      </c>
      <c r="EM166">
        <v>741.427</v>
      </c>
      <c r="EN166">
        <v>9.62932461538461</v>
      </c>
      <c r="EO166">
        <v>1.05964538461538</v>
      </c>
      <c r="EP166">
        <v>0.865071615384616</v>
      </c>
      <c r="EQ166">
        <v>7.76334076923077</v>
      </c>
      <c r="ER166">
        <v>4.82227769230769</v>
      </c>
      <c r="ES166">
        <v>1200.03461538462</v>
      </c>
      <c r="ET166">
        <v>0.967001153846154</v>
      </c>
      <c r="EU166">
        <v>0.0329987538461538</v>
      </c>
      <c r="EV166">
        <v>0</v>
      </c>
      <c r="EW166">
        <v>1264.49769230769</v>
      </c>
      <c r="EX166">
        <v>5.00059</v>
      </c>
      <c r="EY166">
        <v>14982.8384615385</v>
      </c>
      <c r="EZ166">
        <v>10359.0307692308</v>
      </c>
      <c r="FA166">
        <v>38.8794615384615</v>
      </c>
      <c r="FB166">
        <v>41.4853846153846</v>
      </c>
      <c r="FC166">
        <v>39.3555384615385</v>
      </c>
      <c r="FD166">
        <v>41.6006923076923</v>
      </c>
      <c r="FE166">
        <v>39.8796153846154</v>
      </c>
      <c r="FF166">
        <v>1155.59846153846</v>
      </c>
      <c r="FG166">
        <v>39.4346153846154</v>
      </c>
      <c r="FH166">
        <v>0</v>
      </c>
      <c r="FI166">
        <v>944.600000143051</v>
      </c>
      <c r="FJ166">
        <v>0</v>
      </c>
      <c r="FK166">
        <v>1264.68538461538</v>
      </c>
      <c r="FL166">
        <v>16.8294017196277</v>
      </c>
      <c r="FM166">
        <v>161.517948752067</v>
      </c>
      <c r="FN166">
        <v>14984.0923076923</v>
      </c>
      <c r="FO166">
        <v>15</v>
      </c>
      <c r="FP166">
        <v>0</v>
      </c>
      <c r="FQ166" t="s">
        <v>439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-47.45027</v>
      </c>
      <c r="GD166">
        <v>-3.89638195488729</v>
      </c>
      <c r="GE166">
        <v>0.886597476930767</v>
      </c>
      <c r="GF166">
        <v>0</v>
      </c>
      <c r="GG166">
        <v>1263.77323529412</v>
      </c>
      <c r="GH166">
        <v>17.9197861048384</v>
      </c>
      <c r="GI166">
        <v>1.76823561210909</v>
      </c>
      <c r="GJ166">
        <v>-1</v>
      </c>
      <c r="GK166">
        <v>2.154839</v>
      </c>
      <c r="GL166">
        <v>0.339286015037589</v>
      </c>
      <c r="GM166">
        <v>0.0362469845504423</v>
      </c>
      <c r="GN166">
        <v>0</v>
      </c>
      <c r="GO166">
        <v>0</v>
      </c>
      <c r="GP166">
        <v>2</v>
      </c>
      <c r="GQ166" t="s">
        <v>519</v>
      </c>
      <c r="GR166">
        <v>3.13083</v>
      </c>
      <c r="GS166">
        <v>2.6868</v>
      </c>
      <c r="GT166">
        <v>0.132546</v>
      </c>
      <c r="GU166">
        <v>0.139031</v>
      </c>
      <c r="GV166">
        <v>0.0614944</v>
      </c>
      <c r="GW166">
        <v>0.0523477</v>
      </c>
      <c r="GX166">
        <v>32873.5</v>
      </c>
      <c r="GY166">
        <v>35060.2</v>
      </c>
      <c r="GZ166">
        <v>34263.9</v>
      </c>
      <c r="HA166">
        <v>36846.6</v>
      </c>
      <c r="HB166">
        <v>45364</v>
      </c>
      <c r="HC166">
        <v>50074.9</v>
      </c>
      <c r="HD166">
        <v>53337.7</v>
      </c>
      <c r="HE166">
        <v>58773.6</v>
      </c>
      <c r="HF166">
        <v>2.0081</v>
      </c>
      <c r="HG166">
        <v>1.83602</v>
      </c>
      <c r="HH166">
        <v>0.00810251</v>
      </c>
      <c r="HI166">
        <v>0</v>
      </c>
      <c r="HJ166">
        <v>17.8665</v>
      </c>
      <c r="HK166">
        <v>999.9</v>
      </c>
      <c r="HL166">
        <v>26.761</v>
      </c>
      <c r="HM166">
        <v>30.464</v>
      </c>
      <c r="HN166">
        <v>13.033</v>
      </c>
      <c r="HO166">
        <v>54.3028</v>
      </c>
      <c r="HP166">
        <v>44.395</v>
      </c>
      <c r="HQ166">
        <v>1</v>
      </c>
      <c r="HR166">
        <v>-0.262754</v>
      </c>
      <c r="HS166">
        <v>4.58089</v>
      </c>
      <c r="HT166">
        <v>20.0768</v>
      </c>
      <c r="HU166">
        <v>5.19887</v>
      </c>
      <c r="HV166">
        <v>12.004</v>
      </c>
      <c r="HW166">
        <v>4.9756</v>
      </c>
      <c r="HX166">
        <v>3.29298</v>
      </c>
      <c r="HY166">
        <v>9999</v>
      </c>
      <c r="HZ166">
        <v>999.9</v>
      </c>
      <c r="IA166">
        <v>9999</v>
      </c>
      <c r="IB166">
        <v>9999</v>
      </c>
      <c r="IC166">
        <v>1.86322</v>
      </c>
      <c r="ID166">
        <v>1.86805</v>
      </c>
      <c r="IE166">
        <v>1.86783</v>
      </c>
      <c r="IF166">
        <v>1.86904</v>
      </c>
      <c r="IG166">
        <v>1.86981</v>
      </c>
      <c r="IH166">
        <v>1.86584</v>
      </c>
      <c r="II166">
        <v>1.86691</v>
      </c>
      <c r="IJ166">
        <v>1.8684</v>
      </c>
      <c r="IK166">
        <v>5</v>
      </c>
      <c r="IL166">
        <v>0</v>
      </c>
      <c r="IM166">
        <v>0</v>
      </c>
      <c r="IN166">
        <v>0</v>
      </c>
      <c r="IO166" t="s">
        <v>441</v>
      </c>
      <c r="IP166" t="s">
        <v>442</v>
      </c>
      <c r="IQ166" t="s">
        <v>443</v>
      </c>
      <c r="IR166" t="s">
        <v>443</v>
      </c>
      <c r="IS166" t="s">
        <v>443</v>
      </c>
      <c r="IT166" t="s">
        <v>443</v>
      </c>
      <c r="IU166">
        <v>0</v>
      </c>
      <c r="IV166">
        <v>100</v>
      </c>
      <c r="IW166">
        <v>100</v>
      </c>
      <c r="IX166">
        <v>3.982</v>
      </c>
      <c r="IY166">
        <v>-0.1118</v>
      </c>
      <c r="IZ166">
        <v>1.12474291219083</v>
      </c>
      <c r="JA166">
        <v>0.00463155566490582</v>
      </c>
      <c r="JB166">
        <v>-1.1358998729424e-06</v>
      </c>
      <c r="JC166">
        <v>3.28704272115545e-10</v>
      </c>
      <c r="JD166">
        <v>-0.0704455108513773</v>
      </c>
      <c r="JE166">
        <v>-0.0251928478371425</v>
      </c>
      <c r="JF166">
        <v>0.00225751704194564</v>
      </c>
      <c r="JG166">
        <v>-3.61734043746866e-05</v>
      </c>
      <c r="JH166">
        <v>1</v>
      </c>
      <c r="JI166">
        <v>2182</v>
      </c>
      <c r="JJ166">
        <v>0</v>
      </c>
      <c r="JK166">
        <v>24</v>
      </c>
      <c r="JL166">
        <v>29349868.2</v>
      </c>
      <c r="JM166">
        <v>29349868.2</v>
      </c>
      <c r="JN166">
        <v>1.64795</v>
      </c>
      <c r="JO166">
        <v>2.62329</v>
      </c>
      <c r="JP166">
        <v>1.54785</v>
      </c>
      <c r="JQ166">
        <v>2.31445</v>
      </c>
      <c r="JR166">
        <v>1.64673</v>
      </c>
      <c r="JS166">
        <v>2.34497</v>
      </c>
      <c r="JT166">
        <v>33.6479</v>
      </c>
      <c r="JU166">
        <v>24.1838</v>
      </c>
      <c r="JV166">
        <v>18</v>
      </c>
      <c r="JW166">
        <v>500.655</v>
      </c>
      <c r="JX166">
        <v>393.861</v>
      </c>
      <c r="JY166">
        <v>11.6411</v>
      </c>
      <c r="JZ166">
        <v>23.9792</v>
      </c>
      <c r="KA166">
        <v>29.9999</v>
      </c>
      <c r="KB166">
        <v>23.965</v>
      </c>
      <c r="KC166">
        <v>23.9328</v>
      </c>
      <c r="KD166">
        <v>33.1352</v>
      </c>
      <c r="KE166">
        <v>10.4763</v>
      </c>
      <c r="KF166">
        <v>26.5359</v>
      </c>
      <c r="KG166">
        <v>11.6516</v>
      </c>
      <c r="KH166">
        <v>792.207</v>
      </c>
      <c r="KI166">
        <v>9.66338</v>
      </c>
      <c r="KJ166">
        <v>97.0375</v>
      </c>
      <c r="KK166">
        <v>95.298</v>
      </c>
    </row>
    <row r="167" spans="1:297">
      <c r="A167">
        <v>151</v>
      </c>
      <c r="B167">
        <v>1760992094.1</v>
      </c>
      <c r="C167">
        <v>2904</v>
      </c>
      <c r="D167" t="s">
        <v>755</v>
      </c>
      <c r="E167" t="s">
        <v>756</v>
      </c>
      <c r="F167">
        <v>5</v>
      </c>
      <c r="G167" t="s">
        <v>662</v>
      </c>
      <c r="H167" t="s">
        <v>436</v>
      </c>
      <c r="I167">
        <v>1760992085.94615</v>
      </c>
      <c r="J167">
        <f>(K167)/1000</f>
        <v>0</v>
      </c>
      <c r="K167">
        <f>IF(DP167, AN167, AH167)</f>
        <v>0</v>
      </c>
      <c r="L167">
        <f>IF(DP167, AI167, AG167)</f>
        <v>0</v>
      </c>
      <c r="M167">
        <f>DR167 - IF(AU167&gt;1, L167*DL167*100.0/(AW167), 0)</f>
        <v>0</v>
      </c>
      <c r="N167">
        <f>((T167-J167/2)*M167-L167)/(T167+J167/2)</f>
        <v>0</v>
      </c>
      <c r="O167">
        <f>N167*(DY167+DZ167)/1000.0</f>
        <v>0</v>
      </c>
      <c r="P167">
        <f>(DR167 - IF(AU167&gt;1, L167*DL167*100.0/(AW167), 0))*(DY167+DZ167)/1000.0</f>
        <v>0</v>
      </c>
      <c r="Q167">
        <f>2.0/((1/S167-1/R167)+SIGN(S167)*SQRT((1/S167-1/R167)*(1/S167-1/R167) + 4*DM167/((DM167+1)*(DM167+1))*(2*1/S167*1/R167-1/R167*1/R167)))</f>
        <v>0</v>
      </c>
      <c r="R167">
        <f>IF(LEFT(DN167,1)&lt;&gt;"0",IF(LEFT(DN167,1)="1",3.0,DO167),$D$5+$E$5*(EF167*DY167/($K$5*1000))+$F$5*(EF167*DY167/($K$5*1000))*MAX(MIN(DL167,$J$5),$I$5)*MAX(MIN(DL167,$J$5),$I$5)+$G$5*MAX(MIN(DL167,$J$5),$I$5)*(EF167*DY167/($K$5*1000))+$H$5*(EF167*DY167/($K$5*1000))*(EF167*DY167/($K$5*1000)))</f>
        <v>0</v>
      </c>
      <c r="S167">
        <f>J167*(1000-(1000*0.61365*exp(17.502*W167/(240.97+W167))/(DY167+DZ167)+DT167)/2)/(1000*0.61365*exp(17.502*W167/(240.97+W167))/(DY167+DZ167)-DT167)</f>
        <v>0</v>
      </c>
      <c r="T167">
        <f>1/((DM167+1)/(Q167/1.6)+1/(R167/1.37)) + DM167/((DM167+1)/(Q167/1.6) + DM167/(R167/1.37))</f>
        <v>0</v>
      </c>
      <c r="U167">
        <f>(DH167*DK167)</f>
        <v>0</v>
      </c>
      <c r="V167">
        <f>(EA167+(U167+2*0.95*5.67E-8*(((EA167+$B$7)+273)^4-(EA167+273)^4)-44100*J167)/(1.84*29.3*R167+8*0.95*5.67E-8*(EA167+273)^3))</f>
        <v>0</v>
      </c>
      <c r="W167">
        <f>($C$7*EB167+$D$7*EC167+$E$7*V167)</f>
        <v>0</v>
      </c>
      <c r="X167">
        <f>0.61365*exp(17.502*W167/(240.97+W167))</f>
        <v>0</v>
      </c>
      <c r="Y167">
        <f>(Z167/AA167*100)</f>
        <v>0</v>
      </c>
      <c r="Z167">
        <f>DT167*(DY167+DZ167)/1000</f>
        <v>0</v>
      </c>
      <c r="AA167">
        <f>0.61365*exp(17.502*EA167/(240.97+EA167))</f>
        <v>0</v>
      </c>
      <c r="AB167">
        <f>(X167-DT167*(DY167+DZ167)/1000)</f>
        <v>0</v>
      </c>
      <c r="AC167">
        <f>(-J167*44100)</f>
        <v>0</v>
      </c>
      <c r="AD167">
        <f>2*29.3*R167*0.92*(EA167-W167)</f>
        <v>0</v>
      </c>
      <c r="AE167">
        <f>2*0.95*5.67E-8*(((EA167+$B$7)+273)^4-(W167+273)^4)</f>
        <v>0</v>
      </c>
      <c r="AF167">
        <f>U167+AE167+AC167+AD167</f>
        <v>0</v>
      </c>
      <c r="AG167">
        <f>DX167*AU167*(DS167-DR167*(1000-AU167*DU167)/(1000-AU167*DT167))/(100*DL167)</f>
        <v>0</v>
      </c>
      <c r="AH167">
        <f>1000*DX167*AU167*(DT167-DU167)/(100*DL167*(1000-AU167*DT167))</f>
        <v>0</v>
      </c>
      <c r="AI167">
        <f>(AJ167 - AK167 - DY167*1E3/(8.314*(EA167+273.15)) * AM167/DX167 * AL167) * DX167/(100*DL167) * (1000 - DU167)/1000</f>
        <v>0</v>
      </c>
      <c r="AJ167">
        <v>781.209669124392</v>
      </c>
      <c r="AK167">
        <v>742.322787878788</v>
      </c>
      <c r="AL167">
        <v>3.23714078867815</v>
      </c>
      <c r="AM167">
        <v>65.2210784119795</v>
      </c>
      <c r="AN167">
        <f>(AP167 - AO167 + DY167*1E3/(8.314*(EA167+273.15)) * AR167/DX167 * AQ167) * DX167/(100*DL167) * 1000/(1000 - AP167)</f>
        <v>0</v>
      </c>
      <c r="AO167">
        <v>9.58242547925546</v>
      </c>
      <c r="AP167">
        <v>11.7596206060606</v>
      </c>
      <c r="AQ167">
        <v>-0.00036614576591023</v>
      </c>
      <c r="AR167">
        <v>115.574510355221</v>
      </c>
      <c r="AS167">
        <v>0</v>
      </c>
      <c r="AT167">
        <v>0</v>
      </c>
      <c r="AU167">
        <f>IF(AS167*$H$13&gt;=AW167,1.0,(AW167/(AW167-AS167*$H$13)))</f>
        <v>0</v>
      </c>
      <c r="AV167">
        <f>(AU167-1)*100</f>
        <v>0</v>
      </c>
      <c r="AW167">
        <f>MAX(0,($B$13+$C$13*EF167)/(1+$D$13*EF167)*DY167/(EA167+273)*$E$13)</f>
        <v>0</v>
      </c>
      <c r="AX167" t="s">
        <v>437</v>
      </c>
      <c r="AY167" t="s">
        <v>437</v>
      </c>
      <c r="AZ167">
        <v>0</v>
      </c>
      <c r="BA167">
        <v>0</v>
      </c>
      <c r="BB167">
        <f>1-AZ167/BA167</f>
        <v>0</v>
      </c>
      <c r="BC167">
        <v>0</v>
      </c>
      <c r="BD167" t="s">
        <v>437</v>
      </c>
      <c r="BE167" t="s">
        <v>437</v>
      </c>
      <c r="BF167">
        <v>0</v>
      </c>
      <c r="BG167">
        <v>0</v>
      </c>
      <c r="BH167">
        <f>1-BF167/BG167</f>
        <v>0</v>
      </c>
      <c r="BI167">
        <v>0.5</v>
      </c>
      <c r="BJ167">
        <f>DI167</f>
        <v>0</v>
      </c>
      <c r="BK167">
        <f>L167</f>
        <v>0</v>
      </c>
      <c r="BL167">
        <f>BH167*BI167*BJ167</f>
        <v>0</v>
      </c>
      <c r="BM167">
        <f>(BK167-BC167)/BJ167</f>
        <v>0</v>
      </c>
      <c r="BN167">
        <f>(BA167-BG167)/BG167</f>
        <v>0</v>
      </c>
      <c r="BO167">
        <f>AZ167/(BB167+AZ167/BG167)</f>
        <v>0</v>
      </c>
      <c r="BP167" t="s">
        <v>437</v>
      </c>
      <c r="BQ167">
        <v>0</v>
      </c>
      <c r="BR167">
        <f>IF(BQ167&lt;&gt;0, BQ167, BO167)</f>
        <v>0</v>
      </c>
      <c r="BS167">
        <f>1-BR167/BG167</f>
        <v>0</v>
      </c>
      <c r="BT167">
        <f>(BG167-BF167)/(BG167-BR167)</f>
        <v>0</v>
      </c>
      <c r="BU167">
        <f>(BA167-BG167)/(BA167-BR167)</f>
        <v>0</v>
      </c>
      <c r="BV167">
        <f>(BG167-BF167)/(BG167-AZ167)</f>
        <v>0</v>
      </c>
      <c r="BW167">
        <f>(BA167-BG167)/(BA167-AZ167)</f>
        <v>0</v>
      </c>
      <c r="BX167">
        <f>(BT167*BR167/BF167)</f>
        <v>0</v>
      </c>
      <c r="BY167">
        <f>(1-BX167)</f>
        <v>0</v>
      </c>
      <c r="BZ167">
        <v>282</v>
      </c>
      <c r="CA167">
        <v>290</v>
      </c>
      <c r="CB167">
        <v>1577.74</v>
      </c>
      <c r="CC167">
        <v>295</v>
      </c>
      <c r="CD167">
        <v>5140.93</v>
      </c>
      <c r="CE167">
        <v>1578.58</v>
      </c>
      <c r="CF167">
        <v>-0.84</v>
      </c>
      <c r="CG167">
        <v>300</v>
      </c>
      <c r="CH167">
        <v>23.8</v>
      </c>
      <c r="CI167">
        <v>1633.28263291266</v>
      </c>
      <c r="CJ167">
        <v>1.49577129053257</v>
      </c>
      <c r="CK167">
        <v>-28.1203876934379</v>
      </c>
      <c r="CL167">
        <v>0.666413418688897</v>
      </c>
      <c r="CM167">
        <v>0.984518017981194</v>
      </c>
      <c r="CN167">
        <v>-0.00424727541713014</v>
      </c>
      <c r="CO167">
        <v>290</v>
      </c>
      <c r="CP167">
        <v>1576.56</v>
      </c>
      <c r="CQ167">
        <v>775</v>
      </c>
      <c r="CR167">
        <v>5139.5</v>
      </c>
      <c r="CS167">
        <v>1578.57</v>
      </c>
      <c r="CT167">
        <v>-2.01</v>
      </c>
      <c r="DH167">
        <f>$B$11*EG167+$C$11*EH167+$F$11*ES167*(1-EV167)</f>
        <v>0</v>
      </c>
      <c r="DI167">
        <f>DH167*DJ167</f>
        <v>0</v>
      </c>
      <c r="DJ167">
        <f>($B$11*$D$9+$C$11*$D$9+$F$11*((FF167+EX167)/MAX(FF167+EX167+FG167, 0.1)*$I$9+FG167/MAX(FF167+EX167+FG167, 0.1)*$J$9))/($B$11+$C$11+$F$11)</f>
        <v>0</v>
      </c>
      <c r="DK167">
        <f>($B$11*$K$9+$C$11*$K$9+$F$11*((FF167+EX167)/MAX(FF167+EX167+FG167, 0.1)*$P$9+FG167/MAX(FF167+EX167+FG167, 0.1)*$Q$9))/($B$11+$C$11+$F$11)</f>
        <v>0</v>
      </c>
      <c r="DL167">
        <v>6</v>
      </c>
      <c r="DM167">
        <v>0.5</v>
      </c>
      <c r="DN167" t="s">
        <v>438</v>
      </c>
      <c r="DO167">
        <v>2</v>
      </c>
      <c r="DP167" t="b">
        <v>1</v>
      </c>
      <c r="DQ167">
        <v>1760992085.94615</v>
      </c>
      <c r="DR167">
        <v>710.229846153846</v>
      </c>
      <c r="DS167">
        <v>757.946</v>
      </c>
      <c r="DT167">
        <v>11.7802</v>
      </c>
      <c r="DU167">
        <v>9.59547461538462</v>
      </c>
      <c r="DV167">
        <v>706.284923076923</v>
      </c>
      <c r="DW167">
        <v>11.8918</v>
      </c>
      <c r="DX167">
        <v>500.009923076923</v>
      </c>
      <c r="DY167">
        <v>89.8381769230769</v>
      </c>
      <c r="DZ167">
        <v>0.00881072461538462</v>
      </c>
      <c r="EA167">
        <v>18.4196307692308</v>
      </c>
      <c r="EB167">
        <v>17.9959769230769</v>
      </c>
      <c r="EC167">
        <v>999.9</v>
      </c>
      <c r="ED167">
        <v>0</v>
      </c>
      <c r="EE167">
        <v>0</v>
      </c>
      <c r="EF167">
        <v>10000.0953846154</v>
      </c>
      <c r="EG167">
        <v>0</v>
      </c>
      <c r="EH167">
        <v>1278.62307692308</v>
      </c>
      <c r="EI167">
        <v>-47.7159538461539</v>
      </c>
      <c r="EJ167">
        <v>718.696153846154</v>
      </c>
      <c r="EK167">
        <v>765.289076923077</v>
      </c>
      <c r="EL167">
        <v>2.18470461538462</v>
      </c>
      <c r="EM167">
        <v>757.946</v>
      </c>
      <c r="EN167">
        <v>9.59547461538462</v>
      </c>
      <c r="EO167">
        <v>1.05830923076923</v>
      </c>
      <c r="EP167">
        <v>0.86204</v>
      </c>
      <c r="EQ167">
        <v>7.74484384615385</v>
      </c>
      <c r="ER167">
        <v>4.77211230769231</v>
      </c>
      <c r="ES167">
        <v>1200.06538461538</v>
      </c>
      <c r="ET167">
        <v>0.966999846153846</v>
      </c>
      <c r="EU167">
        <v>0.0330002153846154</v>
      </c>
      <c r="EV167">
        <v>0</v>
      </c>
      <c r="EW167">
        <v>1265.93230769231</v>
      </c>
      <c r="EX167">
        <v>5.00059</v>
      </c>
      <c r="EY167">
        <v>14996.3846153846</v>
      </c>
      <c r="EZ167">
        <v>10359.3</v>
      </c>
      <c r="FA167">
        <v>38.8219230769231</v>
      </c>
      <c r="FB167">
        <v>41.3170769230769</v>
      </c>
      <c r="FC167">
        <v>39.2833846153846</v>
      </c>
      <c r="FD167">
        <v>41.3795384615385</v>
      </c>
      <c r="FE167">
        <v>39.7737692307692</v>
      </c>
      <c r="FF167">
        <v>1155.62769230769</v>
      </c>
      <c r="FG167">
        <v>39.4369230769231</v>
      </c>
      <c r="FH167">
        <v>0</v>
      </c>
      <c r="FI167">
        <v>950</v>
      </c>
      <c r="FJ167">
        <v>0</v>
      </c>
      <c r="FK167">
        <v>1266.2736</v>
      </c>
      <c r="FL167">
        <v>16.2030769582364</v>
      </c>
      <c r="FM167">
        <v>144.892307895532</v>
      </c>
      <c r="FN167">
        <v>14998.84</v>
      </c>
      <c r="FO167">
        <v>15</v>
      </c>
      <c r="FP167">
        <v>0</v>
      </c>
      <c r="FQ167" t="s">
        <v>439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-47.4833476190476</v>
      </c>
      <c r="GD167">
        <v>-5.65737662337667</v>
      </c>
      <c r="GE167">
        <v>0.898418015243116</v>
      </c>
      <c r="GF167">
        <v>0</v>
      </c>
      <c r="GG167">
        <v>1265.19705882353</v>
      </c>
      <c r="GH167">
        <v>17.0557677475894</v>
      </c>
      <c r="GI167">
        <v>1.68373277433305</v>
      </c>
      <c r="GJ167">
        <v>-1</v>
      </c>
      <c r="GK167">
        <v>2.16837666666667</v>
      </c>
      <c r="GL167">
        <v>0.21970285714286</v>
      </c>
      <c r="GM167">
        <v>0.0306147476651887</v>
      </c>
      <c r="GN167">
        <v>0</v>
      </c>
      <c r="GO167">
        <v>0</v>
      </c>
      <c r="GP167">
        <v>2</v>
      </c>
      <c r="GQ167" t="s">
        <v>519</v>
      </c>
      <c r="GR167">
        <v>3.13072</v>
      </c>
      <c r="GS167">
        <v>2.68671</v>
      </c>
      <c r="GT167">
        <v>0.134572</v>
      </c>
      <c r="GU167">
        <v>0.14113</v>
      </c>
      <c r="GV167">
        <v>0.0614637</v>
      </c>
      <c r="GW167">
        <v>0.052359</v>
      </c>
      <c r="GX167">
        <v>32796.5</v>
      </c>
      <c r="GY167">
        <v>34975.1</v>
      </c>
      <c r="GZ167">
        <v>34263.7</v>
      </c>
      <c r="HA167">
        <v>36846.9</v>
      </c>
      <c r="HB167">
        <v>45365.7</v>
      </c>
      <c r="HC167">
        <v>50075.2</v>
      </c>
      <c r="HD167">
        <v>53337.6</v>
      </c>
      <c r="HE167">
        <v>58774.3</v>
      </c>
      <c r="HF167">
        <v>2.00805</v>
      </c>
      <c r="HG167">
        <v>1.83592</v>
      </c>
      <c r="HH167">
        <v>0.00889227</v>
      </c>
      <c r="HI167">
        <v>0</v>
      </c>
      <c r="HJ167">
        <v>17.8673</v>
      </c>
      <c r="HK167">
        <v>999.9</v>
      </c>
      <c r="HL167">
        <v>26.761</v>
      </c>
      <c r="HM167">
        <v>30.454</v>
      </c>
      <c r="HN167">
        <v>13.0246</v>
      </c>
      <c r="HO167">
        <v>54.5528</v>
      </c>
      <c r="HP167">
        <v>44.2308</v>
      </c>
      <c r="HQ167">
        <v>1</v>
      </c>
      <c r="HR167">
        <v>-0.262698</v>
      </c>
      <c r="HS167">
        <v>4.60128</v>
      </c>
      <c r="HT167">
        <v>20.0763</v>
      </c>
      <c r="HU167">
        <v>5.19947</v>
      </c>
      <c r="HV167">
        <v>12.0041</v>
      </c>
      <c r="HW167">
        <v>4.9757</v>
      </c>
      <c r="HX167">
        <v>3.293</v>
      </c>
      <c r="HY167">
        <v>9999</v>
      </c>
      <c r="HZ167">
        <v>999.9</v>
      </c>
      <c r="IA167">
        <v>9999</v>
      </c>
      <c r="IB167">
        <v>9999</v>
      </c>
      <c r="IC167">
        <v>1.86322</v>
      </c>
      <c r="ID167">
        <v>1.86805</v>
      </c>
      <c r="IE167">
        <v>1.86783</v>
      </c>
      <c r="IF167">
        <v>1.86903</v>
      </c>
      <c r="IG167">
        <v>1.86981</v>
      </c>
      <c r="IH167">
        <v>1.86584</v>
      </c>
      <c r="II167">
        <v>1.86692</v>
      </c>
      <c r="IJ167">
        <v>1.8684</v>
      </c>
      <c r="IK167">
        <v>5</v>
      </c>
      <c r="IL167">
        <v>0</v>
      </c>
      <c r="IM167">
        <v>0</v>
      </c>
      <c r="IN167">
        <v>0</v>
      </c>
      <c r="IO167" t="s">
        <v>441</v>
      </c>
      <c r="IP167" t="s">
        <v>442</v>
      </c>
      <c r="IQ167" t="s">
        <v>443</v>
      </c>
      <c r="IR167" t="s">
        <v>443</v>
      </c>
      <c r="IS167" t="s">
        <v>443</v>
      </c>
      <c r="IT167" t="s">
        <v>443</v>
      </c>
      <c r="IU167">
        <v>0</v>
      </c>
      <c r="IV167">
        <v>100</v>
      </c>
      <c r="IW167">
        <v>100</v>
      </c>
      <c r="IX167">
        <v>4.039</v>
      </c>
      <c r="IY167">
        <v>-0.1119</v>
      </c>
      <c r="IZ167">
        <v>1.12474291219083</v>
      </c>
      <c r="JA167">
        <v>0.00463155566490582</v>
      </c>
      <c r="JB167">
        <v>-1.1358998729424e-06</v>
      </c>
      <c r="JC167">
        <v>3.28704272115545e-10</v>
      </c>
      <c r="JD167">
        <v>-0.0704455108513773</v>
      </c>
      <c r="JE167">
        <v>-0.0251928478371425</v>
      </c>
      <c r="JF167">
        <v>0.00225751704194564</v>
      </c>
      <c r="JG167">
        <v>-3.61734043746866e-05</v>
      </c>
      <c r="JH167">
        <v>1</v>
      </c>
      <c r="JI167">
        <v>2182</v>
      </c>
      <c r="JJ167">
        <v>0</v>
      </c>
      <c r="JK167">
        <v>24</v>
      </c>
      <c r="JL167">
        <v>29349868.2</v>
      </c>
      <c r="JM167">
        <v>29349868.2</v>
      </c>
      <c r="JN167">
        <v>1.68213</v>
      </c>
      <c r="JO167">
        <v>2.62329</v>
      </c>
      <c r="JP167">
        <v>1.54785</v>
      </c>
      <c r="JQ167">
        <v>2.31323</v>
      </c>
      <c r="JR167">
        <v>1.64673</v>
      </c>
      <c r="JS167">
        <v>2.36694</v>
      </c>
      <c r="JT167">
        <v>33.6479</v>
      </c>
      <c r="JU167">
        <v>24.1838</v>
      </c>
      <c r="JV167">
        <v>18</v>
      </c>
      <c r="JW167">
        <v>500.641</v>
      </c>
      <c r="JX167">
        <v>393.808</v>
      </c>
      <c r="JY167">
        <v>11.6499</v>
      </c>
      <c r="JZ167">
        <v>23.9792</v>
      </c>
      <c r="KA167">
        <v>30</v>
      </c>
      <c r="KB167">
        <v>23.9669</v>
      </c>
      <c r="KC167">
        <v>23.9328</v>
      </c>
      <c r="KD167">
        <v>33.7215</v>
      </c>
      <c r="KE167">
        <v>10.4763</v>
      </c>
      <c r="KF167">
        <v>26.5359</v>
      </c>
      <c r="KG167">
        <v>11.6483</v>
      </c>
      <c r="KH167">
        <v>805.65</v>
      </c>
      <c r="KI167">
        <v>9.66556</v>
      </c>
      <c r="KJ167">
        <v>97.0372</v>
      </c>
      <c r="KK167">
        <v>95.299</v>
      </c>
    </row>
    <row r="168" spans="1:297">
      <c r="A168">
        <v>152</v>
      </c>
      <c r="B168">
        <v>1760992099.1</v>
      </c>
      <c r="C168">
        <v>2909</v>
      </c>
      <c r="D168" t="s">
        <v>757</v>
      </c>
      <c r="E168" t="s">
        <v>758</v>
      </c>
      <c r="F168">
        <v>5</v>
      </c>
      <c r="G168" t="s">
        <v>662</v>
      </c>
      <c r="H168" t="s">
        <v>436</v>
      </c>
      <c r="I168">
        <v>1760992090.94615</v>
      </c>
      <c r="J168">
        <f>(K168)/1000</f>
        <v>0</v>
      </c>
      <c r="K168">
        <f>IF(DP168, AN168, AH168)</f>
        <v>0</v>
      </c>
      <c r="L168">
        <f>IF(DP168, AI168, AG168)</f>
        <v>0</v>
      </c>
      <c r="M168">
        <f>DR168 - IF(AU168&gt;1, L168*DL168*100.0/(AW168), 0)</f>
        <v>0</v>
      </c>
      <c r="N168">
        <f>((T168-J168/2)*M168-L168)/(T168+J168/2)</f>
        <v>0</v>
      </c>
      <c r="O168">
        <f>N168*(DY168+DZ168)/1000.0</f>
        <v>0</v>
      </c>
      <c r="P168">
        <f>(DR168 - IF(AU168&gt;1, L168*DL168*100.0/(AW168), 0))*(DY168+DZ168)/1000.0</f>
        <v>0</v>
      </c>
      <c r="Q168">
        <f>2.0/((1/S168-1/R168)+SIGN(S168)*SQRT((1/S168-1/R168)*(1/S168-1/R168) + 4*DM168/((DM168+1)*(DM168+1))*(2*1/S168*1/R168-1/R168*1/R168)))</f>
        <v>0</v>
      </c>
      <c r="R168">
        <f>IF(LEFT(DN168,1)&lt;&gt;"0",IF(LEFT(DN168,1)="1",3.0,DO168),$D$5+$E$5*(EF168*DY168/($K$5*1000))+$F$5*(EF168*DY168/($K$5*1000))*MAX(MIN(DL168,$J$5),$I$5)*MAX(MIN(DL168,$J$5),$I$5)+$G$5*MAX(MIN(DL168,$J$5),$I$5)*(EF168*DY168/($K$5*1000))+$H$5*(EF168*DY168/($K$5*1000))*(EF168*DY168/($K$5*1000)))</f>
        <v>0</v>
      </c>
      <c r="S168">
        <f>J168*(1000-(1000*0.61365*exp(17.502*W168/(240.97+W168))/(DY168+DZ168)+DT168)/2)/(1000*0.61365*exp(17.502*W168/(240.97+W168))/(DY168+DZ168)-DT168)</f>
        <v>0</v>
      </c>
      <c r="T168">
        <f>1/((DM168+1)/(Q168/1.6)+1/(R168/1.37)) + DM168/((DM168+1)/(Q168/1.6) + DM168/(R168/1.37))</f>
        <v>0</v>
      </c>
      <c r="U168">
        <f>(DH168*DK168)</f>
        <v>0</v>
      </c>
      <c r="V168">
        <f>(EA168+(U168+2*0.95*5.67E-8*(((EA168+$B$7)+273)^4-(EA168+273)^4)-44100*J168)/(1.84*29.3*R168+8*0.95*5.67E-8*(EA168+273)^3))</f>
        <v>0</v>
      </c>
      <c r="W168">
        <f>($C$7*EB168+$D$7*EC168+$E$7*V168)</f>
        <v>0</v>
      </c>
      <c r="X168">
        <f>0.61365*exp(17.502*W168/(240.97+W168))</f>
        <v>0</v>
      </c>
      <c r="Y168">
        <f>(Z168/AA168*100)</f>
        <v>0</v>
      </c>
      <c r="Z168">
        <f>DT168*(DY168+DZ168)/1000</f>
        <v>0</v>
      </c>
      <c r="AA168">
        <f>0.61365*exp(17.502*EA168/(240.97+EA168))</f>
        <v>0</v>
      </c>
      <c r="AB168">
        <f>(X168-DT168*(DY168+DZ168)/1000)</f>
        <v>0</v>
      </c>
      <c r="AC168">
        <f>(-J168*44100)</f>
        <v>0</v>
      </c>
      <c r="AD168">
        <f>2*29.3*R168*0.92*(EA168-W168)</f>
        <v>0</v>
      </c>
      <c r="AE168">
        <f>2*0.95*5.67E-8*(((EA168+$B$7)+273)^4-(W168+273)^4)</f>
        <v>0</v>
      </c>
      <c r="AF168">
        <f>U168+AE168+AC168+AD168</f>
        <v>0</v>
      </c>
      <c r="AG168">
        <f>DX168*AU168*(DS168-DR168*(1000-AU168*DU168)/(1000-AU168*DT168))/(100*DL168)</f>
        <v>0</v>
      </c>
      <c r="AH168">
        <f>1000*DX168*AU168*(DT168-DU168)/(100*DL168*(1000-AU168*DT168))</f>
        <v>0</v>
      </c>
      <c r="AI168">
        <f>(AJ168 - AK168 - DY168*1E3/(8.314*(EA168+273.15)) * AM168/DX168 * AL168) * DX168/(100*DL168) * (1000 - DU168)/1000</f>
        <v>0</v>
      </c>
      <c r="AJ168">
        <v>799.229213932929</v>
      </c>
      <c r="AK168">
        <v>759.576878787879</v>
      </c>
      <c r="AL168">
        <v>3.48004080711186</v>
      </c>
      <c r="AM168">
        <v>65.2210784119795</v>
      </c>
      <c r="AN168">
        <f>(AP168 - AO168 + DY168*1E3/(8.314*(EA168+273.15)) * AR168/DX168 * AQ168) * DX168/(100*DL168) * 1000/(1000 - AP168)</f>
        <v>0</v>
      </c>
      <c r="AO168">
        <v>9.58892327812785</v>
      </c>
      <c r="AP168">
        <v>11.755003030303</v>
      </c>
      <c r="AQ168">
        <v>-0.000132625736622369</v>
      </c>
      <c r="AR168">
        <v>115.574510355221</v>
      </c>
      <c r="AS168">
        <v>0</v>
      </c>
      <c r="AT168">
        <v>0</v>
      </c>
      <c r="AU168">
        <f>IF(AS168*$H$13&gt;=AW168,1.0,(AW168/(AW168-AS168*$H$13)))</f>
        <v>0</v>
      </c>
      <c r="AV168">
        <f>(AU168-1)*100</f>
        <v>0</v>
      </c>
      <c r="AW168">
        <f>MAX(0,($B$13+$C$13*EF168)/(1+$D$13*EF168)*DY168/(EA168+273)*$E$13)</f>
        <v>0</v>
      </c>
      <c r="AX168" t="s">
        <v>437</v>
      </c>
      <c r="AY168" t="s">
        <v>437</v>
      </c>
      <c r="AZ168">
        <v>0</v>
      </c>
      <c r="BA168">
        <v>0</v>
      </c>
      <c r="BB168">
        <f>1-AZ168/BA168</f>
        <v>0</v>
      </c>
      <c r="BC168">
        <v>0</v>
      </c>
      <c r="BD168" t="s">
        <v>437</v>
      </c>
      <c r="BE168" t="s">
        <v>437</v>
      </c>
      <c r="BF168">
        <v>0</v>
      </c>
      <c r="BG168">
        <v>0</v>
      </c>
      <c r="BH168">
        <f>1-BF168/BG168</f>
        <v>0</v>
      </c>
      <c r="BI168">
        <v>0.5</v>
      </c>
      <c r="BJ168">
        <f>DI168</f>
        <v>0</v>
      </c>
      <c r="BK168">
        <f>L168</f>
        <v>0</v>
      </c>
      <c r="BL168">
        <f>BH168*BI168*BJ168</f>
        <v>0</v>
      </c>
      <c r="BM168">
        <f>(BK168-BC168)/BJ168</f>
        <v>0</v>
      </c>
      <c r="BN168">
        <f>(BA168-BG168)/BG168</f>
        <v>0</v>
      </c>
      <c r="BO168">
        <f>AZ168/(BB168+AZ168/BG168)</f>
        <v>0</v>
      </c>
      <c r="BP168" t="s">
        <v>437</v>
      </c>
      <c r="BQ168">
        <v>0</v>
      </c>
      <c r="BR168">
        <f>IF(BQ168&lt;&gt;0, BQ168, BO168)</f>
        <v>0</v>
      </c>
      <c r="BS168">
        <f>1-BR168/BG168</f>
        <v>0</v>
      </c>
      <c r="BT168">
        <f>(BG168-BF168)/(BG168-BR168)</f>
        <v>0</v>
      </c>
      <c r="BU168">
        <f>(BA168-BG168)/(BA168-BR168)</f>
        <v>0</v>
      </c>
      <c r="BV168">
        <f>(BG168-BF168)/(BG168-AZ168)</f>
        <v>0</v>
      </c>
      <c r="BW168">
        <f>(BA168-BG168)/(BA168-AZ168)</f>
        <v>0</v>
      </c>
      <c r="BX168">
        <f>(BT168*BR168/BF168)</f>
        <v>0</v>
      </c>
      <c r="BY168">
        <f>(1-BX168)</f>
        <v>0</v>
      </c>
      <c r="BZ168">
        <v>282</v>
      </c>
      <c r="CA168">
        <v>290</v>
      </c>
      <c r="CB168">
        <v>1577.74</v>
      </c>
      <c r="CC168">
        <v>295</v>
      </c>
      <c r="CD168">
        <v>5140.93</v>
      </c>
      <c r="CE168">
        <v>1578.58</v>
      </c>
      <c r="CF168">
        <v>-0.84</v>
      </c>
      <c r="CG168">
        <v>300</v>
      </c>
      <c r="CH168">
        <v>23.8</v>
      </c>
      <c r="CI168">
        <v>1633.28263291266</v>
      </c>
      <c r="CJ168">
        <v>1.49577129053257</v>
      </c>
      <c r="CK168">
        <v>-28.1203876934379</v>
      </c>
      <c r="CL168">
        <v>0.666413418688897</v>
      </c>
      <c r="CM168">
        <v>0.984518017981194</v>
      </c>
      <c r="CN168">
        <v>-0.00424727541713014</v>
      </c>
      <c r="CO168">
        <v>290</v>
      </c>
      <c r="CP168">
        <v>1576.56</v>
      </c>
      <c r="CQ168">
        <v>775</v>
      </c>
      <c r="CR168">
        <v>5139.5</v>
      </c>
      <c r="CS168">
        <v>1578.57</v>
      </c>
      <c r="CT168">
        <v>-2.01</v>
      </c>
      <c r="DH168">
        <f>$B$11*EG168+$C$11*EH168+$F$11*ES168*(1-EV168)</f>
        <v>0</v>
      </c>
      <c r="DI168">
        <f>DH168*DJ168</f>
        <v>0</v>
      </c>
      <c r="DJ168">
        <f>($B$11*$D$9+$C$11*$D$9+$F$11*((FF168+EX168)/MAX(FF168+EX168+FG168, 0.1)*$I$9+FG168/MAX(FF168+EX168+FG168, 0.1)*$J$9))/($B$11+$C$11+$F$11)</f>
        <v>0</v>
      </c>
      <c r="DK168">
        <f>($B$11*$K$9+$C$11*$K$9+$F$11*((FF168+EX168)/MAX(FF168+EX168+FG168, 0.1)*$P$9+FG168/MAX(FF168+EX168+FG168, 0.1)*$Q$9))/($B$11+$C$11+$F$11)</f>
        <v>0</v>
      </c>
      <c r="DL168">
        <v>6</v>
      </c>
      <c r="DM168">
        <v>0.5</v>
      </c>
      <c r="DN168" t="s">
        <v>438</v>
      </c>
      <c r="DO168">
        <v>2</v>
      </c>
      <c r="DP168" t="b">
        <v>1</v>
      </c>
      <c r="DQ168">
        <v>1760992090.94615</v>
      </c>
      <c r="DR168">
        <v>726.681076923077</v>
      </c>
      <c r="DS168">
        <v>775.278615384615</v>
      </c>
      <c r="DT168">
        <v>11.7661615384615</v>
      </c>
      <c r="DU168">
        <v>9.58550384615385</v>
      </c>
      <c r="DV168">
        <v>722.678615384615</v>
      </c>
      <c r="DW168">
        <v>11.8779461538462</v>
      </c>
      <c r="DX168">
        <v>500.020769230769</v>
      </c>
      <c r="DY168">
        <v>89.8392307692308</v>
      </c>
      <c r="DZ168">
        <v>0.00880510153846154</v>
      </c>
      <c r="EA168">
        <v>18.4274538461538</v>
      </c>
      <c r="EB168">
        <v>18.0043153846154</v>
      </c>
      <c r="EC168">
        <v>999.9</v>
      </c>
      <c r="ED168">
        <v>0</v>
      </c>
      <c r="EE168">
        <v>0</v>
      </c>
      <c r="EF168">
        <v>10003.2169230769</v>
      </c>
      <c r="EG168">
        <v>0</v>
      </c>
      <c r="EH168">
        <v>1278.60307692308</v>
      </c>
      <c r="EI168">
        <v>-48.5973</v>
      </c>
      <c r="EJ168">
        <v>735.333076923077</v>
      </c>
      <c r="EK168">
        <v>782.781846153846</v>
      </c>
      <c r="EL168">
        <v>2.18064230769231</v>
      </c>
      <c r="EM168">
        <v>775.278615384615</v>
      </c>
      <c r="EN168">
        <v>9.58550384615385</v>
      </c>
      <c r="EO168">
        <v>1.05706076923077</v>
      </c>
      <c r="EP168">
        <v>0.861154461538462</v>
      </c>
      <c r="EQ168">
        <v>7.72754461538462</v>
      </c>
      <c r="ER168">
        <v>4.75742692307692</v>
      </c>
      <c r="ES168">
        <v>1200.07923076923</v>
      </c>
      <c r="ET168">
        <v>0.966997307692308</v>
      </c>
      <c r="EU168">
        <v>0.0330028692307692</v>
      </c>
      <c r="EV168">
        <v>0</v>
      </c>
      <c r="EW168">
        <v>1267.27846153846</v>
      </c>
      <c r="EX168">
        <v>5.00059</v>
      </c>
      <c r="EY168">
        <v>15009</v>
      </c>
      <c r="EZ168">
        <v>10359.4076923077</v>
      </c>
      <c r="FA168">
        <v>38.7593076923077</v>
      </c>
      <c r="FB168">
        <v>41.1487692307692</v>
      </c>
      <c r="FC168">
        <v>39.2016153846154</v>
      </c>
      <c r="FD168">
        <v>41.168</v>
      </c>
      <c r="FE168">
        <v>39.6823846153846</v>
      </c>
      <c r="FF168">
        <v>1155.63846153846</v>
      </c>
      <c r="FG168">
        <v>39.44</v>
      </c>
      <c r="FH168">
        <v>0</v>
      </c>
      <c r="FI168">
        <v>954.800000190735</v>
      </c>
      <c r="FJ168">
        <v>0</v>
      </c>
      <c r="FK168">
        <v>1267.4964</v>
      </c>
      <c r="FL168">
        <v>14.5015384424043</v>
      </c>
      <c r="FM168">
        <v>147.053846080396</v>
      </c>
      <c r="FN168">
        <v>15010.756</v>
      </c>
      <c r="FO168">
        <v>15</v>
      </c>
      <c r="FP168">
        <v>0</v>
      </c>
      <c r="FQ168" t="s">
        <v>439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-48.16855</v>
      </c>
      <c r="GD168">
        <v>-8.19562105263159</v>
      </c>
      <c r="GE168">
        <v>1.04651493706492</v>
      </c>
      <c r="GF168">
        <v>0</v>
      </c>
      <c r="GG168">
        <v>1266.49</v>
      </c>
      <c r="GH168">
        <v>15.7750955024359</v>
      </c>
      <c r="GI168">
        <v>1.55757163936836</v>
      </c>
      <c r="GJ168">
        <v>-1</v>
      </c>
      <c r="GK168">
        <v>2.1824045</v>
      </c>
      <c r="GL168">
        <v>-0.0766263157894751</v>
      </c>
      <c r="GM168">
        <v>0.0107710484517525</v>
      </c>
      <c r="GN168">
        <v>1</v>
      </c>
      <c r="GO168">
        <v>1</v>
      </c>
      <c r="GP168">
        <v>2</v>
      </c>
      <c r="GQ168" t="s">
        <v>446</v>
      </c>
      <c r="GR168">
        <v>3.13067</v>
      </c>
      <c r="GS168">
        <v>2.68667</v>
      </c>
      <c r="GT168">
        <v>0.136706</v>
      </c>
      <c r="GU168">
        <v>0.143124</v>
      </c>
      <c r="GV168">
        <v>0.0614499</v>
      </c>
      <c r="GW168">
        <v>0.0523857</v>
      </c>
      <c r="GX168">
        <v>32715.8</v>
      </c>
      <c r="GY168">
        <v>34893.8</v>
      </c>
      <c r="GZ168">
        <v>34263.7</v>
      </c>
      <c r="HA168">
        <v>36846.6</v>
      </c>
      <c r="HB168">
        <v>45366.6</v>
      </c>
      <c r="HC168">
        <v>50073.9</v>
      </c>
      <c r="HD168">
        <v>53337.5</v>
      </c>
      <c r="HE168">
        <v>58774.2</v>
      </c>
      <c r="HF168">
        <v>2.00763</v>
      </c>
      <c r="HG168">
        <v>1.83633</v>
      </c>
      <c r="HH168">
        <v>0.00821427</v>
      </c>
      <c r="HI168">
        <v>0</v>
      </c>
      <c r="HJ168">
        <v>17.8681</v>
      </c>
      <c r="HK168">
        <v>999.9</v>
      </c>
      <c r="HL168">
        <v>26.737</v>
      </c>
      <c r="HM168">
        <v>30.464</v>
      </c>
      <c r="HN168">
        <v>13.0207</v>
      </c>
      <c r="HO168">
        <v>54.2028</v>
      </c>
      <c r="HP168">
        <v>44.4111</v>
      </c>
      <c r="HQ168">
        <v>1</v>
      </c>
      <c r="HR168">
        <v>-0.262609</v>
      </c>
      <c r="HS168">
        <v>4.64901</v>
      </c>
      <c r="HT168">
        <v>20.0747</v>
      </c>
      <c r="HU168">
        <v>5.19902</v>
      </c>
      <c r="HV168">
        <v>12.004</v>
      </c>
      <c r="HW168">
        <v>4.9756</v>
      </c>
      <c r="HX168">
        <v>3.29295</v>
      </c>
      <c r="HY168">
        <v>9999</v>
      </c>
      <c r="HZ168">
        <v>999.9</v>
      </c>
      <c r="IA168">
        <v>9999</v>
      </c>
      <c r="IB168">
        <v>9999</v>
      </c>
      <c r="IC168">
        <v>1.86322</v>
      </c>
      <c r="ID168">
        <v>1.86807</v>
      </c>
      <c r="IE168">
        <v>1.86783</v>
      </c>
      <c r="IF168">
        <v>1.86904</v>
      </c>
      <c r="IG168">
        <v>1.8698</v>
      </c>
      <c r="IH168">
        <v>1.86584</v>
      </c>
      <c r="II168">
        <v>1.86692</v>
      </c>
      <c r="IJ168">
        <v>1.86836</v>
      </c>
      <c r="IK168">
        <v>5</v>
      </c>
      <c r="IL168">
        <v>0</v>
      </c>
      <c r="IM168">
        <v>0</v>
      </c>
      <c r="IN168">
        <v>0</v>
      </c>
      <c r="IO168" t="s">
        <v>441</v>
      </c>
      <c r="IP168" t="s">
        <v>442</v>
      </c>
      <c r="IQ168" t="s">
        <v>443</v>
      </c>
      <c r="IR168" t="s">
        <v>443</v>
      </c>
      <c r="IS168" t="s">
        <v>443</v>
      </c>
      <c r="IT168" t="s">
        <v>443</v>
      </c>
      <c r="IU168">
        <v>0</v>
      </c>
      <c r="IV168">
        <v>100</v>
      </c>
      <c r="IW168">
        <v>100</v>
      </c>
      <c r="IX168">
        <v>4.098</v>
      </c>
      <c r="IY168">
        <v>-0.112</v>
      </c>
      <c r="IZ168">
        <v>1.12474291219083</v>
      </c>
      <c r="JA168">
        <v>0.00463155566490582</v>
      </c>
      <c r="JB168">
        <v>-1.1358998729424e-06</v>
      </c>
      <c r="JC168">
        <v>3.28704272115545e-10</v>
      </c>
      <c r="JD168">
        <v>-0.0704455108513773</v>
      </c>
      <c r="JE168">
        <v>-0.0251928478371425</v>
      </c>
      <c r="JF168">
        <v>0.00225751704194564</v>
      </c>
      <c r="JG168">
        <v>-3.61734043746866e-05</v>
      </c>
      <c r="JH168">
        <v>1</v>
      </c>
      <c r="JI168">
        <v>2182</v>
      </c>
      <c r="JJ168">
        <v>0</v>
      </c>
      <c r="JK168">
        <v>24</v>
      </c>
      <c r="JL168">
        <v>29349868.3</v>
      </c>
      <c r="JM168">
        <v>29349868.3</v>
      </c>
      <c r="JN168">
        <v>1.70654</v>
      </c>
      <c r="JO168">
        <v>2.62329</v>
      </c>
      <c r="JP168">
        <v>1.54785</v>
      </c>
      <c r="JQ168">
        <v>2.31323</v>
      </c>
      <c r="JR168">
        <v>1.64673</v>
      </c>
      <c r="JS168">
        <v>2.33643</v>
      </c>
      <c r="JT168">
        <v>33.6479</v>
      </c>
      <c r="JU168">
        <v>24.1751</v>
      </c>
      <c r="JV168">
        <v>18</v>
      </c>
      <c r="JW168">
        <v>500.37</v>
      </c>
      <c r="JX168">
        <v>394.033</v>
      </c>
      <c r="JY168">
        <v>11.6493</v>
      </c>
      <c r="JZ168">
        <v>23.9792</v>
      </c>
      <c r="KA168">
        <v>30.0001</v>
      </c>
      <c r="KB168">
        <v>23.9669</v>
      </c>
      <c r="KC168">
        <v>23.9348</v>
      </c>
      <c r="KD168">
        <v>34.2903</v>
      </c>
      <c r="KE168">
        <v>10.1862</v>
      </c>
      <c r="KF168">
        <v>26.5359</v>
      </c>
      <c r="KG168">
        <v>11.6347</v>
      </c>
      <c r="KH168">
        <v>825.77</v>
      </c>
      <c r="KI168">
        <v>9.66841</v>
      </c>
      <c r="KJ168">
        <v>97.0371</v>
      </c>
      <c r="KK168">
        <v>95.2987</v>
      </c>
    </row>
    <row r="169" spans="1:297">
      <c r="A169">
        <v>153</v>
      </c>
      <c r="B169">
        <v>1760992104.1</v>
      </c>
      <c r="C169">
        <v>2914</v>
      </c>
      <c r="D169" t="s">
        <v>759</v>
      </c>
      <c r="E169" t="s">
        <v>760</v>
      </c>
      <c r="F169">
        <v>5</v>
      </c>
      <c r="G169" t="s">
        <v>662</v>
      </c>
      <c r="H169" t="s">
        <v>436</v>
      </c>
      <c r="I169">
        <v>1760992095.94615</v>
      </c>
      <c r="J169">
        <f>(K169)/1000</f>
        <v>0</v>
      </c>
      <c r="K169">
        <f>IF(DP169, AN169, AH169)</f>
        <v>0</v>
      </c>
      <c r="L169">
        <f>IF(DP169, AI169, AG169)</f>
        <v>0</v>
      </c>
      <c r="M169">
        <f>DR169 - IF(AU169&gt;1, L169*DL169*100.0/(AW169), 0)</f>
        <v>0</v>
      </c>
      <c r="N169">
        <f>((T169-J169/2)*M169-L169)/(T169+J169/2)</f>
        <v>0</v>
      </c>
      <c r="O169">
        <f>N169*(DY169+DZ169)/1000.0</f>
        <v>0</v>
      </c>
      <c r="P169">
        <f>(DR169 - IF(AU169&gt;1, L169*DL169*100.0/(AW169), 0))*(DY169+DZ169)/1000.0</f>
        <v>0</v>
      </c>
      <c r="Q169">
        <f>2.0/((1/S169-1/R169)+SIGN(S169)*SQRT((1/S169-1/R169)*(1/S169-1/R169) + 4*DM169/((DM169+1)*(DM169+1))*(2*1/S169*1/R169-1/R169*1/R169)))</f>
        <v>0</v>
      </c>
      <c r="R169">
        <f>IF(LEFT(DN169,1)&lt;&gt;"0",IF(LEFT(DN169,1)="1",3.0,DO169),$D$5+$E$5*(EF169*DY169/($K$5*1000))+$F$5*(EF169*DY169/($K$5*1000))*MAX(MIN(DL169,$J$5),$I$5)*MAX(MIN(DL169,$J$5),$I$5)+$G$5*MAX(MIN(DL169,$J$5),$I$5)*(EF169*DY169/($K$5*1000))+$H$5*(EF169*DY169/($K$5*1000))*(EF169*DY169/($K$5*1000)))</f>
        <v>0</v>
      </c>
      <c r="S169">
        <f>J169*(1000-(1000*0.61365*exp(17.502*W169/(240.97+W169))/(DY169+DZ169)+DT169)/2)/(1000*0.61365*exp(17.502*W169/(240.97+W169))/(DY169+DZ169)-DT169)</f>
        <v>0</v>
      </c>
      <c r="T169">
        <f>1/((DM169+1)/(Q169/1.6)+1/(R169/1.37)) + DM169/((DM169+1)/(Q169/1.6) + DM169/(R169/1.37))</f>
        <v>0</v>
      </c>
      <c r="U169">
        <f>(DH169*DK169)</f>
        <v>0</v>
      </c>
      <c r="V169">
        <f>(EA169+(U169+2*0.95*5.67E-8*(((EA169+$B$7)+273)^4-(EA169+273)^4)-44100*J169)/(1.84*29.3*R169+8*0.95*5.67E-8*(EA169+273)^3))</f>
        <v>0</v>
      </c>
      <c r="W169">
        <f>($C$7*EB169+$D$7*EC169+$E$7*V169)</f>
        <v>0</v>
      </c>
      <c r="X169">
        <f>0.61365*exp(17.502*W169/(240.97+W169))</f>
        <v>0</v>
      </c>
      <c r="Y169">
        <f>(Z169/AA169*100)</f>
        <v>0</v>
      </c>
      <c r="Z169">
        <f>DT169*(DY169+DZ169)/1000</f>
        <v>0</v>
      </c>
      <c r="AA169">
        <f>0.61365*exp(17.502*EA169/(240.97+EA169))</f>
        <v>0</v>
      </c>
      <c r="AB169">
        <f>(X169-DT169*(DY169+DZ169)/1000)</f>
        <v>0</v>
      </c>
      <c r="AC169">
        <f>(-J169*44100)</f>
        <v>0</v>
      </c>
      <c r="AD169">
        <f>2*29.3*R169*0.92*(EA169-W169)</f>
        <v>0</v>
      </c>
      <c r="AE169">
        <f>2*0.95*5.67E-8*(((EA169+$B$7)+273)^4-(W169+273)^4)</f>
        <v>0</v>
      </c>
      <c r="AF169">
        <f>U169+AE169+AC169+AD169</f>
        <v>0</v>
      </c>
      <c r="AG169">
        <f>DX169*AU169*(DS169-DR169*(1000-AU169*DU169)/(1000-AU169*DT169))/(100*DL169)</f>
        <v>0</v>
      </c>
      <c r="AH169">
        <f>1000*DX169*AU169*(DT169-DU169)/(100*DL169*(1000-AU169*DT169))</f>
        <v>0</v>
      </c>
      <c r="AI169">
        <f>(AJ169 - AK169 - DY169*1E3/(8.314*(EA169+273.15)) * AM169/DX169 * AL169) * DX169/(100*DL169) * (1000 - DU169)/1000</f>
        <v>0</v>
      </c>
      <c r="AJ169">
        <v>815.371747108177</v>
      </c>
      <c r="AK169">
        <v>776.206096969697</v>
      </c>
      <c r="AL169">
        <v>3.29524901523324</v>
      </c>
      <c r="AM169">
        <v>65.2210784119795</v>
      </c>
      <c r="AN169">
        <f>(AP169 - AO169 + DY169*1E3/(8.314*(EA169+273.15)) * AR169/DX169 * AQ169) * DX169/(100*DL169) * 1000/(1000 - AP169)</f>
        <v>0</v>
      </c>
      <c r="AO169">
        <v>9.5971713000407</v>
      </c>
      <c r="AP169">
        <v>11.7525212121212</v>
      </c>
      <c r="AQ169">
        <v>-7.83333654357991e-05</v>
      </c>
      <c r="AR169">
        <v>115.574510355221</v>
      </c>
      <c r="AS169">
        <v>0</v>
      </c>
      <c r="AT169">
        <v>0</v>
      </c>
      <c r="AU169">
        <f>IF(AS169*$H$13&gt;=AW169,1.0,(AW169/(AW169-AS169*$H$13)))</f>
        <v>0</v>
      </c>
      <c r="AV169">
        <f>(AU169-1)*100</f>
        <v>0</v>
      </c>
      <c r="AW169">
        <f>MAX(0,($B$13+$C$13*EF169)/(1+$D$13*EF169)*DY169/(EA169+273)*$E$13)</f>
        <v>0</v>
      </c>
      <c r="AX169" t="s">
        <v>437</v>
      </c>
      <c r="AY169" t="s">
        <v>437</v>
      </c>
      <c r="AZ169">
        <v>0</v>
      </c>
      <c r="BA169">
        <v>0</v>
      </c>
      <c r="BB169">
        <f>1-AZ169/BA169</f>
        <v>0</v>
      </c>
      <c r="BC169">
        <v>0</v>
      </c>
      <c r="BD169" t="s">
        <v>437</v>
      </c>
      <c r="BE169" t="s">
        <v>437</v>
      </c>
      <c r="BF169">
        <v>0</v>
      </c>
      <c r="BG169">
        <v>0</v>
      </c>
      <c r="BH169">
        <f>1-BF169/BG169</f>
        <v>0</v>
      </c>
      <c r="BI169">
        <v>0.5</v>
      </c>
      <c r="BJ169">
        <f>DI169</f>
        <v>0</v>
      </c>
      <c r="BK169">
        <f>L169</f>
        <v>0</v>
      </c>
      <c r="BL169">
        <f>BH169*BI169*BJ169</f>
        <v>0</v>
      </c>
      <c r="BM169">
        <f>(BK169-BC169)/BJ169</f>
        <v>0</v>
      </c>
      <c r="BN169">
        <f>(BA169-BG169)/BG169</f>
        <v>0</v>
      </c>
      <c r="BO169">
        <f>AZ169/(BB169+AZ169/BG169)</f>
        <v>0</v>
      </c>
      <c r="BP169" t="s">
        <v>437</v>
      </c>
      <c r="BQ169">
        <v>0</v>
      </c>
      <c r="BR169">
        <f>IF(BQ169&lt;&gt;0, BQ169, BO169)</f>
        <v>0</v>
      </c>
      <c r="BS169">
        <f>1-BR169/BG169</f>
        <v>0</v>
      </c>
      <c r="BT169">
        <f>(BG169-BF169)/(BG169-BR169)</f>
        <v>0</v>
      </c>
      <c r="BU169">
        <f>(BA169-BG169)/(BA169-BR169)</f>
        <v>0</v>
      </c>
      <c r="BV169">
        <f>(BG169-BF169)/(BG169-AZ169)</f>
        <v>0</v>
      </c>
      <c r="BW169">
        <f>(BA169-BG169)/(BA169-AZ169)</f>
        <v>0</v>
      </c>
      <c r="BX169">
        <f>(BT169*BR169/BF169)</f>
        <v>0</v>
      </c>
      <c r="BY169">
        <f>(1-BX169)</f>
        <v>0</v>
      </c>
      <c r="BZ169">
        <v>282</v>
      </c>
      <c r="CA169">
        <v>290</v>
      </c>
      <c r="CB169">
        <v>1577.74</v>
      </c>
      <c r="CC169">
        <v>295</v>
      </c>
      <c r="CD169">
        <v>5140.93</v>
      </c>
      <c r="CE169">
        <v>1578.58</v>
      </c>
      <c r="CF169">
        <v>-0.84</v>
      </c>
      <c r="CG169">
        <v>300</v>
      </c>
      <c r="CH169">
        <v>23.8</v>
      </c>
      <c r="CI169">
        <v>1633.28263291266</v>
      </c>
      <c r="CJ169">
        <v>1.49577129053257</v>
      </c>
      <c r="CK169">
        <v>-28.1203876934379</v>
      </c>
      <c r="CL169">
        <v>0.666413418688897</v>
      </c>
      <c r="CM169">
        <v>0.984518017981194</v>
      </c>
      <c r="CN169">
        <v>-0.00424727541713014</v>
      </c>
      <c r="CO169">
        <v>290</v>
      </c>
      <c r="CP169">
        <v>1576.56</v>
      </c>
      <c r="CQ169">
        <v>775</v>
      </c>
      <c r="CR169">
        <v>5139.5</v>
      </c>
      <c r="CS169">
        <v>1578.57</v>
      </c>
      <c r="CT169">
        <v>-2.01</v>
      </c>
      <c r="DH169">
        <f>$B$11*EG169+$C$11*EH169+$F$11*ES169*(1-EV169)</f>
        <v>0</v>
      </c>
      <c r="DI169">
        <f>DH169*DJ169</f>
        <v>0</v>
      </c>
      <c r="DJ169">
        <f>($B$11*$D$9+$C$11*$D$9+$F$11*((FF169+EX169)/MAX(FF169+EX169+FG169, 0.1)*$I$9+FG169/MAX(FF169+EX169+FG169, 0.1)*$J$9))/($B$11+$C$11+$F$11)</f>
        <v>0</v>
      </c>
      <c r="DK169">
        <f>($B$11*$K$9+$C$11*$K$9+$F$11*((FF169+EX169)/MAX(FF169+EX169+FG169, 0.1)*$P$9+FG169/MAX(FF169+EX169+FG169, 0.1)*$Q$9))/($B$11+$C$11+$F$11)</f>
        <v>0</v>
      </c>
      <c r="DL169">
        <v>6</v>
      </c>
      <c r="DM169">
        <v>0.5</v>
      </c>
      <c r="DN169" t="s">
        <v>438</v>
      </c>
      <c r="DO169">
        <v>2</v>
      </c>
      <c r="DP169" t="b">
        <v>1</v>
      </c>
      <c r="DQ169">
        <v>1760992095.94615</v>
      </c>
      <c r="DR169">
        <v>743.347769230769</v>
      </c>
      <c r="DS169">
        <v>791.812538461538</v>
      </c>
      <c r="DT169">
        <v>11.7579076923077</v>
      </c>
      <c r="DU169">
        <v>9.58790846153846</v>
      </c>
      <c r="DV169">
        <v>739.287076923077</v>
      </c>
      <c r="DW169">
        <v>11.8698076923077</v>
      </c>
      <c r="DX169">
        <v>500.022769230769</v>
      </c>
      <c r="DY169">
        <v>89.8398307692308</v>
      </c>
      <c r="DZ169">
        <v>0.00863027538461539</v>
      </c>
      <c r="EA169">
        <v>18.4322769230769</v>
      </c>
      <c r="EB169">
        <v>18.0084153846154</v>
      </c>
      <c r="EC169">
        <v>999.9</v>
      </c>
      <c r="ED169">
        <v>0</v>
      </c>
      <c r="EE169">
        <v>0</v>
      </c>
      <c r="EF169">
        <v>10015.8730769231</v>
      </c>
      <c r="EG169">
        <v>0</v>
      </c>
      <c r="EH169">
        <v>1278.58153846154</v>
      </c>
      <c r="EI169">
        <v>-48.4647</v>
      </c>
      <c r="EJ169">
        <v>752.192</v>
      </c>
      <c r="EK169">
        <v>799.477769230769</v>
      </c>
      <c r="EL169">
        <v>2.16999615384615</v>
      </c>
      <c r="EM169">
        <v>791.812538461538</v>
      </c>
      <c r="EN169">
        <v>9.58790846153846</v>
      </c>
      <c r="EO169">
        <v>1.05632769230769</v>
      </c>
      <c r="EP169">
        <v>0.861376384615385</v>
      </c>
      <c r="EQ169">
        <v>7.71737307692308</v>
      </c>
      <c r="ER169">
        <v>4.76111307692308</v>
      </c>
      <c r="ES169">
        <v>1200.08769230769</v>
      </c>
      <c r="ET169">
        <v>0.966995230769231</v>
      </c>
      <c r="EU169">
        <v>0.0330048692307692</v>
      </c>
      <c r="EV169">
        <v>0</v>
      </c>
      <c r="EW169">
        <v>1268.54153846154</v>
      </c>
      <c r="EX169">
        <v>5.00059</v>
      </c>
      <c r="EY169">
        <v>15021.3923076923</v>
      </c>
      <c r="EZ169">
        <v>10359.4692307692</v>
      </c>
      <c r="FA169">
        <v>38.6920769230769</v>
      </c>
      <c r="FB169">
        <v>40.9901538461539</v>
      </c>
      <c r="FC169">
        <v>39.1246923076923</v>
      </c>
      <c r="FD169">
        <v>40.9612307692308</v>
      </c>
      <c r="FE169">
        <v>39.5959230769231</v>
      </c>
      <c r="FF169">
        <v>1155.64384615385</v>
      </c>
      <c r="FG169">
        <v>39.4430769230769</v>
      </c>
      <c r="FH169">
        <v>0</v>
      </c>
      <c r="FI169">
        <v>959.600000143051</v>
      </c>
      <c r="FJ169">
        <v>0</v>
      </c>
      <c r="FK169">
        <v>1268.7392</v>
      </c>
      <c r="FL169">
        <v>14.2946153839439</v>
      </c>
      <c r="FM169">
        <v>143.169230925751</v>
      </c>
      <c r="FN169">
        <v>15022.488</v>
      </c>
      <c r="FO169">
        <v>15</v>
      </c>
      <c r="FP169">
        <v>0</v>
      </c>
      <c r="FQ169" t="s">
        <v>439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-48.4970523809524</v>
      </c>
      <c r="GD169">
        <v>-0.927428571428605</v>
      </c>
      <c r="GE169">
        <v>0.672011418283837</v>
      </c>
      <c r="GF169">
        <v>0</v>
      </c>
      <c r="GG169">
        <v>1267.895</v>
      </c>
      <c r="GH169">
        <v>14.9972498169137</v>
      </c>
      <c r="GI169">
        <v>1.48375170350268</v>
      </c>
      <c r="GJ169">
        <v>-1</v>
      </c>
      <c r="GK169">
        <v>2.17608142857143</v>
      </c>
      <c r="GL169">
        <v>-0.127952727272728</v>
      </c>
      <c r="GM169">
        <v>0.0129292430764764</v>
      </c>
      <c r="GN169">
        <v>0</v>
      </c>
      <c r="GO169">
        <v>0</v>
      </c>
      <c r="GP169">
        <v>2</v>
      </c>
      <c r="GQ169" t="s">
        <v>519</v>
      </c>
      <c r="GR169">
        <v>3.13081</v>
      </c>
      <c r="GS169">
        <v>2.68675</v>
      </c>
      <c r="GT169">
        <v>0.138705</v>
      </c>
      <c r="GU169">
        <v>0.145154</v>
      </c>
      <c r="GV169">
        <v>0.0614357</v>
      </c>
      <c r="GW169">
        <v>0.0524146</v>
      </c>
      <c r="GX169">
        <v>32640.2</v>
      </c>
      <c r="GY169">
        <v>34811.3</v>
      </c>
      <c r="GZ169">
        <v>34263.8</v>
      </c>
      <c r="HA169">
        <v>36846.7</v>
      </c>
      <c r="HB169">
        <v>45367.6</v>
      </c>
      <c r="HC169">
        <v>50072.5</v>
      </c>
      <c r="HD169">
        <v>53337.6</v>
      </c>
      <c r="HE169">
        <v>58774.1</v>
      </c>
      <c r="HF169">
        <v>2.00795</v>
      </c>
      <c r="HG169">
        <v>1.83648</v>
      </c>
      <c r="HH169">
        <v>0.0086166</v>
      </c>
      <c r="HI169">
        <v>0</v>
      </c>
      <c r="HJ169">
        <v>17.8681</v>
      </c>
      <c r="HK169">
        <v>999.9</v>
      </c>
      <c r="HL169">
        <v>26.737</v>
      </c>
      <c r="HM169">
        <v>30.464</v>
      </c>
      <c r="HN169">
        <v>13.0221</v>
      </c>
      <c r="HO169">
        <v>54.0328</v>
      </c>
      <c r="HP169">
        <v>44.3109</v>
      </c>
      <c r="HQ169">
        <v>1</v>
      </c>
      <c r="HR169">
        <v>-0.262264</v>
      </c>
      <c r="HS169">
        <v>4.68773</v>
      </c>
      <c r="HT169">
        <v>20.0738</v>
      </c>
      <c r="HU169">
        <v>5.19917</v>
      </c>
      <c r="HV169">
        <v>12.004</v>
      </c>
      <c r="HW169">
        <v>4.9757</v>
      </c>
      <c r="HX169">
        <v>3.29298</v>
      </c>
      <c r="HY169">
        <v>9999</v>
      </c>
      <c r="HZ169">
        <v>999.9</v>
      </c>
      <c r="IA169">
        <v>9999</v>
      </c>
      <c r="IB169">
        <v>9999</v>
      </c>
      <c r="IC169">
        <v>1.86323</v>
      </c>
      <c r="ID169">
        <v>1.86803</v>
      </c>
      <c r="IE169">
        <v>1.86783</v>
      </c>
      <c r="IF169">
        <v>1.86904</v>
      </c>
      <c r="IG169">
        <v>1.86981</v>
      </c>
      <c r="IH169">
        <v>1.86584</v>
      </c>
      <c r="II169">
        <v>1.86691</v>
      </c>
      <c r="IJ169">
        <v>1.86836</v>
      </c>
      <c r="IK169">
        <v>5</v>
      </c>
      <c r="IL169">
        <v>0</v>
      </c>
      <c r="IM169">
        <v>0</v>
      </c>
      <c r="IN169">
        <v>0</v>
      </c>
      <c r="IO169" t="s">
        <v>441</v>
      </c>
      <c r="IP169" t="s">
        <v>442</v>
      </c>
      <c r="IQ169" t="s">
        <v>443</v>
      </c>
      <c r="IR169" t="s">
        <v>443</v>
      </c>
      <c r="IS169" t="s">
        <v>443</v>
      </c>
      <c r="IT169" t="s">
        <v>443</v>
      </c>
      <c r="IU169">
        <v>0</v>
      </c>
      <c r="IV169">
        <v>100</v>
      </c>
      <c r="IW169">
        <v>100</v>
      </c>
      <c r="IX169">
        <v>4.155</v>
      </c>
      <c r="IY169">
        <v>-0.112</v>
      </c>
      <c r="IZ169">
        <v>1.12474291219083</v>
      </c>
      <c r="JA169">
        <v>0.00463155566490582</v>
      </c>
      <c r="JB169">
        <v>-1.1358998729424e-06</v>
      </c>
      <c r="JC169">
        <v>3.28704272115545e-10</v>
      </c>
      <c r="JD169">
        <v>-0.0704455108513773</v>
      </c>
      <c r="JE169">
        <v>-0.0251928478371425</v>
      </c>
      <c r="JF169">
        <v>0.00225751704194564</v>
      </c>
      <c r="JG169">
        <v>-3.61734043746866e-05</v>
      </c>
      <c r="JH169">
        <v>1</v>
      </c>
      <c r="JI169">
        <v>2182</v>
      </c>
      <c r="JJ169">
        <v>0</v>
      </c>
      <c r="JK169">
        <v>24</v>
      </c>
      <c r="JL169">
        <v>29349868.4</v>
      </c>
      <c r="JM169">
        <v>29349868.4</v>
      </c>
      <c r="JN169">
        <v>1.7395</v>
      </c>
      <c r="JO169">
        <v>2.62451</v>
      </c>
      <c r="JP169">
        <v>1.54785</v>
      </c>
      <c r="JQ169">
        <v>2.31445</v>
      </c>
      <c r="JR169">
        <v>1.64673</v>
      </c>
      <c r="JS169">
        <v>2.34009</v>
      </c>
      <c r="JT169">
        <v>33.6479</v>
      </c>
      <c r="JU169">
        <v>24.1751</v>
      </c>
      <c r="JV169">
        <v>18</v>
      </c>
      <c r="JW169">
        <v>500.578</v>
      </c>
      <c r="JX169">
        <v>394.112</v>
      </c>
      <c r="JY169">
        <v>11.6374</v>
      </c>
      <c r="JZ169">
        <v>23.9804</v>
      </c>
      <c r="KA169">
        <v>30.0003</v>
      </c>
      <c r="KB169">
        <v>23.9669</v>
      </c>
      <c r="KC169">
        <v>23.9348</v>
      </c>
      <c r="KD169">
        <v>34.8694</v>
      </c>
      <c r="KE169">
        <v>9.87867</v>
      </c>
      <c r="KF169">
        <v>26.5359</v>
      </c>
      <c r="KG169">
        <v>11.6258</v>
      </c>
      <c r="KH169">
        <v>839.206</v>
      </c>
      <c r="KI169">
        <v>9.67194</v>
      </c>
      <c r="KJ169">
        <v>97.0373</v>
      </c>
      <c r="KK169">
        <v>95.2988</v>
      </c>
    </row>
    <row r="170" spans="1:297">
      <c r="A170">
        <v>154</v>
      </c>
      <c r="B170">
        <v>1760992109.1</v>
      </c>
      <c r="C170">
        <v>2919</v>
      </c>
      <c r="D170" t="s">
        <v>761</v>
      </c>
      <c r="E170" t="s">
        <v>762</v>
      </c>
      <c r="F170">
        <v>5</v>
      </c>
      <c r="G170" t="s">
        <v>662</v>
      </c>
      <c r="H170" t="s">
        <v>436</v>
      </c>
      <c r="I170">
        <v>1760992100.94615</v>
      </c>
      <c r="J170">
        <f>(K170)/1000</f>
        <v>0</v>
      </c>
      <c r="K170">
        <f>IF(DP170, AN170, AH170)</f>
        <v>0</v>
      </c>
      <c r="L170">
        <f>IF(DP170, AI170, AG170)</f>
        <v>0</v>
      </c>
      <c r="M170">
        <f>DR170 - IF(AU170&gt;1, L170*DL170*100.0/(AW170), 0)</f>
        <v>0</v>
      </c>
      <c r="N170">
        <f>((T170-J170/2)*M170-L170)/(T170+J170/2)</f>
        <v>0</v>
      </c>
      <c r="O170">
        <f>N170*(DY170+DZ170)/1000.0</f>
        <v>0</v>
      </c>
      <c r="P170">
        <f>(DR170 - IF(AU170&gt;1, L170*DL170*100.0/(AW170), 0))*(DY170+DZ170)/1000.0</f>
        <v>0</v>
      </c>
      <c r="Q170">
        <f>2.0/((1/S170-1/R170)+SIGN(S170)*SQRT((1/S170-1/R170)*(1/S170-1/R170) + 4*DM170/((DM170+1)*(DM170+1))*(2*1/S170*1/R170-1/R170*1/R170)))</f>
        <v>0</v>
      </c>
      <c r="R170">
        <f>IF(LEFT(DN170,1)&lt;&gt;"0",IF(LEFT(DN170,1)="1",3.0,DO170),$D$5+$E$5*(EF170*DY170/($K$5*1000))+$F$5*(EF170*DY170/($K$5*1000))*MAX(MIN(DL170,$J$5),$I$5)*MAX(MIN(DL170,$J$5),$I$5)+$G$5*MAX(MIN(DL170,$J$5),$I$5)*(EF170*DY170/($K$5*1000))+$H$5*(EF170*DY170/($K$5*1000))*(EF170*DY170/($K$5*1000)))</f>
        <v>0</v>
      </c>
      <c r="S170">
        <f>J170*(1000-(1000*0.61365*exp(17.502*W170/(240.97+W170))/(DY170+DZ170)+DT170)/2)/(1000*0.61365*exp(17.502*W170/(240.97+W170))/(DY170+DZ170)-DT170)</f>
        <v>0</v>
      </c>
      <c r="T170">
        <f>1/((DM170+1)/(Q170/1.6)+1/(R170/1.37)) + DM170/((DM170+1)/(Q170/1.6) + DM170/(R170/1.37))</f>
        <v>0</v>
      </c>
      <c r="U170">
        <f>(DH170*DK170)</f>
        <v>0</v>
      </c>
      <c r="V170">
        <f>(EA170+(U170+2*0.95*5.67E-8*(((EA170+$B$7)+273)^4-(EA170+273)^4)-44100*J170)/(1.84*29.3*R170+8*0.95*5.67E-8*(EA170+273)^3))</f>
        <v>0</v>
      </c>
      <c r="W170">
        <f>($C$7*EB170+$D$7*EC170+$E$7*V170)</f>
        <v>0</v>
      </c>
      <c r="X170">
        <f>0.61365*exp(17.502*W170/(240.97+W170))</f>
        <v>0</v>
      </c>
      <c r="Y170">
        <f>(Z170/AA170*100)</f>
        <v>0</v>
      </c>
      <c r="Z170">
        <f>DT170*(DY170+DZ170)/1000</f>
        <v>0</v>
      </c>
      <c r="AA170">
        <f>0.61365*exp(17.502*EA170/(240.97+EA170))</f>
        <v>0</v>
      </c>
      <c r="AB170">
        <f>(X170-DT170*(DY170+DZ170)/1000)</f>
        <v>0</v>
      </c>
      <c r="AC170">
        <f>(-J170*44100)</f>
        <v>0</v>
      </c>
      <c r="AD170">
        <f>2*29.3*R170*0.92*(EA170-W170)</f>
        <v>0</v>
      </c>
      <c r="AE170">
        <f>2*0.95*5.67E-8*(((EA170+$B$7)+273)^4-(W170+273)^4)</f>
        <v>0</v>
      </c>
      <c r="AF170">
        <f>U170+AE170+AC170+AD170</f>
        <v>0</v>
      </c>
      <c r="AG170">
        <f>DX170*AU170*(DS170-DR170*(1000-AU170*DU170)/(1000-AU170*DT170))/(100*DL170)</f>
        <v>0</v>
      </c>
      <c r="AH170">
        <f>1000*DX170*AU170*(DT170-DU170)/(100*DL170*(1000-AU170*DT170))</f>
        <v>0</v>
      </c>
      <c r="AI170">
        <f>(AJ170 - AK170 - DY170*1E3/(8.314*(EA170+273.15)) * AM170/DX170 * AL170) * DX170/(100*DL170) * (1000 - DU170)/1000</f>
        <v>0</v>
      </c>
      <c r="AJ170">
        <v>833.187655810437</v>
      </c>
      <c r="AK170">
        <v>793.375254545454</v>
      </c>
      <c r="AL170">
        <v>3.44898626621577</v>
      </c>
      <c r="AM170">
        <v>65.2210784119795</v>
      </c>
      <c r="AN170">
        <f>(AP170 - AO170 + DY170*1E3/(8.314*(EA170+273.15)) * AR170/DX170 * AQ170) * DX170/(100*DL170) * 1000/(1000 - AP170)</f>
        <v>0</v>
      </c>
      <c r="AO170">
        <v>9.60365030543315</v>
      </c>
      <c r="AP170">
        <v>11.7492424242424</v>
      </c>
      <c r="AQ170">
        <v>-0.000105581121865871</v>
      </c>
      <c r="AR170">
        <v>115.574510355221</v>
      </c>
      <c r="AS170">
        <v>0</v>
      </c>
      <c r="AT170">
        <v>0</v>
      </c>
      <c r="AU170">
        <f>IF(AS170*$H$13&gt;=AW170,1.0,(AW170/(AW170-AS170*$H$13)))</f>
        <v>0</v>
      </c>
      <c r="AV170">
        <f>(AU170-1)*100</f>
        <v>0</v>
      </c>
      <c r="AW170">
        <f>MAX(0,($B$13+$C$13*EF170)/(1+$D$13*EF170)*DY170/(EA170+273)*$E$13)</f>
        <v>0</v>
      </c>
      <c r="AX170" t="s">
        <v>437</v>
      </c>
      <c r="AY170" t="s">
        <v>437</v>
      </c>
      <c r="AZ170">
        <v>0</v>
      </c>
      <c r="BA170">
        <v>0</v>
      </c>
      <c r="BB170">
        <f>1-AZ170/BA170</f>
        <v>0</v>
      </c>
      <c r="BC170">
        <v>0</v>
      </c>
      <c r="BD170" t="s">
        <v>437</v>
      </c>
      <c r="BE170" t="s">
        <v>437</v>
      </c>
      <c r="BF170">
        <v>0</v>
      </c>
      <c r="BG170">
        <v>0</v>
      </c>
      <c r="BH170">
        <f>1-BF170/BG170</f>
        <v>0</v>
      </c>
      <c r="BI170">
        <v>0.5</v>
      </c>
      <c r="BJ170">
        <f>DI170</f>
        <v>0</v>
      </c>
      <c r="BK170">
        <f>L170</f>
        <v>0</v>
      </c>
      <c r="BL170">
        <f>BH170*BI170*BJ170</f>
        <v>0</v>
      </c>
      <c r="BM170">
        <f>(BK170-BC170)/BJ170</f>
        <v>0</v>
      </c>
      <c r="BN170">
        <f>(BA170-BG170)/BG170</f>
        <v>0</v>
      </c>
      <c r="BO170">
        <f>AZ170/(BB170+AZ170/BG170)</f>
        <v>0</v>
      </c>
      <c r="BP170" t="s">
        <v>437</v>
      </c>
      <c r="BQ170">
        <v>0</v>
      </c>
      <c r="BR170">
        <f>IF(BQ170&lt;&gt;0, BQ170, BO170)</f>
        <v>0</v>
      </c>
      <c r="BS170">
        <f>1-BR170/BG170</f>
        <v>0</v>
      </c>
      <c r="BT170">
        <f>(BG170-BF170)/(BG170-BR170)</f>
        <v>0</v>
      </c>
      <c r="BU170">
        <f>(BA170-BG170)/(BA170-BR170)</f>
        <v>0</v>
      </c>
      <c r="BV170">
        <f>(BG170-BF170)/(BG170-AZ170)</f>
        <v>0</v>
      </c>
      <c r="BW170">
        <f>(BA170-BG170)/(BA170-AZ170)</f>
        <v>0</v>
      </c>
      <c r="BX170">
        <f>(BT170*BR170/BF170)</f>
        <v>0</v>
      </c>
      <c r="BY170">
        <f>(1-BX170)</f>
        <v>0</v>
      </c>
      <c r="BZ170">
        <v>282</v>
      </c>
      <c r="CA170">
        <v>290</v>
      </c>
      <c r="CB170">
        <v>1577.74</v>
      </c>
      <c r="CC170">
        <v>295</v>
      </c>
      <c r="CD170">
        <v>5140.93</v>
      </c>
      <c r="CE170">
        <v>1578.58</v>
      </c>
      <c r="CF170">
        <v>-0.84</v>
      </c>
      <c r="CG170">
        <v>300</v>
      </c>
      <c r="CH170">
        <v>23.8</v>
      </c>
      <c r="CI170">
        <v>1633.28263291266</v>
      </c>
      <c r="CJ170">
        <v>1.49577129053257</v>
      </c>
      <c r="CK170">
        <v>-28.1203876934379</v>
      </c>
      <c r="CL170">
        <v>0.666413418688897</v>
      </c>
      <c r="CM170">
        <v>0.984518017981194</v>
      </c>
      <c r="CN170">
        <v>-0.00424727541713014</v>
      </c>
      <c r="CO170">
        <v>290</v>
      </c>
      <c r="CP170">
        <v>1576.56</v>
      </c>
      <c r="CQ170">
        <v>775</v>
      </c>
      <c r="CR170">
        <v>5139.5</v>
      </c>
      <c r="CS170">
        <v>1578.57</v>
      </c>
      <c r="CT170">
        <v>-2.01</v>
      </c>
      <c r="DH170">
        <f>$B$11*EG170+$C$11*EH170+$F$11*ES170*(1-EV170)</f>
        <v>0</v>
      </c>
      <c r="DI170">
        <f>DH170*DJ170</f>
        <v>0</v>
      </c>
      <c r="DJ170">
        <f>($B$11*$D$9+$C$11*$D$9+$F$11*((FF170+EX170)/MAX(FF170+EX170+FG170, 0.1)*$I$9+FG170/MAX(FF170+EX170+FG170, 0.1)*$J$9))/($B$11+$C$11+$F$11)</f>
        <v>0</v>
      </c>
      <c r="DK170">
        <f>($B$11*$K$9+$C$11*$K$9+$F$11*((FF170+EX170)/MAX(FF170+EX170+FG170, 0.1)*$P$9+FG170/MAX(FF170+EX170+FG170, 0.1)*$Q$9))/($B$11+$C$11+$F$11)</f>
        <v>0</v>
      </c>
      <c r="DL170">
        <v>6</v>
      </c>
      <c r="DM170">
        <v>0.5</v>
      </c>
      <c r="DN170" t="s">
        <v>438</v>
      </c>
      <c r="DO170">
        <v>2</v>
      </c>
      <c r="DP170" t="b">
        <v>1</v>
      </c>
      <c r="DQ170">
        <v>1760992100.94615</v>
      </c>
      <c r="DR170">
        <v>759.999846153846</v>
      </c>
      <c r="DS170">
        <v>809.001307692308</v>
      </c>
      <c r="DT170">
        <v>11.7536230769231</v>
      </c>
      <c r="DU170">
        <v>9.59380076923077</v>
      </c>
      <c r="DV170">
        <v>755.881307692308</v>
      </c>
      <c r="DW170">
        <v>11.8655846153846</v>
      </c>
      <c r="DX170">
        <v>500.032923076923</v>
      </c>
      <c r="DY170">
        <v>89.8396769230769</v>
      </c>
      <c r="DZ170">
        <v>0.00853305923076923</v>
      </c>
      <c r="EA170">
        <v>18.4339846153846</v>
      </c>
      <c r="EB170">
        <v>18.0127153846154</v>
      </c>
      <c r="EC170">
        <v>999.9</v>
      </c>
      <c r="ED170">
        <v>0</v>
      </c>
      <c r="EE170">
        <v>0</v>
      </c>
      <c r="EF170">
        <v>10017.2176923077</v>
      </c>
      <c r="EG170">
        <v>0</v>
      </c>
      <c r="EH170">
        <v>1278.57769230769</v>
      </c>
      <c r="EI170">
        <v>-49.0013538461538</v>
      </c>
      <c r="EJ170">
        <v>769.038923076923</v>
      </c>
      <c r="EK170">
        <v>816.837769230769</v>
      </c>
      <c r="EL170">
        <v>2.15981384615385</v>
      </c>
      <c r="EM170">
        <v>809.001307692308</v>
      </c>
      <c r="EN170">
        <v>9.59380076923077</v>
      </c>
      <c r="EO170">
        <v>1.05594153846154</v>
      </c>
      <c r="EP170">
        <v>0.861904230769231</v>
      </c>
      <c r="EQ170">
        <v>7.71199692307692</v>
      </c>
      <c r="ER170">
        <v>4.76988384615385</v>
      </c>
      <c r="ES170">
        <v>1200.05615384615</v>
      </c>
      <c r="ET170">
        <v>0.966992461538462</v>
      </c>
      <c r="EU170">
        <v>0.0330075153846154</v>
      </c>
      <c r="EV170">
        <v>0</v>
      </c>
      <c r="EW170">
        <v>1269.86615384615</v>
      </c>
      <c r="EX170">
        <v>5.00059</v>
      </c>
      <c r="EY170">
        <v>15033.1692307692</v>
      </c>
      <c r="EZ170">
        <v>10359.1846153846</v>
      </c>
      <c r="FA170">
        <v>38.6199230769231</v>
      </c>
      <c r="FB170">
        <v>40.8362307692308</v>
      </c>
      <c r="FC170">
        <v>39.0574615384615</v>
      </c>
      <c r="FD170">
        <v>40.7593076923077</v>
      </c>
      <c r="FE170">
        <v>39.5093846153846</v>
      </c>
      <c r="FF170">
        <v>1155.60923076923</v>
      </c>
      <c r="FG170">
        <v>39.4461538461538</v>
      </c>
      <c r="FH170">
        <v>0</v>
      </c>
      <c r="FI170">
        <v>965</v>
      </c>
      <c r="FJ170">
        <v>0</v>
      </c>
      <c r="FK170">
        <v>1270.01269230769</v>
      </c>
      <c r="FL170">
        <v>15.7822222191532</v>
      </c>
      <c r="FM170">
        <v>141.647863359201</v>
      </c>
      <c r="FN170">
        <v>15034.6461538462</v>
      </c>
      <c r="FO170">
        <v>15</v>
      </c>
      <c r="FP170">
        <v>0</v>
      </c>
      <c r="FQ170" t="s">
        <v>439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-48.71642</v>
      </c>
      <c r="GD170">
        <v>-4.61839398496229</v>
      </c>
      <c r="GE170">
        <v>0.79462806494611</v>
      </c>
      <c r="GF170">
        <v>0</v>
      </c>
      <c r="GG170">
        <v>1269.11676470588</v>
      </c>
      <c r="GH170">
        <v>15.2499617909208</v>
      </c>
      <c r="GI170">
        <v>1.50979102681025</v>
      </c>
      <c r="GJ170">
        <v>-1</v>
      </c>
      <c r="GK170">
        <v>2.164753</v>
      </c>
      <c r="GL170">
        <v>-0.122155488721807</v>
      </c>
      <c r="GM170">
        <v>0.0117842603077156</v>
      </c>
      <c r="GN170">
        <v>0</v>
      </c>
      <c r="GO170">
        <v>0</v>
      </c>
      <c r="GP170">
        <v>2</v>
      </c>
      <c r="GQ170" t="s">
        <v>519</v>
      </c>
      <c r="GR170">
        <v>3.1307</v>
      </c>
      <c r="GS170">
        <v>2.68658</v>
      </c>
      <c r="GT170">
        <v>0.140776</v>
      </c>
      <c r="GU170">
        <v>0.147086</v>
      </c>
      <c r="GV170">
        <v>0.0614259</v>
      </c>
      <c r="GW170">
        <v>0.0524751</v>
      </c>
      <c r="GX170">
        <v>32561.6</v>
      </c>
      <c r="GY170">
        <v>34732.5</v>
      </c>
      <c r="GZ170">
        <v>34263.6</v>
      </c>
      <c r="HA170">
        <v>36846.5</v>
      </c>
      <c r="HB170">
        <v>45368</v>
      </c>
      <c r="HC170">
        <v>50069.3</v>
      </c>
      <c r="HD170">
        <v>53337.3</v>
      </c>
      <c r="HE170">
        <v>58773.8</v>
      </c>
      <c r="HF170">
        <v>2.00758</v>
      </c>
      <c r="HG170">
        <v>1.83687</v>
      </c>
      <c r="HH170">
        <v>0.00862405</v>
      </c>
      <c r="HI170">
        <v>0</v>
      </c>
      <c r="HJ170">
        <v>17.8693</v>
      </c>
      <c r="HK170">
        <v>999.9</v>
      </c>
      <c r="HL170">
        <v>26.712</v>
      </c>
      <c r="HM170">
        <v>30.454</v>
      </c>
      <c r="HN170">
        <v>13.0018</v>
      </c>
      <c r="HO170">
        <v>54.2828</v>
      </c>
      <c r="HP170">
        <v>44.2588</v>
      </c>
      <c r="HQ170">
        <v>1</v>
      </c>
      <c r="HR170">
        <v>-0.262033</v>
      </c>
      <c r="HS170">
        <v>4.71228</v>
      </c>
      <c r="HT170">
        <v>20.0728</v>
      </c>
      <c r="HU170">
        <v>5.19887</v>
      </c>
      <c r="HV170">
        <v>12.004</v>
      </c>
      <c r="HW170">
        <v>4.97565</v>
      </c>
      <c r="HX170">
        <v>3.293</v>
      </c>
      <c r="HY170">
        <v>9999</v>
      </c>
      <c r="HZ170">
        <v>999.9</v>
      </c>
      <c r="IA170">
        <v>9999</v>
      </c>
      <c r="IB170">
        <v>9999</v>
      </c>
      <c r="IC170">
        <v>1.86324</v>
      </c>
      <c r="ID170">
        <v>1.86804</v>
      </c>
      <c r="IE170">
        <v>1.86783</v>
      </c>
      <c r="IF170">
        <v>1.86904</v>
      </c>
      <c r="IG170">
        <v>1.86981</v>
      </c>
      <c r="IH170">
        <v>1.86584</v>
      </c>
      <c r="II170">
        <v>1.86692</v>
      </c>
      <c r="IJ170">
        <v>1.86837</v>
      </c>
      <c r="IK170">
        <v>5</v>
      </c>
      <c r="IL170">
        <v>0</v>
      </c>
      <c r="IM170">
        <v>0</v>
      </c>
      <c r="IN170">
        <v>0</v>
      </c>
      <c r="IO170" t="s">
        <v>441</v>
      </c>
      <c r="IP170" t="s">
        <v>442</v>
      </c>
      <c r="IQ170" t="s">
        <v>443</v>
      </c>
      <c r="IR170" t="s">
        <v>443</v>
      </c>
      <c r="IS170" t="s">
        <v>443</v>
      </c>
      <c r="IT170" t="s">
        <v>443</v>
      </c>
      <c r="IU170">
        <v>0</v>
      </c>
      <c r="IV170">
        <v>100</v>
      </c>
      <c r="IW170">
        <v>100</v>
      </c>
      <c r="IX170">
        <v>4.214</v>
      </c>
      <c r="IY170">
        <v>-0.112</v>
      </c>
      <c r="IZ170">
        <v>1.12474291219083</v>
      </c>
      <c r="JA170">
        <v>0.00463155566490582</v>
      </c>
      <c r="JB170">
        <v>-1.1358998729424e-06</v>
      </c>
      <c r="JC170">
        <v>3.28704272115545e-10</v>
      </c>
      <c r="JD170">
        <v>-0.0704455108513773</v>
      </c>
      <c r="JE170">
        <v>-0.0251928478371425</v>
      </c>
      <c r="JF170">
        <v>0.00225751704194564</v>
      </c>
      <c r="JG170">
        <v>-3.61734043746866e-05</v>
      </c>
      <c r="JH170">
        <v>1</v>
      </c>
      <c r="JI170">
        <v>2182</v>
      </c>
      <c r="JJ170">
        <v>0</v>
      </c>
      <c r="JK170">
        <v>24</v>
      </c>
      <c r="JL170">
        <v>29349868.5</v>
      </c>
      <c r="JM170">
        <v>29349868.5</v>
      </c>
      <c r="JN170">
        <v>1.76392</v>
      </c>
      <c r="JO170">
        <v>2.62451</v>
      </c>
      <c r="JP170">
        <v>1.54785</v>
      </c>
      <c r="JQ170">
        <v>2.31445</v>
      </c>
      <c r="JR170">
        <v>1.64673</v>
      </c>
      <c r="JS170">
        <v>2.31812</v>
      </c>
      <c r="JT170">
        <v>33.6479</v>
      </c>
      <c r="JU170">
        <v>24.1751</v>
      </c>
      <c r="JV170">
        <v>18</v>
      </c>
      <c r="JW170">
        <v>500.356</v>
      </c>
      <c r="JX170">
        <v>394.33</v>
      </c>
      <c r="JY170">
        <v>11.6265</v>
      </c>
      <c r="JZ170">
        <v>23.9812</v>
      </c>
      <c r="KA170">
        <v>30.0002</v>
      </c>
      <c r="KB170">
        <v>23.9688</v>
      </c>
      <c r="KC170">
        <v>23.9359</v>
      </c>
      <c r="KD170">
        <v>35.441</v>
      </c>
      <c r="KE170">
        <v>9.56785</v>
      </c>
      <c r="KF170">
        <v>26.5359</v>
      </c>
      <c r="KG170">
        <v>11.6129</v>
      </c>
      <c r="KH170">
        <v>859.409</v>
      </c>
      <c r="KI170">
        <v>9.73309</v>
      </c>
      <c r="KJ170">
        <v>97.0367</v>
      </c>
      <c r="KK170">
        <v>95.2982</v>
      </c>
    </row>
    <row r="171" spans="1:297">
      <c r="A171">
        <v>155</v>
      </c>
      <c r="B171">
        <v>1760992114.1</v>
      </c>
      <c r="C171">
        <v>2924</v>
      </c>
      <c r="D171" t="s">
        <v>763</v>
      </c>
      <c r="E171" t="s">
        <v>764</v>
      </c>
      <c r="F171">
        <v>5</v>
      </c>
      <c r="G171" t="s">
        <v>662</v>
      </c>
      <c r="H171" t="s">
        <v>436</v>
      </c>
      <c r="I171">
        <v>1760992105.94615</v>
      </c>
      <c r="J171">
        <f>(K171)/1000</f>
        <v>0</v>
      </c>
      <c r="K171">
        <f>IF(DP171, AN171, AH171)</f>
        <v>0</v>
      </c>
      <c r="L171">
        <f>IF(DP171, AI171, AG171)</f>
        <v>0</v>
      </c>
      <c r="M171">
        <f>DR171 - IF(AU171&gt;1, L171*DL171*100.0/(AW171), 0)</f>
        <v>0</v>
      </c>
      <c r="N171">
        <f>((T171-J171/2)*M171-L171)/(T171+J171/2)</f>
        <v>0</v>
      </c>
      <c r="O171">
        <f>N171*(DY171+DZ171)/1000.0</f>
        <v>0</v>
      </c>
      <c r="P171">
        <f>(DR171 - IF(AU171&gt;1, L171*DL171*100.0/(AW171), 0))*(DY171+DZ171)/1000.0</f>
        <v>0</v>
      </c>
      <c r="Q171">
        <f>2.0/((1/S171-1/R171)+SIGN(S171)*SQRT((1/S171-1/R171)*(1/S171-1/R171) + 4*DM171/((DM171+1)*(DM171+1))*(2*1/S171*1/R171-1/R171*1/R171)))</f>
        <v>0</v>
      </c>
      <c r="R171">
        <f>IF(LEFT(DN171,1)&lt;&gt;"0",IF(LEFT(DN171,1)="1",3.0,DO171),$D$5+$E$5*(EF171*DY171/($K$5*1000))+$F$5*(EF171*DY171/($K$5*1000))*MAX(MIN(DL171,$J$5),$I$5)*MAX(MIN(DL171,$J$5),$I$5)+$G$5*MAX(MIN(DL171,$J$5),$I$5)*(EF171*DY171/($K$5*1000))+$H$5*(EF171*DY171/($K$5*1000))*(EF171*DY171/($K$5*1000)))</f>
        <v>0</v>
      </c>
      <c r="S171">
        <f>J171*(1000-(1000*0.61365*exp(17.502*W171/(240.97+W171))/(DY171+DZ171)+DT171)/2)/(1000*0.61365*exp(17.502*W171/(240.97+W171))/(DY171+DZ171)-DT171)</f>
        <v>0</v>
      </c>
      <c r="T171">
        <f>1/((DM171+1)/(Q171/1.6)+1/(R171/1.37)) + DM171/((DM171+1)/(Q171/1.6) + DM171/(R171/1.37))</f>
        <v>0</v>
      </c>
      <c r="U171">
        <f>(DH171*DK171)</f>
        <v>0</v>
      </c>
      <c r="V171">
        <f>(EA171+(U171+2*0.95*5.67E-8*(((EA171+$B$7)+273)^4-(EA171+273)^4)-44100*J171)/(1.84*29.3*R171+8*0.95*5.67E-8*(EA171+273)^3))</f>
        <v>0</v>
      </c>
      <c r="W171">
        <f>($C$7*EB171+$D$7*EC171+$E$7*V171)</f>
        <v>0</v>
      </c>
      <c r="X171">
        <f>0.61365*exp(17.502*W171/(240.97+W171))</f>
        <v>0</v>
      </c>
      <c r="Y171">
        <f>(Z171/AA171*100)</f>
        <v>0</v>
      </c>
      <c r="Z171">
        <f>DT171*(DY171+DZ171)/1000</f>
        <v>0</v>
      </c>
      <c r="AA171">
        <f>0.61365*exp(17.502*EA171/(240.97+EA171))</f>
        <v>0</v>
      </c>
      <c r="AB171">
        <f>(X171-DT171*(DY171+DZ171)/1000)</f>
        <v>0</v>
      </c>
      <c r="AC171">
        <f>(-J171*44100)</f>
        <v>0</v>
      </c>
      <c r="AD171">
        <f>2*29.3*R171*0.92*(EA171-W171)</f>
        <v>0</v>
      </c>
      <c r="AE171">
        <f>2*0.95*5.67E-8*(((EA171+$B$7)+273)^4-(W171+273)^4)</f>
        <v>0</v>
      </c>
      <c r="AF171">
        <f>U171+AE171+AC171+AD171</f>
        <v>0</v>
      </c>
      <c r="AG171">
        <f>DX171*AU171*(DS171-DR171*(1000-AU171*DU171)/(1000-AU171*DT171))/(100*DL171)</f>
        <v>0</v>
      </c>
      <c r="AH171">
        <f>1000*DX171*AU171*(DT171-DU171)/(100*DL171*(1000-AU171*DT171))</f>
        <v>0</v>
      </c>
      <c r="AI171">
        <f>(AJ171 - AK171 - DY171*1E3/(8.314*(EA171+273.15)) * AM171/DX171 * AL171) * DX171/(100*DL171) * (1000 - DU171)/1000</f>
        <v>0</v>
      </c>
      <c r="AJ171">
        <v>849.346769986704</v>
      </c>
      <c r="AK171">
        <v>810.041012121212</v>
      </c>
      <c r="AL171">
        <v>3.31034257619988</v>
      </c>
      <c r="AM171">
        <v>65.2210784119795</v>
      </c>
      <c r="AN171">
        <f>(AP171 - AO171 + DY171*1E3/(8.314*(EA171+273.15)) * AR171/DX171 * AQ171) * DX171/(100*DL171) * 1000/(1000 - AP171)</f>
        <v>0</v>
      </c>
      <c r="AO171">
        <v>9.63730399029857</v>
      </c>
      <c r="AP171">
        <v>11.7505272727273</v>
      </c>
      <c r="AQ171">
        <v>8.48251845390562e-05</v>
      </c>
      <c r="AR171">
        <v>115.574510355221</v>
      </c>
      <c r="AS171">
        <v>0</v>
      </c>
      <c r="AT171">
        <v>0</v>
      </c>
      <c r="AU171">
        <f>IF(AS171*$H$13&gt;=AW171,1.0,(AW171/(AW171-AS171*$H$13)))</f>
        <v>0</v>
      </c>
      <c r="AV171">
        <f>(AU171-1)*100</f>
        <v>0</v>
      </c>
      <c r="AW171">
        <f>MAX(0,($B$13+$C$13*EF171)/(1+$D$13*EF171)*DY171/(EA171+273)*$E$13)</f>
        <v>0</v>
      </c>
      <c r="AX171" t="s">
        <v>437</v>
      </c>
      <c r="AY171" t="s">
        <v>437</v>
      </c>
      <c r="AZ171">
        <v>0</v>
      </c>
      <c r="BA171">
        <v>0</v>
      </c>
      <c r="BB171">
        <f>1-AZ171/BA171</f>
        <v>0</v>
      </c>
      <c r="BC171">
        <v>0</v>
      </c>
      <c r="BD171" t="s">
        <v>437</v>
      </c>
      <c r="BE171" t="s">
        <v>437</v>
      </c>
      <c r="BF171">
        <v>0</v>
      </c>
      <c r="BG171">
        <v>0</v>
      </c>
      <c r="BH171">
        <f>1-BF171/BG171</f>
        <v>0</v>
      </c>
      <c r="BI171">
        <v>0.5</v>
      </c>
      <c r="BJ171">
        <f>DI171</f>
        <v>0</v>
      </c>
      <c r="BK171">
        <f>L171</f>
        <v>0</v>
      </c>
      <c r="BL171">
        <f>BH171*BI171*BJ171</f>
        <v>0</v>
      </c>
      <c r="BM171">
        <f>(BK171-BC171)/BJ171</f>
        <v>0</v>
      </c>
      <c r="BN171">
        <f>(BA171-BG171)/BG171</f>
        <v>0</v>
      </c>
      <c r="BO171">
        <f>AZ171/(BB171+AZ171/BG171)</f>
        <v>0</v>
      </c>
      <c r="BP171" t="s">
        <v>437</v>
      </c>
      <c r="BQ171">
        <v>0</v>
      </c>
      <c r="BR171">
        <f>IF(BQ171&lt;&gt;0, BQ171, BO171)</f>
        <v>0</v>
      </c>
      <c r="BS171">
        <f>1-BR171/BG171</f>
        <v>0</v>
      </c>
      <c r="BT171">
        <f>(BG171-BF171)/(BG171-BR171)</f>
        <v>0</v>
      </c>
      <c r="BU171">
        <f>(BA171-BG171)/(BA171-BR171)</f>
        <v>0</v>
      </c>
      <c r="BV171">
        <f>(BG171-BF171)/(BG171-AZ171)</f>
        <v>0</v>
      </c>
      <c r="BW171">
        <f>(BA171-BG171)/(BA171-AZ171)</f>
        <v>0</v>
      </c>
      <c r="BX171">
        <f>(BT171*BR171/BF171)</f>
        <v>0</v>
      </c>
      <c r="BY171">
        <f>(1-BX171)</f>
        <v>0</v>
      </c>
      <c r="BZ171">
        <v>282</v>
      </c>
      <c r="CA171">
        <v>290</v>
      </c>
      <c r="CB171">
        <v>1577.74</v>
      </c>
      <c r="CC171">
        <v>295</v>
      </c>
      <c r="CD171">
        <v>5140.93</v>
      </c>
      <c r="CE171">
        <v>1578.58</v>
      </c>
      <c r="CF171">
        <v>-0.84</v>
      </c>
      <c r="CG171">
        <v>300</v>
      </c>
      <c r="CH171">
        <v>23.8</v>
      </c>
      <c r="CI171">
        <v>1633.28263291266</v>
      </c>
      <c r="CJ171">
        <v>1.49577129053257</v>
      </c>
      <c r="CK171">
        <v>-28.1203876934379</v>
      </c>
      <c r="CL171">
        <v>0.666413418688897</v>
      </c>
      <c r="CM171">
        <v>0.984518017981194</v>
      </c>
      <c r="CN171">
        <v>-0.00424727541713014</v>
      </c>
      <c r="CO171">
        <v>290</v>
      </c>
      <c r="CP171">
        <v>1576.56</v>
      </c>
      <c r="CQ171">
        <v>775</v>
      </c>
      <c r="CR171">
        <v>5139.5</v>
      </c>
      <c r="CS171">
        <v>1578.57</v>
      </c>
      <c r="CT171">
        <v>-2.01</v>
      </c>
      <c r="DH171">
        <f>$B$11*EG171+$C$11*EH171+$F$11*ES171*(1-EV171)</f>
        <v>0</v>
      </c>
      <c r="DI171">
        <f>DH171*DJ171</f>
        <v>0</v>
      </c>
      <c r="DJ171">
        <f>($B$11*$D$9+$C$11*$D$9+$F$11*((FF171+EX171)/MAX(FF171+EX171+FG171, 0.1)*$I$9+FG171/MAX(FF171+EX171+FG171, 0.1)*$J$9))/($B$11+$C$11+$F$11)</f>
        <v>0</v>
      </c>
      <c r="DK171">
        <f>($B$11*$K$9+$C$11*$K$9+$F$11*((FF171+EX171)/MAX(FF171+EX171+FG171, 0.1)*$P$9+FG171/MAX(FF171+EX171+FG171, 0.1)*$Q$9))/($B$11+$C$11+$F$11)</f>
        <v>0</v>
      </c>
      <c r="DL171">
        <v>6</v>
      </c>
      <c r="DM171">
        <v>0.5</v>
      </c>
      <c r="DN171" t="s">
        <v>438</v>
      </c>
      <c r="DO171">
        <v>2</v>
      </c>
      <c r="DP171" t="b">
        <v>1</v>
      </c>
      <c r="DQ171">
        <v>1760992105.94615</v>
      </c>
      <c r="DR171">
        <v>776.761153846154</v>
      </c>
      <c r="DS171">
        <v>825.517846153846</v>
      </c>
      <c r="DT171">
        <v>11.7513384615385</v>
      </c>
      <c r="DU171">
        <v>9.60706692307692</v>
      </c>
      <c r="DV171">
        <v>772.584615384615</v>
      </c>
      <c r="DW171">
        <v>11.8633307692308</v>
      </c>
      <c r="DX171">
        <v>500.025769230769</v>
      </c>
      <c r="DY171">
        <v>89.8386692307692</v>
      </c>
      <c r="DZ171">
        <v>0.00848158307692308</v>
      </c>
      <c r="EA171">
        <v>18.4347538461538</v>
      </c>
      <c r="EB171">
        <v>18.0089692307692</v>
      </c>
      <c r="EC171">
        <v>999.9</v>
      </c>
      <c r="ED171">
        <v>0</v>
      </c>
      <c r="EE171">
        <v>0</v>
      </c>
      <c r="EF171">
        <v>10021.8446153846</v>
      </c>
      <c r="EG171">
        <v>0</v>
      </c>
      <c r="EH171">
        <v>1278.58769230769</v>
      </c>
      <c r="EI171">
        <v>-48.7566230769231</v>
      </c>
      <c r="EJ171">
        <v>785.997923076923</v>
      </c>
      <c r="EK171">
        <v>833.525769230769</v>
      </c>
      <c r="EL171">
        <v>2.14427461538462</v>
      </c>
      <c r="EM171">
        <v>825.517846153846</v>
      </c>
      <c r="EN171">
        <v>9.60706692307692</v>
      </c>
      <c r="EO171">
        <v>1.05572538461538</v>
      </c>
      <c r="EP171">
        <v>0.863086153846154</v>
      </c>
      <c r="EQ171">
        <v>7.70899384615385</v>
      </c>
      <c r="ER171">
        <v>4.78949384615385</v>
      </c>
      <c r="ES171">
        <v>1200.03769230769</v>
      </c>
      <c r="ET171">
        <v>0.966990384615385</v>
      </c>
      <c r="EU171">
        <v>0.0330094923076923</v>
      </c>
      <c r="EV171">
        <v>0</v>
      </c>
      <c r="EW171">
        <v>1271.12769230769</v>
      </c>
      <c r="EX171">
        <v>5.00059</v>
      </c>
      <c r="EY171">
        <v>15044.7461538462</v>
      </c>
      <c r="EZ171">
        <v>10359.0230769231</v>
      </c>
      <c r="FA171">
        <v>38.5478461538462</v>
      </c>
      <c r="FB171">
        <v>40.692</v>
      </c>
      <c r="FC171">
        <v>38.9853076923077</v>
      </c>
      <c r="FD171">
        <v>40.5622307692308</v>
      </c>
      <c r="FE171">
        <v>39.4324615384615</v>
      </c>
      <c r="FF171">
        <v>1155.58846153846</v>
      </c>
      <c r="FG171">
        <v>39.4492307692308</v>
      </c>
      <c r="FH171">
        <v>0</v>
      </c>
      <c r="FI171">
        <v>969.800000190735</v>
      </c>
      <c r="FJ171">
        <v>0</v>
      </c>
      <c r="FK171">
        <v>1271.27153846154</v>
      </c>
      <c r="FL171">
        <v>15.805128190329</v>
      </c>
      <c r="FM171">
        <v>144.499145301966</v>
      </c>
      <c r="FN171">
        <v>15045.9923076923</v>
      </c>
      <c r="FO171">
        <v>15</v>
      </c>
      <c r="FP171">
        <v>0</v>
      </c>
      <c r="FQ171" t="s">
        <v>439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-48.8865238095238</v>
      </c>
      <c r="GD171">
        <v>0.80020519480513</v>
      </c>
      <c r="GE171">
        <v>0.611296017377569</v>
      </c>
      <c r="GF171">
        <v>0</v>
      </c>
      <c r="GG171">
        <v>1270.33558823529</v>
      </c>
      <c r="GH171">
        <v>15.5699006925344</v>
      </c>
      <c r="GI171">
        <v>1.54085001594131</v>
      </c>
      <c r="GJ171">
        <v>-1</v>
      </c>
      <c r="GK171">
        <v>2.15175904761905</v>
      </c>
      <c r="GL171">
        <v>-0.172270129870123</v>
      </c>
      <c r="GM171">
        <v>0.018169551690033</v>
      </c>
      <c r="GN171">
        <v>0</v>
      </c>
      <c r="GO171">
        <v>0</v>
      </c>
      <c r="GP171">
        <v>2</v>
      </c>
      <c r="GQ171" t="s">
        <v>519</v>
      </c>
      <c r="GR171">
        <v>3.13089</v>
      </c>
      <c r="GS171">
        <v>2.68658</v>
      </c>
      <c r="GT171">
        <v>0.142742</v>
      </c>
      <c r="GU171">
        <v>0.149122</v>
      </c>
      <c r="GV171">
        <v>0.0614386</v>
      </c>
      <c r="GW171">
        <v>0.052607</v>
      </c>
      <c r="GX171">
        <v>32487.2</v>
      </c>
      <c r="GY171">
        <v>34649.3</v>
      </c>
      <c r="GZ171">
        <v>34263.6</v>
      </c>
      <c r="HA171">
        <v>36846</v>
      </c>
      <c r="HB171">
        <v>45367.3</v>
      </c>
      <c r="HC171">
        <v>50062.2</v>
      </c>
      <c r="HD171">
        <v>53337</v>
      </c>
      <c r="HE171">
        <v>58773.5</v>
      </c>
      <c r="HF171">
        <v>2.00812</v>
      </c>
      <c r="HG171">
        <v>1.8364</v>
      </c>
      <c r="HH171">
        <v>0.00818074</v>
      </c>
      <c r="HI171">
        <v>0</v>
      </c>
      <c r="HJ171">
        <v>17.8696</v>
      </c>
      <c r="HK171">
        <v>999.9</v>
      </c>
      <c r="HL171">
        <v>26.712</v>
      </c>
      <c r="HM171">
        <v>30.454</v>
      </c>
      <c r="HN171">
        <v>13.002</v>
      </c>
      <c r="HO171">
        <v>53.9928</v>
      </c>
      <c r="HP171">
        <v>44.1587</v>
      </c>
      <c r="HQ171">
        <v>1</v>
      </c>
      <c r="HR171">
        <v>-0.262073</v>
      </c>
      <c r="HS171">
        <v>4.71777</v>
      </c>
      <c r="HT171">
        <v>20.0729</v>
      </c>
      <c r="HU171">
        <v>5.19902</v>
      </c>
      <c r="HV171">
        <v>12.004</v>
      </c>
      <c r="HW171">
        <v>4.9756</v>
      </c>
      <c r="HX171">
        <v>3.29298</v>
      </c>
      <c r="HY171">
        <v>9999</v>
      </c>
      <c r="HZ171">
        <v>999.9</v>
      </c>
      <c r="IA171">
        <v>9999</v>
      </c>
      <c r="IB171">
        <v>9999</v>
      </c>
      <c r="IC171">
        <v>1.86325</v>
      </c>
      <c r="ID171">
        <v>1.86808</v>
      </c>
      <c r="IE171">
        <v>1.86783</v>
      </c>
      <c r="IF171">
        <v>1.86905</v>
      </c>
      <c r="IG171">
        <v>1.86981</v>
      </c>
      <c r="IH171">
        <v>1.86586</v>
      </c>
      <c r="II171">
        <v>1.86692</v>
      </c>
      <c r="IJ171">
        <v>1.8684</v>
      </c>
      <c r="IK171">
        <v>5</v>
      </c>
      <c r="IL171">
        <v>0</v>
      </c>
      <c r="IM171">
        <v>0</v>
      </c>
      <c r="IN171">
        <v>0</v>
      </c>
      <c r="IO171" t="s">
        <v>441</v>
      </c>
      <c r="IP171" t="s">
        <v>442</v>
      </c>
      <c r="IQ171" t="s">
        <v>443</v>
      </c>
      <c r="IR171" t="s">
        <v>443</v>
      </c>
      <c r="IS171" t="s">
        <v>443</v>
      </c>
      <c r="IT171" t="s">
        <v>443</v>
      </c>
      <c r="IU171">
        <v>0</v>
      </c>
      <c r="IV171">
        <v>100</v>
      </c>
      <c r="IW171">
        <v>100</v>
      </c>
      <c r="IX171">
        <v>4.27</v>
      </c>
      <c r="IY171">
        <v>-0.112</v>
      </c>
      <c r="IZ171">
        <v>1.12474291219083</v>
      </c>
      <c r="JA171">
        <v>0.00463155566490582</v>
      </c>
      <c r="JB171">
        <v>-1.1358998729424e-06</v>
      </c>
      <c r="JC171">
        <v>3.28704272115545e-10</v>
      </c>
      <c r="JD171">
        <v>-0.0704455108513773</v>
      </c>
      <c r="JE171">
        <v>-0.0251928478371425</v>
      </c>
      <c r="JF171">
        <v>0.00225751704194564</v>
      </c>
      <c r="JG171">
        <v>-3.61734043746866e-05</v>
      </c>
      <c r="JH171">
        <v>1</v>
      </c>
      <c r="JI171">
        <v>2182</v>
      </c>
      <c r="JJ171">
        <v>0</v>
      </c>
      <c r="JK171">
        <v>24</v>
      </c>
      <c r="JL171">
        <v>29349868.6</v>
      </c>
      <c r="JM171">
        <v>29349868.6</v>
      </c>
      <c r="JN171">
        <v>1.79688</v>
      </c>
      <c r="JO171">
        <v>2.62207</v>
      </c>
      <c r="JP171">
        <v>1.54785</v>
      </c>
      <c r="JQ171">
        <v>2.31445</v>
      </c>
      <c r="JR171">
        <v>1.64673</v>
      </c>
      <c r="JS171">
        <v>2.30347</v>
      </c>
      <c r="JT171">
        <v>33.6479</v>
      </c>
      <c r="JU171">
        <v>24.1751</v>
      </c>
      <c r="JV171">
        <v>18</v>
      </c>
      <c r="JW171">
        <v>500.708</v>
      </c>
      <c r="JX171">
        <v>394.087</v>
      </c>
      <c r="JY171">
        <v>11.6118</v>
      </c>
      <c r="JZ171">
        <v>23.9812</v>
      </c>
      <c r="KA171">
        <v>30.0001</v>
      </c>
      <c r="KB171">
        <v>23.9688</v>
      </c>
      <c r="KC171">
        <v>23.9368</v>
      </c>
      <c r="KD171">
        <v>36.014</v>
      </c>
      <c r="KE171">
        <v>9.01984</v>
      </c>
      <c r="KF171">
        <v>26.5359</v>
      </c>
      <c r="KG171">
        <v>11.6062</v>
      </c>
      <c r="KH171">
        <v>873.029</v>
      </c>
      <c r="KI171">
        <v>9.75159</v>
      </c>
      <c r="KJ171">
        <v>97.0364</v>
      </c>
      <c r="KK171">
        <v>95.2974</v>
      </c>
    </row>
    <row r="172" spans="1:297">
      <c r="A172">
        <v>156</v>
      </c>
      <c r="B172">
        <v>1760992119.1</v>
      </c>
      <c r="C172">
        <v>2929</v>
      </c>
      <c r="D172" t="s">
        <v>765</v>
      </c>
      <c r="E172" t="s">
        <v>766</v>
      </c>
      <c r="F172">
        <v>5</v>
      </c>
      <c r="G172" t="s">
        <v>662</v>
      </c>
      <c r="H172" t="s">
        <v>436</v>
      </c>
      <c r="I172">
        <v>1760992110.94615</v>
      </c>
      <c r="J172">
        <f>(K172)/1000</f>
        <v>0</v>
      </c>
      <c r="K172">
        <f>IF(DP172, AN172, AH172)</f>
        <v>0</v>
      </c>
      <c r="L172">
        <f>IF(DP172, AI172, AG172)</f>
        <v>0</v>
      </c>
      <c r="M172">
        <f>DR172 - IF(AU172&gt;1, L172*DL172*100.0/(AW172), 0)</f>
        <v>0</v>
      </c>
      <c r="N172">
        <f>((T172-J172/2)*M172-L172)/(T172+J172/2)</f>
        <v>0</v>
      </c>
      <c r="O172">
        <f>N172*(DY172+DZ172)/1000.0</f>
        <v>0</v>
      </c>
      <c r="P172">
        <f>(DR172 - IF(AU172&gt;1, L172*DL172*100.0/(AW172), 0))*(DY172+DZ172)/1000.0</f>
        <v>0</v>
      </c>
      <c r="Q172">
        <f>2.0/((1/S172-1/R172)+SIGN(S172)*SQRT((1/S172-1/R172)*(1/S172-1/R172) + 4*DM172/((DM172+1)*(DM172+1))*(2*1/S172*1/R172-1/R172*1/R172)))</f>
        <v>0</v>
      </c>
      <c r="R172">
        <f>IF(LEFT(DN172,1)&lt;&gt;"0",IF(LEFT(DN172,1)="1",3.0,DO172),$D$5+$E$5*(EF172*DY172/($K$5*1000))+$F$5*(EF172*DY172/($K$5*1000))*MAX(MIN(DL172,$J$5),$I$5)*MAX(MIN(DL172,$J$5),$I$5)+$G$5*MAX(MIN(DL172,$J$5),$I$5)*(EF172*DY172/($K$5*1000))+$H$5*(EF172*DY172/($K$5*1000))*(EF172*DY172/($K$5*1000)))</f>
        <v>0</v>
      </c>
      <c r="S172">
        <f>J172*(1000-(1000*0.61365*exp(17.502*W172/(240.97+W172))/(DY172+DZ172)+DT172)/2)/(1000*0.61365*exp(17.502*W172/(240.97+W172))/(DY172+DZ172)-DT172)</f>
        <v>0</v>
      </c>
      <c r="T172">
        <f>1/((DM172+1)/(Q172/1.6)+1/(R172/1.37)) + DM172/((DM172+1)/(Q172/1.6) + DM172/(R172/1.37))</f>
        <v>0</v>
      </c>
      <c r="U172">
        <f>(DH172*DK172)</f>
        <v>0</v>
      </c>
      <c r="V172">
        <f>(EA172+(U172+2*0.95*5.67E-8*(((EA172+$B$7)+273)^4-(EA172+273)^4)-44100*J172)/(1.84*29.3*R172+8*0.95*5.67E-8*(EA172+273)^3))</f>
        <v>0</v>
      </c>
      <c r="W172">
        <f>($C$7*EB172+$D$7*EC172+$E$7*V172)</f>
        <v>0</v>
      </c>
      <c r="X172">
        <f>0.61365*exp(17.502*W172/(240.97+W172))</f>
        <v>0</v>
      </c>
      <c r="Y172">
        <f>(Z172/AA172*100)</f>
        <v>0</v>
      </c>
      <c r="Z172">
        <f>DT172*(DY172+DZ172)/1000</f>
        <v>0</v>
      </c>
      <c r="AA172">
        <f>0.61365*exp(17.502*EA172/(240.97+EA172))</f>
        <v>0</v>
      </c>
      <c r="AB172">
        <f>(X172-DT172*(DY172+DZ172)/1000)</f>
        <v>0</v>
      </c>
      <c r="AC172">
        <f>(-J172*44100)</f>
        <v>0</v>
      </c>
      <c r="AD172">
        <f>2*29.3*R172*0.92*(EA172-W172)</f>
        <v>0</v>
      </c>
      <c r="AE172">
        <f>2*0.95*5.67E-8*(((EA172+$B$7)+273)^4-(W172+273)^4)</f>
        <v>0</v>
      </c>
      <c r="AF172">
        <f>U172+AE172+AC172+AD172</f>
        <v>0</v>
      </c>
      <c r="AG172">
        <f>DX172*AU172*(DS172-DR172*(1000-AU172*DU172)/(1000-AU172*DT172))/(100*DL172)</f>
        <v>0</v>
      </c>
      <c r="AH172">
        <f>1000*DX172*AU172*(DT172-DU172)/(100*DL172*(1000-AU172*DT172))</f>
        <v>0</v>
      </c>
      <c r="AI172">
        <f>(AJ172 - AK172 - DY172*1E3/(8.314*(EA172+273.15)) * AM172/DX172 * AL172) * DX172/(100*DL172) * (1000 - DU172)/1000</f>
        <v>0</v>
      </c>
      <c r="AJ172">
        <v>867.509725160571</v>
      </c>
      <c r="AK172">
        <v>827.323987878788</v>
      </c>
      <c r="AL172">
        <v>3.48697060717471</v>
      </c>
      <c r="AM172">
        <v>65.2210784119795</v>
      </c>
      <c r="AN172">
        <f>(AP172 - AO172 + DY172*1E3/(8.314*(EA172+273.15)) * AR172/DX172 * AQ172) * DX172/(100*DL172) * 1000/(1000 - AP172)</f>
        <v>0</v>
      </c>
      <c r="AO172">
        <v>9.65778635697509</v>
      </c>
      <c r="AP172">
        <v>11.7601842424242</v>
      </c>
      <c r="AQ172">
        <v>0.000242205429676171</v>
      </c>
      <c r="AR172">
        <v>115.574510355221</v>
      </c>
      <c r="AS172">
        <v>0</v>
      </c>
      <c r="AT172">
        <v>0</v>
      </c>
      <c r="AU172">
        <f>IF(AS172*$H$13&gt;=AW172,1.0,(AW172/(AW172-AS172*$H$13)))</f>
        <v>0</v>
      </c>
      <c r="AV172">
        <f>(AU172-1)*100</f>
        <v>0</v>
      </c>
      <c r="AW172">
        <f>MAX(0,($B$13+$C$13*EF172)/(1+$D$13*EF172)*DY172/(EA172+273)*$E$13)</f>
        <v>0</v>
      </c>
      <c r="AX172" t="s">
        <v>437</v>
      </c>
      <c r="AY172" t="s">
        <v>437</v>
      </c>
      <c r="AZ172">
        <v>0</v>
      </c>
      <c r="BA172">
        <v>0</v>
      </c>
      <c r="BB172">
        <f>1-AZ172/BA172</f>
        <v>0</v>
      </c>
      <c r="BC172">
        <v>0</v>
      </c>
      <c r="BD172" t="s">
        <v>437</v>
      </c>
      <c r="BE172" t="s">
        <v>437</v>
      </c>
      <c r="BF172">
        <v>0</v>
      </c>
      <c r="BG172">
        <v>0</v>
      </c>
      <c r="BH172">
        <f>1-BF172/BG172</f>
        <v>0</v>
      </c>
      <c r="BI172">
        <v>0.5</v>
      </c>
      <c r="BJ172">
        <f>DI172</f>
        <v>0</v>
      </c>
      <c r="BK172">
        <f>L172</f>
        <v>0</v>
      </c>
      <c r="BL172">
        <f>BH172*BI172*BJ172</f>
        <v>0</v>
      </c>
      <c r="BM172">
        <f>(BK172-BC172)/BJ172</f>
        <v>0</v>
      </c>
      <c r="BN172">
        <f>(BA172-BG172)/BG172</f>
        <v>0</v>
      </c>
      <c r="BO172">
        <f>AZ172/(BB172+AZ172/BG172)</f>
        <v>0</v>
      </c>
      <c r="BP172" t="s">
        <v>437</v>
      </c>
      <c r="BQ172">
        <v>0</v>
      </c>
      <c r="BR172">
        <f>IF(BQ172&lt;&gt;0, BQ172, BO172)</f>
        <v>0</v>
      </c>
      <c r="BS172">
        <f>1-BR172/BG172</f>
        <v>0</v>
      </c>
      <c r="BT172">
        <f>(BG172-BF172)/(BG172-BR172)</f>
        <v>0</v>
      </c>
      <c r="BU172">
        <f>(BA172-BG172)/(BA172-BR172)</f>
        <v>0</v>
      </c>
      <c r="BV172">
        <f>(BG172-BF172)/(BG172-AZ172)</f>
        <v>0</v>
      </c>
      <c r="BW172">
        <f>(BA172-BG172)/(BA172-AZ172)</f>
        <v>0</v>
      </c>
      <c r="BX172">
        <f>(BT172*BR172/BF172)</f>
        <v>0</v>
      </c>
      <c r="BY172">
        <f>(1-BX172)</f>
        <v>0</v>
      </c>
      <c r="BZ172">
        <v>282</v>
      </c>
      <c r="CA172">
        <v>290</v>
      </c>
      <c r="CB172">
        <v>1577.74</v>
      </c>
      <c r="CC172">
        <v>295</v>
      </c>
      <c r="CD172">
        <v>5140.93</v>
      </c>
      <c r="CE172">
        <v>1578.58</v>
      </c>
      <c r="CF172">
        <v>-0.84</v>
      </c>
      <c r="CG172">
        <v>300</v>
      </c>
      <c r="CH172">
        <v>23.8</v>
      </c>
      <c r="CI172">
        <v>1633.28263291266</v>
      </c>
      <c r="CJ172">
        <v>1.49577129053257</v>
      </c>
      <c r="CK172">
        <v>-28.1203876934379</v>
      </c>
      <c r="CL172">
        <v>0.666413418688897</v>
      </c>
      <c r="CM172">
        <v>0.984518017981194</v>
      </c>
      <c r="CN172">
        <v>-0.00424727541713014</v>
      </c>
      <c r="CO172">
        <v>290</v>
      </c>
      <c r="CP172">
        <v>1576.56</v>
      </c>
      <c r="CQ172">
        <v>775</v>
      </c>
      <c r="CR172">
        <v>5139.5</v>
      </c>
      <c r="CS172">
        <v>1578.57</v>
      </c>
      <c r="CT172">
        <v>-2.01</v>
      </c>
      <c r="DH172">
        <f>$B$11*EG172+$C$11*EH172+$F$11*ES172*(1-EV172)</f>
        <v>0</v>
      </c>
      <c r="DI172">
        <f>DH172*DJ172</f>
        <v>0</v>
      </c>
      <c r="DJ172">
        <f>($B$11*$D$9+$C$11*$D$9+$F$11*((FF172+EX172)/MAX(FF172+EX172+FG172, 0.1)*$I$9+FG172/MAX(FF172+EX172+FG172, 0.1)*$J$9))/($B$11+$C$11+$F$11)</f>
        <v>0</v>
      </c>
      <c r="DK172">
        <f>($B$11*$K$9+$C$11*$K$9+$F$11*((FF172+EX172)/MAX(FF172+EX172+FG172, 0.1)*$P$9+FG172/MAX(FF172+EX172+FG172, 0.1)*$Q$9))/($B$11+$C$11+$F$11)</f>
        <v>0</v>
      </c>
      <c r="DL172">
        <v>6</v>
      </c>
      <c r="DM172">
        <v>0.5</v>
      </c>
      <c r="DN172" t="s">
        <v>438</v>
      </c>
      <c r="DO172">
        <v>2</v>
      </c>
      <c r="DP172" t="b">
        <v>1</v>
      </c>
      <c r="DQ172">
        <v>1760992110.94615</v>
      </c>
      <c r="DR172">
        <v>793.454230769231</v>
      </c>
      <c r="DS172">
        <v>842.755769230769</v>
      </c>
      <c r="DT172">
        <v>11.7523769230769</v>
      </c>
      <c r="DU172">
        <v>9.62545692307692</v>
      </c>
      <c r="DV172">
        <v>789.220153846154</v>
      </c>
      <c r="DW172">
        <v>11.8643461538462</v>
      </c>
      <c r="DX172">
        <v>500.013461538462</v>
      </c>
      <c r="DY172">
        <v>89.8380384615385</v>
      </c>
      <c r="DZ172">
        <v>0.00866049</v>
      </c>
      <c r="EA172">
        <v>18.4373923076923</v>
      </c>
      <c r="EB172">
        <v>18.0088153846154</v>
      </c>
      <c r="EC172">
        <v>999.9</v>
      </c>
      <c r="ED172">
        <v>0</v>
      </c>
      <c r="EE172">
        <v>0</v>
      </c>
      <c r="EF172">
        <v>10003.66</v>
      </c>
      <c r="EG172">
        <v>0</v>
      </c>
      <c r="EH172">
        <v>1278.60615384615</v>
      </c>
      <c r="EI172">
        <v>-49.3014769230769</v>
      </c>
      <c r="EJ172">
        <v>802.890230769231</v>
      </c>
      <c r="EK172">
        <v>850.946923076923</v>
      </c>
      <c r="EL172">
        <v>2.12691769230769</v>
      </c>
      <c r="EM172">
        <v>842.755769230769</v>
      </c>
      <c r="EN172">
        <v>9.62545692307692</v>
      </c>
      <c r="EO172">
        <v>1.05581</v>
      </c>
      <c r="EP172">
        <v>0.864732230769231</v>
      </c>
      <c r="EQ172">
        <v>7.71017846153846</v>
      </c>
      <c r="ER172">
        <v>4.81676769230769</v>
      </c>
      <c r="ES172">
        <v>1200.00923076923</v>
      </c>
      <c r="ET172">
        <v>0.966995769230769</v>
      </c>
      <c r="EU172">
        <v>0.0330040769230769</v>
      </c>
      <c r="EV172">
        <v>0</v>
      </c>
      <c r="EW172">
        <v>1272.38307692308</v>
      </c>
      <c r="EX172">
        <v>5.00059</v>
      </c>
      <c r="EY172">
        <v>15055.8461538462</v>
      </c>
      <c r="EZ172">
        <v>10358.7846153846</v>
      </c>
      <c r="FA172">
        <v>38.4804615384615</v>
      </c>
      <c r="FB172">
        <v>40.5526153846154</v>
      </c>
      <c r="FC172">
        <v>38.9180769230769</v>
      </c>
      <c r="FD172">
        <v>40.3747692307692</v>
      </c>
      <c r="FE172">
        <v>39.3555384615385</v>
      </c>
      <c r="FF172">
        <v>1155.56846153846</v>
      </c>
      <c r="FG172">
        <v>39.4407692307692</v>
      </c>
      <c r="FH172">
        <v>0</v>
      </c>
      <c r="FI172">
        <v>974.600000143051</v>
      </c>
      <c r="FJ172">
        <v>0</v>
      </c>
      <c r="FK172">
        <v>1272.45269230769</v>
      </c>
      <c r="FL172">
        <v>14.3791452973606</v>
      </c>
      <c r="FM172">
        <v>132.659829200055</v>
      </c>
      <c r="FN172">
        <v>15056.7576923077</v>
      </c>
      <c r="FO172">
        <v>15</v>
      </c>
      <c r="FP172">
        <v>0</v>
      </c>
      <c r="FQ172" t="s">
        <v>439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-49.05296</v>
      </c>
      <c r="GD172">
        <v>-5.0403789473685</v>
      </c>
      <c r="GE172">
        <v>0.771824413581224</v>
      </c>
      <c r="GF172">
        <v>0</v>
      </c>
      <c r="GG172">
        <v>1271.68794117647</v>
      </c>
      <c r="GH172">
        <v>15.0672268907604</v>
      </c>
      <c r="GI172">
        <v>1.49694351225844</v>
      </c>
      <c r="GJ172">
        <v>-1</v>
      </c>
      <c r="GK172">
        <v>2.1345915</v>
      </c>
      <c r="GL172">
        <v>-0.224073834586466</v>
      </c>
      <c r="GM172">
        <v>0.0219834652125182</v>
      </c>
      <c r="GN172">
        <v>0</v>
      </c>
      <c r="GO172">
        <v>0</v>
      </c>
      <c r="GP172">
        <v>2</v>
      </c>
      <c r="GQ172" t="s">
        <v>519</v>
      </c>
      <c r="GR172">
        <v>3.13073</v>
      </c>
      <c r="GS172">
        <v>2.68707</v>
      </c>
      <c r="GT172">
        <v>0.144789</v>
      </c>
      <c r="GU172">
        <v>0.151041</v>
      </c>
      <c r="GV172">
        <v>0.0614749</v>
      </c>
      <c r="GW172">
        <v>0.0527058</v>
      </c>
      <c r="GX172">
        <v>32409.8</v>
      </c>
      <c r="GY172">
        <v>34571.3</v>
      </c>
      <c r="GZ172">
        <v>34263.7</v>
      </c>
      <c r="HA172">
        <v>36846.1</v>
      </c>
      <c r="HB172">
        <v>45366</v>
      </c>
      <c r="HC172">
        <v>50057.1</v>
      </c>
      <c r="HD172">
        <v>53337.2</v>
      </c>
      <c r="HE172">
        <v>58773.5</v>
      </c>
      <c r="HF172">
        <v>2.00805</v>
      </c>
      <c r="HG172">
        <v>1.83643</v>
      </c>
      <c r="HH172">
        <v>0.00917166</v>
      </c>
      <c r="HI172">
        <v>0</v>
      </c>
      <c r="HJ172">
        <v>17.8681</v>
      </c>
      <c r="HK172">
        <v>999.9</v>
      </c>
      <c r="HL172">
        <v>26.712</v>
      </c>
      <c r="HM172">
        <v>30.454</v>
      </c>
      <c r="HN172">
        <v>13.0029</v>
      </c>
      <c r="HO172">
        <v>54.0628</v>
      </c>
      <c r="HP172">
        <v>44.1947</v>
      </c>
      <c r="HQ172">
        <v>1</v>
      </c>
      <c r="HR172">
        <v>-0.262017</v>
      </c>
      <c r="HS172">
        <v>4.70415</v>
      </c>
      <c r="HT172">
        <v>20.0732</v>
      </c>
      <c r="HU172">
        <v>5.19857</v>
      </c>
      <c r="HV172">
        <v>12.004</v>
      </c>
      <c r="HW172">
        <v>4.97545</v>
      </c>
      <c r="HX172">
        <v>3.2929</v>
      </c>
      <c r="HY172">
        <v>9999</v>
      </c>
      <c r="HZ172">
        <v>999.9</v>
      </c>
      <c r="IA172">
        <v>9999</v>
      </c>
      <c r="IB172">
        <v>9999</v>
      </c>
      <c r="IC172">
        <v>1.86324</v>
      </c>
      <c r="ID172">
        <v>1.86805</v>
      </c>
      <c r="IE172">
        <v>1.86783</v>
      </c>
      <c r="IF172">
        <v>1.86904</v>
      </c>
      <c r="IG172">
        <v>1.8698</v>
      </c>
      <c r="IH172">
        <v>1.86586</v>
      </c>
      <c r="II172">
        <v>1.86691</v>
      </c>
      <c r="IJ172">
        <v>1.86841</v>
      </c>
      <c r="IK172">
        <v>5</v>
      </c>
      <c r="IL172">
        <v>0</v>
      </c>
      <c r="IM172">
        <v>0</v>
      </c>
      <c r="IN172">
        <v>0</v>
      </c>
      <c r="IO172" t="s">
        <v>441</v>
      </c>
      <c r="IP172" t="s">
        <v>442</v>
      </c>
      <c r="IQ172" t="s">
        <v>443</v>
      </c>
      <c r="IR172" t="s">
        <v>443</v>
      </c>
      <c r="IS172" t="s">
        <v>443</v>
      </c>
      <c r="IT172" t="s">
        <v>443</v>
      </c>
      <c r="IU172">
        <v>0</v>
      </c>
      <c r="IV172">
        <v>100</v>
      </c>
      <c r="IW172">
        <v>100</v>
      </c>
      <c r="IX172">
        <v>4.329</v>
      </c>
      <c r="IY172">
        <v>-0.1118</v>
      </c>
      <c r="IZ172">
        <v>1.12474291219083</v>
      </c>
      <c r="JA172">
        <v>0.00463155566490582</v>
      </c>
      <c r="JB172">
        <v>-1.1358998729424e-06</v>
      </c>
      <c r="JC172">
        <v>3.28704272115545e-10</v>
      </c>
      <c r="JD172">
        <v>-0.0704455108513773</v>
      </c>
      <c r="JE172">
        <v>-0.0251928478371425</v>
      </c>
      <c r="JF172">
        <v>0.00225751704194564</v>
      </c>
      <c r="JG172">
        <v>-3.61734043746866e-05</v>
      </c>
      <c r="JH172">
        <v>1</v>
      </c>
      <c r="JI172">
        <v>2182</v>
      </c>
      <c r="JJ172">
        <v>0</v>
      </c>
      <c r="JK172">
        <v>24</v>
      </c>
      <c r="JL172">
        <v>29349868.7</v>
      </c>
      <c r="JM172">
        <v>29349868.7</v>
      </c>
      <c r="JN172">
        <v>1.82129</v>
      </c>
      <c r="JO172">
        <v>2.62573</v>
      </c>
      <c r="JP172">
        <v>1.54785</v>
      </c>
      <c r="JQ172">
        <v>2.31445</v>
      </c>
      <c r="JR172">
        <v>1.64673</v>
      </c>
      <c r="JS172">
        <v>2.27661</v>
      </c>
      <c r="JT172">
        <v>33.6479</v>
      </c>
      <c r="JU172">
        <v>24.1751</v>
      </c>
      <c r="JV172">
        <v>18</v>
      </c>
      <c r="JW172">
        <v>500.676</v>
      </c>
      <c r="JX172">
        <v>394.104</v>
      </c>
      <c r="JY172">
        <v>11.6025</v>
      </c>
      <c r="JZ172">
        <v>23.9812</v>
      </c>
      <c r="KA172">
        <v>30.0001</v>
      </c>
      <c r="KB172">
        <v>23.9705</v>
      </c>
      <c r="KC172">
        <v>23.9373</v>
      </c>
      <c r="KD172">
        <v>36.4963</v>
      </c>
      <c r="KE172">
        <v>8.73737</v>
      </c>
      <c r="KF172">
        <v>26.5359</v>
      </c>
      <c r="KG172">
        <v>11.6002</v>
      </c>
      <c r="KH172">
        <v>893.34</v>
      </c>
      <c r="KI172">
        <v>9.76571</v>
      </c>
      <c r="KJ172">
        <v>97.0368</v>
      </c>
      <c r="KK172">
        <v>95.2975</v>
      </c>
    </row>
    <row r="173" spans="1:297">
      <c r="A173">
        <v>157</v>
      </c>
      <c r="B173">
        <v>1760992124.1</v>
      </c>
      <c r="C173">
        <v>2934</v>
      </c>
      <c r="D173" t="s">
        <v>767</v>
      </c>
      <c r="E173" t="s">
        <v>768</v>
      </c>
      <c r="F173">
        <v>5</v>
      </c>
      <c r="G173" t="s">
        <v>662</v>
      </c>
      <c r="H173" t="s">
        <v>436</v>
      </c>
      <c r="I173">
        <v>1760992115.94615</v>
      </c>
      <c r="J173">
        <f>(K173)/1000</f>
        <v>0</v>
      </c>
      <c r="K173">
        <f>IF(DP173, AN173, AH173)</f>
        <v>0</v>
      </c>
      <c r="L173">
        <f>IF(DP173, AI173, AG173)</f>
        <v>0</v>
      </c>
      <c r="M173">
        <f>DR173 - IF(AU173&gt;1, L173*DL173*100.0/(AW173), 0)</f>
        <v>0</v>
      </c>
      <c r="N173">
        <f>((T173-J173/2)*M173-L173)/(T173+J173/2)</f>
        <v>0</v>
      </c>
      <c r="O173">
        <f>N173*(DY173+DZ173)/1000.0</f>
        <v>0</v>
      </c>
      <c r="P173">
        <f>(DR173 - IF(AU173&gt;1, L173*DL173*100.0/(AW173), 0))*(DY173+DZ173)/1000.0</f>
        <v>0</v>
      </c>
      <c r="Q173">
        <f>2.0/((1/S173-1/R173)+SIGN(S173)*SQRT((1/S173-1/R173)*(1/S173-1/R173) + 4*DM173/((DM173+1)*(DM173+1))*(2*1/S173*1/R173-1/R173*1/R173)))</f>
        <v>0</v>
      </c>
      <c r="R173">
        <f>IF(LEFT(DN173,1)&lt;&gt;"0",IF(LEFT(DN173,1)="1",3.0,DO173),$D$5+$E$5*(EF173*DY173/($K$5*1000))+$F$5*(EF173*DY173/($K$5*1000))*MAX(MIN(DL173,$J$5),$I$5)*MAX(MIN(DL173,$J$5),$I$5)+$G$5*MAX(MIN(DL173,$J$5),$I$5)*(EF173*DY173/($K$5*1000))+$H$5*(EF173*DY173/($K$5*1000))*(EF173*DY173/($K$5*1000)))</f>
        <v>0</v>
      </c>
      <c r="S173">
        <f>J173*(1000-(1000*0.61365*exp(17.502*W173/(240.97+W173))/(DY173+DZ173)+DT173)/2)/(1000*0.61365*exp(17.502*W173/(240.97+W173))/(DY173+DZ173)-DT173)</f>
        <v>0</v>
      </c>
      <c r="T173">
        <f>1/((DM173+1)/(Q173/1.6)+1/(R173/1.37)) + DM173/((DM173+1)/(Q173/1.6) + DM173/(R173/1.37))</f>
        <v>0</v>
      </c>
      <c r="U173">
        <f>(DH173*DK173)</f>
        <v>0</v>
      </c>
      <c r="V173">
        <f>(EA173+(U173+2*0.95*5.67E-8*(((EA173+$B$7)+273)^4-(EA173+273)^4)-44100*J173)/(1.84*29.3*R173+8*0.95*5.67E-8*(EA173+273)^3))</f>
        <v>0</v>
      </c>
      <c r="W173">
        <f>($C$7*EB173+$D$7*EC173+$E$7*V173)</f>
        <v>0</v>
      </c>
      <c r="X173">
        <f>0.61365*exp(17.502*W173/(240.97+W173))</f>
        <v>0</v>
      </c>
      <c r="Y173">
        <f>(Z173/AA173*100)</f>
        <v>0</v>
      </c>
      <c r="Z173">
        <f>DT173*(DY173+DZ173)/1000</f>
        <v>0</v>
      </c>
      <c r="AA173">
        <f>0.61365*exp(17.502*EA173/(240.97+EA173))</f>
        <v>0</v>
      </c>
      <c r="AB173">
        <f>(X173-DT173*(DY173+DZ173)/1000)</f>
        <v>0</v>
      </c>
      <c r="AC173">
        <f>(-J173*44100)</f>
        <v>0</v>
      </c>
      <c r="AD173">
        <f>2*29.3*R173*0.92*(EA173-W173)</f>
        <v>0</v>
      </c>
      <c r="AE173">
        <f>2*0.95*5.67E-8*(((EA173+$B$7)+273)^4-(W173+273)^4)</f>
        <v>0</v>
      </c>
      <c r="AF173">
        <f>U173+AE173+AC173+AD173</f>
        <v>0</v>
      </c>
      <c r="AG173">
        <f>DX173*AU173*(DS173-DR173*(1000-AU173*DU173)/(1000-AU173*DT173))/(100*DL173)</f>
        <v>0</v>
      </c>
      <c r="AH173">
        <f>1000*DX173*AU173*(DT173-DU173)/(100*DL173*(1000-AU173*DT173))</f>
        <v>0</v>
      </c>
      <c r="AI173">
        <f>(AJ173 - AK173 - DY173*1E3/(8.314*(EA173+273.15)) * AM173/DX173 * AL173) * DX173/(100*DL173) * (1000 - DU173)/1000</f>
        <v>0</v>
      </c>
      <c r="AJ173">
        <v>883.766005868494</v>
      </c>
      <c r="AK173">
        <v>844.059242424242</v>
      </c>
      <c r="AL173">
        <v>3.31850023119363</v>
      </c>
      <c r="AM173">
        <v>65.2210784119795</v>
      </c>
      <c r="AN173">
        <f>(AP173 - AO173 + DY173*1E3/(8.314*(EA173+273.15)) * AR173/DX173 * AQ173) * DX173/(100*DL173) * 1000/(1000 - AP173)</f>
        <v>0</v>
      </c>
      <c r="AO173">
        <v>9.67740986766365</v>
      </c>
      <c r="AP173">
        <v>11.7716884848485</v>
      </c>
      <c r="AQ173">
        <v>0.000254579868693983</v>
      </c>
      <c r="AR173">
        <v>115.574510355221</v>
      </c>
      <c r="AS173">
        <v>0</v>
      </c>
      <c r="AT173">
        <v>0</v>
      </c>
      <c r="AU173">
        <f>IF(AS173*$H$13&gt;=AW173,1.0,(AW173/(AW173-AS173*$H$13)))</f>
        <v>0</v>
      </c>
      <c r="AV173">
        <f>(AU173-1)*100</f>
        <v>0</v>
      </c>
      <c r="AW173">
        <f>MAX(0,($B$13+$C$13*EF173)/(1+$D$13*EF173)*DY173/(EA173+273)*$E$13)</f>
        <v>0</v>
      </c>
      <c r="AX173" t="s">
        <v>437</v>
      </c>
      <c r="AY173" t="s">
        <v>437</v>
      </c>
      <c r="AZ173">
        <v>0</v>
      </c>
      <c r="BA173">
        <v>0</v>
      </c>
      <c r="BB173">
        <f>1-AZ173/BA173</f>
        <v>0</v>
      </c>
      <c r="BC173">
        <v>0</v>
      </c>
      <c r="BD173" t="s">
        <v>437</v>
      </c>
      <c r="BE173" t="s">
        <v>437</v>
      </c>
      <c r="BF173">
        <v>0</v>
      </c>
      <c r="BG173">
        <v>0</v>
      </c>
      <c r="BH173">
        <f>1-BF173/BG173</f>
        <v>0</v>
      </c>
      <c r="BI173">
        <v>0.5</v>
      </c>
      <c r="BJ173">
        <f>DI173</f>
        <v>0</v>
      </c>
      <c r="BK173">
        <f>L173</f>
        <v>0</v>
      </c>
      <c r="BL173">
        <f>BH173*BI173*BJ173</f>
        <v>0</v>
      </c>
      <c r="BM173">
        <f>(BK173-BC173)/BJ173</f>
        <v>0</v>
      </c>
      <c r="BN173">
        <f>(BA173-BG173)/BG173</f>
        <v>0</v>
      </c>
      <c r="BO173">
        <f>AZ173/(BB173+AZ173/BG173)</f>
        <v>0</v>
      </c>
      <c r="BP173" t="s">
        <v>437</v>
      </c>
      <c r="BQ173">
        <v>0</v>
      </c>
      <c r="BR173">
        <f>IF(BQ173&lt;&gt;0, BQ173, BO173)</f>
        <v>0</v>
      </c>
      <c r="BS173">
        <f>1-BR173/BG173</f>
        <v>0</v>
      </c>
      <c r="BT173">
        <f>(BG173-BF173)/(BG173-BR173)</f>
        <v>0</v>
      </c>
      <c r="BU173">
        <f>(BA173-BG173)/(BA173-BR173)</f>
        <v>0</v>
      </c>
      <c r="BV173">
        <f>(BG173-BF173)/(BG173-AZ173)</f>
        <v>0</v>
      </c>
      <c r="BW173">
        <f>(BA173-BG173)/(BA173-AZ173)</f>
        <v>0</v>
      </c>
      <c r="BX173">
        <f>(BT173*BR173/BF173)</f>
        <v>0</v>
      </c>
      <c r="BY173">
        <f>(1-BX173)</f>
        <v>0</v>
      </c>
      <c r="BZ173">
        <v>282</v>
      </c>
      <c r="CA173">
        <v>290</v>
      </c>
      <c r="CB173">
        <v>1577.74</v>
      </c>
      <c r="CC173">
        <v>295</v>
      </c>
      <c r="CD173">
        <v>5140.93</v>
      </c>
      <c r="CE173">
        <v>1578.58</v>
      </c>
      <c r="CF173">
        <v>-0.84</v>
      </c>
      <c r="CG173">
        <v>300</v>
      </c>
      <c r="CH173">
        <v>23.8</v>
      </c>
      <c r="CI173">
        <v>1633.28263291266</v>
      </c>
      <c r="CJ173">
        <v>1.49577129053257</v>
      </c>
      <c r="CK173">
        <v>-28.1203876934379</v>
      </c>
      <c r="CL173">
        <v>0.666413418688897</v>
      </c>
      <c r="CM173">
        <v>0.984518017981194</v>
      </c>
      <c r="CN173">
        <v>-0.00424727541713014</v>
      </c>
      <c r="CO173">
        <v>290</v>
      </c>
      <c r="CP173">
        <v>1576.56</v>
      </c>
      <c r="CQ173">
        <v>775</v>
      </c>
      <c r="CR173">
        <v>5139.5</v>
      </c>
      <c r="CS173">
        <v>1578.57</v>
      </c>
      <c r="CT173">
        <v>-2.01</v>
      </c>
      <c r="DH173">
        <f>$B$11*EG173+$C$11*EH173+$F$11*ES173*(1-EV173)</f>
        <v>0</v>
      </c>
      <c r="DI173">
        <f>DH173*DJ173</f>
        <v>0</v>
      </c>
      <c r="DJ173">
        <f>($B$11*$D$9+$C$11*$D$9+$F$11*((FF173+EX173)/MAX(FF173+EX173+FG173, 0.1)*$I$9+FG173/MAX(FF173+EX173+FG173, 0.1)*$J$9))/($B$11+$C$11+$F$11)</f>
        <v>0</v>
      </c>
      <c r="DK173">
        <f>($B$11*$K$9+$C$11*$K$9+$F$11*((FF173+EX173)/MAX(FF173+EX173+FG173, 0.1)*$P$9+FG173/MAX(FF173+EX173+FG173, 0.1)*$Q$9))/($B$11+$C$11+$F$11)</f>
        <v>0</v>
      </c>
      <c r="DL173">
        <v>6</v>
      </c>
      <c r="DM173">
        <v>0.5</v>
      </c>
      <c r="DN173" t="s">
        <v>438</v>
      </c>
      <c r="DO173">
        <v>2</v>
      </c>
      <c r="DP173" t="b">
        <v>1</v>
      </c>
      <c r="DQ173">
        <v>1760992115.94615</v>
      </c>
      <c r="DR173">
        <v>810.245923076923</v>
      </c>
      <c r="DS173">
        <v>859.368230769231</v>
      </c>
      <c r="DT173">
        <v>11.7575615384615</v>
      </c>
      <c r="DU173">
        <v>9.64852615384615</v>
      </c>
      <c r="DV173">
        <v>805.954</v>
      </c>
      <c r="DW173">
        <v>11.8694692307692</v>
      </c>
      <c r="DX173">
        <v>500.010307692308</v>
      </c>
      <c r="DY173">
        <v>89.8378461538462</v>
      </c>
      <c r="DZ173">
        <v>0.00873239538461539</v>
      </c>
      <c r="EA173">
        <v>18.4384384615385</v>
      </c>
      <c r="EB173">
        <v>18.0112076923077</v>
      </c>
      <c r="EC173">
        <v>999.9</v>
      </c>
      <c r="ED173">
        <v>0</v>
      </c>
      <c r="EE173">
        <v>0</v>
      </c>
      <c r="EF173">
        <v>10011.9738461538</v>
      </c>
      <c r="EG173">
        <v>0</v>
      </c>
      <c r="EH173">
        <v>1278.61923076923</v>
      </c>
      <c r="EI173">
        <v>-49.1223384615385</v>
      </c>
      <c r="EJ173">
        <v>819.885769230769</v>
      </c>
      <c r="EK173">
        <v>867.741</v>
      </c>
      <c r="EL173">
        <v>2.10903846153846</v>
      </c>
      <c r="EM173">
        <v>859.368230769231</v>
      </c>
      <c r="EN173">
        <v>9.64852615384615</v>
      </c>
      <c r="EO173">
        <v>1.05627307692308</v>
      </c>
      <c r="EP173">
        <v>0.866802769230769</v>
      </c>
      <c r="EQ173">
        <v>7.71662</v>
      </c>
      <c r="ER173">
        <v>4.85103153846154</v>
      </c>
      <c r="ES173">
        <v>1200.00153846154</v>
      </c>
      <c r="ET173">
        <v>0.967000076923077</v>
      </c>
      <c r="EU173">
        <v>0.0329998538461538</v>
      </c>
      <c r="EV173">
        <v>0</v>
      </c>
      <c r="EW173">
        <v>1273.55769230769</v>
      </c>
      <c r="EX173">
        <v>5.00059</v>
      </c>
      <c r="EY173">
        <v>15066.4769230769</v>
      </c>
      <c r="EZ173">
        <v>10358.7307692308</v>
      </c>
      <c r="FA173">
        <v>38.4228461538462</v>
      </c>
      <c r="FB173">
        <v>40.4276153846154</v>
      </c>
      <c r="FC173">
        <v>38.8459230769231</v>
      </c>
      <c r="FD173">
        <v>40.2016923076923</v>
      </c>
      <c r="FE173">
        <v>39.2786153846154</v>
      </c>
      <c r="FF173">
        <v>1155.56769230769</v>
      </c>
      <c r="FG173">
        <v>39.4338461538462</v>
      </c>
      <c r="FH173">
        <v>0</v>
      </c>
      <c r="FI173">
        <v>980</v>
      </c>
      <c r="FJ173">
        <v>0</v>
      </c>
      <c r="FK173">
        <v>1273.8276</v>
      </c>
      <c r="FL173">
        <v>14.0515384689706</v>
      </c>
      <c r="FM173">
        <v>115.12307710016</v>
      </c>
      <c r="FN173">
        <v>15068.772</v>
      </c>
      <c r="FO173">
        <v>15</v>
      </c>
      <c r="FP173">
        <v>0</v>
      </c>
      <c r="FQ173" t="s">
        <v>439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-49.2033380952381</v>
      </c>
      <c r="GD173">
        <v>-0.141623376623452</v>
      </c>
      <c r="GE173">
        <v>0.608455366345361</v>
      </c>
      <c r="GF173">
        <v>1</v>
      </c>
      <c r="GG173">
        <v>1272.87764705882</v>
      </c>
      <c r="GH173">
        <v>14.4229182406639</v>
      </c>
      <c r="GI173">
        <v>1.42976974457124</v>
      </c>
      <c r="GJ173">
        <v>-1</v>
      </c>
      <c r="GK173">
        <v>2.12012095238095</v>
      </c>
      <c r="GL173">
        <v>-0.218643896103893</v>
      </c>
      <c r="GM173">
        <v>0.0225925607024297</v>
      </c>
      <c r="GN173">
        <v>0</v>
      </c>
      <c r="GO173">
        <v>1</v>
      </c>
      <c r="GP173">
        <v>2</v>
      </c>
      <c r="GQ173" t="s">
        <v>446</v>
      </c>
      <c r="GR173">
        <v>3.13091</v>
      </c>
      <c r="GS173">
        <v>2.68686</v>
      </c>
      <c r="GT173">
        <v>0.146726</v>
      </c>
      <c r="GU173">
        <v>0.152907</v>
      </c>
      <c r="GV173">
        <v>0.0615238</v>
      </c>
      <c r="GW173">
        <v>0.0527732</v>
      </c>
      <c r="GX173">
        <v>32336.6</v>
      </c>
      <c r="GY173">
        <v>34495.6</v>
      </c>
      <c r="GZ173">
        <v>34263.8</v>
      </c>
      <c r="HA173">
        <v>36846.3</v>
      </c>
      <c r="HB173">
        <v>45364.1</v>
      </c>
      <c r="HC173">
        <v>50053.8</v>
      </c>
      <c r="HD173">
        <v>53337.6</v>
      </c>
      <c r="HE173">
        <v>58773.5</v>
      </c>
      <c r="HF173">
        <v>2.0081</v>
      </c>
      <c r="HG173">
        <v>1.83637</v>
      </c>
      <c r="HH173">
        <v>0.00939518</v>
      </c>
      <c r="HI173">
        <v>0</v>
      </c>
      <c r="HJ173">
        <v>17.8681</v>
      </c>
      <c r="HK173">
        <v>999.9</v>
      </c>
      <c r="HL173">
        <v>26.712</v>
      </c>
      <c r="HM173">
        <v>30.454</v>
      </c>
      <c r="HN173">
        <v>13.0016</v>
      </c>
      <c r="HO173">
        <v>54.6728</v>
      </c>
      <c r="HP173">
        <v>44.1466</v>
      </c>
      <c r="HQ173">
        <v>1</v>
      </c>
      <c r="HR173">
        <v>-0.262048</v>
      </c>
      <c r="HS173">
        <v>4.73498</v>
      </c>
      <c r="HT173">
        <v>20.0723</v>
      </c>
      <c r="HU173">
        <v>5.19887</v>
      </c>
      <c r="HV173">
        <v>12.004</v>
      </c>
      <c r="HW173">
        <v>4.97555</v>
      </c>
      <c r="HX173">
        <v>3.29295</v>
      </c>
      <c r="HY173">
        <v>9999</v>
      </c>
      <c r="HZ173">
        <v>999.9</v>
      </c>
      <c r="IA173">
        <v>9999</v>
      </c>
      <c r="IB173">
        <v>9999</v>
      </c>
      <c r="IC173">
        <v>1.86324</v>
      </c>
      <c r="ID173">
        <v>1.86809</v>
      </c>
      <c r="IE173">
        <v>1.86783</v>
      </c>
      <c r="IF173">
        <v>1.86904</v>
      </c>
      <c r="IG173">
        <v>1.86981</v>
      </c>
      <c r="IH173">
        <v>1.86585</v>
      </c>
      <c r="II173">
        <v>1.86692</v>
      </c>
      <c r="IJ173">
        <v>1.86839</v>
      </c>
      <c r="IK173">
        <v>5</v>
      </c>
      <c r="IL173">
        <v>0</v>
      </c>
      <c r="IM173">
        <v>0</v>
      </c>
      <c r="IN173">
        <v>0</v>
      </c>
      <c r="IO173" t="s">
        <v>441</v>
      </c>
      <c r="IP173" t="s">
        <v>442</v>
      </c>
      <c r="IQ173" t="s">
        <v>443</v>
      </c>
      <c r="IR173" t="s">
        <v>443</v>
      </c>
      <c r="IS173" t="s">
        <v>443</v>
      </c>
      <c r="IT173" t="s">
        <v>443</v>
      </c>
      <c r="IU173">
        <v>0</v>
      </c>
      <c r="IV173">
        <v>100</v>
      </c>
      <c r="IW173">
        <v>100</v>
      </c>
      <c r="IX173">
        <v>4.385</v>
      </c>
      <c r="IY173">
        <v>-0.1117</v>
      </c>
      <c r="IZ173">
        <v>1.12474291219083</v>
      </c>
      <c r="JA173">
        <v>0.00463155566490582</v>
      </c>
      <c r="JB173">
        <v>-1.1358998729424e-06</v>
      </c>
      <c r="JC173">
        <v>3.28704272115545e-10</v>
      </c>
      <c r="JD173">
        <v>-0.0704455108513773</v>
      </c>
      <c r="JE173">
        <v>-0.0251928478371425</v>
      </c>
      <c r="JF173">
        <v>0.00225751704194564</v>
      </c>
      <c r="JG173">
        <v>-3.61734043746866e-05</v>
      </c>
      <c r="JH173">
        <v>1</v>
      </c>
      <c r="JI173">
        <v>2182</v>
      </c>
      <c r="JJ173">
        <v>0</v>
      </c>
      <c r="JK173">
        <v>24</v>
      </c>
      <c r="JL173">
        <v>29349868.7</v>
      </c>
      <c r="JM173">
        <v>29349868.7</v>
      </c>
      <c r="JN173">
        <v>1.84937</v>
      </c>
      <c r="JO173">
        <v>2.62573</v>
      </c>
      <c r="JP173">
        <v>1.54785</v>
      </c>
      <c r="JQ173">
        <v>2.31323</v>
      </c>
      <c r="JR173">
        <v>1.64551</v>
      </c>
      <c r="JS173">
        <v>2.28271</v>
      </c>
      <c r="JT173">
        <v>33.6479</v>
      </c>
      <c r="JU173">
        <v>24.1751</v>
      </c>
      <c r="JV173">
        <v>18</v>
      </c>
      <c r="JW173">
        <v>500.712</v>
      </c>
      <c r="JX173">
        <v>394.089</v>
      </c>
      <c r="JY173">
        <v>11.5959</v>
      </c>
      <c r="JZ173">
        <v>23.9829</v>
      </c>
      <c r="KA173">
        <v>30.0001</v>
      </c>
      <c r="KB173">
        <v>23.9709</v>
      </c>
      <c r="KC173">
        <v>23.9388</v>
      </c>
      <c r="KD173">
        <v>37.0792</v>
      </c>
      <c r="KE173">
        <v>8.44683</v>
      </c>
      <c r="KF173">
        <v>26.5359</v>
      </c>
      <c r="KG173">
        <v>11.5806</v>
      </c>
      <c r="KH173">
        <v>906.895</v>
      </c>
      <c r="KI173">
        <v>9.772</v>
      </c>
      <c r="KJ173">
        <v>97.0374</v>
      </c>
      <c r="KK173">
        <v>95.2977</v>
      </c>
    </row>
    <row r="174" spans="1:297">
      <c r="A174">
        <v>158</v>
      </c>
      <c r="B174">
        <v>1760992129.1</v>
      </c>
      <c r="C174">
        <v>2939</v>
      </c>
      <c r="D174" t="s">
        <v>769</v>
      </c>
      <c r="E174" t="s">
        <v>770</v>
      </c>
      <c r="F174">
        <v>5</v>
      </c>
      <c r="G174" t="s">
        <v>662</v>
      </c>
      <c r="H174" t="s">
        <v>436</v>
      </c>
      <c r="I174">
        <v>1760992120.94615</v>
      </c>
      <c r="J174">
        <f>(K174)/1000</f>
        <v>0</v>
      </c>
      <c r="K174">
        <f>IF(DP174, AN174, AH174)</f>
        <v>0</v>
      </c>
      <c r="L174">
        <f>IF(DP174, AI174, AG174)</f>
        <v>0</v>
      </c>
      <c r="M174">
        <f>DR174 - IF(AU174&gt;1, L174*DL174*100.0/(AW174), 0)</f>
        <v>0</v>
      </c>
      <c r="N174">
        <f>((T174-J174/2)*M174-L174)/(T174+J174/2)</f>
        <v>0</v>
      </c>
      <c r="O174">
        <f>N174*(DY174+DZ174)/1000.0</f>
        <v>0</v>
      </c>
      <c r="P174">
        <f>(DR174 - IF(AU174&gt;1, L174*DL174*100.0/(AW174), 0))*(DY174+DZ174)/1000.0</f>
        <v>0</v>
      </c>
      <c r="Q174">
        <f>2.0/((1/S174-1/R174)+SIGN(S174)*SQRT((1/S174-1/R174)*(1/S174-1/R174) + 4*DM174/((DM174+1)*(DM174+1))*(2*1/S174*1/R174-1/R174*1/R174)))</f>
        <v>0</v>
      </c>
      <c r="R174">
        <f>IF(LEFT(DN174,1)&lt;&gt;"0",IF(LEFT(DN174,1)="1",3.0,DO174),$D$5+$E$5*(EF174*DY174/($K$5*1000))+$F$5*(EF174*DY174/($K$5*1000))*MAX(MIN(DL174,$J$5),$I$5)*MAX(MIN(DL174,$J$5),$I$5)+$G$5*MAX(MIN(DL174,$J$5),$I$5)*(EF174*DY174/($K$5*1000))+$H$5*(EF174*DY174/($K$5*1000))*(EF174*DY174/($K$5*1000)))</f>
        <v>0</v>
      </c>
      <c r="S174">
        <f>J174*(1000-(1000*0.61365*exp(17.502*W174/(240.97+W174))/(DY174+DZ174)+DT174)/2)/(1000*0.61365*exp(17.502*W174/(240.97+W174))/(DY174+DZ174)-DT174)</f>
        <v>0</v>
      </c>
      <c r="T174">
        <f>1/((DM174+1)/(Q174/1.6)+1/(R174/1.37)) + DM174/((DM174+1)/(Q174/1.6) + DM174/(R174/1.37))</f>
        <v>0</v>
      </c>
      <c r="U174">
        <f>(DH174*DK174)</f>
        <v>0</v>
      </c>
      <c r="V174">
        <f>(EA174+(U174+2*0.95*5.67E-8*(((EA174+$B$7)+273)^4-(EA174+273)^4)-44100*J174)/(1.84*29.3*R174+8*0.95*5.67E-8*(EA174+273)^3))</f>
        <v>0</v>
      </c>
      <c r="W174">
        <f>($C$7*EB174+$D$7*EC174+$E$7*V174)</f>
        <v>0</v>
      </c>
      <c r="X174">
        <f>0.61365*exp(17.502*W174/(240.97+W174))</f>
        <v>0</v>
      </c>
      <c r="Y174">
        <f>(Z174/AA174*100)</f>
        <v>0</v>
      </c>
      <c r="Z174">
        <f>DT174*(DY174+DZ174)/1000</f>
        <v>0</v>
      </c>
      <c r="AA174">
        <f>0.61365*exp(17.502*EA174/(240.97+EA174))</f>
        <v>0</v>
      </c>
      <c r="AB174">
        <f>(X174-DT174*(DY174+DZ174)/1000)</f>
        <v>0</v>
      </c>
      <c r="AC174">
        <f>(-J174*44100)</f>
        <v>0</v>
      </c>
      <c r="AD174">
        <f>2*29.3*R174*0.92*(EA174-W174)</f>
        <v>0</v>
      </c>
      <c r="AE174">
        <f>2*0.95*5.67E-8*(((EA174+$B$7)+273)^4-(W174+273)^4)</f>
        <v>0</v>
      </c>
      <c r="AF174">
        <f>U174+AE174+AC174+AD174</f>
        <v>0</v>
      </c>
      <c r="AG174">
        <f>DX174*AU174*(DS174-DR174*(1000-AU174*DU174)/(1000-AU174*DT174))/(100*DL174)</f>
        <v>0</v>
      </c>
      <c r="AH174">
        <f>1000*DX174*AU174*(DT174-DU174)/(100*DL174*(1000-AU174*DT174))</f>
        <v>0</v>
      </c>
      <c r="AI174">
        <f>(AJ174 - AK174 - DY174*1E3/(8.314*(EA174+273.15)) * AM174/DX174 * AL174) * DX174/(100*DL174) * (1000 - DU174)/1000</f>
        <v>0</v>
      </c>
      <c r="AJ174">
        <v>900.267771407807</v>
      </c>
      <c r="AK174">
        <v>860.756393939394</v>
      </c>
      <c r="AL174">
        <v>3.32279056718172</v>
      </c>
      <c r="AM174">
        <v>65.2210784119795</v>
      </c>
      <c r="AN174">
        <f>(AP174 - AO174 + DY174*1E3/(8.314*(EA174+273.15)) * AR174/DX174 * AQ174) * DX174/(100*DL174) * 1000/(1000 - AP174)</f>
        <v>0</v>
      </c>
      <c r="AO174">
        <v>9.69598056983036</v>
      </c>
      <c r="AP174">
        <v>11.782303030303</v>
      </c>
      <c r="AQ174">
        <v>0.000170645250075636</v>
      </c>
      <c r="AR174">
        <v>115.574510355221</v>
      </c>
      <c r="AS174">
        <v>0</v>
      </c>
      <c r="AT174">
        <v>0</v>
      </c>
      <c r="AU174">
        <f>IF(AS174*$H$13&gt;=AW174,1.0,(AW174/(AW174-AS174*$H$13)))</f>
        <v>0</v>
      </c>
      <c r="AV174">
        <f>(AU174-1)*100</f>
        <v>0</v>
      </c>
      <c r="AW174">
        <f>MAX(0,($B$13+$C$13*EF174)/(1+$D$13*EF174)*DY174/(EA174+273)*$E$13)</f>
        <v>0</v>
      </c>
      <c r="AX174" t="s">
        <v>437</v>
      </c>
      <c r="AY174" t="s">
        <v>437</v>
      </c>
      <c r="AZ174">
        <v>0</v>
      </c>
      <c r="BA174">
        <v>0</v>
      </c>
      <c r="BB174">
        <f>1-AZ174/BA174</f>
        <v>0</v>
      </c>
      <c r="BC174">
        <v>0</v>
      </c>
      <c r="BD174" t="s">
        <v>437</v>
      </c>
      <c r="BE174" t="s">
        <v>437</v>
      </c>
      <c r="BF174">
        <v>0</v>
      </c>
      <c r="BG174">
        <v>0</v>
      </c>
      <c r="BH174">
        <f>1-BF174/BG174</f>
        <v>0</v>
      </c>
      <c r="BI174">
        <v>0.5</v>
      </c>
      <c r="BJ174">
        <f>DI174</f>
        <v>0</v>
      </c>
      <c r="BK174">
        <f>L174</f>
        <v>0</v>
      </c>
      <c r="BL174">
        <f>BH174*BI174*BJ174</f>
        <v>0</v>
      </c>
      <c r="BM174">
        <f>(BK174-BC174)/BJ174</f>
        <v>0</v>
      </c>
      <c r="BN174">
        <f>(BA174-BG174)/BG174</f>
        <v>0</v>
      </c>
      <c r="BO174">
        <f>AZ174/(BB174+AZ174/BG174)</f>
        <v>0</v>
      </c>
      <c r="BP174" t="s">
        <v>437</v>
      </c>
      <c r="BQ174">
        <v>0</v>
      </c>
      <c r="BR174">
        <f>IF(BQ174&lt;&gt;0, BQ174, BO174)</f>
        <v>0</v>
      </c>
      <c r="BS174">
        <f>1-BR174/BG174</f>
        <v>0</v>
      </c>
      <c r="BT174">
        <f>(BG174-BF174)/(BG174-BR174)</f>
        <v>0</v>
      </c>
      <c r="BU174">
        <f>(BA174-BG174)/(BA174-BR174)</f>
        <v>0</v>
      </c>
      <c r="BV174">
        <f>(BG174-BF174)/(BG174-AZ174)</f>
        <v>0</v>
      </c>
      <c r="BW174">
        <f>(BA174-BG174)/(BA174-AZ174)</f>
        <v>0</v>
      </c>
      <c r="BX174">
        <f>(BT174*BR174/BF174)</f>
        <v>0</v>
      </c>
      <c r="BY174">
        <f>(1-BX174)</f>
        <v>0</v>
      </c>
      <c r="BZ174">
        <v>282</v>
      </c>
      <c r="CA174">
        <v>290</v>
      </c>
      <c r="CB174">
        <v>1577.74</v>
      </c>
      <c r="CC174">
        <v>295</v>
      </c>
      <c r="CD174">
        <v>5140.93</v>
      </c>
      <c r="CE174">
        <v>1578.58</v>
      </c>
      <c r="CF174">
        <v>-0.84</v>
      </c>
      <c r="CG174">
        <v>300</v>
      </c>
      <c r="CH174">
        <v>23.8</v>
      </c>
      <c r="CI174">
        <v>1633.28263291266</v>
      </c>
      <c r="CJ174">
        <v>1.49577129053257</v>
      </c>
      <c r="CK174">
        <v>-28.1203876934379</v>
      </c>
      <c r="CL174">
        <v>0.666413418688897</v>
      </c>
      <c r="CM174">
        <v>0.984518017981194</v>
      </c>
      <c r="CN174">
        <v>-0.00424727541713014</v>
      </c>
      <c r="CO174">
        <v>290</v>
      </c>
      <c r="CP174">
        <v>1576.56</v>
      </c>
      <c r="CQ174">
        <v>775</v>
      </c>
      <c r="CR174">
        <v>5139.5</v>
      </c>
      <c r="CS174">
        <v>1578.57</v>
      </c>
      <c r="CT174">
        <v>-2.01</v>
      </c>
      <c r="DH174">
        <f>$B$11*EG174+$C$11*EH174+$F$11*ES174*(1-EV174)</f>
        <v>0</v>
      </c>
      <c r="DI174">
        <f>DH174*DJ174</f>
        <v>0</v>
      </c>
      <c r="DJ174">
        <f>($B$11*$D$9+$C$11*$D$9+$F$11*((FF174+EX174)/MAX(FF174+EX174+FG174, 0.1)*$I$9+FG174/MAX(FF174+EX174+FG174, 0.1)*$J$9))/($B$11+$C$11+$F$11)</f>
        <v>0</v>
      </c>
      <c r="DK174">
        <f>($B$11*$K$9+$C$11*$K$9+$F$11*((FF174+EX174)/MAX(FF174+EX174+FG174, 0.1)*$P$9+FG174/MAX(FF174+EX174+FG174, 0.1)*$Q$9))/($B$11+$C$11+$F$11)</f>
        <v>0</v>
      </c>
      <c r="DL174">
        <v>6</v>
      </c>
      <c r="DM174">
        <v>0.5</v>
      </c>
      <c r="DN174" t="s">
        <v>438</v>
      </c>
      <c r="DO174">
        <v>2</v>
      </c>
      <c r="DP174" t="b">
        <v>1</v>
      </c>
      <c r="DQ174">
        <v>1760992120.94615</v>
      </c>
      <c r="DR174">
        <v>826.916</v>
      </c>
      <c r="DS174">
        <v>876.104153846154</v>
      </c>
      <c r="DT174">
        <v>11.7667769230769</v>
      </c>
      <c r="DU174">
        <v>9.67008615384615</v>
      </c>
      <c r="DV174">
        <v>822.567076923077</v>
      </c>
      <c r="DW174">
        <v>11.8785769230769</v>
      </c>
      <c r="DX174">
        <v>500.003538461539</v>
      </c>
      <c r="DY174">
        <v>89.8371538461539</v>
      </c>
      <c r="DZ174">
        <v>0.00906753153846154</v>
      </c>
      <c r="EA174">
        <v>18.4398</v>
      </c>
      <c r="EB174">
        <v>18.0188076923077</v>
      </c>
      <c r="EC174">
        <v>999.9</v>
      </c>
      <c r="ED174">
        <v>0</v>
      </c>
      <c r="EE174">
        <v>0</v>
      </c>
      <c r="EF174">
        <v>9989.51384615385</v>
      </c>
      <c r="EG174">
        <v>0</v>
      </c>
      <c r="EH174">
        <v>1278.61769230769</v>
      </c>
      <c r="EI174">
        <v>-49.1881692307692</v>
      </c>
      <c r="EJ174">
        <v>836.762076923077</v>
      </c>
      <c r="EK174">
        <v>884.659153846154</v>
      </c>
      <c r="EL174">
        <v>2.09669538461538</v>
      </c>
      <c r="EM174">
        <v>876.104153846154</v>
      </c>
      <c r="EN174">
        <v>9.67008615384615</v>
      </c>
      <c r="EO174">
        <v>1.05709384615385</v>
      </c>
      <c r="EP174">
        <v>0.868733076923077</v>
      </c>
      <c r="EQ174">
        <v>7.72799769230769</v>
      </c>
      <c r="ER174">
        <v>4.88291769230769</v>
      </c>
      <c r="ES174">
        <v>1200.03769230769</v>
      </c>
      <c r="ET174">
        <v>0.967007461538461</v>
      </c>
      <c r="EU174">
        <v>0.0329924923076923</v>
      </c>
      <c r="EV174">
        <v>0</v>
      </c>
      <c r="EW174">
        <v>1274.73384615385</v>
      </c>
      <c r="EX174">
        <v>5.00059</v>
      </c>
      <c r="EY174">
        <v>15077.7615384615</v>
      </c>
      <c r="EZ174">
        <v>10359.0615384615</v>
      </c>
      <c r="FA174">
        <v>38.3603076923077</v>
      </c>
      <c r="FB174">
        <v>40.3073846153846</v>
      </c>
      <c r="FC174">
        <v>38.7786153846154</v>
      </c>
      <c r="FD174">
        <v>40.0333846153846</v>
      </c>
      <c r="FE174">
        <v>39.2113076923077</v>
      </c>
      <c r="FF174">
        <v>1155.61153846154</v>
      </c>
      <c r="FG174">
        <v>39.4246153846154</v>
      </c>
      <c r="FH174">
        <v>0</v>
      </c>
      <c r="FI174">
        <v>984.800000190735</v>
      </c>
      <c r="FJ174">
        <v>0</v>
      </c>
      <c r="FK174">
        <v>1274.9596</v>
      </c>
      <c r="FL174">
        <v>14.9676922816914</v>
      </c>
      <c r="FM174">
        <v>137.307692152127</v>
      </c>
      <c r="FN174">
        <v>15079.308</v>
      </c>
      <c r="FO174">
        <v>15</v>
      </c>
      <c r="FP174">
        <v>0</v>
      </c>
      <c r="FQ174" t="s">
        <v>439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-49.050915</v>
      </c>
      <c r="GD174">
        <v>0.311526315789478</v>
      </c>
      <c r="GE174">
        <v>0.625567317141009</v>
      </c>
      <c r="GF174">
        <v>1</v>
      </c>
      <c r="GG174">
        <v>1274.02735294118</v>
      </c>
      <c r="GH174">
        <v>14.0429335364368</v>
      </c>
      <c r="GI174">
        <v>1.39103285541508</v>
      </c>
      <c r="GJ174">
        <v>-1</v>
      </c>
      <c r="GK174">
        <v>2.1030995</v>
      </c>
      <c r="GL174">
        <v>-0.140631428571426</v>
      </c>
      <c r="GM174">
        <v>0.0142480168707789</v>
      </c>
      <c r="GN174">
        <v>0</v>
      </c>
      <c r="GO174">
        <v>1</v>
      </c>
      <c r="GP174">
        <v>2</v>
      </c>
      <c r="GQ174" t="s">
        <v>446</v>
      </c>
      <c r="GR174">
        <v>3.13066</v>
      </c>
      <c r="GS174">
        <v>2.68745</v>
      </c>
      <c r="GT174">
        <v>0.148624</v>
      </c>
      <c r="GU174">
        <v>0.154705</v>
      </c>
      <c r="GV174">
        <v>0.0615636</v>
      </c>
      <c r="GW174">
        <v>0.052849</v>
      </c>
      <c r="GX174">
        <v>32264.6</v>
      </c>
      <c r="GY174">
        <v>34422.5</v>
      </c>
      <c r="GZ174">
        <v>34263.7</v>
      </c>
      <c r="HA174">
        <v>36846.3</v>
      </c>
      <c r="HB174">
        <v>45362</v>
      </c>
      <c r="HC174">
        <v>50050</v>
      </c>
      <c r="HD174">
        <v>53337.2</v>
      </c>
      <c r="HE174">
        <v>58773.6</v>
      </c>
      <c r="HF174">
        <v>2.00758</v>
      </c>
      <c r="HG174">
        <v>1.8369</v>
      </c>
      <c r="HH174">
        <v>0.00945479</v>
      </c>
      <c r="HI174">
        <v>0</v>
      </c>
      <c r="HJ174">
        <v>17.8677</v>
      </c>
      <c r="HK174">
        <v>999.9</v>
      </c>
      <c r="HL174">
        <v>26.712</v>
      </c>
      <c r="HM174">
        <v>30.454</v>
      </c>
      <c r="HN174">
        <v>13.003</v>
      </c>
      <c r="HO174">
        <v>54.9528</v>
      </c>
      <c r="HP174">
        <v>44.3189</v>
      </c>
      <c r="HQ174">
        <v>1</v>
      </c>
      <c r="HR174">
        <v>-0.261822</v>
      </c>
      <c r="HS174">
        <v>4.78737</v>
      </c>
      <c r="HT174">
        <v>20.0709</v>
      </c>
      <c r="HU174">
        <v>5.19947</v>
      </c>
      <c r="HV174">
        <v>12.004</v>
      </c>
      <c r="HW174">
        <v>4.9757</v>
      </c>
      <c r="HX174">
        <v>3.29303</v>
      </c>
      <c r="HY174">
        <v>9999</v>
      </c>
      <c r="HZ174">
        <v>999.9</v>
      </c>
      <c r="IA174">
        <v>9999</v>
      </c>
      <c r="IB174">
        <v>9999</v>
      </c>
      <c r="IC174">
        <v>1.86324</v>
      </c>
      <c r="ID174">
        <v>1.86808</v>
      </c>
      <c r="IE174">
        <v>1.86783</v>
      </c>
      <c r="IF174">
        <v>1.86905</v>
      </c>
      <c r="IG174">
        <v>1.86981</v>
      </c>
      <c r="IH174">
        <v>1.86585</v>
      </c>
      <c r="II174">
        <v>1.86691</v>
      </c>
      <c r="IJ174">
        <v>1.86837</v>
      </c>
      <c r="IK174">
        <v>5</v>
      </c>
      <c r="IL174">
        <v>0</v>
      </c>
      <c r="IM174">
        <v>0</v>
      </c>
      <c r="IN174">
        <v>0</v>
      </c>
      <c r="IO174" t="s">
        <v>441</v>
      </c>
      <c r="IP174" t="s">
        <v>442</v>
      </c>
      <c r="IQ174" t="s">
        <v>443</v>
      </c>
      <c r="IR174" t="s">
        <v>443</v>
      </c>
      <c r="IS174" t="s">
        <v>443</v>
      </c>
      <c r="IT174" t="s">
        <v>443</v>
      </c>
      <c r="IU174">
        <v>0</v>
      </c>
      <c r="IV174">
        <v>100</v>
      </c>
      <c r="IW174">
        <v>100</v>
      </c>
      <c r="IX174">
        <v>4.441</v>
      </c>
      <c r="IY174">
        <v>-0.1115</v>
      </c>
      <c r="IZ174">
        <v>1.12474291219083</v>
      </c>
      <c r="JA174">
        <v>0.00463155566490582</v>
      </c>
      <c r="JB174">
        <v>-1.1358998729424e-06</v>
      </c>
      <c r="JC174">
        <v>3.28704272115545e-10</v>
      </c>
      <c r="JD174">
        <v>-0.0704455108513773</v>
      </c>
      <c r="JE174">
        <v>-0.0251928478371425</v>
      </c>
      <c r="JF174">
        <v>0.00225751704194564</v>
      </c>
      <c r="JG174">
        <v>-3.61734043746866e-05</v>
      </c>
      <c r="JH174">
        <v>1</v>
      </c>
      <c r="JI174">
        <v>2182</v>
      </c>
      <c r="JJ174">
        <v>0</v>
      </c>
      <c r="JK174">
        <v>24</v>
      </c>
      <c r="JL174">
        <v>29349868.8</v>
      </c>
      <c r="JM174">
        <v>29349868.8</v>
      </c>
      <c r="JN174">
        <v>1.87988</v>
      </c>
      <c r="JO174">
        <v>2.62451</v>
      </c>
      <c r="JP174">
        <v>1.54785</v>
      </c>
      <c r="JQ174">
        <v>2.31445</v>
      </c>
      <c r="JR174">
        <v>1.64673</v>
      </c>
      <c r="JS174">
        <v>2.28149</v>
      </c>
      <c r="JT174">
        <v>33.6254</v>
      </c>
      <c r="JU174">
        <v>24.1751</v>
      </c>
      <c r="JV174">
        <v>18</v>
      </c>
      <c r="JW174">
        <v>500.375</v>
      </c>
      <c r="JX174">
        <v>394.365</v>
      </c>
      <c r="JY174">
        <v>11.5789</v>
      </c>
      <c r="JZ174">
        <v>23.9833</v>
      </c>
      <c r="KA174">
        <v>30.0003</v>
      </c>
      <c r="KB174">
        <v>23.9709</v>
      </c>
      <c r="KC174">
        <v>23.9388</v>
      </c>
      <c r="KD174">
        <v>37.6264</v>
      </c>
      <c r="KE174">
        <v>8.16414</v>
      </c>
      <c r="KF174">
        <v>26.5359</v>
      </c>
      <c r="KG174">
        <v>11.5537</v>
      </c>
      <c r="KH174">
        <v>927.151</v>
      </c>
      <c r="KI174">
        <v>9.77846</v>
      </c>
      <c r="KJ174">
        <v>97.0367</v>
      </c>
      <c r="KK174">
        <v>95.2978</v>
      </c>
    </row>
    <row r="175" spans="1:297">
      <c r="A175">
        <v>159</v>
      </c>
      <c r="B175">
        <v>1760992134.1</v>
      </c>
      <c r="C175">
        <v>2944</v>
      </c>
      <c r="D175" t="s">
        <v>771</v>
      </c>
      <c r="E175" t="s">
        <v>772</v>
      </c>
      <c r="F175">
        <v>5</v>
      </c>
      <c r="G175" t="s">
        <v>662</v>
      </c>
      <c r="H175" t="s">
        <v>436</v>
      </c>
      <c r="I175">
        <v>1760992125.94615</v>
      </c>
      <c r="J175">
        <f>(K175)/1000</f>
        <v>0</v>
      </c>
      <c r="K175">
        <f>IF(DP175, AN175, AH175)</f>
        <v>0</v>
      </c>
      <c r="L175">
        <f>IF(DP175, AI175, AG175)</f>
        <v>0</v>
      </c>
      <c r="M175">
        <f>DR175 - IF(AU175&gt;1, L175*DL175*100.0/(AW175), 0)</f>
        <v>0</v>
      </c>
      <c r="N175">
        <f>((T175-J175/2)*M175-L175)/(T175+J175/2)</f>
        <v>0</v>
      </c>
      <c r="O175">
        <f>N175*(DY175+DZ175)/1000.0</f>
        <v>0</v>
      </c>
      <c r="P175">
        <f>(DR175 - IF(AU175&gt;1, L175*DL175*100.0/(AW175), 0))*(DY175+DZ175)/1000.0</f>
        <v>0</v>
      </c>
      <c r="Q175">
        <f>2.0/((1/S175-1/R175)+SIGN(S175)*SQRT((1/S175-1/R175)*(1/S175-1/R175) + 4*DM175/((DM175+1)*(DM175+1))*(2*1/S175*1/R175-1/R175*1/R175)))</f>
        <v>0</v>
      </c>
      <c r="R175">
        <f>IF(LEFT(DN175,1)&lt;&gt;"0",IF(LEFT(DN175,1)="1",3.0,DO175),$D$5+$E$5*(EF175*DY175/($K$5*1000))+$F$5*(EF175*DY175/($K$5*1000))*MAX(MIN(DL175,$J$5),$I$5)*MAX(MIN(DL175,$J$5),$I$5)+$G$5*MAX(MIN(DL175,$J$5),$I$5)*(EF175*DY175/($K$5*1000))+$H$5*(EF175*DY175/($K$5*1000))*(EF175*DY175/($K$5*1000)))</f>
        <v>0</v>
      </c>
      <c r="S175">
        <f>J175*(1000-(1000*0.61365*exp(17.502*W175/(240.97+W175))/(DY175+DZ175)+DT175)/2)/(1000*0.61365*exp(17.502*W175/(240.97+W175))/(DY175+DZ175)-DT175)</f>
        <v>0</v>
      </c>
      <c r="T175">
        <f>1/((DM175+1)/(Q175/1.6)+1/(R175/1.37)) + DM175/((DM175+1)/(Q175/1.6) + DM175/(R175/1.37))</f>
        <v>0</v>
      </c>
      <c r="U175">
        <f>(DH175*DK175)</f>
        <v>0</v>
      </c>
      <c r="V175">
        <f>(EA175+(U175+2*0.95*5.67E-8*(((EA175+$B$7)+273)^4-(EA175+273)^4)-44100*J175)/(1.84*29.3*R175+8*0.95*5.67E-8*(EA175+273)^3))</f>
        <v>0</v>
      </c>
      <c r="W175">
        <f>($C$7*EB175+$D$7*EC175+$E$7*V175)</f>
        <v>0</v>
      </c>
      <c r="X175">
        <f>0.61365*exp(17.502*W175/(240.97+W175))</f>
        <v>0</v>
      </c>
      <c r="Y175">
        <f>(Z175/AA175*100)</f>
        <v>0</v>
      </c>
      <c r="Z175">
        <f>DT175*(DY175+DZ175)/1000</f>
        <v>0</v>
      </c>
      <c r="AA175">
        <f>0.61365*exp(17.502*EA175/(240.97+EA175))</f>
        <v>0</v>
      </c>
      <c r="AB175">
        <f>(X175-DT175*(DY175+DZ175)/1000)</f>
        <v>0</v>
      </c>
      <c r="AC175">
        <f>(-J175*44100)</f>
        <v>0</v>
      </c>
      <c r="AD175">
        <f>2*29.3*R175*0.92*(EA175-W175)</f>
        <v>0</v>
      </c>
      <c r="AE175">
        <f>2*0.95*5.67E-8*(((EA175+$B$7)+273)^4-(W175+273)^4)</f>
        <v>0</v>
      </c>
      <c r="AF175">
        <f>U175+AE175+AC175+AD175</f>
        <v>0</v>
      </c>
      <c r="AG175">
        <f>DX175*AU175*(DS175-DR175*(1000-AU175*DU175)/(1000-AU175*DT175))/(100*DL175)</f>
        <v>0</v>
      </c>
      <c r="AH175">
        <f>1000*DX175*AU175*(DT175-DU175)/(100*DL175*(1000-AU175*DT175))</f>
        <v>0</v>
      </c>
      <c r="AI175">
        <f>(AJ175 - AK175 - DY175*1E3/(8.314*(EA175+273.15)) * AM175/DX175 * AL175) * DX175/(100*DL175) * (1000 - DU175)/1000</f>
        <v>0</v>
      </c>
      <c r="AJ175">
        <v>916.805401291784</v>
      </c>
      <c r="AK175">
        <v>877.121345454545</v>
      </c>
      <c r="AL175">
        <v>3.29099990254618</v>
      </c>
      <c r="AM175">
        <v>65.2210784119795</v>
      </c>
      <c r="AN175">
        <f>(AP175 - AO175 + DY175*1E3/(8.314*(EA175+273.15)) * AR175/DX175 * AQ175) * DX175/(100*DL175) * 1000/(1000 - AP175)</f>
        <v>0</v>
      </c>
      <c r="AO175">
        <v>9.7041862211369</v>
      </c>
      <c r="AP175">
        <v>11.7911872727273</v>
      </c>
      <c r="AQ175">
        <v>0.000137566455564455</v>
      </c>
      <c r="AR175">
        <v>115.574510355221</v>
      </c>
      <c r="AS175">
        <v>0</v>
      </c>
      <c r="AT175">
        <v>0</v>
      </c>
      <c r="AU175">
        <f>IF(AS175*$H$13&gt;=AW175,1.0,(AW175/(AW175-AS175*$H$13)))</f>
        <v>0</v>
      </c>
      <c r="AV175">
        <f>(AU175-1)*100</f>
        <v>0</v>
      </c>
      <c r="AW175">
        <f>MAX(0,($B$13+$C$13*EF175)/(1+$D$13*EF175)*DY175/(EA175+273)*$E$13)</f>
        <v>0</v>
      </c>
      <c r="AX175" t="s">
        <v>437</v>
      </c>
      <c r="AY175" t="s">
        <v>437</v>
      </c>
      <c r="AZ175">
        <v>0</v>
      </c>
      <c r="BA175">
        <v>0</v>
      </c>
      <c r="BB175">
        <f>1-AZ175/BA175</f>
        <v>0</v>
      </c>
      <c r="BC175">
        <v>0</v>
      </c>
      <c r="BD175" t="s">
        <v>437</v>
      </c>
      <c r="BE175" t="s">
        <v>437</v>
      </c>
      <c r="BF175">
        <v>0</v>
      </c>
      <c r="BG175">
        <v>0</v>
      </c>
      <c r="BH175">
        <f>1-BF175/BG175</f>
        <v>0</v>
      </c>
      <c r="BI175">
        <v>0.5</v>
      </c>
      <c r="BJ175">
        <f>DI175</f>
        <v>0</v>
      </c>
      <c r="BK175">
        <f>L175</f>
        <v>0</v>
      </c>
      <c r="BL175">
        <f>BH175*BI175*BJ175</f>
        <v>0</v>
      </c>
      <c r="BM175">
        <f>(BK175-BC175)/BJ175</f>
        <v>0</v>
      </c>
      <c r="BN175">
        <f>(BA175-BG175)/BG175</f>
        <v>0</v>
      </c>
      <c r="BO175">
        <f>AZ175/(BB175+AZ175/BG175)</f>
        <v>0</v>
      </c>
      <c r="BP175" t="s">
        <v>437</v>
      </c>
      <c r="BQ175">
        <v>0</v>
      </c>
      <c r="BR175">
        <f>IF(BQ175&lt;&gt;0, BQ175, BO175)</f>
        <v>0</v>
      </c>
      <c r="BS175">
        <f>1-BR175/BG175</f>
        <v>0</v>
      </c>
      <c r="BT175">
        <f>(BG175-BF175)/(BG175-BR175)</f>
        <v>0</v>
      </c>
      <c r="BU175">
        <f>(BA175-BG175)/(BA175-BR175)</f>
        <v>0</v>
      </c>
      <c r="BV175">
        <f>(BG175-BF175)/(BG175-AZ175)</f>
        <v>0</v>
      </c>
      <c r="BW175">
        <f>(BA175-BG175)/(BA175-AZ175)</f>
        <v>0</v>
      </c>
      <c r="BX175">
        <f>(BT175*BR175/BF175)</f>
        <v>0</v>
      </c>
      <c r="BY175">
        <f>(1-BX175)</f>
        <v>0</v>
      </c>
      <c r="BZ175">
        <v>282</v>
      </c>
      <c r="CA175">
        <v>290</v>
      </c>
      <c r="CB175">
        <v>1577.74</v>
      </c>
      <c r="CC175">
        <v>295</v>
      </c>
      <c r="CD175">
        <v>5140.93</v>
      </c>
      <c r="CE175">
        <v>1578.58</v>
      </c>
      <c r="CF175">
        <v>-0.84</v>
      </c>
      <c r="CG175">
        <v>300</v>
      </c>
      <c r="CH175">
        <v>23.8</v>
      </c>
      <c r="CI175">
        <v>1633.28263291266</v>
      </c>
      <c r="CJ175">
        <v>1.49577129053257</v>
      </c>
      <c r="CK175">
        <v>-28.1203876934379</v>
      </c>
      <c r="CL175">
        <v>0.666413418688897</v>
      </c>
      <c r="CM175">
        <v>0.984518017981194</v>
      </c>
      <c r="CN175">
        <v>-0.00424727541713014</v>
      </c>
      <c r="CO175">
        <v>290</v>
      </c>
      <c r="CP175">
        <v>1576.56</v>
      </c>
      <c r="CQ175">
        <v>775</v>
      </c>
      <c r="CR175">
        <v>5139.5</v>
      </c>
      <c r="CS175">
        <v>1578.57</v>
      </c>
      <c r="CT175">
        <v>-2.01</v>
      </c>
      <c r="DH175">
        <f>$B$11*EG175+$C$11*EH175+$F$11*ES175*(1-EV175)</f>
        <v>0</v>
      </c>
      <c r="DI175">
        <f>DH175*DJ175</f>
        <v>0</v>
      </c>
      <c r="DJ175">
        <f>($B$11*$D$9+$C$11*$D$9+$F$11*((FF175+EX175)/MAX(FF175+EX175+FG175, 0.1)*$I$9+FG175/MAX(FF175+EX175+FG175, 0.1)*$J$9))/($B$11+$C$11+$F$11)</f>
        <v>0</v>
      </c>
      <c r="DK175">
        <f>($B$11*$K$9+$C$11*$K$9+$F$11*((FF175+EX175)/MAX(FF175+EX175+FG175, 0.1)*$P$9+FG175/MAX(FF175+EX175+FG175, 0.1)*$Q$9))/($B$11+$C$11+$F$11)</f>
        <v>0</v>
      </c>
      <c r="DL175">
        <v>6</v>
      </c>
      <c r="DM175">
        <v>0.5</v>
      </c>
      <c r="DN175" t="s">
        <v>438</v>
      </c>
      <c r="DO175">
        <v>2</v>
      </c>
      <c r="DP175" t="b">
        <v>1</v>
      </c>
      <c r="DQ175">
        <v>1760992125.94615</v>
      </c>
      <c r="DR175">
        <v>843.462692307692</v>
      </c>
      <c r="DS175">
        <v>892.487461538462</v>
      </c>
      <c r="DT175">
        <v>11.7770692307692</v>
      </c>
      <c r="DU175">
        <v>9.68704076923077</v>
      </c>
      <c r="DV175">
        <v>839.057307692308</v>
      </c>
      <c r="DW175">
        <v>11.8887461538462</v>
      </c>
      <c r="DX175">
        <v>499.967230769231</v>
      </c>
      <c r="DY175">
        <v>89.8367692307692</v>
      </c>
      <c r="DZ175">
        <v>0.00939975461538462</v>
      </c>
      <c r="EA175">
        <v>18.4342307692308</v>
      </c>
      <c r="EB175">
        <v>18.0163384615385</v>
      </c>
      <c r="EC175">
        <v>999.9</v>
      </c>
      <c r="ED175">
        <v>0</v>
      </c>
      <c r="EE175">
        <v>0</v>
      </c>
      <c r="EF175">
        <v>9982.59153846154</v>
      </c>
      <c r="EG175">
        <v>0</v>
      </c>
      <c r="EH175">
        <v>1278.61615384615</v>
      </c>
      <c r="EI175">
        <v>-49.0247923076923</v>
      </c>
      <c r="EJ175">
        <v>853.514692307692</v>
      </c>
      <c r="EK175">
        <v>901.217846153846</v>
      </c>
      <c r="EL175">
        <v>2.09004307692308</v>
      </c>
      <c r="EM175">
        <v>892.487461538462</v>
      </c>
      <c r="EN175">
        <v>9.68704076923077</v>
      </c>
      <c r="EO175">
        <v>1.05801538461538</v>
      </c>
      <c r="EP175">
        <v>0.870252538461538</v>
      </c>
      <c r="EQ175">
        <v>7.74077076923077</v>
      </c>
      <c r="ER175">
        <v>4.90797384615385</v>
      </c>
      <c r="ES175">
        <v>1200.00461538462</v>
      </c>
      <c r="ET175">
        <v>0.967007461538462</v>
      </c>
      <c r="EU175">
        <v>0.0329926230769231</v>
      </c>
      <c r="EV175">
        <v>0</v>
      </c>
      <c r="EW175">
        <v>1275.90076923077</v>
      </c>
      <c r="EX175">
        <v>5.00059</v>
      </c>
      <c r="EY175">
        <v>15088.5846153846</v>
      </c>
      <c r="EZ175">
        <v>10358.7769230769</v>
      </c>
      <c r="FA175">
        <v>38.2930769230769</v>
      </c>
      <c r="FB175">
        <v>40.1919230769231</v>
      </c>
      <c r="FC175">
        <v>38.7113076923077</v>
      </c>
      <c r="FD175">
        <v>39.8746923076923</v>
      </c>
      <c r="FE175">
        <v>39.1439230769231</v>
      </c>
      <c r="FF175">
        <v>1155.57769230769</v>
      </c>
      <c r="FG175">
        <v>39.4253846153846</v>
      </c>
      <c r="FH175">
        <v>0</v>
      </c>
      <c r="FI175">
        <v>989.600000143051</v>
      </c>
      <c r="FJ175">
        <v>0</v>
      </c>
      <c r="FK175">
        <v>1276.1008</v>
      </c>
      <c r="FL175">
        <v>14.3038461523186</v>
      </c>
      <c r="FM175">
        <v>144.207692247149</v>
      </c>
      <c r="FN175">
        <v>15090.116</v>
      </c>
      <c r="FO175">
        <v>15</v>
      </c>
      <c r="FP175">
        <v>0</v>
      </c>
      <c r="FQ175" t="s">
        <v>439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-49.2314047619048</v>
      </c>
      <c r="GD175">
        <v>2.11948831168831</v>
      </c>
      <c r="GE175">
        <v>0.552159287297382</v>
      </c>
      <c r="GF175">
        <v>0</v>
      </c>
      <c r="GG175">
        <v>1275.31382352941</v>
      </c>
      <c r="GH175">
        <v>14.2638655496346</v>
      </c>
      <c r="GI175">
        <v>1.41138441569198</v>
      </c>
      <c r="GJ175">
        <v>-1</v>
      </c>
      <c r="GK175">
        <v>2.09448142857143</v>
      </c>
      <c r="GL175">
        <v>-0.0812797402597399</v>
      </c>
      <c r="GM175">
        <v>0.00865095606371491</v>
      </c>
      <c r="GN175">
        <v>1</v>
      </c>
      <c r="GO175">
        <v>1</v>
      </c>
      <c r="GP175">
        <v>2</v>
      </c>
      <c r="GQ175" t="s">
        <v>446</v>
      </c>
      <c r="GR175">
        <v>3.13083</v>
      </c>
      <c r="GS175">
        <v>2.68763</v>
      </c>
      <c r="GT175">
        <v>0.150522</v>
      </c>
      <c r="GU175">
        <v>0.156711</v>
      </c>
      <c r="GV175">
        <v>0.0616028</v>
      </c>
      <c r="GW175">
        <v>0.0528867</v>
      </c>
      <c r="GX175">
        <v>32192.6</v>
      </c>
      <c r="GY175">
        <v>34340.6</v>
      </c>
      <c r="GZ175">
        <v>34263.6</v>
      </c>
      <c r="HA175">
        <v>36845.9</v>
      </c>
      <c r="HB175">
        <v>45359.9</v>
      </c>
      <c r="HC175">
        <v>50047.9</v>
      </c>
      <c r="HD175">
        <v>53336.8</v>
      </c>
      <c r="HE175">
        <v>58773.2</v>
      </c>
      <c r="HF175">
        <v>2.00815</v>
      </c>
      <c r="HG175">
        <v>1.8367</v>
      </c>
      <c r="HH175">
        <v>0.00825524</v>
      </c>
      <c r="HI175">
        <v>0</v>
      </c>
      <c r="HJ175">
        <v>17.8665</v>
      </c>
      <c r="HK175">
        <v>999.9</v>
      </c>
      <c r="HL175">
        <v>26.688</v>
      </c>
      <c r="HM175">
        <v>30.454</v>
      </c>
      <c r="HN175">
        <v>12.9908</v>
      </c>
      <c r="HO175">
        <v>54.6328</v>
      </c>
      <c r="HP175">
        <v>44.1707</v>
      </c>
      <c r="HQ175">
        <v>1</v>
      </c>
      <c r="HR175">
        <v>-0.261631</v>
      </c>
      <c r="HS175">
        <v>4.80818</v>
      </c>
      <c r="HT175">
        <v>20.0702</v>
      </c>
      <c r="HU175">
        <v>5.19902</v>
      </c>
      <c r="HV175">
        <v>12.004</v>
      </c>
      <c r="HW175">
        <v>4.9755</v>
      </c>
      <c r="HX175">
        <v>3.29298</v>
      </c>
      <c r="HY175">
        <v>9999</v>
      </c>
      <c r="HZ175">
        <v>999.9</v>
      </c>
      <c r="IA175">
        <v>9999</v>
      </c>
      <c r="IB175">
        <v>9999</v>
      </c>
      <c r="IC175">
        <v>1.86323</v>
      </c>
      <c r="ID175">
        <v>1.86807</v>
      </c>
      <c r="IE175">
        <v>1.86783</v>
      </c>
      <c r="IF175">
        <v>1.86904</v>
      </c>
      <c r="IG175">
        <v>1.86981</v>
      </c>
      <c r="IH175">
        <v>1.86586</v>
      </c>
      <c r="II175">
        <v>1.86691</v>
      </c>
      <c r="IJ175">
        <v>1.86835</v>
      </c>
      <c r="IK175">
        <v>5</v>
      </c>
      <c r="IL175">
        <v>0</v>
      </c>
      <c r="IM175">
        <v>0</v>
      </c>
      <c r="IN175">
        <v>0</v>
      </c>
      <c r="IO175" t="s">
        <v>441</v>
      </c>
      <c r="IP175" t="s">
        <v>442</v>
      </c>
      <c r="IQ175" t="s">
        <v>443</v>
      </c>
      <c r="IR175" t="s">
        <v>443</v>
      </c>
      <c r="IS175" t="s">
        <v>443</v>
      </c>
      <c r="IT175" t="s">
        <v>443</v>
      </c>
      <c r="IU175">
        <v>0</v>
      </c>
      <c r="IV175">
        <v>100</v>
      </c>
      <c r="IW175">
        <v>100</v>
      </c>
      <c r="IX175">
        <v>4.496</v>
      </c>
      <c r="IY175">
        <v>-0.1115</v>
      </c>
      <c r="IZ175">
        <v>1.12474291219083</v>
      </c>
      <c r="JA175">
        <v>0.00463155566490582</v>
      </c>
      <c r="JB175">
        <v>-1.1358998729424e-06</v>
      </c>
      <c r="JC175">
        <v>3.28704272115545e-10</v>
      </c>
      <c r="JD175">
        <v>-0.0704455108513773</v>
      </c>
      <c r="JE175">
        <v>-0.0251928478371425</v>
      </c>
      <c r="JF175">
        <v>0.00225751704194564</v>
      </c>
      <c r="JG175">
        <v>-3.61734043746866e-05</v>
      </c>
      <c r="JH175">
        <v>1</v>
      </c>
      <c r="JI175">
        <v>2182</v>
      </c>
      <c r="JJ175">
        <v>0</v>
      </c>
      <c r="JK175">
        <v>24</v>
      </c>
      <c r="JL175">
        <v>29349868.9</v>
      </c>
      <c r="JM175">
        <v>29349868.9</v>
      </c>
      <c r="JN175">
        <v>1.90552</v>
      </c>
      <c r="JO175">
        <v>2.62085</v>
      </c>
      <c r="JP175">
        <v>1.54785</v>
      </c>
      <c r="JQ175">
        <v>2.31323</v>
      </c>
      <c r="JR175">
        <v>1.64673</v>
      </c>
      <c r="JS175">
        <v>2.27173</v>
      </c>
      <c r="JT175">
        <v>33.6254</v>
      </c>
      <c r="JU175">
        <v>24.1751</v>
      </c>
      <c r="JV175">
        <v>18</v>
      </c>
      <c r="JW175">
        <v>500.759</v>
      </c>
      <c r="JX175">
        <v>394.267</v>
      </c>
      <c r="JY175">
        <v>11.5526</v>
      </c>
      <c r="JZ175">
        <v>23.9833</v>
      </c>
      <c r="KA175">
        <v>30.0003</v>
      </c>
      <c r="KB175">
        <v>23.9725</v>
      </c>
      <c r="KC175">
        <v>23.9398</v>
      </c>
      <c r="KD175">
        <v>38.2057</v>
      </c>
      <c r="KE175">
        <v>8.16414</v>
      </c>
      <c r="KF175">
        <v>26.5359</v>
      </c>
      <c r="KG175">
        <v>11.5431</v>
      </c>
      <c r="KH175">
        <v>940.722</v>
      </c>
      <c r="KI175">
        <v>9.78061</v>
      </c>
      <c r="KJ175">
        <v>97.0362</v>
      </c>
      <c r="KK175">
        <v>95.297</v>
      </c>
    </row>
    <row r="176" spans="1:297">
      <c r="A176">
        <v>160</v>
      </c>
      <c r="B176">
        <v>1760992139.1</v>
      </c>
      <c r="C176">
        <v>2949</v>
      </c>
      <c r="D176" t="s">
        <v>773</v>
      </c>
      <c r="E176" t="s">
        <v>774</v>
      </c>
      <c r="F176">
        <v>5</v>
      </c>
      <c r="G176" t="s">
        <v>662</v>
      </c>
      <c r="H176" t="s">
        <v>436</v>
      </c>
      <c r="I176">
        <v>1760992130.94615</v>
      </c>
      <c r="J176">
        <f>(K176)/1000</f>
        <v>0</v>
      </c>
      <c r="K176">
        <f>IF(DP176, AN176, AH176)</f>
        <v>0</v>
      </c>
      <c r="L176">
        <f>IF(DP176, AI176, AG176)</f>
        <v>0</v>
      </c>
      <c r="M176">
        <f>DR176 - IF(AU176&gt;1, L176*DL176*100.0/(AW176), 0)</f>
        <v>0</v>
      </c>
      <c r="N176">
        <f>((T176-J176/2)*M176-L176)/(T176+J176/2)</f>
        <v>0</v>
      </c>
      <c r="O176">
        <f>N176*(DY176+DZ176)/1000.0</f>
        <v>0</v>
      </c>
      <c r="P176">
        <f>(DR176 - IF(AU176&gt;1, L176*DL176*100.0/(AW176), 0))*(DY176+DZ176)/1000.0</f>
        <v>0</v>
      </c>
      <c r="Q176">
        <f>2.0/((1/S176-1/R176)+SIGN(S176)*SQRT((1/S176-1/R176)*(1/S176-1/R176) + 4*DM176/((DM176+1)*(DM176+1))*(2*1/S176*1/R176-1/R176*1/R176)))</f>
        <v>0</v>
      </c>
      <c r="R176">
        <f>IF(LEFT(DN176,1)&lt;&gt;"0",IF(LEFT(DN176,1)="1",3.0,DO176),$D$5+$E$5*(EF176*DY176/($K$5*1000))+$F$5*(EF176*DY176/($K$5*1000))*MAX(MIN(DL176,$J$5),$I$5)*MAX(MIN(DL176,$J$5),$I$5)+$G$5*MAX(MIN(DL176,$J$5),$I$5)*(EF176*DY176/($K$5*1000))+$H$5*(EF176*DY176/($K$5*1000))*(EF176*DY176/($K$5*1000)))</f>
        <v>0</v>
      </c>
      <c r="S176">
        <f>J176*(1000-(1000*0.61365*exp(17.502*W176/(240.97+W176))/(DY176+DZ176)+DT176)/2)/(1000*0.61365*exp(17.502*W176/(240.97+W176))/(DY176+DZ176)-DT176)</f>
        <v>0</v>
      </c>
      <c r="T176">
        <f>1/((DM176+1)/(Q176/1.6)+1/(R176/1.37)) + DM176/((DM176+1)/(Q176/1.6) + DM176/(R176/1.37))</f>
        <v>0</v>
      </c>
      <c r="U176">
        <f>(DH176*DK176)</f>
        <v>0</v>
      </c>
      <c r="V176">
        <f>(EA176+(U176+2*0.95*5.67E-8*(((EA176+$B$7)+273)^4-(EA176+273)^4)-44100*J176)/(1.84*29.3*R176+8*0.95*5.67E-8*(EA176+273)^3))</f>
        <v>0</v>
      </c>
      <c r="W176">
        <f>($C$7*EB176+$D$7*EC176+$E$7*V176)</f>
        <v>0</v>
      </c>
      <c r="X176">
        <f>0.61365*exp(17.502*W176/(240.97+W176))</f>
        <v>0</v>
      </c>
      <c r="Y176">
        <f>(Z176/AA176*100)</f>
        <v>0</v>
      </c>
      <c r="Z176">
        <f>DT176*(DY176+DZ176)/1000</f>
        <v>0</v>
      </c>
      <c r="AA176">
        <f>0.61365*exp(17.502*EA176/(240.97+EA176))</f>
        <v>0</v>
      </c>
      <c r="AB176">
        <f>(X176-DT176*(DY176+DZ176)/1000)</f>
        <v>0</v>
      </c>
      <c r="AC176">
        <f>(-J176*44100)</f>
        <v>0</v>
      </c>
      <c r="AD176">
        <f>2*29.3*R176*0.92*(EA176-W176)</f>
        <v>0</v>
      </c>
      <c r="AE176">
        <f>2*0.95*5.67E-8*(((EA176+$B$7)+273)^4-(W176+273)^4)</f>
        <v>0</v>
      </c>
      <c r="AF176">
        <f>U176+AE176+AC176+AD176</f>
        <v>0</v>
      </c>
      <c r="AG176">
        <f>DX176*AU176*(DS176-DR176*(1000-AU176*DU176)/(1000-AU176*DT176))/(100*DL176)</f>
        <v>0</v>
      </c>
      <c r="AH176">
        <f>1000*DX176*AU176*(DT176-DU176)/(100*DL176*(1000-AU176*DT176))</f>
        <v>0</v>
      </c>
      <c r="AI176">
        <f>(AJ176 - AK176 - DY176*1E3/(8.314*(EA176+273.15)) * AM176/DX176 * AL176) * DX176/(100*DL176) * (1000 - DU176)/1000</f>
        <v>0</v>
      </c>
      <c r="AJ176">
        <v>934.497484472745</v>
      </c>
      <c r="AK176">
        <v>894.308303030302</v>
      </c>
      <c r="AL176">
        <v>3.42504542878534</v>
      </c>
      <c r="AM176">
        <v>65.2210784119795</v>
      </c>
      <c r="AN176">
        <f>(AP176 - AO176 + DY176*1E3/(8.314*(EA176+273.15)) * AR176/DX176 * AQ176) * DX176/(100*DL176) * 1000/(1000 - AP176)</f>
        <v>0</v>
      </c>
      <c r="AO176">
        <v>9.71023509038207</v>
      </c>
      <c r="AP176">
        <v>11.8003351515152</v>
      </c>
      <c r="AQ176">
        <v>0.000107454037120298</v>
      </c>
      <c r="AR176">
        <v>115.574510355221</v>
      </c>
      <c r="AS176">
        <v>0</v>
      </c>
      <c r="AT176">
        <v>0</v>
      </c>
      <c r="AU176">
        <f>IF(AS176*$H$13&gt;=AW176,1.0,(AW176/(AW176-AS176*$H$13)))</f>
        <v>0</v>
      </c>
      <c r="AV176">
        <f>(AU176-1)*100</f>
        <v>0</v>
      </c>
      <c r="AW176">
        <f>MAX(0,($B$13+$C$13*EF176)/(1+$D$13*EF176)*DY176/(EA176+273)*$E$13)</f>
        <v>0</v>
      </c>
      <c r="AX176" t="s">
        <v>437</v>
      </c>
      <c r="AY176" t="s">
        <v>437</v>
      </c>
      <c r="AZ176">
        <v>0</v>
      </c>
      <c r="BA176">
        <v>0</v>
      </c>
      <c r="BB176">
        <f>1-AZ176/BA176</f>
        <v>0</v>
      </c>
      <c r="BC176">
        <v>0</v>
      </c>
      <c r="BD176" t="s">
        <v>437</v>
      </c>
      <c r="BE176" t="s">
        <v>437</v>
      </c>
      <c r="BF176">
        <v>0</v>
      </c>
      <c r="BG176">
        <v>0</v>
      </c>
      <c r="BH176">
        <f>1-BF176/BG176</f>
        <v>0</v>
      </c>
      <c r="BI176">
        <v>0.5</v>
      </c>
      <c r="BJ176">
        <f>DI176</f>
        <v>0</v>
      </c>
      <c r="BK176">
        <f>L176</f>
        <v>0</v>
      </c>
      <c r="BL176">
        <f>BH176*BI176*BJ176</f>
        <v>0</v>
      </c>
      <c r="BM176">
        <f>(BK176-BC176)/BJ176</f>
        <v>0</v>
      </c>
      <c r="BN176">
        <f>(BA176-BG176)/BG176</f>
        <v>0</v>
      </c>
      <c r="BO176">
        <f>AZ176/(BB176+AZ176/BG176)</f>
        <v>0</v>
      </c>
      <c r="BP176" t="s">
        <v>437</v>
      </c>
      <c r="BQ176">
        <v>0</v>
      </c>
      <c r="BR176">
        <f>IF(BQ176&lt;&gt;0, BQ176, BO176)</f>
        <v>0</v>
      </c>
      <c r="BS176">
        <f>1-BR176/BG176</f>
        <v>0</v>
      </c>
      <c r="BT176">
        <f>(BG176-BF176)/(BG176-BR176)</f>
        <v>0</v>
      </c>
      <c r="BU176">
        <f>(BA176-BG176)/(BA176-BR176)</f>
        <v>0</v>
      </c>
      <c r="BV176">
        <f>(BG176-BF176)/(BG176-AZ176)</f>
        <v>0</v>
      </c>
      <c r="BW176">
        <f>(BA176-BG176)/(BA176-AZ176)</f>
        <v>0</v>
      </c>
      <c r="BX176">
        <f>(BT176*BR176/BF176)</f>
        <v>0</v>
      </c>
      <c r="BY176">
        <f>(1-BX176)</f>
        <v>0</v>
      </c>
      <c r="BZ176">
        <v>282</v>
      </c>
      <c r="CA176">
        <v>290</v>
      </c>
      <c r="CB176">
        <v>1577.74</v>
      </c>
      <c r="CC176">
        <v>295</v>
      </c>
      <c r="CD176">
        <v>5140.93</v>
      </c>
      <c r="CE176">
        <v>1578.58</v>
      </c>
      <c r="CF176">
        <v>-0.84</v>
      </c>
      <c r="CG176">
        <v>300</v>
      </c>
      <c r="CH176">
        <v>23.8</v>
      </c>
      <c r="CI176">
        <v>1633.28263291266</v>
      </c>
      <c r="CJ176">
        <v>1.49577129053257</v>
      </c>
      <c r="CK176">
        <v>-28.1203876934379</v>
      </c>
      <c r="CL176">
        <v>0.666413418688897</v>
      </c>
      <c r="CM176">
        <v>0.984518017981194</v>
      </c>
      <c r="CN176">
        <v>-0.00424727541713014</v>
      </c>
      <c r="CO176">
        <v>290</v>
      </c>
      <c r="CP176">
        <v>1576.56</v>
      </c>
      <c r="CQ176">
        <v>775</v>
      </c>
      <c r="CR176">
        <v>5139.5</v>
      </c>
      <c r="CS176">
        <v>1578.57</v>
      </c>
      <c r="CT176">
        <v>-2.01</v>
      </c>
      <c r="DH176">
        <f>$B$11*EG176+$C$11*EH176+$F$11*ES176*(1-EV176)</f>
        <v>0</v>
      </c>
      <c r="DI176">
        <f>DH176*DJ176</f>
        <v>0</v>
      </c>
      <c r="DJ176">
        <f>($B$11*$D$9+$C$11*$D$9+$F$11*((FF176+EX176)/MAX(FF176+EX176+FG176, 0.1)*$I$9+FG176/MAX(FF176+EX176+FG176, 0.1)*$J$9))/($B$11+$C$11+$F$11)</f>
        <v>0</v>
      </c>
      <c r="DK176">
        <f>($B$11*$K$9+$C$11*$K$9+$F$11*((FF176+EX176)/MAX(FF176+EX176+FG176, 0.1)*$P$9+FG176/MAX(FF176+EX176+FG176, 0.1)*$Q$9))/($B$11+$C$11+$F$11)</f>
        <v>0</v>
      </c>
      <c r="DL176">
        <v>6</v>
      </c>
      <c r="DM176">
        <v>0.5</v>
      </c>
      <c r="DN176" t="s">
        <v>438</v>
      </c>
      <c r="DO176">
        <v>2</v>
      </c>
      <c r="DP176" t="b">
        <v>1</v>
      </c>
      <c r="DQ176">
        <v>1760992130.94615</v>
      </c>
      <c r="DR176">
        <v>859.946461538461</v>
      </c>
      <c r="DS176">
        <v>909.151384615385</v>
      </c>
      <c r="DT176">
        <v>11.7872769230769</v>
      </c>
      <c r="DU176">
        <v>9.69937307692308</v>
      </c>
      <c r="DV176">
        <v>855.485076923077</v>
      </c>
      <c r="DW176">
        <v>11.8988153846154</v>
      </c>
      <c r="DX176">
        <v>500.009769230769</v>
      </c>
      <c r="DY176">
        <v>89.8363384615385</v>
      </c>
      <c r="DZ176">
        <v>0.00944790153846154</v>
      </c>
      <c r="EA176">
        <v>18.4317538461538</v>
      </c>
      <c r="EB176">
        <v>18.0119076923077</v>
      </c>
      <c r="EC176">
        <v>999.9</v>
      </c>
      <c r="ED176">
        <v>0</v>
      </c>
      <c r="EE176">
        <v>0</v>
      </c>
      <c r="EF176">
        <v>9986.16076923077</v>
      </c>
      <c r="EG176">
        <v>0</v>
      </c>
      <c r="EH176">
        <v>1278.59923076923</v>
      </c>
      <c r="EI176">
        <v>-49.2051</v>
      </c>
      <c r="EJ176">
        <v>870.203923076923</v>
      </c>
      <c r="EK176">
        <v>918.056230769231</v>
      </c>
      <c r="EL176">
        <v>2.08791615384615</v>
      </c>
      <c r="EM176">
        <v>909.151384615385</v>
      </c>
      <c r="EN176">
        <v>9.69937307692308</v>
      </c>
      <c r="EO176">
        <v>1.05892692307692</v>
      </c>
      <c r="EP176">
        <v>0.871356230769231</v>
      </c>
      <c r="EQ176">
        <v>7.75340538461538</v>
      </c>
      <c r="ER176">
        <v>4.92614923076923</v>
      </c>
      <c r="ES176">
        <v>1199.99230769231</v>
      </c>
      <c r="ET176">
        <v>0.967008076923077</v>
      </c>
      <c r="EU176">
        <v>0.0329921076923077</v>
      </c>
      <c r="EV176">
        <v>0</v>
      </c>
      <c r="EW176">
        <v>1277.12</v>
      </c>
      <c r="EX176">
        <v>5.00059</v>
      </c>
      <c r="EY176">
        <v>15099.3923076923</v>
      </c>
      <c r="EZ176">
        <v>10358.6769230769</v>
      </c>
      <c r="FA176">
        <v>38.2209230769231</v>
      </c>
      <c r="FB176">
        <v>40.0813846153846</v>
      </c>
      <c r="FC176">
        <v>38.6439230769231</v>
      </c>
      <c r="FD176">
        <v>39.7160769230769</v>
      </c>
      <c r="FE176">
        <v>39.0766923076923</v>
      </c>
      <c r="FF176">
        <v>1155.56461538462</v>
      </c>
      <c r="FG176">
        <v>39.4261538461538</v>
      </c>
      <c r="FH176">
        <v>0</v>
      </c>
      <c r="FI176">
        <v>995</v>
      </c>
      <c r="FJ176">
        <v>0</v>
      </c>
      <c r="FK176">
        <v>1277.28423076923</v>
      </c>
      <c r="FL176">
        <v>13.7405128193072</v>
      </c>
      <c r="FM176">
        <v>125.716239342492</v>
      </c>
      <c r="FN176">
        <v>15101.3692307692</v>
      </c>
      <c r="FO176">
        <v>15</v>
      </c>
      <c r="FP176">
        <v>0</v>
      </c>
      <c r="FQ176" t="s">
        <v>439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-49.2209714285714</v>
      </c>
      <c r="GD176">
        <v>-1.44483896103898</v>
      </c>
      <c r="GE176">
        <v>0.536990878829034</v>
      </c>
      <c r="GF176">
        <v>0</v>
      </c>
      <c r="GG176">
        <v>1276.28588235294</v>
      </c>
      <c r="GH176">
        <v>14.3199388872443</v>
      </c>
      <c r="GI176">
        <v>1.41498309623465</v>
      </c>
      <c r="GJ176">
        <v>-1</v>
      </c>
      <c r="GK176">
        <v>2.09032952380952</v>
      </c>
      <c r="GL176">
        <v>-0.041150649350652</v>
      </c>
      <c r="GM176">
        <v>0.00499410555048979</v>
      </c>
      <c r="GN176">
        <v>1</v>
      </c>
      <c r="GO176">
        <v>1</v>
      </c>
      <c r="GP176">
        <v>2</v>
      </c>
      <c r="GQ176" t="s">
        <v>446</v>
      </c>
      <c r="GR176">
        <v>3.13093</v>
      </c>
      <c r="GS176">
        <v>2.68695</v>
      </c>
      <c r="GT176">
        <v>0.15244</v>
      </c>
      <c r="GU176">
        <v>0.158463</v>
      </c>
      <c r="GV176">
        <v>0.0616326</v>
      </c>
      <c r="GW176">
        <v>0.0529061</v>
      </c>
      <c r="GX176">
        <v>32119.8</v>
      </c>
      <c r="GY176">
        <v>34269.2</v>
      </c>
      <c r="GZ176">
        <v>34263.3</v>
      </c>
      <c r="HA176">
        <v>36845.8</v>
      </c>
      <c r="HB176">
        <v>45358.6</v>
      </c>
      <c r="HC176">
        <v>50046.6</v>
      </c>
      <c r="HD176">
        <v>53336.7</v>
      </c>
      <c r="HE176">
        <v>58772.6</v>
      </c>
      <c r="HF176">
        <v>2.00825</v>
      </c>
      <c r="HG176">
        <v>1.83637</v>
      </c>
      <c r="HH176">
        <v>0.00862777</v>
      </c>
      <c r="HI176">
        <v>0</v>
      </c>
      <c r="HJ176">
        <v>17.8665</v>
      </c>
      <c r="HK176">
        <v>999.9</v>
      </c>
      <c r="HL176">
        <v>26.688</v>
      </c>
      <c r="HM176">
        <v>30.454</v>
      </c>
      <c r="HN176">
        <v>12.9905</v>
      </c>
      <c r="HO176">
        <v>54.5528</v>
      </c>
      <c r="HP176">
        <v>44.1146</v>
      </c>
      <c r="HQ176">
        <v>1</v>
      </c>
      <c r="HR176">
        <v>-0.2614</v>
      </c>
      <c r="HS176">
        <v>4.77661</v>
      </c>
      <c r="HT176">
        <v>20.0714</v>
      </c>
      <c r="HU176">
        <v>5.19992</v>
      </c>
      <c r="HV176">
        <v>12.004</v>
      </c>
      <c r="HW176">
        <v>4.9754</v>
      </c>
      <c r="HX176">
        <v>3.29298</v>
      </c>
      <c r="HY176">
        <v>9999</v>
      </c>
      <c r="HZ176">
        <v>999.9</v>
      </c>
      <c r="IA176">
        <v>9999</v>
      </c>
      <c r="IB176">
        <v>9999</v>
      </c>
      <c r="IC176">
        <v>1.86322</v>
      </c>
      <c r="ID176">
        <v>1.86809</v>
      </c>
      <c r="IE176">
        <v>1.86783</v>
      </c>
      <c r="IF176">
        <v>1.86904</v>
      </c>
      <c r="IG176">
        <v>1.86981</v>
      </c>
      <c r="IH176">
        <v>1.86584</v>
      </c>
      <c r="II176">
        <v>1.86691</v>
      </c>
      <c r="IJ176">
        <v>1.86835</v>
      </c>
      <c r="IK176">
        <v>5</v>
      </c>
      <c r="IL176">
        <v>0</v>
      </c>
      <c r="IM176">
        <v>0</v>
      </c>
      <c r="IN176">
        <v>0</v>
      </c>
      <c r="IO176" t="s">
        <v>441</v>
      </c>
      <c r="IP176" t="s">
        <v>442</v>
      </c>
      <c r="IQ176" t="s">
        <v>443</v>
      </c>
      <c r="IR176" t="s">
        <v>443</v>
      </c>
      <c r="IS176" t="s">
        <v>443</v>
      </c>
      <c r="IT176" t="s">
        <v>443</v>
      </c>
      <c r="IU176">
        <v>0</v>
      </c>
      <c r="IV176">
        <v>100</v>
      </c>
      <c r="IW176">
        <v>100</v>
      </c>
      <c r="IX176">
        <v>4.553</v>
      </c>
      <c r="IY176">
        <v>-0.1114</v>
      </c>
      <c r="IZ176">
        <v>1.12474291219083</v>
      </c>
      <c r="JA176">
        <v>0.00463155566490582</v>
      </c>
      <c r="JB176">
        <v>-1.1358998729424e-06</v>
      </c>
      <c r="JC176">
        <v>3.28704272115545e-10</v>
      </c>
      <c r="JD176">
        <v>-0.0704455108513773</v>
      </c>
      <c r="JE176">
        <v>-0.0251928478371425</v>
      </c>
      <c r="JF176">
        <v>0.00225751704194564</v>
      </c>
      <c r="JG176">
        <v>-3.61734043746866e-05</v>
      </c>
      <c r="JH176">
        <v>1</v>
      </c>
      <c r="JI176">
        <v>2182</v>
      </c>
      <c r="JJ176">
        <v>0</v>
      </c>
      <c r="JK176">
        <v>24</v>
      </c>
      <c r="JL176">
        <v>29349869</v>
      </c>
      <c r="JM176">
        <v>29349869</v>
      </c>
      <c r="JN176">
        <v>1.93359</v>
      </c>
      <c r="JO176">
        <v>2.62329</v>
      </c>
      <c r="JP176">
        <v>1.54785</v>
      </c>
      <c r="JQ176">
        <v>2.31323</v>
      </c>
      <c r="JR176">
        <v>1.64673</v>
      </c>
      <c r="JS176">
        <v>2.25586</v>
      </c>
      <c r="JT176">
        <v>33.6254</v>
      </c>
      <c r="JU176">
        <v>24.1751</v>
      </c>
      <c r="JV176">
        <v>18</v>
      </c>
      <c r="JW176">
        <v>500.826</v>
      </c>
      <c r="JX176">
        <v>394.103</v>
      </c>
      <c r="JY176">
        <v>11.5386</v>
      </c>
      <c r="JZ176">
        <v>23.9833</v>
      </c>
      <c r="KA176">
        <v>30.0001</v>
      </c>
      <c r="KB176">
        <v>23.9729</v>
      </c>
      <c r="KC176">
        <v>23.9407</v>
      </c>
      <c r="KD176">
        <v>38.7629</v>
      </c>
      <c r="KE176">
        <v>7.87357</v>
      </c>
      <c r="KF176">
        <v>26.5359</v>
      </c>
      <c r="KG176">
        <v>11.5406</v>
      </c>
      <c r="KH176">
        <v>954.246</v>
      </c>
      <c r="KI176">
        <v>9.78315</v>
      </c>
      <c r="KJ176">
        <v>97.0358</v>
      </c>
      <c r="KK176">
        <v>95.2963</v>
      </c>
    </row>
    <row r="177" spans="1:297">
      <c r="A177">
        <v>161</v>
      </c>
      <c r="B177">
        <v>1760992144.1</v>
      </c>
      <c r="C177">
        <v>2954</v>
      </c>
      <c r="D177" t="s">
        <v>775</v>
      </c>
      <c r="E177" t="s">
        <v>776</v>
      </c>
      <c r="F177">
        <v>5</v>
      </c>
      <c r="G177" t="s">
        <v>662</v>
      </c>
      <c r="H177" t="s">
        <v>436</v>
      </c>
      <c r="I177">
        <v>1760992135.94615</v>
      </c>
      <c r="J177">
        <f>(K177)/1000</f>
        <v>0</v>
      </c>
      <c r="K177">
        <f>IF(DP177, AN177, AH177)</f>
        <v>0</v>
      </c>
      <c r="L177">
        <f>IF(DP177, AI177, AG177)</f>
        <v>0</v>
      </c>
      <c r="M177">
        <f>DR177 - IF(AU177&gt;1, L177*DL177*100.0/(AW177), 0)</f>
        <v>0</v>
      </c>
      <c r="N177">
        <f>((T177-J177/2)*M177-L177)/(T177+J177/2)</f>
        <v>0</v>
      </c>
      <c r="O177">
        <f>N177*(DY177+DZ177)/1000.0</f>
        <v>0</v>
      </c>
      <c r="P177">
        <f>(DR177 - IF(AU177&gt;1, L177*DL177*100.0/(AW177), 0))*(DY177+DZ177)/1000.0</f>
        <v>0</v>
      </c>
      <c r="Q177">
        <f>2.0/((1/S177-1/R177)+SIGN(S177)*SQRT((1/S177-1/R177)*(1/S177-1/R177) + 4*DM177/((DM177+1)*(DM177+1))*(2*1/S177*1/R177-1/R177*1/R177)))</f>
        <v>0</v>
      </c>
      <c r="R177">
        <f>IF(LEFT(DN177,1)&lt;&gt;"0",IF(LEFT(DN177,1)="1",3.0,DO177),$D$5+$E$5*(EF177*DY177/($K$5*1000))+$F$5*(EF177*DY177/($K$5*1000))*MAX(MIN(DL177,$J$5),$I$5)*MAX(MIN(DL177,$J$5),$I$5)+$G$5*MAX(MIN(DL177,$J$5),$I$5)*(EF177*DY177/($K$5*1000))+$H$5*(EF177*DY177/($K$5*1000))*(EF177*DY177/($K$5*1000)))</f>
        <v>0</v>
      </c>
      <c r="S177">
        <f>J177*(1000-(1000*0.61365*exp(17.502*W177/(240.97+W177))/(DY177+DZ177)+DT177)/2)/(1000*0.61365*exp(17.502*W177/(240.97+W177))/(DY177+DZ177)-DT177)</f>
        <v>0</v>
      </c>
      <c r="T177">
        <f>1/((DM177+1)/(Q177/1.6)+1/(R177/1.37)) + DM177/((DM177+1)/(Q177/1.6) + DM177/(R177/1.37))</f>
        <v>0</v>
      </c>
      <c r="U177">
        <f>(DH177*DK177)</f>
        <v>0</v>
      </c>
      <c r="V177">
        <f>(EA177+(U177+2*0.95*5.67E-8*(((EA177+$B$7)+273)^4-(EA177+273)^4)-44100*J177)/(1.84*29.3*R177+8*0.95*5.67E-8*(EA177+273)^3))</f>
        <v>0</v>
      </c>
      <c r="W177">
        <f>($C$7*EB177+$D$7*EC177+$E$7*V177)</f>
        <v>0</v>
      </c>
      <c r="X177">
        <f>0.61365*exp(17.502*W177/(240.97+W177))</f>
        <v>0</v>
      </c>
      <c r="Y177">
        <f>(Z177/AA177*100)</f>
        <v>0</v>
      </c>
      <c r="Z177">
        <f>DT177*(DY177+DZ177)/1000</f>
        <v>0</v>
      </c>
      <c r="AA177">
        <f>0.61365*exp(17.502*EA177/(240.97+EA177))</f>
        <v>0</v>
      </c>
      <c r="AB177">
        <f>(X177-DT177*(DY177+DZ177)/1000)</f>
        <v>0</v>
      </c>
      <c r="AC177">
        <f>(-J177*44100)</f>
        <v>0</v>
      </c>
      <c r="AD177">
        <f>2*29.3*R177*0.92*(EA177-W177)</f>
        <v>0</v>
      </c>
      <c r="AE177">
        <f>2*0.95*5.67E-8*(((EA177+$B$7)+273)^4-(W177+273)^4)</f>
        <v>0</v>
      </c>
      <c r="AF177">
        <f>U177+AE177+AC177+AD177</f>
        <v>0</v>
      </c>
      <c r="AG177">
        <f>DX177*AU177*(DS177-DR177*(1000-AU177*DU177)/(1000-AU177*DT177))/(100*DL177)</f>
        <v>0</v>
      </c>
      <c r="AH177">
        <f>1000*DX177*AU177*(DT177-DU177)/(100*DL177*(1000-AU177*DT177))</f>
        <v>0</v>
      </c>
      <c r="AI177">
        <f>(AJ177 - AK177 - DY177*1E3/(8.314*(EA177+273.15)) * AM177/DX177 * AL177) * DX177/(100*DL177) * (1000 - DU177)/1000</f>
        <v>0</v>
      </c>
      <c r="AJ177">
        <v>950.851918703918</v>
      </c>
      <c r="AK177">
        <v>910.92223030303</v>
      </c>
      <c r="AL177">
        <v>3.33611095083733</v>
      </c>
      <c r="AM177">
        <v>65.2210784119795</v>
      </c>
      <c r="AN177">
        <f>(AP177 - AO177 + DY177*1E3/(8.314*(EA177+273.15)) * AR177/DX177 * AQ177) * DX177/(100*DL177) * 1000/(1000 - AP177)</f>
        <v>0</v>
      </c>
      <c r="AO177">
        <v>9.72507613698132</v>
      </c>
      <c r="AP177">
        <v>11.8080975757576</v>
      </c>
      <c r="AQ177">
        <v>0.000118095955182825</v>
      </c>
      <c r="AR177">
        <v>115.574510355221</v>
      </c>
      <c r="AS177">
        <v>0</v>
      </c>
      <c r="AT177">
        <v>0</v>
      </c>
      <c r="AU177">
        <f>IF(AS177*$H$13&gt;=AW177,1.0,(AW177/(AW177-AS177*$H$13)))</f>
        <v>0</v>
      </c>
      <c r="AV177">
        <f>(AU177-1)*100</f>
        <v>0</v>
      </c>
      <c r="AW177">
        <f>MAX(0,($B$13+$C$13*EF177)/(1+$D$13*EF177)*DY177/(EA177+273)*$E$13)</f>
        <v>0</v>
      </c>
      <c r="AX177" t="s">
        <v>437</v>
      </c>
      <c r="AY177" t="s">
        <v>437</v>
      </c>
      <c r="AZ177">
        <v>0</v>
      </c>
      <c r="BA177">
        <v>0</v>
      </c>
      <c r="BB177">
        <f>1-AZ177/BA177</f>
        <v>0</v>
      </c>
      <c r="BC177">
        <v>0</v>
      </c>
      <c r="BD177" t="s">
        <v>437</v>
      </c>
      <c r="BE177" t="s">
        <v>437</v>
      </c>
      <c r="BF177">
        <v>0</v>
      </c>
      <c r="BG177">
        <v>0</v>
      </c>
      <c r="BH177">
        <f>1-BF177/BG177</f>
        <v>0</v>
      </c>
      <c r="BI177">
        <v>0.5</v>
      </c>
      <c r="BJ177">
        <f>DI177</f>
        <v>0</v>
      </c>
      <c r="BK177">
        <f>L177</f>
        <v>0</v>
      </c>
      <c r="BL177">
        <f>BH177*BI177*BJ177</f>
        <v>0</v>
      </c>
      <c r="BM177">
        <f>(BK177-BC177)/BJ177</f>
        <v>0</v>
      </c>
      <c r="BN177">
        <f>(BA177-BG177)/BG177</f>
        <v>0</v>
      </c>
      <c r="BO177">
        <f>AZ177/(BB177+AZ177/BG177)</f>
        <v>0</v>
      </c>
      <c r="BP177" t="s">
        <v>437</v>
      </c>
      <c r="BQ177">
        <v>0</v>
      </c>
      <c r="BR177">
        <f>IF(BQ177&lt;&gt;0, BQ177, BO177)</f>
        <v>0</v>
      </c>
      <c r="BS177">
        <f>1-BR177/BG177</f>
        <v>0</v>
      </c>
      <c r="BT177">
        <f>(BG177-BF177)/(BG177-BR177)</f>
        <v>0</v>
      </c>
      <c r="BU177">
        <f>(BA177-BG177)/(BA177-BR177)</f>
        <v>0</v>
      </c>
      <c r="BV177">
        <f>(BG177-BF177)/(BG177-AZ177)</f>
        <v>0</v>
      </c>
      <c r="BW177">
        <f>(BA177-BG177)/(BA177-AZ177)</f>
        <v>0</v>
      </c>
      <c r="BX177">
        <f>(BT177*BR177/BF177)</f>
        <v>0</v>
      </c>
      <c r="BY177">
        <f>(1-BX177)</f>
        <v>0</v>
      </c>
      <c r="BZ177">
        <v>282</v>
      </c>
      <c r="CA177">
        <v>290</v>
      </c>
      <c r="CB177">
        <v>1577.74</v>
      </c>
      <c r="CC177">
        <v>295</v>
      </c>
      <c r="CD177">
        <v>5140.93</v>
      </c>
      <c r="CE177">
        <v>1578.58</v>
      </c>
      <c r="CF177">
        <v>-0.84</v>
      </c>
      <c r="CG177">
        <v>300</v>
      </c>
      <c r="CH177">
        <v>23.8</v>
      </c>
      <c r="CI177">
        <v>1633.28263291266</v>
      </c>
      <c r="CJ177">
        <v>1.49577129053257</v>
      </c>
      <c r="CK177">
        <v>-28.1203876934379</v>
      </c>
      <c r="CL177">
        <v>0.666413418688897</v>
      </c>
      <c r="CM177">
        <v>0.984518017981194</v>
      </c>
      <c r="CN177">
        <v>-0.00424727541713014</v>
      </c>
      <c r="CO177">
        <v>290</v>
      </c>
      <c r="CP177">
        <v>1576.56</v>
      </c>
      <c r="CQ177">
        <v>775</v>
      </c>
      <c r="CR177">
        <v>5139.5</v>
      </c>
      <c r="CS177">
        <v>1578.57</v>
      </c>
      <c r="CT177">
        <v>-2.01</v>
      </c>
      <c r="DH177">
        <f>$B$11*EG177+$C$11*EH177+$F$11*ES177*(1-EV177)</f>
        <v>0</v>
      </c>
      <c r="DI177">
        <f>DH177*DJ177</f>
        <v>0</v>
      </c>
      <c r="DJ177">
        <f>($B$11*$D$9+$C$11*$D$9+$F$11*((FF177+EX177)/MAX(FF177+EX177+FG177, 0.1)*$I$9+FG177/MAX(FF177+EX177+FG177, 0.1)*$J$9))/($B$11+$C$11+$F$11)</f>
        <v>0</v>
      </c>
      <c r="DK177">
        <f>($B$11*$K$9+$C$11*$K$9+$F$11*((FF177+EX177)/MAX(FF177+EX177+FG177, 0.1)*$P$9+FG177/MAX(FF177+EX177+FG177, 0.1)*$Q$9))/($B$11+$C$11+$F$11)</f>
        <v>0</v>
      </c>
      <c r="DL177">
        <v>6</v>
      </c>
      <c r="DM177">
        <v>0.5</v>
      </c>
      <c r="DN177" t="s">
        <v>438</v>
      </c>
      <c r="DO177">
        <v>2</v>
      </c>
      <c r="DP177" t="b">
        <v>1</v>
      </c>
      <c r="DQ177">
        <v>1760992135.94615</v>
      </c>
      <c r="DR177">
        <v>876.444846153846</v>
      </c>
      <c r="DS177">
        <v>925.937</v>
      </c>
      <c r="DT177">
        <v>11.7961384615385</v>
      </c>
      <c r="DU177">
        <v>9.71008153846154</v>
      </c>
      <c r="DV177">
        <v>871.927461538462</v>
      </c>
      <c r="DW177">
        <v>11.9075615384615</v>
      </c>
      <c r="DX177">
        <v>499.997461538462</v>
      </c>
      <c r="DY177">
        <v>89.8367076923077</v>
      </c>
      <c r="DZ177">
        <v>0.00937628384615385</v>
      </c>
      <c r="EA177">
        <v>18.4328384615385</v>
      </c>
      <c r="EB177">
        <v>18.0081384615385</v>
      </c>
      <c r="EC177">
        <v>999.9</v>
      </c>
      <c r="ED177">
        <v>0</v>
      </c>
      <c r="EE177">
        <v>0</v>
      </c>
      <c r="EF177">
        <v>9995.29461538462</v>
      </c>
      <c r="EG177">
        <v>0</v>
      </c>
      <c r="EH177">
        <v>1278.58692307692</v>
      </c>
      <c r="EI177">
        <v>-49.4922538461538</v>
      </c>
      <c r="EJ177">
        <v>886.907</v>
      </c>
      <c r="EK177">
        <v>935.016153846154</v>
      </c>
      <c r="EL177">
        <v>2.08606153846154</v>
      </c>
      <c r="EM177">
        <v>925.937</v>
      </c>
      <c r="EN177">
        <v>9.71008153846154</v>
      </c>
      <c r="EO177">
        <v>1.05972692307692</v>
      </c>
      <c r="EP177">
        <v>0.872321769230769</v>
      </c>
      <c r="EQ177">
        <v>7.76448</v>
      </c>
      <c r="ER177">
        <v>4.94203</v>
      </c>
      <c r="ES177">
        <v>1199.98076923077</v>
      </c>
      <c r="ET177">
        <v>0.967006846153846</v>
      </c>
      <c r="EU177">
        <v>0.0329934076923077</v>
      </c>
      <c r="EV177">
        <v>0</v>
      </c>
      <c r="EW177">
        <v>1278.21692307692</v>
      </c>
      <c r="EX177">
        <v>5.00059</v>
      </c>
      <c r="EY177">
        <v>15110.0538461538</v>
      </c>
      <c r="EZ177">
        <v>10358.5769230769</v>
      </c>
      <c r="FA177">
        <v>38.1584615384615</v>
      </c>
      <c r="FB177">
        <v>39.9853076923077</v>
      </c>
      <c r="FC177">
        <v>38.5766923076923</v>
      </c>
      <c r="FD177">
        <v>39.5766153846154</v>
      </c>
      <c r="FE177">
        <v>39.0093076923077</v>
      </c>
      <c r="FF177">
        <v>1155.55076923077</v>
      </c>
      <c r="FG177">
        <v>39.4292307692308</v>
      </c>
      <c r="FH177">
        <v>0</v>
      </c>
      <c r="FI177">
        <v>999.800000190735</v>
      </c>
      <c r="FJ177">
        <v>0</v>
      </c>
      <c r="FK177">
        <v>1278.33307692308</v>
      </c>
      <c r="FL177">
        <v>12.566837605609</v>
      </c>
      <c r="FM177">
        <v>120.858119547657</v>
      </c>
      <c r="FN177">
        <v>15111.5653846154</v>
      </c>
      <c r="FO177">
        <v>15</v>
      </c>
      <c r="FP177">
        <v>0</v>
      </c>
      <c r="FQ177" t="s">
        <v>439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-49.3375666666667</v>
      </c>
      <c r="GD177">
        <v>-3.31404155844158</v>
      </c>
      <c r="GE177">
        <v>0.544489943353133</v>
      </c>
      <c r="GF177">
        <v>0</v>
      </c>
      <c r="GG177">
        <v>1277.53235294118</v>
      </c>
      <c r="GH177">
        <v>13.3188693710524</v>
      </c>
      <c r="GI177">
        <v>1.32064836755535</v>
      </c>
      <c r="GJ177">
        <v>-1</v>
      </c>
      <c r="GK177">
        <v>2.08723666666667</v>
      </c>
      <c r="GL177">
        <v>-0.0159981818181762</v>
      </c>
      <c r="GM177">
        <v>0.00287296815710613</v>
      </c>
      <c r="GN177">
        <v>1</v>
      </c>
      <c r="GO177">
        <v>1</v>
      </c>
      <c r="GP177">
        <v>2</v>
      </c>
      <c r="GQ177" t="s">
        <v>446</v>
      </c>
      <c r="GR177">
        <v>3.13076</v>
      </c>
      <c r="GS177">
        <v>2.68731</v>
      </c>
      <c r="GT177">
        <v>0.154336</v>
      </c>
      <c r="GU177">
        <v>0.160463</v>
      </c>
      <c r="GV177">
        <v>0.0616707</v>
      </c>
      <c r="GW177">
        <v>0.0529708</v>
      </c>
      <c r="GX177">
        <v>32047.8</v>
      </c>
      <c r="GY177">
        <v>34187.7</v>
      </c>
      <c r="GZ177">
        <v>34263.1</v>
      </c>
      <c r="HA177">
        <v>36845.6</v>
      </c>
      <c r="HB177">
        <v>45356.8</v>
      </c>
      <c r="HC177">
        <v>50043.3</v>
      </c>
      <c r="HD177">
        <v>53336.6</v>
      </c>
      <c r="HE177">
        <v>58772.5</v>
      </c>
      <c r="HF177">
        <v>2.00765</v>
      </c>
      <c r="HG177">
        <v>1.83678</v>
      </c>
      <c r="HH177">
        <v>0.0089854</v>
      </c>
      <c r="HI177">
        <v>0</v>
      </c>
      <c r="HJ177">
        <v>17.8652</v>
      </c>
      <c r="HK177">
        <v>999.9</v>
      </c>
      <c r="HL177">
        <v>26.663</v>
      </c>
      <c r="HM177">
        <v>30.454</v>
      </c>
      <c r="HN177">
        <v>12.9773</v>
      </c>
      <c r="HO177">
        <v>54.5928</v>
      </c>
      <c r="HP177">
        <v>44.1707</v>
      </c>
      <c r="HQ177">
        <v>1</v>
      </c>
      <c r="HR177">
        <v>-0.261735</v>
      </c>
      <c r="HS177">
        <v>4.76425</v>
      </c>
      <c r="HT177">
        <v>20.0717</v>
      </c>
      <c r="HU177">
        <v>5.19932</v>
      </c>
      <c r="HV177">
        <v>12.004</v>
      </c>
      <c r="HW177">
        <v>4.97555</v>
      </c>
      <c r="HX177">
        <v>3.29298</v>
      </c>
      <c r="HY177">
        <v>9999</v>
      </c>
      <c r="HZ177">
        <v>999.9</v>
      </c>
      <c r="IA177">
        <v>9999</v>
      </c>
      <c r="IB177">
        <v>9999</v>
      </c>
      <c r="IC177">
        <v>1.86324</v>
      </c>
      <c r="ID177">
        <v>1.86804</v>
      </c>
      <c r="IE177">
        <v>1.86783</v>
      </c>
      <c r="IF177">
        <v>1.86905</v>
      </c>
      <c r="IG177">
        <v>1.86981</v>
      </c>
      <c r="IH177">
        <v>1.86586</v>
      </c>
      <c r="II177">
        <v>1.86692</v>
      </c>
      <c r="IJ177">
        <v>1.86838</v>
      </c>
      <c r="IK177">
        <v>5</v>
      </c>
      <c r="IL177">
        <v>0</v>
      </c>
      <c r="IM177">
        <v>0</v>
      </c>
      <c r="IN177">
        <v>0</v>
      </c>
      <c r="IO177" t="s">
        <v>441</v>
      </c>
      <c r="IP177" t="s">
        <v>442</v>
      </c>
      <c r="IQ177" t="s">
        <v>443</v>
      </c>
      <c r="IR177" t="s">
        <v>443</v>
      </c>
      <c r="IS177" t="s">
        <v>443</v>
      </c>
      <c r="IT177" t="s">
        <v>443</v>
      </c>
      <c r="IU177">
        <v>0</v>
      </c>
      <c r="IV177">
        <v>100</v>
      </c>
      <c r="IW177">
        <v>100</v>
      </c>
      <c r="IX177">
        <v>4.61</v>
      </c>
      <c r="IY177">
        <v>-0.1112</v>
      </c>
      <c r="IZ177">
        <v>1.12474291219083</v>
      </c>
      <c r="JA177">
        <v>0.00463155566490582</v>
      </c>
      <c r="JB177">
        <v>-1.1358998729424e-06</v>
      </c>
      <c r="JC177">
        <v>3.28704272115545e-10</v>
      </c>
      <c r="JD177">
        <v>-0.0704455108513773</v>
      </c>
      <c r="JE177">
        <v>-0.0251928478371425</v>
      </c>
      <c r="JF177">
        <v>0.00225751704194564</v>
      </c>
      <c r="JG177">
        <v>-3.61734043746866e-05</v>
      </c>
      <c r="JH177">
        <v>1</v>
      </c>
      <c r="JI177">
        <v>2182</v>
      </c>
      <c r="JJ177">
        <v>0</v>
      </c>
      <c r="JK177">
        <v>24</v>
      </c>
      <c r="JL177">
        <v>29349869.1</v>
      </c>
      <c r="JM177">
        <v>29349869.1</v>
      </c>
      <c r="JN177">
        <v>1.96167</v>
      </c>
      <c r="JO177">
        <v>2.61841</v>
      </c>
      <c r="JP177">
        <v>1.54785</v>
      </c>
      <c r="JQ177">
        <v>2.31445</v>
      </c>
      <c r="JR177">
        <v>1.64673</v>
      </c>
      <c r="JS177">
        <v>2.3291</v>
      </c>
      <c r="JT177">
        <v>33.6254</v>
      </c>
      <c r="JU177">
        <v>24.1838</v>
      </c>
      <c r="JV177">
        <v>18</v>
      </c>
      <c r="JW177">
        <v>500.442</v>
      </c>
      <c r="JX177">
        <v>394.314</v>
      </c>
      <c r="JY177">
        <v>11.5332</v>
      </c>
      <c r="JZ177">
        <v>23.9833</v>
      </c>
      <c r="KA177">
        <v>30</v>
      </c>
      <c r="KB177">
        <v>23.9729</v>
      </c>
      <c r="KC177">
        <v>23.9407</v>
      </c>
      <c r="KD177">
        <v>39.3397</v>
      </c>
      <c r="KE177">
        <v>7.87357</v>
      </c>
      <c r="KF177">
        <v>26.5359</v>
      </c>
      <c r="KG177">
        <v>11.5286</v>
      </c>
      <c r="KH177">
        <v>974.487</v>
      </c>
      <c r="KI177">
        <v>9.77758</v>
      </c>
      <c r="KJ177">
        <v>97.0355</v>
      </c>
      <c r="KK177">
        <v>95.2961</v>
      </c>
    </row>
    <row r="178" spans="1:297">
      <c r="A178">
        <v>162</v>
      </c>
      <c r="B178">
        <v>1760992149.1</v>
      </c>
      <c r="C178">
        <v>2959</v>
      </c>
      <c r="D178" t="s">
        <v>777</v>
      </c>
      <c r="E178" t="s">
        <v>778</v>
      </c>
      <c r="F178">
        <v>5</v>
      </c>
      <c r="G178" t="s">
        <v>662</v>
      </c>
      <c r="H178" t="s">
        <v>436</v>
      </c>
      <c r="I178">
        <v>1760992140.94615</v>
      </c>
      <c r="J178">
        <f>(K178)/1000</f>
        <v>0</v>
      </c>
      <c r="K178">
        <f>IF(DP178, AN178, AH178)</f>
        <v>0</v>
      </c>
      <c r="L178">
        <f>IF(DP178, AI178, AG178)</f>
        <v>0</v>
      </c>
      <c r="M178">
        <f>DR178 - IF(AU178&gt;1, L178*DL178*100.0/(AW178), 0)</f>
        <v>0</v>
      </c>
      <c r="N178">
        <f>((T178-J178/2)*M178-L178)/(T178+J178/2)</f>
        <v>0</v>
      </c>
      <c r="O178">
        <f>N178*(DY178+DZ178)/1000.0</f>
        <v>0</v>
      </c>
      <c r="P178">
        <f>(DR178 - IF(AU178&gt;1, L178*DL178*100.0/(AW178), 0))*(DY178+DZ178)/1000.0</f>
        <v>0</v>
      </c>
      <c r="Q178">
        <f>2.0/((1/S178-1/R178)+SIGN(S178)*SQRT((1/S178-1/R178)*(1/S178-1/R178) + 4*DM178/((DM178+1)*(DM178+1))*(2*1/S178*1/R178-1/R178*1/R178)))</f>
        <v>0</v>
      </c>
      <c r="R178">
        <f>IF(LEFT(DN178,1)&lt;&gt;"0",IF(LEFT(DN178,1)="1",3.0,DO178),$D$5+$E$5*(EF178*DY178/($K$5*1000))+$F$5*(EF178*DY178/($K$5*1000))*MAX(MIN(DL178,$J$5),$I$5)*MAX(MIN(DL178,$J$5),$I$5)+$G$5*MAX(MIN(DL178,$J$5),$I$5)*(EF178*DY178/($K$5*1000))+$H$5*(EF178*DY178/($K$5*1000))*(EF178*DY178/($K$5*1000)))</f>
        <v>0</v>
      </c>
      <c r="S178">
        <f>J178*(1000-(1000*0.61365*exp(17.502*W178/(240.97+W178))/(DY178+DZ178)+DT178)/2)/(1000*0.61365*exp(17.502*W178/(240.97+W178))/(DY178+DZ178)-DT178)</f>
        <v>0</v>
      </c>
      <c r="T178">
        <f>1/((DM178+1)/(Q178/1.6)+1/(R178/1.37)) + DM178/((DM178+1)/(Q178/1.6) + DM178/(R178/1.37))</f>
        <v>0</v>
      </c>
      <c r="U178">
        <f>(DH178*DK178)</f>
        <v>0</v>
      </c>
      <c r="V178">
        <f>(EA178+(U178+2*0.95*5.67E-8*(((EA178+$B$7)+273)^4-(EA178+273)^4)-44100*J178)/(1.84*29.3*R178+8*0.95*5.67E-8*(EA178+273)^3))</f>
        <v>0</v>
      </c>
      <c r="W178">
        <f>($C$7*EB178+$D$7*EC178+$E$7*V178)</f>
        <v>0</v>
      </c>
      <c r="X178">
        <f>0.61365*exp(17.502*W178/(240.97+W178))</f>
        <v>0</v>
      </c>
      <c r="Y178">
        <f>(Z178/AA178*100)</f>
        <v>0</v>
      </c>
      <c r="Z178">
        <f>DT178*(DY178+DZ178)/1000</f>
        <v>0</v>
      </c>
      <c r="AA178">
        <f>0.61365*exp(17.502*EA178/(240.97+EA178))</f>
        <v>0</v>
      </c>
      <c r="AB178">
        <f>(X178-DT178*(DY178+DZ178)/1000)</f>
        <v>0</v>
      </c>
      <c r="AC178">
        <f>(-J178*44100)</f>
        <v>0</v>
      </c>
      <c r="AD178">
        <f>2*29.3*R178*0.92*(EA178-W178)</f>
        <v>0</v>
      </c>
      <c r="AE178">
        <f>2*0.95*5.67E-8*(((EA178+$B$7)+273)^4-(W178+273)^4)</f>
        <v>0</v>
      </c>
      <c r="AF178">
        <f>U178+AE178+AC178+AD178</f>
        <v>0</v>
      </c>
      <c r="AG178">
        <f>DX178*AU178*(DS178-DR178*(1000-AU178*DU178)/(1000-AU178*DT178))/(100*DL178)</f>
        <v>0</v>
      </c>
      <c r="AH178">
        <f>1000*DX178*AU178*(DT178-DU178)/(100*DL178*(1000-AU178*DT178))</f>
        <v>0</v>
      </c>
      <c r="AI178">
        <f>(AJ178 - AK178 - DY178*1E3/(8.314*(EA178+273.15)) * AM178/DX178 * AL178) * DX178/(100*DL178) * (1000 - DU178)/1000</f>
        <v>0</v>
      </c>
      <c r="AJ178">
        <v>968.867933341165</v>
      </c>
      <c r="AK178">
        <v>928.571193939394</v>
      </c>
      <c r="AL178">
        <v>3.51795367324321</v>
      </c>
      <c r="AM178">
        <v>65.2210784119795</v>
      </c>
      <c r="AN178">
        <f>(AP178 - AO178 + DY178*1E3/(8.314*(EA178+273.15)) * AR178/DX178 * AQ178) * DX178/(100*DL178) * 1000/(1000 - AP178)</f>
        <v>0</v>
      </c>
      <c r="AO178">
        <v>9.72743005762062</v>
      </c>
      <c r="AP178">
        <v>11.8178315151515</v>
      </c>
      <c r="AQ178">
        <v>0.000107772731912345</v>
      </c>
      <c r="AR178">
        <v>115.574510355221</v>
      </c>
      <c r="AS178">
        <v>0</v>
      </c>
      <c r="AT178">
        <v>0</v>
      </c>
      <c r="AU178">
        <f>IF(AS178*$H$13&gt;=AW178,1.0,(AW178/(AW178-AS178*$H$13)))</f>
        <v>0</v>
      </c>
      <c r="AV178">
        <f>(AU178-1)*100</f>
        <v>0</v>
      </c>
      <c r="AW178">
        <f>MAX(0,($B$13+$C$13*EF178)/(1+$D$13*EF178)*DY178/(EA178+273)*$E$13)</f>
        <v>0</v>
      </c>
      <c r="AX178" t="s">
        <v>437</v>
      </c>
      <c r="AY178" t="s">
        <v>437</v>
      </c>
      <c r="AZ178">
        <v>0</v>
      </c>
      <c r="BA178">
        <v>0</v>
      </c>
      <c r="BB178">
        <f>1-AZ178/BA178</f>
        <v>0</v>
      </c>
      <c r="BC178">
        <v>0</v>
      </c>
      <c r="BD178" t="s">
        <v>437</v>
      </c>
      <c r="BE178" t="s">
        <v>437</v>
      </c>
      <c r="BF178">
        <v>0</v>
      </c>
      <c r="BG178">
        <v>0</v>
      </c>
      <c r="BH178">
        <f>1-BF178/BG178</f>
        <v>0</v>
      </c>
      <c r="BI178">
        <v>0.5</v>
      </c>
      <c r="BJ178">
        <f>DI178</f>
        <v>0</v>
      </c>
      <c r="BK178">
        <f>L178</f>
        <v>0</v>
      </c>
      <c r="BL178">
        <f>BH178*BI178*BJ178</f>
        <v>0</v>
      </c>
      <c r="BM178">
        <f>(BK178-BC178)/BJ178</f>
        <v>0</v>
      </c>
      <c r="BN178">
        <f>(BA178-BG178)/BG178</f>
        <v>0</v>
      </c>
      <c r="BO178">
        <f>AZ178/(BB178+AZ178/BG178)</f>
        <v>0</v>
      </c>
      <c r="BP178" t="s">
        <v>437</v>
      </c>
      <c r="BQ178">
        <v>0</v>
      </c>
      <c r="BR178">
        <f>IF(BQ178&lt;&gt;0, BQ178, BO178)</f>
        <v>0</v>
      </c>
      <c r="BS178">
        <f>1-BR178/BG178</f>
        <v>0</v>
      </c>
      <c r="BT178">
        <f>(BG178-BF178)/(BG178-BR178)</f>
        <v>0</v>
      </c>
      <c r="BU178">
        <f>(BA178-BG178)/(BA178-BR178)</f>
        <v>0</v>
      </c>
      <c r="BV178">
        <f>(BG178-BF178)/(BG178-AZ178)</f>
        <v>0</v>
      </c>
      <c r="BW178">
        <f>(BA178-BG178)/(BA178-AZ178)</f>
        <v>0</v>
      </c>
      <c r="BX178">
        <f>(BT178*BR178/BF178)</f>
        <v>0</v>
      </c>
      <c r="BY178">
        <f>(1-BX178)</f>
        <v>0</v>
      </c>
      <c r="BZ178">
        <v>282</v>
      </c>
      <c r="CA178">
        <v>290</v>
      </c>
      <c r="CB178">
        <v>1577.74</v>
      </c>
      <c r="CC178">
        <v>295</v>
      </c>
      <c r="CD178">
        <v>5140.93</v>
      </c>
      <c r="CE178">
        <v>1578.58</v>
      </c>
      <c r="CF178">
        <v>-0.84</v>
      </c>
      <c r="CG178">
        <v>300</v>
      </c>
      <c r="CH178">
        <v>23.8</v>
      </c>
      <c r="CI178">
        <v>1633.28263291266</v>
      </c>
      <c r="CJ178">
        <v>1.49577129053257</v>
      </c>
      <c r="CK178">
        <v>-28.1203876934379</v>
      </c>
      <c r="CL178">
        <v>0.666413418688897</v>
      </c>
      <c r="CM178">
        <v>0.984518017981194</v>
      </c>
      <c r="CN178">
        <v>-0.00424727541713014</v>
      </c>
      <c r="CO178">
        <v>290</v>
      </c>
      <c r="CP178">
        <v>1576.56</v>
      </c>
      <c r="CQ178">
        <v>775</v>
      </c>
      <c r="CR178">
        <v>5139.5</v>
      </c>
      <c r="CS178">
        <v>1578.57</v>
      </c>
      <c r="CT178">
        <v>-2.01</v>
      </c>
      <c r="DH178">
        <f>$B$11*EG178+$C$11*EH178+$F$11*ES178*(1-EV178)</f>
        <v>0</v>
      </c>
      <c r="DI178">
        <f>DH178*DJ178</f>
        <v>0</v>
      </c>
      <c r="DJ178">
        <f>($B$11*$D$9+$C$11*$D$9+$F$11*((FF178+EX178)/MAX(FF178+EX178+FG178, 0.1)*$I$9+FG178/MAX(FF178+EX178+FG178, 0.1)*$J$9))/($B$11+$C$11+$F$11)</f>
        <v>0</v>
      </c>
      <c r="DK178">
        <f>($B$11*$K$9+$C$11*$K$9+$F$11*((FF178+EX178)/MAX(FF178+EX178+FG178, 0.1)*$P$9+FG178/MAX(FF178+EX178+FG178, 0.1)*$Q$9))/($B$11+$C$11+$F$11)</f>
        <v>0</v>
      </c>
      <c r="DL178">
        <v>6</v>
      </c>
      <c r="DM178">
        <v>0.5</v>
      </c>
      <c r="DN178" t="s">
        <v>438</v>
      </c>
      <c r="DO178">
        <v>2</v>
      </c>
      <c r="DP178" t="b">
        <v>1</v>
      </c>
      <c r="DQ178">
        <v>1760992140.94615</v>
      </c>
      <c r="DR178">
        <v>893.234153846154</v>
      </c>
      <c r="DS178">
        <v>943.003615384615</v>
      </c>
      <c r="DT178">
        <v>11.8050846153846</v>
      </c>
      <c r="DU178">
        <v>9.71839538461538</v>
      </c>
      <c r="DV178">
        <v>888.659923076923</v>
      </c>
      <c r="DW178">
        <v>11.9163923076923</v>
      </c>
      <c r="DX178">
        <v>500.031461538461</v>
      </c>
      <c r="DY178">
        <v>89.8370076923077</v>
      </c>
      <c r="DZ178">
        <v>0.00922054230769231</v>
      </c>
      <c r="EA178">
        <v>18.4379384615385</v>
      </c>
      <c r="EB178">
        <v>18.0083076923077</v>
      </c>
      <c r="EC178">
        <v>999.9</v>
      </c>
      <c r="ED178">
        <v>0</v>
      </c>
      <c r="EE178">
        <v>0</v>
      </c>
      <c r="EF178">
        <v>10008.3269230769</v>
      </c>
      <c r="EG178">
        <v>0</v>
      </c>
      <c r="EH178">
        <v>1278.56923076923</v>
      </c>
      <c r="EI178">
        <v>-49.7694615384615</v>
      </c>
      <c r="EJ178">
        <v>903.904923076923</v>
      </c>
      <c r="EK178">
        <v>952.258076923077</v>
      </c>
      <c r="EL178">
        <v>2.08668615384615</v>
      </c>
      <c r="EM178">
        <v>943.003615384615</v>
      </c>
      <c r="EN178">
        <v>9.71839538461538</v>
      </c>
      <c r="EO178">
        <v>1.06053307692308</v>
      </c>
      <c r="EP178">
        <v>0.873071615384615</v>
      </c>
      <c r="EQ178">
        <v>7.77564076923077</v>
      </c>
      <c r="ER178">
        <v>4.95435076923077</v>
      </c>
      <c r="ES178">
        <v>1199.99307692308</v>
      </c>
      <c r="ET178">
        <v>0.967006230769231</v>
      </c>
      <c r="EU178">
        <v>0.0329940769230769</v>
      </c>
      <c r="EV178">
        <v>0</v>
      </c>
      <c r="EW178">
        <v>1279.36846153846</v>
      </c>
      <c r="EX178">
        <v>5.00059</v>
      </c>
      <c r="EY178">
        <v>15120.1384615385</v>
      </c>
      <c r="EZ178">
        <v>10358.6769230769</v>
      </c>
      <c r="FA178">
        <v>38.0959230769231</v>
      </c>
      <c r="FB178">
        <v>39.894</v>
      </c>
      <c r="FC178">
        <v>38.5141538461538</v>
      </c>
      <c r="FD178">
        <v>39.4420769230769</v>
      </c>
      <c r="FE178">
        <v>38.9469230769231</v>
      </c>
      <c r="FF178">
        <v>1155.56307692308</v>
      </c>
      <c r="FG178">
        <v>39.43</v>
      </c>
      <c r="FH178">
        <v>0</v>
      </c>
      <c r="FI178">
        <v>1004.60000014305</v>
      </c>
      <c r="FJ178">
        <v>0</v>
      </c>
      <c r="FK178">
        <v>1279.41115384615</v>
      </c>
      <c r="FL178">
        <v>13.6953846206154</v>
      </c>
      <c r="FM178">
        <v>123.73675215134</v>
      </c>
      <c r="FN178">
        <v>15120.9423076923</v>
      </c>
      <c r="FO178">
        <v>15</v>
      </c>
      <c r="FP178">
        <v>0</v>
      </c>
      <c r="FQ178" t="s">
        <v>439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-49.65917</v>
      </c>
      <c r="GD178">
        <v>-2.90972932330836</v>
      </c>
      <c r="GE178">
        <v>0.541932464519335</v>
      </c>
      <c r="GF178">
        <v>0</v>
      </c>
      <c r="GG178">
        <v>1278.75647058824</v>
      </c>
      <c r="GH178">
        <v>13.1578304095073</v>
      </c>
      <c r="GI178">
        <v>1.30643178690691</v>
      </c>
      <c r="GJ178">
        <v>-1</v>
      </c>
      <c r="GK178">
        <v>2.0863635</v>
      </c>
      <c r="GL178">
        <v>0.00153879699248609</v>
      </c>
      <c r="GM178">
        <v>0.00214657232582554</v>
      </c>
      <c r="GN178">
        <v>1</v>
      </c>
      <c r="GO178">
        <v>1</v>
      </c>
      <c r="GP178">
        <v>2</v>
      </c>
      <c r="GQ178" t="s">
        <v>446</v>
      </c>
      <c r="GR178">
        <v>3.13077</v>
      </c>
      <c r="GS178">
        <v>2.68748</v>
      </c>
      <c r="GT178">
        <v>0.15626</v>
      </c>
      <c r="GU178">
        <v>0.162184</v>
      </c>
      <c r="GV178">
        <v>0.0617062</v>
      </c>
      <c r="GW178">
        <v>0.0529728</v>
      </c>
      <c r="GX178">
        <v>31975.3</v>
      </c>
      <c r="GY178">
        <v>34117.6</v>
      </c>
      <c r="GZ178">
        <v>34263.4</v>
      </c>
      <c r="HA178">
        <v>36845.5</v>
      </c>
      <c r="HB178">
        <v>45355.4</v>
      </c>
      <c r="HC178">
        <v>50043.3</v>
      </c>
      <c r="HD178">
        <v>53336.8</v>
      </c>
      <c r="HE178">
        <v>58772.4</v>
      </c>
      <c r="HF178">
        <v>2.00805</v>
      </c>
      <c r="HG178">
        <v>1.83655</v>
      </c>
      <c r="HH178">
        <v>0.00899658</v>
      </c>
      <c r="HI178">
        <v>0</v>
      </c>
      <c r="HJ178">
        <v>17.8649</v>
      </c>
      <c r="HK178">
        <v>999.9</v>
      </c>
      <c r="HL178">
        <v>26.663</v>
      </c>
      <c r="HM178">
        <v>30.454</v>
      </c>
      <c r="HN178">
        <v>12.9778</v>
      </c>
      <c r="HO178">
        <v>55.0228</v>
      </c>
      <c r="HP178">
        <v>44.2268</v>
      </c>
      <c r="HQ178">
        <v>1</v>
      </c>
      <c r="HR178">
        <v>-0.261308</v>
      </c>
      <c r="HS178">
        <v>4.7795</v>
      </c>
      <c r="HT178">
        <v>20.0713</v>
      </c>
      <c r="HU178">
        <v>5.19917</v>
      </c>
      <c r="HV178">
        <v>12.004</v>
      </c>
      <c r="HW178">
        <v>4.9755</v>
      </c>
      <c r="HX178">
        <v>3.29293</v>
      </c>
      <c r="HY178">
        <v>9999</v>
      </c>
      <c r="HZ178">
        <v>999.9</v>
      </c>
      <c r="IA178">
        <v>9999</v>
      </c>
      <c r="IB178">
        <v>9999</v>
      </c>
      <c r="IC178">
        <v>1.86324</v>
      </c>
      <c r="ID178">
        <v>1.86805</v>
      </c>
      <c r="IE178">
        <v>1.86783</v>
      </c>
      <c r="IF178">
        <v>1.86903</v>
      </c>
      <c r="IG178">
        <v>1.8698</v>
      </c>
      <c r="IH178">
        <v>1.86584</v>
      </c>
      <c r="II178">
        <v>1.86691</v>
      </c>
      <c r="IJ178">
        <v>1.86838</v>
      </c>
      <c r="IK178">
        <v>5</v>
      </c>
      <c r="IL178">
        <v>0</v>
      </c>
      <c r="IM178">
        <v>0</v>
      </c>
      <c r="IN178">
        <v>0</v>
      </c>
      <c r="IO178" t="s">
        <v>441</v>
      </c>
      <c r="IP178" t="s">
        <v>442</v>
      </c>
      <c r="IQ178" t="s">
        <v>443</v>
      </c>
      <c r="IR178" t="s">
        <v>443</v>
      </c>
      <c r="IS178" t="s">
        <v>443</v>
      </c>
      <c r="IT178" t="s">
        <v>443</v>
      </c>
      <c r="IU178">
        <v>0</v>
      </c>
      <c r="IV178">
        <v>100</v>
      </c>
      <c r="IW178">
        <v>100</v>
      </c>
      <c r="IX178">
        <v>4.668</v>
      </c>
      <c r="IY178">
        <v>-0.1111</v>
      </c>
      <c r="IZ178">
        <v>1.12474291219083</v>
      </c>
      <c r="JA178">
        <v>0.00463155566490582</v>
      </c>
      <c r="JB178">
        <v>-1.1358998729424e-06</v>
      </c>
      <c r="JC178">
        <v>3.28704272115545e-10</v>
      </c>
      <c r="JD178">
        <v>-0.0704455108513773</v>
      </c>
      <c r="JE178">
        <v>-0.0251928478371425</v>
      </c>
      <c r="JF178">
        <v>0.00225751704194564</v>
      </c>
      <c r="JG178">
        <v>-3.61734043746866e-05</v>
      </c>
      <c r="JH178">
        <v>1</v>
      </c>
      <c r="JI178">
        <v>2182</v>
      </c>
      <c r="JJ178">
        <v>0</v>
      </c>
      <c r="JK178">
        <v>24</v>
      </c>
      <c r="JL178">
        <v>29349869.2</v>
      </c>
      <c r="JM178">
        <v>29349869.2</v>
      </c>
      <c r="JN178">
        <v>1.98608</v>
      </c>
      <c r="JO178">
        <v>2.61597</v>
      </c>
      <c r="JP178">
        <v>1.54785</v>
      </c>
      <c r="JQ178">
        <v>2.31323</v>
      </c>
      <c r="JR178">
        <v>1.64673</v>
      </c>
      <c r="JS178">
        <v>2.32178</v>
      </c>
      <c r="JT178">
        <v>33.6254</v>
      </c>
      <c r="JU178">
        <v>24.1751</v>
      </c>
      <c r="JV178">
        <v>18</v>
      </c>
      <c r="JW178">
        <v>500.709</v>
      </c>
      <c r="JX178">
        <v>394.199</v>
      </c>
      <c r="JY178">
        <v>11.5244</v>
      </c>
      <c r="JZ178">
        <v>23.9844</v>
      </c>
      <c r="KA178">
        <v>30.0003</v>
      </c>
      <c r="KB178">
        <v>23.974</v>
      </c>
      <c r="KC178">
        <v>23.9413</v>
      </c>
      <c r="KD178">
        <v>39.804</v>
      </c>
      <c r="KE178">
        <v>7.87357</v>
      </c>
      <c r="KF178">
        <v>26.5359</v>
      </c>
      <c r="KG178">
        <v>11.5173</v>
      </c>
      <c r="KH178">
        <v>988.023</v>
      </c>
      <c r="KI178">
        <v>9.77439</v>
      </c>
      <c r="KJ178">
        <v>97.036</v>
      </c>
      <c r="KK178">
        <v>95.2958</v>
      </c>
    </row>
    <row r="179" spans="1:297">
      <c r="A179">
        <v>163</v>
      </c>
      <c r="B179">
        <v>1760992154.1</v>
      </c>
      <c r="C179">
        <v>2964</v>
      </c>
      <c r="D179" t="s">
        <v>779</v>
      </c>
      <c r="E179" t="s">
        <v>780</v>
      </c>
      <c r="F179">
        <v>5</v>
      </c>
      <c r="G179" t="s">
        <v>662</v>
      </c>
      <c r="H179" t="s">
        <v>436</v>
      </c>
      <c r="I179">
        <v>1760992145.94615</v>
      </c>
      <c r="J179">
        <f>(K179)/1000</f>
        <v>0</v>
      </c>
      <c r="K179">
        <f>IF(DP179, AN179, AH179)</f>
        <v>0</v>
      </c>
      <c r="L179">
        <f>IF(DP179, AI179, AG179)</f>
        <v>0</v>
      </c>
      <c r="M179">
        <f>DR179 - IF(AU179&gt;1, L179*DL179*100.0/(AW179), 0)</f>
        <v>0</v>
      </c>
      <c r="N179">
        <f>((T179-J179/2)*M179-L179)/(T179+J179/2)</f>
        <v>0</v>
      </c>
      <c r="O179">
        <f>N179*(DY179+DZ179)/1000.0</f>
        <v>0</v>
      </c>
      <c r="P179">
        <f>(DR179 - IF(AU179&gt;1, L179*DL179*100.0/(AW179), 0))*(DY179+DZ179)/1000.0</f>
        <v>0</v>
      </c>
      <c r="Q179">
        <f>2.0/((1/S179-1/R179)+SIGN(S179)*SQRT((1/S179-1/R179)*(1/S179-1/R179) + 4*DM179/((DM179+1)*(DM179+1))*(2*1/S179*1/R179-1/R179*1/R179)))</f>
        <v>0</v>
      </c>
      <c r="R179">
        <f>IF(LEFT(DN179,1)&lt;&gt;"0",IF(LEFT(DN179,1)="1",3.0,DO179),$D$5+$E$5*(EF179*DY179/($K$5*1000))+$F$5*(EF179*DY179/($K$5*1000))*MAX(MIN(DL179,$J$5),$I$5)*MAX(MIN(DL179,$J$5),$I$5)+$G$5*MAX(MIN(DL179,$J$5),$I$5)*(EF179*DY179/($K$5*1000))+$H$5*(EF179*DY179/($K$5*1000))*(EF179*DY179/($K$5*1000)))</f>
        <v>0</v>
      </c>
      <c r="S179">
        <f>J179*(1000-(1000*0.61365*exp(17.502*W179/(240.97+W179))/(DY179+DZ179)+DT179)/2)/(1000*0.61365*exp(17.502*W179/(240.97+W179))/(DY179+DZ179)-DT179)</f>
        <v>0</v>
      </c>
      <c r="T179">
        <f>1/((DM179+1)/(Q179/1.6)+1/(R179/1.37)) + DM179/((DM179+1)/(Q179/1.6) + DM179/(R179/1.37))</f>
        <v>0</v>
      </c>
      <c r="U179">
        <f>(DH179*DK179)</f>
        <v>0</v>
      </c>
      <c r="V179">
        <f>(EA179+(U179+2*0.95*5.67E-8*(((EA179+$B$7)+273)^4-(EA179+273)^4)-44100*J179)/(1.84*29.3*R179+8*0.95*5.67E-8*(EA179+273)^3))</f>
        <v>0</v>
      </c>
      <c r="W179">
        <f>($C$7*EB179+$D$7*EC179+$E$7*V179)</f>
        <v>0</v>
      </c>
      <c r="X179">
        <f>0.61365*exp(17.502*W179/(240.97+W179))</f>
        <v>0</v>
      </c>
      <c r="Y179">
        <f>(Z179/AA179*100)</f>
        <v>0</v>
      </c>
      <c r="Z179">
        <f>DT179*(DY179+DZ179)/1000</f>
        <v>0</v>
      </c>
      <c r="AA179">
        <f>0.61365*exp(17.502*EA179/(240.97+EA179))</f>
        <v>0</v>
      </c>
      <c r="AB179">
        <f>(X179-DT179*(DY179+DZ179)/1000)</f>
        <v>0</v>
      </c>
      <c r="AC179">
        <f>(-J179*44100)</f>
        <v>0</v>
      </c>
      <c r="AD179">
        <f>2*29.3*R179*0.92*(EA179-W179)</f>
        <v>0</v>
      </c>
      <c r="AE179">
        <f>2*0.95*5.67E-8*(((EA179+$B$7)+273)^4-(W179+273)^4)</f>
        <v>0</v>
      </c>
      <c r="AF179">
        <f>U179+AE179+AC179+AD179</f>
        <v>0</v>
      </c>
      <c r="AG179">
        <f>DX179*AU179*(DS179-DR179*(1000-AU179*DU179)/(1000-AU179*DT179))/(100*DL179)</f>
        <v>0</v>
      </c>
      <c r="AH179">
        <f>1000*DX179*AU179*(DT179-DU179)/(100*DL179*(1000-AU179*DT179))</f>
        <v>0</v>
      </c>
      <c r="AI179">
        <f>(AJ179 - AK179 - DY179*1E3/(8.314*(EA179+273.15)) * AM179/DX179 * AL179) * DX179/(100*DL179) * (1000 - DU179)/1000</f>
        <v>0</v>
      </c>
      <c r="AJ179">
        <v>984.228350145548</v>
      </c>
      <c r="AK179">
        <v>944.935066666667</v>
      </c>
      <c r="AL179">
        <v>3.25568300639269</v>
      </c>
      <c r="AM179">
        <v>65.2210784119795</v>
      </c>
      <c r="AN179">
        <f>(AP179 - AO179 + DY179*1E3/(8.314*(EA179+273.15)) * AR179/DX179 * AQ179) * DX179/(100*DL179) * 1000/(1000 - AP179)</f>
        <v>0</v>
      </c>
      <c r="AO179">
        <v>9.72703448175614</v>
      </c>
      <c r="AP179">
        <v>11.824576969697</v>
      </c>
      <c r="AQ179">
        <v>6.95940797830872e-05</v>
      </c>
      <c r="AR179">
        <v>115.574510355221</v>
      </c>
      <c r="AS179">
        <v>0</v>
      </c>
      <c r="AT179">
        <v>0</v>
      </c>
      <c r="AU179">
        <f>IF(AS179*$H$13&gt;=AW179,1.0,(AW179/(AW179-AS179*$H$13)))</f>
        <v>0</v>
      </c>
      <c r="AV179">
        <f>(AU179-1)*100</f>
        <v>0</v>
      </c>
      <c r="AW179">
        <f>MAX(0,($B$13+$C$13*EF179)/(1+$D$13*EF179)*DY179/(EA179+273)*$E$13)</f>
        <v>0</v>
      </c>
      <c r="AX179" t="s">
        <v>437</v>
      </c>
      <c r="AY179" t="s">
        <v>437</v>
      </c>
      <c r="AZ179">
        <v>0</v>
      </c>
      <c r="BA179">
        <v>0</v>
      </c>
      <c r="BB179">
        <f>1-AZ179/BA179</f>
        <v>0</v>
      </c>
      <c r="BC179">
        <v>0</v>
      </c>
      <c r="BD179" t="s">
        <v>437</v>
      </c>
      <c r="BE179" t="s">
        <v>437</v>
      </c>
      <c r="BF179">
        <v>0</v>
      </c>
      <c r="BG179">
        <v>0</v>
      </c>
      <c r="BH179">
        <f>1-BF179/BG179</f>
        <v>0</v>
      </c>
      <c r="BI179">
        <v>0.5</v>
      </c>
      <c r="BJ179">
        <f>DI179</f>
        <v>0</v>
      </c>
      <c r="BK179">
        <f>L179</f>
        <v>0</v>
      </c>
      <c r="BL179">
        <f>BH179*BI179*BJ179</f>
        <v>0</v>
      </c>
      <c r="BM179">
        <f>(BK179-BC179)/BJ179</f>
        <v>0</v>
      </c>
      <c r="BN179">
        <f>(BA179-BG179)/BG179</f>
        <v>0</v>
      </c>
      <c r="BO179">
        <f>AZ179/(BB179+AZ179/BG179)</f>
        <v>0</v>
      </c>
      <c r="BP179" t="s">
        <v>437</v>
      </c>
      <c r="BQ179">
        <v>0</v>
      </c>
      <c r="BR179">
        <f>IF(BQ179&lt;&gt;0, BQ179, BO179)</f>
        <v>0</v>
      </c>
      <c r="BS179">
        <f>1-BR179/BG179</f>
        <v>0</v>
      </c>
      <c r="BT179">
        <f>(BG179-BF179)/(BG179-BR179)</f>
        <v>0</v>
      </c>
      <c r="BU179">
        <f>(BA179-BG179)/(BA179-BR179)</f>
        <v>0</v>
      </c>
      <c r="BV179">
        <f>(BG179-BF179)/(BG179-AZ179)</f>
        <v>0</v>
      </c>
      <c r="BW179">
        <f>(BA179-BG179)/(BA179-AZ179)</f>
        <v>0</v>
      </c>
      <c r="BX179">
        <f>(BT179*BR179/BF179)</f>
        <v>0</v>
      </c>
      <c r="BY179">
        <f>(1-BX179)</f>
        <v>0</v>
      </c>
      <c r="BZ179">
        <v>282</v>
      </c>
      <c r="CA179">
        <v>290</v>
      </c>
      <c r="CB179">
        <v>1577.74</v>
      </c>
      <c r="CC179">
        <v>295</v>
      </c>
      <c r="CD179">
        <v>5140.93</v>
      </c>
      <c r="CE179">
        <v>1578.58</v>
      </c>
      <c r="CF179">
        <v>-0.84</v>
      </c>
      <c r="CG179">
        <v>300</v>
      </c>
      <c r="CH179">
        <v>23.8</v>
      </c>
      <c r="CI179">
        <v>1633.28263291266</v>
      </c>
      <c r="CJ179">
        <v>1.49577129053257</v>
      </c>
      <c r="CK179">
        <v>-28.1203876934379</v>
      </c>
      <c r="CL179">
        <v>0.666413418688897</v>
      </c>
      <c r="CM179">
        <v>0.984518017981194</v>
      </c>
      <c r="CN179">
        <v>-0.00424727541713014</v>
      </c>
      <c r="CO179">
        <v>290</v>
      </c>
      <c r="CP179">
        <v>1576.56</v>
      </c>
      <c r="CQ179">
        <v>775</v>
      </c>
      <c r="CR179">
        <v>5139.5</v>
      </c>
      <c r="CS179">
        <v>1578.57</v>
      </c>
      <c r="CT179">
        <v>-2.01</v>
      </c>
      <c r="DH179">
        <f>$B$11*EG179+$C$11*EH179+$F$11*ES179*(1-EV179)</f>
        <v>0</v>
      </c>
      <c r="DI179">
        <f>DH179*DJ179</f>
        <v>0</v>
      </c>
      <c r="DJ179">
        <f>($B$11*$D$9+$C$11*$D$9+$F$11*((FF179+EX179)/MAX(FF179+EX179+FG179, 0.1)*$I$9+FG179/MAX(FF179+EX179+FG179, 0.1)*$J$9))/($B$11+$C$11+$F$11)</f>
        <v>0</v>
      </c>
      <c r="DK179">
        <f>($B$11*$K$9+$C$11*$K$9+$F$11*((FF179+EX179)/MAX(FF179+EX179+FG179, 0.1)*$P$9+FG179/MAX(FF179+EX179+FG179, 0.1)*$Q$9))/($B$11+$C$11+$F$11)</f>
        <v>0</v>
      </c>
      <c r="DL179">
        <v>6</v>
      </c>
      <c r="DM179">
        <v>0.5</v>
      </c>
      <c r="DN179" t="s">
        <v>438</v>
      </c>
      <c r="DO179">
        <v>2</v>
      </c>
      <c r="DP179" t="b">
        <v>1</v>
      </c>
      <c r="DQ179">
        <v>1760992145.94615</v>
      </c>
      <c r="DR179">
        <v>910.008</v>
      </c>
      <c r="DS179">
        <v>959.310538461538</v>
      </c>
      <c r="DT179">
        <v>11.8133153846154</v>
      </c>
      <c r="DU179">
        <v>9.72417076923077</v>
      </c>
      <c r="DV179">
        <v>905.377153846154</v>
      </c>
      <c r="DW179">
        <v>11.9245153846154</v>
      </c>
      <c r="DX179">
        <v>499.999</v>
      </c>
      <c r="DY179">
        <v>89.8379692307692</v>
      </c>
      <c r="DZ179">
        <v>0.00945377846153846</v>
      </c>
      <c r="EA179">
        <v>18.4408230769231</v>
      </c>
      <c r="EB179">
        <v>18.0138615384615</v>
      </c>
      <c r="EC179">
        <v>999.9</v>
      </c>
      <c r="ED179">
        <v>0</v>
      </c>
      <c r="EE179">
        <v>0</v>
      </c>
      <c r="EF179">
        <v>9984.32692307692</v>
      </c>
      <c r="EG179">
        <v>0</v>
      </c>
      <c r="EH179">
        <v>1278.57461538462</v>
      </c>
      <c r="EI179">
        <v>-49.3024769230769</v>
      </c>
      <c r="EJ179">
        <v>920.886846153846</v>
      </c>
      <c r="EK179">
        <v>968.730538461538</v>
      </c>
      <c r="EL179">
        <v>2.08914384615385</v>
      </c>
      <c r="EM179">
        <v>959.310538461538</v>
      </c>
      <c r="EN179">
        <v>9.72417076923077</v>
      </c>
      <c r="EO179">
        <v>1.06128384615385</v>
      </c>
      <c r="EP179">
        <v>0.873599923076923</v>
      </c>
      <c r="EQ179">
        <v>7.78602769230769</v>
      </c>
      <c r="ER179">
        <v>4.96302923076923</v>
      </c>
      <c r="ES179">
        <v>1200.00153846154</v>
      </c>
      <c r="ET179">
        <v>0.967005615384615</v>
      </c>
      <c r="EU179">
        <v>0.0329947384615385</v>
      </c>
      <c r="EV179">
        <v>0</v>
      </c>
      <c r="EW179">
        <v>1280.48846153846</v>
      </c>
      <c r="EX179">
        <v>5.00059</v>
      </c>
      <c r="EY179">
        <v>15130.3307692308</v>
      </c>
      <c r="EZ179">
        <v>10358.7461538462</v>
      </c>
      <c r="FA179">
        <v>38.0382307692308</v>
      </c>
      <c r="FB179">
        <v>39.8026153846154</v>
      </c>
      <c r="FC179">
        <v>38.4517692307692</v>
      </c>
      <c r="FD179">
        <v>39.3170769230769</v>
      </c>
      <c r="FE179">
        <v>38.8843076923077</v>
      </c>
      <c r="FF179">
        <v>1155.57153846154</v>
      </c>
      <c r="FG179">
        <v>39.43</v>
      </c>
      <c r="FH179">
        <v>0</v>
      </c>
      <c r="FI179">
        <v>1010</v>
      </c>
      <c r="FJ179">
        <v>0</v>
      </c>
      <c r="FK179">
        <v>1280.6788</v>
      </c>
      <c r="FL179">
        <v>14.1738461743693</v>
      </c>
      <c r="FM179">
        <v>119.71538471968</v>
      </c>
      <c r="FN179">
        <v>15132.676</v>
      </c>
      <c r="FO179">
        <v>15</v>
      </c>
      <c r="FP179">
        <v>0</v>
      </c>
      <c r="FQ179" t="s">
        <v>439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-49.4932952380952</v>
      </c>
      <c r="GD179">
        <v>4.13184155844153</v>
      </c>
      <c r="GE179">
        <v>0.75790139921345</v>
      </c>
      <c r="GF179">
        <v>0</v>
      </c>
      <c r="GG179">
        <v>1279.82911764706</v>
      </c>
      <c r="GH179">
        <v>13.6658517805791</v>
      </c>
      <c r="GI179">
        <v>1.35463771507379</v>
      </c>
      <c r="GJ179">
        <v>-1</v>
      </c>
      <c r="GK179">
        <v>2.0884980952381</v>
      </c>
      <c r="GL179">
        <v>0.0253511688311712</v>
      </c>
      <c r="GM179">
        <v>0.00416211212298074</v>
      </c>
      <c r="GN179">
        <v>1</v>
      </c>
      <c r="GO179">
        <v>1</v>
      </c>
      <c r="GP179">
        <v>2</v>
      </c>
      <c r="GQ179" t="s">
        <v>446</v>
      </c>
      <c r="GR179">
        <v>3.13074</v>
      </c>
      <c r="GS179">
        <v>2.68722</v>
      </c>
      <c r="GT179">
        <v>0.158038</v>
      </c>
      <c r="GU179">
        <v>0.163712</v>
      </c>
      <c r="GV179">
        <v>0.0617337</v>
      </c>
      <c r="GW179">
        <v>0.0529689</v>
      </c>
      <c r="GX179">
        <v>31907.7</v>
      </c>
      <c r="GY179">
        <v>34055.6</v>
      </c>
      <c r="GZ179">
        <v>34263</v>
      </c>
      <c r="HA179">
        <v>36845.7</v>
      </c>
      <c r="HB179">
        <v>45354</v>
      </c>
      <c r="HC179">
        <v>50043.9</v>
      </c>
      <c r="HD179">
        <v>53336.6</v>
      </c>
      <c r="HE179">
        <v>58772.7</v>
      </c>
      <c r="HF179">
        <v>2.00805</v>
      </c>
      <c r="HG179">
        <v>1.8368</v>
      </c>
      <c r="HH179">
        <v>0.00934303</v>
      </c>
      <c r="HI179">
        <v>0</v>
      </c>
      <c r="HJ179">
        <v>17.8637</v>
      </c>
      <c r="HK179">
        <v>999.9</v>
      </c>
      <c r="HL179">
        <v>26.688</v>
      </c>
      <c r="HM179">
        <v>30.434</v>
      </c>
      <c r="HN179">
        <v>12.9755</v>
      </c>
      <c r="HO179">
        <v>55.2128</v>
      </c>
      <c r="HP179">
        <v>44.2748</v>
      </c>
      <c r="HQ179">
        <v>1</v>
      </c>
      <c r="HR179">
        <v>-0.261438</v>
      </c>
      <c r="HS179">
        <v>4.80344</v>
      </c>
      <c r="HT179">
        <v>20.0704</v>
      </c>
      <c r="HU179">
        <v>5.19992</v>
      </c>
      <c r="HV179">
        <v>12.004</v>
      </c>
      <c r="HW179">
        <v>4.97565</v>
      </c>
      <c r="HX179">
        <v>3.29298</v>
      </c>
      <c r="HY179">
        <v>9999</v>
      </c>
      <c r="HZ179">
        <v>999.9</v>
      </c>
      <c r="IA179">
        <v>9999</v>
      </c>
      <c r="IB179">
        <v>9999</v>
      </c>
      <c r="IC179">
        <v>1.86324</v>
      </c>
      <c r="ID179">
        <v>1.86804</v>
      </c>
      <c r="IE179">
        <v>1.86783</v>
      </c>
      <c r="IF179">
        <v>1.86903</v>
      </c>
      <c r="IG179">
        <v>1.86981</v>
      </c>
      <c r="IH179">
        <v>1.86585</v>
      </c>
      <c r="II179">
        <v>1.86692</v>
      </c>
      <c r="IJ179">
        <v>1.86837</v>
      </c>
      <c r="IK179">
        <v>5</v>
      </c>
      <c r="IL179">
        <v>0</v>
      </c>
      <c r="IM179">
        <v>0</v>
      </c>
      <c r="IN179">
        <v>0</v>
      </c>
      <c r="IO179" t="s">
        <v>441</v>
      </c>
      <c r="IP179" t="s">
        <v>442</v>
      </c>
      <c r="IQ179" t="s">
        <v>443</v>
      </c>
      <c r="IR179" t="s">
        <v>443</v>
      </c>
      <c r="IS179" t="s">
        <v>443</v>
      </c>
      <c r="IT179" t="s">
        <v>443</v>
      </c>
      <c r="IU179">
        <v>0</v>
      </c>
      <c r="IV179">
        <v>100</v>
      </c>
      <c r="IW179">
        <v>100</v>
      </c>
      <c r="IX179">
        <v>4.722</v>
      </c>
      <c r="IY179">
        <v>-0.111</v>
      </c>
      <c r="IZ179">
        <v>1.12474291219083</v>
      </c>
      <c r="JA179">
        <v>0.00463155566490582</v>
      </c>
      <c r="JB179">
        <v>-1.1358998729424e-06</v>
      </c>
      <c r="JC179">
        <v>3.28704272115545e-10</v>
      </c>
      <c r="JD179">
        <v>-0.0704455108513773</v>
      </c>
      <c r="JE179">
        <v>-0.0251928478371425</v>
      </c>
      <c r="JF179">
        <v>0.00225751704194564</v>
      </c>
      <c r="JG179">
        <v>-3.61734043746866e-05</v>
      </c>
      <c r="JH179">
        <v>1</v>
      </c>
      <c r="JI179">
        <v>2182</v>
      </c>
      <c r="JJ179">
        <v>0</v>
      </c>
      <c r="JK179">
        <v>24</v>
      </c>
      <c r="JL179">
        <v>29349869.2</v>
      </c>
      <c r="JM179">
        <v>29349869.2</v>
      </c>
      <c r="JN179">
        <v>2.0105</v>
      </c>
      <c r="JO179">
        <v>2.61597</v>
      </c>
      <c r="JP179">
        <v>1.54785</v>
      </c>
      <c r="JQ179">
        <v>2.31445</v>
      </c>
      <c r="JR179">
        <v>1.64673</v>
      </c>
      <c r="JS179">
        <v>2.33521</v>
      </c>
      <c r="JT179">
        <v>33.6254</v>
      </c>
      <c r="JU179">
        <v>24.1751</v>
      </c>
      <c r="JV179">
        <v>18</v>
      </c>
      <c r="JW179">
        <v>500.718</v>
      </c>
      <c r="JX179">
        <v>394.342</v>
      </c>
      <c r="JY179">
        <v>11.5142</v>
      </c>
      <c r="JZ179">
        <v>23.9853</v>
      </c>
      <c r="KA179">
        <v>30.0001</v>
      </c>
      <c r="KB179">
        <v>23.9749</v>
      </c>
      <c r="KC179">
        <v>23.9428</v>
      </c>
      <c r="KD179">
        <v>40.3853</v>
      </c>
      <c r="KE179">
        <v>7.87357</v>
      </c>
      <c r="KF179">
        <v>26.5359</v>
      </c>
      <c r="KG179">
        <v>11.5011</v>
      </c>
      <c r="KH179">
        <v>1008.34</v>
      </c>
      <c r="KI179">
        <v>9.7744</v>
      </c>
      <c r="KJ179">
        <v>97.0353</v>
      </c>
      <c r="KK179">
        <v>95.2962</v>
      </c>
    </row>
    <row r="180" spans="1:297">
      <c r="A180">
        <v>164</v>
      </c>
      <c r="B180">
        <v>1760992159.1</v>
      </c>
      <c r="C180">
        <v>2969</v>
      </c>
      <c r="D180" t="s">
        <v>781</v>
      </c>
      <c r="E180" t="s">
        <v>782</v>
      </c>
      <c r="F180">
        <v>5</v>
      </c>
      <c r="G180" t="s">
        <v>662</v>
      </c>
      <c r="H180" t="s">
        <v>436</v>
      </c>
      <c r="I180">
        <v>1760992150.94615</v>
      </c>
      <c r="J180">
        <f>(K180)/1000</f>
        <v>0</v>
      </c>
      <c r="K180">
        <f>IF(DP180, AN180, AH180)</f>
        <v>0</v>
      </c>
      <c r="L180">
        <f>IF(DP180, AI180, AG180)</f>
        <v>0</v>
      </c>
      <c r="M180">
        <f>DR180 - IF(AU180&gt;1, L180*DL180*100.0/(AW180), 0)</f>
        <v>0</v>
      </c>
      <c r="N180">
        <f>((T180-J180/2)*M180-L180)/(T180+J180/2)</f>
        <v>0</v>
      </c>
      <c r="O180">
        <f>N180*(DY180+DZ180)/1000.0</f>
        <v>0</v>
      </c>
      <c r="P180">
        <f>(DR180 - IF(AU180&gt;1, L180*DL180*100.0/(AW180), 0))*(DY180+DZ180)/1000.0</f>
        <v>0</v>
      </c>
      <c r="Q180">
        <f>2.0/((1/S180-1/R180)+SIGN(S180)*SQRT((1/S180-1/R180)*(1/S180-1/R180) + 4*DM180/((DM180+1)*(DM180+1))*(2*1/S180*1/R180-1/R180*1/R180)))</f>
        <v>0</v>
      </c>
      <c r="R180">
        <f>IF(LEFT(DN180,1)&lt;&gt;"0",IF(LEFT(DN180,1)="1",3.0,DO180),$D$5+$E$5*(EF180*DY180/($K$5*1000))+$F$5*(EF180*DY180/($K$5*1000))*MAX(MIN(DL180,$J$5),$I$5)*MAX(MIN(DL180,$J$5),$I$5)+$G$5*MAX(MIN(DL180,$J$5),$I$5)*(EF180*DY180/($K$5*1000))+$H$5*(EF180*DY180/($K$5*1000))*(EF180*DY180/($K$5*1000)))</f>
        <v>0</v>
      </c>
      <c r="S180">
        <f>J180*(1000-(1000*0.61365*exp(17.502*W180/(240.97+W180))/(DY180+DZ180)+DT180)/2)/(1000*0.61365*exp(17.502*W180/(240.97+W180))/(DY180+DZ180)-DT180)</f>
        <v>0</v>
      </c>
      <c r="T180">
        <f>1/((DM180+1)/(Q180/1.6)+1/(R180/1.37)) + DM180/((DM180+1)/(Q180/1.6) + DM180/(R180/1.37))</f>
        <v>0</v>
      </c>
      <c r="U180">
        <f>(DH180*DK180)</f>
        <v>0</v>
      </c>
      <c r="V180">
        <f>(EA180+(U180+2*0.95*5.67E-8*(((EA180+$B$7)+273)^4-(EA180+273)^4)-44100*J180)/(1.84*29.3*R180+8*0.95*5.67E-8*(EA180+273)^3))</f>
        <v>0</v>
      </c>
      <c r="W180">
        <f>($C$7*EB180+$D$7*EC180+$E$7*V180)</f>
        <v>0</v>
      </c>
      <c r="X180">
        <f>0.61365*exp(17.502*W180/(240.97+W180))</f>
        <v>0</v>
      </c>
      <c r="Y180">
        <f>(Z180/AA180*100)</f>
        <v>0</v>
      </c>
      <c r="Z180">
        <f>DT180*(DY180+DZ180)/1000</f>
        <v>0</v>
      </c>
      <c r="AA180">
        <f>0.61365*exp(17.502*EA180/(240.97+EA180))</f>
        <v>0</v>
      </c>
      <c r="AB180">
        <f>(X180-DT180*(DY180+DZ180)/1000)</f>
        <v>0</v>
      </c>
      <c r="AC180">
        <f>(-J180*44100)</f>
        <v>0</v>
      </c>
      <c r="AD180">
        <f>2*29.3*R180*0.92*(EA180-W180)</f>
        <v>0</v>
      </c>
      <c r="AE180">
        <f>2*0.95*5.67E-8*(((EA180+$B$7)+273)^4-(W180+273)^4)</f>
        <v>0</v>
      </c>
      <c r="AF180">
        <f>U180+AE180+AC180+AD180</f>
        <v>0</v>
      </c>
      <c r="AG180">
        <f>DX180*AU180*(DS180-DR180*(1000-AU180*DU180)/(1000-AU180*DT180))/(100*DL180)</f>
        <v>0</v>
      </c>
      <c r="AH180">
        <f>1000*DX180*AU180*(DT180-DU180)/(100*DL180*(1000-AU180*DT180))</f>
        <v>0</v>
      </c>
      <c r="AI180">
        <f>(AJ180 - AK180 - DY180*1E3/(8.314*(EA180+273.15)) * AM180/DX180 * AL180) * DX180/(100*DL180) * (1000 - DU180)/1000</f>
        <v>0</v>
      </c>
      <c r="AJ180">
        <v>998.995661659185</v>
      </c>
      <c r="AK180">
        <v>960.326369696969</v>
      </c>
      <c r="AL180">
        <v>3.06886353067097</v>
      </c>
      <c r="AM180">
        <v>65.2210784119795</v>
      </c>
      <c r="AN180">
        <f>(AP180 - AO180 + DY180*1E3/(8.314*(EA180+273.15)) * AR180/DX180 * AQ180) * DX180/(100*DL180) * 1000/(1000 - AP180)</f>
        <v>0</v>
      </c>
      <c r="AO180">
        <v>9.72565330083384</v>
      </c>
      <c r="AP180">
        <v>11.8305666666667</v>
      </c>
      <c r="AQ180">
        <v>6.07475500592711e-05</v>
      </c>
      <c r="AR180">
        <v>115.574510355221</v>
      </c>
      <c r="AS180">
        <v>0</v>
      </c>
      <c r="AT180">
        <v>0</v>
      </c>
      <c r="AU180">
        <f>IF(AS180*$H$13&gt;=AW180,1.0,(AW180/(AW180-AS180*$H$13)))</f>
        <v>0</v>
      </c>
      <c r="AV180">
        <f>(AU180-1)*100</f>
        <v>0</v>
      </c>
      <c r="AW180">
        <f>MAX(0,($B$13+$C$13*EF180)/(1+$D$13*EF180)*DY180/(EA180+273)*$E$13)</f>
        <v>0</v>
      </c>
      <c r="AX180" t="s">
        <v>437</v>
      </c>
      <c r="AY180" t="s">
        <v>437</v>
      </c>
      <c r="AZ180">
        <v>0</v>
      </c>
      <c r="BA180">
        <v>0</v>
      </c>
      <c r="BB180">
        <f>1-AZ180/BA180</f>
        <v>0</v>
      </c>
      <c r="BC180">
        <v>0</v>
      </c>
      <c r="BD180" t="s">
        <v>437</v>
      </c>
      <c r="BE180" t="s">
        <v>437</v>
      </c>
      <c r="BF180">
        <v>0</v>
      </c>
      <c r="BG180">
        <v>0</v>
      </c>
      <c r="BH180">
        <f>1-BF180/BG180</f>
        <v>0</v>
      </c>
      <c r="BI180">
        <v>0.5</v>
      </c>
      <c r="BJ180">
        <f>DI180</f>
        <v>0</v>
      </c>
      <c r="BK180">
        <f>L180</f>
        <v>0</v>
      </c>
      <c r="BL180">
        <f>BH180*BI180*BJ180</f>
        <v>0</v>
      </c>
      <c r="BM180">
        <f>(BK180-BC180)/BJ180</f>
        <v>0</v>
      </c>
      <c r="BN180">
        <f>(BA180-BG180)/BG180</f>
        <v>0</v>
      </c>
      <c r="BO180">
        <f>AZ180/(BB180+AZ180/BG180)</f>
        <v>0</v>
      </c>
      <c r="BP180" t="s">
        <v>437</v>
      </c>
      <c r="BQ180">
        <v>0</v>
      </c>
      <c r="BR180">
        <f>IF(BQ180&lt;&gt;0, BQ180, BO180)</f>
        <v>0</v>
      </c>
      <c r="BS180">
        <f>1-BR180/BG180</f>
        <v>0</v>
      </c>
      <c r="BT180">
        <f>(BG180-BF180)/(BG180-BR180)</f>
        <v>0</v>
      </c>
      <c r="BU180">
        <f>(BA180-BG180)/(BA180-BR180)</f>
        <v>0</v>
      </c>
      <c r="BV180">
        <f>(BG180-BF180)/(BG180-AZ180)</f>
        <v>0</v>
      </c>
      <c r="BW180">
        <f>(BA180-BG180)/(BA180-AZ180)</f>
        <v>0</v>
      </c>
      <c r="BX180">
        <f>(BT180*BR180/BF180)</f>
        <v>0</v>
      </c>
      <c r="BY180">
        <f>(1-BX180)</f>
        <v>0</v>
      </c>
      <c r="BZ180">
        <v>282</v>
      </c>
      <c r="CA180">
        <v>290</v>
      </c>
      <c r="CB180">
        <v>1577.74</v>
      </c>
      <c r="CC180">
        <v>295</v>
      </c>
      <c r="CD180">
        <v>5140.93</v>
      </c>
      <c r="CE180">
        <v>1578.58</v>
      </c>
      <c r="CF180">
        <v>-0.84</v>
      </c>
      <c r="CG180">
        <v>300</v>
      </c>
      <c r="CH180">
        <v>23.8</v>
      </c>
      <c r="CI180">
        <v>1633.28263291266</v>
      </c>
      <c r="CJ180">
        <v>1.49577129053257</v>
      </c>
      <c r="CK180">
        <v>-28.1203876934379</v>
      </c>
      <c r="CL180">
        <v>0.666413418688897</v>
      </c>
      <c r="CM180">
        <v>0.984518017981194</v>
      </c>
      <c r="CN180">
        <v>-0.00424727541713014</v>
      </c>
      <c r="CO180">
        <v>290</v>
      </c>
      <c r="CP180">
        <v>1576.56</v>
      </c>
      <c r="CQ180">
        <v>775</v>
      </c>
      <c r="CR180">
        <v>5139.5</v>
      </c>
      <c r="CS180">
        <v>1578.57</v>
      </c>
      <c r="CT180">
        <v>-2.01</v>
      </c>
      <c r="DH180">
        <f>$B$11*EG180+$C$11*EH180+$F$11*ES180*(1-EV180)</f>
        <v>0</v>
      </c>
      <c r="DI180">
        <f>DH180*DJ180</f>
        <v>0</v>
      </c>
      <c r="DJ180">
        <f>($B$11*$D$9+$C$11*$D$9+$F$11*((FF180+EX180)/MAX(FF180+EX180+FG180, 0.1)*$I$9+FG180/MAX(FF180+EX180+FG180, 0.1)*$J$9))/($B$11+$C$11+$F$11)</f>
        <v>0</v>
      </c>
      <c r="DK180">
        <f>($B$11*$K$9+$C$11*$K$9+$F$11*((FF180+EX180)/MAX(FF180+EX180+FG180, 0.1)*$P$9+FG180/MAX(FF180+EX180+FG180, 0.1)*$Q$9))/($B$11+$C$11+$F$11)</f>
        <v>0</v>
      </c>
      <c r="DL180">
        <v>6</v>
      </c>
      <c r="DM180">
        <v>0.5</v>
      </c>
      <c r="DN180" t="s">
        <v>438</v>
      </c>
      <c r="DO180">
        <v>2</v>
      </c>
      <c r="DP180" t="b">
        <v>1</v>
      </c>
      <c r="DQ180">
        <v>1760992150.94615</v>
      </c>
      <c r="DR180">
        <v>926.418923076923</v>
      </c>
      <c r="DS180">
        <v>975.290769230769</v>
      </c>
      <c r="DT180">
        <v>11.8211384615385</v>
      </c>
      <c r="DU180">
        <v>9.72678538461538</v>
      </c>
      <c r="DV180">
        <v>921.732692307692</v>
      </c>
      <c r="DW180">
        <v>11.9322461538462</v>
      </c>
      <c r="DX180">
        <v>499.984076923077</v>
      </c>
      <c r="DY180">
        <v>89.8392230769231</v>
      </c>
      <c r="DZ180">
        <v>0.00954727692307692</v>
      </c>
      <c r="EA180">
        <v>18.4382846153846</v>
      </c>
      <c r="EB180">
        <v>18.0145307692308</v>
      </c>
      <c r="EC180">
        <v>999.9</v>
      </c>
      <c r="ED180">
        <v>0</v>
      </c>
      <c r="EE180">
        <v>0</v>
      </c>
      <c r="EF180">
        <v>9991.82307692308</v>
      </c>
      <c r="EG180">
        <v>0</v>
      </c>
      <c r="EH180">
        <v>1278.59769230769</v>
      </c>
      <c r="EI180">
        <v>-48.8718769230769</v>
      </c>
      <c r="EJ180">
        <v>937.501384615384</v>
      </c>
      <c r="EK180">
        <v>984.870384615385</v>
      </c>
      <c r="EL180">
        <v>2.09436846153846</v>
      </c>
      <c r="EM180">
        <v>975.290769230769</v>
      </c>
      <c r="EN180">
        <v>9.72678538461538</v>
      </c>
      <c r="EO180">
        <v>1.06200307692308</v>
      </c>
      <c r="EP180">
        <v>0.873846923076923</v>
      </c>
      <c r="EQ180">
        <v>7.79596538461539</v>
      </c>
      <c r="ER180">
        <v>4.96708692307692</v>
      </c>
      <c r="ES180">
        <v>1200.00846153846</v>
      </c>
      <c r="ET180">
        <v>0.967005</v>
      </c>
      <c r="EU180">
        <v>0.0329954</v>
      </c>
      <c r="EV180">
        <v>0</v>
      </c>
      <c r="EW180">
        <v>1281.63615384615</v>
      </c>
      <c r="EX180">
        <v>5.00059</v>
      </c>
      <c r="EY180">
        <v>15140.5230769231</v>
      </c>
      <c r="EZ180">
        <v>10358.8</v>
      </c>
      <c r="FA180">
        <v>37.9756923076923</v>
      </c>
      <c r="FB180">
        <v>39.7113076923077</v>
      </c>
      <c r="FC180">
        <v>38.3891538461539</v>
      </c>
      <c r="FD180">
        <v>39.1968461538462</v>
      </c>
      <c r="FE180">
        <v>38.8219230769231</v>
      </c>
      <c r="FF180">
        <v>1155.57846153846</v>
      </c>
      <c r="FG180">
        <v>39.43</v>
      </c>
      <c r="FH180">
        <v>0</v>
      </c>
      <c r="FI180">
        <v>1014.80000019073</v>
      </c>
      <c r="FJ180">
        <v>0</v>
      </c>
      <c r="FK180">
        <v>1281.7568</v>
      </c>
      <c r="FL180">
        <v>12.5538461296579</v>
      </c>
      <c r="FM180">
        <v>125.507692123377</v>
      </c>
      <c r="FN180">
        <v>15142.372</v>
      </c>
      <c r="FO180">
        <v>15</v>
      </c>
      <c r="FP180">
        <v>0</v>
      </c>
      <c r="FQ180" t="s">
        <v>439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-49.023375</v>
      </c>
      <c r="GD180">
        <v>7.57291578947366</v>
      </c>
      <c r="GE180">
        <v>1.04689977116962</v>
      </c>
      <c r="GF180">
        <v>0</v>
      </c>
      <c r="GG180">
        <v>1280.87176470588</v>
      </c>
      <c r="GH180">
        <v>13.5067990828957</v>
      </c>
      <c r="GI180">
        <v>1.3392918905773</v>
      </c>
      <c r="GJ180">
        <v>-1</v>
      </c>
      <c r="GK180">
        <v>2.09218</v>
      </c>
      <c r="GL180">
        <v>0.0694565413533854</v>
      </c>
      <c r="GM180">
        <v>0.00717767023483246</v>
      </c>
      <c r="GN180">
        <v>1</v>
      </c>
      <c r="GO180">
        <v>1</v>
      </c>
      <c r="GP180">
        <v>2</v>
      </c>
      <c r="GQ180" t="s">
        <v>446</v>
      </c>
      <c r="GR180">
        <v>3.13084</v>
      </c>
      <c r="GS180">
        <v>2.6875</v>
      </c>
      <c r="GT180">
        <v>0.159753</v>
      </c>
      <c r="GU180">
        <v>0.165661</v>
      </c>
      <c r="GV180">
        <v>0.0617604</v>
      </c>
      <c r="GW180">
        <v>0.0529671</v>
      </c>
      <c r="GX180">
        <v>31842.7</v>
      </c>
      <c r="GY180">
        <v>33976.5</v>
      </c>
      <c r="GZ180">
        <v>34262.9</v>
      </c>
      <c r="HA180">
        <v>36845.8</v>
      </c>
      <c r="HB180">
        <v>45352.8</v>
      </c>
      <c r="HC180">
        <v>50044.3</v>
      </c>
      <c r="HD180">
        <v>53336.4</v>
      </c>
      <c r="HE180">
        <v>58772.8</v>
      </c>
      <c r="HF180">
        <v>2.00822</v>
      </c>
      <c r="HG180">
        <v>1.83675</v>
      </c>
      <c r="HH180">
        <v>0.00916421</v>
      </c>
      <c r="HI180">
        <v>0</v>
      </c>
      <c r="HJ180">
        <v>17.8633</v>
      </c>
      <c r="HK180">
        <v>999.9</v>
      </c>
      <c r="HL180">
        <v>26.663</v>
      </c>
      <c r="HM180">
        <v>30.434</v>
      </c>
      <c r="HN180">
        <v>12.9619</v>
      </c>
      <c r="HO180">
        <v>55.0128</v>
      </c>
      <c r="HP180">
        <v>44.2508</v>
      </c>
      <c r="HQ180">
        <v>1</v>
      </c>
      <c r="HR180">
        <v>-0.261372</v>
      </c>
      <c r="HS180">
        <v>4.84186</v>
      </c>
      <c r="HT180">
        <v>20.0695</v>
      </c>
      <c r="HU180">
        <v>5.20022</v>
      </c>
      <c r="HV180">
        <v>12.004</v>
      </c>
      <c r="HW180">
        <v>4.9756</v>
      </c>
      <c r="HX180">
        <v>3.29295</v>
      </c>
      <c r="HY180">
        <v>9999</v>
      </c>
      <c r="HZ180">
        <v>999.9</v>
      </c>
      <c r="IA180">
        <v>9999</v>
      </c>
      <c r="IB180">
        <v>9999</v>
      </c>
      <c r="IC180">
        <v>1.86322</v>
      </c>
      <c r="ID180">
        <v>1.86805</v>
      </c>
      <c r="IE180">
        <v>1.86783</v>
      </c>
      <c r="IF180">
        <v>1.86904</v>
      </c>
      <c r="IG180">
        <v>1.86981</v>
      </c>
      <c r="IH180">
        <v>1.86584</v>
      </c>
      <c r="II180">
        <v>1.86692</v>
      </c>
      <c r="IJ180">
        <v>1.86841</v>
      </c>
      <c r="IK180">
        <v>5</v>
      </c>
      <c r="IL180">
        <v>0</v>
      </c>
      <c r="IM180">
        <v>0</v>
      </c>
      <c r="IN180">
        <v>0</v>
      </c>
      <c r="IO180" t="s">
        <v>441</v>
      </c>
      <c r="IP180" t="s">
        <v>442</v>
      </c>
      <c r="IQ180" t="s">
        <v>443</v>
      </c>
      <c r="IR180" t="s">
        <v>443</v>
      </c>
      <c r="IS180" t="s">
        <v>443</v>
      </c>
      <c r="IT180" t="s">
        <v>443</v>
      </c>
      <c r="IU180">
        <v>0</v>
      </c>
      <c r="IV180">
        <v>100</v>
      </c>
      <c r="IW180">
        <v>100</v>
      </c>
      <c r="IX180">
        <v>4.773</v>
      </c>
      <c r="IY180">
        <v>-0.111</v>
      </c>
      <c r="IZ180">
        <v>1.12474291219083</v>
      </c>
      <c r="JA180">
        <v>0.00463155566490582</v>
      </c>
      <c r="JB180">
        <v>-1.1358998729424e-06</v>
      </c>
      <c r="JC180">
        <v>3.28704272115545e-10</v>
      </c>
      <c r="JD180">
        <v>-0.0704455108513773</v>
      </c>
      <c r="JE180">
        <v>-0.0251928478371425</v>
      </c>
      <c r="JF180">
        <v>0.00225751704194564</v>
      </c>
      <c r="JG180">
        <v>-3.61734043746866e-05</v>
      </c>
      <c r="JH180">
        <v>1</v>
      </c>
      <c r="JI180">
        <v>2182</v>
      </c>
      <c r="JJ180">
        <v>0</v>
      </c>
      <c r="JK180">
        <v>24</v>
      </c>
      <c r="JL180">
        <v>29349869.3</v>
      </c>
      <c r="JM180">
        <v>29349869.3</v>
      </c>
      <c r="JN180">
        <v>2.04346</v>
      </c>
      <c r="JO180">
        <v>2.6123</v>
      </c>
      <c r="JP180">
        <v>1.54785</v>
      </c>
      <c r="JQ180">
        <v>2.31445</v>
      </c>
      <c r="JR180">
        <v>1.64673</v>
      </c>
      <c r="JS180">
        <v>2.3584</v>
      </c>
      <c r="JT180">
        <v>33.6254</v>
      </c>
      <c r="JU180">
        <v>24.1751</v>
      </c>
      <c r="JV180">
        <v>18</v>
      </c>
      <c r="JW180">
        <v>500.83</v>
      </c>
      <c r="JX180">
        <v>394.315</v>
      </c>
      <c r="JY180">
        <v>11.4995</v>
      </c>
      <c r="JZ180">
        <v>23.9853</v>
      </c>
      <c r="KA180">
        <v>30.0002</v>
      </c>
      <c r="KB180">
        <v>23.9749</v>
      </c>
      <c r="KC180">
        <v>23.9428</v>
      </c>
      <c r="KD180">
        <v>40.9631</v>
      </c>
      <c r="KE180">
        <v>7.87357</v>
      </c>
      <c r="KF180">
        <v>26.5359</v>
      </c>
      <c r="KG180">
        <v>11.484</v>
      </c>
      <c r="KH180">
        <v>1021.91</v>
      </c>
      <c r="KI180">
        <v>9.7744</v>
      </c>
      <c r="KJ180">
        <v>97.035</v>
      </c>
      <c r="KK180">
        <v>95.2964</v>
      </c>
    </row>
    <row r="181" spans="1:297">
      <c r="A181">
        <v>165</v>
      </c>
      <c r="B181">
        <v>1760992164.1</v>
      </c>
      <c r="C181">
        <v>2974</v>
      </c>
      <c r="D181" t="s">
        <v>783</v>
      </c>
      <c r="E181" t="s">
        <v>784</v>
      </c>
      <c r="F181">
        <v>5</v>
      </c>
      <c r="G181" t="s">
        <v>662</v>
      </c>
      <c r="H181" t="s">
        <v>436</v>
      </c>
      <c r="I181">
        <v>1760992155.94615</v>
      </c>
      <c r="J181">
        <f>(K181)/1000</f>
        <v>0</v>
      </c>
      <c r="K181">
        <f>IF(DP181, AN181, AH181)</f>
        <v>0</v>
      </c>
      <c r="L181">
        <f>IF(DP181, AI181, AG181)</f>
        <v>0</v>
      </c>
      <c r="M181">
        <f>DR181 - IF(AU181&gt;1, L181*DL181*100.0/(AW181), 0)</f>
        <v>0</v>
      </c>
      <c r="N181">
        <f>((T181-J181/2)*M181-L181)/(T181+J181/2)</f>
        <v>0</v>
      </c>
      <c r="O181">
        <f>N181*(DY181+DZ181)/1000.0</f>
        <v>0</v>
      </c>
      <c r="P181">
        <f>(DR181 - IF(AU181&gt;1, L181*DL181*100.0/(AW181), 0))*(DY181+DZ181)/1000.0</f>
        <v>0</v>
      </c>
      <c r="Q181">
        <f>2.0/((1/S181-1/R181)+SIGN(S181)*SQRT((1/S181-1/R181)*(1/S181-1/R181) + 4*DM181/((DM181+1)*(DM181+1))*(2*1/S181*1/R181-1/R181*1/R181)))</f>
        <v>0</v>
      </c>
      <c r="R181">
        <f>IF(LEFT(DN181,1)&lt;&gt;"0",IF(LEFT(DN181,1)="1",3.0,DO181),$D$5+$E$5*(EF181*DY181/($K$5*1000))+$F$5*(EF181*DY181/($K$5*1000))*MAX(MIN(DL181,$J$5),$I$5)*MAX(MIN(DL181,$J$5),$I$5)+$G$5*MAX(MIN(DL181,$J$5),$I$5)*(EF181*DY181/($K$5*1000))+$H$5*(EF181*DY181/($K$5*1000))*(EF181*DY181/($K$5*1000)))</f>
        <v>0</v>
      </c>
      <c r="S181">
        <f>J181*(1000-(1000*0.61365*exp(17.502*W181/(240.97+W181))/(DY181+DZ181)+DT181)/2)/(1000*0.61365*exp(17.502*W181/(240.97+W181))/(DY181+DZ181)-DT181)</f>
        <v>0</v>
      </c>
      <c r="T181">
        <f>1/((DM181+1)/(Q181/1.6)+1/(R181/1.37)) + DM181/((DM181+1)/(Q181/1.6) + DM181/(R181/1.37))</f>
        <v>0</v>
      </c>
      <c r="U181">
        <f>(DH181*DK181)</f>
        <v>0</v>
      </c>
      <c r="V181">
        <f>(EA181+(U181+2*0.95*5.67E-8*(((EA181+$B$7)+273)^4-(EA181+273)^4)-44100*J181)/(1.84*29.3*R181+8*0.95*5.67E-8*(EA181+273)^3))</f>
        <v>0</v>
      </c>
      <c r="W181">
        <f>($C$7*EB181+$D$7*EC181+$E$7*V181)</f>
        <v>0</v>
      </c>
      <c r="X181">
        <f>0.61365*exp(17.502*W181/(240.97+W181))</f>
        <v>0</v>
      </c>
      <c r="Y181">
        <f>(Z181/AA181*100)</f>
        <v>0</v>
      </c>
      <c r="Z181">
        <f>DT181*(DY181+DZ181)/1000</f>
        <v>0</v>
      </c>
      <c r="AA181">
        <f>0.61365*exp(17.502*EA181/(240.97+EA181))</f>
        <v>0</v>
      </c>
      <c r="AB181">
        <f>(X181-DT181*(DY181+DZ181)/1000)</f>
        <v>0</v>
      </c>
      <c r="AC181">
        <f>(-J181*44100)</f>
        <v>0</v>
      </c>
      <c r="AD181">
        <f>2*29.3*R181*0.92*(EA181-W181)</f>
        <v>0</v>
      </c>
      <c r="AE181">
        <f>2*0.95*5.67E-8*(((EA181+$B$7)+273)^4-(W181+273)^4)</f>
        <v>0</v>
      </c>
      <c r="AF181">
        <f>U181+AE181+AC181+AD181</f>
        <v>0</v>
      </c>
      <c r="AG181">
        <f>DX181*AU181*(DS181-DR181*(1000-AU181*DU181)/(1000-AU181*DT181))/(100*DL181)</f>
        <v>0</v>
      </c>
      <c r="AH181">
        <f>1000*DX181*AU181*(DT181-DU181)/(100*DL181*(1000-AU181*DT181))</f>
        <v>0</v>
      </c>
      <c r="AI181">
        <f>(AJ181 - AK181 - DY181*1E3/(8.314*(EA181+273.15)) * AM181/DX181 * AL181) * DX181/(100*DL181) * (1000 - DU181)/1000</f>
        <v>0</v>
      </c>
      <c r="AJ181">
        <v>1018.04011405575</v>
      </c>
      <c r="AK181">
        <v>977.929830303031</v>
      </c>
      <c r="AL181">
        <v>3.55474341257315</v>
      </c>
      <c r="AM181">
        <v>65.2210784119795</v>
      </c>
      <c r="AN181">
        <f>(AP181 - AO181 + DY181*1E3/(8.314*(EA181+273.15)) * AR181/DX181 * AQ181) * DX181/(100*DL181) * 1000/(1000 - AP181)</f>
        <v>0</v>
      </c>
      <c r="AO181">
        <v>9.72609581999748</v>
      </c>
      <c r="AP181">
        <v>11.8349042424242</v>
      </c>
      <c r="AQ181">
        <v>3.03321723446748e-05</v>
      </c>
      <c r="AR181">
        <v>115.574510355221</v>
      </c>
      <c r="AS181">
        <v>0</v>
      </c>
      <c r="AT181">
        <v>0</v>
      </c>
      <c r="AU181">
        <f>IF(AS181*$H$13&gt;=AW181,1.0,(AW181/(AW181-AS181*$H$13)))</f>
        <v>0</v>
      </c>
      <c r="AV181">
        <f>(AU181-1)*100</f>
        <v>0</v>
      </c>
      <c r="AW181">
        <f>MAX(0,($B$13+$C$13*EF181)/(1+$D$13*EF181)*DY181/(EA181+273)*$E$13)</f>
        <v>0</v>
      </c>
      <c r="AX181" t="s">
        <v>437</v>
      </c>
      <c r="AY181" t="s">
        <v>437</v>
      </c>
      <c r="AZ181">
        <v>0</v>
      </c>
      <c r="BA181">
        <v>0</v>
      </c>
      <c r="BB181">
        <f>1-AZ181/BA181</f>
        <v>0</v>
      </c>
      <c r="BC181">
        <v>0</v>
      </c>
      <c r="BD181" t="s">
        <v>437</v>
      </c>
      <c r="BE181" t="s">
        <v>437</v>
      </c>
      <c r="BF181">
        <v>0</v>
      </c>
      <c r="BG181">
        <v>0</v>
      </c>
      <c r="BH181">
        <f>1-BF181/BG181</f>
        <v>0</v>
      </c>
      <c r="BI181">
        <v>0.5</v>
      </c>
      <c r="BJ181">
        <f>DI181</f>
        <v>0</v>
      </c>
      <c r="BK181">
        <f>L181</f>
        <v>0</v>
      </c>
      <c r="BL181">
        <f>BH181*BI181*BJ181</f>
        <v>0</v>
      </c>
      <c r="BM181">
        <f>(BK181-BC181)/BJ181</f>
        <v>0</v>
      </c>
      <c r="BN181">
        <f>(BA181-BG181)/BG181</f>
        <v>0</v>
      </c>
      <c r="BO181">
        <f>AZ181/(BB181+AZ181/BG181)</f>
        <v>0</v>
      </c>
      <c r="BP181" t="s">
        <v>437</v>
      </c>
      <c r="BQ181">
        <v>0</v>
      </c>
      <c r="BR181">
        <f>IF(BQ181&lt;&gt;0, BQ181, BO181)</f>
        <v>0</v>
      </c>
      <c r="BS181">
        <f>1-BR181/BG181</f>
        <v>0</v>
      </c>
      <c r="BT181">
        <f>(BG181-BF181)/(BG181-BR181)</f>
        <v>0</v>
      </c>
      <c r="BU181">
        <f>(BA181-BG181)/(BA181-BR181)</f>
        <v>0</v>
      </c>
      <c r="BV181">
        <f>(BG181-BF181)/(BG181-AZ181)</f>
        <v>0</v>
      </c>
      <c r="BW181">
        <f>(BA181-BG181)/(BA181-AZ181)</f>
        <v>0</v>
      </c>
      <c r="BX181">
        <f>(BT181*BR181/BF181)</f>
        <v>0</v>
      </c>
      <c r="BY181">
        <f>(1-BX181)</f>
        <v>0</v>
      </c>
      <c r="BZ181">
        <v>282</v>
      </c>
      <c r="CA181">
        <v>290</v>
      </c>
      <c r="CB181">
        <v>1577.74</v>
      </c>
      <c r="CC181">
        <v>295</v>
      </c>
      <c r="CD181">
        <v>5140.93</v>
      </c>
      <c r="CE181">
        <v>1578.58</v>
      </c>
      <c r="CF181">
        <v>-0.84</v>
      </c>
      <c r="CG181">
        <v>300</v>
      </c>
      <c r="CH181">
        <v>23.8</v>
      </c>
      <c r="CI181">
        <v>1633.28263291266</v>
      </c>
      <c r="CJ181">
        <v>1.49577129053257</v>
      </c>
      <c r="CK181">
        <v>-28.1203876934379</v>
      </c>
      <c r="CL181">
        <v>0.666413418688897</v>
      </c>
      <c r="CM181">
        <v>0.984518017981194</v>
      </c>
      <c r="CN181">
        <v>-0.00424727541713014</v>
      </c>
      <c r="CO181">
        <v>290</v>
      </c>
      <c r="CP181">
        <v>1576.56</v>
      </c>
      <c r="CQ181">
        <v>775</v>
      </c>
      <c r="CR181">
        <v>5139.5</v>
      </c>
      <c r="CS181">
        <v>1578.57</v>
      </c>
      <c r="CT181">
        <v>-2.01</v>
      </c>
      <c r="DH181">
        <f>$B$11*EG181+$C$11*EH181+$F$11*ES181*(1-EV181)</f>
        <v>0</v>
      </c>
      <c r="DI181">
        <f>DH181*DJ181</f>
        <v>0</v>
      </c>
      <c r="DJ181">
        <f>($B$11*$D$9+$C$11*$D$9+$F$11*((FF181+EX181)/MAX(FF181+EX181+FG181, 0.1)*$I$9+FG181/MAX(FF181+EX181+FG181, 0.1)*$J$9))/($B$11+$C$11+$F$11)</f>
        <v>0</v>
      </c>
      <c r="DK181">
        <f>($B$11*$K$9+$C$11*$K$9+$F$11*((FF181+EX181)/MAX(FF181+EX181+FG181, 0.1)*$P$9+FG181/MAX(FF181+EX181+FG181, 0.1)*$Q$9))/($B$11+$C$11+$F$11)</f>
        <v>0</v>
      </c>
      <c r="DL181">
        <v>6</v>
      </c>
      <c r="DM181">
        <v>0.5</v>
      </c>
      <c r="DN181" t="s">
        <v>438</v>
      </c>
      <c r="DO181">
        <v>2</v>
      </c>
      <c r="DP181" t="b">
        <v>1</v>
      </c>
      <c r="DQ181">
        <v>1760992155.94615</v>
      </c>
      <c r="DR181">
        <v>942.710769230769</v>
      </c>
      <c r="DS181">
        <v>991.700923076923</v>
      </c>
      <c r="DT181">
        <v>11.8275923076923</v>
      </c>
      <c r="DU181">
        <v>9.72640230769231</v>
      </c>
      <c r="DV181">
        <v>937.969769230769</v>
      </c>
      <c r="DW181">
        <v>11.9386</v>
      </c>
      <c r="DX181">
        <v>499.988538461538</v>
      </c>
      <c r="DY181">
        <v>89.8406153846154</v>
      </c>
      <c r="DZ181">
        <v>0.00960793153846154</v>
      </c>
      <c r="EA181">
        <v>18.4368538461538</v>
      </c>
      <c r="EB181">
        <v>18.0170384615385</v>
      </c>
      <c r="EC181">
        <v>999.9</v>
      </c>
      <c r="ED181">
        <v>0</v>
      </c>
      <c r="EE181">
        <v>0</v>
      </c>
      <c r="EF181">
        <v>9990.04076923077</v>
      </c>
      <c r="EG181">
        <v>0</v>
      </c>
      <c r="EH181">
        <v>1278.62384615385</v>
      </c>
      <c r="EI181">
        <v>-48.9907923076923</v>
      </c>
      <c r="EJ181">
        <v>953.994384615385</v>
      </c>
      <c r="EK181">
        <v>1001.44215384615</v>
      </c>
      <c r="EL181">
        <v>2.1012</v>
      </c>
      <c r="EM181">
        <v>991.700923076923</v>
      </c>
      <c r="EN181">
        <v>9.72640230769231</v>
      </c>
      <c r="EO181">
        <v>1.06259846153846</v>
      </c>
      <c r="EP181">
        <v>0.873825923076923</v>
      </c>
      <c r="EQ181">
        <v>7.80419538461538</v>
      </c>
      <c r="ER181">
        <v>4.96674307692308</v>
      </c>
      <c r="ES181">
        <v>1200.03615384615</v>
      </c>
      <c r="ET181">
        <v>0.967004923076923</v>
      </c>
      <c r="EU181">
        <v>0.0329954076923077</v>
      </c>
      <c r="EV181">
        <v>0</v>
      </c>
      <c r="EW181">
        <v>1282.67923076923</v>
      </c>
      <c r="EX181">
        <v>5.00059</v>
      </c>
      <c r="EY181">
        <v>15150.9923076923</v>
      </c>
      <c r="EZ181">
        <v>10359.0307692308</v>
      </c>
      <c r="FA181">
        <v>37.9132307692308</v>
      </c>
      <c r="FB181">
        <v>39.6247692307692</v>
      </c>
      <c r="FC181">
        <v>38.3266923076923</v>
      </c>
      <c r="FD181">
        <v>39.0862307692308</v>
      </c>
      <c r="FE181">
        <v>38.7593076923077</v>
      </c>
      <c r="FF181">
        <v>1155.60615384615</v>
      </c>
      <c r="FG181">
        <v>39.43</v>
      </c>
      <c r="FH181">
        <v>0</v>
      </c>
      <c r="FI181">
        <v>1019.60000014305</v>
      </c>
      <c r="FJ181">
        <v>0</v>
      </c>
      <c r="FK181">
        <v>1282.778</v>
      </c>
      <c r="FL181">
        <v>13.0499999893019</v>
      </c>
      <c r="FM181">
        <v>123.738461546436</v>
      </c>
      <c r="FN181">
        <v>15152.336</v>
      </c>
      <c r="FO181">
        <v>15</v>
      </c>
      <c r="FP181">
        <v>0</v>
      </c>
      <c r="FQ181" t="s">
        <v>439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-49.230155</v>
      </c>
      <c r="GD181">
        <v>1.66335789473687</v>
      </c>
      <c r="GE181">
        <v>1.19559191929145</v>
      </c>
      <c r="GF181">
        <v>0</v>
      </c>
      <c r="GG181">
        <v>1281.78764705882</v>
      </c>
      <c r="GH181">
        <v>12.6154316141752</v>
      </c>
      <c r="GI181">
        <v>1.2501789491286</v>
      </c>
      <c r="GJ181">
        <v>-1</v>
      </c>
      <c r="GK181">
        <v>2.096514</v>
      </c>
      <c r="GL181">
        <v>0.0863260150375961</v>
      </c>
      <c r="GM181">
        <v>0.00832515008873713</v>
      </c>
      <c r="GN181">
        <v>1</v>
      </c>
      <c r="GO181">
        <v>1</v>
      </c>
      <c r="GP181">
        <v>2</v>
      </c>
      <c r="GQ181" t="s">
        <v>446</v>
      </c>
      <c r="GR181">
        <v>3.1307</v>
      </c>
      <c r="GS181">
        <v>2.68738</v>
      </c>
      <c r="GT181">
        <v>0.161654</v>
      </c>
      <c r="GU181">
        <v>0.167461</v>
      </c>
      <c r="GV181">
        <v>0.0617703</v>
      </c>
      <c r="GW181">
        <v>0.0529675</v>
      </c>
      <c r="GX181">
        <v>31770.9</v>
      </c>
      <c r="GY181">
        <v>33903</v>
      </c>
      <c r="GZ181">
        <v>34263.1</v>
      </c>
      <c r="HA181">
        <v>36845.5</v>
      </c>
      <c r="HB181">
        <v>45352.7</v>
      </c>
      <c r="HC181">
        <v>50044.5</v>
      </c>
      <c r="HD181">
        <v>53336.7</v>
      </c>
      <c r="HE181">
        <v>58772.8</v>
      </c>
      <c r="HF181">
        <v>2.00777</v>
      </c>
      <c r="HG181">
        <v>1.83692</v>
      </c>
      <c r="HH181">
        <v>0.00975281</v>
      </c>
      <c r="HI181">
        <v>0</v>
      </c>
      <c r="HJ181">
        <v>17.8621</v>
      </c>
      <c r="HK181">
        <v>999.9</v>
      </c>
      <c r="HL181">
        <v>26.663</v>
      </c>
      <c r="HM181">
        <v>30.454</v>
      </c>
      <c r="HN181">
        <v>12.9776</v>
      </c>
      <c r="HO181">
        <v>55.1128</v>
      </c>
      <c r="HP181">
        <v>44.351</v>
      </c>
      <c r="HQ181">
        <v>1</v>
      </c>
      <c r="HR181">
        <v>-0.261087</v>
      </c>
      <c r="HS181">
        <v>4.8652</v>
      </c>
      <c r="HT181">
        <v>20.0685</v>
      </c>
      <c r="HU181">
        <v>5.20112</v>
      </c>
      <c r="HV181">
        <v>12.004</v>
      </c>
      <c r="HW181">
        <v>4.9756</v>
      </c>
      <c r="HX181">
        <v>3.29298</v>
      </c>
      <c r="HY181">
        <v>9999</v>
      </c>
      <c r="HZ181">
        <v>999.9</v>
      </c>
      <c r="IA181">
        <v>9999</v>
      </c>
      <c r="IB181">
        <v>9999</v>
      </c>
      <c r="IC181">
        <v>1.86324</v>
      </c>
      <c r="ID181">
        <v>1.86805</v>
      </c>
      <c r="IE181">
        <v>1.86783</v>
      </c>
      <c r="IF181">
        <v>1.86904</v>
      </c>
      <c r="IG181">
        <v>1.86981</v>
      </c>
      <c r="IH181">
        <v>1.86585</v>
      </c>
      <c r="II181">
        <v>1.86691</v>
      </c>
      <c r="IJ181">
        <v>1.86841</v>
      </c>
      <c r="IK181">
        <v>5</v>
      </c>
      <c r="IL181">
        <v>0</v>
      </c>
      <c r="IM181">
        <v>0</v>
      </c>
      <c r="IN181">
        <v>0</v>
      </c>
      <c r="IO181" t="s">
        <v>441</v>
      </c>
      <c r="IP181" t="s">
        <v>442</v>
      </c>
      <c r="IQ181" t="s">
        <v>443</v>
      </c>
      <c r="IR181" t="s">
        <v>443</v>
      </c>
      <c r="IS181" t="s">
        <v>443</v>
      </c>
      <c r="IT181" t="s">
        <v>443</v>
      </c>
      <c r="IU181">
        <v>0</v>
      </c>
      <c r="IV181">
        <v>100</v>
      </c>
      <c r="IW181">
        <v>100</v>
      </c>
      <c r="IX181">
        <v>4.832</v>
      </c>
      <c r="IY181">
        <v>-0.1109</v>
      </c>
      <c r="IZ181">
        <v>1.12474291219083</v>
      </c>
      <c r="JA181">
        <v>0.00463155566490582</v>
      </c>
      <c r="JB181">
        <v>-1.1358998729424e-06</v>
      </c>
      <c r="JC181">
        <v>3.28704272115545e-10</v>
      </c>
      <c r="JD181">
        <v>-0.0704455108513773</v>
      </c>
      <c r="JE181">
        <v>-0.0251928478371425</v>
      </c>
      <c r="JF181">
        <v>0.00225751704194564</v>
      </c>
      <c r="JG181">
        <v>-3.61734043746866e-05</v>
      </c>
      <c r="JH181">
        <v>1</v>
      </c>
      <c r="JI181">
        <v>2182</v>
      </c>
      <c r="JJ181">
        <v>0</v>
      </c>
      <c r="JK181">
        <v>24</v>
      </c>
      <c r="JL181">
        <v>29349869.4</v>
      </c>
      <c r="JM181">
        <v>29349869.4</v>
      </c>
      <c r="JN181">
        <v>2.06543</v>
      </c>
      <c r="JO181">
        <v>2.61353</v>
      </c>
      <c r="JP181">
        <v>1.54785</v>
      </c>
      <c r="JQ181">
        <v>2.31445</v>
      </c>
      <c r="JR181">
        <v>1.64673</v>
      </c>
      <c r="JS181">
        <v>2.35596</v>
      </c>
      <c r="JT181">
        <v>33.6254</v>
      </c>
      <c r="JU181">
        <v>24.1838</v>
      </c>
      <c r="JV181">
        <v>18</v>
      </c>
      <c r="JW181">
        <v>500.561</v>
      </c>
      <c r="JX181">
        <v>394.415</v>
      </c>
      <c r="JY181">
        <v>11.4823</v>
      </c>
      <c r="JZ181">
        <v>23.9854</v>
      </c>
      <c r="KA181">
        <v>30.0003</v>
      </c>
      <c r="KB181">
        <v>23.9769</v>
      </c>
      <c r="KC181">
        <v>23.9438</v>
      </c>
      <c r="KD181">
        <v>41.4883</v>
      </c>
      <c r="KE181">
        <v>7.87357</v>
      </c>
      <c r="KF181">
        <v>26.5359</v>
      </c>
      <c r="KG181">
        <v>11.4676</v>
      </c>
      <c r="KH181">
        <v>1042.18</v>
      </c>
      <c r="KI181">
        <v>9.7744</v>
      </c>
      <c r="KJ181">
        <v>97.0355</v>
      </c>
      <c r="KK181">
        <v>95.2961</v>
      </c>
    </row>
    <row r="182" spans="1:297">
      <c r="A182">
        <v>166</v>
      </c>
      <c r="B182">
        <v>1760992169.1</v>
      </c>
      <c r="C182">
        <v>2979</v>
      </c>
      <c r="D182" t="s">
        <v>785</v>
      </c>
      <c r="E182" t="s">
        <v>786</v>
      </c>
      <c r="F182">
        <v>5</v>
      </c>
      <c r="G182" t="s">
        <v>662</v>
      </c>
      <c r="H182" t="s">
        <v>436</v>
      </c>
      <c r="I182">
        <v>1760992160.94615</v>
      </c>
      <c r="J182">
        <f>(K182)/1000</f>
        <v>0</v>
      </c>
      <c r="K182">
        <f>IF(DP182, AN182, AH182)</f>
        <v>0</v>
      </c>
      <c r="L182">
        <f>IF(DP182, AI182, AG182)</f>
        <v>0</v>
      </c>
      <c r="M182">
        <f>DR182 - IF(AU182&gt;1, L182*DL182*100.0/(AW182), 0)</f>
        <v>0</v>
      </c>
      <c r="N182">
        <f>((T182-J182/2)*M182-L182)/(T182+J182/2)</f>
        <v>0</v>
      </c>
      <c r="O182">
        <f>N182*(DY182+DZ182)/1000.0</f>
        <v>0</v>
      </c>
      <c r="P182">
        <f>(DR182 - IF(AU182&gt;1, L182*DL182*100.0/(AW182), 0))*(DY182+DZ182)/1000.0</f>
        <v>0</v>
      </c>
      <c r="Q182">
        <f>2.0/((1/S182-1/R182)+SIGN(S182)*SQRT((1/S182-1/R182)*(1/S182-1/R182) + 4*DM182/((DM182+1)*(DM182+1))*(2*1/S182*1/R182-1/R182*1/R182)))</f>
        <v>0</v>
      </c>
      <c r="R182">
        <f>IF(LEFT(DN182,1)&lt;&gt;"0",IF(LEFT(DN182,1)="1",3.0,DO182),$D$5+$E$5*(EF182*DY182/($K$5*1000))+$F$5*(EF182*DY182/($K$5*1000))*MAX(MIN(DL182,$J$5),$I$5)*MAX(MIN(DL182,$J$5),$I$5)+$G$5*MAX(MIN(DL182,$J$5),$I$5)*(EF182*DY182/($K$5*1000))+$H$5*(EF182*DY182/($K$5*1000))*(EF182*DY182/($K$5*1000)))</f>
        <v>0</v>
      </c>
      <c r="S182">
        <f>J182*(1000-(1000*0.61365*exp(17.502*W182/(240.97+W182))/(DY182+DZ182)+DT182)/2)/(1000*0.61365*exp(17.502*W182/(240.97+W182))/(DY182+DZ182)-DT182)</f>
        <v>0</v>
      </c>
      <c r="T182">
        <f>1/((DM182+1)/(Q182/1.6)+1/(R182/1.37)) + DM182/((DM182+1)/(Q182/1.6) + DM182/(R182/1.37))</f>
        <v>0</v>
      </c>
      <c r="U182">
        <f>(DH182*DK182)</f>
        <v>0</v>
      </c>
      <c r="V182">
        <f>(EA182+(U182+2*0.95*5.67E-8*(((EA182+$B$7)+273)^4-(EA182+273)^4)-44100*J182)/(1.84*29.3*R182+8*0.95*5.67E-8*(EA182+273)^3))</f>
        <v>0</v>
      </c>
      <c r="W182">
        <f>($C$7*EB182+$D$7*EC182+$E$7*V182)</f>
        <v>0</v>
      </c>
      <c r="X182">
        <f>0.61365*exp(17.502*W182/(240.97+W182))</f>
        <v>0</v>
      </c>
      <c r="Y182">
        <f>(Z182/AA182*100)</f>
        <v>0</v>
      </c>
      <c r="Z182">
        <f>DT182*(DY182+DZ182)/1000</f>
        <v>0</v>
      </c>
      <c r="AA182">
        <f>0.61365*exp(17.502*EA182/(240.97+EA182))</f>
        <v>0</v>
      </c>
      <c r="AB182">
        <f>(X182-DT182*(DY182+DZ182)/1000)</f>
        <v>0</v>
      </c>
      <c r="AC182">
        <f>(-J182*44100)</f>
        <v>0</v>
      </c>
      <c r="AD182">
        <f>2*29.3*R182*0.92*(EA182-W182)</f>
        <v>0</v>
      </c>
      <c r="AE182">
        <f>2*0.95*5.67E-8*(((EA182+$B$7)+273)^4-(W182+273)^4)</f>
        <v>0</v>
      </c>
      <c r="AF182">
        <f>U182+AE182+AC182+AD182</f>
        <v>0</v>
      </c>
      <c r="AG182">
        <f>DX182*AU182*(DS182-DR182*(1000-AU182*DU182)/(1000-AU182*DT182))/(100*DL182)</f>
        <v>0</v>
      </c>
      <c r="AH182">
        <f>1000*DX182*AU182*(DT182-DU182)/(100*DL182*(1000-AU182*DT182))</f>
        <v>0</v>
      </c>
      <c r="AI182">
        <f>(AJ182 - AK182 - DY182*1E3/(8.314*(EA182+273.15)) * AM182/DX182 * AL182) * DX182/(100*DL182) * (1000 - DU182)/1000</f>
        <v>0</v>
      </c>
      <c r="AJ182">
        <v>1034.20266331146</v>
      </c>
      <c r="AK182">
        <v>994.614484848484</v>
      </c>
      <c r="AL182">
        <v>3.30819307167441</v>
      </c>
      <c r="AM182">
        <v>65.2210784119795</v>
      </c>
      <c r="AN182">
        <f>(AP182 - AO182 + DY182*1E3/(8.314*(EA182+273.15)) * AR182/DX182 * AQ182) * DX182/(100*DL182) * 1000/(1000 - AP182)</f>
        <v>0</v>
      </c>
      <c r="AO182">
        <v>9.72555778894601</v>
      </c>
      <c r="AP182">
        <v>11.8346406060606</v>
      </c>
      <c r="AQ182">
        <v>-7.03693545271819e-06</v>
      </c>
      <c r="AR182">
        <v>115.574510355221</v>
      </c>
      <c r="AS182">
        <v>0</v>
      </c>
      <c r="AT182">
        <v>0</v>
      </c>
      <c r="AU182">
        <f>IF(AS182*$H$13&gt;=AW182,1.0,(AW182/(AW182-AS182*$H$13)))</f>
        <v>0</v>
      </c>
      <c r="AV182">
        <f>(AU182-1)*100</f>
        <v>0</v>
      </c>
      <c r="AW182">
        <f>MAX(0,($B$13+$C$13*EF182)/(1+$D$13*EF182)*DY182/(EA182+273)*$E$13)</f>
        <v>0</v>
      </c>
      <c r="AX182" t="s">
        <v>437</v>
      </c>
      <c r="AY182" t="s">
        <v>437</v>
      </c>
      <c r="AZ182">
        <v>0</v>
      </c>
      <c r="BA182">
        <v>0</v>
      </c>
      <c r="BB182">
        <f>1-AZ182/BA182</f>
        <v>0</v>
      </c>
      <c r="BC182">
        <v>0</v>
      </c>
      <c r="BD182" t="s">
        <v>437</v>
      </c>
      <c r="BE182" t="s">
        <v>437</v>
      </c>
      <c r="BF182">
        <v>0</v>
      </c>
      <c r="BG182">
        <v>0</v>
      </c>
      <c r="BH182">
        <f>1-BF182/BG182</f>
        <v>0</v>
      </c>
      <c r="BI182">
        <v>0.5</v>
      </c>
      <c r="BJ182">
        <f>DI182</f>
        <v>0</v>
      </c>
      <c r="BK182">
        <f>L182</f>
        <v>0</v>
      </c>
      <c r="BL182">
        <f>BH182*BI182*BJ182</f>
        <v>0</v>
      </c>
      <c r="BM182">
        <f>(BK182-BC182)/BJ182</f>
        <v>0</v>
      </c>
      <c r="BN182">
        <f>(BA182-BG182)/BG182</f>
        <v>0</v>
      </c>
      <c r="BO182">
        <f>AZ182/(BB182+AZ182/BG182)</f>
        <v>0</v>
      </c>
      <c r="BP182" t="s">
        <v>437</v>
      </c>
      <c r="BQ182">
        <v>0</v>
      </c>
      <c r="BR182">
        <f>IF(BQ182&lt;&gt;0, BQ182, BO182)</f>
        <v>0</v>
      </c>
      <c r="BS182">
        <f>1-BR182/BG182</f>
        <v>0</v>
      </c>
      <c r="BT182">
        <f>(BG182-BF182)/(BG182-BR182)</f>
        <v>0</v>
      </c>
      <c r="BU182">
        <f>(BA182-BG182)/(BA182-BR182)</f>
        <v>0</v>
      </c>
      <c r="BV182">
        <f>(BG182-BF182)/(BG182-AZ182)</f>
        <v>0</v>
      </c>
      <c r="BW182">
        <f>(BA182-BG182)/(BA182-AZ182)</f>
        <v>0</v>
      </c>
      <c r="BX182">
        <f>(BT182*BR182/BF182)</f>
        <v>0</v>
      </c>
      <c r="BY182">
        <f>(1-BX182)</f>
        <v>0</v>
      </c>
      <c r="BZ182">
        <v>282</v>
      </c>
      <c r="CA182">
        <v>290</v>
      </c>
      <c r="CB182">
        <v>1577.74</v>
      </c>
      <c r="CC182">
        <v>295</v>
      </c>
      <c r="CD182">
        <v>5140.93</v>
      </c>
      <c r="CE182">
        <v>1578.58</v>
      </c>
      <c r="CF182">
        <v>-0.84</v>
      </c>
      <c r="CG182">
        <v>300</v>
      </c>
      <c r="CH182">
        <v>23.8</v>
      </c>
      <c r="CI182">
        <v>1633.28263291266</v>
      </c>
      <c r="CJ182">
        <v>1.49577129053257</v>
      </c>
      <c r="CK182">
        <v>-28.1203876934379</v>
      </c>
      <c r="CL182">
        <v>0.666413418688897</v>
      </c>
      <c r="CM182">
        <v>0.984518017981194</v>
      </c>
      <c r="CN182">
        <v>-0.00424727541713014</v>
      </c>
      <c r="CO182">
        <v>290</v>
      </c>
      <c r="CP182">
        <v>1576.56</v>
      </c>
      <c r="CQ182">
        <v>775</v>
      </c>
      <c r="CR182">
        <v>5139.5</v>
      </c>
      <c r="CS182">
        <v>1578.57</v>
      </c>
      <c r="CT182">
        <v>-2.01</v>
      </c>
      <c r="DH182">
        <f>$B$11*EG182+$C$11*EH182+$F$11*ES182*(1-EV182)</f>
        <v>0</v>
      </c>
      <c r="DI182">
        <f>DH182*DJ182</f>
        <v>0</v>
      </c>
      <c r="DJ182">
        <f>($B$11*$D$9+$C$11*$D$9+$F$11*((FF182+EX182)/MAX(FF182+EX182+FG182, 0.1)*$I$9+FG182/MAX(FF182+EX182+FG182, 0.1)*$J$9))/($B$11+$C$11+$F$11)</f>
        <v>0</v>
      </c>
      <c r="DK182">
        <f>($B$11*$K$9+$C$11*$K$9+$F$11*((FF182+EX182)/MAX(FF182+EX182+FG182, 0.1)*$P$9+FG182/MAX(FF182+EX182+FG182, 0.1)*$Q$9))/($B$11+$C$11+$F$11)</f>
        <v>0</v>
      </c>
      <c r="DL182">
        <v>6</v>
      </c>
      <c r="DM182">
        <v>0.5</v>
      </c>
      <c r="DN182" t="s">
        <v>438</v>
      </c>
      <c r="DO182">
        <v>2</v>
      </c>
      <c r="DP182" t="b">
        <v>1</v>
      </c>
      <c r="DQ182">
        <v>1760992160.94615</v>
      </c>
      <c r="DR182">
        <v>959.041769230769</v>
      </c>
      <c r="DS182">
        <v>1008.08369230769</v>
      </c>
      <c r="DT182">
        <v>11.8318307692308</v>
      </c>
      <c r="DU182">
        <v>9.72588846153846</v>
      </c>
      <c r="DV182">
        <v>954.245923076923</v>
      </c>
      <c r="DW182">
        <v>11.9427769230769</v>
      </c>
      <c r="DX182">
        <v>499.989769230769</v>
      </c>
      <c r="DY182">
        <v>89.8413076923077</v>
      </c>
      <c r="DZ182">
        <v>0.00949879615384615</v>
      </c>
      <c r="EA182">
        <v>18.4333769230769</v>
      </c>
      <c r="EB182">
        <v>18.0183615384615</v>
      </c>
      <c r="EC182">
        <v>999.9</v>
      </c>
      <c r="ED182">
        <v>0</v>
      </c>
      <c r="EE182">
        <v>0</v>
      </c>
      <c r="EF182">
        <v>10004.4153846154</v>
      </c>
      <c r="EG182">
        <v>0</v>
      </c>
      <c r="EH182">
        <v>1278.63846153846</v>
      </c>
      <c r="EI182">
        <v>-49.0424384615385</v>
      </c>
      <c r="EJ182">
        <v>970.524923076923</v>
      </c>
      <c r="EK182">
        <v>1017.98461538462</v>
      </c>
      <c r="EL182">
        <v>2.10595</v>
      </c>
      <c r="EM182">
        <v>1008.08369230769</v>
      </c>
      <c r="EN182">
        <v>9.72588846153846</v>
      </c>
      <c r="EO182">
        <v>1.06298692307692</v>
      </c>
      <c r="EP182">
        <v>0.873786384615385</v>
      </c>
      <c r="EQ182">
        <v>7.80956230769231</v>
      </c>
      <c r="ER182">
        <v>4.96609384615385</v>
      </c>
      <c r="ES182">
        <v>1200.01384615385</v>
      </c>
      <c r="ET182">
        <v>0.967003538461539</v>
      </c>
      <c r="EU182">
        <v>0.0329967230769231</v>
      </c>
      <c r="EV182">
        <v>0</v>
      </c>
      <c r="EW182">
        <v>1283.69538461538</v>
      </c>
      <c r="EX182">
        <v>5.00059</v>
      </c>
      <c r="EY182">
        <v>15160.5153846154</v>
      </c>
      <c r="EZ182">
        <v>10358.8307692308</v>
      </c>
      <c r="FA182">
        <v>37.8506923076923</v>
      </c>
      <c r="FB182">
        <v>39.5478461538462</v>
      </c>
      <c r="FC182">
        <v>38.2640769230769</v>
      </c>
      <c r="FD182">
        <v>38.9805384615385</v>
      </c>
      <c r="FE182">
        <v>38.6969230769231</v>
      </c>
      <c r="FF182">
        <v>1155.58384615385</v>
      </c>
      <c r="FG182">
        <v>39.43</v>
      </c>
      <c r="FH182">
        <v>0</v>
      </c>
      <c r="FI182">
        <v>1025</v>
      </c>
      <c r="FJ182">
        <v>0</v>
      </c>
      <c r="FK182">
        <v>1283.84346153846</v>
      </c>
      <c r="FL182">
        <v>13.0943589706443</v>
      </c>
      <c r="FM182">
        <v>110.933333349414</v>
      </c>
      <c r="FN182">
        <v>15162.1846153846</v>
      </c>
      <c r="FO182">
        <v>15</v>
      </c>
      <c r="FP182">
        <v>0</v>
      </c>
      <c r="FQ182" t="s">
        <v>439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-48.95603</v>
      </c>
      <c r="GD182">
        <v>-4.87363308270671</v>
      </c>
      <c r="GE182">
        <v>1.08921582576641</v>
      </c>
      <c r="GF182">
        <v>0</v>
      </c>
      <c r="GG182">
        <v>1283.10411764706</v>
      </c>
      <c r="GH182">
        <v>12.8406416976119</v>
      </c>
      <c r="GI182">
        <v>1.27139135837837</v>
      </c>
      <c r="GJ182">
        <v>-1</v>
      </c>
      <c r="GK182">
        <v>2.103382</v>
      </c>
      <c r="GL182">
        <v>0.0578066165413576</v>
      </c>
      <c r="GM182">
        <v>0.00582347628139752</v>
      </c>
      <c r="GN182">
        <v>1</v>
      </c>
      <c r="GO182">
        <v>1</v>
      </c>
      <c r="GP182">
        <v>2</v>
      </c>
      <c r="GQ182" t="s">
        <v>446</v>
      </c>
      <c r="GR182">
        <v>3.13084</v>
      </c>
      <c r="GS182">
        <v>2.68763</v>
      </c>
      <c r="GT182">
        <v>0.163426</v>
      </c>
      <c r="GU182">
        <v>0.169239</v>
      </c>
      <c r="GV182">
        <v>0.0617749</v>
      </c>
      <c r="GW182">
        <v>0.0529659</v>
      </c>
      <c r="GX182">
        <v>31703.7</v>
      </c>
      <c r="GY182">
        <v>33830.6</v>
      </c>
      <c r="GZ182">
        <v>34262.9</v>
      </c>
      <c r="HA182">
        <v>36845.3</v>
      </c>
      <c r="HB182">
        <v>45352.4</v>
      </c>
      <c r="HC182">
        <v>50044.7</v>
      </c>
      <c r="HD182">
        <v>53336.4</v>
      </c>
      <c r="HE182">
        <v>58772.7</v>
      </c>
      <c r="HF182">
        <v>2.00798</v>
      </c>
      <c r="HG182">
        <v>1.8368</v>
      </c>
      <c r="HH182">
        <v>0.00956282</v>
      </c>
      <c r="HI182">
        <v>0</v>
      </c>
      <c r="HJ182">
        <v>17.8618</v>
      </c>
      <c r="HK182">
        <v>999.9</v>
      </c>
      <c r="HL182">
        <v>26.608</v>
      </c>
      <c r="HM182">
        <v>30.454</v>
      </c>
      <c r="HN182">
        <v>12.9497</v>
      </c>
      <c r="HO182">
        <v>55.1528</v>
      </c>
      <c r="HP182">
        <v>44.3029</v>
      </c>
      <c r="HQ182">
        <v>1</v>
      </c>
      <c r="HR182">
        <v>-0.260874</v>
      </c>
      <c r="HS182">
        <v>4.90289</v>
      </c>
      <c r="HT182">
        <v>20.0676</v>
      </c>
      <c r="HU182">
        <v>5.20112</v>
      </c>
      <c r="HV182">
        <v>12.004</v>
      </c>
      <c r="HW182">
        <v>4.97565</v>
      </c>
      <c r="HX182">
        <v>3.29298</v>
      </c>
      <c r="HY182">
        <v>9999</v>
      </c>
      <c r="HZ182">
        <v>999.9</v>
      </c>
      <c r="IA182">
        <v>9999</v>
      </c>
      <c r="IB182">
        <v>9999</v>
      </c>
      <c r="IC182">
        <v>1.86324</v>
      </c>
      <c r="ID182">
        <v>1.86807</v>
      </c>
      <c r="IE182">
        <v>1.86783</v>
      </c>
      <c r="IF182">
        <v>1.86905</v>
      </c>
      <c r="IG182">
        <v>1.86981</v>
      </c>
      <c r="IH182">
        <v>1.86585</v>
      </c>
      <c r="II182">
        <v>1.86691</v>
      </c>
      <c r="IJ182">
        <v>1.8684</v>
      </c>
      <c r="IK182">
        <v>5</v>
      </c>
      <c r="IL182">
        <v>0</v>
      </c>
      <c r="IM182">
        <v>0</v>
      </c>
      <c r="IN182">
        <v>0</v>
      </c>
      <c r="IO182" t="s">
        <v>441</v>
      </c>
      <c r="IP182" t="s">
        <v>442</v>
      </c>
      <c r="IQ182" t="s">
        <v>443</v>
      </c>
      <c r="IR182" t="s">
        <v>443</v>
      </c>
      <c r="IS182" t="s">
        <v>443</v>
      </c>
      <c r="IT182" t="s">
        <v>443</v>
      </c>
      <c r="IU182">
        <v>0</v>
      </c>
      <c r="IV182">
        <v>100</v>
      </c>
      <c r="IW182">
        <v>100</v>
      </c>
      <c r="IX182">
        <v>4.886</v>
      </c>
      <c r="IY182">
        <v>-0.1109</v>
      </c>
      <c r="IZ182">
        <v>1.12474291219083</v>
      </c>
      <c r="JA182">
        <v>0.00463155566490582</v>
      </c>
      <c r="JB182">
        <v>-1.1358998729424e-06</v>
      </c>
      <c r="JC182">
        <v>3.28704272115545e-10</v>
      </c>
      <c r="JD182">
        <v>-0.0704455108513773</v>
      </c>
      <c r="JE182">
        <v>-0.0251928478371425</v>
      </c>
      <c r="JF182">
        <v>0.00225751704194564</v>
      </c>
      <c r="JG182">
        <v>-3.61734043746866e-05</v>
      </c>
      <c r="JH182">
        <v>1</v>
      </c>
      <c r="JI182">
        <v>2182</v>
      </c>
      <c r="JJ182">
        <v>0</v>
      </c>
      <c r="JK182">
        <v>24</v>
      </c>
      <c r="JL182">
        <v>29349869.5</v>
      </c>
      <c r="JM182">
        <v>29349869.5</v>
      </c>
      <c r="JN182">
        <v>2.09717</v>
      </c>
      <c r="JO182">
        <v>2.61353</v>
      </c>
      <c r="JP182">
        <v>1.54785</v>
      </c>
      <c r="JQ182">
        <v>2.31445</v>
      </c>
      <c r="JR182">
        <v>1.64551</v>
      </c>
      <c r="JS182">
        <v>2.36572</v>
      </c>
      <c r="JT182">
        <v>33.6254</v>
      </c>
      <c r="JU182">
        <v>24.1751</v>
      </c>
      <c r="JV182">
        <v>18</v>
      </c>
      <c r="JW182">
        <v>500.689</v>
      </c>
      <c r="JX182">
        <v>394.356</v>
      </c>
      <c r="JY182">
        <v>11.464</v>
      </c>
      <c r="JZ182">
        <v>23.9873</v>
      </c>
      <c r="KA182">
        <v>30.0002</v>
      </c>
      <c r="KB182">
        <v>23.9769</v>
      </c>
      <c r="KC182">
        <v>23.9447</v>
      </c>
      <c r="KD182">
        <v>42.0453</v>
      </c>
      <c r="KE182">
        <v>7.87357</v>
      </c>
      <c r="KF182">
        <v>26.5359</v>
      </c>
      <c r="KG182">
        <v>11.4452</v>
      </c>
      <c r="KH182">
        <v>1055.76</v>
      </c>
      <c r="KI182">
        <v>9.7744</v>
      </c>
      <c r="KJ182">
        <v>97.035</v>
      </c>
      <c r="KK182">
        <v>95.296</v>
      </c>
    </row>
    <row r="183" spans="1:297">
      <c r="A183">
        <v>167</v>
      </c>
      <c r="B183">
        <v>1760992174.1</v>
      </c>
      <c r="C183">
        <v>2984</v>
      </c>
      <c r="D183" t="s">
        <v>787</v>
      </c>
      <c r="E183" t="s">
        <v>788</v>
      </c>
      <c r="F183">
        <v>5</v>
      </c>
      <c r="G183" t="s">
        <v>662</v>
      </c>
      <c r="H183" t="s">
        <v>436</v>
      </c>
      <c r="I183">
        <v>1760992165.94615</v>
      </c>
      <c r="J183">
        <f>(K183)/1000</f>
        <v>0</v>
      </c>
      <c r="K183">
        <f>IF(DP183, AN183, AH183)</f>
        <v>0</v>
      </c>
      <c r="L183">
        <f>IF(DP183, AI183, AG183)</f>
        <v>0</v>
      </c>
      <c r="M183">
        <f>DR183 - IF(AU183&gt;1, L183*DL183*100.0/(AW183), 0)</f>
        <v>0</v>
      </c>
      <c r="N183">
        <f>((T183-J183/2)*M183-L183)/(T183+J183/2)</f>
        <v>0</v>
      </c>
      <c r="O183">
        <f>N183*(DY183+DZ183)/1000.0</f>
        <v>0</v>
      </c>
      <c r="P183">
        <f>(DR183 - IF(AU183&gt;1, L183*DL183*100.0/(AW183), 0))*(DY183+DZ183)/1000.0</f>
        <v>0</v>
      </c>
      <c r="Q183">
        <f>2.0/((1/S183-1/R183)+SIGN(S183)*SQRT((1/S183-1/R183)*(1/S183-1/R183) + 4*DM183/((DM183+1)*(DM183+1))*(2*1/S183*1/R183-1/R183*1/R183)))</f>
        <v>0</v>
      </c>
      <c r="R183">
        <f>IF(LEFT(DN183,1)&lt;&gt;"0",IF(LEFT(DN183,1)="1",3.0,DO183),$D$5+$E$5*(EF183*DY183/($K$5*1000))+$F$5*(EF183*DY183/($K$5*1000))*MAX(MIN(DL183,$J$5),$I$5)*MAX(MIN(DL183,$J$5),$I$5)+$G$5*MAX(MIN(DL183,$J$5),$I$5)*(EF183*DY183/($K$5*1000))+$H$5*(EF183*DY183/($K$5*1000))*(EF183*DY183/($K$5*1000)))</f>
        <v>0</v>
      </c>
      <c r="S183">
        <f>J183*(1000-(1000*0.61365*exp(17.502*W183/(240.97+W183))/(DY183+DZ183)+DT183)/2)/(1000*0.61365*exp(17.502*W183/(240.97+W183))/(DY183+DZ183)-DT183)</f>
        <v>0</v>
      </c>
      <c r="T183">
        <f>1/((DM183+1)/(Q183/1.6)+1/(R183/1.37)) + DM183/((DM183+1)/(Q183/1.6) + DM183/(R183/1.37))</f>
        <v>0</v>
      </c>
      <c r="U183">
        <f>(DH183*DK183)</f>
        <v>0</v>
      </c>
      <c r="V183">
        <f>(EA183+(U183+2*0.95*5.67E-8*(((EA183+$B$7)+273)^4-(EA183+273)^4)-44100*J183)/(1.84*29.3*R183+8*0.95*5.67E-8*(EA183+273)^3))</f>
        <v>0</v>
      </c>
      <c r="W183">
        <f>($C$7*EB183+$D$7*EC183+$E$7*V183)</f>
        <v>0</v>
      </c>
      <c r="X183">
        <f>0.61365*exp(17.502*W183/(240.97+W183))</f>
        <v>0</v>
      </c>
      <c r="Y183">
        <f>(Z183/AA183*100)</f>
        <v>0</v>
      </c>
      <c r="Z183">
        <f>DT183*(DY183+DZ183)/1000</f>
        <v>0</v>
      </c>
      <c r="AA183">
        <f>0.61365*exp(17.502*EA183/(240.97+EA183))</f>
        <v>0</v>
      </c>
      <c r="AB183">
        <f>(X183-DT183*(DY183+DZ183)/1000)</f>
        <v>0</v>
      </c>
      <c r="AC183">
        <f>(-J183*44100)</f>
        <v>0</v>
      </c>
      <c r="AD183">
        <f>2*29.3*R183*0.92*(EA183-W183)</f>
        <v>0</v>
      </c>
      <c r="AE183">
        <f>2*0.95*5.67E-8*(((EA183+$B$7)+273)^4-(W183+273)^4)</f>
        <v>0</v>
      </c>
      <c r="AF183">
        <f>U183+AE183+AC183+AD183</f>
        <v>0</v>
      </c>
      <c r="AG183">
        <f>DX183*AU183*(DS183-DR183*(1000-AU183*DU183)/(1000-AU183*DT183))/(100*DL183)</f>
        <v>0</v>
      </c>
      <c r="AH183">
        <f>1000*DX183*AU183*(DT183-DU183)/(100*DL183*(1000-AU183*DT183))</f>
        <v>0</v>
      </c>
      <c r="AI183">
        <f>(AJ183 - AK183 - DY183*1E3/(8.314*(EA183+273.15)) * AM183/DX183 * AL183) * DX183/(100*DL183) * (1000 - DU183)/1000</f>
        <v>0</v>
      </c>
      <c r="AJ183">
        <v>1051.89721220613</v>
      </c>
      <c r="AK183">
        <v>1011.82772121212</v>
      </c>
      <c r="AL183">
        <v>3.46764878057534</v>
      </c>
      <c r="AM183">
        <v>65.2210784119795</v>
      </c>
      <c r="AN183">
        <f>(AP183 - AO183 + DY183*1E3/(8.314*(EA183+273.15)) * AR183/DX183 * AQ183) * DX183/(100*DL183) * 1000/(1000 - AP183)</f>
        <v>0</v>
      </c>
      <c r="AO183">
        <v>9.72367353300996</v>
      </c>
      <c r="AP183">
        <v>11.8362278787879</v>
      </c>
      <c r="AQ183">
        <v>3.25027597103342e-06</v>
      </c>
      <c r="AR183">
        <v>115.574510355221</v>
      </c>
      <c r="AS183">
        <v>0</v>
      </c>
      <c r="AT183">
        <v>0</v>
      </c>
      <c r="AU183">
        <f>IF(AS183*$H$13&gt;=AW183,1.0,(AW183/(AW183-AS183*$H$13)))</f>
        <v>0</v>
      </c>
      <c r="AV183">
        <f>(AU183-1)*100</f>
        <v>0</v>
      </c>
      <c r="AW183">
        <f>MAX(0,($B$13+$C$13*EF183)/(1+$D$13*EF183)*DY183/(EA183+273)*$E$13)</f>
        <v>0</v>
      </c>
      <c r="AX183" t="s">
        <v>437</v>
      </c>
      <c r="AY183" t="s">
        <v>437</v>
      </c>
      <c r="AZ183">
        <v>0</v>
      </c>
      <c r="BA183">
        <v>0</v>
      </c>
      <c r="BB183">
        <f>1-AZ183/BA183</f>
        <v>0</v>
      </c>
      <c r="BC183">
        <v>0</v>
      </c>
      <c r="BD183" t="s">
        <v>437</v>
      </c>
      <c r="BE183" t="s">
        <v>437</v>
      </c>
      <c r="BF183">
        <v>0</v>
      </c>
      <c r="BG183">
        <v>0</v>
      </c>
      <c r="BH183">
        <f>1-BF183/BG183</f>
        <v>0</v>
      </c>
      <c r="BI183">
        <v>0.5</v>
      </c>
      <c r="BJ183">
        <f>DI183</f>
        <v>0</v>
      </c>
      <c r="BK183">
        <f>L183</f>
        <v>0</v>
      </c>
      <c r="BL183">
        <f>BH183*BI183*BJ183</f>
        <v>0</v>
      </c>
      <c r="BM183">
        <f>(BK183-BC183)/BJ183</f>
        <v>0</v>
      </c>
      <c r="BN183">
        <f>(BA183-BG183)/BG183</f>
        <v>0</v>
      </c>
      <c r="BO183">
        <f>AZ183/(BB183+AZ183/BG183)</f>
        <v>0</v>
      </c>
      <c r="BP183" t="s">
        <v>437</v>
      </c>
      <c r="BQ183">
        <v>0</v>
      </c>
      <c r="BR183">
        <f>IF(BQ183&lt;&gt;0, BQ183, BO183)</f>
        <v>0</v>
      </c>
      <c r="BS183">
        <f>1-BR183/BG183</f>
        <v>0</v>
      </c>
      <c r="BT183">
        <f>(BG183-BF183)/(BG183-BR183)</f>
        <v>0</v>
      </c>
      <c r="BU183">
        <f>(BA183-BG183)/(BA183-BR183)</f>
        <v>0</v>
      </c>
      <c r="BV183">
        <f>(BG183-BF183)/(BG183-AZ183)</f>
        <v>0</v>
      </c>
      <c r="BW183">
        <f>(BA183-BG183)/(BA183-AZ183)</f>
        <v>0</v>
      </c>
      <c r="BX183">
        <f>(BT183*BR183/BF183)</f>
        <v>0</v>
      </c>
      <c r="BY183">
        <f>(1-BX183)</f>
        <v>0</v>
      </c>
      <c r="BZ183">
        <v>282</v>
      </c>
      <c r="CA183">
        <v>290</v>
      </c>
      <c r="CB183">
        <v>1577.74</v>
      </c>
      <c r="CC183">
        <v>295</v>
      </c>
      <c r="CD183">
        <v>5140.93</v>
      </c>
      <c r="CE183">
        <v>1578.58</v>
      </c>
      <c r="CF183">
        <v>-0.84</v>
      </c>
      <c r="CG183">
        <v>300</v>
      </c>
      <c r="CH183">
        <v>23.8</v>
      </c>
      <c r="CI183">
        <v>1633.28263291266</v>
      </c>
      <c r="CJ183">
        <v>1.49577129053257</v>
      </c>
      <c r="CK183">
        <v>-28.1203876934379</v>
      </c>
      <c r="CL183">
        <v>0.666413418688897</v>
      </c>
      <c r="CM183">
        <v>0.984518017981194</v>
      </c>
      <c r="CN183">
        <v>-0.00424727541713014</v>
      </c>
      <c r="CO183">
        <v>290</v>
      </c>
      <c r="CP183">
        <v>1576.56</v>
      </c>
      <c r="CQ183">
        <v>775</v>
      </c>
      <c r="CR183">
        <v>5139.5</v>
      </c>
      <c r="CS183">
        <v>1578.57</v>
      </c>
      <c r="CT183">
        <v>-2.01</v>
      </c>
      <c r="DH183">
        <f>$B$11*EG183+$C$11*EH183+$F$11*ES183*(1-EV183)</f>
        <v>0</v>
      </c>
      <c r="DI183">
        <f>DH183*DJ183</f>
        <v>0</v>
      </c>
      <c r="DJ183">
        <f>($B$11*$D$9+$C$11*$D$9+$F$11*((FF183+EX183)/MAX(FF183+EX183+FG183, 0.1)*$I$9+FG183/MAX(FF183+EX183+FG183, 0.1)*$J$9))/($B$11+$C$11+$F$11)</f>
        <v>0</v>
      </c>
      <c r="DK183">
        <f>($B$11*$K$9+$C$11*$K$9+$F$11*((FF183+EX183)/MAX(FF183+EX183+FG183, 0.1)*$P$9+FG183/MAX(FF183+EX183+FG183, 0.1)*$Q$9))/($B$11+$C$11+$F$11)</f>
        <v>0</v>
      </c>
      <c r="DL183">
        <v>6</v>
      </c>
      <c r="DM183">
        <v>0.5</v>
      </c>
      <c r="DN183" t="s">
        <v>438</v>
      </c>
      <c r="DO183">
        <v>2</v>
      </c>
      <c r="DP183" t="b">
        <v>1</v>
      </c>
      <c r="DQ183">
        <v>1760992165.94615</v>
      </c>
      <c r="DR183">
        <v>975.677692307692</v>
      </c>
      <c r="DS183">
        <v>1025.52469230769</v>
      </c>
      <c r="DT183">
        <v>11.8346</v>
      </c>
      <c r="DU183">
        <v>9.72532230769231</v>
      </c>
      <c r="DV183">
        <v>970.826307692308</v>
      </c>
      <c r="DW183">
        <v>11.9455</v>
      </c>
      <c r="DX183">
        <v>499.997538461539</v>
      </c>
      <c r="DY183">
        <v>89.8416538461539</v>
      </c>
      <c r="DZ183">
        <v>0.00967243846153846</v>
      </c>
      <c r="EA183">
        <v>18.4308384615385</v>
      </c>
      <c r="EB183">
        <v>18.0178461538462</v>
      </c>
      <c r="EC183">
        <v>999.9</v>
      </c>
      <c r="ED183">
        <v>0</v>
      </c>
      <c r="EE183">
        <v>0</v>
      </c>
      <c r="EF183">
        <v>9997.68846153846</v>
      </c>
      <c r="EG183">
        <v>0</v>
      </c>
      <c r="EH183">
        <v>1278.63230769231</v>
      </c>
      <c r="EI183">
        <v>-49.8479538461538</v>
      </c>
      <c r="EJ183">
        <v>987.362769230769</v>
      </c>
      <c r="EK183">
        <v>1035.59692307692</v>
      </c>
      <c r="EL183">
        <v>2.10927307692308</v>
      </c>
      <c r="EM183">
        <v>1025.52469230769</v>
      </c>
      <c r="EN183">
        <v>9.72532230769231</v>
      </c>
      <c r="EO183">
        <v>1.06323846153846</v>
      </c>
      <c r="EP183">
        <v>0.873739</v>
      </c>
      <c r="EQ183">
        <v>7.81303846153846</v>
      </c>
      <c r="ER183">
        <v>4.96531461538461</v>
      </c>
      <c r="ES183">
        <v>1199.99</v>
      </c>
      <c r="ET183">
        <v>0.967002153846154</v>
      </c>
      <c r="EU183">
        <v>0.0329980307692308</v>
      </c>
      <c r="EV183">
        <v>0</v>
      </c>
      <c r="EW183">
        <v>1284.66461538462</v>
      </c>
      <c r="EX183">
        <v>5.00059</v>
      </c>
      <c r="EY183">
        <v>15170.2153846154</v>
      </c>
      <c r="EZ183">
        <v>10358.6230769231</v>
      </c>
      <c r="FA183">
        <v>37.7930769230769</v>
      </c>
      <c r="FB183">
        <v>39.4661538461538</v>
      </c>
      <c r="FC183">
        <v>38.2064615384615</v>
      </c>
      <c r="FD183">
        <v>38.8892307692308</v>
      </c>
      <c r="FE183">
        <v>38.6343076923077</v>
      </c>
      <c r="FF183">
        <v>1155.56</v>
      </c>
      <c r="FG183">
        <v>39.43</v>
      </c>
      <c r="FH183">
        <v>0</v>
      </c>
      <c r="FI183">
        <v>1029.80000019073</v>
      </c>
      <c r="FJ183">
        <v>0</v>
      </c>
      <c r="FK183">
        <v>1284.82076923077</v>
      </c>
      <c r="FL183">
        <v>12.2030769274166</v>
      </c>
      <c r="FM183">
        <v>109.962393184668</v>
      </c>
      <c r="FN183">
        <v>15171.4</v>
      </c>
      <c r="FO183">
        <v>15</v>
      </c>
      <c r="FP183">
        <v>0</v>
      </c>
      <c r="FQ183" t="s">
        <v>439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-49.3256666666667</v>
      </c>
      <c r="GD183">
        <v>-7.0427844155844</v>
      </c>
      <c r="GE183">
        <v>1.15109398537852</v>
      </c>
      <c r="GF183">
        <v>0</v>
      </c>
      <c r="GG183">
        <v>1284.05911764706</v>
      </c>
      <c r="GH183">
        <v>12.2684492028517</v>
      </c>
      <c r="GI183">
        <v>1.21881178310261</v>
      </c>
      <c r="GJ183">
        <v>-1</v>
      </c>
      <c r="GK183">
        <v>2.10710333333333</v>
      </c>
      <c r="GL183">
        <v>0.0386142857142895</v>
      </c>
      <c r="GM183">
        <v>0.00413287324628295</v>
      </c>
      <c r="GN183">
        <v>1</v>
      </c>
      <c r="GO183">
        <v>1</v>
      </c>
      <c r="GP183">
        <v>2</v>
      </c>
      <c r="GQ183" t="s">
        <v>446</v>
      </c>
      <c r="GR183">
        <v>3.13077</v>
      </c>
      <c r="GS183">
        <v>2.68787</v>
      </c>
      <c r="GT183">
        <v>0.165269</v>
      </c>
      <c r="GU183">
        <v>0.170974</v>
      </c>
      <c r="GV183">
        <v>0.0617738</v>
      </c>
      <c r="GW183">
        <v>0.0529546</v>
      </c>
      <c r="GX183">
        <v>31633.7</v>
      </c>
      <c r="GY183">
        <v>33760.2</v>
      </c>
      <c r="GZ183">
        <v>34262.7</v>
      </c>
      <c r="HA183">
        <v>36845.5</v>
      </c>
      <c r="HB183">
        <v>45352.4</v>
      </c>
      <c r="HC183">
        <v>50045.5</v>
      </c>
      <c r="HD183">
        <v>53336</v>
      </c>
      <c r="HE183">
        <v>58772.7</v>
      </c>
      <c r="HF183">
        <v>2.00795</v>
      </c>
      <c r="HG183">
        <v>1.837</v>
      </c>
      <c r="HH183">
        <v>0.00885129</v>
      </c>
      <c r="HI183">
        <v>0</v>
      </c>
      <c r="HJ183">
        <v>17.8618</v>
      </c>
      <c r="HK183">
        <v>999.9</v>
      </c>
      <c r="HL183">
        <v>26.608</v>
      </c>
      <c r="HM183">
        <v>30.454</v>
      </c>
      <c r="HN183">
        <v>12.9508</v>
      </c>
      <c r="HO183">
        <v>54.8928</v>
      </c>
      <c r="HP183">
        <v>44.395</v>
      </c>
      <c r="HQ183">
        <v>1</v>
      </c>
      <c r="HR183">
        <v>-0.260788</v>
      </c>
      <c r="HS183">
        <v>4.92434</v>
      </c>
      <c r="HT183">
        <v>20.0669</v>
      </c>
      <c r="HU183">
        <v>5.20067</v>
      </c>
      <c r="HV183">
        <v>12.004</v>
      </c>
      <c r="HW183">
        <v>4.97565</v>
      </c>
      <c r="HX183">
        <v>3.29293</v>
      </c>
      <c r="HY183">
        <v>9999</v>
      </c>
      <c r="HZ183">
        <v>999.9</v>
      </c>
      <c r="IA183">
        <v>9999</v>
      </c>
      <c r="IB183">
        <v>9999</v>
      </c>
      <c r="IC183">
        <v>1.86324</v>
      </c>
      <c r="ID183">
        <v>1.86805</v>
      </c>
      <c r="IE183">
        <v>1.86783</v>
      </c>
      <c r="IF183">
        <v>1.86905</v>
      </c>
      <c r="IG183">
        <v>1.86981</v>
      </c>
      <c r="IH183">
        <v>1.86585</v>
      </c>
      <c r="II183">
        <v>1.86691</v>
      </c>
      <c r="IJ183">
        <v>1.86834</v>
      </c>
      <c r="IK183">
        <v>5</v>
      </c>
      <c r="IL183">
        <v>0</v>
      </c>
      <c r="IM183">
        <v>0</v>
      </c>
      <c r="IN183">
        <v>0</v>
      </c>
      <c r="IO183" t="s">
        <v>441</v>
      </c>
      <c r="IP183" t="s">
        <v>442</v>
      </c>
      <c r="IQ183" t="s">
        <v>443</v>
      </c>
      <c r="IR183" t="s">
        <v>443</v>
      </c>
      <c r="IS183" t="s">
        <v>443</v>
      </c>
      <c r="IT183" t="s">
        <v>443</v>
      </c>
      <c r="IU183">
        <v>0</v>
      </c>
      <c r="IV183">
        <v>100</v>
      </c>
      <c r="IW183">
        <v>100</v>
      </c>
      <c r="IX183">
        <v>4.943</v>
      </c>
      <c r="IY183">
        <v>-0.1109</v>
      </c>
      <c r="IZ183">
        <v>1.12474291219083</v>
      </c>
      <c r="JA183">
        <v>0.00463155566490582</v>
      </c>
      <c r="JB183">
        <v>-1.1358998729424e-06</v>
      </c>
      <c r="JC183">
        <v>3.28704272115545e-10</v>
      </c>
      <c r="JD183">
        <v>-0.0704455108513773</v>
      </c>
      <c r="JE183">
        <v>-0.0251928478371425</v>
      </c>
      <c r="JF183">
        <v>0.00225751704194564</v>
      </c>
      <c r="JG183">
        <v>-3.61734043746866e-05</v>
      </c>
      <c r="JH183">
        <v>1</v>
      </c>
      <c r="JI183">
        <v>2182</v>
      </c>
      <c r="JJ183">
        <v>0</v>
      </c>
      <c r="JK183">
        <v>24</v>
      </c>
      <c r="JL183">
        <v>29349869.6</v>
      </c>
      <c r="JM183">
        <v>29349869.6</v>
      </c>
      <c r="JN183">
        <v>2.1228</v>
      </c>
      <c r="JO183">
        <v>2.60986</v>
      </c>
      <c r="JP183">
        <v>1.54785</v>
      </c>
      <c r="JQ183">
        <v>2.31323</v>
      </c>
      <c r="JR183">
        <v>1.64673</v>
      </c>
      <c r="JS183">
        <v>2.33887</v>
      </c>
      <c r="JT183">
        <v>33.6254</v>
      </c>
      <c r="JU183">
        <v>24.1751</v>
      </c>
      <c r="JV183">
        <v>18</v>
      </c>
      <c r="JW183">
        <v>500.673</v>
      </c>
      <c r="JX183">
        <v>394.461</v>
      </c>
      <c r="JY183">
        <v>11.4425</v>
      </c>
      <c r="JZ183">
        <v>23.9873</v>
      </c>
      <c r="KA183">
        <v>30.0001</v>
      </c>
      <c r="KB183">
        <v>23.977</v>
      </c>
      <c r="KC183">
        <v>23.9448</v>
      </c>
      <c r="KD183">
        <v>42.6106</v>
      </c>
      <c r="KE183">
        <v>7.87357</v>
      </c>
      <c r="KF183">
        <v>26.5359</v>
      </c>
      <c r="KG183">
        <v>11.4275</v>
      </c>
      <c r="KH183">
        <v>1075.99</v>
      </c>
      <c r="KI183">
        <v>9.7744</v>
      </c>
      <c r="KJ183">
        <v>97.0343</v>
      </c>
      <c r="KK183">
        <v>95.2961</v>
      </c>
    </row>
    <row r="184" spans="1:297">
      <c r="A184">
        <v>168</v>
      </c>
      <c r="B184">
        <v>1760992179.1</v>
      </c>
      <c r="C184">
        <v>2989</v>
      </c>
      <c r="D184" t="s">
        <v>789</v>
      </c>
      <c r="E184" t="s">
        <v>790</v>
      </c>
      <c r="F184">
        <v>5</v>
      </c>
      <c r="G184" t="s">
        <v>662</v>
      </c>
      <c r="H184" t="s">
        <v>436</v>
      </c>
      <c r="I184">
        <v>1760992170.94615</v>
      </c>
      <c r="J184">
        <f>(K184)/1000</f>
        <v>0</v>
      </c>
      <c r="K184">
        <f>IF(DP184, AN184, AH184)</f>
        <v>0</v>
      </c>
      <c r="L184">
        <f>IF(DP184, AI184, AG184)</f>
        <v>0</v>
      </c>
      <c r="M184">
        <f>DR184 - IF(AU184&gt;1, L184*DL184*100.0/(AW184), 0)</f>
        <v>0</v>
      </c>
      <c r="N184">
        <f>((T184-J184/2)*M184-L184)/(T184+J184/2)</f>
        <v>0</v>
      </c>
      <c r="O184">
        <f>N184*(DY184+DZ184)/1000.0</f>
        <v>0</v>
      </c>
      <c r="P184">
        <f>(DR184 - IF(AU184&gt;1, L184*DL184*100.0/(AW184), 0))*(DY184+DZ184)/1000.0</f>
        <v>0</v>
      </c>
      <c r="Q184">
        <f>2.0/((1/S184-1/R184)+SIGN(S184)*SQRT((1/S184-1/R184)*(1/S184-1/R184) + 4*DM184/((DM184+1)*(DM184+1))*(2*1/S184*1/R184-1/R184*1/R184)))</f>
        <v>0</v>
      </c>
      <c r="R184">
        <f>IF(LEFT(DN184,1)&lt;&gt;"0",IF(LEFT(DN184,1)="1",3.0,DO184),$D$5+$E$5*(EF184*DY184/($K$5*1000))+$F$5*(EF184*DY184/($K$5*1000))*MAX(MIN(DL184,$J$5),$I$5)*MAX(MIN(DL184,$J$5),$I$5)+$G$5*MAX(MIN(DL184,$J$5),$I$5)*(EF184*DY184/($K$5*1000))+$H$5*(EF184*DY184/($K$5*1000))*(EF184*DY184/($K$5*1000)))</f>
        <v>0</v>
      </c>
      <c r="S184">
        <f>J184*(1000-(1000*0.61365*exp(17.502*W184/(240.97+W184))/(DY184+DZ184)+DT184)/2)/(1000*0.61365*exp(17.502*W184/(240.97+W184))/(DY184+DZ184)-DT184)</f>
        <v>0</v>
      </c>
      <c r="T184">
        <f>1/((DM184+1)/(Q184/1.6)+1/(R184/1.37)) + DM184/((DM184+1)/(Q184/1.6) + DM184/(R184/1.37))</f>
        <v>0</v>
      </c>
      <c r="U184">
        <f>(DH184*DK184)</f>
        <v>0</v>
      </c>
      <c r="V184">
        <f>(EA184+(U184+2*0.95*5.67E-8*(((EA184+$B$7)+273)^4-(EA184+273)^4)-44100*J184)/(1.84*29.3*R184+8*0.95*5.67E-8*(EA184+273)^3))</f>
        <v>0</v>
      </c>
      <c r="W184">
        <f>($C$7*EB184+$D$7*EC184+$E$7*V184)</f>
        <v>0</v>
      </c>
      <c r="X184">
        <f>0.61365*exp(17.502*W184/(240.97+W184))</f>
        <v>0</v>
      </c>
      <c r="Y184">
        <f>(Z184/AA184*100)</f>
        <v>0</v>
      </c>
      <c r="Z184">
        <f>DT184*(DY184+DZ184)/1000</f>
        <v>0</v>
      </c>
      <c r="AA184">
        <f>0.61365*exp(17.502*EA184/(240.97+EA184))</f>
        <v>0</v>
      </c>
      <c r="AB184">
        <f>(X184-DT184*(DY184+DZ184)/1000)</f>
        <v>0</v>
      </c>
      <c r="AC184">
        <f>(-J184*44100)</f>
        <v>0</v>
      </c>
      <c r="AD184">
        <f>2*29.3*R184*0.92*(EA184-W184)</f>
        <v>0</v>
      </c>
      <c r="AE184">
        <f>2*0.95*5.67E-8*(((EA184+$B$7)+273)^4-(W184+273)^4)</f>
        <v>0</v>
      </c>
      <c r="AF184">
        <f>U184+AE184+AC184+AD184</f>
        <v>0</v>
      </c>
      <c r="AG184">
        <f>DX184*AU184*(DS184-DR184*(1000-AU184*DU184)/(1000-AU184*DT184))/(100*DL184)</f>
        <v>0</v>
      </c>
      <c r="AH184">
        <f>1000*DX184*AU184*(DT184-DU184)/(100*DL184*(1000-AU184*DT184))</f>
        <v>0</v>
      </c>
      <c r="AI184">
        <f>(AJ184 - AK184 - DY184*1E3/(8.314*(EA184+273.15)) * AM184/DX184 * AL184) * DX184/(100*DL184) * (1000 - DU184)/1000</f>
        <v>0</v>
      </c>
      <c r="AJ184">
        <v>1068.3622967078</v>
      </c>
      <c r="AK184">
        <v>1028.73866666667</v>
      </c>
      <c r="AL184">
        <v>3.35403830107662</v>
      </c>
      <c r="AM184">
        <v>65.2210784119795</v>
      </c>
      <c r="AN184">
        <f>(AP184 - AO184 + DY184*1E3/(8.314*(EA184+273.15)) * AR184/DX184 * AQ184) * DX184/(100*DL184) * 1000/(1000 - AP184)</f>
        <v>0</v>
      </c>
      <c r="AO184">
        <v>9.72207535522751</v>
      </c>
      <c r="AP184">
        <v>11.8351709090909</v>
      </c>
      <c r="AQ184">
        <v>-6.64738826648887e-06</v>
      </c>
      <c r="AR184">
        <v>115.574510355221</v>
      </c>
      <c r="AS184">
        <v>0</v>
      </c>
      <c r="AT184">
        <v>0</v>
      </c>
      <c r="AU184">
        <f>IF(AS184*$H$13&gt;=AW184,1.0,(AW184/(AW184-AS184*$H$13)))</f>
        <v>0</v>
      </c>
      <c r="AV184">
        <f>(AU184-1)*100</f>
        <v>0</v>
      </c>
      <c r="AW184">
        <f>MAX(0,($B$13+$C$13*EF184)/(1+$D$13*EF184)*DY184/(EA184+273)*$E$13)</f>
        <v>0</v>
      </c>
      <c r="AX184" t="s">
        <v>437</v>
      </c>
      <c r="AY184" t="s">
        <v>437</v>
      </c>
      <c r="AZ184">
        <v>0</v>
      </c>
      <c r="BA184">
        <v>0</v>
      </c>
      <c r="BB184">
        <f>1-AZ184/BA184</f>
        <v>0</v>
      </c>
      <c r="BC184">
        <v>0</v>
      </c>
      <c r="BD184" t="s">
        <v>437</v>
      </c>
      <c r="BE184" t="s">
        <v>437</v>
      </c>
      <c r="BF184">
        <v>0</v>
      </c>
      <c r="BG184">
        <v>0</v>
      </c>
      <c r="BH184">
        <f>1-BF184/BG184</f>
        <v>0</v>
      </c>
      <c r="BI184">
        <v>0.5</v>
      </c>
      <c r="BJ184">
        <f>DI184</f>
        <v>0</v>
      </c>
      <c r="BK184">
        <f>L184</f>
        <v>0</v>
      </c>
      <c r="BL184">
        <f>BH184*BI184*BJ184</f>
        <v>0</v>
      </c>
      <c r="BM184">
        <f>(BK184-BC184)/BJ184</f>
        <v>0</v>
      </c>
      <c r="BN184">
        <f>(BA184-BG184)/BG184</f>
        <v>0</v>
      </c>
      <c r="BO184">
        <f>AZ184/(BB184+AZ184/BG184)</f>
        <v>0</v>
      </c>
      <c r="BP184" t="s">
        <v>437</v>
      </c>
      <c r="BQ184">
        <v>0</v>
      </c>
      <c r="BR184">
        <f>IF(BQ184&lt;&gt;0, BQ184, BO184)</f>
        <v>0</v>
      </c>
      <c r="BS184">
        <f>1-BR184/BG184</f>
        <v>0</v>
      </c>
      <c r="BT184">
        <f>(BG184-BF184)/(BG184-BR184)</f>
        <v>0</v>
      </c>
      <c r="BU184">
        <f>(BA184-BG184)/(BA184-BR184)</f>
        <v>0</v>
      </c>
      <c r="BV184">
        <f>(BG184-BF184)/(BG184-AZ184)</f>
        <v>0</v>
      </c>
      <c r="BW184">
        <f>(BA184-BG184)/(BA184-AZ184)</f>
        <v>0</v>
      </c>
      <c r="BX184">
        <f>(BT184*BR184/BF184)</f>
        <v>0</v>
      </c>
      <c r="BY184">
        <f>(1-BX184)</f>
        <v>0</v>
      </c>
      <c r="BZ184">
        <v>282</v>
      </c>
      <c r="CA184">
        <v>290</v>
      </c>
      <c r="CB184">
        <v>1577.74</v>
      </c>
      <c r="CC184">
        <v>295</v>
      </c>
      <c r="CD184">
        <v>5140.93</v>
      </c>
      <c r="CE184">
        <v>1578.58</v>
      </c>
      <c r="CF184">
        <v>-0.84</v>
      </c>
      <c r="CG184">
        <v>300</v>
      </c>
      <c r="CH184">
        <v>23.8</v>
      </c>
      <c r="CI184">
        <v>1633.28263291266</v>
      </c>
      <c r="CJ184">
        <v>1.49577129053257</v>
      </c>
      <c r="CK184">
        <v>-28.1203876934379</v>
      </c>
      <c r="CL184">
        <v>0.666413418688897</v>
      </c>
      <c r="CM184">
        <v>0.984518017981194</v>
      </c>
      <c r="CN184">
        <v>-0.00424727541713014</v>
      </c>
      <c r="CO184">
        <v>290</v>
      </c>
      <c r="CP184">
        <v>1576.56</v>
      </c>
      <c r="CQ184">
        <v>775</v>
      </c>
      <c r="CR184">
        <v>5139.5</v>
      </c>
      <c r="CS184">
        <v>1578.57</v>
      </c>
      <c r="CT184">
        <v>-2.01</v>
      </c>
      <c r="DH184">
        <f>$B$11*EG184+$C$11*EH184+$F$11*ES184*(1-EV184)</f>
        <v>0</v>
      </c>
      <c r="DI184">
        <f>DH184*DJ184</f>
        <v>0</v>
      </c>
      <c r="DJ184">
        <f>($B$11*$D$9+$C$11*$D$9+$F$11*((FF184+EX184)/MAX(FF184+EX184+FG184, 0.1)*$I$9+FG184/MAX(FF184+EX184+FG184, 0.1)*$J$9))/($B$11+$C$11+$F$11)</f>
        <v>0</v>
      </c>
      <c r="DK184">
        <f>($B$11*$K$9+$C$11*$K$9+$F$11*((FF184+EX184)/MAX(FF184+EX184+FG184, 0.1)*$P$9+FG184/MAX(FF184+EX184+FG184, 0.1)*$Q$9))/($B$11+$C$11+$F$11)</f>
        <v>0</v>
      </c>
      <c r="DL184">
        <v>6</v>
      </c>
      <c r="DM184">
        <v>0.5</v>
      </c>
      <c r="DN184" t="s">
        <v>438</v>
      </c>
      <c r="DO184">
        <v>2</v>
      </c>
      <c r="DP184" t="b">
        <v>1</v>
      </c>
      <c r="DQ184">
        <v>1760992170.94615</v>
      </c>
      <c r="DR184">
        <v>992.578153846154</v>
      </c>
      <c r="DS184">
        <v>1042.15461538462</v>
      </c>
      <c r="DT184">
        <v>11.8353923076923</v>
      </c>
      <c r="DU184">
        <v>9.72427307692308</v>
      </c>
      <c r="DV184">
        <v>987.669923076923</v>
      </c>
      <c r="DW184">
        <v>11.9462846153846</v>
      </c>
      <c r="DX184">
        <v>500.003615384615</v>
      </c>
      <c r="DY184">
        <v>89.8416384615385</v>
      </c>
      <c r="DZ184">
        <v>0.00980503615384615</v>
      </c>
      <c r="EA184">
        <v>18.4266846153846</v>
      </c>
      <c r="EB184">
        <v>18.0140307692308</v>
      </c>
      <c r="EC184">
        <v>999.9</v>
      </c>
      <c r="ED184">
        <v>0</v>
      </c>
      <c r="EE184">
        <v>0</v>
      </c>
      <c r="EF184">
        <v>9993.74615384615</v>
      </c>
      <c r="EG184">
        <v>0</v>
      </c>
      <c r="EH184">
        <v>1278.62307692308</v>
      </c>
      <c r="EI184">
        <v>-49.5780076923077</v>
      </c>
      <c r="EJ184">
        <v>1004.46592307692</v>
      </c>
      <c r="EK184">
        <v>1052.38923076923</v>
      </c>
      <c r="EL184">
        <v>2.11111615384615</v>
      </c>
      <c r="EM184">
        <v>1042.15461538462</v>
      </c>
      <c r="EN184">
        <v>9.72427307692308</v>
      </c>
      <c r="EO184">
        <v>1.06330923076923</v>
      </c>
      <c r="EP184">
        <v>0.873644692307692</v>
      </c>
      <c r="EQ184">
        <v>7.81402076923077</v>
      </c>
      <c r="ER184">
        <v>4.96376615384615</v>
      </c>
      <c r="ES184">
        <v>1199.94153846154</v>
      </c>
      <c r="ET184">
        <v>0.967000076923077</v>
      </c>
      <c r="EU184">
        <v>0.0330000076923077</v>
      </c>
      <c r="EV184">
        <v>0</v>
      </c>
      <c r="EW184">
        <v>1285.74769230769</v>
      </c>
      <c r="EX184">
        <v>5.00059</v>
      </c>
      <c r="EY184">
        <v>15179.1153846154</v>
      </c>
      <c r="EZ184">
        <v>10358.2</v>
      </c>
      <c r="FA184">
        <v>37.7305384615385</v>
      </c>
      <c r="FB184">
        <v>39.394</v>
      </c>
      <c r="FC184">
        <v>38.1390769230769</v>
      </c>
      <c r="FD184">
        <v>38.7882307692308</v>
      </c>
      <c r="FE184">
        <v>38.5766923076923</v>
      </c>
      <c r="FF184">
        <v>1155.51153846154</v>
      </c>
      <c r="FG184">
        <v>39.43</v>
      </c>
      <c r="FH184">
        <v>0</v>
      </c>
      <c r="FI184">
        <v>1034.60000014305</v>
      </c>
      <c r="FJ184">
        <v>0</v>
      </c>
      <c r="FK184">
        <v>1285.85307692308</v>
      </c>
      <c r="FL184">
        <v>12.7364102752707</v>
      </c>
      <c r="FM184">
        <v>116.259829092895</v>
      </c>
      <c r="FN184">
        <v>15180.3846153846</v>
      </c>
      <c r="FO184">
        <v>15</v>
      </c>
      <c r="FP184">
        <v>0</v>
      </c>
      <c r="FQ184" t="s">
        <v>439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-49.781305</v>
      </c>
      <c r="GD184">
        <v>1.83931578947357</v>
      </c>
      <c r="GE184">
        <v>0.68943507923154</v>
      </c>
      <c r="GF184">
        <v>0</v>
      </c>
      <c r="GG184">
        <v>1285.22294117647</v>
      </c>
      <c r="GH184">
        <v>12.8128342325799</v>
      </c>
      <c r="GI184">
        <v>1.27321854649074</v>
      </c>
      <c r="GJ184">
        <v>-1</v>
      </c>
      <c r="GK184">
        <v>2.1102695</v>
      </c>
      <c r="GL184">
        <v>0.022079548872187</v>
      </c>
      <c r="GM184">
        <v>0.0021695701763253</v>
      </c>
      <c r="GN184">
        <v>1</v>
      </c>
      <c r="GO184">
        <v>1</v>
      </c>
      <c r="GP184">
        <v>2</v>
      </c>
      <c r="GQ184" t="s">
        <v>446</v>
      </c>
      <c r="GR184">
        <v>3.13067</v>
      </c>
      <c r="GS184">
        <v>2.68796</v>
      </c>
      <c r="GT184">
        <v>0.167042</v>
      </c>
      <c r="GU184">
        <v>0.172817</v>
      </c>
      <c r="GV184">
        <v>0.0617696</v>
      </c>
      <c r="GW184">
        <v>0.0529497</v>
      </c>
      <c r="GX184">
        <v>31566.5</v>
      </c>
      <c r="GY184">
        <v>33685.4</v>
      </c>
      <c r="GZ184">
        <v>34262.6</v>
      </c>
      <c r="HA184">
        <v>36845.6</v>
      </c>
      <c r="HB184">
        <v>45352.7</v>
      </c>
      <c r="HC184">
        <v>50045.9</v>
      </c>
      <c r="HD184">
        <v>53335.9</v>
      </c>
      <c r="HE184">
        <v>58772.6</v>
      </c>
      <c r="HF184">
        <v>2.0077</v>
      </c>
      <c r="HG184">
        <v>1.8371</v>
      </c>
      <c r="HH184">
        <v>0.00873581</v>
      </c>
      <c r="HI184">
        <v>0</v>
      </c>
      <c r="HJ184">
        <v>17.861</v>
      </c>
      <c r="HK184">
        <v>999.9</v>
      </c>
      <c r="HL184">
        <v>26.608</v>
      </c>
      <c r="HM184">
        <v>30.454</v>
      </c>
      <c r="HN184">
        <v>12.9499</v>
      </c>
      <c r="HO184">
        <v>54.9928</v>
      </c>
      <c r="HP184">
        <v>44.395</v>
      </c>
      <c r="HQ184">
        <v>1</v>
      </c>
      <c r="HR184">
        <v>-0.260734</v>
      </c>
      <c r="HS184">
        <v>4.90632</v>
      </c>
      <c r="HT184">
        <v>20.0677</v>
      </c>
      <c r="HU184">
        <v>5.20202</v>
      </c>
      <c r="HV184">
        <v>12.004</v>
      </c>
      <c r="HW184">
        <v>4.97555</v>
      </c>
      <c r="HX184">
        <v>3.29298</v>
      </c>
      <c r="HY184">
        <v>9999</v>
      </c>
      <c r="HZ184">
        <v>999.9</v>
      </c>
      <c r="IA184">
        <v>9999</v>
      </c>
      <c r="IB184">
        <v>9999</v>
      </c>
      <c r="IC184">
        <v>1.86325</v>
      </c>
      <c r="ID184">
        <v>1.86807</v>
      </c>
      <c r="IE184">
        <v>1.86783</v>
      </c>
      <c r="IF184">
        <v>1.86905</v>
      </c>
      <c r="IG184">
        <v>1.86981</v>
      </c>
      <c r="IH184">
        <v>1.86587</v>
      </c>
      <c r="II184">
        <v>1.86692</v>
      </c>
      <c r="IJ184">
        <v>1.86835</v>
      </c>
      <c r="IK184">
        <v>5</v>
      </c>
      <c r="IL184">
        <v>0</v>
      </c>
      <c r="IM184">
        <v>0</v>
      </c>
      <c r="IN184">
        <v>0</v>
      </c>
      <c r="IO184" t="s">
        <v>441</v>
      </c>
      <c r="IP184" t="s">
        <v>442</v>
      </c>
      <c r="IQ184" t="s">
        <v>443</v>
      </c>
      <c r="IR184" t="s">
        <v>443</v>
      </c>
      <c r="IS184" t="s">
        <v>443</v>
      </c>
      <c r="IT184" t="s">
        <v>443</v>
      </c>
      <c r="IU184">
        <v>0</v>
      </c>
      <c r="IV184">
        <v>100</v>
      </c>
      <c r="IW184">
        <v>100</v>
      </c>
      <c r="IX184">
        <v>5</v>
      </c>
      <c r="IY184">
        <v>-0.1109</v>
      </c>
      <c r="IZ184">
        <v>1.12474291219083</v>
      </c>
      <c r="JA184">
        <v>0.00463155566490582</v>
      </c>
      <c r="JB184">
        <v>-1.1358998729424e-06</v>
      </c>
      <c r="JC184">
        <v>3.28704272115545e-10</v>
      </c>
      <c r="JD184">
        <v>-0.0704455108513773</v>
      </c>
      <c r="JE184">
        <v>-0.0251928478371425</v>
      </c>
      <c r="JF184">
        <v>0.00225751704194564</v>
      </c>
      <c r="JG184">
        <v>-3.61734043746866e-05</v>
      </c>
      <c r="JH184">
        <v>1</v>
      </c>
      <c r="JI184">
        <v>2182</v>
      </c>
      <c r="JJ184">
        <v>0</v>
      </c>
      <c r="JK184">
        <v>24</v>
      </c>
      <c r="JL184">
        <v>29349869.7</v>
      </c>
      <c r="JM184">
        <v>29349869.7</v>
      </c>
      <c r="JN184">
        <v>2.15454</v>
      </c>
      <c r="JO184">
        <v>2.6123</v>
      </c>
      <c r="JP184">
        <v>1.54785</v>
      </c>
      <c r="JQ184">
        <v>2.31445</v>
      </c>
      <c r="JR184">
        <v>1.64551</v>
      </c>
      <c r="JS184">
        <v>2.34985</v>
      </c>
      <c r="JT184">
        <v>33.6254</v>
      </c>
      <c r="JU184">
        <v>24.1838</v>
      </c>
      <c r="JV184">
        <v>18</v>
      </c>
      <c r="JW184">
        <v>500.532</v>
      </c>
      <c r="JX184">
        <v>394.529</v>
      </c>
      <c r="JY184">
        <v>11.4226</v>
      </c>
      <c r="JZ184">
        <v>23.9873</v>
      </c>
      <c r="KA184">
        <v>30.0002</v>
      </c>
      <c r="KB184">
        <v>23.9789</v>
      </c>
      <c r="KC184">
        <v>23.9467</v>
      </c>
      <c r="KD184">
        <v>43.1686</v>
      </c>
      <c r="KE184">
        <v>7.87357</v>
      </c>
      <c r="KF184">
        <v>26.5359</v>
      </c>
      <c r="KG184">
        <v>11.421</v>
      </c>
      <c r="KH184">
        <v>1089.56</v>
      </c>
      <c r="KI184">
        <v>9.7744</v>
      </c>
      <c r="KJ184">
        <v>97.0341</v>
      </c>
      <c r="KK184">
        <v>95.2961</v>
      </c>
    </row>
    <row r="185" spans="1:297">
      <c r="A185">
        <v>169</v>
      </c>
      <c r="B185">
        <v>1760992184.1</v>
      </c>
      <c r="C185">
        <v>2994</v>
      </c>
      <c r="D185" t="s">
        <v>791</v>
      </c>
      <c r="E185" t="s">
        <v>792</v>
      </c>
      <c r="F185">
        <v>5</v>
      </c>
      <c r="G185" t="s">
        <v>662</v>
      </c>
      <c r="H185" t="s">
        <v>436</v>
      </c>
      <c r="I185">
        <v>1760992175.94615</v>
      </c>
      <c r="J185">
        <f>(K185)/1000</f>
        <v>0</v>
      </c>
      <c r="K185">
        <f>IF(DP185, AN185, AH185)</f>
        <v>0</v>
      </c>
      <c r="L185">
        <f>IF(DP185, AI185, AG185)</f>
        <v>0</v>
      </c>
      <c r="M185">
        <f>DR185 - IF(AU185&gt;1, L185*DL185*100.0/(AW185), 0)</f>
        <v>0</v>
      </c>
      <c r="N185">
        <f>((T185-J185/2)*M185-L185)/(T185+J185/2)</f>
        <v>0</v>
      </c>
      <c r="O185">
        <f>N185*(DY185+DZ185)/1000.0</f>
        <v>0</v>
      </c>
      <c r="P185">
        <f>(DR185 - IF(AU185&gt;1, L185*DL185*100.0/(AW185), 0))*(DY185+DZ185)/1000.0</f>
        <v>0</v>
      </c>
      <c r="Q185">
        <f>2.0/((1/S185-1/R185)+SIGN(S185)*SQRT((1/S185-1/R185)*(1/S185-1/R185) + 4*DM185/((DM185+1)*(DM185+1))*(2*1/S185*1/R185-1/R185*1/R185)))</f>
        <v>0</v>
      </c>
      <c r="R185">
        <f>IF(LEFT(DN185,1)&lt;&gt;"0",IF(LEFT(DN185,1)="1",3.0,DO185),$D$5+$E$5*(EF185*DY185/($K$5*1000))+$F$5*(EF185*DY185/($K$5*1000))*MAX(MIN(DL185,$J$5),$I$5)*MAX(MIN(DL185,$J$5),$I$5)+$G$5*MAX(MIN(DL185,$J$5),$I$5)*(EF185*DY185/($K$5*1000))+$H$5*(EF185*DY185/($K$5*1000))*(EF185*DY185/($K$5*1000)))</f>
        <v>0</v>
      </c>
      <c r="S185">
        <f>J185*(1000-(1000*0.61365*exp(17.502*W185/(240.97+W185))/(DY185+DZ185)+DT185)/2)/(1000*0.61365*exp(17.502*W185/(240.97+W185))/(DY185+DZ185)-DT185)</f>
        <v>0</v>
      </c>
      <c r="T185">
        <f>1/((DM185+1)/(Q185/1.6)+1/(R185/1.37)) + DM185/((DM185+1)/(Q185/1.6) + DM185/(R185/1.37))</f>
        <v>0</v>
      </c>
      <c r="U185">
        <f>(DH185*DK185)</f>
        <v>0</v>
      </c>
      <c r="V185">
        <f>(EA185+(U185+2*0.95*5.67E-8*(((EA185+$B$7)+273)^4-(EA185+273)^4)-44100*J185)/(1.84*29.3*R185+8*0.95*5.67E-8*(EA185+273)^3))</f>
        <v>0</v>
      </c>
      <c r="W185">
        <f>($C$7*EB185+$D$7*EC185+$E$7*V185)</f>
        <v>0</v>
      </c>
      <c r="X185">
        <f>0.61365*exp(17.502*W185/(240.97+W185))</f>
        <v>0</v>
      </c>
      <c r="Y185">
        <f>(Z185/AA185*100)</f>
        <v>0</v>
      </c>
      <c r="Z185">
        <f>DT185*(DY185+DZ185)/1000</f>
        <v>0</v>
      </c>
      <c r="AA185">
        <f>0.61365*exp(17.502*EA185/(240.97+EA185))</f>
        <v>0</v>
      </c>
      <c r="AB185">
        <f>(X185-DT185*(DY185+DZ185)/1000)</f>
        <v>0</v>
      </c>
      <c r="AC185">
        <f>(-J185*44100)</f>
        <v>0</v>
      </c>
      <c r="AD185">
        <f>2*29.3*R185*0.92*(EA185-W185)</f>
        <v>0</v>
      </c>
      <c r="AE185">
        <f>2*0.95*5.67E-8*(((EA185+$B$7)+273)^4-(W185+273)^4)</f>
        <v>0</v>
      </c>
      <c r="AF185">
        <f>U185+AE185+AC185+AD185</f>
        <v>0</v>
      </c>
      <c r="AG185">
        <f>DX185*AU185*(DS185-DR185*(1000-AU185*DU185)/(1000-AU185*DT185))/(100*DL185)</f>
        <v>0</v>
      </c>
      <c r="AH185">
        <f>1000*DX185*AU185*(DT185-DU185)/(100*DL185*(1000-AU185*DT185))</f>
        <v>0</v>
      </c>
      <c r="AI185">
        <f>(AJ185 - AK185 - DY185*1E3/(8.314*(EA185+273.15)) * AM185/DX185 * AL185) * DX185/(100*DL185) * (1000 - DU185)/1000</f>
        <v>0</v>
      </c>
      <c r="AJ185">
        <v>1086.75184604341</v>
      </c>
      <c r="AK185">
        <v>1046.32660606061</v>
      </c>
      <c r="AL185">
        <v>3.5397128189215</v>
      </c>
      <c r="AM185">
        <v>65.2210784119795</v>
      </c>
      <c r="AN185">
        <f>(AP185 - AO185 + DY185*1E3/(8.314*(EA185+273.15)) * AR185/DX185 * AQ185) * DX185/(100*DL185) * 1000/(1000 - AP185)</f>
        <v>0</v>
      </c>
      <c r="AO185">
        <v>9.72084267148931</v>
      </c>
      <c r="AP185">
        <v>11.8353387878788</v>
      </c>
      <c r="AQ185">
        <v>1.61288170111088e-05</v>
      </c>
      <c r="AR185">
        <v>115.574510355221</v>
      </c>
      <c r="AS185">
        <v>0</v>
      </c>
      <c r="AT185">
        <v>0</v>
      </c>
      <c r="AU185">
        <f>IF(AS185*$H$13&gt;=AW185,1.0,(AW185/(AW185-AS185*$H$13)))</f>
        <v>0</v>
      </c>
      <c r="AV185">
        <f>(AU185-1)*100</f>
        <v>0</v>
      </c>
      <c r="AW185">
        <f>MAX(0,($B$13+$C$13*EF185)/(1+$D$13*EF185)*DY185/(EA185+273)*$E$13)</f>
        <v>0</v>
      </c>
      <c r="AX185" t="s">
        <v>437</v>
      </c>
      <c r="AY185" t="s">
        <v>437</v>
      </c>
      <c r="AZ185">
        <v>0</v>
      </c>
      <c r="BA185">
        <v>0</v>
      </c>
      <c r="BB185">
        <f>1-AZ185/BA185</f>
        <v>0</v>
      </c>
      <c r="BC185">
        <v>0</v>
      </c>
      <c r="BD185" t="s">
        <v>437</v>
      </c>
      <c r="BE185" t="s">
        <v>437</v>
      </c>
      <c r="BF185">
        <v>0</v>
      </c>
      <c r="BG185">
        <v>0</v>
      </c>
      <c r="BH185">
        <f>1-BF185/BG185</f>
        <v>0</v>
      </c>
      <c r="BI185">
        <v>0.5</v>
      </c>
      <c r="BJ185">
        <f>DI185</f>
        <v>0</v>
      </c>
      <c r="BK185">
        <f>L185</f>
        <v>0</v>
      </c>
      <c r="BL185">
        <f>BH185*BI185*BJ185</f>
        <v>0</v>
      </c>
      <c r="BM185">
        <f>(BK185-BC185)/BJ185</f>
        <v>0</v>
      </c>
      <c r="BN185">
        <f>(BA185-BG185)/BG185</f>
        <v>0</v>
      </c>
      <c r="BO185">
        <f>AZ185/(BB185+AZ185/BG185)</f>
        <v>0</v>
      </c>
      <c r="BP185" t="s">
        <v>437</v>
      </c>
      <c r="BQ185">
        <v>0</v>
      </c>
      <c r="BR185">
        <f>IF(BQ185&lt;&gt;0, BQ185, BO185)</f>
        <v>0</v>
      </c>
      <c r="BS185">
        <f>1-BR185/BG185</f>
        <v>0</v>
      </c>
      <c r="BT185">
        <f>(BG185-BF185)/(BG185-BR185)</f>
        <v>0</v>
      </c>
      <c r="BU185">
        <f>(BA185-BG185)/(BA185-BR185)</f>
        <v>0</v>
      </c>
      <c r="BV185">
        <f>(BG185-BF185)/(BG185-AZ185)</f>
        <v>0</v>
      </c>
      <c r="BW185">
        <f>(BA185-BG185)/(BA185-AZ185)</f>
        <v>0</v>
      </c>
      <c r="BX185">
        <f>(BT185*BR185/BF185)</f>
        <v>0</v>
      </c>
      <c r="BY185">
        <f>(1-BX185)</f>
        <v>0</v>
      </c>
      <c r="BZ185">
        <v>282</v>
      </c>
      <c r="CA185">
        <v>290</v>
      </c>
      <c r="CB185">
        <v>1577.74</v>
      </c>
      <c r="CC185">
        <v>295</v>
      </c>
      <c r="CD185">
        <v>5140.93</v>
      </c>
      <c r="CE185">
        <v>1578.58</v>
      </c>
      <c r="CF185">
        <v>-0.84</v>
      </c>
      <c r="CG185">
        <v>300</v>
      </c>
      <c r="CH185">
        <v>23.8</v>
      </c>
      <c r="CI185">
        <v>1633.28263291266</v>
      </c>
      <c r="CJ185">
        <v>1.49577129053257</v>
      </c>
      <c r="CK185">
        <v>-28.1203876934379</v>
      </c>
      <c r="CL185">
        <v>0.666413418688897</v>
      </c>
      <c r="CM185">
        <v>0.984518017981194</v>
      </c>
      <c r="CN185">
        <v>-0.00424727541713014</v>
      </c>
      <c r="CO185">
        <v>290</v>
      </c>
      <c r="CP185">
        <v>1576.56</v>
      </c>
      <c r="CQ185">
        <v>775</v>
      </c>
      <c r="CR185">
        <v>5139.5</v>
      </c>
      <c r="CS185">
        <v>1578.57</v>
      </c>
      <c r="CT185">
        <v>-2.01</v>
      </c>
      <c r="DH185">
        <f>$B$11*EG185+$C$11*EH185+$F$11*ES185*(1-EV185)</f>
        <v>0</v>
      </c>
      <c r="DI185">
        <f>DH185*DJ185</f>
        <v>0</v>
      </c>
      <c r="DJ185">
        <f>($B$11*$D$9+$C$11*$D$9+$F$11*((FF185+EX185)/MAX(FF185+EX185+FG185, 0.1)*$I$9+FG185/MAX(FF185+EX185+FG185, 0.1)*$J$9))/($B$11+$C$11+$F$11)</f>
        <v>0</v>
      </c>
      <c r="DK185">
        <f>($B$11*$K$9+$C$11*$K$9+$F$11*((FF185+EX185)/MAX(FF185+EX185+FG185, 0.1)*$P$9+FG185/MAX(FF185+EX185+FG185, 0.1)*$Q$9))/($B$11+$C$11+$F$11)</f>
        <v>0</v>
      </c>
      <c r="DL185">
        <v>6</v>
      </c>
      <c r="DM185">
        <v>0.5</v>
      </c>
      <c r="DN185" t="s">
        <v>438</v>
      </c>
      <c r="DO185">
        <v>2</v>
      </c>
      <c r="DP185" t="b">
        <v>1</v>
      </c>
      <c r="DQ185">
        <v>1760992175.94615</v>
      </c>
      <c r="DR185">
        <v>1009.44076923077</v>
      </c>
      <c r="DS185">
        <v>1059.55230769231</v>
      </c>
      <c r="DT185">
        <v>11.8354153846154</v>
      </c>
      <c r="DU185">
        <v>9.72288</v>
      </c>
      <c r="DV185">
        <v>1004.47576923077</v>
      </c>
      <c r="DW185">
        <v>11.9463153846154</v>
      </c>
      <c r="DX185">
        <v>500.011846153846</v>
      </c>
      <c r="DY185">
        <v>89.8429076923077</v>
      </c>
      <c r="DZ185">
        <v>0.00995325923076923</v>
      </c>
      <c r="EA185">
        <v>18.4223769230769</v>
      </c>
      <c r="EB185">
        <v>18.0088615384615</v>
      </c>
      <c r="EC185">
        <v>999.9</v>
      </c>
      <c r="ED185">
        <v>0</v>
      </c>
      <c r="EE185">
        <v>0</v>
      </c>
      <c r="EF185">
        <v>9992.00923076923</v>
      </c>
      <c r="EG185">
        <v>0</v>
      </c>
      <c r="EH185">
        <v>1278.62153846154</v>
      </c>
      <c r="EI185">
        <v>-50.1126307692308</v>
      </c>
      <c r="EJ185">
        <v>1021.53061538462</v>
      </c>
      <c r="EK185">
        <v>1069.95615384615</v>
      </c>
      <c r="EL185">
        <v>2.11253384615385</v>
      </c>
      <c r="EM185">
        <v>1059.55230769231</v>
      </c>
      <c r="EN185">
        <v>9.72288</v>
      </c>
      <c r="EO185">
        <v>1.06332692307692</v>
      </c>
      <c r="EP185">
        <v>0.873531923076923</v>
      </c>
      <c r="EQ185">
        <v>7.81425769230769</v>
      </c>
      <c r="ER185">
        <v>4.96191461538462</v>
      </c>
      <c r="ES185">
        <v>1199.97076923077</v>
      </c>
      <c r="ET185">
        <v>0.967000076923077</v>
      </c>
      <c r="EU185">
        <v>0.033</v>
      </c>
      <c r="EV185">
        <v>0</v>
      </c>
      <c r="EW185">
        <v>1286.74846153846</v>
      </c>
      <c r="EX185">
        <v>5.00059</v>
      </c>
      <c r="EY185">
        <v>15189.2615384615</v>
      </c>
      <c r="EZ185">
        <v>10358.4538461538</v>
      </c>
      <c r="FA185">
        <v>37.6680769230769</v>
      </c>
      <c r="FB185">
        <v>39.3122307692308</v>
      </c>
      <c r="FC185">
        <v>38.0814615384615</v>
      </c>
      <c r="FD185">
        <v>38.6968461538462</v>
      </c>
      <c r="FE185">
        <v>38.5140769230769</v>
      </c>
      <c r="FF185">
        <v>1155.53769230769</v>
      </c>
      <c r="FG185">
        <v>39.4323076923077</v>
      </c>
      <c r="FH185">
        <v>0</v>
      </c>
      <c r="FI185">
        <v>1040</v>
      </c>
      <c r="FJ185">
        <v>0</v>
      </c>
      <c r="FK185">
        <v>1287.0292</v>
      </c>
      <c r="FL185">
        <v>13.1507692550096</v>
      </c>
      <c r="FM185">
        <v>118.476923108979</v>
      </c>
      <c r="FN185">
        <v>15191.648</v>
      </c>
      <c r="FO185">
        <v>15</v>
      </c>
      <c r="FP185">
        <v>0</v>
      </c>
      <c r="FQ185" t="s">
        <v>439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-49.855505</v>
      </c>
      <c r="GD185">
        <v>-4.10802857142864</v>
      </c>
      <c r="GE185">
        <v>0.767356143179292</v>
      </c>
      <c r="GF185">
        <v>0</v>
      </c>
      <c r="GG185">
        <v>1286.12764705882</v>
      </c>
      <c r="GH185">
        <v>12.3773873203502</v>
      </c>
      <c r="GI185">
        <v>1.23391070995368</v>
      </c>
      <c r="GJ185">
        <v>-1</v>
      </c>
      <c r="GK185">
        <v>2.111382</v>
      </c>
      <c r="GL185">
        <v>0.0169344360902288</v>
      </c>
      <c r="GM185">
        <v>0.00176409920355972</v>
      </c>
      <c r="GN185">
        <v>1</v>
      </c>
      <c r="GO185">
        <v>1</v>
      </c>
      <c r="GP185">
        <v>2</v>
      </c>
      <c r="GQ185" t="s">
        <v>446</v>
      </c>
      <c r="GR185">
        <v>3.13092</v>
      </c>
      <c r="GS185">
        <v>2.68767</v>
      </c>
      <c r="GT185">
        <v>0.168887</v>
      </c>
      <c r="GU185">
        <v>0.174529</v>
      </c>
      <c r="GV185">
        <v>0.0617806</v>
      </c>
      <c r="GW185">
        <v>0.0529451</v>
      </c>
      <c r="GX185">
        <v>31496.6</v>
      </c>
      <c r="GY185">
        <v>33615.7</v>
      </c>
      <c r="GZ185">
        <v>34262.5</v>
      </c>
      <c r="HA185">
        <v>36845.6</v>
      </c>
      <c r="HB185">
        <v>45352.5</v>
      </c>
      <c r="HC185">
        <v>50046.4</v>
      </c>
      <c r="HD185">
        <v>53336.1</v>
      </c>
      <c r="HE185">
        <v>58772.6</v>
      </c>
      <c r="HF185">
        <v>2.00787</v>
      </c>
      <c r="HG185">
        <v>1.83695</v>
      </c>
      <c r="HH185">
        <v>0.00841916</v>
      </c>
      <c r="HI185">
        <v>0</v>
      </c>
      <c r="HJ185">
        <v>17.8602</v>
      </c>
      <c r="HK185">
        <v>999.9</v>
      </c>
      <c r="HL185">
        <v>26.608</v>
      </c>
      <c r="HM185">
        <v>30.434</v>
      </c>
      <c r="HN185">
        <v>12.936</v>
      </c>
      <c r="HO185">
        <v>54.8828</v>
      </c>
      <c r="HP185">
        <v>44.2067</v>
      </c>
      <c r="HQ185">
        <v>1</v>
      </c>
      <c r="HR185">
        <v>-0.260755</v>
      </c>
      <c r="HS185">
        <v>4.87217</v>
      </c>
      <c r="HT185">
        <v>20.0688</v>
      </c>
      <c r="HU185">
        <v>5.20291</v>
      </c>
      <c r="HV185">
        <v>12.004</v>
      </c>
      <c r="HW185">
        <v>4.9756</v>
      </c>
      <c r="HX185">
        <v>3.29303</v>
      </c>
      <c r="HY185">
        <v>9999</v>
      </c>
      <c r="HZ185">
        <v>999.9</v>
      </c>
      <c r="IA185">
        <v>9999</v>
      </c>
      <c r="IB185">
        <v>9999</v>
      </c>
      <c r="IC185">
        <v>1.8632</v>
      </c>
      <c r="ID185">
        <v>1.86811</v>
      </c>
      <c r="IE185">
        <v>1.86783</v>
      </c>
      <c r="IF185">
        <v>1.86905</v>
      </c>
      <c r="IG185">
        <v>1.86981</v>
      </c>
      <c r="IH185">
        <v>1.86587</v>
      </c>
      <c r="II185">
        <v>1.86692</v>
      </c>
      <c r="IJ185">
        <v>1.86838</v>
      </c>
      <c r="IK185">
        <v>5</v>
      </c>
      <c r="IL185">
        <v>0</v>
      </c>
      <c r="IM185">
        <v>0</v>
      </c>
      <c r="IN185">
        <v>0</v>
      </c>
      <c r="IO185" t="s">
        <v>441</v>
      </c>
      <c r="IP185" t="s">
        <v>442</v>
      </c>
      <c r="IQ185" t="s">
        <v>443</v>
      </c>
      <c r="IR185" t="s">
        <v>443</v>
      </c>
      <c r="IS185" t="s">
        <v>443</v>
      </c>
      <c r="IT185" t="s">
        <v>443</v>
      </c>
      <c r="IU185">
        <v>0</v>
      </c>
      <c r="IV185">
        <v>100</v>
      </c>
      <c r="IW185">
        <v>100</v>
      </c>
      <c r="IX185">
        <v>5.06</v>
      </c>
      <c r="IY185">
        <v>-0.1109</v>
      </c>
      <c r="IZ185">
        <v>1.12474291219083</v>
      </c>
      <c r="JA185">
        <v>0.00463155566490582</v>
      </c>
      <c r="JB185">
        <v>-1.1358998729424e-06</v>
      </c>
      <c r="JC185">
        <v>3.28704272115545e-10</v>
      </c>
      <c r="JD185">
        <v>-0.0704455108513773</v>
      </c>
      <c r="JE185">
        <v>-0.0251928478371425</v>
      </c>
      <c r="JF185">
        <v>0.00225751704194564</v>
      </c>
      <c r="JG185">
        <v>-3.61734043746866e-05</v>
      </c>
      <c r="JH185">
        <v>1</v>
      </c>
      <c r="JI185">
        <v>2182</v>
      </c>
      <c r="JJ185">
        <v>0</v>
      </c>
      <c r="JK185">
        <v>24</v>
      </c>
      <c r="JL185">
        <v>29349869.7</v>
      </c>
      <c r="JM185">
        <v>29349869.7</v>
      </c>
      <c r="JN185">
        <v>2.17773</v>
      </c>
      <c r="JO185">
        <v>2.60986</v>
      </c>
      <c r="JP185">
        <v>1.54785</v>
      </c>
      <c r="JQ185">
        <v>2.31323</v>
      </c>
      <c r="JR185">
        <v>1.64673</v>
      </c>
      <c r="JS185">
        <v>2.34741</v>
      </c>
      <c r="JT185">
        <v>33.6254</v>
      </c>
      <c r="JU185">
        <v>24.1838</v>
      </c>
      <c r="JV185">
        <v>18</v>
      </c>
      <c r="JW185">
        <v>500.644</v>
      </c>
      <c r="JX185">
        <v>394.45</v>
      </c>
      <c r="JY185">
        <v>11.4136</v>
      </c>
      <c r="JZ185">
        <v>23.9893</v>
      </c>
      <c r="KA185">
        <v>30.0001</v>
      </c>
      <c r="KB185">
        <v>23.9789</v>
      </c>
      <c r="KC185">
        <v>23.9467</v>
      </c>
      <c r="KD185">
        <v>43.6353</v>
      </c>
      <c r="KE185">
        <v>7.87357</v>
      </c>
      <c r="KF185">
        <v>26.5359</v>
      </c>
      <c r="KG185">
        <v>11.4153</v>
      </c>
      <c r="KH185">
        <v>1109.9</v>
      </c>
      <c r="KI185">
        <v>9.7744</v>
      </c>
      <c r="KJ185">
        <v>97.0342</v>
      </c>
      <c r="KK185">
        <v>95.2961</v>
      </c>
    </row>
    <row r="186" spans="1:297">
      <c r="A186">
        <v>170</v>
      </c>
      <c r="B186">
        <v>1760992189.1</v>
      </c>
      <c r="C186">
        <v>2999</v>
      </c>
      <c r="D186" t="s">
        <v>793</v>
      </c>
      <c r="E186" t="s">
        <v>794</v>
      </c>
      <c r="F186">
        <v>5</v>
      </c>
      <c r="G186" t="s">
        <v>662</v>
      </c>
      <c r="H186" t="s">
        <v>436</v>
      </c>
      <c r="I186">
        <v>1760992180.94615</v>
      </c>
      <c r="J186">
        <f>(K186)/1000</f>
        <v>0</v>
      </c>
      <c r="K186">
        <f>IF(DP186, AN186, AH186)</f>
        <v>0</v>
      </c>
      <c r="L186">
        <f>IF(DP186, AI186, AG186)</f>
        <v>0</v>
      </c>
      <c r="M186">
        <f>DR186 - IF(AU186&gt;1, L186*DL186*100.0/(AW186), 0)</f>
        <v>0</v>
      </c>
      <c r="N186">
        <f>((T186-J186/2)*M186-L186)/(T186+J186/2)</f>
        <v>0</v>
      </c>
      <c r="O186">
        <f>N186*(DY186+DZ186)/1000.0</f>
        <v>0</v>
      </c>
      <c r="P186">
        <f>(DR186 - IF(AU186&gt;1, L186*DL186*100.0/(AW186), 0))*(DY186+DZ186)/1000.0</f>
        <v>0</v>
      </c>
      <c r="Q186">
        <f>2.0/((1/S186-1/R186)+SIGN(S186)*SQRT((1/S186-1/R186)*(1/S186-1/R186) + 4*DM186/((DM186+1)*(DM186+1))*(2*1/S186*1/R186-1/R186*1/R186)))</f>
        <v>0</v>
      </c>
      <c r="R186">
        <f>IF(LEFT(DN186,1)&lt;&gt;"0",IF(LEFT(DN186,1)="1",3.0,DO186),$D$5+$E$5*(EF186*DY186/($K$5*1000))+$F$5*(EF186*DY186/($K$5*1000))*MAX(MIN(DL186,$J$5),$I$5)*MAX(MIN(DL186,$J$5),$I$5)+$G$5*MAX(MIN(DL186,$J$5),$I$5)*(EF186*DY186/($K$5*1000))+$H$5*(EF186*DY186/($K$5*1000))*(EF186*DY186/($K$5*1000)))</f>
        <v>0</v>
      </c>
      <c r="S186">
        <f>J186*(1000-(1000*0.61365*exp(17.502*W186/(240.97+W186))/(DY186+DZ186)+DT186)/2)/(1000*0.61365*exp(17.502*W186/(240.97+W186))/(DY186+DZ186)-DT186)</f>
        <v>0</v>
      </c>
      <c r="T186">
        <f>1/((DM186+1)/(Q186/1.6)+1/(R186/1.37)) + DM186/((DM186+1)/(Q186/1.6) + DM186/(R186/1.37))</f>
        <v>0</v>
      </c>
      <c r="U186">
        <f>(DH186*DK186)</f>
        <v>0</v>
      </c>
      <c r="V186">
        <f>(EA186+(U186+2*0.95*5.67E-8*(((EA186+$B$7)+273)^4-(EA186+273)^4)-44100*J186)/(1.84*29.3*R186+8*0.95*5.67E-8*(EA186+273)^3))</f>
        <v>0</v>
      </c>
      <c r="W186">
        <f>($C$7*EB186+$D$7*EC186+$E$7*V186)</f>
        <v>0</v>
      </c>
      <c r="X186">
        <f>0.61365*exp(17.502*W186/(240.97+W186))</f>
        <v>0</v>
      </c>
      <c r="Y186">
        <f>(Z186/AA186*100)</f>
        <v>0</v>
      </c>
      <c r="Z186">
        <f>DT186*(DY186+DZ186)/1000</f>
        <v>0</v>
      </c>
      <c r="AA186">
        <f>0.61365*exp(17.502*EA186/(240.97+EA186))</f>
        <v>0</v>
      </c>
      <c r="AB186">
        <f>(X186-DT186*(DY186+DZ186)/1000)</f>
        <v>0</v>
      </c>
      <c r="AC186">
        <f>(-J186*44100)</f>
        <v>0</v>
      </c>
      <c r="AD186">
        <f>2*29.3*R186*0.92*(EA186-W186)</f>
        <v>0</v>
      </c>
      <c r="AE186">
        <f>2*0.95*5.67E-8*(((EA186+$B$7)+273)^4-(W186+273)^4)</f>
        <v>0</v>
      </c>
      <c r="AF186">
        <f>U186+AE186+AC186+AD186</f>
        <v>0</v>
      </c>
      <c r="AG186">
        <f>DX186*AU186*(DS186-DR186*(1000-AU186*DU186)/(1000-AU186*DT186))/(100*DL186)</f>
        <v>0</v>
      </c>
      <c r="AH186">
        <f>1000*DX186*AU186*(DT186-DU186)/(100*DL186*(1000-AU186*DT186))</f>
        <v>0</v>
      </c>
      <c r="AI186">
        <f>(AJ186 - AK186 - DY186*1E3/(8.314*(EA186+273.15)) * AM186/DX186 * AL186) * DX186/(100*DL186) * (1000 - DU186)/1000</f>
        <v>0</v>
      </c>
      <c r="AJ186">
        <v>1102.84242315595</v>
      </c>
      <c r="AK186">
        <v>1063.25806060606</v>
      </c>
      <c r="AL186">
        <v>3.36184420510016</v>
      </c>
      <c r="AM186">
        <v>65.2210784119795</v>
      </c>
      <c r="AN186">
        <f>(AP186 - AO186 + DY186*1E3/(8.314*(EA186+273.15)) * AR186/DX186 * AQ186) * DX186/(100*DL186) * 1000/(1000 - AP186)</f>
        <v>0</v>
      </c>
      <c r="AO186">
        <v>9.71848665904249</v>
      </c>
      <c r="AP186">
        <v>11.8376212121212</v>
      </c>
      <c r="AQ186">
        <v>1.17411375453554e-05</v>
      </c>
      <c r="AR186">
        <v>115.574510355221</v>
      </c>
      <c r="AS186">
        <v>0</v>
      </c>
      <c r="AT186">
        <v>0</v>
      </c>
      <c r="AU186">
        <f>IF(AS186*$H$13&gt;=AW186,1.0,(AW186/(AW186-AS186*$H$13)))</f>
        <v>0</v>
      </c>
      <c r="AV186">
        <f>(AU186-1)*100</f>
        <v>0</v>
      </c>
      <c r="AW186">
        <f>MAX(0,($B$13+$C$13*EF186)/(1+$D$13*EF186)*DY186/(EA186+273)*$E$13)</f>
        <v>0</v>
      </c>
      <c r="AX186" t="s">
        <v>437</v>
      </c>
      <c r="AY186" t="s">
        <v>437</v>
      </c>
      <c r="AZ186">
        <v>0</v>
      </c>
      <c r="BA186">
        <v>0</v>
      </c>
      <c r="BB186">
        <f>1-AZ186/BA186</f>
        <v>0</v>
      </c>
      <c r="BC186">
        <v>0</v>
      </c>
      <c r="BD186" t="s">
        <v>437</v>
      </c>
      <c r="BE186" t="s">
        <v>437</v>
      </c>
      <c r="BF186">
        <v>0</v>
      </c>
      <c r="BG186">
        <v>0</v>
      </c>
      <c r="BH186">
        <f>1-BF186/BG186</f>
        <v>0</v>
      </c>
      <c r="BI186">
        <v>0.5</v>
      </c>
      <c r="BJ186">
        <f>DI186</f>
        <v>0</v>
      </c>
      <c r="BK186">
        <f>L186</f>
        <v>0</v>
      </c>
      <c r="BL186">
        <f>BH186*BI186*BJ186</f>
        <v>0</v>
      </c>
      <c r="BM186">
        <f>(BK186-BC186)/BJ186</f>
        <v>0</v>
      </c>
      <c r="BN186">
        <f>(BA186-BG186)/BG186</f>
        <v>0</v>
      </c>
      <c r="BO186">
        <f>AZ186/(BB186+AZ186/BG186)</f>
        <v>0</v>
      </c>
      <c r="BP186" t="s">
        <v>437</v>
      </c>
      <c r="BQ186">
        <v>0</v>
      </c>
      <c r="BR186">
        <f>IF(BQ186&lt;&gt;0, BQ186, BO186)</f>
        <v>0</v>
      </c>
      <c r="BS186">
        <f>1-BR186/BG186</f>
        <v>0</v>
      </c>
      <c r="BT186">
        <f>(BG186-BF186)/(BG186-BR186)</f>
        <v>0</v>
      </c>
      <c r="BU186">
        <f>(BA186-BG186)/(BA186-BR186)</f>
        <v>0</v>
      </c>
      <c r="BV186">
        <f>(BG186-BF186)/(BG186-AZ186)</f>
        <v>0</v>
      </c>
      <c r="BW186">
        <f>(BA186-BG186)/(BA186-AZ186)</f>
        <v>0</v>
      </c>
      <c r="BX186">
        <f>(BT186*BR186/BF186)</f>
        <v>0</v>
      </c>
      <c r="BY186">
        <f>(1-BX186)</f>
        <v>0</v>
      </c>
      <c r="BZ186">
        <v>282</v>
      </c>
      <c r="CA186">
        <v>290</v>
      </c>
      <c r="CB186">
        <v>1577.74</v>
      </c>
      <c r="CC186">
        <v>295</v>
      </c>
      <c r="CD186">
        <v>5140.93</v>
      </c>
      <c r="CE186">
        <v>1578.58</v>
      </c>
      <c r="CF186">
        <v>-0.84</v>
      </c>
      <c r="CG186">
        <v>300</v>
      </c>
      <c r="CH186">
        <v>23.8</v>
      </c>
      <c r="CI186">
        <v>1633.28263291266</v>
      </c>
      <c r="CJ186">
        <v>1.49577129053257</v>
      </c>
      <c r="CK186">
        <v>-28.1203876934379</v>
      </c>
      <c r="CL186">
        <v>0.666413418688897</v>
      </c>
      <c r="CM186">
        <v>0.984518017981194</v>
      </c>
      <c r="CN186">
        <v>-0.00424727541713014</v>
      </c>
      <c r="CO186">
        <v>290</v>
      </c>
      <c r="CP186">
        <v>1576.56</v>
      </c>
      <c r="CQ186">
        <v>775</v>
      </c>
      <c r="CR186">
        <v>5139.5</v>
      </c>
      <c r="CS186">
        <v>1578.57</v>
      </c>
      <c r="CT186">
        <v>-2.01</v>
      </c>
      <c r="DH186">
        <f>$B$11*EG186+$C$11*EH186+$F$11*ES186*(1-EV186)</f>
        <v>0</v>
      </c>
      <c r="DI186">
        <f>DH186*DJ186</f>
        <v>0</v>
      </c>
      <c r="DJ186">
        <f>($B$11*$D$9+$C$11*$D$9+$F$11*((FF186+EX186)/MAX(FF186+EX186+FG186, 0.1)*$I$9+FG186/MAX(FF186+EX186+FG186, 0.1)*$J$9))/($B$11+$C$11+$F$11)</f>
        <v>0</v>
      </c>
      <c r="DK186">
        <f>($B$11*$K$9+$C$11*$K$9+$F$11*((FF186+EX186)/MAX(FF186+EX186+FG186, 0.1)*$P$9+FG186/MAX(FF186+EX186+FG186, 0.1)*$Q$9))/($B$11+$C$11+$F$11)</f>
        <v>0</v>
      </c>
      <c r="DL186">
        <v>6</v>
      </c>
      <c r="DM186">
        <v>0.5</v>
      </c>
      <c r="DN186" t="s">
        <v>438</v>
      </c>
      <c r="DO186">
        <v>2</v>
      </c>
      <c r="DP186" t="b">
        <v>1</v>
      </c>
      <c r="DQ186">
        <v>1760992180.94615</v>
      </c>
      <c r="DR186">
        <v>1026.46123076923</v>
      </c>
      <c r="DS186">
        <v>1076.28153846154</v>
      </c>
      <c r="DT186">
        <v>11.8357538461538</v>
      </c>
      <c r="DU186">
        <v>9.72104615384615</v>
      </c>
      <c r="DV186">
        <v>1021.43953846154</v>
      </c>
      <c r="DW186">
        <v>11.9466538461538</v>
      </c>
      <c r="DX186">
        <v>500.021538461539</v>
      </c>
      <c r="DY186">
        <v>89.8445538461538</v>
      </c>
      <c r="DZ186">
        <v>0.00985127538461538</v>
      </c>
      <c r="EA186">
        <v>18.4184307692308</v>
      </c>
      <c r="EB186">
        <v>18.0034538461538</v>
      </c>
      <c r="EC186">
        <v>999.9</v>
      </c>
      <c r="ED186">
        <v>0</v>
      </c>
      <c r="EE186">
        <v>0</v>
      </c>
      <c r="EF186">
        <v>9992.20615384615</v>
      </c>
      <c r="EG186">
        <v>0</v>
      </c>
      <c r="EH186">
        <v>1278.62923076923</v>
      </c>
      <c r="EI186">
        <v>-49.8220307692308</v>
      </c>
      <c r="EJ186">
        <v>1038.75461538462</v>
      </c>
      <c r="EK186">
        <v>1086.84769230769</v>
      </c>
      <c r="EL186">
        <v>2.11470230769231</v>
      </c>
      <c r="EM186">
        <v>1076.28153846154</v>
      </c>
      <c r="EN186">
        <v>9.72104615384615</v>
      </c>
      <c r="EO186">
        <v>1.06337769230769</v>
      </c>
      <c r="EP186">
        <v>0.873382923076923</v>
      </c>
      <c r="EQ186">
        <v>7.81494230769231</v>
      </c>
      <c r="ER186">
        <v>4.95947</v>
      </c>
      <c r="ES186">
        <v>1199.95615384615</v>
      </c>
      <c r="ET186">
        <v>0.966998692307692</v>
      </c>
      <c r="EU186">
        <v>0.0330013076923077</v>
      </c>
      <c r="EV186">
        <v>0</v>
      </c>
      <c r="EW186">
        <v>1287.86</v>
      </c>
      <c r="EX186">
        <v>5.00059</v>
      </c>
      <c r="EY186">
        <v>15198.0923076923</v>
      </c>
      <c r="EZ186">
        <v>10358.3230769231</v>
      </c>
      <c r="FA186">
        <v>37.6006923076923</v>
      </c>
      <c r="FB186">
        <v>39.2400769230769</v>
      </c>
      <c r="FC186">
        <v>38.0189230769231</v>
      </c>
      <c r="FD186">
        <v>38.6055384615385</v>
      </c>
      <c r="FE186">
        <v>38.4564615384615</v>
      </c>
      <c r="FF186">
        <v>1155.52</v>
      </c>
      <c r="FG186">
        <v>39.4353846153846</v>
      </c>
      <c r="FH186">
        <v>0</v>
      </c>
      <c r="FI186">
        <v>1044.80000019073</v>
      </c>
      <c r="FJ186">
        <v>0</v>
      </c>
      <c r="FK186">
        <v>1288.058</v>
      </c>
      <c r="FL186">
        <v>11.671538442004</v>
      </c>
      <c r="FM186">
        <v>108.776922779337</v>
      </c>
      <c r="FN186">
        <v>15200.376</v>
      </c>
      <c r="FO186">
        <v>15</v>
      </c>
      <c r="FP186">
        <v>0</v>
      </c>
      <c r="FQ186" t="s">
        <v>439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-49.944965</v>
      </c>
      <c r="GD186">
        <v>1.46153233082718</v>
      </c>
      <c r="GE186">
        <v>0.670886094858881</v>
      </c>
      <c r="GF186">
        <v>0</v>
      </c>
      <c r="GG186">
        <v>1287.32764705882</v>
      </c>
      <c r="GH186">
        <v>12.8161955696571</v>
      </c>
      <c r="GI186">
        <v>1.27561071607366</v>
      </c>
      <c r="GJ186">
        <v>-1</v>
      </c>
      <c r="GK186">
        <v>2.1138975</v>
      </c>
      <c r="GL186">
        <v>0.0236377443609016</v>
      </c>
      <c r="GM186">
        <v>0.00250646538974706</v>
      </c>
      <c r="GN186">
        <v>1</v>
      </c>
      <c r="GO186">
        <v>1</v>
      </c>
      <c r="GP186">
        <v>2</v>
      </c>
      <c r="GQ186" t="s">
        <v>446</v>
      </c>
      <c r="GR186">
        <v>3.13071</v>
      </c>
      <c r="GS186">
        <v>2.6874</v>
      </c>
      <c r="GT186">
        <v>0.170626</v>
      </c>
      <c r="GU186">
        <v>0.176239</v>
      </c>
      <c r="GV186">
        <v>0.061788</v>
      </c>
      <c r="GW186">
        <v>0.0529371</v>
      </c>
      <c r="GX186">
        <v>31430.9</v>
      </c>
      <c r="GY186">
        <v>33546.4</v>
      </c>
      <c r="GZ186">
        <v>34262.6</v>
      </c>
      <c r="HA186">
        <v>36845.7</v>
      </c>
      <c r="HB186">
        <v>45352.3</v>
      </c>
      <c r="HC186">
        <v>50047.2</v>
      </c>
      <c r="HD186">
        <v>53336</v>
      </c>
      <c r="HE186">
        <v>58772.8</v>
      </c>
      <c r="HF186">
        <v>2.0082</v>
      </c>
      <c r="HG186">
        <v>1.83735</v>
      </c>
      <c r="HH186">
        <v>0.0082925</v>
      </c>
      <c r="HI186">
        <v>0</v>
      </c>
      <c r="HJ186">
        <v>17.8594</v>
      </c>
      <c r="HK186">
        <v>999.9</v>
      </c>
      <c r="HL186">
        <v>26.608</v>
      </c>
      <c r="HM186">
        <v>30.434</v>
      </c>
      <c r="HN186">
        <v>12.9348</v>
      </c>
      <c r="HO186">
        <v>54.8928</v>
      </c>
      <c r="HP186">
        <v>44.4471</v>
      </c>
      <c r="HQ186">
        <v>1</v>
      </c>
      <c r="HR186">
        <v>-0.260871</v>
      </c>
      <c r="HS186">
        <v>4.84317</v>
      </c>
      <c r="HT186">
        <v>20.0696</v>
      </c>
      <c r="HU186">
        <v>5.20291</v>
      </c>
      <c r="HV186">
        <v>12.004</v>
      </c>
      <c r="HW186">
        <v>4.97565</v>
      </c>
      <c r="HX186">
        <v>3.29295</v>
      </c>
      <c r="HY186">
        <v>9999</v>
      </c>
      <c r="HZ186">
        <v>999.9</v>
      </c>
      <c r="IA186">
        <v>9999</v>
      </c>
      <c r="IB186">
        <v>9999</v>
      </c>
      <c r="IC186">
        <v>1.86322</v>
      </c>
      <c r="ID186">
        <v>1.8681</v>
      </c>
      <c r="IE186">
        <v>1.86783</v>
      </c>
      <c r="IF186">
        <v>1.86905</v>
      </c>
      <c r="IG186">
        <v>1.86981</v>
      </c>
      <c r="IH186">
        <v>1.86587</v>
      </c>
      <c r="II186">
        <v>1.86691</v>
      </c>
      <c r="IJ186">
        <v>1.86841</v>
      </c>
      <c r="IK186">
        <v>5</v>
      </c>
      <c r="IL186">
        <v>0</v>
      </c>
      <c r="IM186">
        <v>0</v>
      </c>
      <c r="IN186">
        <v>0</v>
      </c>
      <c r="IO186" t="s">
        <v>441</v>
      </c>
      <c r="IP186" t="s">
        <v>442</v>
      </c>
      <c r="IQ186" t="s">
        <v>443</v>
      </c>
      <c r="IR186" t="s">
        <v>443</v>
      </c>
      <c r="IS186" t="s">
        <v>443</v>
      </c>
      <c r="IT186" t="s">
        <v>443</v>
      </c>
      <c r="IU186">
        <v>0</v>
      </c>
      <c r="IV186">
        <v>100</v>
      </c>
      <c r="IW186">
        <v>100</v>
      </c>
      <c r="IX186">
        <v>5.11</v>
      </c>
      <c r="IY186">
        <v>-0.1109</v>
      </c>
      <c r="IZ186">
        <v>1.12474291219083</v>
      </c>
      <c r="JA186">
        <v>0.00463155566490582</v>
      </c>
      <c r="JB186">
        <v>-1.1358998729424e-06</v>
      </c>
      <c r="JC186">
        <v>3.28704272115545e-10</v>
      </c>
      <c r="JD186">
        <v>-0.0704455108513773</v>
      </c>
      <c r="JE186">
        <v>-0.0251928478371425</v>
      </c>
      <c r="JF186">
        <v>0.00225751704194564</v>
      </c>
      <c r="JG186">
        <v>-3.61734043746866e-05</v>
      </c>
      <c r="JH186">
        <v>1</v>
      </c>
      <c r="JI186">
        <v>2182</v>
      </c>
      <c r="JJ186">
        <v>0</v>
      </c>
      <c r="JK186">
        <v>24</v>
      </c>
      <c r="JL186">
        <v>29349869.8</v>
      </c>
      <c r="JM186">
        <v>29349869.8</v>
      </c>
      <c r="JN186">
        <v>2.20581</v>
      </c>
      <c r="JO186">
        <v>2.60864</v>
      </c>
      <c r="JP186">
        <v>1.54785</v>
      </c>
      <c r="JQ186">
        <v>2.31445</v>
      </c>
      <c r="JR186">
        <v>1.64551</v>
      </c>
      <c r="JS186">
        <v>2.35718</v>
      </c>
      <c r="JT186">
        <v>33.6254</v>
      </c>
      <c r="JU186">
        <v>24.1838</v>
      </c>
      <c r="JV186">
        <v>18</v>
      </c>
      <c r="JW186">
        <v>500.852</v>
      </c>
      <c r="JX186">
        <v>394.664</v>
      </c>
      <c r="JY186">
        <v>11.4091</v>
      </c>
      <c r="JZ186">
        <v>23.9893</v>
      </c>
      <c r="KA186">
        <v>30</v>
      </c>
      <c r="KB186">
        <v>23.979</v>
      </c>
      <c r="KC186">
        <v>23.9472</v>
      </c>
      <c r="KD186">
        <v>44.2129</v>
      </c>
      <c r="KE186">
        <v>7.87357</v>
      </c>
      <c r="KF186">
        <v>26.5359</v>
      </c>
      <c r="KG186">
        <v>11.4152</v>
      </c>
      <c r="KH186">
        <v>1123.53</v>
      </c>
      <c r="KI186">
        <v>9.7744</v>
      </c>
      <c r="KJ186">
        <v>97.0342</v>
      </c>
      <c r="KK186">
        <v>95.2964</v>
      </c>
    </row>
    <row r="187" spans="1:297">
      <c r="A187">
        <v>171</v>
      </c>
      <c r="B187">
        <v>1760992194.1</v>
      </c>
      <c r="C187">
        <v>3004</v>
      </c>
      <c r="D187" t="s">
        <v>795</v>
      </c>
      <c r="E187" t="s">
        <v>796</v>
      </c>
      <c r="F187">
        <v>5</v>
      </c>
      <c r="G187" t="s">
        <v>662</v>
      </c>
      <c r="H187" t="s">
        <v>436</v>
      </c>
      <c r="I187">
        <v>1760992185.94615</v>
      </c>
      <c r="J187">
        <f>(K187)/1000</f>
        <v>0</v>
      </c>
      <c r="K187">
        <f>IF(DP187, AN187, AH187)</f>
        <v>0</v>
      </c>
      <c r="L187">
        <f>IF(DP187, AI187, AG187)</f>
        <v>0</v>
      </c>
      <c r="M187">
        <f>DR187 - IF(AU187&gt;1, L187*DL187*100.0/(AW187), 0)</f>
        <v>0</v>
      </c>
      <c r="N187">
        <f>((T187-J187/2)*M187-L187)/(T187+J187/2)</f>
        <v>0</v>
      </c>
      <c r="O187">
        <f>N187*(DY187+DZ187)/1000.0</f>
        <v>0</v>
      </c>
      <c r="P187">
        <f>(DR187 - IF(AU187&gt;1, L187*DL187*100.0/(AW187), 0))*(DY187+DZ187)/1000.0</f>
        <v>0</v>
      </c>
      <c r="Q187">
        <f>2.0/((1/S187-1/R187)+SIGN(S187)*SQRT((1/S187-1/R187)*(1/S187-1/R187) + 4*DM187/((DM187+1)*(DM187+1))*(2*1/S187*1/R187-1/R187*1/R187)))</f>
        <v>0</v>
      </c>
      <c r="R187">
        <f>IF(LEFT(DN187,1)&lt;&gt;"0",IF(LEFT(DN187,1)="1",3.0,DO187),$D$5+$E$5*(EF187*DY187/($K$5*1000))+$F$5*(EF187*DY187/($K$5*1000))*MAX(MIN(DL187,$J$5),$I$5)*MAX(MIN(DL187,$J$5),$I$5)+$G$5*MAX(MIN(DL187,$J$5),$I$5)*(EF187*DY187/($K$5*1000))+$H$5*(EF187*DY187/($K$5*1000))*(EF187*DY187/($K$5*1000)))</f>
        <v>0</v>
      </c>
      <c r="S187">
        <f>J187*(1000-(1000*0.61365*exp(17.502*W187/(240.97+W187))/(DY187+DZ187)+DT187)/2)/(1000*0.61365*exp(17.502*W187/(240.97+W187))/(DY187+DZ187)-DT187)</f>
        <v>0</v>
      </c>
      <c r="T187">
        <f>1/((DM187+1)/(Q187/1.6)+1/(R187/1.37)) + DM187/((DM187+1)/(Q187/1.6) + DM187/(R187/1.37))</f>
        <v>0</v>
      </c>
      <c r="U187">
        <f>(DH187*DK187)</f>
        <v>0</v>
      </c>
      <c r="V187">
        <f>(EA187+(U187+2*0.95*5.67E-8*(((EA187+$B$7)+273)^4-(EA187+273)^4)-44100*J187)/(1.84*29.3*R187+8*0.95*5.67E-8*(EA187+273)^3))</f>
        <v>0</v>
      </c>
      <c r="W187">
        <f>($C$7*EB187+$D$7*EC187+$E$7*V187)</f>
        <v>0</v>
      </c>
      <c r="X187">
        <f>0.61365*exp(17.502*W187/(240.97+W187))</f>
        <v>0</v>
      </c>
      <c r="Y187">
        <f>(Z187/AA187*100)</f>
        <v>0</v>
      </c>
      <c r="Z187">
        <f>DT187*(DY187+DZ187)/1000</f>
        <v>0</v>
      </c>
      <c r="AA187">
        <f>0.61365*exp(17.502*EA187/(240.97+EA187))</f>
        <v>0</v>
      </c>
      <c r="AB187">
        <f>(X187-DT187*(DY187+DZ187)/1000)</f>
        <v>0</v>
      </c>
      <c r="AC187">
        <f>(-J187*44100)</f>
        <v>0</v>
      </c>
      <c r="AD187">
        <f>2*29.3*R187*0.92*(EA187-W187)</f>
        <v>0</v>
      </c>
      <c r="AE187">
        <f>2*0.95*5.67E-8*(((EA187+$B$7)+273)^4-(W187+273)^4)</f>
        <v>0</v>
      </c>
      <c r="AF187">
        <f>U187+AE187+AC187+AD187</f>
        <v>0</v>
      </c>
      <c r="AG187">
        <f>DX187*AU187*(DS187-DR187*(1000-AU187*DU187)/(1000-AU187*DT187))/(100*DL187)</f>
        <v>0</v>
      </c>
      <c r="AH187">
        <f>1000*DX187*AU187*(DT187-DU187)/(100*DL187*(1000-AU187*DT187))</f>
        <v>0</v>
      </c>
      <c r="AI187">
        <f>(AJ187 - AK187 - DY187*1E3/(8.314*(EA187+273.15)) * AM187/DX187 * AL187) * DX187/(100*DL187) * (1000 - DU187)/1000</f>
        <v>0</v>
      </c>
      <c r="AJ187">
        <v>1120.08860362734</v>
      </c>
      <c r="AK187">
        <v>1080.46212121212</v>
      </c>
      <c r="AL187">
        <v>3.44674127498637</v>
      </c>
      <c r="AM187">
        <v>65.2210784119795</v>
      </c>
      <c r="AN187">
        <f>(AP187 - AO187 + DY187*1E3/(8.314*(EA187+273.15)) * AR187/DX187 * AQ187) * DX187/(100*DL187) * 1000/(1000 - AP187)</f>
        <v>0</v>
      </c>
      <c r="AO187">
        <v>9.71882231534511</v>
      </c>
      <c r="AP187">
        <v>11.8392781818182</v>
      </c>
      <c r="AQ187">
        <v>9.18445560276591e-06</v>
      </c>
      <c r="AR187">
        <v>115.574510355221</v>
      </c>
      <c r="AS187">
        <v>0</v>
      </c>
      <c r="AT187">
        <v>0</v>
      </c>
      <c r="AU187">
        <f>IF(AS187*$H$13&gt;=AW187,1.0,(AW187/(AW187-AS187*$H$13)))</f>
        <v>0</v>
      </c>
      <c r="AV187">
        <f>(AU187-1)*100</f>
        <v>0</v>
      </c>
      <c r="AW187">
        <f>MAX(0,($B$13+$C$13*EF187)/(1+$D$13*EF187)*DY187/(EA187+273)*$E$13)</f>
        <v>0</v>
      </c>
      <c r="AX187" t="s">
        <v>437</v>
      </c>
      <c r="AY187" t="s">
        <v>437</v>
      </c>
      <c r="AZ187">
        <v>0</v>
      </c>
      <c r="BA187">
        <v>0</v>
      </c>
      <c r="BB187">
        <f>1-AZ187/BA187</f>
        <v>0</v>
      </c>
      <c r="BC187">
        <v>0</v>
      </c>
      <c r="BD187" t="s">
        <v>437</v>
      </c>
      <c r="BE187" t="s">
        <v>437</v>
      </c>
      <c r="BF187">
        <v>0</v>
      </c>
      <c r="BG187">
        <v>0</v>
      </c>
      <c r="BH187">
        <f>1-BF187/BG187</f>
        <v>0</v>
      </c>
      <c r="BI187">
        <v>0.5</v>
      </c>
      <c r="BJ187">
        <f>DI187</f>
        <v>0</v>
      </c>
      <c r="BK187">
        <f>L187</f>
        <v>0</v>
      </c>
      <c r="BL187">
        <f>BH187*BI187*BJ187</f>
        <v>0</v>
      </c>
      <c r="BM187">
        <f>(BK187-BC187)/BJ187</f>
        <v>0</v>
      </c>
      <c r="BN187">
        <f>(BA187-BG187)/BG187</f>
        <v>0</v>
      </c>
      <c r="BO187">
        <f>AZ187/(BB187+AZ187/BG187)</f>
        <v>0</v>
      </c>
      <c r="BP187" t="s">
        <v>437</v>
      </c>
      <c r="BQ187">
        <v>0</v>
      </c>
      <c r="BR187">
        <f>IF(BQ187&lt;&gt;0, BQ187, BO187)</f>
        <v>0</v>
      </c>
      <c r="BS187">
        <f>1-BR187/BG187</f>
        <v>0</v>
      </c>
      <c r="BT187">
        <f>(BG187-BF187)/(BG187-BR187)</f>
        <v>0</v>
      </c>
      <c r="BU187">
        <f>(BA187-BG187)/(BA187-BR187)</f>
        <v>0</v>
      </c>
      <c r="BV187">
        <f>(BG187-BF187)/(BG187-AZ187)</f>
        <v>0</v>
      </c>
      <c r="BW187">
        <f>(BA187-BG187)/(BA187-AZ187)</f>
        <v>0</v>
      </c>
      <c r="BX187">
        <f>(BT187*BR187/BF187)</f>
        <v>0</v>
      </c>
      <c r="BY187">
        <f>(1-BX187)</f>
        <v>0</v>
      </c>
      <c r="BZ187">
        <v>282</v>
      </c>
      <c r="CA187">
        <v>290</v>
      </c>
      <c r="CB187">
        <v>1577.74</v>
      </c>
      <c r="CC187">
        <v>295</v>
      </c>
      <c r="CD187">
        <v>5140.93</v>
      </c>
      <c r="CE187">
        <v>1578.58</v>
      </c>
      <c r="CF187">
        <v>-0.84</v>
      </c>
      <c r="CG187">
        <v>300</v>
      </c>
      <c r="CH187">
        <v>23.8</v>
      </c>
      <c r="CI187">
        <v>1633.28263291266</v>
      </c>
      <c r="CJ187">
        <v>1.49577129053257</v>
      </c>
      <c r="CK187">
        <v>-28.1203876934379</v>
      </c>
      <c r="CL187">
        <v>0.666413418688897</v>
      </c>
      <c r="CM187">
        <v>0.984518017981194</v>
      </c>
      <c r="CN187">
        <v>-0.00424727541713014</v>
      </c>
      <c r="CO187">
        <v>290</v>
      </c>
      <c r="CP187">
        <v>1576.56</v>
      </c>
      <c r="CQ187">
        <v>775</v>
      </c>
      <c r="CR187">
        <v>5139.5</v>
      </c>
      <c r="CS187">
        <v>1578.57</v>
      </c>
      <c r="CT187">
        <v>-2.01</v>
      </c>
      <c r="DH187">
        <f>$B$11*EG187+$C$11*EH187+$F$11*ES187*(1-EV187)</f>
        <v>0</v>
      </c>
      <c r="DI187">
        <f>DH187*DJ187</f>
        <v>0</v>
      </c>
      <c r="DJ187">
        <f>($B$11*$D$9+$C$11*$D$9+$F$11*((FF187+EX187)/MAX(FF187+EX187+FG187, 0.1)*$I$9+FG187/MAX(FF187+EX187+FG187, 0.1)*$J$9))/($B$11+$C$11+$F$11)</f>
        <v>0</v>
      </c>
      <c r="DK187">
        <f>($B$11*$K$9+$C$11*$K$9+$F$11*((FF187+EX187)/MAX(FF187+EX187+FG187, 0.1)*$P$9+FG187/MAX(FF187+EX187+FG187, 0.1)*$Q$9))/($B$11+$C$11+$F$11)</f>
        <v>0</v>
      </c>
      <c r="DL187">
        <v>6</v>
      </c>
      <c r="DM187">
        <v>0.5</v>
      </c>
      <c r="DN187" t="s">
        <v>438</v>
      </c>
      <c r="DO187">
        <v>2</v>
      </c>
      <c r="DP187" t="b">
        <v>1</v>
      </c>
      <c r="DQ187">
        <v>1760992185.94615</v>
      </c>
      <c r="DR187">
        <v>1043.41307692308</v>
      </c>
      <c r="DS187">
        <v>1093.34</v>
      </c>
      <c r="DT187">
        <v>11.8367692307692</v>
      </c>
      <c r="DU187">
        <v>9.71976384615385</v>
      </c>
      <c r="DV187">
        <v>1038.33538461538</v>
      </c>
      <c r="DW187">
        <v>11.9476538461538</v>
      </c>
      <c r="DX187">
        <v>500.025230769231</v>
      </c>
      <c r="DY187">
        <v>89.8454769230769</v>
      </c>
      <c r="DZ187">
        <v>0.00969330692307692</v>
      </c>
      <c r="EA187">
        <v>18.4143538461538</v>
      </c>
      <c r="EB187">
        <v>18.0007461538462</v>
      </c>
      <c r="EC187">
        <v>999.9</v>
      </c>
      <c r="ED187">
        <v>0</v>
      </c>
      <c r="EE187">
        <v>0</v>
      </c>
      <c r="EF187">
        <v>9994.70461538461</v>
      </c>
      <c r="EG187">
        <v>0</v>
      </c>
      <c r="EH187">
        <v>1278.63153846154</v>
      </c>
      <c r="EI187">
        <v>-49.9280230769231</v>
      </c>
      <c r="EJ187">
        <v>1055.91153846154</v>
      </c>
      <c r="EK187">
        <v>1104.07153846154</v>
      </c>
      <c r="EL187">
        <v>2.117</v>
      </c>
      <c r="EM187">
        <v>1093.34</v>
      </c>
      <c r="EN187">
        <v>9.71976384615385</v>
      </c>
      <c r="EO187">
        <v>1.06347923076923</v>
      </c>
      <c r="EP187">
        <v>0.873276769230769</v>
      </c>
      <c r="EQ187">
        <v>7.81635230769231</v>
      </c>
      <c r="ER187">
        <v>4.95772461538462</v>
      </c>
      <c r="ES187">
        <v>1199.98615384615</v>
      </c>
      <c r="ET187">
        <v>0.966998692307692</v>
      </c>
      <c r="EU187">
        <v>0.0330013230769231</v>
      </c>
      <c r="EV187">
        <v>0</v>
      </c>
      <c r="EW187">
        <v>1288.87615384615</v>
      </c>
      <c r="EX187">
        <v>5.00059</v>
      </c>
      <c r="EY187">
        <v>15207.2692307692</v>
      </c>
      <c r="EZ187">
        <v>10358.5846153846</v>
      </c>
      <c r="FA187">
        <v>37.5430769230769</v>
      </c>
      <c r="FB187">
        <v>39.1728461538462</v>
      </c>
      <c r="FC187">
        <v>37.9660769230769</v>
      </c>
      <c r="FD187">
        <v>38.5237692307692</v>
      </c>
      <c r="FE187">
        <v>38.3890769230769</v>
      </c>
      <c r="FF187">
        <v>1155.54692307692</v>
      </c>
      <c r="FG187">
        <v>39.4384615384615</v>
      </c>
      <c r="FH187">
        <v>0</v>
      </c>
      <c r="FI187">
        <v>1050.20000004768</v>
      </c>
      <c r="FJ187">
        <v>0</v>
      </c>
      <c r="FK187">
        <v>1289.06769230769</v>
      </c>
      <c r="FL187">
        <v>12.114188035794</v>
      </c>
      <c r="FM187">
        <v>99.2034187946161</v>
      </c>
      <c r="FN187">
        <v>15209.1884615385</v>
      </c>
      <c r="FO187">
        <v>15</v>
      </c>
      <c r="FP187">
        <v>0</v>
      </c>
      <c r="FQ187" t="s">
        <v>439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-49.8360904761905</v>
      </c>
      <c r="GD187">
        <v>0.629929870129824</v>
      </c>
      <c r="GE187">
        <v>0.643317059432529</v>
      </c>
      <c r="GF187">
        <v>0</v>
      </c>
      <c r="GG187">
        <v>1288.36117647059</v>
      </c>
      <c r="GH187">
        <v>11.9159663899807</v>
      </c>
      <c r="GI187">
        <v>1.18302643972713</v>
      </c>
      <c r="GJ187">
        <v>-1</v>
      </c>
      <c r="GK187">
        <v>2.11588142857143</v>
      </c>
      <c r="GL187">
        <v>0.0298192207792228</v>
      </c>
      <c r="GM187">
        <v>0.00317875280381395</v>
      </c>
      <c r="GN187">
        <v>1</v>
      </c>
      <c r="GO187">
        <v>1</v>
      </c>
      <c r="GP187">
        <v>2</v>
      </c>
      <c r="GQ187" t="s">
        <v>446</v>
      </c>
      <c r="GR187">
        <v>3.13074</v>
      </c>
      <c r="GS187">
        <v>2.68769</v>
      </c>
      <c r="GT187">
        <v>0.172379</v>
      </c>
      <c r="GU187">
        <v>0.17782</v>
      </c>
      <c r="GV187">
        <v>0.0617942</v>
      </c>
      <c r="GW187">
        <v>0.0529351</v>
      </c>
      <c r="GX187">
        <v>31364.5</v>
      </c>
      <c r="GY187">
        <v>33482.1</v>
      </c>
      <c r="GZ187">
        <v>34262.5</v>
      </c>
      <c r="HA187">
        <v>36845.7</v>
      </c>
      <c r="HB187">
        <v>45352.3</v>
      </c>
      <c r="HC187">
        <v>50047.6</v>
      </c>
      <c r="HD187">
        <v>53336.1</v>
      </c>
      <c r="HE187">
        <v>58773</v>
      </c>
      <c r="HF187">
        <v>2.00798</v>
      </c>
      <c r="HG187">
        <v>1.83753</v>
      </c>
      <c r="HH187">
        <v>0.00785291</v>
      </c>
      <c r="HI187">
        <v>0</v>
      </c>
      <c r="HJ187">
        <v>17.8586</v>
      </c>
      <c r="HK187">
        <v>999.9</v>
      </c>
      <c r="HL187">
        <v>26.584</v>
      </c>
      <c r="HM187">
        <v>30.454</v>
      </c>
      <c r="HN187">
        <v>12.9388</v>
      </c>
      <c r="HO187">
        <v>54.0928</v>
      </c>
      <c r="HP187">
        <v>44.2027</v>
      </c>
      <c r="HQ187">
        <v>1</v>
      </c>
      <c r="HR187">
        <v>-0.260945</v>
      </c>
      <c r="HS187">
        <v>4.54069</v>
      </c>
      <c r="HT187">
        <v>20.078</v>
      </c>
      <c r="HU187">
        <v>5.20082</v>
      </c>
      <c r="HV187">
        <v>12.004</v>
      </c>
      <c r="HW187">
        <v>4.9754</v>
      </c>
      <c r="HX187">
        <v>3.293</v>
      </c>
      <c r="HY187">
        <v>9999</v>
      </c>
      <c r="HZ187">
        <v>999.9</v>
      </c>
      <c r="IA187">
        <v>9999</v>
      </c>
      <c r="IB187">
        <v>9999</v>
      </c>
      <c r="IC187">
        <v>1.86321</v>
      </c>
      <c r="ID187">
        <v>1.86807</v>
      </c>
      <c r="IE187">
        <v>1.86783</v>
      </c>
      <c r="IF187">
        <v>1.86905</v>
      </c>
      <c r="IG187">
        <v>1.86981</v>
      </c>
      <c r="IH187">
        <v>1.86585</v>
      </c>
      <c r="II187">
        <v>1.86693</v>
      </c>
      <c r="IJ187">
        <v>1.86841</v>
      </c>
      <c r="IK187">
        <v>5</v>
      </c>
      <c r="IL187">
        <v>0</v>
      </c>
      <c r="IM187">
        <v>0</v>
      </c>
      <c r="IN187">
        <v>0</v>
      </c>
      <c r="IO187" t="s">
        <v>441</v>
      </c>
      <c r="IP187" t="s">
        <v>442</v>
      </c>
      <c r="IQ187" t="s">
        <v>443</v>
      </c>
      <c r="IR187" t="s">
        <v>443</v>
      </c>
      <c r="IS187" t="s">
        <v>443</v>
      </c>
      <c r="IT187" t="s">
        <v>443</v>
      </c>
      <c r="IU187">
        <v>0</v>
      </c>
      <c r="IV187">
        <v>100</v>
      </c>
      <c r="IW187">
        <v>100</v>
      </c>
      <c r="IX187">
        <v>5.17</v>
      </c>
      <c r="IY187">
        <v>-0.1109</v>
      </c>
      <c r="IZ187">
        <v>1.12474291219083</v>
      </c>
      <c r="JA187">
        <v>0.00463155566490582</v>
      </c>
      <c r="JB187">
        <v>-1.1358998729424e-06</v>
      </c>
      <c r="JC187">
        <v>3.28704272115545e-10</v>
      </c>
      <c r="JD187">
        <v>-0.0704455108513773</v>
      </c>
      <c r="JE187">
        <v>-0.0251928478371425</v>
      </c>
      <c r="JF187">
        <v>0.00225751704194564</v>
      </c>
      <c r="JG187">
        <v>-3.61734043746866e-05</v>
      </c>
      <c r="JH187">
        <v>1</v>
      </c>
      <c r="JI187">
        <v>2182</v>
      </c>
      <c r="JJ187">
        <v>0</v>
      </c>
      <c r="JK187">
        <v>24</v>
      </c>
      <c r="JL187">
        <v>29349869.9</v>
      </c>
      <c r="JM187">
        <v>29349869.9</v>
      </c>
      <c r="JN187">
        <v>2.23022</v>
      </c>
      <c r="JO187">
        <v>2.61108</v>
      </c>
      <c r="JP187">
        <v>1.54785</v>
      </c>
      <c r="JQ187">
        <v>2.31323</v>
      </c>
      <c r="JR187">
        <v>1.64551</v>
      </c>
      <c r="JS187">
        <v>2.33154</v>
      </c>
      <c r="JT187">
        <v>33.6254</v>
      </c>
      <c r="JU187">
        <v>24.1838</v>
      </c>
      <c r="JV187">
        <v>18</v>
      </c>
      <c r="JW187">
        <v>500.727</v>
      </c>
      <c r="JX187">
        <v>394.767</v>
      </c>
      <c r="JY187">
        <v>11.4155</v>
      </c>
      <c r="JZ187">
        <v>23.9893</v>
      </c>
      <c r="KA187">
        <v>30</v>
      </c>
      <c r="KB187">
        <v>23.9809</v>
      </c>
      <c r="KC187">
        <v>23.9487</v>
      </c>
      <c r="KD187">
        <v>44.6579</v>
      </c>
      <c r="KE187">
        <v>7.87357</v>
      </c>
      <c r="KF187">
        <v>26.5359</v>
      </c>
      <c r="KG187">
        <v>11.5288</v>
      </c>
      <c r="KH187">
        <v>1143.95</v>
      </c>
      <c r="KI187">
        <v>9.7744</v>
      </c>
      <c r="KJ187">
        <v>97.0343</v>
      </c>
      <c r="KK187">
        <v>95.2966</v>
      </c>
    </row>
    <row r="188" spans="1:297">
      <c r="A188">
        <v>172</v>
      </c>
      <c r="B188">
        <v>1760992199.1</v>
      </c>
      <c r="C188">
        <v>3009</v>
      </c>
      <c r="D188" t="s">
        <v>797</v>
      </c>
      <c r="E188" t="s">
        <v>798</v>
      </c>
      <c r="F188">
        <v>5</v>
      </c>
      <c r="G188" t="s">
        <v>662</v>
      </c>
      <c r="H188" t="s">
        <v>436</v>
      </c>
      <c r="I188">
        <v>1760992190.94615</v>
      </c>
      <c r="J188">
        <f>(K188)/1000</f>
        <v>0</v>
      </c>
      <c r="K188">
        <f>IF(DP188, AN188, AH188)</f>
        <v>0</v>
      </c>
      <c r="L188">
        <f>IF(DP188, AI188, AG188)</f>
        <v>0</v>
      </c>
      <c r="M188">
        <f>DR188 - IF(AU188&gt;1, L188*DL188*100.0/(AW188), 0)</f>
        <v>0</v>
      </c>
      <c r="N188">
        <f>((T188-J188/2)*M188-L188)/(T188+J188/2)</f>
        <v>0</v>
      </c>
      <c r="O188">
        <f>N188*(DY188+DZ188)/1000.0</f>
        <v>0</v>
      </c>
      <c r="P188">
        <f>(DR188 - IF(AU188&gt;1, L188*DL188*100.0/(AW188), 0))*(DY188+DZ188)/1000.0</f>
        <v>0</v>
      </c>
      <c r="Q188">
        <f>2.0/((1/S188-1/R188)+SIGN(S188)*SQRT((1/S188-1/R188)*(1/S188-1/R188) + 4*DM188/((DM188+1)*(DM188+1))*(2*1/S188*1/R188-1/R188*1/R188)))</f>
        <v>0</v>
      </c>
      <c r="R188">
        <f>IF(LEFT(DN188,1)&lt;&gt;"0",IF(LEFT(DN188,1)="1",3.0,DO188),$D$5+$E$5*(EF188*DY188/($K$5*1000))+$F$5*(EF188*DY188/($K$5*1000))*MAX(MIN(DL188,$J$5),$I$5)*MAX(MIN(DL188,$J$5),$I$5)+$G$5*MAX(MIN(DL188,$J$5),$I$5)*(EF188*DY188/($K$5*1000))+$H$5*(EF188*DY188/($K$5*1000))*(EF188*DY188/($K$5*1000)))</f>
        <v>0</v>
      </c>
      <c r="S188">
        <f>J188*(1000-(1000*0.61365*exp(17.502*W188/(240.97+W188))/(DY188+DZ188)+DT188)/2)/(1000*0.61365*exp(17.502*W188/(240.97+W188))/(DY188+DZ188)-DT188)</f>
        <v>0</v>
      </c>
      <c r="T188">
        <f>1/((DM188+1)/(Q188/1.6)+1/(R188/1.37)) + DM188/((DM188+1)/(Q188/1.6) + DM188/(R188/1.37))</f>
        <v>0</v>
      </c>
      <c r="U188">
        <f>(DH188*DK188)</f>
        <v>0</v>
      </c>
      <c r="V188">
        <f>(EA188+(U188+2*0.95*5.67E-8*(((EA188+$B$7)+273)^4-(EA188+273)^4)-44100*J188)/(1.84*29.3*R188+8*0.95*5.67E-8*(EA188+273)^3))</f>
        <v>0</v>
      </c>
      <c r="W188">
        <f>($C$7*EB188+$D$7*EC188+$E$7*V188)</f>
        <v>0</v>
      </c>
      <c r="X188">
        <f>0.61365*exp(17.502*W188/(240.97+W188))</f>
        <v>0</v>
      </c>
      <c r="Y188">
        <f>(Z188/AA188*100)</f>
        <v>0</v>
      </c>
      <c r="Z188">
        <f>DT188*(DY188+DZ188)/1000</f>
        <v>0</v>
      </c>
      <c r="AA188">
        <f>0.61365*exp(17.502*EA188/(240.97+EA188))</f>
        <v>0</v>
      </c>
      <c r="AB188">
        <f>(X188-DT188*(DY188+DZ188)/1000)</f>
        <v>0</v>
      </c>
      <c r="AC188">
        <f>(-J188*44100)</f>
        <v>0</v>
      </c>
      <c r="AD188">
        <f>2*29.3*R188*0.92*(EA188-W188)</f>
        <v>0</v>
      </c>
      <c r="AE188">
        <f>2*0.95*5.67E-8*(((EA188+$B$7)+273)^4-(W188+273)^4)</f>
        <v>0</v>
      </c>
      <c r="AF188">
        <f>U188+AE188+AC188+AD188</f>
        <v>0</v>
      </c>
      <c r="AG188">
        <f>DX188*AU188*(DS188-DR188*(1000-AU188*DU188)/(1000-AU188*DT188))/(100*DL188)</f>
        <v>0</v>
      </c>
      <c r="AH188">
        <f>1000*DX188*AU188*(DT188-DU188)/(100*DL188*(1000-AU188*DT188))</f>
        <v>0</v>
      </c>
      <c r="AI188">
        <f>(AJ188 - AK188 - DY188*1E3/(8.314*(EA188+273.15)) * AM188/DX188 * AL188) * DX188/(100*DL188) * (1000 - DU188)/1000</f>
        <v>0</v>
      </c>
      <c r="AJ188">
        <v>1135.24931961927</v>
      </c>
      <c r="AK188">
        <v>1096.57703030303</v>
      </c>
      <c r="AL188">
        <v>3.18442091914588</v>
      </c>
      <c r="AM188">
        <v>65.2210784119795</v>
      </c>
      <c r="AN188">
        <f>(AP188 - AO188 + DY188*1E3/(8.314*(EA188+273.15)) * AR188/DX188 * AQ188) * DX188/(100*DL188) * 1000/(1000 - AP188)</f>
        <v>0</v>
      </c>
      <c r="AO188">
        <v>9.71600915268181</v>
      </c>
      <c r="AP188">
        <v>11.8459842424242</v>
      </c>
      <c r="AQ188">
        <v>6.00357440744587e-05</v>
      </c>
      <c r="AR188">
        <v>115.574510355221</v>
      </c>
      <c r="AS188">
        <v>0</v>
      </c>
      <c r="AT188">
        <v>0</v>
      </c>
      <c r="AU188">
        <f>IF(AS188*$H$13&gt;=AW188,1.0,(AW188/(AW188-AS188*$H$13)))</f>
        <v>0</v>
      </c>
      <c r="AV188">
        <f>(AU188-1)*100</f>
        <v>0</v>
      </c>
      <c r="AW188">
        <f>MAX(0,($B$13+$C$13*EF188)/(1+$D$13*EF188)*DY188/(EA188+273)*$E$13)</f>
        <v>0</v>
      </c>
      <c r="AX188" t="s">
        <v>437</v>
      </c>
      <c r="AY188" t="s">
        <v>437</v>
      </c>
      <c r="AZ188">
        <v>0</v>
      </c>
      <c r="BA188">
        <v>0</v>
      </c>
      <c r="BB188">
        <f>1-AZ188/BA188</f>
        <v>0</v>
      </c>
      <c r="BC188">
        <v>0</v>
      </c>
      <c r="BD188" t="s">
        <v>437</v>
      </c>
      <c r="BE188" t="s">
        <v>437</v>
      </c>
      <c r="BF188">
        <v>0</v>
      </c>
      <c r="BG188">
        <v>0</v>
      </c>
      <c r="BH188">
        <f>1-BF188/BG188</f>
        <v>0</v>
      </c>
      <c r="BI188">
        <v>0.5</v>
      </c>
      <c r="BJ188">
        <f>DI188</f>
        <v>0</v>
      </c>
      <c r="BK188">
        <f>L188</f>
        <v>0</v>
      </c>
      <c r="BL188">
        <f>BH188*BI188*BJ188</f>
        <v>0</v>
      </c>
      <c r="BM188">
        <f>(BK188-BC188)/BJ188</f>
        <v>0</v>
      </c>
      <c r="BN188">
        <f>(BA188-BG188)/BG188</f>
        <v>0</v>
      </c>
      <c r="BO188">
        <f>AZ188/(BB188+AZ188/BG188)</f>
        <v>0</v>
      </c>
      <c r="BP188" t="s">
        <v>437</v>
      </c>
      <c r="BQ188">
        <v>0</v>
      </c>
      <c r="BR188">
        <f>IF(BQ188&lt;&gt;0, BQ188, BO188)</f>
        <v>0</v>
      </c>
      <c r="BS188">
        <f>1-BR188/BG188</f>
        <v>0</v>
      </c>
      <c r="BT188">
        <f>(BG188-BF188)/(BG188-BR188)</f>
        <v>0</v>
      </c>
      <c r="BU188">
        <f>(BA188-BG188)/(BA188-BR188)</f>
        <v>0</v>
      </c>
      <c r="BV188">
        <f>(BG188-BF188)/(BG188-AZ188)</f>
        <v>0</v>
      </c>
      <c r="BW188">
        <f>(BA188-BG188)/(BA188-AZ188)</f>
        <v>0</v>
      </c>
      <c r="BX188">
        <f>(BT188*BR188/BF188)</f>
        <v>0</v>
      </c>
      <c r="BY188">
        <f>(1-BX188)</f>
        <v>0</v>
      </c>
      <c r="BZ188">
        <v>282</v>
      </c>
      <c r="CA188">
        <v>290</v>
      </c>
      <c r="CB188">
        <v>1577.74</v>
      </c>
      <c r="CC188">
        <v>295</v>
      </c>
      <c r="CD188">
        <v>5140.93</v>
      </c>
      <c r="CE188">
        <v>1578.58</v>
      </c>
      <c r="CF188">
        <v>-0.84</v>
      </c>
      <c r="CG188">
        <v>300</v>
      </c>
      <c r="CH188">
        <v>23.8</v>
      </c>
      <c r="CI188">
        <v>1633.28263291266</v>
      </c>
      <c r="CJ188">
        <v>1.49577129053257</v>
      </c>
      <c r="CK188">
        <v>-28.1203876934379</v>
      </c>
      <c r="CL188">
        <v>0.666413418688897</v>
      </c>
      <c r="CM188">
        <v>0.984518017981194</v>
      </c>
      <c r="CN188">
        <v>-0.00424727541713014</v>
      </c>
      <c r="CO188">
        <v>290</v>
      </c>
      <c r="CP188">
        <v>1576.56</v>
      </c>
      <c r="CQ188">
        <v>775</v>
      </c>
      <c r="CR188">
        <v>5139.5</v>
      </c>
      <c r="CS188">
        <v>1578.57</v>
      </c>
      <c r="CT188">
        <v>-2.01</v>
      </c>
      <c r="DH188">
        <f>$B$11*EG188+$C$11*EH188+$F$11*ES188*(1-EV188)</f>
        <v>0</v>
      </c>
      <c r="DI188">
        <f>DH188*DJ188</f>
        <v>0</v>
      </c>
      <c r="DJ188">
        <f>($B$11*$D$9+$C$11*$D$9+$F$11*((FF188+EX188)/MAX(FF188+EX188+FG188, 0.1)*$I$9+FG188/MAX(FF188+EX188+FG188, 0.1)*$J$9))/($B$11+$C$11+$F$11)</f>
        <v>0</v>
      </c>
      <c r="DK188">
        <f>($B$11*$K$9+$C$11*$K$9+$F$11*((FF188+EX188)/MAX(FF188+EX188+FG188, 0.1)*$P$9+FG188/MAX(FF188+EX188+FG188, 0.1)*$Q$9))/($B$11+$C$11+$F$11)</f>
        <v>0</v>
      </c>
      <c r="DL188">
        <v>6</v>
      </c>
      <c r="DM188">
        <v>0.5</v>
      </c>
      <c r="DN188" t="s">
        <v>438</v>
      </c>
      <c r="DO188">
        <v>2</v>
      </c>
      <c r="DP188" t="b">
        <v>1</v>
      </c>
      <c r="DQ188">
        <v>1760992190.94615</v>
      </c>
      <c r="DR188">
        <v>1060.21461538462</v>
      </c>
      <c r="DS188">
        <v>1109.27538461538</v>
      </c>
      <c r="DT188">
        <v>11.8395307692308</v>
      </c>
      <c r="DU188">
        <v>9.71827769230769</v>
      </c>
      <c r="DV188">
        <v>1055.08153846154</v>
      </c>
      <c r="DW188">
        <v>11.9503769230769</v>
      </c>
      <c r="DX188">
        <v>500.084769230769</v>
      </c>
      <c r="DY188">
        <v>89.8454692307692</v>
      </c>
      <c r="DZ188">
        <v>0.00927712</v>
      </c>
      <c r="EA188">
        <v>18.4074461538462</v>
      </c>
      <c r="EB188">
        <v>17.9941</v>
      </c>
      <c r="EC188">
        <v>999.9</v>
      </c>
      <c r="ED188">
        <v>0</v>
      </c>
      <c r="EE188">
        <v>0</v>
      </c>
      <c r="EF188">
        <v>10022.6353846154</v>
      </c>
      <c r="EG188">
        <v>0</v>
      </c>
      <c r="EH188">
        <v>1278.62692307692</v>
      </c>
      <c r="EI188">
        <v>-49.0626769230769</v>
      </c>
      <c r="EJ188">
        <v>1072.91692307692</v>
      </c>
      <c r="EK188">
        <v>1120.16230769231</v>
      </c>
      <c r="EL188">
        <v>2.12124692307692</v>
      </c>
      <c r="EM188">
        <v>1109.27538461538</v>
      </c>
      <c r="EN188">
        <v>9.71827769230769</v>
      </c>
      <c r="EO188">
        <v>1.06372769230769</v>
      </c>
      <c r="EP188">
        <v>0.873143230769231</v>
      </c>
      <c r="EQ188">
        <v>7.81977307692308</v>
      </c>
      <c r="ER188">
        <v>4.95553230769231</v>
      </c>
      <c r="ES188">
        <v>1199.96307692308</v>
      </c>
      <c r="ET188">
        <v>0.966997384615385</v>
      </c>
      <c r="EU188">
        <v>0.0330026461538461</v>
      </c>
      <c r="EV188">
        <v>0</v>
      </c>
      <c r="EW188">
        <v>1289.83307692308</v>
      </c>
      <c r="EX188">
        <v>5.00059</v>
      </c>
      <c r="EY188">
        <v>15215.1307692308</v>
      </c>
      <c r="EZ188">
        <v>10358.3769230769</v>
      </c>
      <c r="FA188">
        <v>37.4900769230769</v>
      </c>
      <c r="FB188">
        <v>39.1103076923077</v>
      </c>
      <c r="FC188">
        <v>37.9132307692308</v>
      </c>
      <c r="FD188">
        <v>38.442</v>
      </c>
      <c r="FE188">
        <v>38.3362307692308</v>
      </c>
      <c r="FF188">
        <v>1155.52307692308</v>
      </c>
      <c r="FG188">
        <v>39.44</v>
      </c>
      <c r="FH188">
        <v>0</v>
      </c>
      <c r="FI188">
        <v>1055</v>
      </c>
      <c r="FJ188">
        <v>0</v>
      </c>
      <c r="FK188">
        <v>1290.00192307692</v>
      </c>
      <c r="FL188">
        <v>11.9552136709408</v>
      </c>
      <c r="FM188">
        <v>98.1572649830418</v>
      </c>
      <c r="FN188">
        <v>15217.0730769231</v>
      </c>
      <c r="FO188">
        <v>15</v>
      </c>
      <c r="FP188">
        <v>0</v>
      </c>
      <c r="FQ188" t="s">
        <v>439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-49.48711</v>
      </c>
      <c r="GD188">
        <v>8.89954285714281</v>
      </c>
      <c r="GE188">
        <v>1.02426782576629</v>
      </c>
      <c r="GF188">
        <v>0</v>
      </c>
      <c r="GG188">
        <v>1289.29941176471</v>
      </c>
      <c r="GH188">
        <v>12.0213903600883</v>
      </c>
      <c r="GI188">
        <v>1.19210377848787</v>
      </c>
      <c r="GJ188">
        <v>-1</v>
      </c>
      <c r="GK188">
        <v>2.1193125</v>
      </c>
      <c r="GL188">
        <v>0.0482603007518785</v>
      </c>
      <c r="GM188">
        <v>0.00480421884909502</v>
      </c>
      <c r="GN188">
        <v>1</v>
      </c>
      <c r="GO188">
        <v>1</v>
      </c>
      <c r="GP188">
        <v>2</v>
      </c>
      <c r="GQ188" t="s">
        <v>446</v>
      </c>
      <c r="GR188">
        <v>3.13094</v>
      </c>
      <c r="GS188">
        <v>2.68715</v>
      </c>
      <c r="GT188">
        <v>0.174005</v>
      </c>
      <c r="GU188">
        <v>0.179457</v>
      </c>
      <c r="GV188">
        <v>0.061827</v>
      </c>
      <c r="GW188">
        <v>0.0529262</v>
      </c>
      <c r="GX188">
        <v>31303.1</v>
      </c>
      <c r="GY188">
        <v>33415.6</v>
      </c>
      <c r="GZ188">
        <v>34262.6</v>
      </c>
      <c r="HA188">
        <v>36845.8</v>
      </c>
      <c r="HB188">
        <v>45351</v>
      </c>
      <c r="HC188">
        <v>50048.4</v>
      </c>
      <c r="HD188">
        <v>53336.3</v>
      </c>
      <c r="HE188">
        <v>58773.1</v>
      </c>
      <c r="HF188">
        <v>2.00865</v>
      </c>
      <c r="HG188">
        <v>1.83703</v>
      </c>
      <c r="HH188">
        <v>0.00838563</v>
      </c>
      <c r="HI188">
        <v>0</v>
      </c>
      <c r="HJ188">
        <v>17.8571</v>
      </c>
      <c r="HK188">
        <v>999.9</v>
      </c>
      <c r="HL188">
        <v>26.608</v>
      </c>
      <c r="HM188">
        <v>30.454</v>
      </c>
      <c r="HN188">
        <v>12.9519</v>
      </c>
      <c r="HO188">
        <v>54.0128</v>
      </c>
      <c r="HP188">
        <v>44.399</v>
      </c>
      <c r="HQ188">
        <v>1</v>
      </c>
      <c r="HR188">
        <v>-0.262744</v>
      </c>
      <c r="HS188">
        <v>4.4174</v>
      </c>
      <c r="HT188">
        <v>20.0824</v>
      </c>
      <c r="HU188">
        <v>5.20321</v>
      </c>
      <c r="HV188">
        <v>12.004</v>
      </c>
      <c r="HW188">
        <v>4.9757</v>
      </c>
      <c r="HX188">
        <v>3.293</v>
      </c>
      <c r="HY188">
        <v>9999</v>
      </c>
      <c r="HZ188">
        <v>999.9</v>
      </c>
      <c r="IA188">
        <v>9999</v>
      </c>
      <c r="IB188">
        <v>9999</v>
      </c>
      <c r="IC188">
        <v>1.86323</v>
      </c>
      <c r="ID188">
        <v>1.86808</v>
      </c>
      <c r="IE188">
        <v>1.86783</v>
      </c>
      <c r="IF188">
        <v>1.86905</v>
      </c>
      <c r="IG188">
        <v>1.86981</v>
      </c>
      <c r="IH188">
        <v>1.86585</v>
      </c>
      <c r="II188">
        <v>1.86691</v>
      </c>
      <c r="IJ188">
        <v>1.86841</v>
      </c>
      <c r="IK188">
        <v>5</v>
      </c>
      <c r="IL188">
        <v>0</v>
      </c>
      <c r="IM188">
        <v>0</v>
      </c>
      <c r="IN188">
        <v>0</v>
      </c>
      <c r="IO188" t="s">
        <v>441</v>
      </c>
      <c r="IP188" t="s">
        <v>442</v>
      </c>
      <c r="IQ188" t="s">
        <v>443</v>
      </c>
      <c r="IR188" t="s">
        <v>443</v>
      </c>
      <c r="IS188" t="s">
        <v>443</v>
      </c>
      <c r="IT188" t="s">
        <v>443</v>
      </c>
      <c r="IU188">
        <v>0</v>
      </c>
      <c r="IV188">
        <v>100</v>
      </c>
      <c r="IW188">
        <v>100</v>
      </c>
      <c r="IX188">
        <v>5.23</v>
      </c>
      <c r="IY188">
        <v>-0.1108</v>
      </c>
      <c r="IZ188">
        <v>1.12474291219083</v>
      </c>
      <c r="JA188">
        <v>0.00463155566490582</v>
      </c>
      <c r="JB188">
        <v>-1.1358998729424e-06</v>
      </c>
      <c r="JC188">
        <v>3.28704272115545e-10</v>
      </c>
      <c r="JD188">
        <v>-0.0704455108513773</v>
      </c>
      <c r="JE188">
        <v>-0.0251928478371425</v>
      </c>
      <c r="JF188">
        <v>0.00225751704194564</v>
      </c>
      <c r="JG188">
        <v>-3.61734043746866e-05</v>
      </c>
      <c r="JH188">
        <v>1</v>
      </c>
      <c r="JI188">
        <v>2182</v>
      </c>
      <c r="JJ188">
        <v>0</v>
      </c>
      <c r="JK188">
        <v>24</v>
      </c>
      <c r="JL188">
        <v>29349870</v>
      </c>
      <c r="JM188">
        <v>29349870</v>
      </c>
      <c r="JN188">
        <v>2.25464</v>
      </c>
      <c r="JO188">
        <v>2.6062</v>
      </c>
      <c r="JP188">
        <v>1.54785</v>
      </c>
      <c r="JQ188">
        <v>2.31323</v>
      </c>
      <c r="JR188">
        <v>1.64551</v>
      </c>
      <c r="JS188">
        <v>2.37915</v>
      </c>
      <c r="JT188">
        <v>33.6254</v>
      </c>
      <c r="JU188">
        <v>24.1838</v>
      </c>
      <c r="JV188">
        <v>18</v>
      </c>
      <c r="JW188">
        <v>501.159</v>
      </c>
      <c r="JX188">
        <v>394.504</v>
      </c>
      <c r="JY188">
        <v>11.5096</v>
      </c>
      <c r="JZ188">
        <v>23.991</v>
      </c>
      <c r="KA188">
        <v>29.9992</v>
      </c>
      <c r="KB188">
        <v>23.9809</v>
      </c>
      <c r="KC188">
        <v>23.9487</v>
      </c>
      <c r="KD188">
        <v>45.1553</v>
      </c>
      <c r="KE188">
        <v>7.60339</v>
      </c>
      <c r="KF188">
        <v>26.5359</v>
      </c>
      <c r="KG188">
        <v>11.5387</v>
      </c>
      <c r="KH188">
        <v>1150.78</v>
      </c>
      <c r="KI188">
        <v>9.7744</v>
      </c>
      <c r="KJ188">
        <v>97.0346</v>
      </c>
      <c r="KK188">
        <v>95.2968</v>
      </c>
    </row>
    <row r="189" spans="1:297">
      <c r="A189">
        <v>173</v>
      </c>
      <c r="B189">
        <v>1760992204.1</v>
      </c>
      <c r="C189">
        <v>3014</v>
      </c>
      <c r="D189" t="s">
        <v>799</v>
      </c>
      <c r="E189" t="s">
        <v>800</v>
      </c>
      <c r="F189">
        <v>5</v>
      </c>
      <c r="G189" t="s">
        <v>662</v>
      </c>
      <c r="H189" t="s">
        <v>436</v>
      </c>
      <c r="I189">
        <v>1760992195.94615</v>
      </c>
      <c r="J189">
        <f>(K189)/1000</f>
        <v>0</v>
      </c>
      <c r="K189">
        <f>IF(DP189, AN189, AH189)</f>
        <v>0</v>
      </c>
      <c r="L189">
        <f>IF(DP189, AI189, AG189)</f>
        <v>0</v>
      </c>
      <c r="M189">
        <f>DR189 - IF(AU189&gt;1, L189*DL189*100.0/(AW189), 0)</f>
        <v>0</v>
      </c>
      <c r="N189">
        <f>((T189-J189/2)*M189-L189)/(T189+J189/2)</f>
        <v>0</v>
      </c>
      <c r="O189">
        <f>N189*(DY189+DZ189)/1000.0</f>
        <v>0</v>
      </c>
      <c r="P189">
        <f>(DR189 - IF(AU189&gt;1, L189*DL189*100.0/(AW189), 0))*(DY189+DZ189)/1000.0</f>
        <v>0</v>
      </c>
      <c r="Q189">
        <f>2.0/((1/S189-1/R189)+SIGN(S189)*SQRT((1/S189-1/R189)*(1/S189-1/R189) + 4*DM189/((DM189+1)*(DM189+1))*(2*1/S189*1/R189-1/R189*1/R189)))</f>
        <v>0</v>
      </c>
      <c r="R189">
        <f>IF(LEFT(DN189,1)&lt;&gt;"0",IF(LEFT(DN189,1)="1",3.0,DO189),$D$5+$E$5*(EF189*DY189/($K$5*1000))+$F$5*(EF189*DY189/($K$5*1000))*MAX(MIN(DL189,$J$5),$I$5)*MAX(MIN(DL189,$J$5),$I$5)+$G$5*MAX(MIN(DL189,$J$5),$I$5)*(EF189*DY189/($K$5*1000))+$H$5*(EF189*DY189/($K$5*1000))*(EF189*DY189/($K$5*1000)))</f>
        <v>0</v>
      </c>
      <c r="S189">
        <f>J189*(1000-(1000*0.61365*exp(17.502*W189/(240.97+W189))/(DY189+DZ189)+DT189)/2)/(1000*0.61365*exp(17.502*W189/(240.97+W189))/(DY189+DZ189)-DT189)</f>
        <v>0</v>
      </c>
      <c r="T189">
        <f>1/((DM189+1)/(Q189/1.6)+1/(R189/1.37)) + DM189/((DM189+1)/(Q189/1.6) + DM189/(R189/1.37))</f>
        <v>0</v>
      </c>
      <c r="U189">
        <f>(DH189*DK189)</f>
        <v>0</v>
      </c>
      <c r="V189">
        <f>(EA189+(U189+2*0.95*5.67E-8*(((EA189+$B$7)+273)^4-(EA189+273)^4)-44100*J189)/(1.84*29.3*R189+8*0.95*5.67E-8*(EA189+273)^3))</f>
        <v>0</v>
      </c>
      <c r="W189">
        <f>($C$7*EB189+$D$7*EC189+$E$7*V189)</f>
        <v>0</v>
      </c>
      <c r="X189">
        <f>0.61365*exp(17.502*W189/(240.97+W189))</f>
        <v>0</v>
      </c>
      <c r="Y189">
        <f>(Z189/AA189*100)</f>
        <v>0</v>
      </c>
      <c r="Z189">
        <f>DT189*(DY189+DZ189)/1000</f>
        <v>0</v>
      </c>
      <c r="AA189">
        <f>0.61365*exp(17.502*EA189/(240.97+EA189))</f>
        <v>0</v>
      </c>
      <c r="AB189">
        <f>(X189-DT189*(DY189+DZ189)/1000)</f>
        <v>0</v>
      </c>
      <c r="AC189">
        <f>(-J189*44100)</f>
        <v>0</v>
      </c>
      <c r="AD189">
        <f>2*29.3*R189*0.92*(EA189-W189)</f>
        <v>0</v>
      </c>
      <c r="AE189">
        <f>2*0.95*5.67E-8*(((EA189+$B$7)+273)^4-(W189+273)^4)</f>
        <v>0</v>
      </c>
      <c r="AF189">
        <f>U189+AE189+AC189+AD189</f>
        <v>0</v>
      </c>
      <c r="AG189">
        <f>DX189*AU189*(DS189-DR189*(1000-AU189*DU189)/(1000-AU189*DT189))/(100*DL189)</f>
        <v>0</v>
      </c>
      <c r="AH189">
        <f>1000*DX189*AU189*(DT189-DU189)/(100*DL189*(1000-AU189*DT189))</f>
        <v>0</v>
      </c>
      <c r="AI189">
        <f>(AJ189 - AK189 - DY189*1E3/(8.314*(EA189+273.15)) * AM189/DX189 * AL189) * DX189/(100*DL189) * (1000 - DU189)/1000</f>
        <v>0</v>
      </c>
      <c r="AJ189">
        <v>1152.12348830318</v>
      </c>
      <c r="AK189">
        <v>1113.33666666667</v>
      </c>
      <c r="AL189">
        <v>3.36835536032746</v>
      </c>
      <c r="AM189">
        <v>65.2210784119795</v>
      </c>
      <c r="AN189">
        <f>(AP189 - AO189 + DY189*1E3/(8.314*(EA189+273.15)) * AR189/DX189 * AQ189) * DX189/(100*DL189) * 1000/(1000 - AP189)</f>
        <v>0</v>
      </c>
      <c r="AO189">
        <v>9.72239575655162</v>
      </c>
      <c r="AP189">
        <v>11.863556969697</v>
      </c>
      <c r="AQ189">
        <v>0.000141948311314178</v>
      </c>
      <c r="AR189">
        <v>115.574510355221</v>
      </c>
      <c r="AS189">
        <v>0</v>
      </c>
      <c r="AT189">
        <v>0</v>
      </c>
      <c r="AU189">
        <f>IF(AS189*$H$13&gt;=AW189,1.0,(AW189/(AW189-AS189*$H$13)))</f>
        <v>0</v>
      </c>
      <c r="AV189">
        <f>(AU189-1)*100</f>
        <v>0</v>
      </c>
      <c r="AW189">
        <f>MAX(0,($B$13+$C$13*EF189)/(1+$D$13*EF189)*DY189/(EA189+273)*$E$13)</f>
        <v>0</v>
      </c>
      <c r="AX189" t="s">
        <v>437</v>
      </c>
      <c r="AY189" t="s">
        <v>437</v>
      </c>
      <c r="AZ189">
        <v>0</v>
      </c>
      <c r="BA189">
        <v>0</v>
      </c>
      <c r="BB189">
        <f>1-AZ189/BA189</f>
        <v>0</v>
      </c>
      <c r="BC189">
        <v>0</v>
      </c>
      <c r="BD189" t="s">
        <v>437</v>
      </c>
      <c r="BE189" t="s">
        <v>437</v>
      </c>
      <c r="BF189">
        <v>0</v>
      </c>
      <c r="BG189">
        <v>0</v>
      </c>
      <c r="BH189">
        <f>1-BF189/BG189</f>
        <v>0</v>
      </c>
      <c r="BI189">
        <v>0.5</v>
      </c>
      <c r="BJ189">
        <f>DI189</f>
        <v>0</v>
      </c>
      <c r="BK189">
        <f>L189</f>
        <v>0</v>
      </c>
      <c r="BL189">
        <f>BH189*BI189*BJ189</f>
        <v>0</v>
      </c>
      <c r="BM189">
        <f>(BK189-BC189)/BJ189</f>
        <v>0</v>
      </c>
      <c r="BN189">
        <f>(BA189-BG189)/BG189</f>
        <v>0</v>
      </c>
      <c r="BO189">
        <f>AZ189/(BB189+AZ189/BG189)</f>
        <v>0</v>
      </c>
      <c r="BP189" t="s">
        <v>437</v>
      </c>
      <c r="BQ189">
        <v>0</v>
      </c>
      <c r="BR189">
        <f>IF(BQ189&lt;&gt;0, BQ189, BO189)</f>
        <v>0</v>
      </c>
      <c r="BS189">
        <f>1-BR189/BG189</f>
        <v>0</v>
      </c>
      <c r="BT189">
        <f>(BG189-BF189)/(BG189-BR189)</f>
        <v>0</v>
      </c>
      <c r="BU189">
        <f>(BA189-BG189)/(BA189-BR189)</f>
        <v>0</v>
      </c>
      <c r="BV189">
        <f>(BG189-BF189)/(BG189-AZ189)</f>
        <v>0</v>
      </c>
      <c r="BW189">
        <f>(BA189-BG189)/(BA189-AZ189)</f>
        <v>0</v>
      </c>
      <c r="BX189">
        <f>(BT189*BR189/BF189)</f>
        <v>0</v>
      </c>
      <c r="BY189">
        <f>(1-BX189)</f>
        <v>0</v>
      </c>
      <c r="BZ189">
        <v>282</v>
      </c>
      <c r="CA189">
        <v>290</v>
      </c>
      <c r="CB189">
        <v>1577.74</v>
      </c>
      <c r="CC189">
        <v>295</v>
      </c>
      <c r="CD189">
        <v>5140.93</v>
      </c>
      <c r="CE189">
        <v>1578.58</v>
      </c>
      <c r="CF189">
        <v>-0.84</v>
      </c>
      <c r="CG189">
        <v>300</v>
      </c>
      <c r="CH189">
        <v>23.8</v>
      </c>
      <c r="CI189">
        <v>1633.28263291266</v>
      </c>
      <c r="CJ189">
        <v>1.49577129053257</v>
      </c>
      <c r="CK189">
        <v>-28.1203876934379</v>
      </c>
      <c r="CL189">
        <v>0.666413418688897</v>
      </c>
      <c r="CM189">
        <v>0.984518017981194</v>
      </c>
      <c r="CN189">
        <v>-0.00424727541713014</v>
      </c>
      <c r="CO189">
        <v>290</v>
      </c>
      <c r="CP189">
        <v>1576.56</v>
      </c>
      <c r="CQ189">
        <v>775</v>
      </c>
      <c r="CR189">
        <v>5139.5</v>
      </c>
      <c r="CS189">
        <v>1578.57</v>
      </c>
      <c r="CT189">
        <v>-2.01</v>
      </c>
      <c r="DH189">
        <f>$B$11*EG189+$C$11*EH189+$F$11*ES189*(1-EV189)</f>
        <v>0</v>
      </c>
      <c r="DI189">
        <f>DH189*DJ189</f>
        <v>0</v>
      </c>
      <c r="DJ189">
        <f>($B$11*$D$9+$C$11*$D$9+$F$11*((FF189+EX189)/MAX(FF189+EX189+FG189, 0.1)*$I$9+FG189/MAX(FF189+EX189+FG189, 0.1)*$J$9))/($B$11+$C$11+$F$11)</f>
        <v>0</v>
      </c>
      <c r="DK189">
        <f>($B$11*$K$9+$C$11*$K$9+$F$11*((FF189+EX189)/MAX(FF189+EX189+FG189, 0.1)*$P$9+FG189/MAX(FF189+EX189+FG189, 0.1)*$Q$9))/($B$11+$C$11+$F$11)</f>
        <v>0</v>
      </c>
      <c r="DL189">
        <v>6</v>
      </c>
      <c r="DM189">
        <v>0.5</v>
      </c>
      <c r="DN189" t="s">
        <v>438</v>
      </c>
      <c r="DO189">
        <v>2</v>
      </c>
      <c r="DP189" t="b">
        <v>1</v>
      </c>
      <c r="DQ189">
        <v>1760992195.94615</v>
      </c>
      <c r="DR189">
        <v>1076.69846153846</v>
      </c>
      <c r="DS189">
        <v>1125.57384615385</v>
      </c>
      <c r="DT189">
        <v>11.8459769230769</v>
      </c>
      <c r="DU189">
        <v>9.71853307692308</v>
      </c>
      <c r="DV189">
        <v>1071.51230769231</v>
      </c>
      <c r="DW189">
        <v>11.9567384615385</v>
      </c>
      <c r="DX189">
        <v>500.098846153846</v>
      </c>
      <c r="DY189">
        <v>89.8446615384615</v>
      </c>
      <c r="DZ189">
        <v>0.00897407538461539</v>
      </c>
      <c r="EA189">
        <v>18.4042076923077</v>
      </c>
      <c r="EB189">
        <v>17.9929923076923</v>
      </c>
      <c r="EC189">
        <v>999.9</v>
      </c>
      <c r="ED189">
        <v>0</v>
      </c>
      <c r="EE189">
        <v>0</v>
      </c>
      <c r="EF189">
        <v>10022.2423076923</v>
      </c>
      <c r="EG189">
        <v>0</v>
      </c>
      <c r="EH189">
        <v>1278.61692307692</v>
      </c>
      <c r="EI189">
        <v>-48.8757</v>
      </c>
      <c r="EJ189">
        <v>1089.60692307692</v>
      </c>
      <c r="EK189">
        <v>1136.62</v>
      </c>
      <c r="EL189">
        <v>2.12745076923077</v>
      </c>
      <c r="EM189">
        <v>1125.57384615385</v>
      </c>
      <c r="EN189">
        <v>9.71853307692308</v>
      </c>
      <c r="EO189">
        <v>1.06429769230769</v>
      </c>
      <c r="EP189">
        <v>0.873158461538462</v>
      </c>
      <c r="EQ189">
        <v>7.82764538461539</v>
      </c>
      <c r="ER189">
        <v>4.95578384615385</v>
      </c>
      <c r="ES189">
        <v>1199.96230769231</v>
      </c>
      <c r="ET189">
        <v>0.966996692307692</v>
      </c>
      <c r="EU189">
        <v>0.0330033307692308</v>
      </c>
      <c r="EV189">
        <v>0</v>
      </c>
      <c r="EW189">
        <v>1290.72846153846</v>
      </c>
      <c r="EX189">
        <v>5.00059</v>
      </c>
      <c r="EY189">
        <v>15222.8076923077</v>
      </c>
      <c r="EZ189">
        <v>10358.3692307692</v>
      </c>
      <c r="FA189">
        <v>37.4373076923077</v>
      </c>
      <c r="FB189">
        <v>39.0526923076923</v>
      </c>
      <c r="FC189">
        <v>37.8603076923077</v>
      </c>
      <c r="FD189">
        <v>38.3603076923077</v>
      </c>
      <c r="FE189">
        <v>38.2785384615385</v>
      </c>
      <c r="FF189">
        <v>1155.52230769231</v>
      </c>
      <c r="FG189">
        <v>39.44</v>
      </c>
      <c r="FH189">
        <v>0</v>
      </c>
      <c r="FI189">
        <v>1059.80000019073</v>
      </c>
      <c r="FJ189">
        <v>0</v>
      </c>
      <c r="FK189">
        <v>1290.88115384615</v>
      </c>
      <c r="FL189">
        <v>10.3189743474392</v>
      </c>
      <c r="FM189">
        <v>85.5213675809305</v>
      </c>
      <c r="FN189">
        <v>15224.3192307692</v>
      </c>
      <c r="FO189">
        <v>15</v>
      </c>
      <c r="FP189">
        <v>0</v>
      </c>
      <c r="FQ189" t="s">
        <v>439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-49.0881285714286</v>
      </c>
      <c r="GD189">
        <v>4.54738441558442</v>
      </c>
      <c r="GE189">
        <v>0.792162180450478</v>
      </c>
      <c r="GF189">
        <v>0</v>
      </c>
      <c r="GG189">
        <v>1290.20411764706</v>
      </c>
      <c r="GH189">
        <v>11.4249045084571</v>
      </c>
      <c r="GI189">
        <v>1.13556701992764</v>
      </c>
      <c r="GJ189">
        <v>-1</v>
      </c>
      <c r="GK189">
        <v>2.1245719047619</v>
      </c>
      <c r="GL189">
        <v>0.071008831168833</v>
      </c>
      <c r="GM189">
        <v>0.00754150522997812</v>
      </c>
      <c r="GN189">
        <v>1</v>
      </c>
      <c r="GO189">
        <v>1</v>
      </c>
      <c r="GP189">
        <v>2</v>
      </c>
      <c r="GQ189" t="s">
        <v>446</v>
      </c>
      <c r="GR189">
        <v>3.13078</v>
      </c>
      <c r="GS189">
        <v>2.68648</v>
      </c>
      <c r="GT189">
        <v>0.175685</v>
      </c>
      <c r="GU189">
        <v>0.180976</v>
      </c>
      <c r="GV189">
        <v>0.0618958</v>
      </c>
      <c r="GW189">
        <v>0.0529583</v>
      </c>
      <c r="GX189">
        <v>31239.8</v>
      </c>
      <c r="GY189">
        <v>33353.8</v>
      </c>
      <c r="GZ189">
        <v>34262.9</v>
      </c>
      <c r="HA189">
        <v>36845.8</v>
      </c>
      <c r="HB189">
        <v>45348.1</v>
      </c>
      <c r="HC189">
        <v>50047</v>
      </c>
      <c r="HD189">
        <v>53336.7</v>
      </c>
      <c r="HE189">
        <v>58773.3</v>
      </c>
      <c r="HF189">
        <v>2.00798</v>
      </c>
      <c r="HG189">
        <v>1.83725</v>
      </c>
      <c r="HH189">
        <v>0.00855699</v>
      </c>
      <c r="HI189">
        <v>0</v>
      </c>
      <c r="HJ189">
        <v>17.8555</v>
      </c>
      <c r="HK189">
        <v>999.9</v>
      </c>
      <c r="HL189">
        <v>26.584</v>
      </c>
      <c r="HM189">
        <v>30.454</v>
      </c>
      <c r="HN189">
        <v>12.9372</v>
      </c>
      <c r="HO189">
        <v>54.0528</v>
      </c>
      <c r="HP189">
        <v>44.367</v>
      </c>
      <c r="HQ189">
        <v>1</v>
      </c>
      <c r="HR189">
        <v>-0.262238</v>
      </c>
      <c r="HS189">
        <v>4.54209</v>
      </c>
      <c r="HT189">
        <v>20.0787</v>
      </c>
      <c r="HU189">
        <v>5.20157</v>
      </c>
      <c r="HV189">
        <v>12.004</v>
      </c>
      <c r="HW189">
        <v>4.9755</v>
      </c>
      <c r="HX189">
        <v>3.29295</v>
      </c>
      <c r="HY189">
        <v>9999</v>
      </c>
      <c r="HZ189">
        <v>999.9</v>
      </c>
      <c r="IA189">
        <v>9999</v>
      </c>
      <c r="IB189">
        <v>9999</v>
      </c>
      <c r="IC189">
        <v>1.8632</v>
      </c>
      <c r="ID189">
        <v>1.86806</v>
      </c>
      <c r="IE189">
        <v>1.86783</v>
      </c>
      <c r="IF189">
        <v>1.86905</v>
      </c>
      <c r="IG189">
        <v>1.86981</v>
      </c>
      <c r="IH189">
        <v>1.86586</v>
      </c>
      <c r="II189">
        <v>1.86691</v>
      </c>
      <c r="IJ189">
        <v>1.86837</v>
      </c>
      <c r="IK189">
        <v>5</v>
      </c>
      <c r="IL189">
        <v>0</v>
      </c>
      <c r="IM189">
        <v>0</v>
      </c>
      <c r="IN189">
        <v>0</v>
      </c>
      <c r="IO189" t="s">
        <v>441</v>
      </c>
      <c r="IP189" t="s">
        <v>442</v>
      </c>
      <c r="IQ189" t="s">
        <v>443</v>
      </c>
      <c r="IR189" t="s">
        <v>443</v>
      </c>
      <c r="IS189" t="s">
        <v>443</v>
      </c>
      <c r="IT189" t="s">
        <v>443</v>
      </c>
      <c r="IU189">
        <v>0</v>
      </c>
      <c r="IV189">
        <v>100</v>
      </c>
      <c r="IW189">
        <v>100</v>
      </c>
      <c r="IX189">
        <v>5.27</v>
      </c>
      <c r="IY189">
        <v>-0.1105</v>
      </c>
      <c r="IZ189">
        <v>1.12474291219083</v>
      </c>
      <c r="JA189">
        <v>0.00463155566490582</v>
      </c>
      <c r="JB189">
        <v>-1.1358998729424e-06</v>
      </c>
      <c r="JC189">
        <v>3.28704272115545e-10</v>
      </c>
      <c r="JD189">
        <v>-0.0704455108513773</v>
      </c>
      <c r="JE189">
        <v>-0.0251928478371425</v>
      </c>
      <c r="JF189">
        <v>0.00225751704194564</v>
      </c>
      <c r="JG189">
        <v>-3.61734043746866e-05</v>
      </c>
      <c r="JH189">
        <v>1</v>
      </c>
      <c r="JI189">
        <v>2182</v>
      </c>
      <c r="JJ189">
        <v>0</v>
      </c>
      <c r="JK189">
        <v>24</v>
      </c>
      <c r="JL189">
        <v>29349870.1</v>
      </c>
      <c r="JM189">
        <v>29349870.1</v>
      </c>
      <c r="JN189">
        <v>2.27661</v>
      </c>
      <c r="JO189">
        <v>2.60742</v>
      </c>
      <c r="JP189">
        <v>1.54785</v>
      </c>
      <c r="JQ189">
        <v>2.31445</v>
      </c>
      <c r="JR189">
        <v>1.64551</v>
      </c>
      <c r="JS189">
        <v>2.40234</v>
      </c>
      <c r="JT189">
        <v>33.6254</v>
      </c>
      <c r="JU189">
        <v>24.1838</v>
      </c>
      <c r="JV189">
        <v>18</v>
      </c>
      <c r="JW189">
        <v>500.742</v>
      </c>
      <c r="JX189">
        <v>394.63</v>
      </c>
      <c r="JY189">
        <v>11.548</v>
      </c>
      <c r="JZ189">
        <v>23.9913</v>
      </c>
      <c r="KA189">
        <v>29.9999</v>
      </c>
      <c r="KB189">
        <v>23.9825</v>
      </c>
      <c r="KC189">
        <v>23.9497</v>
      </c>
      <c r="KD189">
        <v>45.6755</v>
      </c>
      <c r="KE189">
        <v>7.60339</v>
      </c>
      <c r="KF189">
        <v>26.5359</v>
      </c>
      <c r="KG189">
        <v>11.5418</v>
      </c>
      <c r="KH189">
        <v>1171.22</v>
      </c>
      <c r="KI189">
        <v>9.7744</v>
      </c>
      <c r="KJ189">
        <v>97.0353</v>
      </c>
      <c r="KK189">
        <v>95.2969</v>
      </c>
    </row>
    <row r="190" spans="1:297">
      <c r="A190">
        <v>174</v>
      </c>
      <c r="B190">
        <v>1760992209.1</v>
      </c>
      <c r="C190">
        <v>3019</v>
      </c>
      <c r="D190" t="s">
        <v>801</v>
      </c>
      <c r="E190" t="s">
        <v>802</v>
      </c>
      <c r="F190">
        <v>5</v>
      </c>
      <c r="G190" t="s">
        <v>662</v>
      </c>
      <c r="H190" t="s">
        <v>436</v>
      </c>
      <c r="I190">
        <v>1760992200.94615</v>
      </c>
      <c r="J190">
        <f>(K190)/1000</f>
        <v>0</v>
      </c>
      <c r="K190">
        <f>IF(DP190, AN190, AH190)</f>
        <v>0</v>
      </c>
      <c r="L190">
        <f>IF(DP190, AI190, AG190)</f>
        <v>0</v>
      </c>
      <c r="M190">
        <f>DR190 - IF(AU190&gt;1, L190*DL190*100.0/(AW190), 0)</f>
        <v>0</v>
      </c>
      <c r="N190">
        <f>((T190-J190/2)*M190-L190)/(T190+J190/2)</f>
        <v>0</v>
      </c>
      <c r="O190">
        <f>N190*(DY190+DZ190)/1000.0</f>
        <v>0</v>
      </c>
      <c r="P190">
        <f>(DR190 - IF(AU190&gt;1, L190*DL190*100.0/(AW190), 0))*(DY190+DZ190)/1000.0</f>
        <v>0</v>
      </c>
      <c r="Q190">
        <f>2.0/((1/S190-1/R190)+SIGN(S190)*SQRT((1/S190-1/R190)*(1/S190-1/R190) + 4*DM190/((DM190+1)*(DM190+1))*(2*1/S190*1/R190-1/R190*1/R190)))</f>
        <v>0</v>
      </c>
      <c r="R190">
        <f>IF(LEFT(DN190,1)&lt;&gt;"0",IF(LEFT(DN190,1)="1",3.0,DO190),$D$5+$E$5*(EF190*DY190/($K$5*1000))+$F$5*(EF190*DY190/($K$5*1000))*MAX(MIN(DL190,$J$5),$I$5)*MAX(MIN(DL190,$J$5),$I$5)+$G$5*MAX(MIN(DL190,$J$5),$I$5)*(EF190*DY190/($K$5*1000))+$H$5*(EF190*DY190/($K$5*1000))*(EF190*DY190/($K$5*1000)))</f>
        <v>0</v>
      </c>
      <c r="S190">
        <f>J190*(1000-(1000*0.61365*exp(17.502*W190/(240.97+W190))/(DY190+DZ190)+DT190)/2)/(1000*0.61365*exp(17.502*W190/(240.97+W190))/(DY190+DZ190)-DT190)</f>
        <v>0</v>
      </c>
      <c r="T190">
        <f>1/((DM190+1)/(Q190/1.6)+1/(R190/1.37)) + DM190/((DM190+1)/(Q190/1.6) + DM190/(R190/1.37))</f>
        <v>0</v>
      </c>
      <c r="U190">
        <f>(DH190*DK190)</f>
        <v>0</v>
      </c>
      <c r="V190">
        <f>(EA190+(U190+2*0.95*5.67E-8*(((EA190+$B$7)+273)^4-(EA190+273)^4)-44100*J190)/(1.84*29.3*R190+8*0.95*5.67E-8*(EA190+273)^3))</f>
        <v>0</v>
      </c>
      <c r="W190">
        <f>($C$7*EB190+$D$7*EC190+$E$7*V190)</f>
        <v>0</v>
      </c>
      <c r="X190">
        <f>0.61365*exp(17.502*W190/(240.97+W190))</f>
        <v>0</v>
      </c>
      <c r="Y190">
        <f>(Z190/AA190*100)</f>
        <v>0</v>
      </c>
      <c r="Z190">
        <f>DT190*(DY190+DZ190)/1000</f>
        <v>0</v>
      </c>
      <c r="AA190">
        <f>0.61365*exp(17.502*EA190/(240.97+EA190))</f>
        <v>0</v>
      </c>
      <c r="AB190">
        <f>(X190-DT190*(DY190+DZ190)/1000)</f>
        <v>0</v>
      </c>
      <c r="AC190">
        <f>(-J190*44100)</f>
        <v>0</v>
      </c>
      <c r="AD190">
        <f>2*29.3*R190*0.92*(EA190-W190)</f>
        <v>0</v>
      </c>
      <c r="AE190">
        <f>2*0.95*5.67E-8*(((EA190+$B$7)+273)^4-(W190+273)^4)</f>
        <v>0</v>
      </c>
      <c r="AF190">
        <f>U190+AE190+AC190+AD190</f>
        <v>0</v>
      </c>
      <c r="AG190">
        <f>DX190*AU190*(DS190-DR190*(1000-AU190*DU190)/(1000-AU190*DT190))/(100*DL190)</f>
        <v>0</v>
      </c>
      <c r="AH190">
        <f>1000*DX190*AU190*(DT190-DU190)/(100*DL190*(1000-AU190*DT190))</f>
        <v>0</v>
      </c>
      <c r="AI190">
        <f>(AJ190 - AK190 - DY190*1E3/(8.314*(EA190+273.15)) * AM190/DX190 * AL190) * DX190/(100*DL190) * (1000 - DU190)/1000</f>
        <v>0</v>
      </c>
      <c r="AJ190">
        <v>1166.97959665582</v>
      </c>
      <c r="AK190">
        <v>1129.01454545455</v>
      </c>
      <c r="AL190">
        <v>3.12567204660383</v>
      </c>
      <c r="AM190">
        <v>65.2210784119795</v>
      </c>
      <c r="AN190">
        <f>(AP190 - AO190 + DY190*1E3/(8.314*(EA190+273.15)) * AR190/DX190 * AQ190) * DX190/(100*DL190) * 1000/(1000 - AP190)</f>
        <v>0</v>
      </c>
      <c r="AO190">
        <v>9.72223276979677</v>
      </c>
      <c r="AP190">
        <v>11.8716618181818</v>
      </c>
      <c r="AQ190">
        <v>3.45761151158432e-05</v>
      </c>
      <c r="AR190">
        <v>115.574510355221</v>
      </c>
      <c r="AS190">
        <v>0</v>
      </c>
      <c r="AT190">
        <v>0</v>
      </c>
      <c r="AU190">
        <f>IF(AS190*$H$13&gt;=AW190,1.0,(AW190/(AW190-AS190*$H$13)))</f>
        <v>0</v>
      </c>
      <c r="AV190">
        <f>(AU190-1)*100</f>
        <v>0</v>
      </c>
      <c r="AW190">
        <f>MAX(0,($B$13+$C$13*EF190)/(1+$D$13*EF190)*DY190/(EA190+273)*$E$13)</f>
        <v>0</v>
      </c>
      <c r="AX190" t="s">
        <v>437</v>
      </c>
      <c r="AY190" t="s">
        <v>437</v>
      </c>
      <c r="AZ190">
        <v>0</v>
      </c>
      <c r="BA190">
        <v>0</v>
      </c>
      <c r="BB190">
        <f>1-AZ190/BA190</f>
        <v>0</v>
      </c>
      <c r="BC190">
        <v>0</v>
      </c>
      <c r="BD190" t="s">
        <v>437</v>
      </c>
      <c r="BE190" t="s">
        <v>437</v>
      </c>
      <c r="BF190">
        <v>0</v>
      </c>
      <c r="BG190">
        <v>0</v>
      </c>
      <c r="BH190">
        <f>1-BF190/BG190</f>
        <v>0</v>
      </c>
      <c r="BI190">
        <v>0.5</v>
      </c>
      <c r="BJ190">
        <f>DI190</f>
        <v>0</v>
      </c>
      <c r="BK190">
        <f>L190</f>
        <v>0</v>
      </c>
      <c r="BL190">
        <f>BH190*BI190*BJ190</f>
        <v>0</v>
      </c>
      <c r="BM190">
        <f>(BK190-BC190)/BJ190</f>
        <v>0</v>
      </c>
      <c r="BN190">
        <f>(BA190-BG190)/BG190</f>
        <v>0</v>
      </c>
      <c r="BO190">
        <f>AZ190/(BB190+AZ190/BG190)</f>
        <v>0</v>
      </c>
      <c r="BP190" t="s">
        <v>437</v>
      </c>
      <c r="BQ190">
        <v>0</v>
      </c>
      <c r="BR190">
        <f>IF(BQ190&lt;&gt;0, BQ190, BO190)</f>
        <v>0</v>
      </c>
      <c r="BS190">
        <f>1-BR190/BG190</f>
        <v>0</v>
      </c>
      <c r="BT190">
        <f>(BG190-BF190)/(BG190-BR190)</f>
        <v>0</v>
      </c>
      <c r="BU190">
        <f>(BA190-BG190)/(BA190-BR190)</f>
        <v>0</v>
      </c>
      <c r="BV190">
        <f>(BG190-BF190)/(BG190-AZ190)</f>
        <v>0</v>
      </c>
      <c r="BW190">
        <f>(BA190-BG190)/(BA190-AZ190)</f>
        <v>0</v>
      </c>
      <c r="BX190">
        <f>(BT190*BR190/BF190)</f>
        <v>0</v>
      </c>
      <c r="BY190">
        <f>(1-BX190)</f>
        <v>0</v>
      </c>
      <c r="BZ190">
        <v>282</v>
      </c>
      <c r="CA190">
        <v>290</v>
      </c>
      <c r="CB190">
        <v>1577.74</v>
      </c>
      <c r="CC190">
        <v>295</v>
      </c>
      <c r="CD190">
        <v>5140.93</v>
      </c>
      <c r="CE190">
        <v>1578.58</v>
      </c>
      <c r="CF190">
        <v>-0.84</v>
      </c>
      <c r="CG190">
        <v>300</v>
      </c>
      <c r="CH190">
        <v>23.8</v>
      </c>
      <c r="CI190">
        <v>1633.28263291266</v>
      </c>
      <c r="CJ190">
        <v>1.49577129053257</v>
      </c>
      <c r="CK190">
        <v>-28.1203876934379</v>
      </c>
      <c r="CL190">
        <v>0.666413418688897</v>
      </c>
      <c r="CM190">
        <v>0.984518017981194</v>
      </c>
      <c r="CN190">
        <v>-0.00424727541713014</v>
      </c>
      <c r="CO190">
        <v>290</v>
      </c>
      <c r="CP190">
        <v>1576.56</v>
      </c>
      <c r="CQ190">
        <v>775</v>
      </c>
      <c r="CR190">
        <v>5139.5</v>
      </c>
      <c r="CS190">
        <v>1578.57</v>
      </c>
      <c r="CT190">
        <v>-2.01</v>
      </c>
      <c r="DH190">
        <f>$B$11*EG190+$C$11*EH190+$F$11*ES190*(1-EV190)</f>
        <v>0</v>
      </c>
      <c r="DI190">
        <f>DH190*DJ190</f>
        <v>0</v>
      </c>
      <c r="DJ190">
        <f>($B$11*$D$9+$C$11*$D$9+$F$11*((FF190+EX190)/MAX(FF190+EX190+FG190, 0.1)*$I$9+FG190/MAX(FF190+EX190+FG190, 0.1)*$J$9))/($B$11+$C$11+$F$11)</f>
        <v>0</v>
      </c>
      <c r="DK190">
        <f>($B$11*$K$9+$C$11*$K$9+$F$11*((FF190+EX190)/MAX(FF190+EX190+FG190, 0.1)*$P$9+FG190/MAX(FF190+EX190+FG190, 0.1)*$Q$9))/($B$11+$C$11+$F$11)</f>
        <v>0</v>
      </c>
      <c r="DL190">
        <v>6</v>
      </c>
      <c r="DM190">
        <v>0.5</v>
      </c>
      <c r="DN190" t="s">
        <v>438</v>
      </c>
      <c r="DO190">
        <v>2</v>
      </c>
      <c r="DP190" t="b">
        <v>1</v>
      </c>
      <c r="DQ190">
        <v>1760992200.94615</v>
      </c>
      <c r="DR190">
        <v>1092.91846153846</v>
      </c>
      <c r="DS190">
        <v>1141.00769230769</v>
      </c>
      <c r="DT190">
        <v>11.8555307692308</v>
      </c>
      <c r="DU190">
        <v>9.71980692307692</v>
      </c>
      <c r="DV190">
        <v>1087.67923076923</v>
      </c>
      <c r="DW190">
        <v>11.9661692307692</v>
      </c>
      <c r="DX190">
        <v>500.082</v>
      </c>
      <c r="DY190">
        <v>89.8448076923077</v>
      </c>
      <c r="DZ190">
        <v>0.00878870307692308</v>
      </c>
      <c r="EA190">
        <v>18.4037923076923</v>
      </c>
      <c r="EB190">
        <v>17.9920615384615</v>
      </c>
      <c r="EC190">
        <v>999.9</v>
      </c>
      <c r="ED190">
        <v>0</v>
      </c>
      <c r="EE190">
        <v>0</v>
      </c>
      <c r="EF190">
        <v>10020.3661538462</v>
      </c>
      <c r="EG190">
        <v>0</v>
      </c>
      <c r="EH190">
        <v>1278.61461538462</v>
      </c>
      <c r="EI190">
        <v>-48.0884769230769</v>
      </c>
      <c r="EJ190">
        <v>1106.03153846154</v>
      </c>
      <c r="EK190">
        <v>1152.20615384615</v>
      </c>
      <c r="EL190">
        <v>2.13572461538462</v>
      </c>
      <c r="EM190">
        <v>1141.00769230769</v>
      </c>
      <c r="EN190">
        <v>9.71980692307692</v>
      </c>
      <c r="EO190">
        <v>1.06515769230769</v>
      </c>
      <c r="EP190">
        <v>0.873274307692308</v>
      </c>
      <c r="EQ190">
        <v>7.83949076923077</v>
      </c>
      <c r="ER190">
        <v>4.95768615384615</v>
      </c>
      <c r="ES190">
        <v>1200.00692307692</v>
      </c>
      <c r="ET190">
        <v>0.966997384615385</v>
      </c>
      <c r="EU190">
        <v>0.0330026769230769</v>
      </c>
      <c r="EV190">
        <v>0</v>
      </c>
      <c r="EW190">
        <v>1291.49846153846</v>
      </c>
      <c r="EX190">
        <v>5.00059</v>
      </c>
      <c r="EY190">
        <v>15230.5153846154</v>
      </c>
      <c r="EZ190">
        <v>10358.7615384615</v>
      </c>
      <c r="FA190">
        <v>37.3794615384615</v>
      </c>
      <c r="FB190">
        <v>38.9948461538462</v>
      </c>
      <c r="FC190">
        <v>37.8075384615385</v>
      </c>
      <c r="FD190">
        <v>38.2833846153846</v>
      </c>
      <c r="FE190">
        <v>38.2352307692308</v>
      </c>
      <c r="FF190">
        <v>1155.56692307692</v>
      </c>
      <c r="FG190">
        <v>39.44</v>
      </c>
      <c r="FH190">
        <v>0</v>
      </c>
      <c r="FI190">
        <v>1064.60000014305</v>
      </c>
      <c r="FJ190">
        <v>0</v>
      </c>
      <c r="FK190">
        <v>1291.65538461538</v>
      </c>
      <c r="FL190">
        <v>9.04957265010324</v>
      </c>
      <c r="FM190">
        <v>72.6495727524412</v>
      </c>
      <c r="FN190">
        <v>15231.0307692308</v>
      </c>
      <c r="FO190">
        <v>15</v>
      </c>
      <c r="FP190">
        <v>0</v>
      </c>
      <c r="FQ190" t="s">
        <v>439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-48.534095</v>
      </c>
      <c r="GD190">
        <v>7.76635939849626</v>
      </c>
      <c r="GE190">
        <v>0.971863055926605</v>
      </c>
      <c r="GF190">
        <v>0</v>
      </c>
      <c r="GG190">
        <v>1291.14294117647</v>
      </c>
      <c r="GH190">
        <v>9.52055003750572</v>
      </c>
      <c r="GI190">
        <v>0.954606569442181</v>
      </c>
      <c r="GJ190">
        <v>-1</v>
      </c>
      <c r="GK190">
        <v>2.1320605</v>
      </c>
      <c r="GL190">
        <v>0.103980902255634</v>
      </c>
      <c r="GM190">
        <v>0.0101343739199815</v>
      </c>
      <c r="GN190">
        <v>0</v>
      </c>
      <c r="GO190">
        <v>0</v>
      </c>
      <c r="GP190">
        <v>2</v>
      </c>
      <c r="GQ190" t="s">
        <v>519</v>
      </c>
      <c r="GR190">
        <v>3.13071</v>
      </c>
      <c r="GS190">
        <v>2.68695</v>
      </c>
      <c r="GT190">
        <v>0.177246</v>
      </c>
      <c r="GU190">
        <v>0.18244</v>
      </c>
      <c r="GV190">
        <v>0.061927</v>
      </c>
      <c r="GW190">
        <v>0.0529519</v>
      </c>
      <c r="GX190">
        <v>31180.5</v>
      </c>
      <c r="GY190">
        <v>33294.3</v>
      </c>
      <c r="GZ190">
        <v>34262.6</v>
      </c>
      <c r="HA190">
        <v>36845.7</v>
      </c>
      <c r="HB190">
        <v>45346.2</v>
      </c>
      <c r="HC190">
        <v>50047.3</v>
      </c>
      <c r="HD190">
        <v>53336.1</v>
      </c>
      <c r="HE190">
        <v>58773</v>
      </c>
      <c r="HF190">
        <v>2.00793</v>
      </c>
      <c r="HG190">
        <v>1.83773</v>
      </c>
      <c r="HH190">
        <v>0.0083968</v>
      </c>
      <c r="HI190">
        <v>0</v>
      </c>
      <c r="HJ190">
        <v>17.8543</v>
      </c>
      <c r="HK190">
        <v>999.9</v>
      </c>
      <c r="HL190">
        <v>26.584</v>
      </c>
      <c r="HM190">
        <v>30.454</v>
      </c>
      <c r="HN190">
        <v>12.9389</v>
      </c>
      <c r="HO190">
        <v>54.0928</v>
      </c>
      <c r="HP190">
        <v>44.403</v>
      </c>
      <c r="HQ190">
        <v>1</v>
      </c>
      <c r="HR190">
        <v>-0.261794</v>
      </c>
      <c r="HS190">
        <v>4.63258</v>
      </c>
      <c r="HT190">
        <v>20.076</v>
      </c>
      <c r="HU190">
        <v>5.20246</v>
      </c>
      <c r="HV190">
        <v>12.004</v>
      </c>
      <c r="HW190">
        <v>4.9756</v>
      </c>
      <c r="HX190">
        <v>3.29295</v>
      </c>
      <c r="HY190">
        <v>9999</v>
      </c>
      <c r="HZ190">
        <v>999.9</v>
      </c>
      <c r="IA190">
        <v>9999</v>
      </c>
      <c r="IB190">
        <v>9999</v>
      </c>
      <c r="IC190">
        <v>1.86321</v>
      </c>
      <c r="ID190">
        <v>1.86808</v>
      </c>
      <c r="IE190">
        <v>1.86783</v>
      </c>
      <c r="IF190">
        <v>1.86904</v>
      </c>
      <c r="IG190">
        <v>1.86981</v>
      </c>
      <c r="IH190">
        <v>1.86587</v>
      </c>
      <c r="II190">
        <v>1.86691</v>
      </c>
      <c r="IJ190">
        <v>1.86838</v>
      </c>
      <c r="IK190">
        <v>5</v>
      </c>
      <c r="IL190">
        <v>0</v>
      </c>
      <c r="IM190">
        <v>0</v>
      </c>
      <c r="IN190">
        <v>0</v>
      </c>
      <c r="IO190" t="s">
        <v>441</v>
      </c>
      <c r="IP190" t="s">
        <v>442</v>
      </c>
      <c r="IQ190" t="s">
        <v>443</v>
      </c>
      <c r="IR190" t="s">
        <v>443</v>
      </c>
      <c r="IS190" t="s">
        <v>443</v>
      </c>
      <c r="IT190" t="s">
        <v>443</v>
      </c>
      <c r="IU190">
        <v>0</v>
      </c>
      <c r="IV190">
        <v>100</v>
      </c>
      <c r="IW190">
        <v>100</v>
      </c>
      <c r="IX190">
        <v>5.32</v>
      </c>
      <c r="IY190">
        <v>-0.1104</v>
      </c>
      <c r="IZ190">
        <v>1.12474291219083</v>
      </c>
      <c r="JA190">
        <v>0.00463155566490582</v>
      </c>
      <c r="JB190">
        <v>-1.1358998729424e-06</v>
      </c>
      <c r="JC190">
        <v>3.28704272115545e-10</v>
      </c>
      <c r="JD190">
        <v>-0.0704455108513773</v>
      </c>
      <c r="JE190">
        <v>-0.0251928478371425</v>
      </c>
      <c r="JF190">
        <v>0.00225751704194564</v>
      </c>
      <c r="JG190">
        <v>-3.61734043746866e-05</v>
      </c>
      <c r="JH190">
        <v>1</v>
      </c>
      <c r="JI190">
        <v>2182</v>
      </c>
      <c r="JJ190">
        <v>0</v>
      </c>
      <c r="JK190">
        <v>24</v>
      </c>
      <c r="JL190">
        <v>29349870.2</v>
      </c>
      <c r="JM190">
        <v>29349870.2</v>
      </c>
      <c r="JN190">
        <v>2.30469</v>
      </c>
      <c r="JO190">
        <v>2.60498</v>
      </c>
      <c r="JP190">
        <v>1.54785</v>
      </c>
      <c r="JQ190">
        <v>2.31323</v>
      </c>
      <c r="JR190">
        <v>1.64551</v>
      </c>
      <c r="JS190">
        <v>2.38159</v>
      </c>
      <c r="JT190">
        <v>33.6254</v>
      </c>
      <c r="JU190">
        <v>24.1838</v>
      </c>
      <c r="JV190">
        <v>18</v>
      </c>
      <c r="JW190">
        <v>500.713</v>
      </c>
      <c r="JX190">
        <v>394.887</v>
      </c>
      <c r="JY190">
        <v>11.5578</v>
      </c>
      <c r="JZ190">
        <v>23.9915</v>
      </c>
      <c r="KA190">
        <v>30.0004</v>
      </c>
      <c r="KB190">
        <v>23.9828</v>
      </c>
      <c r="KC190">
        <v>23.9507</v>
      </c>
      <c r="KD190">
        <v>46.1838</v>
      </c>
      <c r="KE190">
        <v>7.60339</v>
      </c>
      <c r="KF190">
        <v>26.5359</v>
      </c>
      <c r="KG190">
        <v>11.5446</v>
      </c>
      <c r="KH190">
        <v>1184.89</v>
      </c>
      <c r="KI190">
        <v>9.7744</v>
      </c>
      <c r="KJ190">
        <v>97.0343</v>
      </c>
      <c r="KK190">
        <v>95.2966</v>
      </c>
    </row>
    <row r="191" spans="1:297">
      <c r="A191">
        <v>175</v>
      </c>
      <c r="B191">
        <v>1760992214.1</v>
      </c>
      <c r="C191">
        <v>3024</v>
      </c>
      <c r="D191" t="s">
        <v>803</v>
      </c>
      <c r="E191" t="s">
        <v>804</v>
      </c>
      <c r="F191">
        <v>5</v>
      </c>
      <c r="G191" t="s">
        <v>662</v>
      </c>
      <c r="H191" t="s">
        <v>436</v>
      </c>
      <c r="I191">
        <v>1760992205.94615</v>
      </c>
      <c r="J191">
        <f>(K191)/1000</f>
        <v>0</v>
      </c>
      <c r="K191">
        <f>IF(DP191, AN191, AH191)</f>
        <v>0</v>
      </c>
      <c r="L191">
        <f>IF(DP191, AI191, AG191)</f>
        <v>0</v>
      </c>
      <c r="M191">
        <f>DR191 - IF(AU191&gt;1, L191*DL191*100.0/(AW191), 0)</f>
        <v>0</v>
      </c>
      <c r="N191">
        <f>((T191-J191/2)*M191-L191)/(T191+J191/2)</f>
        <v>0</v>
      </c>
      <c r="O191">
        <f>N191*(DY191+DZ191)/1000.0</f>
        <v>0</v>
      </c>
      <c r="P191">
        <f>(DR191 - IF(AU191&gt;1, L191*DL191*100.0/(AW191), 0))*(DY191+DZ191)/1000.0</f>
        <v>0</v>
      </c>
      <c r="Q191">
        <f>2.0/((1/S191-1/R191)+SIGN(S191)*SQRT((1/S191-1/R191)*(1/S191-1/R191) + 4*DM191/((DM191+1)*(DM191+1))*(2*1/S191*1/R191-1/R191*1/R191)))</f>
        <v>0</v>
      </c>
      <c r="R191">
        <f>IF(LEFT(DN191,1)&lt;&gt;"0",IF(LEFT(DN191,1)="1",3.0,DO191),$D$5+$E$5*(EF191*DY191/($K$5*1000))+$F$5*(EF191*DY191/($K$5*1000))*MAX(MIN(DL191,$J$5),$I$5)*MAX(MIN(DL191,$J$5),$I$5)+$G$5*MAX(MIN(DL191,$J$5),$I$5)*(EF191*DY191/($K$5*1000))+$H$5*(EF191*DY191/($K$5*1000))*(EF191*DY191/($K$5*1000)))</f>
        <v>0</v>
      </c>
      <c r="S191">
        <f>J191*(1000-(1000*0.61365*exp(17.502*W191/(240.97+W191))/(DY191+DZ191)+DT191)/2)/(1000*0.61365*exp(17.502*W191/(240.97+W191))/(DY191+DZ191)-DT191)</f>
        <v>0</v>
      </c>
      <c r="T191">
        <f>1/((DM191+1)/(Q191/1.6)+1/(R191/1.37)) + DM191/((DM191+1)/(Q191/1.6) + DM191/(R191/1.37))</f>
        <v>0</v>
      </c>
      <c r="U191">
        <f>(DH191*DK191)</f>
        <v>0</v>
      </c>
      <c r="V191">
        <f>(EA191+(U191+2*0.95*5.67E-8*(((EA191+$B$7)+273)^4-(EA191+273)^4)-44100*J191)/(1.84*29.3*R191+8*0.95*5.67E-8*(EA191+273)^3))</f>
        <v>0</v>
      </c>
      <c r="W191">
        <f>($C$7*EB191+$D$7*EC191+$E$7*V191)</f>
        <v>0</v>
      </c>
      <c r="X191">
        <f>0.61365*exp(17.502*W191/(240.97+W191))</f>
        <v>0</v>
      </c>
      <c r="Y191">
        <f>(Z191/AA191*100)</f>
        <v>0</v>
      </c>
      <c r="Z191">
        <f>DT191*(DY191+DZ191)/1000</f>
        <v>0</v>
      </c>
      <c r="AA191">
        <f>0.61365*exp(17.502*EA191/(240.97+EA191))</f>
        <v>0</v>
      </c>
      <c r="AB191">
        <f>(X191-DT191*(DY191+DZ191)/1000)</f>
        <v>0</v>
      </c>
      <c r="AC191">
        <f>(-J191*44100)</f>
        <v>0</v>
      </c>
      <c r="AD191">
        <f>2*29.3*R191*0.92*(EA191-W191)</f>
        <v>0</v>
      </c>
      <c r="AE191">
        <f>2*0.95*5.67E-8*(((EA191+$B$7)+273)^4-(W191+273)^4)</f>
        <v>0</v>
      </c>
      <c r="AF191">
        <f>U191+AE191+AC191+AD191</f>
        <v>0</v>
      </c>
      <c r="AG191">
        <f>DX191*AU191*(DS191-DR191*(1000-AU191*DU191)/(1000-AU191*DT191))/(100*DL191)</f>
        <v>0</v>
      </c>
      <c r="AH191">
        <f>1000*DX191*AU191*(DT191-DU191)/(100*DL191*(1000-AU191*DT191))</f>
        <v>0</v>
      </c>
      <c r="AI191">
        <f>(AJ191 - AK191 - DY191*1E3/(8.314*(EA191+273.15)) * AM191/DX191 * AL191) * DX191/(100*DL191) * (1000 - DU191)/1000</f>
        <v>0</v>
      </c>
      <c r="AJ191">
        <v>1182.5519104182</v>
      </c>
      <c r="AK191">
        <v>1144.61054545454</v>
      </c>
      <c r="AL191">
        <v>3.12742106833571</v>
      </c>
      <c r="AM191">
        <v>65.2210784119795</v>
      </c>
      <c r="AN191">
        <f>(AP191 - AO191 + DY191*1E3/(8.314*(EA191+273.15)) * AR191/DX191 * AQ191) * DX191/(100*DL191) * 1000/(1000 - AP191)</f>
        <v>0</v>
      </c>
      <c r="AO191">
        <v>9.72137088704708</v>
      </c>
      <c r="AP191">
        <v>11.8765018181818</v>
      </c>
      <c r="AQ191">
        <v>1.3139971701071e-05</v>
      </c>
      <c r="AR191">
        <v>115.574510355221</v>
      </c>
      <c r="AS191">
        <v>0</v>
      </c>
      <c r="AT191">
        <v>0</v>
      </c>
      <c r="AU191">
        <f>IF(AS191*$H$13&gt;=AW191,1.0,(AW191/(AW191-AS191*$H$13)))</f>
        <v>0</v>
      </c>
      <c r="AV191">
        <f>(AU191-1)*100</f>
        <v>0</v>
      </c>
      <c r="AW191">
        <f>MAX(0,($B$13+$C$13*EF191)/(1+$D$13*EF191)*DY191/(EA191+273)*$E$13)</f>
        <v>0</v>
      </c>
      <c r="AX191" t="s">
        <v>437</v>
      </c>
      <c r="AY191" t="s">
        <v>437</v>
      </c>
      <c r="AZ191">
        <v>0</v>
      </c>
      <c r="BA191">
        <v>0</v>
      </c>
      <c r="BB191">
        <f>1-AZ191/BA191</f>
        <v>0</v>
      </c>
      <c r="BC191">
        <v>0</v>
      </c>
      <c r="BD191" t="s">
        <v>437</v>
      </c>
      <c r="BE191" t="s">
        <v>437</v>
      </c>
      <c r="BF191">
        <v>0</v>
      </c>
      <c r="BG191">
        <v>0</v>
      </c>
      <c r="BH191">
        <f>1-BF191/BG191</f>
        <v>0</v>
      </c>
      <c r="BI191">
        <v>0.5</v>
      </c>
      <c r="BJ191">
        <f>DI191</f>
        <v>0</v>
      </c>
      <c r="BK191">
        <f>L191</f>
        <v>0</v>
      </c>
      <c r="BL191">
        <f>BH191*BI191*BJ191</f>
        <v>0</v>
      </c>
      <c r="BM191">
        <f>(BK191-BC191)/BJ191</f>
        <v>0</v>
      </c>
      <c r="BN191">
        <f>(BA191-BG191)/BG191</f>
        <v>0</v>
      </c>
      <c r="BO191">
        <f>AZ191/(BB191+AZ191/BG191)</f>
        <v>0</v>
      </c>
      <c r="BP191" t="s">
        <v>437</v>
      </c>
      <c r="BQ191">
        <v>0</v>
      </c>
      <c r="BR191">
        <f>IF(BQ191&lt;&gt;0, BQ191, BO191)</f>
        <v>0</v>
      </c>
      <c r="BS191">
        <f>1-BR191/BG191</f>
        <v>0</v>
      </c>
      <c r="BT191">
        <f>(BG191-BF191)/(BG191-BR191)</f>
        <v>0</v>
      </c>
      <c r="BU191">
        <f>(BA191-BG191)/(BA191-BR191)</f>
        <v>0</v>
      </c>
      <c r="BV191">
        <f>(BG191-BF191)/(BG191-AZ191)</f>
        <v>0</v>
      </c>
      <c r="BW191">
        <f>(BA191-BG191)/(BA191-AZ191)</f>
        <v>0</v>
      </c>
      <c r="BX191">
        <f>(BT191*BR191/BF191)</f>
        <v>0</v>
      </c>
      <c r="BY191">
        <f>(1-BX191)</f>
        <v>0</v>
      </c>
      <c r="BZ191">
        <v>282</v>
      </c>
      <c r="CA191">
        <v>290</v>
      </c>
      <c r="CB191">
        <v>1577.74</v>
      </c>
      <c r="CC191">
        <v>295</v>
      </c>
      <c r="CD191">
        <v>5140.93</v>
      </c>
      <c r="CE191">
        <v>1578.58</v>
      </c>
      <c r="CF191">
        <v>-0.84</v>
      </c>
      <c r="CG191">
        <v>300</v>
      </c>
      <c r="CH191">
        <v>23.8</v>
      </c>
      <c r="CI191">
        <v>1633.28263291266</v>
      </c>
      <c r="CJ191">
        <v>1.49577129053257</v>
      </c>
      <c r="CK191">
        <v>-28.1203876934379</v>
      </c>
      <c r="CL191">
        <v>0.666413418688897</v>
      </c>
      <c r="CM191">
        <v>0.984518017981194</v>
      </c>
      <c r="CN191">
        <v>-0.00424727541713014</v>
      </c>
      <c r="CO191">
        <v>290</v>
      </c>
      <c r="CP191">
        <v>1576.56</v>
      </c>
      <c r="CQ191">
        <v>775</v>
      </c>
      <c r="CR191">
        <v>5139.5</v>
      </c>
      <c r="CS191">
        <v>1578.57</v>
      </c>
      <c r="CT191">
        <v>-2.01</v>
      </c>
      <c r="DH191">
        <f>$B$11*EG191+$C$11*EH191+$F$11*ES191*(1-EV191)</f>
        <v>0</v>
      </c>
      <c r="DI191">
        <f>DH191*DJ191</f>
        <v>0</v>
      </c>
      <c r="DJ191">
        <f>($B$11*$D$9+$C$11*$D$9+$F$11*((FF191+EX191)/MAX(FF191+EX191+FG191, 0.1)*$I$9+FG191/MAX(FF191+EX191+FG191, 0.1)*$J$9))/($B$11+$C$11+$F$11)</f>
        <v>0</v>
      </c>
      <c r="DK191">
        <f>($B$11*$K$9+$C$11*$K$9+$F$11*((FF191+EX191)/MAX(FF191+EX191+FG191, 0.1)*$P$9+FG191/MAX(FF191+EX191+FG191, 0.1)*$Q$9))/($B$11+$C$11+$F$11)</f>
        <v>0</v>
      </c>
      <c r="DL191">
        <v>6</v>
      </c>
      <c r="DM191">
        <v>0.5</v>
      </c>
      <c r="DN191" t="s">
        <v>438</v>
      </c>
      <c r="DO191">
        <v>2</v>
      </c>
      <c r="DP191" t="b">
        <v>1</v>
      </c>
      <c r="DQ191">
        <v>1760992205.94615</v>
      </c>
      <c r="DR191">
        <v>1108.74</v>
      </c>
      <c r="DS191">
        <v>1156.75076923077</v>
      </c>
      <c r="DT191">
        <v>11.8659153846154</v>
      </c>
      <c r="DU191">
        <v>9.72111</v>
      </c>
      <c r="DV191">
        <v>1103.44769230769</v>
      </c>
      <c r="DW191">
        <v>11.9764230769231</v>
      </c>
      <c r="DX191">
        <v>500.047538461539</v>
      </c>
      <c r="DY191">
        <v>89.8450538461538</v>
      </c>
      <c r="DZ191">
        <v>0.00887751307692308</v>
      </c>
      <c r="EA191">
        <v>18.4046384615385</v>
      </c>
      <c r="EB191">
        <v>17.9979307692308</v>
      </c>
      <c r="EC191">
        <v>999.9</v>
      </c>
      <c r="ED191">
        <v>0</v>
      </c>
      <c r="EE191">
        <v>0</v>
      </c>
      <c r="EF191">
        <v>9990.51615384615</v>
      </c>
      <c r="EG191">
        <v>0</v>
      </c>
      <c r="EH191">
        <v>1278.62230769231</v>
      </c>
      <c r="EI191">
        <v>-48.0105230769231</v>
      </c>
      <c r="EJ191">
        <v>1122.05384615385</v>
      </c>
      <c r="EK191">
        <v>1168.10461538462</v>
      </c>
      <c r="EL191">
        <v>2.14481307692308</v>
      </c>
      <c r="EM191">
        <v>1156.75076923077</v>
      </c>
      <c r="EN191">
        <v>9.72111</v>
      </c>
      <c r="EO191">
        <v>1.06609461538462</v>
      </c>
      <c r="EP191">
        <v>0.873393769230769</v>
      </c>
      <c r="EQ191">
        <v>7.85239769230769</v>
      </c>
      <c r="ER191">
        <v>4.95964846153846</v>
      </c>
      <c r="ES191">
        <v>1200.00153846154</v>
      </c>
      <c r="ET191">
        <v>0.966996692307692</v>
      </c>
      <c r="EU191">
        <v>0.0330033384615385</v>
      </c>
      <c r="EV191">
        <v>0</v>
      </c>
      <c r="EW191">
        <v>1292.19</v>
      </c>
      <c r="EX191">
        <v>5.00059</v>
      </c>
      <c r="EY191">
        <v>15236.5076923077</v>
      </c>
      <c r="EZ191">
        <v>10358.7153846154</v>
      </c>
      <c r="FA191">
        <v>37.3219230769231</v>
      </c>
      <c r="FB191">
        <v>38.9373076923077</v>
      </c>
      <c r="FC191">
        <v>37.7496923076923</v>
      </c>
      <c r="FD191">
        <v>38.2113076923077</v>
      </c>
      <c r="FE191">
        <v>38.1824615384615</v>
      </c>
      <c r="FF191">
        <v>1155.56153846154</v>
      </c>
      <c r="FG191">
        <v>39.44</v>
      </c>
      <c r="FH191">
        <v>0</v>
      </c>
      <c r="FI191">
        <v>1070</v>
      </c>
      <c r="FJ191">
        <v>0</v>
      </c>
      <c r="FK191">
        <v>1292.4496</v>
      </c>
      <c r="FL191">
        <v>7.75230769564592</v>
      </c>
      <c r="FM191">
        <v>66.2923078350225</v>
      </c>
      <c r="FN191">
        <v>15237.536</v>
      </c>
      <c r="FO191">
        <v>15</v>
      </c>
      <c r="FP191">
        <v>0</v>
      </c>
      <c r="FQ191" t="s">
        <v>439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-48.099119047619</v>
      </c>
      <c r="GD191">
        <v>3.62626753246746</v>
      </c>
      <c r="GE191">
        <v>0.731625522621698</v>
      </c>
      <c r="GF191">
        <v>0</v>
      </c>
      <c r="GG191">
        <v>1291.88264705882</v>
      </c>
      <c r="GH191">
        <v>8.33995415294999</v>
      </c>
      <c r="GI191">
        <v>0.84609590898271</v>
      </c>
      <c r="GJ191">
        <v>-1</v>
      </c>
      <c r="GK191">
        <v>2.13945</v>
      </c>
      <c r="GL191">
        <v>0.110873766233766</v>
      </c>
      <c r="GM191">
        <v>0.0112303487627648</v>
      </c>
      <c r="GN191">
        <v>0</v>
      </c>
      <c r="GO191">
        <v>0</v>
      </c>
      <c r="GP191">
        <v>2</v>
      </c>
      <c r="GQ191" t="s">
        <v>519</v>
      </c>
      <c r="GR191">
        <v>3.13083</v>
      </c>
      <c r="GS191">
        <v>2.68708</v>
      </c>
      <c r="GT191">
        <v>0.178817</v>
      </c>
      <c r="GU191">
        <v>0.18414</v>
      </c>
      <c r="GV191">
        <v>0.0619391</v>
      </c>
      <c r="GW191">
        <v>0.0529456</v>
      </c>
      <c r="GX191">
        <v>31121.3</v>
      </c>
      <c r="GY191">
        <v>33225.2</v>
      </c>
      <c r="GZ191">
        <v>34262.9</v>
      </c>
      <c r="HA191">
        <v>36845.8</v>
      </c>
      <c r="HB191">
        <v>45346.2</v>
      </c>
      <c r="HC191">
        <v>50048</v>
      </c>
      <c r="HD191">
        <v>53336.6</v>
      </c>
      <c r="HE191">
        <v>58773.1</v>
      </c>
      <c r="HF191">
        <v>2.00793</v>
      </c>
      <c r="HG191">
        <v>1.83762</v>
      </c>
      <c r="HH191">
        <v>0.00949949</v>
      </c>
      <c r="HI191">
        <v>0</v>
      </c>
      <c r="HJ191">
        <v>17.8528</v>
      </c>
      <c r="HK191">
        <v>999.9</v>
      </c>
      <c r="HL191">
        <v>26.584</v>
      </c>
      <c r="HM191">
        <v>30.434</v>
      </c>
      <c r="HN191">
        <v>12.9239</v>
      </c>
      <c r="HO191">
        <v>53.0528</v>
      </c>
      <c r="HP191">
        <v>44.2027</v>
      </c>
      <c r="HQ191">
        <v>1</v>
      </c>
      <c r="HR191">
        <v>-0.261486</v>
      </c>
      <c r="HS191">
        <v>4.6827</v>
      </c>
      <c r="HT191">
        <v>20.0746</v>
      </c>
      <c r="HU191">
        <v>5.20366</v>
      </c>
      <c r="HV191">
        <v>12.004</v>
      </c>
      <c r="HW191">
        <v>4.97575</v>
      </c>
      <c r="HX191">
        <v>3.29303</v>
      </c>
      <c r="HY191">
        <v>9999</v>
      </c>
      <c r="HZ191">
        <v>999.9</v>
      </c>
      <c r="IA191">
        <v>9999</v>
      </c>
      <c r="IB191">
        <v>9999</v>
      </c>
      <c r="IC191">
        <v>1.86324</v>
      </c>
      <c r="ID191">
        <v>1.86809</v>
      </c>
      <c r="IE191">
        <v>1.86783</v>
      </c>
      <c r="IF191">
        <v>1.86905</v>
      </c>
      <c r="IG191">
        <v>1.86981</v>
      </c>
      <c r="IH191">
        <v>1.86586</v>
      </c>
      <c r="II191">
        <v>1.86692</v>
      </c>
      <c r="IJ191">
        <v>1.86835</v>
      </c>
      <c r="IK191">
        <v>5</v>
      </c>
      <c r="IL191">
        <v>0</v>
      </c>
      <c r="IM191">
        <v>0</v>
      </c>
      <c r="IN191">
        <v>0</v>
      </c>
      <c r="IO191" t="s">
        <v>441</v>
      </c>
      <c r="IP191" t="s">
        <v>442</v>
      </c>
      <c r="IQ191" t="s">
        <v>443</v>
      </c>
      <c r="IR191" t="s">
        <v>443</v>
      </c>
      <c r="IS191" t="s">
        <v>443</v>
      </c>
      <c r="IT191" t="s">
        <v>443</v>
      </c>
      <c r="IU191">
        <v>0</v>
      </c>
      <c r="IV191">
        <v>100</v>
      </c>
      <c r="IW191">
        <v>100</v>
      </c>
      <c r="IX191">
        <v>5.38</v>
      </c>
      <c r="IY191">
        <v>-0.1104</v>
      </c>
      <c r="IZ191">
        <v>1.12474291219083</v>
      </c>
      <c r="JA191">
        <v>0.00463155566490582</v>
      </c>
      <c r="JB191">
        <v>-1.1358998729424e-06</v>
      </c>
      <c r="JC191">
        <v>3.28704272115545e-10</v>
      </c>
      <c r="JD191">
        <v>-0.0704455108513773</v>
      </c>
      <c r="JE191">
        <v>-0.0251928478371425</v>
      </c>
      <c r="JF191">
        <v>0.00225751704194564</v>
      </c>
      <c r="JG191">
        <v>-3.61734043746866e-05</v>
      </c>
      <c r="JH191">
        <v>1</v>
      </c>
      <c r="JI191">
        <v>2182</v>
      </c>
      <c r="JJ191">
        <v>0</v>
      </c>
      <c r="JK191">
        <v>24</v>
      </c>
      <c r="JL191">
        <v>29349870.2</v>
      </c>
      <c r="JM191">
        <v>29349870.2</v>
      </c>
      <c r="JN191">
        <v>2.3291</v>
      </c>
      <c r="JO191">
        <v>2.60376</v>
      </c>
      <c r="JP191">
        <v>1.54785</v>
      </c>
      <c r="JQ191">
        <v>2.31445</v>
      </c>
      <c r="JR191">
        <v>1.64673</v>
      </c>
      <c r="JS191">
        <v>2.35596</v>
      </c>
      <c r="JT191">
        <v>33.6254</v>
      </c>
      <c r="JU191">
        <v>24.1838</v>
      </c>
      <c r="JV191">
        <v>18</v>
      </c>
      <c r="JW191">
        <v>500.714</v>
      </c>
      <c r="JX191">
        <v>394.834</v>
      </c>
      <c r="JY191">
        <v>11.5573</v>
      </c>
      <c r="JZ191">
        <v>23.9933</v>
      </c>
      <c r="KA191">
        <v>30.0004</v>
      </c>
      <c r="KB191">
        <v>23.9828</v>
      </c>
      <c r="KC191">
        <v>23.9507</v>
      </c>
      <c r="KD191">
        <v>46.6153</v>
      </c>
      <c r="KE191">
        <v>7.60339</v>
      </c>
      <c r="KF191">
        <v>26.5359</v>
      </c>
      <c r="KG191">
        <v>11.5455</v>
      </c>
      <c r="KH191">
        <v>1205.33</v>
      </c>
      <c r="KI191">
        <v>9.7744</v>
      </c>
      <c r="KJ191">
        <v>97.0353</v>
      </c>
      <c r="KK191">
        <v>95.2968</v>
      </c>
    </row>
    <row r="192" spans="1:297">
      <c r="A192">
        <v>176</v>
      </c>
      <c r="B192">
        <v>1760992219.1</v>
      </c>
      <c r="C192">
        <v>3029</v>
      </c>
      <c r="D192" t="s">
        <v>805</v>
      </c>
      <c r="E192" t="s">
        <v>806</v>
      </c>
      <c r="F192">
        <v>5</v>
      </c>
      <c r="G192" t="s">
        <v>662</v>
      </c>
      <c r="H192" t="s">
        <v>436</v>
      </c>
      <c r="I192">
        <v>1760992210.94615</v>
      </c>
      <c r="J192">
        <f>(K192)/1000</f>
        <v>0</v>
      </c>
      <c r="K192">
        <f>IF(DP192, AN192, AH192)</f>
        <v>0</v>
      </c>
      <c r="L192">
        <f>IF(DP192, AI192, AG192)</f>
        <v>0</v>
      </c>
      <c r="M192">
        <f>DR192 - IF(AU192&gt;1, L192*DL192*100.0/(AW192), 0)</f>
        <v>0</v>
      </c>
      <c r="N192">
        <f>((T192-J192/2)*M192-L192)/(T192+J192/2)</f>
        <v>0</v>
      </c>
      <c r="O192">
        <f>N192*(DY192+DZ192)/1000.0</f>
        <v>0</v>
      </c>
      <c r="P192">
        <f>(DR192 - IF(AU192&gt;1, L192*DL192*100.0/(AW192), 0))*(DY192+DZ192)/1000.0</f>
        <v>0</v>
      </c>
      <c r="Q192">
        <f>2.0/((1/S192-1/R192)+SIGN(S192)*SQRT((1/S192-1/R192)*(1/S192-1/R192) + 4*DM192/((DM192+1)*(DM192+1))*(2*1/S192*1/R192-1/R192*1/R192)))</f>
        <v>0</v>
      </c>
      <c r="R192">
        <f>IF(LEFT(DN192,1)&lt;&gt;"0",IF(LEFT(DN192,1)="1",3.0,DO192),$D$5+$E$5*(EF192*DY192/($K$5*1000))+$F$5*(EF192*DY192/($K$5*1000))*MAX(MIN(DL192,$J$5),$I$5)*MAX(MIN(DL192,$J$5),$I$5)+$G$5*MAX(MIN(DL192,$J$5),$I$5)*(EF192*DY192/($K$5*1000))+$H$5*(EF192*DY192/($K$5*1000))*(EF192*DY192/($K$5*1000)))</f>
        <v>0</v>
      </c>
      <c r="S192">
        <f>J192*(1000-(1000*0.61365*exp(17.502*W192/(240.97+W192))/(DY192+DZ192)+DT192)/2)/(1000*0.61365*exp(17.502*W192/(240.97+W192))/(DY192+DZ192)-DT192)</f>
        <v>0</v>
      </c>
      <c r="T192">
        <f>1/((DM192+1)/(Q192/1.6)+1/(R192/1.37)) + DM192/((DM192+1)/(Q192/1.6) + DM192/(R192/1.37))</f>
        <v>0</v>
      </c>
      <c r="U192">
        <f>(DH192*DK192)</f>
        <v>0</v>
      </c>
      <c r="V192">
        <f>(EA192+(U192+2*0.95*5.67E-8*(((EA192+$B$7)+273)^4-(EA192+273)^4)-44100*J192)/(1.84*29.3*R192+8*0.95*5.67E-8*(EA192+273)^3))</f>
        <v>0</v>
      </c>
      <c r="W192">
        <f>($C$7*EB192+$D$7*EC192+$E$7*V192)</f>
        <v>0</v>
      </c>
      <c r="X192">
        <f>0.61365*exp(17.502*W192/(240.97+W192))</f>
        <v>0</v>
      </c>
      <c r="Y192">
        <f>(Z192/AA192*100)</f>
        <v>0</v>
      </c>
      <c r="Z192">
        <f>DT192*(DY192+DZ192)/1000</f>
        <v>0</v>
      </c>
      <c r="AA192">
        <f>0.61365*exp(17.502*EA192/(240.97+EA192))</f>
        <v>0</v>
      </c>
      <c r="AB192">
        <f>(X192-DT192*(DY192+DZ192)/1000)</f>
        <v>0</v>
      </c>
      <c r="AC192">
        <f>(-J192*44100)</f>
        <v>0</v>
      </c>
      <c r="AD192">
        <f>2*29.3*R192*0.92*(EA192-W192)</f>
        <v>0</v>
      </c>
      <c r="AE192">
        <f>2*0.95*5.67E-8*(((EA192+$B$7)+273)^4-(W192+273)^4)</f>
        <v>0</v>
      </c>
      <c r="AF192">
        <f>U192+AE192+AC192+AD192</f>
        <v>0</v>
      </c>
      <c r="AG192">
        <f>DX192*AU192*(DS192-DR192*(1000-AU192*DU192)/(1000-AU192*DT192))/(100*DL192)</f>
        <v>0</v>
      </c>
      <c r="AH192">
        <f>1000*DX192*AU192*(DT192-DU192)/(100*DL192*(1000-AU192*DT192))</f>
        <v>0</v>
      </c>
      <c r="AI192">
        <f>(AJ192 - AK192 - DY192*1E3/(8.314*(EA192+273.15)) * AM192/DX192 * AL192) * DX192/(100*DL192) * (1000 - DU192)/1000</f>
        <v>0</v>
      </c>
      <c r="AJ192">
        <v>1199.64637905924</v>
      </c>
      <c r="AK192">
        <v>1161.22563636364</v>
      </c>
      <c r="AL192">
        <v>3.32743537842252</v>
      </c>
      <c r="AM192">
        <v>65.2210784119795</v>
      </c>
      <c r="AN192">
        <f>(AP192 - AO192 + DY192*1E3/(8.314*(EA192+273.15)) * AR192/DX192 * AQ192) * DX192/(100*DL192) * 1000/(1000 - AP192)</f>
        <v>0</v>
      </c>
      <c r="AO192">
        <v>9.71825451540485</v>
      </c>
      <c r="AP192">
        <v>11.8743709090909</v>
      </c>
      <c r="AQ192">
        <v>-2.23431540158417e-05</v>
      </c>
      <c r="AR192">
        <v>115.574510355221</v>
      </c>
      <c r="AS192">
        <v>0</v>
      </c>
      <c r="AT192">
        <v>0</v>
      </c>
      <c r="AU192">
        <f>IF(AS192*$H$13&gt;=AW192,1.0,(AW192/(AW192-AS192*$H$13)))</f>
        <v>0</v>
      </c>
      <c r="AV192">
        <f>(AU192-1)*100</f>
        <v>0</v>
      </c>
      <c r="AW192">
        <f>MAX(0,($B$13+$C$13*EF192)/(1+$D$13*EF192)*DY192/(EA192+273)*$E$13)</f>
        <v>0</v>
      </c>
      <c r="AX192" t="s">
        <v>437</v>
      </c>
      <c r="AY192" t="s">
        <v>437</v>
      </c>
      <c r="AZ192">
        <v>0</v>
      </c>
      <c r="BA192">
        <v>0</v>
      </c>
      <c r="BB192">
        <f>1-AZ192/BA192</f>
        <v>0</v>
      </c>
      <c r="BC192">
        <v>0</v>
      </c>
      <c r="BD192" t="s">
        <v>437</v>
      </c>
      <c r="BE192" t="s">
        <v>437</v>
      </c>
      <c r="BF192">
        <v>0</v>
      </c>
      <c r="BG192">
        <v>0</v>
      </c>
      <c r="BH192">
        <f>1-BF192/BG192</f>
        <v>0</v>
      </c>
      <c r="BI192">
        <v>0.5</v>
      </c>
      <c r="BJ192">
        <f>DI192</f>
        <v>0</v>
      </c>
      <c r="BK192">
        <f>L192</f>
        <v>0</v>
      </c>
      <c r="BL192">
        <f>BH192*BI192*BJ192</f>
        <v>0</v>
      </c>
      <c r="BM192">
        <f>(BK192-BC192)/BJ192</f>
        <v>0</v>
      </c>
      <c r="BN192">
        <f>(BA192-BG192)/BG192</f>
        <v>0</v>
      </c>
      <c r="BO192">
        <f>AZ192/(BB192+AZ192/BG192)</f>
        <v>0</v>
      </c>
      <c r="BP192" t="s">
        <v>437</v>
      </c>
      <c r="BQ192">
        <v>0</v>
      </c>
      <c r="BR192">
        <f>IF(BQ192&lt;&gt;0, BQ192, BO192)</f>
        <v>0</v>
      </c>
      <c r="BS192">
        <f>1-BR192/BG192</f>
        <v>0</v>
      </c>
      <c r="BT192">
        <f>(BG192-BF192)/(BG192-BR192)</f>
        <v>0</v>
      </c>
      <c r="BU192">
        <f>(BA192-BG192)/(BA192-BR192)</f>
        <v>0</v>
      </c>
      <c r="BV192">
        <f>(BG192-BF192)/(BG192-AZ192)</f>
        <v>0</v>
      </c>
      <c r="BW192">
        <f>(BA192-BG192)/(BA192-AZ192)</f>
        <v>0</v>
      </c>
      <c r="BX192">
        <f>(BT192*BR192/BF192)</f>
        <v>0</v>
      </c>
      <c r="BY192">
        <f>(1-BX192)</f>
        <v>0</v>
      </c>
      <c r="BZ192">
        <v>282</v>
      </c>
      <c r="CA192">
        <v>290</v>
      </c>
      <c r="CB192">
        <v>1577.74</v>
      </c>
      <c r="CC192">
        <v>295</v>
      </c>
      <c r="CD192">
        <v>5140.93</v>
      </c>
      <c r="CE192">
        <v>1578.58</v>
      </c>
      <c r="CF192">
        <v>-0.84</v>
      </c>
      <c r="CG192">
        <v>300</v>
      </c>
      <c r="CH192">
        <v>23.8</v>
      </c>
      <c r="CI192">
        <v>1633.28263291266</v>
      </c>
      <c r="CJ192">
        <v>1.49577129053257</v>
      </c>
      <c r="CK192">
        <v>-28.1203876934379</v>
      </c>
      <c r="CL192">
        <v>0.666413418688897</v>
      </c>
      <c r="CM192">
        <v>0.984518017981194</v>
      </c>
      <c r="CN192">
        <v>-0.00424727541713014</v>
      </c>
      <c r="CO192">
        <v>290</v>
      </c>
      <c r="CP192">
        <v>1576.56</v>
      </c>
      <c r="CQ192">
        <v>775</v>
      </c>
      <c r="CR192">
        <v>5139.5</v>
      </c>
      <c r="CS192">
        <v>1578.57</v>
      </c>
      <c r="CT192">
        <v>-2.01</v>
      </c>
      <c r="DH192">
        <f>$B$11*EG192+$C$11*EH192+$F$11*ES192*(1-EV192)</f>
        <v>0</v>
      </c>
      <c r="DI192">
        <f>DH192*DJ192</f>
        <v>0</v>
      </c>
      <c r="DJ192">
        <f>($B$11*$D$9+$C$11*$D$9+$F$11*((FF192+EX192)/MAX(FF192+EX192+FG192, 0.1)*$I$9+FG192/MAX(FF192+EX192+FG192, 0.1)*$J$9))/($B$11+$C$11+$F$11)</f>
        <v>0</v>
      </c>
      <c r="DK192">
        <f>($B$11*$K$9+$C$11*$K$9+$F$11*((FF192+EX192)/MAX(FF192+EX192+FG192, 0.1)*$P$9+FG192/MAX(FF192+EX192+FG192, 0.1)*$Q$9))/($B$11+$C$11+$F$11)</f>
        <v>0</v>
      </c>
      <c r="DL192">
        <v>6</v>
      </c>
      <c r="DM192">
        <v>0.5</v>
      </c>
      <c r="DN192" t="s">
        <v>438</v>
      </c>
      <c r="DO192">
        <v>2</v>
      </c>
      <c r="DP192" t="b">
        <v>1</v>
      </c>
      <c r="DQ192">
        <v>1760992210.94615</v>
      </c>
      <c r="DR192">
        <v>1124.58307692308</v>
      </c>
      <c r="DS192">
        <v>1172.37230769231</v>
      </c>
      <c r="DT192">
        <v>11.8727</v>
      </c>
      <c r="DU192">
        <v>9.72120153846154</v>
      </c>
      <c r="DV192">
        <v>1119.23692307692</v>
      </c>
      <c r="DW192">
        <v>11.9831076923077</v>
      </c>
      <c r="DX192">
        <v>500.023076923077</v>
      </c>
      <c r="DY192">
        <v>89.8457230769231</v>
      </c>
      <c r="DZ192">
        <v>0.00893443307692308</v>
      </c>
      <c r="EA192">
        <v>18.4038692307692</v>
      </c>
      <c r="EB192">
        <v>18.0009846153846</v>
      </c>
      <c r="EC192">
        <v>999.9</v>
      </c>
      <c r="ED192">
        <v>0</v>
      </c>
      <c r="EE192">
        <v>0</v>
      </c>
      <c r="EF192">
        <v>9983.12384615385</v>
      </c>
      <c r="EG192">
        <v>0</v>
      </c>
      <c r="EH192">
        <v>1278.63153846154</v>
      </c>
      <c r="EI192">
        <v>-47.7897307692308</v>
      </c>
      <c r="EJ192">
        <v>1138.09538461538</v>
      </c>
      <c r="EK192">
        <v>1183.88076923077</v>
      </c>
      <c r="EL192">
        <v>2.15150076923077</v>
      </c>
      <c r="EM192">
        <v>1172.37230769231</v>
      </c>
      <c r="EN192">
        <v>9.72120153846154</v>
      </c>
      <c r="EO192">
        <v>1.06671230769231</v>
      </c>
      <c r="EP192">
        <v>0.873408461538462</v>
      </c>
      <c r="EQ192">
        <v>7.86089384615385</v>
      </c>
      <c r="ER192">
        <v>4.95988923076923</v>
      </c>
      <c r="ES192">
        <v>1200.01923076923</v>
      </c>
      <c r="ET192">
        <v>0.966996692307692</v>
      </c>
      <c r="EU192">
        <v>0.0330033384615385</v>
      </c>
      <c r="EV192">
        <v>0</v>
      </c>
      <c r="EW192">
        <v>1292.93076923077</v>
      </c>
      <c r="EX192">
        <v>5.00059</v>
      </c>
      <c r="EY192">
        <v>15242.1307692308</v>
      </c>
      <c r="EZ192">
        <v>10358.8769230769</v>
      </c>
      <c r="FA192">
        <v>37.2641538461538</v>
      </c>
      <c r="FB192">
        <v>38.8794615384615</v>
      </c>
      <c r="FC192">
        <v>37.6921538461538</v>
      </c>
      <c r="FD192">
        <v>38.1439230769231</v>
      </c>
      <c r="FE192">
        <v>38.1294615384615</v>
      </c>
      <c r="FF192">
        <v>1155.57923076923</v>
      </c>
      <c r="FG192">
        <v>39.44</v>
      </c>
      <c r="FH192">
        <v>0</v>
      </c>
      <c r="FI192">
        <v>1074.80000019073</v>
      </c>
      <c r="FJ192">
        <v>0</v>
      </c>
      <c r="FK192">
        <v>1293.1212</v>
      </c>
      <c r="FL192">
        <v>8.29769229510474</v>
      </c>
      <c r="FM192">
        <v>60.1384614628896</v>
      </c>
      <c r="FN192">
        <v>15242.832</v>
      </c>
      <c r="FO192">
        <v>15</v>
      </c>
      <c r="FP192">
        <v>0</v>
      </c>
      <c r="FQ192" t="s">
        <v>439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-48.107865</v>
      </c>
      <c r="GD192">
        <v>2.11644360902248</v>
      </c>
      <c r="GE192">
        <v>0.759669445400432</v>
      </c>
      <c r="GF192">
        <v>0</v>
      </c>
      <c r="GG192">
        <v>1292.58558823529</v>
      </c>
      <c r="GH192">
        <v>8.18777693157467</v>
      </c>
      <c r="GI192">
        <v>0.828692063635315</v>
      </c>
      <c r="GJ192">
        <v>-1</v>
      </c>
      <c r="GK192">
        <v>2.147987</v>
      </c>
      <c r="GL192">
        <v>0.0809043609022548</v>
      </c>
      <c r="GM192">
        <v>0.00804851234701169</v>
      </c>
      <c r="GN192">
        <v>1</v>
      </c>
      <c r="GO192">
        <v>1</v>
      </c>
      <c r="GP192">
        <v>2</v>
      </c>
      <c r="GQ192" t="s">
        <v>446</v>
      </c>
      <c r="GR192">
        <v>3.13075</v>
      </c>
      <c r="GS192">
        <v>2.68652</v>
      </c>
      <c r="GT192">
        <v>0.180436</v>
      </c>
      <c r="GU192">
        <v>0.185539</v>
      </c>
      <c r="GV192">
        <v>0.0619303</v>
      </c>
      <c r="GW192">
        <v>0.0529354</v>
      </c>
      <c r="GX192">
        <v>31060.1</v>
      </c>
      <c r="GY192">
        <v>33168.4</v>
      </c>
      <c r="GZ192">
        <v>34263</v>
      </c>
      <c r="HA192">
        <v>36845.8</v>
      </c>
      <c r="HB192">
        <v>45347.1</v>
      </c>
      <c r="HC192">
        <v>50048.4</v>
      </c>
      <c r="HD192">
        <v>53337</v>
      </c>
      <c r="HE192">
        <v>58772.9</v>
      </c>
      <c r="HF192">
        <v>2.00798</v>
      </c>
      <c r="HG192">
        <v>1.83768</v>
      </c>
      <c r="HH192">
        <v>0.00895187</v>
      </c>
      <c r="HI192">
        <v>0</v>
      </c>
      <c r="HJ192">
        <v>17.8524</v>
      </c>
      <c r="HK192">
        <v>999.9</v>
      </c>
      <c r="HL192">
        <v>26.584</v>
      </c>
      <c r="HM192">
        <v>30.424</v>
      </c>
      <c r="HN192">
        <v>12.9173</v>
      </c>
      <c r="HO192">
        <v>54.0228</v>
      </c>
      <c r="HP192">
        <v>44.371</v>
      </c>
      <c r="HQ192">
        <v>1</v>
      </c>
      <c r="HR192">
        <v>-0.261151</v>
      </c>
      <c r="HS192">
        <v>4.71526</v>
      </c>
      <c r="HT192">
        <v>20.0734</v>
      </c>
      <c r="HU192">
        <v>5.20261</v>
      </c>
      <c r="HV192">
        <v>12.004</v>
      </c>
      <c r="HW192">
        <v>4.9755</v>
      </c>
      <c r="HX192">
        <v>3.29293</v>
      </c>
      <c r="HY192">
        <v>9999</v>
      </c>
      <c r="HZ192">
        <v>999.9</v>
      </c>
      <c r="IA192">
        <v>9999</v>
      </c>
      <c r="IB192">
        <v>9999</v>
      </c>
      <c r="IC192">
        <v>1.86318</v>
      </c>
      <c r="ID192">
        <v>1.86808</v>
      </c>
      <c r="IE192">
        <v>1.86783</v>
      </c>
      <c r="IF192">
        <v>1.86905</v>
      </c>
      <c r="IG192">
        <v>1.86981</v>
      </c>
      <c r="IH192">
        <v>1.86589</v>
      </c>
      <c r="II192">
        <v>1.86691</v>
      </c>
      <c r="IJ192">
        <v>1.86834</v>
      </c>
      <c r="IK192">
        <v>5</v>
      </c>
      <c r="IL192">
        <v>0</v>
      </c>
      <c r="IM192">
        <v>0</v>
      </c>
      <c r="IN192">
        <v>0</v>
      </c>
      <c r="IO192" t="s">
        <v>441</v>
      </c>
      <c r="IP192" t="s">
        <v>442</v>
      </c>
      <c r="IQ192" t="s">
        <v>443</v>
      </c>
      <c r="IR192" t="s">
        <v>443</v>
      </c>
      <c r="IS192" t="s">
        <v>443</v>
      </c>
      <c r="IT192" t="s">
        <v>443</v>
      </c>
      <c r="IU192">
        <v>0</v>
      </c>
      <c r="IV192">
        <v>100</v>
      </c>
      <c r="IW192">
        <v>100</v>
      </c>
      <c r="IX192">
        <v>5.44</v>
      </c>
      <c r="IY192">
        <v>-0.1104</v>
      </c>
      <c r="IZ192">
        <v>1.12474291219083</v>
      </c>
      <c r="JA192">
        <v>0.00463155566490582</v>
      </c>
      <c r="JB192">
        <v>-1.1358998729424e-06</v>
      </c>
      <c r="JC192">
        <v>3.28704272115545e-10</v>
      </c>
      <c r="JD192">
        <v>-0.0704455108513773</v>
      </c>
      <c r="JE192">
        <v>-0.0251928478371425</v>
      </c>
      <c r="JF192">
        <v>0.00225751704194564</v>
      </c>
      <c r="JG192">
        <v>-3.61734043746866e-05</v>
      </c>
      <c r="JH192">
        <v>1</v>
      </c>
      <c r="JI192">
        <v>2182</v>
      </c>
      <c r="JJ192">
        <v>0</v>
      </c>
      <c r="JK192">
        <v>24</v>
      </c>
      <c r="JL192">
        <v>29349870.3</v>
      </c>
      <c r="JM192">
        <v>29349870.3</v>
      </c>
      <c r="JN192">
        <v>2.35229</v>
      </c>
      <c r="JO192">
        <v>2.60376</v>
      </c>
      <c r="JP192">
        <v>1.54785</v>
      </c>
      <c r="JQ192">
        <v>2.31323</v>
      </c>
      <c r="JR192">
        <v>1.64551</v>
      </c>
      <c r="JS192">
        <v>2.40112</v>
      </c>
      <c r="JT192">
        <v>33.6254</v>
      </c>
      <c r="JU192">
        <v>24.1838</v>
      </c>
      <c r="JV192">
        <v>18</v>
      </c>
      <c r="JW192">
        <v>500.761</v>
      </c>
      <c r="JX192">
        <v>394.868</v>
      </c>
      <c r="JY192">
        <v>11.5526</v>
      </c>
      <c r="JZ192">
        <v>23.9933</v>
      </c>
      <c r="KA192">
        <v>30.0003</v>
      </c>
      <c r="KB192">
        <v>23.9845</v>
      </c>
      <c r="KC192">
        <v>23.9517</v>
      </c>
      <c r="KD192">
        <v>47.2105</v>
      </c>
      <c r="KE192">
        <v>7.60339</v>
      </c>
      <c r="KF192">
        <v>26.5359</v>
      </c>
      <c r="KG192">
        <v>11.5418</v>
      </c>
      <c r="KH192">
        <v>1218.96</v>
      </c>
      <c r="KI192">
        <v>9.7744</v>
      </c>
      <c r="KJ192">
        <v>97.0357</v>
      </c>
      <c r="KK192">
        <v>95.2966</v>
      </c>
    </row>
    <row r="193" spans="1:297">
      <c r="A193">
        <v>177</v>
      </c>
      <c r="B193">
        <v>1760992224.1</v>
      </c>
      <c r="C193">
        <v>3034</v>
      </c>
      <c r="D193" t="s">
        <v>807</v>
      </c>
      <c r="E193" t="s">
        <v>808</v>
      </c>
      <c r="F193">
        <v>5</v>
      </c>
      <c r="G193" t="s">
        <v>662</v>
      </c>
      <c r="H193" t="s">
        <v>436</v>
      </c>
      <c r="I193">
        <v>1760992215.94615</v>
      </c>
      <c r="J193">
        <f>(K193)/1000</f>
        <v>0</v>
      </c>
      <c r="K193">
        <f>IF(DP193, AN193, AH193)</f>
        <v>0</v>
      </c>
      <c r="L193">
        <f>IF(DP193, AI193, AG193)</f>
        <v>0</v>
      </c>
      <c r="M193">
        <f>DR193 - IF(AU193&gt;1, L193*DL193*100.0/(AW193), 0)</f>
        <v>0</v>
      </c>
      <c r="N193">
        <f>((T193-J193/2)*M193-L193)/(T193+J193/2)</f>
        <v>0</v>
      </c>
      <c r="O193">
        <f>N193*(DY193+DZ193)/1000.0</f>
        <v>0</v>
      </c>
      <c r="P193">
        <f>(DR193 - IF(AU193&gt;1, L193*DL193*100.0/(AW193), 0))*(DY193+DZ193)/1000.0</f>
        <v>0</v>
      </c>
      <c r="Q193">
        <f>2.0/((1/S193-1/R193)+SIGN(S193)*SQRT((1/S193-1/R193)*(1/S193-1/R193) + 4*DM193/((DM193+1)*(DM193+1))*(2*1/S193*1/R193-1/R193*1/R193)))</f>
        <v>0</v>
      </c>
      <c r="R193">
        <f>IF(LEFT(DN193,1)&lt;&gt;"0",IF(LEFT(DN193,1)="1",3.0,DO193),$D$5+$E$5*(EF193*DY193/($K$5*1000))+$F$5*(EF193*DY193/($K$5*1000))*MAX(MIN(DL193,$J$5),$I$5)*MAX(MIN(DL193,$J$5),$I$5)+$G$5*MAX(MIN(DL193,$J$5),$I$5)*(EF193*DY193/($K$5*1000))+$H$5*(EF193*DY193/($K$5*1000))*(EF193*DY193/($K$5*1000)))</f>
        <v>0</v>
      </c>
      <c r="S193">
        <f>J193*(1000-(1000*0.61365*exp(17.502*W193/(240.97+W193))/(DY193+DZ193)+DT193)/2)/(1000*0.61365*exp(17.502*W193/(240.97+W193))/(DY193+DZ193)-DT193)</f>
        <v>0</v>
      </c>
      <c r="T193">
        <f>1/((DM193+1)/(Q193/1.6)+1/(R193/1.37)) + DM193/((DM193+1)/(Q193/1.6) + DM193/(R193/1.37))</f>
        <v>0</v>
      </c>
      <c r="U193">
        <f>(DH193*DK193)</f>
        <v>0</v>
      </c>
      <c r="V193">
        <f>(EA193+(U193+2*0.95*5.67E-8*(((EA193+$B$7)+273)^4-(EA193+273)^4)-44100*J193)/(1.84*29.3*R193+8*0.95*5.67E-8*(EA193+273)^3))</f>
        <v>0</v>
      </c>
      <c r="W193">
        <f>($C$7*EB193+$D$7*EC193+$E$7*V193)</f>
        <v>0</v>
      </c>
      <c r="X193">
        <f>0.61365*exp(17.502*W193/(240.97+W193))</f>
        <v>0</v>
      </c>
      <c r="Y193">
        <f>(Z193/AA193*100)</f>
        <v>0</v>
      </c>
      <c r="Z193">
        <f>DT193*(DY193+DZ193)/1000</f>
        <v>0</v>
      </c>
      <c r="AA193">
        <f>0.61365*exp(17.502*EA193/(240.97+EA193))</f>
        <v>0</v>
      </c>
      <c r="AB193">
        <f>(X193-DT193*(DY193+DZ193)/1000)</f>
        <v>0</v>
      </c>
      <c r="AC193">
        <f>(-J193*44100)</f>
        <v>0</v>
      </c>
      <c r="AD193">
        <f>2*29.3*R193*0.92*(EA193-W193)</f>
        <v>0</v>
      </c>
      <c r="AE193">
        <f>2*0.95*5.67E-8*(((EA193+$B$7)+273)^4-(W193+273)^4)</f>
        <v>0</v>
      </c>
      <c r="AF193">
        <f>U193+AE193+AC193+AD193</f>
        <v>0</v>
      </c>
      <c r="AG193">
        <f>DX193*AU193*(DS193-DR193*(1000-AU193*DU193)/(1000-AU193*DT193))/(100*DL193)</f>
        <v>0</v>
      </c>
      <c r="AH193">
        <f>1000*DX193*AU193*(DT193-DU193)/(100*DL193*(1000-AU193*DT193))</f>
        <v>0</v>
      </c>
      <c r="AI193">
        <f>(AJ193 - AK193 - DY193*1E3/(8.314*(EA193+273.15)) * AM193/DX193 * AL193) * DX193/(100*DL193) * (1000 - DU193)/1000</f>
        <v>0</v>
      </c>
      <c r="AJ193">
        <v>1214.773177487</v>
      </c>
      <c r="AK193">
        <v>1176.92836363636</v>
      </c>
      <c r="AL193">
        <v>3.15669951321115</v>
      </c>
      <c r="AM193">
        <v>65.2210784119795</v>
      </c>
      <c r="AN193">
        <f>(AP193 - AO193 + DY193*1E3/(8.314*(EA193+273.15)) * AR193/DX193 * AQ193) * DX193/(100*DL193) * 1000/(1000 - AP193)</f>
        <v>0</v>
      </c>
      <c r="AO193">
        <v>9.71793945123886</v>
      </c>
      <c r="AP193">
        <v>11.8724654545455</v>
      </c>
      <c r="AQ193">
        <v>-1.11542442266965e-05</v>
      </c>
      <c r="AR193">
        <v>115.574510355221</v>
      </c>
      <c r="AS193">
        <v>0</v>
      </c>
      <c r="AT193">
        <v>0</v>
      </c>
      <c r="AU193">
        <f>IF(AS193*$H$13&gt;=AW193,1.0,(AW193/(AW193-AS193*$H$13)))</f>
        <v>0</v>
      </c>
      <c r="AV193">
        <f>(AU193-1)*100</f>
        <v>0</v>
      </c>
      <c r="AW193">
        <f>MAX(0,($B$13+$C$13*EF193)/(1+$D$13*EF193)*DY193/(EA193+273)*$E$13)</f>
        <v>0</v>
      </c>
      <c r="AX193" t="s">
        <v>437</v>
      </c>
      <c r="AY193" t="s">
        <v>437</v>
      </c>
      <c r="AZ193">
        <v>0</v>
      </c>
      <c r="BA193">
        <v>0</v>
      </c>
      <c r="BB193">
        <f>1-AZ193/BA193</f>
        <v>0</v>
      </c>
      <c r="BC193">
        <v>0</v>
      </c>
      <c r="BD193" t="s">
        <v>437</v>
      </c>
      <c r="BE193" t="s">
        <v>437</v>
      </c>
      <c r="BF193">
        <v>0</v>
      </c>
      <c r="BG193">
        <v>0</v>
      </c>
      <c r="BH193">
        <f>1-BF193/BG193</f>
        <v>0</v>
      </c>
      <c r="BI193">
        <v>0.5</v>
      </c>
      <c r="BJ193">
        <f>DI193</f>
        <v>0</v>
      </c>
      <c r="BK193">
        <f>L193</f>
        <v>0</v>
      </c>
      <c r="BL193">
        <f>BH193*BI193*BJ193</f>
        <v>0</v>
      </c>
      <c r="BM193">
        <f>(BK193-BC193)/BJ193</f>
        <v>0</v>
      </c>
      <c r="BN193">
        <f>(BA193-BG193)/BG193</f>
        <v>0</v>
      </c>
      <c r="BO193">
        <f>AZ193/(BB193+AZ193/BG193)</f>
        <v>0</v>
      </c>
      <c r="BP193" t="s">
        <v>437</v>
      </c>
      <c r="BQ193">
        <v>0</v>
      </c>
      <c r="BR193">
        <f>IF(BQ193&lt;&gt;0, BQ193, BO193)</f>
        <v>0</v>
      </c>
      <c r="BS193">
        <f>1-BR193/BG193</f>
        <v>0</v>
      </c>
      <c r="BT193">
        <f>(BG193-BF193)/(BG193-BR193)</f>
        <v>0</v>
      </c>
      <c r="BU193">
        <f>(BA193-BG193)/(BA193-BR193)</f>
        <v>0</v>
      </c>
      <c r="BV193">
        <f>(BG193-BF193)/(BG193-AZ193)</f>
        <v>0</v>
      </c>
      <c r="BW193">
        <f>(BA193-BG193)/(BA193-AZ193)</f>
        <v>0</v>
      </c>
      <c r="BX193">
        <f>(BT193*BR193/BF193)</f>
        <v>0</v>
      </c>
      <c r="BY193">
        <f>(1-BX193)</f>
        <v>0</v>
      </c>
      <c r="BZ193">
        <v>282</v>
      </c>
      <c r="CA193">
        <v>290</v>
      </c>
      <c r="CB193">
        <v>1577.74</v>
      </c>
      <c r="CC193">
        <v>295</v>
      </c>
      <c r="CD193">
        <v>5140.93</v>
      </c>
      <c r="CE193">
        <v>1578.58</v>
      </c>
      <c r="CF193">
        <v>-0.84</v>
      </c>
      <c r="CG193">
        <v>300</v>
      </c>
      <c r="CH193">
        <v>23.8</v>
      </c>
      <c r="CI193">
        <v>1633.28263291266</v>
      </c>
      <c r="CJ193">
        <v>1.49577129053257</v>
      </c>
      <c r="CK193">
        <v>-28.1203876934379</v>
      </c>
      <c r="CL193">
        <v>0.666413418688897</v>
      </c>
      <c r="CM193">
        <v>0.984518017981194</v>
      </c>
      <c r="CN193">
        <v>-0.00424727541713014</v>
      </c>
      <c r="CO193">
        <v>290</v>
      </c>
      <c r="CP193">
        <v>1576.56</v>
      </c>
      <c r="CQ193">
        <v>775</v>
      </c>
      <c r="CR193">
        <v>5139.5</v>
      </c>
      <c r="CS193">
        <v>1578.57</v>
      </c>
      <c r="CT193">
        <v>-2.01</v>
      </c>
      <c r="DH193">
        <f>$B$11*EG193+$C$11*EH193+$F$11*ES193*(1-EV193)</f>
        <v>0</v>
      </c>
      <c r="DI193">
        <f>DH193*DJ193</f>
        <v>0</v>
      </c>
      <c r="DJ193">
        <f>($B$11*$D$9+$C$11*$D$9+$F$11*((FF193+EX193)/MAX(FF193+EX193+FG193, 0.1)*$I$9+FG193/MAX(FF193+EX193+FG193, 0.1)*$J$9))/($B$11+$C$11+$F$11)</f>
        <v>0</v>
      </c>
      <c r="DK193">
        <f>($B$11*$K$9+$C$11*$K$9+$F$11*((FF193+EX193)/MAX(FF193+EX193+FG193, 0.1)*$P$9+FG193/MAX(FF193+EX193+FG193, 0.1)*$Q$9))/($B$11+$C$11+$F$11)</f>
        <v>0</v>
      </c>
      <c r="DL193">
        <v>6</v>
      </c>
      <c r="DM193">
        <v>0.5</v>
      </c>
      <c r="DN193" t="s">
        <v>438</v>
      </c>
      <c r="DO193">
        <v>2</v>
      </c>
      <c r="DP193" t="b">
        <v>1</v>
      </c>
      <c r="DQ193">
        <v>1760992215.94615</v>
      </c>
      <c r="DR193">
        <v>1140.31846153846</v>
      </c>
      <c r="DS193">
        <v>1188.27615384615</v>
      </c>
      <c r="DT193">
        <v>11.8745076923077</v>
      </c>
      <c r="DU193">
        <v>9.71975</v>
      </c>
      <c r="DV193">
        <v>1134.92</v>
      </c>
      <c r="DW193">
        <v>11.9848846153846</v>
      </c>
      <c r="DX193">
        <v>500.009538461538</v>
      </c>
      <c r="DY193">
        <v>89.8456307692308</v>
      </c>
      <c r="DZ193">
        <v>0.00898558384615385</v>
      </c>
      <c r="EA193">
        <v>18.4013769230769</v>
      </c>
      <c r="EB193">
        <v>18.0025769230769</v>
      </c>
      <c r="EC193">
        <v>999.9</v>
      </c>
      <c r="ED193">
        <v>0</v>
      </c>
      <c r="EE193">
        <v>0</v>
      </c>
      <c r="EF193">
        <v>9981.68307692308</v>
      </c>
      <c r="EG193">
        <v>0</v>
      </c>
      <c r="EH193">
        <v>1278.62615384615</v>
      </c>
      <c r="EI193">
        <v>-47.9579384615385</v>
      </c>
      <c r="EJ193">
        <v>1154.02230769231</v>
      </c>
      <c r="EK193">
        <v>1199.94</v>
      </c>
      <c r="EL193">
        <v>2.15475692307692</v>
      </c>
      <c r="EM193">
        <v>1188.27615384615</v>
      </c>
      <c r="EN193">
        <v>9.71975</v>
      </c>
      <c r="EO193">
        <v>1.06687230769231</v>
      </c>
      <c r="EP193">
        <v>0.873277153846154</v>
      </c>
      <c r="EQ193">
        <v>7.86311307692308</v>
      </c>
      <c r="ER193">
        <v>4.95773384615384</v>
      </c>
      <c r="ES193">
        <v>1200.01538461538</v>
      </c>
      <c r="ET193">
        <v>0.966996</v>
      </c>
      <c r="EU193">
        <v>0.033004</v>
      </c>
      <c r="EV193">
        <v>0</v>
      </c>
      <c r="EW193">
        <v>1293.51461538462</v>
      </c>
      <c r="EX193">
        <v>5.00059</v>
      </c>
      <c r="EY193">
        <v>15246.8076923077</v>
      </c>
      <c r="EZ193">
        <v>10358.8384615385</v>
      </c>
      <c r="FA193">
        <v>37.2113076923077</v>
      </c>
      <c r="FB193">
        <v>38.8266923076923</v>
      </c>
      <c r="FC193">
        <v>37.6343076923077</v>
      </c>
      <c r="FD193">
        <v>38.0814615384615</v>
      </c>
      <c r="FE193">
        <v>38.0766923076923</v>
      </c>
      <c r="FF193">
        <v>1155.57538461538</v>
      </c>
      <c r="FG193">
        <v>39.44</v>
      </c>
      <c r="FH193">
        <v>0</v>
      </c>
      <c r="FI193">
        <v>1079.60000014305</v>
      </c>
      <c r="FJ193">
        <v>0</v>
      </c>
      <c r="FK193">
        <v>1293.6912</v>
      </c>
      <c r="FL193">
        <v>7.1323076942029</v>
      </c>
      <c r="FM193">
        <v>56.1384615317551</v>
      </c>
      <c r="FN193">
        <v>15247.392</v>
      </c>
      <c r="FO193">
        <v>15</v>
      </c>
      <c r="FP193">
        <v>0</v>
      </c>
      <c r="FQ193" t="s">
        <v>439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-47.8762714285714</v>
      </c>
      <c r="GD193">
        <v>-1.58793506493512</v>
      </c>
      <c r="GE193">
        <v>0.600355079965861</v>
      </c>
      <c r="GF193">
        <v>0</v>
      </c>
      <c r="GG193">
        <v>1293.27441176471</v>
      </c>
      <c r="GH193">
        <v>7.52742551934449</v>
      </c>
      <c r="GI193">
        <v>0.771252576224006</v>
      </c>
      <c r="GJ193">
        <v>-1</v>
      </c>
      <c r="GK193">
        <v>2.15210238095238</v>
      </c>
      <c r="GL193">
        <v>0.0419158441558442</v>
      </c>
      <c r="GM193">
        <v>0.00505101678096024</v>
      </c>
      <c r="GN193">
        <v>1</v>
      </c>
      <c r="GO193">
        <v>1</v>
      </c>
      <c r="GP193">
        <v>2</v>
      </c>
      <c r="GQ193" t="s">
        <v>446</v>
      </c>
      <c r="GR193">
        <v>3.13073</v>
      </c>
      <c r="GS193">
        <v>2.68687</v>
      </c>
      <c r="GT193">
        <v>0.182003</v>
      </c>
      <c r="GU193">
        <v>0.187262</v>
      </c>
      <c r="GV193">
        <v>0.0619217</v>
      </c>
      <c r="GW193">
        <v>0.0529308</v>
      </c>
      <c r="GX193">
        <v>31000.7</v>
      </c>
      <c r="GY193">
        <v>33098</v>
      </c>
      <c r="GZ193">
        <v>34262.8</v>
      </c>
      <c r="HA193">
        <v>36845.4</v>
      </c>
      <c r="HB193">
        <v>45347.4</v>
      </c>
      <c r="HC193">
        <v>50048.4</v>
      </c>
      <c r="HD193">
        <v>53336.7</v>
      </c>
      <c r="HE193">
        <v>58772.3</v>
      </c>
      <c r="HF193">
        <v>2.00783</v>
      </c>
      <c r="HG193">
        <v>1.8377</v>
      </c>
      <c r="HH193">
        <v>0.00922382</v>
      </c>
      <c r="HI193">
        <v>0</v>
      </c>
      <c r="HJ193">
        <v>17.8509</v>
      </c>
      <c r="HK193">
        <v>999.9</v>
      </c>
      <c r="HL193">
        <v>26.584</v>
      </c>
      <c r="HM193">
        <v>30.424</v>
      </c>
      <c r="HN193">
        <v>12.9161</v>
      </c>
      <c r="HO193">
        <v>53.9728</v>
      </c>
      <c r="HP193">
        <v>44.387</v>
      </c>
      <c r="HQ193">
        <v>1</v>
      </c>
      <c r="HR193">
        <v>-0.261004</v>
      </c>
      <c r="HS193">
        <v>4.72381</v>
      </c>
      <c r="HT193">
        <v>20.0733</v>
      </c>
      <c r="HU193">
        <v>5.20291</v>
      </c>
      <c r="HV193">
        <v>12.004</v>
      </c>
      <c r="HW193">
        <v>4.97535</v>
      </c>
      <c r="HX193">
        <v>3.29298</v>
      </c>
      <c r="HY193">
        <v>9999</v>
      </c>
      <c r="HZ193">
        <v>999.9</v>
      </c>
      <c r="IA193">
        <v>9999</v>
      </c>
      <c r="IB193">
        <v>9999</v>
      </c>
      <c r="IC193">
        <v>1.8632</v>
      </c>
      <c r="ID193">
        <v>1.8681</v>
      </c>
      <c r="IE193">
        <v>1.86783</v>
      </c>
      <c r="IF193">
        <v>1.86905</v>
      </c>
      <c r="IG193">
        <v>1.86981</v>
      </c>
      <c r="IH193">
        <v>1.86586</v>
      </c>
      <c r="II193">
        <v>1.86691</v>
      </c>
      <c r="IJ193">
        <v>1.86837</v>
      </c>
      <c r="IK193">
        <v>5</v>
      </c>
      <c r="IL193">
        <v>0</v>
      </c>
      <c r="IM193">
        <v>0</v>
      </c>
      <c r="IN193">
        <v>0</v>
      </c>
      <c r="IO193" t="s">
        <v>441</v>
      </c>
      <c r="IP193" t="s">
        <v>442</v>
      </c>
      <c r="IQ193" t="s">
        <v>443</v>
      </c>
      <c r="IR193" t="s">
        <v>443</v>
      </c>
      <c r="IS193" t="s">
        <v>443</v>
      </c>
      <c r="IT193" t="s">
        <v>443</v>
      </c>
      <c r="IU193">
        <v>0</v>
      </c>
      <c r="IV193">
        <v>100</v>
      </c>
      <c r="IW193">
        <v>100</v>
      </c>
      <c r="IX193">
        <v>5.48</v>
      </c>
      <c r="IY193">
        <v>-0.1104</v>
      </c>
      <c r="IZ193">
        <v>1.12474291219083</v>
      </c>
      <c r="JA193">
        <v>0.00463155566490582</v>
      </c>
      <c r="JB193">
        <v>-1.1358998729424e-06</v>
      </c>
      <c r="JC193">
        <v>3.28704272115545e-10</v>
      </c>
      <c r="JD193">
        <v>-0.0704455108513773</v>
      </c>
      <c r="JE193">
        <v>-0.0251928478371425</v>
      </c>
      <c r="JF193">
        <v>0.00225751704194564</v>
      </c>
      <c r="JG193">
        <v>-3.61734043746866e-05</v>
      </c>
      <c r="JH193">
        <v>1</v>
      </c>
      <c r="JI193">
        <v>2182</v>
      </c>
      <c r="JJ193">
        <v>0</v>
      </c>
      <c r="JK193">
        <v>24</v>
      </c>
      <c r="JL193">
        <v>29349870.4</v>
      </c>
      <c r="JM193">
        <v>29349870.4</v>
      </c>
      <c r="JN193">
        <v>2.37793</v>
      </c>
      <c r="JO193">
        <v>2.60132</v>
      </c>
      <c r="JP193">
        <v>1.54785</v>
      </c>
      <c r="JQ193">
        <v>2.31445</v>
      </c>
      <c r="JR193">
        <v>1.64673</v>
      </c>
      <c r="JS193">
        <v>2.39136</v>
      </c>
      <c r="JT193">
        <v>33.6254</v>
      </c>
      <c r="JU193">
        <v>24.1838</v>
      </c>
      <c r="JV193">
        <v>18</v>
      </c>
      <c r="JW193">
        <v>500.668</v>
      </c>
      <c r="JX193">
        <v>394.889</v>
      </c>
      <c r="JY193">
        <v>11.5454</v>
      </c>
      <c r="JZ193">
        <v>23.9933</v>
      </c>
      <c r="KA193">
        <v>30.0003</v>
      </c>
      <c r="KB193">
        <v>23.9848</v>
      </c>
      <c r="KC193">
        <v>23.9527</v>
      </c>
      <c r="KD193">
        <v>47.6881</v>
      </c>
      <c r="KE193">
        <v>7.60339</v>
      </c>
      <c r="KF193">
        <v>26.5359</v>
      </c>
      <c r="KG193">
        <v>11.5412</v>
      </c>
      <c r="KH193">
        <v>1232.6</v>
      </c>
      <c r="KI193">
        <v>9.7744</v>
      </c>
      <c r="KJ193">
        <v>97.0352</v>
      </c>
      <c r="KK193">
        <v>95.2956</v>
      </c>
    </row>
    <row r="194" spans="1:297">
      <c r="A194">
        <v>178</v>
      </c>
      <c r="B194">
        <v>1760992229.1</v>
      </c>
      <c r="C194">
        <v>3039</v>
      </c>
      <c r="D194" t="s">
        <v>809</v>
      </c>
      <c r="E194" t="s">
        <v>810</v>
      </c>
      <c r="F194">
        <v>5</v>
      </c>
      <c r="G194" t="s">
        <v>662</v>
      </c>
      <c r="H194" t="s">
        <v>436</v>
      </c>
      <c r="I194">
        <v>1760992220.94615</v>
      </c>
      <c r="J194">
        <f>(K194)/1000</f>
        <v>0</v>
      </c>
      <c r="K194">
        <f>IF(DP194, AN194, AH194)</f>
        <v>0</v>
      </c>
      <c r="L194">
        <f>IF(DP194, AI194, AG194)</f>
        <v>0</v>
      </c>
      <c r="M194">
        <f>DR194 - IF(AU194&gt;1, L194*DL194*100.0/(AW194), 0)</f>
        <v>0</v>
      </c>
      <c r="N194">
        <f>((T194-J194/2)*M194-L194)/(T194+J194/2)</f>
        <v>0</v>
      </c>
      <c r="O194">
        <f>N194*(DY194+DZ194)/1000.0</f>
        <v>0</v>
      </c>
      <c r="P194">
        <f>(DR194 - IF(AU194&gt;1, L194*DL194*100.0/(AW194), 0))*(DY194+DZ194)/1000.0</f>
        <v>0</v>
      </c>
      <c r="Q194">
        <f>2.0/((1/S194-1/R194)+SIGN(S194)*SQRT((1/S194-1/R194)*(1/S194-1/R194) + 4*DM194/((DM194+1)*(DM194+1))*(2*1/S194*1/R194-1/R194*1/R194)))</f>
        <v>0</v>
      </c>
      <c r="R194">
        <f>IF(LEFT(DN194,1)&lt;&gt;"0",IF(LEFT(DN194,1)="1",3.0,DO194),$D$5+$E$5*(EF194*DY194/($K$5*1000))+$F$5*(EF194*DY194/($K$5*1000))*MAX(MIN(DL194,$J$5),$I$5)*MAX(MIN(DL194,$J$5),$I$5)+$G$5*MAX(MIN(DL194,$J$5),$I$5)*(EF194*DY194/($K$5*1000))+$H$5*(EF194*DY194/($K$5*1000))*(EF194*DY194/($K$5*1000)))</f>
        <v>0</v>
      </c>
      <c r="S194">
        <f>J194*(1000-(1000*0.61365*exp(17.502*W194/(240.97+W194))/(DY194+DZ194)+DT194)/2)/(1000*0.61365*exp(17.502*W194/(240.97+W194))/(DY194+DZ194)-DT194)</f>
        <v>0</v>
      </c>
      <c r="T194">
        <f>1/((DM194+1)/(Q194/1.6)+1/(R194/1.37)) + DM194/((DM194+1)/(Q194/1.6) + DM194/(R194/1.37))</f>
        <v>0</v>
      </c>
      <c r="U194">
        <f>(DH194*DK194)</f>
        <v>0</v>
      </c>
      <c r="V194">
        <f>(EA194+(U194+2*0.95*5.67E-8*(((EA194+$B$7)+273)^4-(EA194+273)^4)-44100*J194)/(1.84*29.3*R194+8*0.95*5.67E-8*(EA194+273)^3))</f>
        <v>0</v>
      </c>
      <c r="W194">
        <f>($C$7*EB194+$D$7*EC194+$E$7*V194)</f>
        <v>0</v>
      </c>
      <c r="X194">
        <f>0.61365*exp(17.502*W194/(240.97+W194))</f>
        <v>0</v>
      </c>
      <c r="Y194">
        <f>(Z194/AA194*100)</f>
        <v>0</v>
      </c>
      <c r="Z194">
        <f>DT194*(DY194+DZ194)/1000</f>
        <v>0</v>
      </c>
      <c r="AA194">
        <f>0.61365*exp(17.502*EA194/(240.97+EA194))</f>
        <v>0</v>
      </c>
      <c r="AB194">
        <f>(X194-DT194*(DY194+DZ194)/1000)</f>
        <v>0</v>
      </c>
      <c r="AC194">
        <f>(-J194*44100)</f>
        <v>0</v>
      </c>
      <c r="AD194">
        <f>2*29.3*R194*0.92*(EA194-W194)</f>
        <v>0</v>
      </c>
      <c r="AE194">
        <f>2*0.95*5.67E-8*(((EA194+$B$7)+273)^4-(W194+273)^4)</f>
        <v>0</v>
      </c>
      <c r="AF194">
        <f>U194+AE194+AC194+AD194</f>
        <v>0</v>
      </c>
      <c r="AG194">
        <f>DX194*AU194*(DS194-DR194*(1000-AU194*DU194)/(1000-AU194*DT194))/(100*DL194)</f>
        <v>0</v>
      </c>
      <c r="AH194">
        <f>1000*DX194*AU194*(DT194-DU194)/(100*DL194*(1000-AU194*DT194))</f>
        <v>0</v>
      </c>
      <c r="AI194">
        <f>(AJ194 - AK194 - DY194*1E3/(8.314*(EA194+273.15)) * AM194/DX194 * AL194) * DX194/(100*DL194) * (1000 - DU194)/1000</f>
        <v>0</v>
      </c>
      <c r="AJ194">
        <v>1232.58883089213</v>
      </c>
      <c r="AK194">
        <v>1193.92090909091</v>
      </c>
      <c r="AL194">
        <v>3.39986960327879</v>
      </c>
      <c r="AM194">
        <v>65.2210784119795</v>
      </c>
      <c r="AN194">
        <f>(AP194 - AO194 + DY194*1E3/(8.314*(EA194+273.15)) * AR194/DX194 * AQ194) * DX194/(100*DL194) * 1000/(1000 - AP194)</f>
        <v>0</v>
      </c>
      <c r="AO194">
        <v>9.71622974950683</v>
      </c>
      <c r="AP194">
        <v>11.8708939393939</v>
      </c>
      <c r="AQ194">
        <v>-7.44898199406791e-06</v>
      </c>
      <c r="AR194">
        <v>115.574510355221</v>
      </c>
      <c r="AS194">
        <v>0</v>
      </c>
      <c r="AT194">
        <v>0</v>
      </c>
      <c r="AU194">
        <f>IF(AS194*$H$13&gt;=AW194,1.0,(AW194/(AW194-AS194*$H$13)))</f>
        <v>0</v>
      </c>
      <c r="AV194">
        <f>(AU194-1)*100</f>
        <v>0</v>
      </c>
      <c r="AW194">
        <f>MAX(0,($B$13+$C$13*EF194)/(1+$D$13*EF194)*DY194/(EA194+273)*$E$13)</f>
        <v>0</v>
      </c>
      <c r="AX194" t="s">
        <v>437</v>
      </c>
      <c r="AY194" t="s">
        <v>437</v>
      </c>
      <c r="AZ194">
        <v>0</v>
      </c>
      <c r="BA194">
        <v>0</v>
      </c>
      <c r="BB194">
        <f>1-AZ194/BA194</f>
        <v>0</v>
      </c>
      <c r="BC194">
        <v>0</v>
      </c>
      <c r="BD194" t="s">
        <v>437</v>
      </c>
      <c r="BE194" t="s">
        <v>437</v>
      </c>
      <c r="BF194">
        <v>0</v>
      </c>
      <c r="BG194">
        <v>0</v>
      </c>
      <c r="BH194">
        <f>1-BF194/BG194</f>
        <v>0</v>
      </c>
      <c r="BI194">
        <v>0.5</v>
      </c>
      <c r="BJ194">
        <f>DI194</f>
        <v>0</v>
      </c>
      <c r="BK194">
        <f>L194</f>
        <v>0</v>
      </c>
      <c r="BL194">
        <f>BH194*BI194*BJ194</f>
        <v>0</v>
      </c>
      <c r="BM194">
        <f>(BK194-BC194)/BJ194</f>
        <v>0</v>
      </c>
      <c r="BN194">
        <f>(BA194-BG194)/BG194</f>
        <v>0</v>
      </c>
      <c r="BO194">
        <f>AZ194/(BB194+AZ194/BG194)</f>
        <v>0</v>
      </c>
      <c r="BP194" t="s">
        <v>437</v>
      </c>
      <c r="BQ194">
        <v>0</v>
      </c>
      <c r="BR194">
        <f>IF(BQ194&lt;&gt;0, BQ194, BO194)</f>
        <v>0</v>
      </c>
      <c r="BS194">
        <f>1-BR194/BG194</f>
        <v>0</v>
      </c>
      <c r="BT194">
        <f>(BG194-BF194)/(BG194-BR194)</f>
        <v>0</v>
      </c>
      <c r="BU194">
        <f>(BA194-BG194)/(BA194-BR194)</f>
        <v>0</v>
      </c>
      <c r="BV194">
        <f>(BG194-BF194)/(BG194-AZ194)</f>
        <v>0</v>
      </c>
      <c r="BW194">
        <f>(BA194-BG194)/(BA194-AZ194)</f>
        <v>0</v>
      </c>
      <c r="BX194">
        <f>(BT194*BR194/BF194)</f>
        <v>0</v>
      </c>
      <c r="BY194">
        <f>(1-BX194)</f>
        <v>0</v>
      </c>
      <c r="BZ194">
        <v>282</v>
      </c>
      <c r="CA194">
        <v>290</v>
      </c>
      <c r="CB194">
        <v>1577.74</v>
      </c>
      <c r="CC194">
        <v>295</v>
      </c>
      <c r="CD194">
        <v>5140.93</v>
      </c>
      <c r="CE194">
        <v>1578.58</v>
      </c>
      <c r="CF194">
        <v>-0.84</v>
      </c>
      <c r="CG194">
        <v>300</v>
      </c>
      <c r="CH194">
        <v>23.8</v>
      </c>
      <c r="CI194">
        <v>1633.28263291266</v>
      </c>
      <c r="CJ194">
        <v>1.49577129053257</v>
      </c>
      <c r="CK194">
        <v>-28.1203876934379</v>
      </c>
      <c r="CL194">
        <v>0.666413418688897</v>
      </c>
      <c r="CM194">
        <v>0.984518017981194</v>
      </c>
      <c r="CN194">
        <v>-0.00424727541713014</v>
      </c>
      <c r="CO194">
        <v>290</v>
      </c>
      <c r="CP194">
        <v>1576.56</v>
      </c>
      <c r="CQ194">
        <v>775</v>
      </c>
      <c r="CR194">
        <v>5139.5</v>
      </c>
      <c r="CS194">
        <v>1578.57</v>
      </c>
      <c r="CT194">
        <v>-2.01</v>
      </c>
      <c r="DH194">
        <f>$B$11*EG194+$C$11*EH194+$F$11*ES194*(1-EV194)</f>
        <v>0</v>
      </c>
      <c r="DI194">
        <f>DH194*DJ194</f>
        <v>0</v>
      </c>
      <c r="DJ194">
        <f>($B$11*$D$9+$C$11*$D$9+$F$11*((FF194+EX194)/MAX(FF194+EX194+FG194, 0.1)*$I$9+FG194/MAX(FF194+EX194+FG194, 0.1)*$J$9))/($B$11+$C$11+$F$11)</f>
        <v>0</v>
      </c>
      <c r="DK194">
        <f>($B$11*$K$9+$C$11*$K$9+$F$11*((FF194+EX194)/MAX(FF194+EX194+FG194, 0.1)*$P$9+FG194/MAX(FF194+EX194+FG194, 0.1)*$Q$9))/($B$11+$C$11+$F$11)</f>
        <v>0</v>
      </c>
      <c r="DL194">
        <v>6</v>
      </c>
      <c r="DM194">
        <v>0.5</v>
      </c>
      <c r="DN194" t="s">
        <v>438</v>
      </c>
      <c r="DO194">
        <v>2</v>
      </c>
      <c r="DP194" t="b">
        <v>1</v>
      </c>
      <c r="DQ194">
        <v>1760992220.94615</v>
      </c>
      <c r="DR194">
        <v>1156.37307692308</v>
      </c>
      <c r="DS194">
        <v>1204.74076923077</v>
      </c>
      <c r="DT194">
        <v>11.8734384615385</v>
      </c>
      <c r="DU194">
        <v>9.71813769230769</v>
      </c>
      <c r="DV194">
        <v>1150.92153846154</v>
      </c>
      <c r="DW194">
        <v>11.9838307692308</v>
      </c>
      <c r="DX194">
        <v>500.028538461538</v>
      </c>
      <c r="DY194">
        <v>89.8457769230769</v>
      </c>
      <c r="DZ194">
        <v>0.00887230461538461</v>
      </c>
      <c r="EA194">
        <v>18.3998692307692</v>
      </c>
      <c r="EB194">
        <v>18.0028</v>
      </c>
      <c r="EC194">
        <v>999.9</v>
      </c>
      <c r="ED194">
        <v>0</v>
      </c>
      <c r="EE194">
        <v>0</v>
      </c>
      <c r="EF194">
        <v>9982.74076923077</v>
      </c>
      <c r="EG194">
        <v>0</v>
      </c>
      <c r="EH194">
        <v>1278.61615384615</v>
      </c>
      <c r="EI194">
        <v>-48.3667076923077</v>
      </c>
      <c r="EJ194">
        <v>1170.27</v>
      </c>
      <c r="EK194">
        <v>1216.56384615385</v>
      </c>
      <c r="EL194">
        <v>2.15530538461538</v>
      </c>
      <c r="EM194">
        <v>1204.74076923077</v>
      </c>
      <c r="EN194">
        <v>9.71813769230769</v>
      </c>
      <c r="EO194">
        <v>1.06677846153846</v>
      </c>
      <c r="EP194">
        <v>0.873133769230769</v>
      </c>
      <c r="EQ194">
        <v>7.86182</v>
      </c>
      <c r="ER194">
        <v>4.95537923076923</v>
      </c>
      <c r="ES194">
        <v>1200.01461538462</v>
      </c>
      <c r="ET194">
        <v>0.966995307692308</v>
      </c>
      <c r="EU194">
        <v>0.0330046615384615</v>
      </c>
      <c r="EV194">
        <v>0</v>
      </c>
      <c r="EW194">
        <v>1294.16153846154</v>
      </c>
      <c r="EX194">
        <v>5.00059</v>
      </c>
      <c r="EY194">
        <v>15250.8230769231</v>
      </c>
      <c r="EZ194">
        <v>10358.8307692308</v>
      </c>
      <c r="FA194">
        <v>37.1632307692308</v>
      </c>
      <c r="FB194">
        <v>38.7737692307692</v>
      </c>
      <c r="FC194">
        <v>37.5814615384615</v>
      </c>
      <c r="FD194">
        <v>38.0189230769231</v>
      </c>
      <c r="FE194">
        <v>38.0286153846154</v>
      </c>
      <c r="FF194">
        <v>1155.57461538462</v>
      </c>
      <c r="FG194">
        <v>39.44</v>
      </c>
      <c r="FH194">
        <v>0</v>
      </c>
      <c r="FI194">
        <v>1085</v>
      </c>
      <c r="FJ194">
        <v>0</v>
      </c>
      <c r="FK194">
        <v>1294.27884615385</v>
      </c>
      <c r="FL194">
        <v>5.52307692882342</v>
      </c>
      <c r="FM194">
        <v>43.2581196516429</v>
      </c>
      <c r="FN194">
        <v>15251.5576923077</v>
      </c>
      <c r="FO194">
        <v>15</v>
      </c>
      <c r="FP194">
        <v>0</v>
      </c>
      <c r="FQ194" t="s">
        <v>439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-48.24253</v>
      </c>
      <c r="GD194">
        <v>-3.15152481203001</v>
      </c>
      <c r="GE194">
        <v>0.700531307722931</v>
      </c>
      <c r="GF194">
        <v>0</v>
      </c>
      <c r="GG194">
        <v>1293.84676470588</v>
      </c>
      <c r="GH194">
        <v>6.78609625462127</v>
      </c>
      <c r="GI194">
        <v>0.698071800572359</v>
      </c>
      <c r="GJ194">
        <v>-1</v>
      </c>
      <c r="GK194">
        <v>2.154893</v>
      </c>
      <c r="GL194">
        <v>0.00333654135338184</v>
      </c>
      <c r="GM194">
        <v>0.00129502934329693</v>
      </c>
      <c r="GN194">
        <v>1</v>
      </c>
      <c r="GO194">
        <v>1</v>
      </c>
      <c r="GP194">
        <v>2</v>
      </c>
      <c r="GQ194" t="s">
        <v>446</v>
      </c>
      <c r="GR194">
        <v>3.13076</v>
      </c>
      <c r="GS194">
        <v>2.68677</v>
      </c>
      <c r="GT194">
        <v>0.183637</v>
      </c>
      <c r="GU194">
        <v>0.188737</v>
      </c>
      <c r="GV194">
        <v>0.061916</v>
      </c>
      <c r="GW194">
        <v>0.0529223</v>
      </c>
      <c r="GX194">
        <v>30938.9</v>
      </c>
      <c r="GY194">
        <v>33038.1</v>
      </c>
      <c r="GZ194">
        <v>34262.9</v>
      </c>
      <c r="HA194">
        <v>36845.4</v>
      </c>
      <c r="HB194">
        <v>45348</v>
      </c>
      <c r="HC194">
        <v>50048.9</v>
      </c>
      <c r="HD194">
        <v>53336.8</v>
      </c>
      <c r="HE194">
        <v>58772.1</v>
      </c>
      <c r="HF194">
        <v>2.0079</v>
      </c>
      <c r="HG194">
        <v>1.83773</v>
      </c>
      <c r="HH194">
        <v>0.00888482</v>
      </c>
      <c r="HI194">
        <v>0</v>
      </c>
      <c r="HJ194">
        <v>17.8504</v>
      </c>
      <c r="HK194">
        <v>999.9</v>
      </c>
      <c r="HL194">
        <v>26.56</v>
      </c>
      <c r="HM194">
        <v>30.424</v>
      </c>
      <c r="HN194">
        <v>12.9048</v>
      </c>
      <c r="HO194">
        <v>54.4028</v>
      </c>
      <c r="HP194">
        <v>44.371</v>
      </c>
      <c r="HQ194">
        <v>1</v>
      </c>
      <c r="HR194">
        <v>-0.260976</v>
      </c>
      <c r="HS194">
        <v>4.72458</v>
      </c>
      <c r="HT194">
        <v>20.0732</v>
      </c>
      <c r="HU194">
        <v>5.20321</v>
      </c>
      <c r="HV194">
        <v>12.004</v>
      </c>
      <c r="HW194">
        <v>4.9757</v>
      </c>
      <c r="HX194">
        <v>3.293</v>
      </c>
      <c r="HY194">
        <v>9999</v>
      </c>
      <c r="HZ194">
        <v>999.9</v>
      </c>
      <c r="IA194">
        <v>9999</v>
      </c>
      <c r="IB194">
        <v>9999</v>
      </c>
      <c r="IC194">
        <v>1.86323</v>
      </c>
      <c r="ID194">
        <v>1.86808</v>
      </c>
      <c r="IE194">
        <v>1.86783</v>
      </c>
      <c r="IF194">
        <v>1.86905</v>
      </c>
      <c r="IG194">
        <v>1.86981</v>
      </c>
      <c r="IH194">
        <v>1.8659</v>
      </c>
      <c r="II194">
        <v>1.86693</v>
      </c>
      <c r="IJ194">
        <v>1.86836</v>
      </c>
      <c r="IK194">
        <v>5</v>
      </c>
      <c r="IL194">
        <v>0</v>
      </c>
      <c r="IM194">
        <v>0</v>
      </c>
      <c r="IN194">
        <v>0</v>
      </c>
      <c r="IO194" t="s">
        <v>441</v>
      </c>
      <c r="IP194" t="s">
        <v>442</v>
      </c>
      <c r="IQ194" t="s">
        <v>443</v>
      </c>
      <c r="IR194" t="s">
        <v>443</v>
      </c>
      <c r="IS194" t="s">
        <v>443</v>
      </c>
      <c r="IT194" t="s">
        <v>443</v>
      </c>
      <c r="IU194">
        <v>0</v>
      </c>
      <c r="IV194">
        <v>100</v>
      </c>
      <c r="IW194">
        <v>100</v>
      </c>
      <c r="IX194">
        <v>5.54</v>
      </c>
      <c r="IY194">
        <v>-0.1105</v>
      </c>
      <c r="IZ194">
        <v>1.12474291219083</v>
      </c>
      <c r="JA194">
        <v>0.00463155566490582</v>
      </c>
      <c r="JB194">
        <v>-1.1358998729424e-06</v>
      </c>
      <c r="JC194">
        <v>3.28704272115545e-10</v>
      </c>
      <c r="JD194">
        <v>-0.0704455108513773</v>
      </c>
      <c r="JE194">
        <v>-0.0251928478371425</v>
      </c>
      <c r="JF194">
        <v>0.00225751704194564</v>
      </c>
      <c r="JG194">
        <v>-3.61734043746866e-05</v>
      </c>
      <c r="JH194">
        <v>1</v>
      </c>
      <c r="JI194">
        <v>2182</v>
      </c>
      <c r="JJ194">
        <v>0</v>
      </c>
      <c r="JK194">
        <v>24</v>
      </c>
      <c r="JL194">
        <v>29349870.5</v>
      </c>
      <c r="JM194">
        <v>29349870.5</v>
      </c>
      <c r="JN194">
        <v>2.40479</v>
      </c>
      <c r="JO194">
        <v>2.60376</v>
      </c>
      <c r="JP194">
        <v>1.54785</v>
      </c>
      <c r="JQ194">
        <v>2.31323</v>
      </c>
      <c r="JR194">
        <v>1.64551</v>
      </c>
      <c r="JS194">
        <v>2.39624</v>
      </c>
      <c r="JT194">
        <v>33.6254</v>
      </c>
      <c r="JU194">
        <v>24.1838</v>
      </c>
      <c r="JV194">
        <v>18</v>
      </c>
      <c r="JW194">
        <v>500.717</v>
      </c>
      <c r="JX194">
        <v>394.902</v>
      </c>
      <c r="JY194">
        <v>11.542</v>
      </c>
      <c r="JZ194">
        <v>23.9954</v>
      </c>
      <c r="KA194">
        <v>30</v>
      </c>
      <c r="KB194">
        <v>23.9848</v>
      </c>
      <c r="KC194">
        <v>23.9527</v>
      </c>
      <c r="KD194">
        <v>48.174</v>
      </c>
      <c r="KE194">
        <v>7.60339</v>
      </c>
      <c r="KF194">
        <v>26.5359</v>
      </c>
      <c r="KG194">
        <v>11.5392</v>
      </c>
      <c r="KH194">
        <v>1246.18</v>
      </c>
      <c r="KI194">
        <v>9.7744</v>
      </c>
      <c r="KJ194">
        <v>97.0354</v>
      </c>
      <c r="KK194">
        <v>95.2955</v>
      </c>
    </row>
    <row r="195" spans="1:297">
      <c r="A195">
        <v>179</v>
      </c>
      <c r="B195">
        <v>1760992234.1</v>
      </c>
      <c r="C195">
        <v>3044</v>
      </c>
      <c r="D195" t="s">
        <v>811</v>
      </c>
      <c r="E195" t="s">
        <v>812</v>
      </c>
      <c r="F195">
        <v>5</v>
      </c>
      <c r="G195" t="s">
        <v>662</v>
      </c>
      <c r="H195" t="s">
        <v>436</v>
      </c>
      <c r="I195">
        <v>1760992225.94615</v>
      </c>
      <c r="J195">
        <f>(K195)/1000</f>
        <v>0</v>
      </c>
      <c r="K195">
        <f>IF(DP195, AN195, AH195)</f>
        <v>0</v>
      </c>
      <c r="L195">
        <f>IF(DP195, AI195, AG195)</f>
        <v>0</v>
      </c>
      <c r="M195">
        <f>DR195 - IF(AU195&gt;1, L195*DL195*100.0/(AW195), 0)</f>
        <v>0</v>
      </c>
      <c r="N195">
        <f>((T195-J195/2)*M195-L195)/(T195+J195/2)</f>
        <v>0</v>
      </c>
      <c r="O195">
        <f>N195*(DY195+DZ195)/1000.0</f>
        <v>0</v>
      </c>
      <c r="P195">
        <f>(DR195 - IF(AU195&gt;1, L195*DL195*100.0/(AW195), 0))*(DY195+DZ195)/1000.0</f>
        <v>0</v>
      </c>
      <c r="Q195">
        <f>2.0/((1/S195-1/R195)+SIGN(S195)*SQRT((1/S195-1/R195)*(1/S195-1/R195) + 4*DM195/((DM195+1)*(DM195+1))*(2*1/S195*1/R195-1/R195*1/R195)))</f>
        <v>0</v>
      </c>
      <c r="R195">
        <f>IF(LEFT(DN195,1)&lt;&gt;"0",IF(LEFT(DN195,1)="1",3.0,DO195),$D$5+$E$5*(EF195*DY195/($K$5*1000))+$F$5*(EF195*DY195/($K$5*1000))*MAX(MIN(DL195,$J$5),$I$5)*MAX(MIN(DL195,$J$5),$I$5)+$G$5*MAX(MIN(DL195,$J$5),$I$5)*(EF195*DY195/($K$5*1000))+$H$5*(EF195*DY195/($K$5*1000))*(EF195*DY195/($K$5*1000)))</f>
        <v>0</v>
      </c>
      <c r="S195">
        <f>J195*(1000-(1000*0.61365*exp(17.502*W195/(240.97+W195))/(DY195+DZ195)+DT195)/2)/(1000*0.61365*exp(17.502*W195/(240.97+W195))/(DY195+DZ195)-DT195)</f>
        <v>0</v>
      </c>
      <c r="T195">
        <f>1/((DM195+1)/(Q195/1.6)+1/(R195/1.37)) + DM195/((DM195+1)/(Q195/1.6) + DM195/(R195/1.37))</f>
        <v>0</v>
      </c>
      <c r="U195">
        <f>(DH195*DK195)</f>
        <v>0</v>
      </c>
      <c r="V195">
        <f>(EA195+(U195+2*0.95*5.67E-8*(((EA195+$B$7)+273)^4-(EA195+273)^4)-44100*J195)/(1.84*29.3*R195+8*0.95*5.67E-8*(EA195+273)^3))</f>
        <v>0</v>
      </c>
      <c r="W195">
        <f>($C$7*EB195+$D$7*EC195+$E$7*V195)</f>
        <v>0</v>
      </c>
      <c r="X195">
        <f>0.61365*exp(17.502*W195/(240.97+W195))</f>
        <v>0</v>
      </c>
      <c r="Y195">
        <f>(Z195/AA195*100)</f>
        <v>0</v>
      </c>
      <c r="Z195">
        <f>DT195*(DY195+DZ195)/1000</f>
        <v>0</v>
      </c>
      <c r="AA195">
        <f>0.61365*exp(17.502*EA195/(240.97+EA195))</f>
        <v>0</v>
      </c>
      <c r="AB195">
        <f>(X195-DT195*(DY195+DZ195)/1000)</f>
        <v>0</v>
      </c>
      <c r="AC195">
        <f>(-J195*44100)</f>
        <v>0</v>
      </c>
      <c r="AD195">
        <f>2*29.3*R195*0.92*(EA195-W195)</f>
        <v>0</v>
      </c>
      <c r="AE195">
        <f>2*0.95*5.67E-8*(((EA195+$B$7)+273)^4-(W195+273)^4)</f>
        <v>0</v>
      </c>
      <c r="AF195">
        <f>U195+AE195+AC195+AD195</f>
        <v>0</v>
      </c>
      <c r="AG195">
        <f>DX195*AU195*(DS195-DR195*(1000-AU195*DU195)/(1000-AU195*DT195))/(100*DL195)</f>
        <v>0</v>
      </c>
      <c r="AH195">
        <f>1000*DX195*AU195*(DT195-DU195)/(100*DL195*(1000-AU195*DT195))</f>
        <v>0</v>
      </c>
      <c r="AI195">
        <f>(AJ195 - AK195 - DY195*1E3/(8.314*(EA195+273.15)) * AM195/DX195 * AL195) * DX195/(100*DL195) * (1000 - DU195)/1000</f>
        <v>0</v>
      </c>
      <c r="AJ195">
        <v>1248.07947491305</v>
      </c>
      <c r="AK195">
        <v>1210.11945454545</v>
      </c>
      <c r="AL195">
        <v>3.24803394043478</v>
      </c>
      <c r="AM195">
        <v>65.2210784119795</v>
      </c>
      <c r="AN195">
        <f>(AP195 - AO195 + DY195*1E3/(8.314*(EA195+273.15)) * AR195/DX195 * AQ195) * DX195/(100*DL195) * 1000/(1000 - AP195)</f>
        <v>0</v>
      </c>
      <c r="AO195">
        <v>9.71457406668858</v>
      </c>
      <c r="AP195">
        <v>11.8695309090909</v>
      </c>
      <c r="AQ195">
        <v>-8.38989348640621e-06</v>
      </c>
      <c r="AR195">
        <v>115.574510355221</v>
      </c>
      <c r="AS195">
        <v>0</v>
      </c>
      <c r="AT195">
        <v>0</v>
      </c>
      <c r="AU195">
        <f>IF(AS195*$H$13&gt;=AW195,1.0,(AW195/(AW195-AS195*$H$13)))</f>
        <v>0</v>
      </c>
      <c r="AV195">
        <f>(AU195-1)*100</f>
        <v>0</v>
      </c>
      <c r="AW195">
        <f>MAX(0,($B$13+$C$13*EF195)/(1+$D$13*EF195)*DY195/(EA195+273)*$E$13)</f>
        <v>0</v>
      </c>
      <c r="AX195" t="s">
        <v>437</v>
      </c>
      <c r="AY195" t="s">
        <v>437</v>
      </c>
      <c r="AZ195">
        <v>0</v>
      </c>
      <c r="BA195">
        <v>0</v>
      </c>
      <c r="BB195">
        <f>1-AZ195/BA195</f>
        <v>0</v>
      </c>
      <c r="BC195">
        <v>0</v>
      </c>
      <c r="BD195" t="s">
        <v>437</v>
      </c>
      <c r="BE195" t="s">
        <v>437</v>
      </c>
      <c r="BF195">
        <v>0</v>
      </c>
      <c r="BG195">
        <v>0</v>
      </c>
      <c r="BH195">
        <f>1-BF195/BG195</f>
        <v>0</v>
      </c>
      <c r="BI195">
        <v>0.5</v>
      </c>
      <c r="BJ195">
        <f>DI195</f>
        <v>0</v>
      </c>
      <c r="BK195">
        <f>L195</f>
        <v>0</v>
      </c>
      <c r="BL195">
        <f>BH195*BI195*BJ195</f>
        <v>0</v>
      </c>
      <c r="BM195">
        <f>(BK195-BC195)/BJ195</f>
        <v>0</v>
      </c>
      <c r="BN195">
        <f>(BA195-BG195)/BG195</f>
        <v>0</v>
      </c>
      <c r="BO195">
        <f>AZ195/(BB195+AZ195/BG195)</f>
        <v>0</v>
      </c>
      <c r="BP195" t="s">
        <v>437</v>
      </c>
      <c r="BQ195">
        <v>0</v>
      </c>
      <c r="BR195">
        <f>IF(BQ195&lt;&gt;0, BQ195, BO195)</f>
        <v>0</v>
      </c>
      <c r="BS195">
        <f>1-BR195/BG195</f>
        <v>0</v>
      </c>
      <c r="BT195">
        <f>(BG195-BF195)/(BG195-BR195)</f>
        <v>0</v>
      </c>
      <c r="BU195">
        <f>(BA195-BG195)/(BA195-BR195)</f>
        <v>0</v>
      </c>
      <c r="BV195">
        <f>(BG195-BF195)/(BG195-AZ195)</f>
        <v>0</v>
      </c>
      <c r="BW195">
        <f>(BA195-BG195)/(BA195-AZ195)</f>
        <v>0</v>
      </c>
      <c r="BX195">
        <f>(BT195*BR195/BF195)</f>
        <v>0</v>
      </c>
      <c r="BY195">
        <f>(1-BX195)</f>
        <v>0</v>
      </c>
      <c r="BZ195">
        <v>282</v>
      </c>
      <c r="CA195">
        <v>290</v>
      </c>
      <c r="CB195">
        <v>1577.74</v>
      </c>
      <c r="CC195">
        <v>295</v>
      </c>
      <c r="CD195">
        <v>5140.93</v>
      </c>
      <c r="CE195">
        <v>1578.58</v>
      </c>
      <c r="CF195">
        <v>-0.84</v>
      </c>
      <c r="CG195">
        <v>300</v>
      </c>
      <c r="CH195">
        <v>23.8</v>
      </c>
      <c r="CI195">
        <v>1633.28263291266</v>
      </c>
      <c r="CJ195">
        <v>1.49577129053257</v>
      </c>
      <c r="CK195">
        <v>-28.1203876934379</v>
      </c>
      <c r="CL195">
        <v>0.666413418688897</v>
      </c>
      <c r="CM195">
        <v>0.984518017981194</v>
      </c>
      <c r="CN195">
        <v>-0.00424727541713014</v>
      </c>
      <c r="CO195">
        <v>290</v>
      </c>
      <c r="CP195">
        <v>1576.56</v>
      </c>
      <c r="CQ195">
        <v>775</v>
      </c>
      <c r="CR195">
        <v>5139.5</v>
      </c>
      <c r="CS195">
        <v>1578.57</v>
      </c>
      <c r="CT195">
        <v>-2.01</v>
      </c>
      <c r="DH195">
        <f>$B$11*EG195+$C$11*EH195+$F$11*ES195*(1-EV195)</f>
        <v>0</v>
      </c>
      <c r="DI195">
        <f>DH195*DJ195</f>
        <v>0</v>
      </c>
      <c r="DJ195">
        <f>($B$11*$D$9+$C$11*$D$9+$F$11*((FF195+EX195)/MAX(FF195+EX195+FG195, 0.1)*$I$9+FG195/MAX(FF195+EX195+FG195, 0.1)*$J$9))/($B$11+$C$11+$F$11)</f>
        <v>0</v>
      </c>
      <c r="DK195">
        <f>($B$11*$K$9+$C$11*$K$9+$F$11*((FF195+EX195)/MAX(FF195+EX195+FG195, 0.1)*$P$9+FG195/MAX(FF195+EX195+FG195, 0.1)*$Q$9))/($B$11+$C$11+$F$11)</f>
        <v>0</v>
      </c>
      <c r="DL195">
        <v>6</v>
      </c>
      <c r="DM195">
        <v>0.5</v>
      </c>
      <c r="DN195" t="s">
        <v>438</v>
      </c>
      <c r="DO195">
        <v>2</v>
      </c>
      <c r="DP195" t="b">
        <v>1</v>
      </c>
      <c r="DQ195">
        <v>1760992225.94615</v>
      </c>
      <c r="DR195">
        <v>1172.53615384615</v>
      </c>
      <c r="DS195">
        <v>1220.77076923077</v>
      </c>
      <c r="DT195">
        <v>11.8716692307692</v>
      </c>
      <c r="DU195">
        <v>9.71661461538462</v>
      </c>
      <c r="DV195">
        <v>1167.03230769231</v>
      </c>
      <c r="DW195">
        <v>11.9820923076923</v>
      </c>
      <c r="DX195">
        <v>500.007769230769</v>
      </c>
      <c r="DY195">
        <v>89.8458384615385</v>
      </c>
      <c r="DZ195">
        <v>0.00887421307692308</v>
      </c>
      <c r="EA195">
        <v>18.3986307692308</v>
      </c>
      <c r="EB195">
        <v>18.0001384615385</v>
      </c>
      <c r="EC195">
        <v>999.9</v>
      </c>
      <c r="ED195">
        <v>0</v>
      </c>
      <c r="EE195">
        <v>0</v>
      </c>
      <c r="EF195">
        <v>9978.51</v>
      </c>
      <c r="EG195">
        <v>0</v>
      </c>
      <c r="EH195">
        <v>1278.59076923077</v>
      </c>
      <c r="EI195">
        <v>-48.2333923076923</v>
      </c>
      <c r="EJ195">
        <v>1186.62538461538</v>
      </c>
      <c r="EK195">
        <v>1232.74923076923</v>
      </c>
      <c r="EL195">
        <v>2.15505692307692</v>
      </c>
      <c r="EM195">
        <v>1220.77076923077</v>
      </c>
      <c r="EN195">
        <v>9.71661461538462</v>
      </c>
      <c r="EO195">
        <v>1.06662076923077</v>
      </c>
      <c r="EP195">
        <v>0.872997461538462</v>
      </c>
      <c r="EQ195">
        <v>7.85963846153846</v>
      </c>
      <c r="ER195">
        <v>4.95314076923077</v>
      </c>
      <c r="ES195">
        <v>1200.01153846154</v>
      </c>
      <c r="ET195">
        <v>0.966994615384615</v>
      </c>
      <c r="EU195">
        <v>0.0330053461538461</v>
      </c>
      <c r="EV195">
        <v>0</v>
      </c>
      <c r="EW195">
        <v>1294.60538461538</v>
      </c>
      <c r="EX195">
        <v>5.00059</v>
      </c>
      <c r="EY195">
        <v>15254</v>
      </c>
      <c r="EZ195">
        <v>10358.7923076923</v>
      </c>
      <c r="FA195">
        <v>37.1150769230769</v>
      </c>
      <c r="FB195">
        <v>38.7209230769231</v>
      </c>
      <c r="FC195">
        <v>37.5333846153846</v>
      </c>
      <c r="FD195">
        <v>37.9660769230769</v>
      </c>
      <c r="FE195">
        <v>37.9853076923077</v>
      </c>
      <c r="FF195">
        <v>1155.57153846154</v>
      </c>
      <c r="FG195">
        <v>39.44</v>
      </c>
      <c r="FH195">
        <v>0</v>
      </c>
      <c r="FI195">
        <v>1089.80000019073</v>
      </c>
      <c r="FJ195">
        <v>0</v>
      </c>
      <c r="FK195">
        <v>1294.705</v>
      </c>
      <c r="FL195">
        <v>5.54905983688418</v>
      </c>
      <c r="FM195">
        <v>34.8376068841751</v>
      </c>
      <c r="FN195">
        <v>15254.6615384615</v>
      </c>
      <c r="FO195">
        <v>15</v>
      </c>
      <c r="FP195">
        <v>0</v>
      </c>
      <c r="FQ195" t="s">
        <v>439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-48.3125380952381</v>
      </c>
      <c r="GD195">
        <v>0.574355844155732</v>
      </c>
      <c r="GE195">
        <v>0.632700985929666</v>
      </c>
      <c r="GF195">
        <v>0</v>
      </c>
      <c r="GG195">
        <v>1294.37647058824</v>
      </c>
      <c r="GH195">
        <v>5.6938120755179</v>
      </c>
      <c r="GI195">
        <v>0.587961995335135</v>
      </c>
      <c r="GJ195">
        <v>-1</v>
      </c>
      <c r="GK195">
        <v>2.15534047619048</v>
      </c>
      <c r="GL195">
        <v>-0.00311844155843644</v>
      </c>
      <c r="GM195">
        <v>0.000741539429581217</v>
      </c>
      <c r="GN195">
        <v>1</v>
      </c>
      <c r="GO195">
        <v>1</v>
      </c>
      <c r="GP195">
        <v>2</v>
      </c>
      <c r="GQ195" t="s">
        <v>446</v>
      </c>
      <c r="GR195">
        <v>3.13086</v>
      </c>
      <c r="GS195">
        <v>2.68683</v>
      </c>
      <c r="GT195">
        <v>0.185202</v>
      </c>
      <c r="GU195">
        <v>0.190277</v>
      </c>
      <c r="GV195">
        <v>0.0619091</v>
      </c>
      <c r="GW195">
        <v>0.0529258</v>
      </c>
      <c r="GX195">
        <v>30879.5</v>
      </c>
      <c r="GY195">
        <v>32975.6</v>
      </c>
      <c r="GZ195">
        <v>34262.7</v>
      </c>
      <c r="HA195">
        <v>36845.6</v>
      </c>
      <c r="HB195">
        <v>45348</v>
      </c>
      <c r="HC195">
        <v>50049.2</v>
      </c>
      <c r="HD195">
        <v>53336.2</v>
      </c>
      <c r="HE195">
        <v>58772.5</v>
      </c>
      <c r="HF195">
        <v>2.00802</v>
      </c>
      <c r="HG195">
        <v>1.83777</v>
      </c>
      <c r="HH195">
        <v>0.00948831</v>
      </c>
      <c r="HI195">
        <v>0</v>
      </c>
      <c r="HJ195">
        <v>17.8492</v>
      </c>
      <c r="HK195">
        <v>999.9</v>
      </c>
      <c r="HL195">
        <v>26.56</v>
      </c>
      <c r="HM195">
        <v>30.424</v>
      </c>
      <c r="HN195">
        <v>12.905</v>
      </c>
      <c r="HO195">
        <v>54.2028</v>
      </c>
      <c r="HP195">
        <v>44.3069</v>
      </c>
      <c r="HQ195">
        <v>1</v>
      </c>
      <c r="HR195">
        <v>-0.260854</v>
      </c>
      <c r="HS195">
        <v>4.71931</v>
      </c>
      <c r="HT195">
        <v>20.0735</v>
      </c>
      <c r="HU195">
        <v>5.20276</v>
      </c>
      <c r="HV195">
        <v>12.0041</v>
      </c>
      <c r="HW195">
        <v>4.97555</v>
      </c>
      <c r="HX195">
        <v>3.293</v>
      </c>
      <c r="HY195">
        <v>9999</v>
      </c>
      <c r="HZ195">
        <v>999.9</v>
      </c>
      <c r="IA195">
        <v>9999</v>
      </c>
      <c r="IB195">
        <v>9999</v>
      </c>
      <c r="IC195">
        <v>1.86319</v>
      </c>
      <c r="ID195">
        <v>1.86812</v>
      </c>
      <c r="IE195">
        <v>1.86783</v>
      </c>
      <c r="IF195">
        <v>1.86905</v>
      </c>
      <c r="IG195">
        <v>1.86981</v>
      </c>
      <c r="IH195">
        <v>1.86588</v>
      </c>
      <c r="II195">
        <v>1.86691</v>
      </c>
      <c r="IJ195">
        <v>1.86835</v>
      </c>
      <c r="IK195">
        <v>5</v>
      </c>
      <c r="IL195">
        <v>0</v>
      </c>
      <c r="IM195">
        <v>0</v>
      </c>
      <c r="IN195">
        <v>0</v>
      </c>
      <c r="IO195" t="s">
        <v>441</v>
      </c>
      <c r="IP195" t="s">
        <v>442</v>
      </c>
      <c r="IQ195" t="s">
        <v>443</v>
      </c>
      <c r="IR195" t="s">
        <v>443</v>
      </c>
      <c r="IS195" t="s">
        <v>443</v>
      </c>
      <c r="IT195" t="s">
        <v>443</v>
      </c>
      <c r="IU195">
        <v>0</v>
      </c>
      <c r="IV195">
        <v>100</v>
      </c>
      <c r="IW195">
        <v>100</v>
      </c>
      <c r="IX195">
        <v>5.59</v>
      </c>
      <c r="IY195">
        <v>-0.1104</v>
      </c>
      <c r="IZ195">
        <v>1.12474291219083</v>
      </c>
      <c r="JA195">
        <v>0.00463155566490582</v>
      </c>
      <c r="JB195">
        <v>-1.1358998729424e-06</v>
      </c>
      <c r="JC195">
        <v>3.28704272115545e-10</v>
      </c>
      <c r="JD195">
        <v>-0.0704455108513773</v>
      </c>
      <c r="JE195">
        <v>-0.0251928478371425</v>
      </c>
      <c r="JF195">
        <v>0.00225751704194564</v>
      </c>
      <c r="JG195">
        <v>-3.61734043746866e-05</v>
      </c>
      <c r="JH195">
        <v>1</v>
      </c>
      <c r="JI195">
        <v>2182</v>
      </c>
      <c r="JJ195">
        <v>0</v>
      </c>
      <c r="JK195">
        <v>24</v>
      </c>
      <c r="JL195">
        <v>29349870.6</v>
      </c>
      <c r="JM195">
        <v>29349870.6</v>
      </c>
      <c r="JN195">
        <v>2.43042</v>
      </c>
      <c r="JO195">
        <v>2.60498</v>
      </c>
      <c r="JP195">
        <v>1.54785</v>
      </c>
      <c r="JQ195">
        <v>2.31445</v>
      </c>
      <c r="JR195">
        <v>1.64673</v>
      </c>
      <c r="JS195">
        <v>2.37915</v>
      </c>
      <c r="JT195">
        <v>33.6254</v>
      </c>
      <c r="JU195">
        <v>24.1838</v>
      </c>
      <c r="JV195">
        <v>18</v>
      </c>
      <c r="JW195">
        <v>500.812</v>
      </c>
      <c r="JX195">
        <v>394.939</v>
      </c>
      <c r="JY195">
        <v>11.5395</v>
      </c>
      <c r="JZ195">
        <v>23.9954</v>
      </c>
      <c r="KA195">
        <v>30.0002</v>
      </c>
      <c r="KB195">
        <v>23.9865</v>
      </c>
      <c r="KC195">
        <v>23.9542</v>
      </c>
      <c r="KD195">
        <v>48.6628</v>
      </c>
      <c r="KE195">
        <v>7.32529</v>
      </c>
      <c r="KF195">
        <v>26.5359</v>
      </c>
      <c r="KG195">
        <v>11.5413</v>
      </c>
      <c r="KH195">
        <v>1259.74</v>
      </c>
      <c r="KI195">
        <v>9.7744</v>
      </c>
      <c r="KJ195">
        <v>97.0345</v>
      </c>
      <c r="KK195">
        <v>95.296</v>
      </c>
    </row>
    <row r="196" spans="1:297">
      <c r="A196">
        <v>180</v>
      </c>
      <c r="B196">
        <v>1760992240.1</v>
      </c>
      <c r="C196">
        <v>3050</v>
      </c>
      <c r="D196" t="s">
        <v>813</v>
      </c>
      <c r="E196" t="s">
        <v>814</v>
      </c>
      <c r="F196">
        <v>5</v>
      </c>
      <c r="G196" t="s">
        <v>662</v>
      </c>
      <c r="H196" t="s">
        <v>436</v>
      </c>
      <c r="I196">
        <v>1760992232.17692</v>
      </c>
      <c r="J196">
        <f>(K196)/1000</f>
        <v>0</v>
      </c>
      <c r="K196">
        <f>IF(DP196, AN196, AH196)</f>
        <v>0</v>
      </c>
      <c r="L196">
        <f>IF(DP196, AI196, AG196)</f>
        <v>0</v>
      </c>
      <c r="M196">
        <f>DR196 - IF(AU196&gt;1, L196*DL196*100.0/(AW196), 0)</f>
        <v>0</v>
      </c>
      <c r="N196">
        <f>((T196-J196/2)*M196-L196)/(T196+J196/2)</f>
        <v>0</v>
      </c>
      <c r="O196">
        <f>N196*(DY196+DZ196)/1000.0</f>
        <v>0</v>
      </c>
      <c r="P196">
        <f>(DR196 - IF(AU196&gt;1, L196*DL196*100.0/(AW196), 0))*(DY196+DZ196)/1000.0</f>
        <v>0</v>
      </c>
      <c r="Q196">
        <f>2.0/((1/S196-1/R196)+SIGN(S196)*SQRT((1/S196-1/R196)*(1/S196-1/R196) + 4*DM196/((DM196+1)*(DM196+1))*(2*1/S196*1/R196-1/R196*1/R196)))</f>
        <v>0</v>
      </c>
      <c r="R196">
        <f>IF(LEFT(DN196,1)&lt;&gt;"0",IF(LEFT(DN196,1)="1",3.0,DO196),$D$5+$E$5*(EF196*DY196/($K$5*1000))+$F$5*(EF196*DY196/($K$5*1000))*MAX(MIN(DL196,$J$5),$I$5)*MAX(MIN(DL196,$J$5),$I$5)+$G$5*MAX(MIN(DL196,$J$5),$I$5)*(EF196*DY196/($K$5*1000))+$H$5*(EF196*DY196/($K$5*1000))*(EF196*DY196/($K$5*1000)))</f>
        <v>0</v>
      </c>
      <c r="S196">
        <f>J196*(1000-(1000*0.61365*exp(17.502*W196/(240.97+W196))/(DY196+DZ196)+DT196)/2)/(1000*0.61365*exp(17.502*W196/(240.97+W196))/(DY196+DZ196)-DT196)</f>
        <v>0</v>
      </c>
      <c r="T196">
        <f>1/((DM196+1)/(Q196/1.6)+1/(R196/1.37)) + DM196/((DM196+1)/(Q196/1.6) + DM196/(R196/1.37))</f>
        <v>0</v>
      </c>
      <c r="U196">
        <f>(DH196*DK196)</f>
        <v>0</v>
      </c>
      <c r="V196">
        <f>(EA196+(U196+2*0.95*5.67E-8*(((EA196+$B$7)+273)^4-(EA196+273)^4)-44100*J196)/(1.84*29.3*R196+8*0.95*5.67E-8*(EA196+273)^3))</f>
        <v>0</v>
      </c>
      <c r="W196">
        <f>($C$7*EB196+$D$7*EC196+$E$7*V196)</f>
        <v>0</v>
      </c>
      <c r="X196">
        <f>0.61365*exp(17.502*W196/(240.97+W196))</f>
        <v>0</v>
      </c>
      <c r="Y196">
        <f>(Z196/AA196*100)</f>
        <v>0</v>
      </c>
      <c r="Z196">
        <f>DT196*(DY196+DZ196)/1000</f>
        <v>0</v>
      </c>
      <c r="AA196">
        <f>0.61365*exp(17.502*EA196/(240.97+EA196))</f>
        <v>0</v>
      </c>
      <c r="AB196">
        <f>(X196-DT196*(DY196+DZ196)/1000)</f>
        <v>0</v>
      </c>
      <c r="AC196">
        <f>(-J196*44100)</f>
        <v>0</v>
      </c>
      <c r="AD196">
        <f>2*29.3*R196*0.92*(EA196-W196)</f>
        <v>0</v>
      </c>
      <c r="AE196">
        <f>2*0.95*5.67E-8*(((EA196+$B$7)+273)^4-(W196+273)^4)</f>
        <v>0</v>
      </c>
      <c r="AF196">
        <f>U196+AE196+AC196+AD196</f>
        <v>0</v>
      </c>
      <c r="AG196">
        <f>DX196*AU196*(DS196-DR196*(1000-AU196*DU196)/(1000-AU196*DT196))/(100*DL196)</f>
        <v>0</v>
      </c>
      <c r="AH196">
        <f>1000*DX196*AU196*(DT196-DU196)/(100*DL196*(1000-AU196*DT196))</f>
        <v>0</v>
      </c>
      <c r="AI196">
        <f>(AJ196 - AK196 - DY196*1E3/(8.314*(EA196+273.15)) * AM196/DX196 * AL196) * DX196/(100*DL196) * (1000 - DU196)/1000</f>
        <v>0</v>
      </c>
      <c r="AJ196">
        <v>1267.55099265284</v>
      </c>
      <c r="AK196">
        <v>1229.74296969697</v>
      </c>
      <c r="AL196">
        <v>3.26560416573419</v>
      </c>
      <c r="AM196">
        <v>65.2210784119795</v>
      </c>
      <c r="AN196">
        <f>(AP196 - AO196 + DY196*1E3/(8.314*(EA196+273.15)) * AR196/DX196 * AQ196) * DX196/(100*DL196) * 1000/(1000 - AP196)</f>
        <v>0</v>
      </c>
      <c r="AO196">
        <v>9.72667704768856</v>
      </c>
      <c r="AP196">
        <v>11.8701872727273</v>
      </c>
      <c r="AQ196">
        <v>1.45845968164814e-05</v>
      </c>
      <c r="AR196">
        <v>115.574510355221</v>
      </c>
      <c r="AS196">
        <v>0</v>
      </c>
      <c r="AT196">
        <v>0</v>
      </c>
      <c r="AU196">
        <f>IF(AS196*$H$13&gt;=AW196,1.0,(AW196/(AW196-AS196*$H$13)))</f>
        <v>0</v>
      </c>
      <c r="AV196">
        <f>(AU196-1)*100</f>
        <v>0</v>
      </c>
      <c r="AW196">
        <f>MAX(0,($B$13+$C$13*EF196)/(1+$D$13*EF196)*DY196/(EA196+273)*$E$13)</f>
        <v>0</v>
      </c>
      <c r="AX196" t="s">
        <v>437</v>
      </c>
      <c r="AY196" t="s">
        <v>437</v>
      </c>
      <c r="AZ196">
        <v>0</v>
      </c>
      <c r="BA196">
        <v>0</v>
      </c>
      <c r="BB196">
        <f>1-AZ196/BA196</f>
        <v>0</v>
      </c>
      <c r="BC196">
        <v>0</v>
      </c>
      <c r="BD196" t="s">
        <v>437</v>
      </c>
      <c r="BE196" t="s">
        <v>437</v>
      </c>
      <c r="BF196">
        <v>0</v>
      </c>
      <c r="BG196">
        <v>0</v>
      </c>
      <c r="BH196">
        <f>1-BF196/BG196</f>
        <v>0</v>
      </c>
      <c r="BI196">
        <v>0.5</v>
      </c>
      <c r="BJ196">
        <f>DI196</f>
        <v>0</v>
      </c>
      <c r="BK196">
        <f>L196</f>
        <v>0</v>
      </c>
      <c r="BL196">
        <f>BH196*BI196*BJ196</f>
        <v>0</v>
      </c>
      <c r="BM196">
        <f>(BK196-BC196)/BJ196</f>
        <v>0</v>
      </c>
      <c r="BN196">
        <f>(BA196-BG196)/BG196</f>
        <v>0</v>
      </c>
      <c r="BO196">
        <f>AZ196/(BB196+AZ196/BG196)</f>
        <v>0</v>
      </c>
      <c r="BP196" t="s">
        <v>437</v>
      </c>
      <c r="BQ196">
        <v>0</v>
      </c>
      <c r="BR196">
        <f>IF(BQ196&lt;&gt;0, BQ196, BO196)</f>
        <v>0</v>
      </c>
      <c r="BS196">
        <f>1-BR196/BG196</f>
        <v>0</v>
      </c>
      <c r="BT196">
        <f>(BG196-BF196)/(BG196-BR196)</f>
        <v>0</v>
      </c>
      <c r="BU196">
        <f>(BA196-BG196)/(BA196-BR196)</f>
        <v>0</v>
      </c>
      <c r="BV196">
        <f>(BG196-BF196)/(BG196-AZ196)</f>
        <v>0</v>
      </c>
      <c r="BW196">
        <f>(BA196-BG196)/(BA196-AZ196)</f>
        <v>0</v>
      </c>
      <c r="BX196">
        <f>(BT196*BR196/BF196)</f>
        <v>0</v>
      </c>
      <c r="BY196">
        <f>(1-BX196)</f>
        <v>0</v>
      </c>
      <c r="BZ196">
        <v>282</v>
      </c>
      <c r="CA196">
        <v>290</v>
      </c>
      <c r="CB196">
        <v>1577.74</v>
      </c>
      <c r="CC196">
        <v>295</v>
      </c>
      <c r="CD196">
        <v>5140.93</v>
      </c>
      <c r="CE196">
        <v>1578.58</v>
      </c>
      <c r="CF196">
        <v>-0.84</v>
      </c>
      <c r="CG196">
        <v>300</v>
      </c>
      <c r="CH196">
        <v>23.8</v>
      </c>
      <c r="CI196">
        <v>1633.28263291266</v>
      </c>
      <c r="CJ196">
        <v>1.49577129053257</v>
      </c>
      <c r="CK196">
        <v>-28.1203876934379</v>
      </c>
      <c r="CL196">
        <v>0.666413418688897</v>
      </c>
      <c r="CM196">
        <v>0.984518017981194</v>
      </c>
      <c r="CN196">
        <v>-0.00424727541713014</v>
      </c>
      <c r="CO196">
        <v>290</v>
      </c>
      <c r="CP196">
        <v>1576.56</v>
      </c>
      <c r="CQ196">
        <v>775</v>
      </c>
      <c r="CR196">
        <v>5139.5</v>
      </c>
      <c r="CS196">
        <v>1578.57</v>
      </c>
      <c r="CT196">
        <v>-2.01</v>
      </c>
      <c r="DH196">
        <f>$B$11*EG196+$C$11*EH196+$F$11*ES196*(1-EV196)</f>
        <v>0</v>
      </c>
      <c r="DI196">
        <f>DH196*DJ196</f>
        <v>0</v>
      </c>
      <c r="DJ196">
        <f>($B$11*$D$9+$C$11*$D$9+$F$11*((FF196+EX196)/MAX(FF196+EX196+FG196, 0.1)*$I$9+FG196/MAX(FF196+EX196+FG196, 0.1)*$J$9))/($B$11+$C$11+$F$11)</f>
        <v>0</v>
      </c>
      <c r="DK196">
        <f>($B$11*$K$9+$C$11*$K$9+$F$11*((FF196+EX196)/MAX(FF196+EX196+FG196, 0.1)*$P$9+FG196/MAX(FF196+EX196+FG196, 0.1)*$Q$9))/($B$11+$C$11+$F$11)</f>
        <v>0</v>
      </c>
      <c r="DL196">
        <v>6</v>
      </c>
      <c r="DM196">
        <v>0.5</v>
      </c>
      <c r="DN196" t="s">
        <v>438</v>
      </c>
      <c r="DO196">
        <v>2</v>
      </c>
      <c r="DP196" t="b">
        <v>1</v>
      </c>
      <c r="DQ196">
        <v>1760992232.17692</v>
      </c>
      <c r="DR196">
        <v>1192.77076923077</v>
      </c>
      <c r="DS196">
        <v>1240.92461538462</v>
      </c>
      <c r="DT196">
        <v>11.8701153846154</v>
      </c>
      <c r="DU196">
        <v>9.71854923076923</v>
      </c>
      <c r="DV196">
        <v>1187.2</v>
      </c>
      <c r="DW196">
        <v>11.9805769230769</v>
      </c>
      <c r="DX196">
        <v>500.001</v>
      </c>
      <c r="DY196">
        <v>89.8453692307692</v>
      </c>
      <c r="DZ196">
        <v>0.00881070692307692</v>
      </c>
      <c r="EA196">
        <v>18.3950846153846</v>
      </c>
      <c r="EB196">
        <v>18.0021461538462</v>
      </c>
      <c r="EC196">
        <v>999.9</v>
      </c>
      <c r="ED196">
        <v>0</v>
      </c>
      <c r="EE196">
        <v>0</v>
      </c>
      <c r="EF196">
        <v>9993.94230769231</v>
      </c>
      <c r="EG196">
        <v>0</v>
      </c>
      <c r="EH196">
        <v>1278.56769230769</v>
      </c>
      <c r="EI196">
        <v>-48.1527615384615</v>
      </c>
      <c r="EJ196">
        <v>1207.1</v>
      </c>
      <c r="EK196">
        <v>1253.10230769231</v>
      </c>
      <c r="EL196">
        <v>2.15157461538461</v>
      </c>
      <c r="EM196">
        <v>1240.92461538462</v>
      </c>
      <c r="EN196">
        <v>9.71854923076923</v>
      </c>
      <c r="EO196">
        <v>1.06647692307692</v>
      </c>
      <c r="EP196">
        <v>0.873166769230769</v>
      </c>
      <c r="EQ196">
        <v>7.85765</v>
      </c>
      <c r="ER196">
        <v>4.95592153846154</v>
      </c>
      <c r="ES196">
        <v>1199.96307692308</v>
      </c>
      <c r="ET196">
        <v>0.966992538461538</v>
      </c>
      <c r="EU196">
        <v>0.0330073230769231</v>
      </c>
      <c r="EV196">
        <v>0</v>
      </c>
      <c r="EW196">
        <v>1295.13461538462</v>
      </c>
      <c r="EX196">
        <v>5.00059</v>
      </c>
      <c r="EY196">
        <v>15256.5307692308</v>
      </c>
      <c r="EZ196">
        <v>10358.3846153846</v>
      </c>
      <c r="FA196">
        <v>37.0526923076923</v>
      </c>
      <c r="FB196">
        <v>38.6584615384615</v>
      </c>
      <c r="FC196">
        <v>37.4709230769231</v>
      </c>
      <c r="FD196">
        <v>37.9036153846154</v>
      </c>
      <c r="FE196">
        <v>37.9228461538462</v>
      </c>
      <c r="FF196">
        <v>1155.52307692308</v>
      </c>
      <c r="FG196">
        <v>39.44</v>
      </c>
      <c r="FH196">
        <v>0</v>
      </c>
      <c r="FI196">
        <v>1095.80000019073</v>
      </c>
      <c r="FJ196">
        <v>0</v>
      </c>
      <c r="FK196">
        <v>1295.19653846154</v>
      </c>
      <c r="FL196">
        <v>3.76649572707675</v>
      </c>
      <c r="FM196">
        <v>20.4512821451438</v>
      </c>
      <c r="FN196">
        <v>15257.1692307692</v>
      </c>
      <c r="FO196">
        <v>15</v>
      </c>
      <c r="FP196">
        <v>0</v>
      </c>
      <c r="FQ196" t="s">
        <v>439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-48.22668</v>
      </c>
      <c r="GD196">
        <v>0.848427067669289</v>
      </c>
      <c r="GE196">
        <v>0.618515395604668</v>
      </c>
      <c r="GF196">
        <v>0</v>
      </c>
      <c r="GG196">
        <v>1294.85411764706</v>
      </c>
      <c r="GH196">
        <v>5.06829641517102</v>
      </c>
      <c r="GI196">
        <v>0.532784680308021</v>
      </c>
      <c r="GJ196">
        <v>-1</v>
      </c>
      <c r="GK196">
        <v>2.1532785</v>
      </c>
      <c r="GL196">
        <v>-0.0256434586466179</v>
      </c>
      <c r="GM196">
        <v>0.00347930204926217</v>
      </c>
      <c r="GN196">
        <v>1</v>
      </c>
      <c r="GO196">
        <v>1</v>
      </c>
      <c r="GP196">
        <v>2</v>
      </c>
      <c r="GQ196" t="s">
        <v>446</v>
      </c>
      <c r="GR196">
        <v>3.1308</v>
      </c>
      <c r="GS196">
        <v>2.68697</v>
      </c>
      <c r="GT196">
        <v>0.187059</v>
      </c>
      <c r="GU196">
        <v>0.191913</v>
      </c>
      <c r="GV196">
        <v>0.0619158</v>
      </c>
      <c r="GW196">
        <v>0.0529737</v>
      </c>
      <c r="GX196">
        <v>30809.4</v>
      </c>
      <c r="GY196">
        <v>32909.1</v>
      </c>
      <c r="GZ196">
        <v>34262.8</v>
      </c>
      <c r="HA196">
        <v>36845.6</v>
      </c>
      <c r="HB196">
        <v>45348.3</v>
      </c>
      <c r="HC196">
        <v>50046.8</v>
      </c>
      <c r="HD196">
        <v>53336.7</v>
      </c>
      <c r="HE196">
        <v>58772.4</v>
      </c>
      <c r="HF196">
        <v>2.00798</v>
      </c>
      <c r="HG196">
        <v>1.83757</v>
      </c>
      <c r="HH196">
        <v>0.00934303</v>
      </c>
      <c r="HI196">
        <v>0</v>
      </c>
      <c r="HJ196">
        <v>17.8492</v>
      </c>
      <c r="HK196">
        <v>999.9</v>
      </c>
      <c r="HL196">
        <v>26.56</v>
      </c>
      <c r="HM196">
        <v>30.434</v>
      </c>
      <c r="HN196">
        <v>12.9115</v>
      </c>
      <c r="HO196">
        <v>53.8128</v>
      </c>
      <c r="HP196">
        <v>44.1987</v>
      </c>
      <c r="HQ196">
        <v>1</v>
      </c>
      <c r="HR196">
        <v>-0.260859</v>
      </c>
      <c r="HS196">
        <v>4.71202</v>
      </c>
      <c r="HT196">
        <v>20.0739</v>
      </c>
      <c r="HU196">
        <v>5.20261</v>
      </c>
      <c r="HV196">
        <v>12.004</v>
      </c>
      <c r="HW196">
        <v>4.97565</v>
      </c>
      <c r="HX196">
        <v>3.29305</v>
      </c>
      <c r="HY196">
        <v>9999</v>
      </c>
      <c r="HZ196">
        <v>999.9</v>
      </c>
      <c r="IA196">
        <v>9999</v>
      </c>
      <c r="IB196">
        <v>9999</v>
      </c>
      <c r="IC196">
        <v>1.86322</v>
      </c>
      <c r="ID196">
        <v>1.86806</v>
      </c>
      <c r="IE196">
        <v>1.86783</v>
      </c>
      <c r="IF196">
        <v>1.86905</v>
      </c>
      <c r="IG196">
        <v>1.8698</v>
      </c>
      <c r="IH196">
        <v>1.86588</v>
      </c>
      <c r="II196">
        <v>1.86691</v>
      </c>
      <c r="IJ196">
        <v>1.86841</v>
      </c>
      <c r="IK196">
        <v>5</v>
      </c>
      <c r="IL196">
        <v>0</v>
      </c>
      <c r="IM196">
        <v>0</v>
      </c>
      <c r="IN196">
        <v>0</v>
      </c>
      <c r="IO196" t="s">
        <v>441</v>
      </c>
      <c r="IP196" t="s">
        <v>442</v>
      </c>
      <c r="IQ196" t="s">
        <v>443</v>
      </c>
      <c r="IR196" t="s">
        <v>443</v>
      </c>
      <c r="IS196" t="s">
        <v>443</v>
      </c>
      <c r="IT196" t="s">
        <v>443</v>
      </c>
      <c r="IU196">
        <v>0</v>
      </c>
      <c r="IV196">
        <v>100</v>
      </c>
      <c r="IW196">
        <v>100</v>
      </c>
      <c r="IX196">
        <v>5.65</v>
      </c>
      <c r="IY196">
        <v>-0.1105</v>
      </c>
      <c r="IZ196">
        <v>1.12474291219083</v>
      </c>
      <c r="JA196">
        <v>0.00463155566490582</v>
      </c>
      <c r="JB196">
        <v>-1.1358998729424e-06</v>
      </c>
      <c r="JC196">
        <v>3.28704272115545e-10</v>
      </c>
      <c r="JD196">
        <v>-0.0704455108513773</v>
      </c>
      <c r="JE196">
        <v>-0.0251928478371425</v>
      </c>
      <c r="JF196">
        <v>0.00225751704194564</v>
      </c>
      <c r="JG196">
        <v>-3.61734043746866e-05</v>
      </c>
      <c r="JH196">
        <v>1</v>
      </c>
      <c r="JI196">
        <v>2182</v>
      </c>
      <c r="JJ196">
        <v>0</v>
      </c>
      <c r="JK196">
        <v>24</v>
      </c>
      <c r="JL196">
        <v>29349870.7</v>
      </c>
      <c r="JM196">
        <v>29349870.7</v>
      </c>
      <c r="JN196">
        <v>2.45972</v>
      </c>
      <c r="JO196">
        <v>2.60742</v>
      </c>
      <c r="JP196">
        <v>1.54785</v>
      </c>
      <c r="JQ196">
        <v>2.31445</v>
      </c>
      <c r="JR196">
        <v>1.64673</v>
      </c>
      <c r="JS196">
        <v>2.35962</v>
      </c>
      <c r="JT196">
        <v>33.6254</v>
      </c>
      <c r="JU196">
        <v>24.1751</v>
      </c>
      <c r="JV196">
        <v>18</v>
      </c>
      <c r="JW196">
        <v>500.784</v>
      </c>
      <c r="JX196">
        <v>394.837</v>
      </c>
      <c r="JY196">
        <v>11.5399</v>
      </c>
      <c r="JZ196">
        <v>23.9954</v>
      </c>
      <c r="KA196">
        <v>30</v>
      </c>
      <c r="KB196">
        <v>23.9868</v>
      </c>
      <c r="KC196">
        <v>23.9546</v>
      </c>
      <c r="KD196">
        <v>49.2449</v>
      </c>
      <c r="KE196">
        <v>7.32529</v>
      </c>
      <c r="KF196">
        <v>26.5359</v>
      </c>
      <c r="KG196">
        <v>11.5404</v>
      </c>
      <c r="KH196">
        <v>1287.09</v>
      </c>
      <c r="KI196">
        <v>9.7744</v>
      </c>
      <c r="KJ196">
        <v>97.0352</v>
      </c>
      <c r="KK196">
        <v>95.2959</v>
      </c>
    </row>
    <row r="197" spans="1:297">
      <c r="A197">
        <v>181</v>
      </c>
      <c r="B197">
        <v>1760992244.1</v>
      </c>
      <c r="C197">
        <v>3054</v>
      </c>
      <c r="D197" t="s">
        <v>815</v>
      </c>
      <c r="E197" t="s">
        <v>816</v>
      </c>
      <c r="F197">
        <v>5</v>
      </c>
      <c r="G197" t="s">
        <v>662</v>
      </c>
      <c r="H197" t="s">
        <v>436</v>
      </c>
      <c r="I197">
        <v>1760992236.51667</v>
      </c>
      <c r="J197">
        <f>(K197)/1000</f>
        <v>0</v>
      </c>
      <c r="K197">
        <f>IF(DP197, AN197, AH197)</f>
        <v>0</v>
      </c>
      <c r="L197">
        <f>IF(DP197, AI197, AG197)</f>
        <v>0</v>
      </c>
      <c r="M197">
        <f>DR197 - IF(AU197&gt;1, L197*DL197*100.0/(AW197), 0)</f>
        <v>0</v>
      </c>
      <c r="N197">
        <f>((T197-J197/2)*M197-L197)/(T197+J197/2)</f>
        <v>0</v>
      </c>
      <c r="O197">
        <f>N197*(DY197+DZ197)/1000.0</f>
        <v>0</v>
      </c>
      <c r="P197">
        <f>(DR197 - IF(AU197&gt;1, L197*DL197*100.0/(AW197), 0))*(DY197+DZ197)/1000.0</f>
        <v>0</v>
      </c>
      <c r="Q197">
        <f>2.0/((1/S197-1/R197)+SIGN(S197)*SQRT((1/S197-1/R197)*(1/S197-1/R197) + 4*DM197/((DM197+1)*(DM197+1))*(2*1/S197*1/R197-1/R197*1/R197)))</f>
        <v>0</v>
      </c>
      <c r="R197">
        <f>IF(LEFT(DN197,1)&lt;&gt;"0",IF(LEFT(DN197,1)="1",3.0,DO197),$D$5+$E$5*(EF197*DY197/($K$5*1000))+$F$5*(EF197*DY197/($K$5*1000))*MAX(MIN(DL197,$J$5),$I$5)*MAX(MIN(DL197,$J$5),$I$5)+$G$5*MAX(MIN(DL197,$J$5),$I$5)*(EF197*DY197/($K$5*1000))+$H$5*(EF197*DY197/($K$5*1000))*(EF197*DY197/($K$5*1000)))</f>
        <v>0</v>
      </c>
      <c r="S197">
        <f>J197*(1000-(1000*0.61365*exp(17.502*W197/(240.97+W197))/(DY197+DZ197)+DT197)/2)/(1000*0.61365*exp(17.502*W197/(240.97+W197))/(DY197+DZ197)-DT197)</f>
        <v>0</v>
      </c>
      <c r="T197">
        <f>1/((DM197+1)/(Q197/1.6)+1/(R197/1.37)) + DM197/((DM197+1)/(Q197/1.6) + DM197/(R197/1.37))</f>
        <v>0</v>
      </c>
      <c r="U197">
        <f>(DH197*DK197)</f>
        <v>0</v>
      </c>
      <c r="V197">
        <f>(EA197+(U197+2*0.95*5.67E-8*(((EA197+$B$7)+273)^4-(EA197+273)^4)-44100*J197)/(1.84*29.3*R197+8*0.95*5.67E-8*(EA197+273)^3))</f>
        <v>0</v>
      </c>
      <c r="W197">
        <f>($C$7*EB197+$D$7*EC197+$E$7*V197)</f>
        <v>0</v>
      </c>
      <c r="X197">
        <f>0.61365*exp(17.502*W197/(240.97+W197))</f>
        <v>0</v>
      </c>
      <c r="Y197">
        <f>(Z197/AA197*100)</f>
        <v>0</v>
      </c>
      <c r="Z197">
        <f>DT197*(DY197+DZ197)/1000</f>
        <v>0</v>
      </c>
      <c r="AA197">
        <f>0.61365*exp(17.502*EA197/(240.97+EA197))</f>
        <v>0</v>
      </c>
      <c r="AB197">
        <f>(X197-DT197*(DY197+DZ197)/1000)</f>
        <v>0</v>
      </c>
      <c r="AC197">
        <f>(-J197*44100)</f>
        <v>0</v>
      </c>
      <c r="AD197">
        <f>2*29.3*R197*0.92*(EA197-W197)</f>
        <v>0</v>
      </c>
      <c r="AE197">
        <f>2*0.95*5.67E-8*(((EA197+$B$7)+273)^4-(W197+273)^4)</f>
        <v>0</v>
      </c>
      <c r="AF197">
        <f>U197+AE197+AC197+AD197</f>
        <v>0</v>
      </c>
      <c r="AG197">
        <f>DX197*AU197*(DS197-DR197*(1000-AU197*DU197)/(1000-AU197*DT197))/(100*DL197)</f>
        <v>0</v>
      </c>
      <c r="AH197">
        <f>1000*DX197*AU197*(DT197-DU197)/(100*DL197*(1000-AU197*DT197))</f>
        <v>0</v>
      </c>
      <c r="AI197">
        <f>(AJ197 - AK197 - DY197*1E3/(8.314*(EA197+273.15)) * AM197/DX197 * AL197) * DX197/(100*DL197) * (1000 - DU197)/1000</f>
        <v>0</v>
      </c>
      <c r="AJ197">
        <v>1278.9139833331</v>
      </c>
      <c r="AK197">
        <v>1241.92084848485</v>
      </c>
      <c r="AL197">
        <v>3.06209200613034</v>
      </c>
      <c r="AM197">
        <v>65.2210784119795</v>
      </c>
      <c r="AN197">
        <f>(AP197 - AO197 + DY197*1E3/(8.314*(EA197+273.15)) * AR197/DX197 * AQ197) * DX197/(100*DL197) * 1000/(1000 - AP197)</f>
        <v>0</v>
      </c>
      <c r="AO197">
        <v>9.72744155025111</v>
      </c>
      <c r="AP197">
        <v>11.8714678787879</v>
      </c>
      <c r="AQ197">
        <v>6.96376976180949e-06</v>
      </c>
      <c r="AR197">
        <v>115.574510355221</v>
      </c>
      <c r="AS197">
        <v>0</v>
      </c>
      <c r="AT197">
        <v>0</v>
      </c>
      <c r="AU197">
        <f>IF(AS197*$H$13&gt;=AW197,1.0,(AW197/(AW197-AS197*$H$13)))</f>
        <v>0</v>
      </c>
      <c r="AV197">
        <f>(AU197-1)*100</f>
        <v>0</v>
      </c>
      <c r="AW197">
        <f>MAX(0,($B$13+$C$13*EF197)/(1+$D$13*EF197)*DY197/(EA197+273)*$E$13)</f>
        <v>0</v>
      </c>
      <c r="AX197" t="s">
        <v>437</v>
      </c>
      <c r="AY197" t="s">
        <v>437</v>
      </c>
      <c r="AZ197">
        <v>0</v>
      </c>
      <c r="BA197">
        <v>0</v>
      </c>
      <c r="BB197">
        <f>1-AZ197/BA197</f>
        <v>0</v>
      </c>
      <c r="BC197">
        <v>0</v>
      </c>
      <c r="BD197" t="s">
        <v>437</v>
      </c>
      <c r="BE197" t="s">
        <v>437</v>
      </c>
      <c r="BF197">
        <v>0</v>
      </c>
      <c r="BG197">
        <v>0</v>
      </c>
      <c r="BH197">
        <f>1-BF197/BG197</f>
        <v>0</v>
      </c>
      <c r="BI197">
        <v>0.5</v>
      </c>
      <c r="BJ197">
        <f>DI197</f>
        <v>0</v>
      </c>
      <c r="BK197">
        <f>L197</f>
        <v>0</v>
      </c>
      <c r="BL197">
        <f>BH197*BI197*BJ197</f>
        <v>0</v>
      </c>
      <c r="BM197">
        <f>(BK197-BC197)/BJ197</f>
        <v>0</v>
      </c>
      <c r="BN197">
        <f>(BA197-BG197)/BG197</f>
        <v>0</v>
      </c>
      <c r="BO197">
        <f>AZ197/(BB197+AZ197/BG197)</f>
        <v>0</v>
      </c>
      <c r="BP197" t="s">
        <v>437</v>
      </c>
      <c r="BQ197">
        <v>0</v>
      </c>
      <c r="BR197">
        <f>IF(BQ197&lt;&gt;0, BQ197, BO197)</f>
        <v>0</v>
      </c>
      <c r="BS197">
        <f>1-BR197/BG197</f>
        <v>0</v>
      </c>
      <c r="BT197">
        <f>(BG197-BF197)/(BG197-BR197)</f>
        <v>0</v>
      </c>
      <c r="BU197">
        <f>(BA197-BG197)/(BA197-BR197)</f>
        <v>0</v>
      </c>
      <c r="BV197">
        <f>(BG197-BF197)/(BG197-AZ197)</f>
        <v>0</v>
      </c>
      <c r="BW197">
        <f>(BA197-BG197)/(BA197-AZ197)</f>
        <v>0</v>
      </c>
      <c r="BX197">
        <f>(BT197*BR197/BF197)</f>
        <v>0</v>
      </c>
      <c r="BY197">
        <f>(1-BX197)</f>
        <v>0</v>
      </c>
      <c r="BZ197">
        <v>282</v>
      </c>
      <c r="CA197">
        <v>290</v>
      </c>
      <c r="CB197">
        <v>1577.74</v>
      </c>
      <c r="CC197">
        <v>295</v>
      </c>
      <c r="CD197">
        <v>5140.93</v>
      </c>
      <c r="CE197">
        <v>1578.58</v>
      </c>
      <c r="CF197">
        <v>-0.84</v>
      </c>
      <c r="CG197">
        <v>300</v>
      </c>
      <c r="CH197">
        <v>23.8</v>
      </c>
      <c r="CI197">
        <v>1633.28263291266</v>
      </c>
      <c r="CJ197">
        <v>1.49577129053257</v>
      </c>
      <c r="CK197">
        <v>-28.1203876934379</v>
      </c>
      <c r="CL197">
        <v>0.666413418688897</v>
      </c>
      <c r="CM197">
        <v>0.984518017981194</v>
      </c>
      <c r="CN197">
        <v>-0.00424727541713014</v>
      </c>
      <c r="CO197">
        <v>290</v>
      </c>
      <c r="CP197">
        <v>1576.56</v>
      </c>
      <c r="CQ197">
        <v>775</v>
      </c>
      <c r="CR197">
        <v>5139.5</v>
      </c>
      <c r="CS197">
        <v>1578.57</v>
      </c>
      <c r="CT197">
        <v>-2.01</v>
      </c>
      <c r="DH197">
        <f>$B$11*EG197+$C$11*EH197+$F$11*ES197*(1-EV197)</f>
        <v>0</v>
      </c>
      <c r="DI197">
        <f>DH197*DJ197</f>
        <v>0</v>
      </c>
      <c r="DJ197">
        <f>($B$11*$D$9+$C$11*$D$9+$F$11*((FF197+EX197)/MAX(FF197+EX197+FG197, 0.1)*$I$9+FG197/MAX(FF197+EX197+FG197, 0.1)*$J$9))/($B$11+$C$11+$F$11)</f>
        <v>0</v>
      </c>
      <c r="DK197">
        <f>($B$11*$K$9+$C$11*$K$9+$F$11*((FF197+EX197)/MAX(FF197+EX197+FG197, 0.1)*$P$9+FG197/MAX(FF197+EX197+FG197, 0.1)*$Q$9))/($B$11+$C$11+$F$11)</f>
        <v>0</v>
      </c>
      <c r="DL197">
        <v>6</v>
      </c>
      <c r="DM197">
        <v>0.5</v>
      </c>
      <c r="DN197" t="s">
        <v>438</v>
      </c>
      <c r="DO197">
        <v>2</v>
      </c>
      <c r="DP197" t="b">
        <v>1</v>
      </c>
      <c r="DQ197">
        <v>1760992236.51667</v>
      </c>
      <c r="DR197">
        <v>1206.64916666667</v>
      </c>
      <c r="DS197">
        <v>1254.27833333333</v>
      </c>
      <c r="DT197">
        <v>11.8700083333333</v>
      </c>
      <c r="DU197">
        <v>9.72141666666667</v>
      </c>
      <c r="DV197">
        <v>1201.03416666667</v>
      </c>
      <c r="DW197">
        <v>11.980475</v>
      </c>
      <c r="DX197">
        <v>499.99675</v>
      </c>
      <c r="DY197">
        <v>89.845525</v>
      </c>
      <c r="DZ197">
        <v>0.00882429916666667</v>
      </c>
      <c r="EA197">
        <v>18.3911166666667</v>
      </c>
      <c r="EB197">
        <v>17.9993333333333</v>
      </c>
      <c r="EC197">
        <v>999.9</v>
      </c>
      <c r="ED197">
        <v>0</v>
      </c>
      <c r="EE197">
        <v>0</v>
      </c>
      <c r="EF197">
        <v>9999.47916666667</v>
      </c>
      <c r="EG197">
        <v>0</v>
      </c>
      <c r="EH197">
        <v>1278.55583333333</v>
      </c>
      <c r="EI197">
        <v>-47.6284833333333</v>
      </c>
      <c r="EJ197">
        <v>1221.145</v>
      </c>
      <c r="EK197">
        <v>1266.5925</v>
      </c>
      <c r="EL197">
        <v>2.1485975</v>
      </c>
      <c r="EM197">
        <v>1254.27833333333</v>
      </c>
      <c r="EN197">
        <v>9.72141666666667</v>
      </c>
      <c r="EO197">
        <v>1.06646833333333</v>
      </c>
      <c r="EP197">
        <v>0.873425916666667</v>
      </c>
      <c r="EQ197">
        <v>7.85753833333333</v>
      </c>
      <c r="ER197">
        <v>4.960175</v>
      </c>
      <c r="ES197">
        <v>1199.97</v>
      </c>
      <c r="ET197">
        <v>0.96699225</v>
      </c>
      <c r="EU197">
        <v>0.0330076</v>
      </c>
      <c r="EV197">
        <v>0</v>
      </c>
      <c r="EW197">
        <v>1295.42916666667</v>
      </c>
      <c r="EX197">
        <v>5.00059</v>
      </c>
      <c r="EY197">
        <v>15258.125</v>
      </c>
      <c r="EZ197">
        <v>10358.4416666667</v>
      </c>
      <c r="FA197">
        <v>37.0049166666667</v>
      </c>
      <c r="FB197">
        <v>38.6143333333333</v>
      </c>
      <c r="FC197">
        <v>37.4269166666667</v>
      </c>
      <c r="FD197">
        <v>37.8643333333333</v>
      </c>
      <c r="FE197">
        <v>37.8746666666667</v>
      </c>
      <c r="FF197">
        <v>1155.53</v>
      </c>
      <c r="FG197">
        <v>39.44</v>
      </c>
      <c r="FH197">
        <v>0</v>
      </c>
      <c r="FI197">
        <v>1100</v>
      </c>
      <c r="FJ197">
        <v>0</v>
      </c>
      <c r="FK197">
        <v>1295.4988</v>
      </c>
      <c r="FL197">
        <v>3.44384616987444</v>
      </c>
      <c r="FM197">
        <v>13.6076924391588</v>
      </c>
      <c r="FN197">
        <v>15258.58</v>
      </c>
      <c r="FO197">
        <v>15</v>
      </c>
      <c r="FP197">
        <v>0</v>
      </c>
      <c r="FQ197" t="s">
        <v>439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-47.99758</v>
      </c>
      <c r="GD197">
        <v>7.90067368421043</v>
      </c>
      <c r="GE197">
        <v>0.912730954662983</v>
      </c>
      <c r="GF197">
        <v>0</v>
      </c>
      <c r="GG197">
        <v>1295.11529411765</v>
      </c>
      <c r="GH197">
        <v>4.34744079801244</v>
      </c>
      <c r="GI197">
        <v>0.467504232721425</v>
      </c>
      <c r="GJ197">
        <v>-1</v>
      </c>
      <c r="GK197">
        <v>2.1509295</v>
      </c>
      <c r="GL197">
        <v>-0.0447893233082733</v>
      </c>
      <c r="GM197">
        <v>0.00495520582317226</v>
      </c>
      <c r="GN197">
        <v>1</v>
      </c>
      <c r="GO197">
        <v>1</v>
      </c>
      <c r="GP197">
        <v>2</v>
      </c>
      <c r="GQ197" t="s">
        <v>446</v>
      </c>
      <c r="GR197">
        <v>3.13087</v>
      </c>
      <c r="GS197">
        <v>2.68695</v>
      </c>
      <c r="GT197">
        <v>0.188241</v>
      </c>
      <c r="GU197">
        <v>0.193211</v>
      </c>
      <c r="GV197">
        <v>0.0619189</v>
      </c>
      <c r="GW197">
        <v>0.0529742</v>
      </c>
      <c r="GX197">
        <v>30764.7</v>
      </c>
      <c r="GY197">
        <v>32856.2</v>
      </c>
      <c r="GZ197">
        <v>34262.9</v>
      </c>
      <c r="HA197">
        <v>36845.4</v>
      </c>
      <c r="HB197">
        <v>45348.3</v>
      </c>
      <c r="HC197">
        <v>50046.5</v>
      </c>
      <c r="HD197">
        <v>53336.7</v>
      </c>
      <c r="HE197">
        <v>58771.9</v>
      </c>
      <c r="HF197">
        <v>2.00812</v>
      </c>
      <c r="HG197">
        <v>1.8376</v>
      </c>
      <c r="HH197">
        <v>0.00876188</v>
      </c>
      <c r="HI197">
        <v>0</v>
      </c>
      <c r="HJ197">
        <v>17.8492</v>
      </c>
      <c r="HK197">
        <v>999.9</v>
      </c>
      <c r="HL197">
        <v>26.56</v>
      </c>
      <c r="HM197">
        <v>30.424</v>
      </c>
      <c r="HN197">
        <v>12.9052</v>
      </c>
      <c r="HO197">
        <v>54.0428</v>
      </c>
      <c r="HP197">
        <v>44.2708</v>
      </c>
      <c r="HQ197">
        <v>1</v>
      </c>
      <c r="HR197">
        <v>-0.261118</v>
      </c>
      <c r="HS197">
        <v>4.71175</v>
      </c>
      <c r="HT197">
        <v>20.074</v>
      </c>
      <c r="HU197">
        <v>5.20366</v>
      </c>
      <c r="HV197">
        <v>12.004</v>
      </c>
      <c r="HW197">
        <v>4.9757</v>
      </c>
      <c r="HX197">
        <v>3.29308</v>
      </c>
      <c r="HY197">
        <v>9999</v>
      </c>
      <c r="HZ197">
        <v>999.9</v>
      </c>
      <c r="IA197">
        <v>9999</v>
      </c>
      <c r="IB197">
        <v>9999</v>
      </c>
      <c r="IC197">
        <v>1.86324</v>
      </c>
      <c r="ID197">
        <v>1.86806</v>
      </c>
      <c r="IE197">
        <v>1.86783</v>
      </c>
      <c r="IF197">
        <v>1.86905</v>
      </c>
      <c r="IG197">
        <v>1.8698</v>
      </c>
      <c r="IH197">
        <v>1.86586</v>
      </c>
      <c r="II197">
        <v>1.86691</v>
      </c>
      <c r="IJ197">
        <v>1.86841</v>
      </c>
      <c r="IK197">
        <v>5</v>
      </c>
      <c r="IL197">
        <v>0</v>
      </c>
      <c r="IM197">
        <v>0</v>
      </c>
      <c r="IN197">
        <v>0</v>
      </c>
      <c r="IO197" t="s">
        <v>441</v>
      </c>
      <c r="IP197" t="s">
        <v>442</v>
      </c>
      <c r="IQ197" t="s">
        <v>443</v>
      </c>
      <c r="IR197" t="s">
        <v>443</v>
      </c>
      <c r="IS197" t="s">
        <v>443</v>
      </c>
      <c r="IT197" t="s">
        <v>443</v>
      </c>
      <c r="IU197">
        <v>0</v>
      </c>
      <c r="IV197">
        <v>100</v>
      </c>
      <c r="IW197">
        <v>100</v>
      </c>
      <c r="IX197">
        <v>5.7</v>
      </c>
      <c r="IY197">
        <v>-0.1105</v>
      </c>
      <c r="IZ197">
        <v>1.12474291219083</v>
      </c>
      <c r="JA197">
        <v>0.00463155566490582</v>
      </c>
      <c r="JB197">
        <v>-1.1358998729424e-06</v>
      </c>
      <c r="JC197">
        <v>3.28704272115545e-10</v>
      </c>
      <c r="JD197">
        <v>-0.0704455108513773</v>
      </c>
      <c r="JE197">
        <v>-0.0251928478371425</v>
      </c>
      <c r="JF197">
        <v>0.00225751704194564</v>
      </c>
      <c r="JG197">
        <v>-3.61734043746866e-05</v>
      </c>
      <c r="JH197">
        <v>1</v>
      </c>
      <c r="JI197">
        <v>2182</v>
      </c>
      <c r="JJ197">
        <v>0</v>
      </c>
      <c r="JK197">
        <v>24</v>
      </c>
      <c r="JL197">
        <v>29349870.7</v>
      </c>
      <c r="JM197">
        <v>29349870.7</v>
      </c>
      <c r="JN197">
        <v>2.48291</v>
      </c>
      <c r="JO197">
        <v>2.6062</v>
      </c>
      <c r="JP197">
        <v>1.54785</v>
      </c>
      <c r="JQ197">
        <v>2.31323</v>
      </c>
      <c r="JR197">
        <v>1.64673</v>
      </c>
      <c r="JS197">
        <v>2.40723</v>
      </c>
      <c r="JT197">
        <v>33.6029</v>
      </c>
      <c r="JU197">
        <v>24.1838</v>
      </c>
      <c r="JV197">
        <v>18</v>
      </c>
      <c r="JW197">
        <v>500.88</v>
      </c>
      <c r="JX197">
        <v>394.85</v>
      </c>
      <c r="JY197">
        <v>11.5399</v>
      </c>
      <c r="JZ197">
        <v>23.9974</v>
      </c>
      <c r="KA197">
        <v>30</v>
      </c>
      <c r="KB197">
        <v>23.9868</v>
      </c>
      <c r="KC197">
        <v>23.9546</v>
      </c>
      <c r="KD197">
        <v>49.7129</v>
      </c>
      <c r="KE197">
        <v>7.32529</v>
      </c>
      <c r="KF197">
        <v>26.5359</v>
      </c>
      <c r="KG197">
        <v>11.5401</v>
      </c>
      <c r="KH197">
        <v>1293.92</v>
      </c>
      <c r="KI197">
        <v>9.7744</v>
      </c>
      <c r="KJ197">
        <v>97.0352</v>
      </c>
      <c r="KK197">
        <v>95.2953</v>
      </c>
    </row>
    <row r="198" spans="1:297">
      <c r="A198">
        <v>182</v>
      </c>
      <c r="B198">
        <v>1760992249.1</v>
      </c>
      <c r="C198">
        <v>3059</v>
      </c>
      <c r="D198" t="s">
        <v>817</v>
      </c>
      <c r="E198" t="s">
        <v>818</v>
      </c>
      <c r="F198">
        <v>5</v>
      </c>
      <c r="G198" t="s">
        <v>662</v>
      </c>
      <c r="H198" t="s">
        <v>436</v>
      </c>
      <c r="I198">
        <v>1760992241.51667</v>
      </c>
      <c r="J198">
        <f>(K198)/1000</f>
        <v>0</v>
      </c>
      <c r="K198">
        <f>IF(DP198, AN198, AH198)</f>
        <v>0</v>
      </c>
      <c r="L198">
        <f>IF(DP198, AI198, AG198)</f>
        <v>0</v>
      </c>
      <c r="M198">
        <f>DR198 - IF(AU198&gt;1, L198*DL198*100.0/(AW198), 0)</f>
        <v>0</v>
      </c>
      <c r="N198">
        <f>((T198-J198/2)*M198-L198)/(T198+J198/2)</f>
        <v>0</v>
      </c>
      <c r="O198">
        <f>N198*(DY198+DZ198)/1000.0</f>
        <v>0</v>
      </c>
      <c r="P198">
        <f>(DR198 - IF(AU198&gt;1, L198*DL198*100.0/(AW198), 0))*(DY198+DZ198)/1000.0</f>
        <v>0</v>
      </c>
      <c r="Q198">
        <f>2.0/((1/S198-1/R198)+SIGN(S198)*SQRT((1/S198-1/R198)*(1/S198-1/R198) + 4*DM198/((DM198+1)*(DM198+1))*(2*1/S198*1/R198-1/R198*1/R198)))</f>
        <v>0</v>
      </c>
      <c r="R198">
        <f>IF(LEFT(DN198,1)&lt;&gt;"0",IF(LEFT(DN198,1)="1",3.0,DO198),$D$5+$E$5*(EF198*DY198/($K$5*1000))+$F$5*(EF198*DY198/($K$5*1000))*MAX(MIN(DL198,$J$5),$I$5)*MAX(MIN(DL198,$J$5),$I$5)+$G$5*MAX(MIN(DL198,$J$5),$I$5)*(EF198*DY198/($K$5*1000))+$H$5*(EF198*DY198/($K$5*1000))*(EF198*DY198/($K$5*1000)))</f>
        <v>0</v>
      </c>
      <c r="S198">
        <f>J198*(1000-(1000*0.61365*exp(17.502*W198/(240.97+W198))/(DY198+DZ198)+DT198)/2)/(1000*0.61365*exp(17.502*W198/(240.97+W198))/(DY198+DZ198)-DT198)</f>
        <v>0</v>
      </c>
      <c r="T198">
        <f>1/((DM198+1)/(Q198/1.6)+1/(R198/1.37)) + DM198/((DM198+1)/(Q198/1.6) + DM198/(R198/1.37))</f>
        <v>0</v>
      </c>
      <c r="U198">
        <f>(DH198*DK198)</f>
        <v>0</v>
      </c>
      <c r="V198">
        <f>(EA198+(U198+2*0.95*5.67E-8*(((EA198+$B$7)+273)^4-(EA198+273)^4)-44100*J198)/(1.84*29.3*R198+8*0.95*5.67E-8*(EA198+273)^3))</f>
        <v>0</v>
      </c>
      <c r="W198">
        <f>($C$7*EB198+$D$7*EC198+$E$7*V198)</f>
        <v>0</v>
      </c>
      <c r="X198">
        <f>0.61365*exp(17.502*W198/(240.97+W198))</f>
        <v>0</v>
      </c>
      <c r="Y198">
        <f>(Z198/AA198*100)</f>
        <v>0</v>
      </c>
      <c r="Z198">
        <f>DT198*(DY198+DZ198)/1000</f>
        <v>0</v>
      </c>
      <c r="AA198">
        <f>0.61365*exp(17.502*EA198/(240.97+EA198))</f>
        <v>0</v>
      </c>
      <c r="AB198">
        <f>(X198-DT198*(DY198+DZ198)/1000)</f>
        <v>0</v>
      </c>
      <c r="AC198">
        <f>(-J198*44100)</f>
        <v>0</v>
      </c>
      <c r="AD198">
        <f>2*29.3*R198*0.92*(EA198-W198)</f>
        <v>0</v>
      </c>
      <c r="AE198">
        <f>2*0.95*5.67E-8*(((EA198+$B$7)+273)^4-(W198+273)^4)</f>
        <v>0</v>
      </c>
      <c r="AF198">
        <f>U198+AE198+AC198+AD198</f>
        <v>0</v>
      </c>
      <c r="AG198">
        <f>DX198*AU198*(DS198-DR198*(1000-AU198*DU198)/(1000-AU198*DT198))/(100*DL198)</f>
        <v>0</v>
      </c>
      <c r="AH198">
        <f>1000*DX198*AU198*(DT198-DU198)/(100*DL198*(1000-AU198*DT198))</f>
        <v>0</v>
      </c>
      <c r="AI198">
        <f>(AJ198 - AK198 - DY198*1E3/(8.314*(EA198+273.15)) * AM198/DX198 * AL198) * DX198/(100*DL198) * (1000 - DU198)/1000</f>
        <v>0</v>
      </c>
      <c r="AJ198">
        <v>1296.60810188214</v>
      </c>
      <c r="AK198">
        <v>1258.55066666667</v>
      </c>
      <c r="AL198">
        <v>3.35471614534909</v>
      </c>
      <c r="AM198">
        <v>65.2210784119795</v>
      </c>
      <c r="AN198">
        <f>(AP198 - AO198 + DY198*1E3/(8.314*(EA198+273.15)) * AR198/DX198 * AQ198) * DX198/(100*DL198) * 1000/(1000 - AP198)</f>
        <v>0</v>
      </c>
      <c r="AO198">
        <v>9.72589629996033</v>
      </c>
      <c r="AP198">
        <v>11.8747527272727</v>
      </c>
      <c r="AQ198">
        <v>2.62947053380462e-05</v>
      </c>
      <c r="AR198">
        <v>115.574510355221</v>
      </c>
      <c r="AS198">
        <v>0</v>
      </c>
      <c r="AT198">
        <v>0</v>
      </c>
      <c r="AU198">
        <f>IF(AS198*$H$13&gt;=AW198,1.0,(AW198/(AW198-AS198*$H$13)))</f>
        <v>0</v>
      </c>
      <c r="AV198">
        <f>(AU198-1)*100</f>
        <v>0</v>
      </c>
      <c r="AW198">
        <f>MAX(0,($B$13+$C$13*EF198)/(1+$D$13*EF198)*DY198/(EA198+273)*$E$13)</f>
        <v>0</v>
      </c>
      <c r="AX198" t="s">
        <v>437</v>
      </c>
      <c r="AY198" t="s">
        <v>437</v>
      </c>
      <c r="AZ198">
        <v>0</v>
      </c>
      <c r="BA198">
        <v>0</v>
      </c>
      <c r="BB198">
        <f>1-AZ198/BA198</f>
        <v>0</v>
      </c>
      <c r="BC198">
        <v>0</v>
      </c>
      <c r="BD198" t="s">
        <v>437</v>
      </c>
      <c r="BE198" t="s">
        <v>437</v>
      </c>
      <c r="BF198">
        <v>0</v>
      </c>
      <c r="BG198">
        <v>0</v>
      </c>
      <c r="BH198">
        <f>1-BF198/BG198</f>
        <v>0</v>
      </c>
      <c r="BI198">
        <v>0.5</v>
      </c>
      <c r="BJ198">
        <f>DI198</f>
        <v>0</v>
      </c>
      <c r="BK198">
        <f>L198</f>
        <v>0</v>
      </c>
      <c r="BL198">
        <f>BH198*BI198*BJ198</f>
        <v>0</v>
      </c>
      <c r="BM198">
        <f>(BK198-BC198)/BJ198</f>
        <v>0</v>
      </c>
      <c r="BN198">
        <f>(BA198-BG198)/BG198</f>
        <v>0</v>
      </c>
      <c r="BO198">
        <f>AZ198/(BB198+AZ198/BG198)</f>
        <v>0</v>
      </c>
      <c r="BP198" t="s">
        <v>437</v>
      </c>
      <c r="BQ198">
        <v>0</v>
      </c>
      <c r="BR198">
        <f>IF(BQ198&lt;&gt;0, BQ198, BO198)</f>
        <v>0</v>
      </c>
      <c r="BS198">
        <f>1-BR198/BG198</f>
        <v>0</v>
      </c>
      <c r="BT198">
        <f>(BG198-BF198)/(BG198-BR198)</f>
        <v>0</v>
      </c>
      <c r="BU198">
        <f>(BA198-BG198)/(BA198-BR198)</f>
        <v>0</v>
      </c>
      <c r="BV198">
        <f>(BG198-BF198)/(BG198-AZ198)</f>
        <v>0</v>
      </c>
      <c r="BW198">
        <f>(BA198-BG198)/(BA198-AZ198)</f>
        <v>0</v>
      </c>
      <c r="BX198">
        <f>(BT198*BR198/BF198)</f>
        <v>0</v>
      </c>
      <c r="BY198">
        <f>(1-BX198)</f>
        <v>0</v>
      </c>
      <c r="BZ198">
        <v>282</v>
      </c>
      <c r="CA198">
        <v>290</v>
      </c>
      <c r="CB198">
        <v>1577.74</v>
      </c>
      <c r="CC198">
        <v>295</v>
      </c>
      <c r="CD198">
        <v>5140.93</v>
      </c>
      <c r="CE198">
        <v>1578.58</v>
      </c>
      <c r="CF198">
        <v>-0.84</v>
      </c>
      <c r="CG198">
        <v>300</v>
      </c>
      <c r="CH198">
        <v>23.8</v>
      </c>
      <c r="CI198">
        <v>1633.28263291266</v>
      </c>
      <c r="CJ198">
        <v>1.49577129053257</v>
      </c>
      <c r="CK198">
        <v>-28.1203876934379</v>
      </c>
      <c r="CL198">
        <v>0.666413418688897</v>
      </c>
      <c r="CM198">
        <v>0.984518017981194</v>
      </c>
      <c r="CN198">
        <v>-0.00424727541713014</v>
      </c>
      <c r="CO198">
        <v>290</v>
      </c>
      <c r="CP198">
        <v>1576.56</v>
      </c>
      <c r="CQ198">
        <v>775</v>
      </c>
      <c r="CR198">
        <v>5139.5</v>
      </c>
      <c r="CS198">
        <v>1578.57</v>
      </c>
      <c r="CT198">
        <v>-2.01</v>
      </c>
      <c r="DH198">
        <f>$B$11*EG198+$C$11*EH198+$F$11*ES198*(1-EV198)</f>
        <v>0</v>
      </c>
      <c r="DI198">
        <f>DH198*DJ198</f>
        <v>0</v>
      </c>
      <c r="DJ198">
        <f>($B$11*$D$9+$C$11*$D$9+$F$11*((FF198+EX198)/MAX(FF198+EX198+FG198, 0.1)*$I$9+FG198/MAX(FF198+EX198+FG198, 0.1)*$J$9))/($B$11+$C$11+$F$11)</f>
        <v>0</v>
      </c>
      <c r="DK198">
        <f>($B$11*$K$9+$C$11*$K$9+$F$11*((FF198+EX198)/MAX(FF198+EX198+FG198, 0.1)*$P$9+FG198/MAX(FF198+EX198+FG198, 0.1)*$Q$9))/($B$11+$C$11+$F$11)</f>
        <v>0</v>
      </c>
      <c r="DL198">
        <v>6</v>
      </c>
      <c r="DM198">
        <v>0.5</v>
      </c>
      <c r="DN198" t="s">
        <v>438</v>
      </c>
      <c r="DO198">
        <v>2</v>
      </c>
      <c r="DP198" t="b">
        <v>1</v>
      </c>
      <c r="DQ198">
        <v>1760992241.51667</v>
      </c>
      <c r="DR198">
        <v>1222.5225</v>
      </c>
      <c r="DS198">
        <v>1270.44583333333</v>
      </c>
      <c r="DT198">
        <v>11.87105</v>
      </c>
      <c r="DU198">
        <v>9.72533333333333</v>
      </c>
      <c r="DV198">
        <v>1216.855</v>
      </c>
      <c r="DW198">
        <v>11.9815</v>
      </c>
      <c r="DX198">
        <v>499.9985</v>
      </c>
      <c r="DY198">
        <v>89.8456833333333</v>
      </c>
      <c r="DZ198">
        <v>0.0088590125</v>
      </c>
      <c r="EA198">
        <v>18.38665</v>
      </c>
      <c r="EB198">
        <v>18.0010833333333</v>
      </c>
      <c r="EC198">
        <v>999.9</v>
      </c>
      <c r="ED198">
        <v>0</v>
      </c>
      <c r="EE198">
        <v>0</v>
      </c>
      <c r="EF198">
        <v>10007.6083333333</v>
      </c>
      <c r="EG198">
        <v>0</v>
      </c>
      <c r="EH198">
        <v>1278.5525</v>
      </c>
      <c r="EI198">
        <v>-47.9216666666667</v>
      </c>
      <c r="EJ198">
        <v>1237.21</v>
      </c>
      <c r="EK198">
        <v>1282.9225</v>
      </c>
      <c r="EL198">
        <v>2.1457225</v>
      </c>
      <c r="EM198">
        <v>1270.44583333333</v>
      </c>
      <c r="EN198">
        <v>9.72533333333333</v>
      </c>
      <c r="EO198">
        <v>1.06656416666667</v>
      </c>
      <c r="EP198">
        <v>0.873779416666667</v>
      </c>
      <c r="EQ198">
        <v>7.85885416666667</v>
      </c>
      <c r="ER198">
        <v>4.9659775</v>
      </c>
      <c r="ES198">
        <v>1199.94166666667</v>
      </c>
      <c r="ET198">
        <v>0.96699075</v>
      </c>
      <c r="EU198">
        <v>0.033009025</v>
      </c>
      <c r="EV198">
        <v>0</v>
      </c>
      <c r="EW198">
        <v>1295.71583333333</v>
      </c>
      <c r="EX198">
        <v>5.00059</v>
      </c>
      <c r="EY198">
        <v>15258.775</v>
      </c>
      <c r="EZ198">
        <v>10358.2</v>
      </c>
      <c r="FA198">
        <v>36.94775</v>
      </c>
      <c r="FB198">
        <v>38.5726666666667</v>
      </c>
      <c r="FC198">
        <v>37.37475</v>
      </c>
      <c r="FD198">
        <v>37.8123333333333</v>
      </c>
      <c r="FE198">
        <v>37.8226666666667</v>
      </c>
      <c r="FF198">
        <v>1155.49916666667</v>
      </c>
      <c r="FG198">
        <v>39.44</v>
      </c>
      <c r="FH198">
        <v>0</v>
      </c>
      <c r="FI198">
        <v>1104.80000019073</v>
      </c>
      <c r="FJ198">
        <v>0</v>
      </c>
      <c r="FK198">
        <v>1295.7324</v>
      </c>
      <c r="FL198">
        <v>2.58076923517378</v>
      </c>
      <c r="FM198">
        <v>11.2692307103175</v>
      </c>
      <c r="FN198">
        <v>15259.42</v>
      </c>
      <c r="FO198">
        <v>15</v>
      </c>
      <c r="FP198">
        <v>0</v>
      </c>
      <c r="FQ198" t="s">
        <v>439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-47.86321</v>
      </c>
      <c r="GD198">
        <v>-0.90545864661652</v>
      </c>
      <c r="GE198">
        <v>0.848547164216581</v>
      </c>
      <c r="GF198">
        <v>0</v>
      </c>
      <c r="GG198">
        <v>1295.53294117647</v>
      </c>
      <c r="GH198">
        <v>3.38701299321235</v>
      </c>
      <c r="GI198">
        <v>0.387036473518846</v>
      </c>
      <c r="GJ198">
        <v>-1</v>
      </c>
      <c r="GK198">
        <v>2.1482905</v>
      </c>
      <c r="GL198">
        <v>-0.0368233082706757</v>
      </c>
      <c r="GM198">
        <v>0.00475713408997477</v>
      </c>
      <c r="GN198">
        <v>1</v>
      </c>
      <c r="GO198">
        <v>1</v>
      </c>
      <c r="GP198">
        <v>2</v>
      </c>
      <c r="GQ198" t="s">
        <v>446</v>
      </c>
      <c r="GR198">
        <v>3.13086</v>
      </c>
      <c r="GS198">
        <v>2.68708</v>
      </c>
      <c r="GT198">
        <v>0.189833</v>
      </c>
      <c r="GU198">
        <v>0.194889</v>
      </c>
      <c r="GV198">
        <v>0.0619391</v>
      </c>
      <c r="GW198">
        <v>0.0529669</v>
      </c>
      <c r="GX198">
        <v>30704.6</v>
      </c>
      <c r="GY198">
        <v>32787.9</v>
      </c>
      <c r="GZ198">
        <v>34263</v>
      </c>
      <c r="HA198">
        <v>36845.3</v>
      </c>
      <c r="HB198">
        <v>45347.9</v>
      </c>
      <c r="HC198">
        <v>50047</v>
      </c>
      <c r="HD198">
        <v>53337.2</v>
      </c>
      <c r="HE198">
        <v>58771.9</v>
      </c>
      <c r="HF198">
        <v>2.00828</v>
      </c>
      <c r="HG198">
        <v>1.83773</v>
      </c>
      <c r="HH198">
        <v>0.00953674</v>
      </c>
      <c r="HI198">
        <v>0</v>
      </c>
      <c r="HJ198">
        <v>17.8477</v>
      </c>
      <c r="HK198">
        <v>999.9</v>
      </c>
      <c r="HL198">
        <v>26.56</v>
      </c>
      <c r="HM198">
        <v>30.434</v>
      </c>
      <c r="HN198">
        <v>12.9125</v>
      </c>
      <c r="HO198">
        <v>54.4728</v>
      </c>
      <c r="HP198">
        <v>44.2348</v>
      </c>
      <c r="HQ198">
        <v>1</v>
      </c>
      <c r="HR198">
        <v>-0.260777</v>
      </c>
      <c r="HS198">
        <v>4.70654</v>
      </c>
      <c r="HT198">
        <v>20.0739</v>
      </c>
      <c r="HU198">
        <v>5.20306</v>
      </c>
      <c r="HV198">
        <v>12.0041</v>
      </c>
      <c r="HW198">
        <v>4.97565</v>
      </c>
      <c r="HX198">
        <v>3.29295</v>
      </c>
      <c r="HY198">
        <v>9999</v>
      </c>
      <c r="HZ198">
        <v>999.9</v>
      </c>
      <c r="IA198">
        <v>9999</v>
      </c>
      <c r="IB198">
        <v>9999</v>
      </c>
      <c r="IC198">
        <v>1.86322</v>
      </c>
      <c r="ID198">
        <v>1.86805</v>
      </c>
      <c r="IE198">
        <v>1.86783</v>
      </c>
      <c r="IF198">
        <v>1.86905</v>
      </c>
      <c r="IG198">
        <v>1.8698</v>
      </c>
      <c r="IH198">
        <v>1.86584</v>
      </c>
      <c r="II198">
        <v>1.86691</v>
      </c>
      <c r="IJ198">
        <v>1.86835</v>
      </c>
      <c r="IK198">
        <v>5</v>
      </c>
      <c r="IL198">
        <v>0</v>
      </c>
      <c r="IM198">
        <v>0</v>
      </c>
      <c r="IN198">
        <v>0</v>
      </c>
      <c r="IO198" t="s">
        <v>441</v>
      </c>
      <c r="IP198" t="s">
        <v>442</v>
      </c>
      <c r="IQ198" t="s">
        <v>443</v>
      </c>
      <c r="IR198" t="s">
        <v>443</v>
      </c>
      <c r="IS198" t="s">
        <v>443</v>
      </c>
      <c r="IT198" t="s">
        <v>443</v>
      </c>
      <c r="IU198">
        <v>0</v>
      </c>
      <c r="IV198">
        <v>100</v>
      </c>
      <c r="IW198">
        <v>100</v>
      </c>
      <c r="IX198">
        <v>5.76</v>
      </c>
      <c r="IY198">
        <v>-0.1104</v>
      </c>
      <c r="IZ198">
        <v>1.12474291219083</v>
      </c>
      <c r="JA198">
        <v>0.00463155566490582</v>
      </c>
      <c r="JB198">
        <v>-1.1358998729424e-06</v>
      </c>
      <c r="JC198">
        <v>3.28704272115545e-10</v>
      </c>
      <c r="JD198">
        <v>-0.0704455108513773</v>
      </c>
      <c r="JE198">
        <v>-0.0251928478371425</v>
      </c>
      <c r="JF198">
        <v>0.00225751704194564</v>
      </c>
      <c r="JG198">
        <v>-3.61734043746866e-05</v>
      </c>
      <c r="JH198">
        <v>1</v>
      </c>
      <c r="JI198">
        <v>2182</v>
      </c>
      <c r="JJ198">
        <v>0</v>
      </c>
      <c r="JK198">
        <v>24</v>
      </c>
      <c r="JL198">
        <v>29349870.8</v>
      </c>
      <c r="JM198">
        <v>29349870.8</v>
      </c>
      <c r="JN198">
        <v>2.5061</v>
      </c>
      <c r="JO198">
        <v>2.60742</v>
      </c>
      <c r="JP198">
        <v>1.54785</v>
      </c>
      <c r="JQ198">
        <v>2.31445</v>
      </c>
      <c r="JR198">
        <v>1.64673</v>
      </c>
      <c r="JS198">
        <v>2.39746</v>
      </c>
      <c r="JT198">
        <v>33.6029</v>
      </c>
      <c r="JU198">
        <v>24.1838</v>
      </c>
      <c r="JV198">
        <v>18</v>
      </c>
      <c r="JW198">
        <v>500.995</v>
      </c>
      <c r="JX198">
        <v>394.931</v>
      </c>
      <c r="JY198">
        <v>11.5398</v>
      </c>
      <c r="JZ198">
        <v>23.9974</v>
      </c>
      <c r="KA198">
        <v>30.0001</v>
      </c>
      <c r="KB198">
        <v>23.9888</v>
      </c>
      <c r="KC198">
        <v>23.9566</v>
      </c>
      <c r="KD198">
        <v>50.2542</v>
      </c>
      <c r="KE198">
        <v>7.32529</v>
      </c>
      <c r="KF198">
        <v>26.5359</v>
      </c>
      <c r="KG198">
        <v>11.5414</v>
      </c>
      <c r="KH198">
        <v>1314.39</v>
      </c>
      <c r="KI198">
        <v>9.77401</v>
      </c>
      <c r="KJ198">
        <v>97.036</v>
      </c>
      <c r="KK198">
        <v>95.2951</v>
      </c>
    </row>
    <row r="199" spans="1:297">
      <c r="A199">
        <v>183</v>
      </c>
      <c r="B199">
        <v>1760992255.1</v>
      </c>
      <c r="C199">
        <v>3065</v>
      </c>
      <c r="D199" t="s">
        <v>819</v>
      </c>
      <c r="E199" t="s">
        <v>820</v>
      </c>
      <c r="F199">
        <v>5</v>
      </c>
      <c r="G199" t="s">
        <v>662</v>
      </c>
      <c r="H199" t="s">
        <v>436</v>
      </c>
      <c r="I199">
        <v>1760992247.1</v>
      </c>
      <c r="J199">
        <f>(K199)/1000</f>
        <v>0</v>
      </c>
      <c r="K199">
        <f>IF(DP199, AN199, AH199)</f>
        <v>0</v>
      </c>
      <c r="L199">
        <f>IF(DP199, AI199, AG199)</f>
        <v>0</v>
      </c>
      <c r="M199">
        <f>DR199 - IF(AU199&gt;1, L199*DL199*100.0/(AW199), 0)</f>
        <v>0</v>
      </c>
      <c r="N199">
        <f>((T199-J199/2)*M199-L199)/(T199+J199/2)</f>
        <v>0</v>
      </c>
      <c r="O199">
        <f>N199*(DY199+DZ199)/1000.0</f>
        <v>0</v>
      </c>
      <c r="P199">
        <f>(DR199 - IF(AU199&gt;1, L199*DL199*100.0/(AW199), 0))*(DY199+DZ199)/1000.0</f>
        <v>0</v>
      </c>
      <c r="Q199">
        <f>2.0/((1/S199-1/R199)+SIGN(S199)*SQRT((1/S199-1/R199)*(1/S199-1/R199) + 4*DM199/((DM199+1)*(DM199+1))*(2*1/S199*1/R199-1/R199*1/R199)))</f>
        <v>0</v>
      </c>
      <c r="R199">
        <f>IF(LEFT(DN199,1)&lt;&gt;"0",IF(LEFT(DN199,1)="1",3.0,DO199),$D$5+$E$5*(EF199*DY199/($K$5*1000))+$F$5*(EF199*DY199/($K$5*1000))*MAX(MIN(DL199,$J$5),$I$5)*MAX(MIN(DL199,$J$5),$I$5)+$G$5*MAX(MIN(DL199,$J$5),$I$5)*(EF199*DY199/($K$5*1000))+$H$5*(EF199*DY199/($K$5*1000))*(EF199*DY199/($K$5*1000)))</f>
        <v>0</v>
      </c>
      <c r="S199">
        <f>J199*(1000-(1000*0.61365*exp(17.502*W199/(240.97+W199))/(DY199+DZ199)+DT199)/2)/(1000*0.61365*exp(17.502*W199/(240.97+W199))/(DY199+DZ199)-DT199)</f>
        <v>0</v>
      </c>
      <c r="T199">
        <f>1/((DM199+1)/(Q199/1.6)+1/(R199/1.37)) + DM199/((DM199+1)/(Q199/1.6) + DM199/(R199/1.37))</f>
        <v>0</v>
      </c>
      <c r="U199">
        <f>(DH199*DK199)</f>
        <v>0</v>
      </c>
      <c r="V199">
        <f>(EA199+(U199+2*0.95*5.67E-8*(((EA199+$B$7)+273)^4-(EA199+273)^4)-44100*J199)/(1.84*29.3*R199+8*0.95*5.67E-8*(EA199+273)^3))</f>
        <v>0</v>
      </c>
      <c r="W199">
        <f>($C$7*EB199+$D$7*EC199+$E$7*V199)</f>
        <v>0</v>
      </c>
      <c r="X199">
        <f>0.61365*exp(17.502*W199/(240.97+W199))</f>
        <v>0</v>
      </c>
      <c r="Y199">
        <f>(Z199/AA199*100)</f>
        <v>0</v>
      </c>
      <c r="Z199">
        <f>DT199*(DY199+DZ199)/1000</f>
        <v>0</v>
      </c>
      <c r="AA199">
        <f>0.61365*exp(17.502*EA199/(240.97+EA199))</f>
        <v>0</v>
      </c>
      <c r="AB199">
        <f>(X199-DT199*(DY199+DZ199)/1000)</f>
        <v>0</v>
      </c>
      <c r="AC199">
        <f>(-J199*44100)</f>
        <v>0</v>
      </c>
      <c r="AD199">
        <f>2*29.3*R199*0.92*(EA199-W199)</f>
        <v>0</v>
      </c>
      <c r="AE199">
        <f>2*0.95*5.67E-8*(((EA199+$B$7)+273)^4-(W199+273)^4)</f>
        <v>0</v>
      </c>
      <c r="AF199">
        <f>U199+AE199+AC199+AD199</f>
        <v>0</v>
      </c>
      <c r="AG199">
        <f>DX199*AU199*(DS199-DR199*(1000-AU199*DU199)/(1000-AU199*DT199))/(100*DL199)</f>
        <v>0</v>
      </c>
      <c r="AH199">
        <f>1000*DX199*AU199*(DT199-DU199)/(100*DL199*(1000-AU199*DT199))</f>
        <v>0</v>
      </c>
      <c r="AI199">
        <f>(AJ199 - AK199 - DY199*1E3/(8.314*(EA199+273.15)) * AM199/DX199 * AL199) * DX199/(100*DL199) * (1000 - DU199)/1000</f>
        <v>0</v>
      </c>
      <c r="AJ199">
        <v>1317.5560015448</v>
      </c>
      <c r="AK199">
        <v>1279.23042424242</v>
      </c>
      <c r="AL199">
        <v>3.43235086541463</v>
      </c>
      <c r="AM199">
        <v>65.2210784119795</v>
      </c>
      <c r="AN199">
        <f>(AP199 - AO199 + DY199*1E3/(8.314*(EA199+273.15)) * AR199/DX199 * AQ199) * DX199/(100*DL199) * 1000/(1000 - AP199)</f>
        <v>0</v>
      </c>
      <c r="AO199">
        <v>9.72487733654586</v>
      </c>
      <c r="AP199">
        <v>11.875223030303</v>
      </c>
      <c r="AQ199">
        <v>-1.90849726693186e-05</v>
      </c>
      <c r="AR199">
        <v>115.574510355221</v>
      </c>
      <c r="AS199">
        <v>0</v>
      </c>
      <c r="AT199">
        <v>0</v>
      </c>
      <c r="AU199">
        <f>IF(AS199*$H$13&gt;=AW199,1.0,(AW199/(AW199-AS199*$H$13)))</f>
        <v>0</v>
      </c>
      <c r="AV199">
        <f>(AU199-1)*100</f>
        <v>0</v>
      </c>
      <c r="AW199">
        <f>MAX(0,($B$13+$C$13*EF199)/(1+$D$13*EF199)*DY199/(EA199+273)*$E$13)</f>
        <v>0</v>
      </c>
      <c r="AX199" t="s">
        <v>437</v>
      </c>
      <c r="AY199" t="s">
        <v>437</v>
      </c>
      <c r="AZ199">
        <v>0</v>
      </c>
      <c r="BA199">
        <v>0</v>
      </c>
      <c r="BB199">
        <f>1-AZ199/BA199</f>
        <v>0</v>
      </c>
      <c r="BC199">
        <v>0</v>
      </c>
      <c r="BD199" t="s">
        <v>437</v>
      </c>
      <c r="BE199" t="s">
        <v>437</v>
      </c>
      <c r="BF199">
        <v>0</v>
      </c>
      <c r="BG199">
        <v>0</v>
      </c>
      <c r="BH199">
        <f>1-BF199/BG199</f>
        <v>0</v>
      </c>
      <c r="BI199">
        <v>0.5</v>
      </c>
      <c r="BJ199">
        <f>DI199</f>
        <v>0</v>
      </c>
      <c r="BK199">
        <f>L199</f>
        <v>0</v>
      </c>
      <c r="BL199">
        <f>BH199*BI199*BJ199</f>
        <v>0</v>
      </c>
      <c r="BM199">
        <f>(BK199-BC199)/BJ199</f>
        <v>0</v>
      </c>
      <c r="BN199">
        <f>(BA199-BG199)/BG199</f>
        <v>0</v>
      </c>
      <c r="BO199">
        <f>AZ199/(BB199+AZ199/BG199)</f>
        <v>0</v>
      </c>
      <c r="BP199" t="s">
        <v>437</v>
      </c>
      <c r="BQ199">
        <v>0</v>
      </c>
      <c r="BR199">
        <f>IF(BQ199&lt;&gt;0, BQ199, BO199)</f>
        <v>0</v>
      </c>
      <c r="BS199">
        <f>1-BR199/BG199</f>
        <v>0</v>
      </c>
      <c r="BT199">
        <f>(BG199-BF199)/(BG199-BR199)</f>
        <v>0</v>
      </c>
      <c r="BU199">
        <f>(BA199-BG199)/(BA199-BR199)</f>
        <v>0</v>
      </c>
      <c r="BV199">
        <f>(BG199-BF199)/(BG199-AZ199)</f>
        <v>0</v>
      </c>
      <c r="BW199">
        <f>(BA199-BG199)/(BA199-AZ199)</f>
        <v>0</v>
      </c>
      <c r="BX199">
        <f>(BT199*BR199/BF199)</f>
        <v>0</v>
      </c>
      <c r="BY199">
        <f>(1-BX199)</f>
        <v>0</v>
      </c>
      <c r="BZ199">
        <v>282</v>
      </c>
      <c r="CA199">
        <v>290</v>
      </c>
      <c r="CB199">
        <v>1577.74</v>
      </c>
      <c r="CC199">
        <v>295</v>
      </c>
      <c r="CD199">
        <v>5140.93</v>
      </c>
      <c r="CE199">
        <v>1578.58</v>
      </c>
      <c r="CF199">
        <v>-0.84</v>
      </c>
      <c r="CG199">
        <v>300</v>
      </c>
      <c r="CH199">
        <v>23.8</v>
      </c>
      <c r="CI199">
        <v>1633.28263291266</v>
      </c>
      <c r="CJ199">
        <v>1.49577129053257</v>
      </c>
      <c r="CK199">
        <v>-28.1203876934379</v>
      </c>
      <c r="CL199">
        <v>0.666413418688897</v>
      </c>
      <c r="CM199">
        <v>0.984518017981194</v>
      </c>
      <c r="CN199">
        <v>-0.00424727541713014</v>
      </c>
      <c r="CO199">
        <v>290</v>
      </c>
      <c r="CP199">
        <v>1576.56</v>
      </c>
      <c r="CQ199">
        <v>775</v>
      </c>
      <c r="CR199">
        <v>5139.5</v>
      </c>
      <c r="CS199">
        <v>1578.57</v>
      </c>
      <c r="CT199">
        <v>-2.01</v>
      </c>
      <c r="DH199">
        <f>$B$11*EG199+$C$11*EH199+$F$11*ES199*(1-EV199)</f>
        <v>0</v>
      </c>
      <c r="DI199">
        <f>DH199*DJ199</f>
        <v>0</v>
      </c>
      <c r="DJ199">
        <f>($B$11*$D$9+$C$11*$D$9+$F$11*((FF199+EX199)/MAX(FF199+EX199+FG199, 0.1)*$I$9+FG199/MAX(FF199+EX199+FG199, 0.1)*$J$9))/($B$11+$C$11+$F$11)</f>
        <v>0</v>
      </c>
      <c r="DK199">
        <f>($B$11*$K$9+$C$11*$K$9+$F$11*((FF199+EX199)/MAX(FF199+EX199+FG199, 0.1)*$P$9+FG199/MAX(FF199+EX199+FG199, 0.1)*$Q$9))/($B$11+$C$11+$F$11)</f>
        <v>0</v>
      </c>
      <c r="DL199">
        <v>6</v>
      </c>
      <c r="DM199">
        <v>0.5</v>
      </c>
      <c r="DN199" t="s">
        <v>438</v>
      </c>
      <c r="DO199">
        <v>2</v>
      </c>
      <c r="DP199" t="b">
        <v>1</v>
      </c>
      <c r="DQ199">
        <v>1760992247.1</v>
      </c>
      <c r="DR199">
        <v>1240.63076923077</v>
      </c>
      <c r="DS199">
        <v>1288.86</v>
      </c>
      <c r="DT199">
        <v>11.8736769230769</v>
      </c>
      <c r="DU199">
        <v>9.72622538461539</v>
      </c>
      <c r="DV199">
        <v>1234.90230769231</v>
      </c>
      <c r="DW199">
        <v>11.9840846153846</v>
      </c>
      <c r="DX199">
        <v>500.015076923077</v>
      </c>
      <c r="DY199">
        <v>89.8455692307692</v>
      </c>
      <c r="DZ199">
        <v>0.00894087769230769</v>
      </c>
      <c r="EA199">
        <v>18.3809692307692</v>
      </c>
      <c r="EB199">
        <v>18.0026846153846</v>
      </c>
      <c r="EC199">
        <v>999.9</v>
      </c>
      <c r="ED199">
        <v>0</v>
      </c>
      <c r="EE199">
        <v>0</v>
      </c>
      <c r="EF199">
        <v>10007.7376923077</v>
      </c>
      <c r="EG199">
        <v>0</v>
      </c>
      <c r="EH199">
        <v>1278.56153846154</v>
      </c>
      <c r="EI199">
        <v>-48.2281769230769</v>
      </c>
      <c r="EJ199">
        <v>1255.53923076923</v>
      </c>
      <c r="EK199">
        <v>1301.51846153846</v>
      </c>
      <c r="EL199">
        <v>2.14746</v>
      </c>
      <c r="EM199">
        <v>1288.86</v>
      </c>
      <c r="EN199">
        <v>9.72622538461539</v>
      </c>
      <c r="EO199">
        <v>1.06679846153846</v>
      </c>
      <c r="EP199">
        <v>0.873858307692308</v>
      </c>
      <c r="EQ199">
        <v>7.86208307692308</v>
      </c>
      <c r="ER199">
        <v>4.96727307692308</v>
      </c>
      <c r="ES199">
        <v>1199.97846153846</v>
      </c>
      <c r="ET199">
        <v>0.966991153846154</v>
      </c>
      <c r="EU199">
        <v>0.0330086384615385</v>
      </c>
      <c r="EV199">
        <v>0</v>
      </c>
      <c r="EW199">
        <v>1295.86307692308</v>
      </c>
      <c r="EX199">
        <v>5.00059</v>
      </c>
      <c r="EY199">
        <v>15259.2307692308</v>
      </c>
      <c r="EZ199">
        <v>10358.5153846154</v>
      </c>
      <c r="FA199">
        <v>36.8891538461538</v>
      </c>
      <c r="FB199">
        <v>38.5237692307692</v>
      </c>
      <c r="FC199">
        <v>37.3266923076923</v>
      </c>
      <c r="FD199">
        <v>37.7496923076923</v>
      </c>
      <c r="FE199">
        <v>37.7689230769231</v>
      </c>
      <c r="FF199">
        <v>1155.53230769231</v>
      </c>
      <c r="FG199">
        <v>39.4423076923077</v>
      </c>
      <c r="FH199">
        <v>0</v>
      </c>
      <c r="FI199">
        <v>1110.80000019073</v>
      </c>
      <c r="FJ199">
        <v>0</v>
      </c>
      <c r="FK199">
        <v>1295.9032</v>
      </c>
      <c r="FL199">
        <v>0.646153857199677</v>
      </c>
      <c r="FM199">
        <v>-4.70000018305036</v>
      </c>
      <c r="FN199">
        <v>15259.8</v>
      </c>
      <c r="FO199">
        <v>15</v>
      </c>
      <c r="FP199">
        <v>0</v>
      </c>
      <c r="FQ199" t="s">
        <v>439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-48.079180952381</v>
      </c>
      <c r="GD199">
        <v>-4.95755064935078</v>
      </c>
      <c r="GE199">
        <v>0.955593311891847</v>
      </c>
      <c r="GF199">
        <v>0</v>
      </c>
      <c r="GG199">
        <v>1295.74352941176</v>
      </c>
      <c r="GH199">
        <v>2.02291826375277</v>
      </c>
      <c r="GI199">
        <v>0.290252246816461</v>
      </c>
      <c r="GJ199">
        <v>-1</v>
      </c>
      <c r="GK199">
        <v>2.14757047619048</v>
      </c>
      <c r="GL199">
        <v>0.00485766233766632</v>
      </c>
      <c r="GM199">
        <v>0.00359566998351982</v>
      </c>
      <c r="GN199">
        <v>1</v>
      </c>
      <c r="GO199">
        <v>1</v>
      </c>
      <c r="GP199">
        <v>2</v>
      </c>
      <c r="GQ199" t="s">
        <v>446</v>
      </c>
      <c r="GR199">
        <v>3.13082</v>
      </c>
      <c r="GS199">
        <v>2.68707</v>
      </c>
      <c r="GT199">
        <v>0.191752</v>
      </c>
      <c r="GU199">
        <v>0.196674</v>
      </c>
      <c r="GV199">
        <v>0.0619354</v>
      </c>
      <c r="GW199">
        <v>0.0529613</v>
      </c>
      <c r="GX199">
        <v>30631.7</v>
      </c>
      <c r="GY199">
        <v>32715.4</v>
      </c>
      <c r="GZ199">
        <v>34262.6</v>
      </c>
      <c r="HA199">
        <v>36845.3</v>
      </c>
      <c r="HB199">
        <v>45347.5</v>
      </c>
      <c r="HC199">
        <v>50047.5</v>
      </c>
      <c r="HD199">
        <v>53336.2</v>
      </c>
      <c r="HE199">
        <v>58771.9</v>
      </c>
      <c r="HF199">
        <v>2.0082</v>
      </c>
      <c r="HG199">
        <v>1.83785</v>
      </c>
      <c r="HH199">
        <v>0.00952184</v>
      </c>
      <c r="HI199">
        <v>0</v>
      </c>
      <c r="HJ199">
        <v>17.8477</v>
      </c>
      <c r="HK199">
        <v>999.9</v>
      </c>
      <c r="HL199">
        <v>26.535</v>
      </c>
      <c r="HM199">
        <v>30.424</v>
      </c>
      <c r="HN199">
        <v>12.8926</v>
      </c>
      <c r="HO199">
        <v>54.2628</v>
      </c>
      <c r="HP199">
        <v>44.2829</v>
      </c>
      <c r="HQ199">
        <v>1</v>
      </c>
      <c r="HR199">
        <v>-0.260772</v>
      </c>
      <c r="HS199">
        <v>4.71025</v>
      </c>
      <c r="HT199">
        <v>20.0741</v>
      </c>
      <c r="HU199">
        <v>5.20351</v>
      </c>
      <c r="HV199">
        <v>12.0041</v>
      </c>
      <c r="HW199">
        <v>4.9757</v>
      </c>
      <c r="HX199">
        <v>3.29305</v>
      </c>
      <c r="HY199">
        <v>9999</v>
      </c>
      <c r="HZ199">
        <v>999.9</v>
      </c>
      <c r="IA199">
        <v>9999</v>
      </c>
      <c r="IB199">
        <v>9999</v>
      </c>
      <c r="IC199">
        <v>1.86324</v>
      </c>
      <c r="ID199">
        <v>1.86805</v>
      </c>
      <c r="IE199">
        <v>1.86783</v>
      </c>
      <c r="IF199">
        <v>1.86905</v>
      </c>
      <c r="IG199">
        <v>1.86981</v>
      </c>
      <c r="IH199">
        <v>1.86586</v>
      </c>
      <c r="II199">
        <v>1.86691</v>
      </c>
      <c r="IJ199">
        <v>1.86834</v>
      </c>
      <c r="IK199">
        <v>5</v>
      </c>
      <c r="IL199">
        <v>0</v>
      </c>
      <c r="IM199">
        <v>0</v>
      </c>
      <c r="IN199">
        <v>0</v>
      </c>
      <c r="IO199" t="s">
        <v>441</v>
      </c>
      <c r="IP199" t="s">
        <v>442</v>
      </c>
      <c r="IQ199" t="s">
        <v>443</v>
      </c>
      <c r="IR199" t="s">
        <v>443</v>
      </c>
      <c r="IS199" t="s">
        <v>443</v>
      </c>
      <c r="IT199" t="s">
        <v>443</v>
      </c>
      <c r="IU199">
        <v>0</v>
      </c>
      <c r="IV199">
        <v>100</v>
      </c>
      <c r="IW199">
        <v>100</v>
      </c>
      <c r="IX199">
        <v>5.82</v>
      </c>
      <c r="IY199">
        <v>-0.1104</v>
      </c>
      <c r="IZ199">
        <v>1.12474291219083</v>
      </c>
      <c r="JA199">
        <v>0.00463155566490582</v>
      </c>
      <c r="JB199">
        <v>-1.1358998729424e-06</v>
      </c>
      <c r="JC199">
        <v>3.28704272115545e-10</v>
      </c>
      <c r="JD199">
        <v>-0.0704455108513773</v>
      </c>
      <c r="JE199">
        <v>-0.0251928478371425</v>
      </c>
      <c r="JF199">
        <v>0.00225751704194564</v>
      </c>
      <c r="JG199">
        <v>-3.61734043746866e-05</v>
      </c>
      <c r="JH199">
        <v>1</v>
      </c>
      <c r="JI199">
        <v>2182</v>
      </c>
      <c r="JJ199">
        <v>0</v>
      </c>
      <c r="JK199">
        <v>24</v>
      </c>
      <c r="JL199">
        <v>29349870.9</v>
      </c>
      <c r="JM199">
        <v>29349870.9</v>
      </c>
      <c r="JN199">
        <v>2.5354</v>
      </c>
      <c r="JO199">
        <v>2.60254</v>
      </c>
      <c r="JP199">
        <v>1.54785</v>
      </c>
      <c r="JQ199">
        <v>2.31445</v>
      </c>
      <c r="JR199">
        <v>1.64551</v>
      </c>
      <c r="JS199">
        <v>2.35718</v>
      </c>
      <c r="JT199">
        <v>33.6029</v>
      </c>
      <c r="JU199">
        <v>24.1838</v>
      </c>
      <c r="JV199">
        <v>18</v>
      </c>
      <c r="JW199">
        <v>500.947</v>
      </c>
      <c r="JX199">
        <v>394.997</v>
      </c>
      <c r="JY199">
        <v>11.5412</v>
      </c>
      <c r="JZ199">
        <v>23.9979</v>
      </c>
      <c r="KA199">
        <v>30.0001</v>
      </c>
      <c r="KB199">
        <v>23.9888</v>
      </c>
      <c r="KC199">
        <v>23.9566</v>
      </c>
      <c r="KD199">
        <v>50.7526</v>
      </c>
      <c r="KE199">
        <v>7.32529</v>
      </c>
      <c r="KF199">
        <v>26.5359</v>
      </c>
      <c r="KG199">
        <v>11.5403</v>
      </c>
      <c r="KH199">
        <v>1334.74</v>
      </c>
      <c r="KI199">
        <v>9.77435</v>
      </c>
      <c r="KJ199">
        <v>97.0345</v>
      </c>
      <c r="KK199">
        <v>95.2951</v>
      </c>
    </row>
    <row r="200" spans="1:297">
      <c r="A200">
        <v>184</v>
      </c>
      <c r="B200">
        <v>1760992259.1</v>
      </c>
      <c r="C200">
        <v>3069</v>
      </c>
      <c r="D200" t="s">
        <v>821</v>
      </c>
      <c r="E200" t="s">
        <v>822</v>
      </c>
      <c r="F200">
        <v>5</v>
      </c>
      <c r="G200" t="s">
        <v>662</v>
      </c>
      <c r="H200" t="s">
        <v>436</v>
      </c>
      <c r="I200">
        <v>1760992251.51667</v>
      </c>
      <c r="J200">
        <f>(K200)/1000</f>
        <v>0</v>
      </c>
      <c r="K200">
        <f>IF(DP200, AN200, AH200)</f>
        <v>0</v>
      </c>
      <c r="L200">
        <f>IF(DP200, AI200, AG200)</f>
        <v>0</v>
      </c>
      <c r="M200">
        <f>DR200 - IF(AU200&gt;1, L200*DL200*100.0/(AW200), 0)</f>
        <v>0</v>
      </c>
      <c r="N200">
        <f>((T200-J200/2)*M200-L200)/(T200+J200/2)</f>
        <v>0</v>
      </c>
      <c r="O200">
        <f>N200*(DY200+DZ200)/1000.0</f>
        <v>0</v>
      </c>
      <c r="P200">
        <f>(DR200 - IF(AU200&gt;1, L200*DL200*100.0/(AW200), 0))*(DY200+DZ200)/1000.0</f>
        <v>0</v>
      </c>
      <c r="Q200">
        <f>2.0/((1/S200-1/R200)+SIGN(S200)*SQRT((1/S200-1/R200)*(1/S200-1/R200) + 4*DM200/((DM200+1)*(DM200+1))*(2*1/S200*1/R200-1/R200*1/R200)))</f>
        <v>0</v>
      </c>
      <c r="R200">
        <f>IF(LEFT(DN200,1)&lt;&gt;"0",IF(LEFT(DN200,1)="1",3.0,DO200),$D$5+$E$5*(EF200*DY200/($K$5*1000))+$F$5*(EF200*DY200/($K$5*1000))*MAX(MIN(DL200,$J$5),$I$5)*MAX(MIN(DL200,$J$5),$I$5)+$G$5*MAX(MIN(DL200,$J$5),$I$5)*(EF200*DY200/($K$5*1000))+$H$5*(EF200*DY200/($K$5*1000))*(EF200*DY200/($K$5*1000)))</f>
        <v>0</v>
      </c>
      <c r="S200">
        <f>J200*(1000-(1000*0.61365*exp(17.502*W200/(240.97+W200))/(DY200+DZ200)+DT200)/2)/(1000*0.61365*exp(17.502*W200/(240.97+W200))/(DY200+DZ200)-DT200)</f>
        <v>0</v>
      </c>
      <c r="T200">
        <f>1/((DM200+1)/(Q200/1.6)+1/(R200/1.37)) + DM200/((DM200+1)/(Q200/1.6) + DM200/(R200/1.37))</f>
        <v>0</v>
      </c>
      <c r="U200">
        <f>(DH200*DK200)</f>
        <v>0</v>
      </c>
      <c r="V200">
        <f>(EA200+(U200+2*0.95*5.67E-8*(((EA200+$B$7)+273)^4-(EA200+273)^4)-44100*J200)/(1.84*29.3*R200+8*0.95*5.67E-8*(EA200+273)^3))</f>
        <v>0</v>
      </c>
      <c r="W200">
        <f>($C$7*EB200+$D$7*EC200+$E$7*V200)</f>
        <v>0</v>
      </c>
      <c r="X200">
        <f>0.61365*exp(17.502*W200/(240.97+W200))</f>
        <v>0</v>
      </c>
      <c r="Y200">
        <f>(Z200/AA200*100)</f>
        <v>0</v>
      </c>
      <c r="Z200">
        <f>DT200*(DY200+DZ200)/1000</f>
        <v>0</v>
      </c>
      <c r="AA200">
        <f>0.61365*exp(17.502*EA200/(240.97+EA200))</f>
        <v>0</v>
      </c>
      <c r="AB200">
        <f>(X200-DT200*(DY200+DZ200)/1000)</f>
        <v>0</v>
      </c>
      <c r="AC200">
        <f>(-J200*44100)</f>
        <v>0</v>
      </c>
      <c r="AD200">
        <f>2*29.3*R200*0.92*(EA200-W200)</f>
        <v>0</v>
      </c>
      <c r="AE200">
        <f>2*0.95*5.67E-8*(((EA200+$B$7)+273)^4-(W200+273)^4)</f>
        <v>0</v>
      </c>
      <c r="AF200">
        <f>U200+AE200+AC200+AD200</f>
        <v>0</v>
      </c>
      <c r="AG200">
        <f>DX200*AU200*(DS200-DR200*(1000-AU200*DU200)/(1000-AU200*DT200))/(100*DL200)</f>
        <v>0</v>
      </c>
      <c r="AH200">
        <f>1000*DX200*AU200*(DT200-DU200)/(100*DL200*(1000-AU200*DT200))</f>
        <v>0</v>
      </c>
      <c r="AI200">
        <f>(AJ200 - AK200 - DY200*1E3/(8.314*(EA200+273.15)) * AM200/DX200 * AL200) * DX200/(100*DL200) * (1000 - DU200)/1000</f>
        <v>0</v>
      </c>
      <c r="AJ200">
        <v>1330.00204154251</v>
      </c>
      <c r="AK200">
        <v>1292.49824242424</v>
      </c>
      <c r="AL200">
        <v>3.31678064011536</v>
      </c>
      <c r="AM200">
        <v>65.2210784119795</v>
      </c>
      <c r="AN200">
        <f>(AP200 - AO200 + DY200*1E3/(8.314*(EA200+273.15)) * AR200/DX200 * AQ200) * DX200/(100*DL200) * 1000/(1000 - AP200)</f>
        <v>0</v>
      </c>
      <c r="AO200">
        <v>9.72401781179198</v>
      </c>
      <c r="AP200">
        <v>11.8783254545454</v>
      </c>
      <c r="AQ200">
        <v>1.99189044715878e-05</v>
      </c>
      <c r="AR200">
        <v>115.574510355221</v>
      </c>
      <c r="AS200">
        <v>0</v>
      </c>
      <c r="AT200">
        <v>0</v>
      </c>
      <c r="AU200">
        <f>IF(AS200*$H$13&gt;=AW200,1.0,(AW200/(AW200-AS200*$H$13)))</f>
        <v>0</v>
      </c>
      <c r="AV200">
        <f>(AU200-1)*100</f>
        <v>0</v>
      </c>
      <c r="AW200">
        <f>MAX(0,($B$13+$C$13*EF200)/(1+$D$13*EF200)*DY200/(EA200+273)*$E$13)</f>
        <v>0</v>
      </c>
      <c r="AX200" t="s">
        <v>437</v>
      </c>
      <c r="AY200" t="s">
        <v>437</v>
      </c>
      <c r="AZ200">
        <v>0</v>
      </c>
      <c r="BA200">
        <v>0</v>
      </c>
      <c r="BB200">
        <f>1-AZ200/BA200</f>
        <v>0</v>
      </c>
      <c r="BC200">
        <v>0</v>
      </c>
      <c r="BD200" t="s">
        <v>437</v>
      </c>
      <c r="BE200" t="s">
        <v>437</v>
      </c>
      <c r="BF200">
        <v>0</v>
      </c>
      <c r="BG200">
        <v>0</v>
      </c>
      <c r="BH200">
        <f>1-BF200/BG200</f>
        <v>0</v>
      </c>
      <c r="BI200">
        <v>0.5</v>
      </c>
      <c r="BJ200">
        <f>DI200</f>
        <v>0</v>
      </c>
      <c r="BK200">
        <f>L200</f>
        <v>0</v>
      </c>
      <c r="BL200">
        <f>BH200*BI200*BJ200</f>
        <v>0</v>
      </c>
      <c r="BM200">
        <f>(BK200-BC200)/BJ200</f>
        <v>0</v>
      </c>
      <c r="BN200">
        <f>(BA200-BG200)/BG200</f>
        <v>0</v>
      </c>
      <c r="BO200">
        <f>AZ200/(BB200+AZ200/BG200)</f>
        <v>0</v>
      </c>
      <c r="BP200" t="s">
        <v>437</v>
      </c>
      <c r="BQ200">
        <v>0</v>
      </c>
      <c r="BR200">
        <f>IF(BQ200&lt;&gt;0, BQ200, BO200)</f>
        <v>0</v>
      </c>
      <c r="BS200">
        <f>1-BR200/BG200</f>
        <v>0</v>
      </c>
      <c r="BT200">
        <f>(BG200-BF200)/(BG200-BR200)</f>
        <v>0</v>
      </c>
      <c r="BU200">
        <f>(BA200-BG200)/(BA200-BR200)</f>
        <v>0</v>
      </c>
      <c r="BV200">
        <f>(BG200-BF200)/(BG200-AZ200)</f>
        <v>0</v>
      </c>
      <c r="BW200">
        <f>(BA200-BG200)/(BA200-AZ200)</f>
        <v>0</v>
      </c>
      <c r="BX200">
        <f>(BT200*BR200/BF200)</f>
        <v>0</v>
      </c>
      <c r="BY200">
        <f>(1-BX200)</f>
        <v>0</v>
      </c>
      <c r="BZ200">
        <v>282</v>
      </c>
      <c r="CA200">
        <v>290</v>
      </c>
      <c r="CB200">
        <v>1577.74</v>
      </c>
      <c r="CC200">
        <v>295</v>
      </c>
      <c r="CD200">
        <v>5140.93</v>
      </c>
      <c r="CE200">
        <v>1578.58</v>
      </c>
      <c r="CF200">
        <v>-0.84</v>
      </c>
      <c r="CG200">
        <v>300</v>
      </c>
      <c r="CH200">
        <v>23.8</v>
      </c>
      <c r="CI200">
        <v>1633.28263291266</v>
      </c>
      <c r="CJ200">
        <v>1.49577129053257</v>
      </c>
      <c r="CK200">
        <v>-28.1203876934379</v>
      </c>
      <c r="CL200">
        <v>0.666413418688897</v>
      </c>
      <c r="CM200">
        <v>0.984518017981194</v>
      </c>
      <c r="CN200">
        <v>-0.00424727541713014</v>
      </c>
      <c r="CO200">
        <v>290</v>
      </c>
      <c r="CP200">
        <v>1576.56</v>
      </c>
      <c r="CQ200">
        <v>775</v>
      </c>
      <c r="CR200">
        <v>5139.5</v>
      </c>
      <c r="CS200">
        <v>1578.57</v>
      </c>
      <c r="CT200">
        <v>-2.01</v>
      </c>
      <c r="DH200">
        <f>$B$11*EG200+$C$11*EH200+$F$11*ES200*(1-EV200)</f>
        <v>0</v>
      </c>
      <c r="DI200">
        <f>DH200*DJ200</f>
        <v>0</v>
      </c>
      <c r="DJ200">
        <f>($B$11*$D$9+$C$11*$D$9+$F$11*((FF200+EX200)/MAX(FF200+EX200+FG200, 0.1)*$I$9+FG200/MAX(FF200+EX200+FG200, 0.1)*$J$9))/($B$11+$C$11+$F$11)</f>
        <v>0</v>
      </c>
      <c r="DK200">
        <f>($B$11*$K$9+$C$11*$K$9+$F$11*((FF200+EX200)/MAX(FF200+EX200+FG200, 0.1)*$P$9+FG200/MAX(FF200+EX200+FG200, 0.1)*$Q$9))/($B$11+$C$11+$F$11)</f>
        <v>0</v>
      </c>
      <c r="DL200">
        <v>6</v>
      </c>
      <c r="DM200">
        <v>0.5</v>
      </c>
      <c r="DN200" t="s">
        <v>438</v>
      </c>
      <c r="DO200">
        <v>2</v>
      </c>
      <c r="DP200" t="b">
        <v>1</v>
      </c>
      <c r="DQ200">
        <v>1760992251.51667</v>
      </c>
      <c r="DR200">
        <v>1255.19</v>
      </c>
      <c r="DS200">
        <v>1303.62583333333</v>
      </c>
      <c r="DT200">
        <v>11.875575</v>
      </c>
      <c r="DU200">
        <v>9.72533166666667</v>
      </c>
      <c r="DV200">
        <v>1249.41166666667</v>
      </c>
      <c r="DW200">
        <v>11.9859583333333</v>
      </c>
      <c r="DX200">
        <v>500.002083333333</v>
      </c>
      <c r="DY200">
        <v>89.8451583333333</v>
      </c>
      <c r="DZ200">
        <v>0.00894896583333333</v>
      </c>
      <c r="EA200">
        <v>18.3792916666667</v>
      </c>
      <c r="EB200">
        <v>18.0044333333333</v>
      </c>
      <c r="EC200">
        <v>999.9</v>
      </c>
      <c r="ED200">
        <v>0</v>
      </c>
      <c r="EE200">
        <v>0</v>
      </c>
      <c r="EF200">
        <v>10005.8908333333</v>
      </c>
      <c r="EG200">
        <v>0</v>
      </c>
      <c r="EH200">
        <v>1278.56833333333</v>
      </c>
      <c r="EI200">
        <v>-48.43595</v>
      </c>
      <c r="EJ200">
        <v>1270.27416666667</v>
      </c>
      <c r="EK200">
        <v>1316.42666666667</v>
      </c>
      <c r="EL200">
        <v>2.15025333333333</v>
      </c>
      <c r="EM200">
        <v>1303.62583333333</v>
      </c>
      <c r="EN200">
        <v>9.72533166666667</v>
      </c>
      <c r="EO200">
        <v>1.066965</v>
      </c>
      <c r="EP200">
        <v>0.873773916666667</v>
      </c>
      <c r="EQ200">
        <v>7.86436583333333</v>
      </c>
      <c r="ER200">
        <v>4.96588916666667</v>
      </c>
      <c r="ES200">
        <v>1199.95666666667</v>
      </c>
      <c r="ET200">
        <v>0.966990083333333</v>
      </c>
      <c r="EU200">
        <v>0.033009725</v>
      </c>
      <c r="EV200">
        <v>0</v>
      </c>
      <c r="EW200">
        <v>1295.9475</v>
      </c>
      <c r="EX200">
        <v>5.00059</v>
      </c>
      <c r="EY200">
        <v>15258.1333333333</v>
      </c>
      <c r="EZ200">
        <v>10358.325</v>
      </c>
      <c r="FA200">
        <v>36.8486666666667</v>
      </c>
      <c r="FB200">
        <v>38.4893333333333</v>
      </c>
      <c r="FC200">
        <v>37.2914166666667</v>
      </c>
      <c r="FD200">
        <v>37.7029166666667</v>
      </c>
      <c r="FE200">
        <v>37.7340833333333</v>
      </c>
      <c r="FF200">
        <v>1155.5075</v>
      </c>
      <c r="FG200">
        <v>39.445</v>
      </c>
      <c r="FH200">
        <v>0</v>
      </c>
      <c r="FI200">
        <v>1115</v>
      </c>
      <c r="FJ200">
        <v>0</v>
      </c>
      <c r="FK200">
        <v>1295.92230769231</v>
      </c>
      <c r="FL200">
        <v>0.498461549624338</v>
      </c>
      <c r="FM200">
        <v>-19.1897437457349</v>
      </c>
      <c r="FN200">
        <v>15258.75</v>
      </c>
      <c r="FO200">
        <v>15</v>
      </c>
      <c r="FP200">
        <v>0</v>
      </c>
      <c r="FQ200" t="s">
        <v>439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-47.9950761904762</v>
      </c>
      <c r="GD200">
        <v>-4.74179220779222</v>
      </c>
      <c r="GE200">
        <v>0.962445815867432</v>
      </c>
      <c r="GF200">
        <v>0</v>
      </c>
      <c r="GG200">
        <v>1295.84058823529</v>
      </c>
      <c r="GH200">
        <v>1.40962567200196</v>
      </c>
      <c r="GI200">
        <v>0.249422169594289</v>
      </c>
      <c r="GJ200">
        <v>-1</v>
      </c>
      <c r="GK200">
        <v>2.14774476190476</v>
      </c>
      <c r="GL200">
        <v>0.0333615584415566</v>
      </c>
      <c r="GM200">
        <v>0.00364063916294093</v>
      </c>
      <c r="GN200">
        <v>1</v>
      </c>
      <c r="GO200">
        <v>1</v>
      </c>
      <c r="GP200">
        <v>2</v>
      </c>
      <c r="GQ200" t="s">
        <v>446</v>
      </c>
      <c r="GR200">
        <v>3.13085</v>
      </c>
      <c r="GS200">
        <v>2.68675</v>
      </c>
      <c r="GT200">
        <v>0.192968</v>
      </c>
      <c r="GU200">
        <v>0.197754</v>
      </c>
      <c r="GV200">
        <v>0.0619455</v>
      </c>
      <c r="GW200">
        <v>0.052959</v>
      </c>
      <c r="GX200">
        <v>30585.9</v>
      </c>
      <c r="GY200">
        <v>32671.3</v>
      </c>
      <c r="GZ200">
        <v>34262.9</v>
      </c>
      <c r="HA200">
        <v>36845.1</v>
      </c>
      <c r="HB200">
        <v>45347.6</v>
      </c>
      <c r="HC200">
        <v>50047.6</v>
      </c>
      <c r="HD200">
        <v>53336.8</v>
      </c>
      <c r="HE200">
        <v>58771.7</v>
      </c>
      <c r="HF200">
        <v>2.00817</v>
      </c>
      <c r="HG200">
        <v>1.83773</v>
      </c>
      <c r="HH200">
        <v>0.00882894</v>
      </c>
      <c r="HI200">
        <v>0</v>
      </c>
      <c r="HJ200">
        <v>17.8477</v>
      </c>
      <c r="HK200">
        <v>999.9</v>
      </c>
      <c r="HL200">
        <v>26.535</v>
      </c>
      <c r="HM200">
        <v>30.434</v>
      </c>
      <c r="HN200">
        <v>12.9007</v>
      </c>
      <c r="HO200">
        <v>54.0128</v>
      </c>
      <c r="HP200">
        <v>44.1747</v>
      </c>
      <c r="HQ200">
        <v>1</v>
      </c>
      <c r="HR200">
        <v>-0.260628</v>
      </c>
      <c r="HS200">
        <v>4.72475</v>
      </c>
      <c r="HT200">
        <v>20.0735</v>
      </c>
      <c r="HU200">
        <v>5.20172</v>
      </c>
      <c r="HV200">
        <v>12.004</v>
      </c>
      <c r="HW200">
        <v>4.9756</v>
      </c>
      <c r="HX200">
        <v>3.293</v>
      </c>
      <c r="HY200">
        <v>9999</v>
      </c>
      <c r="HZ200">
        <v>999.9</v>
      </c>
      <c r="IA200">
        <v>9999</v>
      </c>
      <c r="IB200">
        <v>9999</v>
      </c>
      <c r="IC200">
        <v>1.86324</v>
      </c>
      <c r="ID200">
        <v>1.86808</v>
      </c>
      <c r="IE200">
        <v>1.86783</v>
      </c>
      <c r="IF200">
        <v>1.86905</v>
      </c>
      <c r="IG200">
        <v>1.86981</v>
      </c>
      <c r="IH200">
        <v>1.86586</v>
      </c>
      <c r="II200">
        <v>1.86691</v>
      </c>
      <c r="IJ200">
        <v>1.86835</v>
      </c>
      <c r="IK200">
        <v>5</v>
      </c>
      <c r="IL200">
        <v>0</v>
      </c>
      <c r="IM200">
        <v>0</v>
      </c>
      <c r="IN200">
        <v>0</v>
      </c>
      <c r="IO200" t="s">
        <v>441</v>
      </c>
      <c r="IP200" t="s">
        <v>442</v>
      </c>
      <c r="IQ200" t="s">
        <v>443</v>
      </c>
      <c r="IR200" t="s">
        <v>443</v>
      </c>
      <c r="IS200" t="s">
        <v>443</v>
      </c>
      <c r="IT200" t="s">
        <v>443</v>
      </c>
      <c r="IU200">
        <v>0</v>
      </c>
      <c r="IV200">
        <v>100</v>
      </c>
      <c r="IW200">
        <v>100</v>
      </c>
      <c r="IX200">
        <v>5.87</v>
      </c>
      <c r="IY200">
        <v>-0.1103</v>
      </c>
      <c r="IZ200">
        <v>1.12474291219083</v>
      </c>
      <c r="JA200">
        <v>0.00463155566490582</v>
      </c>
      <c r="JB200">
        <v>-1.1358998729424e-06</v>
      </c>
      <c r="JC200">
        <v>3.28704272115545e-10</v>
      </c>
      <c r="JD200">
        <v>-0.0704455108513773</v>
      </c>
      <c r="JE200">
        <v>-0.0251928478371425</v>
      </c>
      <c r="JF200">
        <v>0.00225751704194564</v>
      </c>
      <c r="JG200">
        <v>-3.61734043746866e-05</v>
      </c>
      <c r="JH200">
        <v>1</v>
      </c>
      <c r="JI200">
        <v>2182</v>
      </c>
      <c r="JJ200">
        <v>0</v>
      </c>
      <c r="JK200">
        <v>24</v>
      </c>
      <c r="JL200">
        <v>29349871</v>
      </c>
      <c r="JM200">
        <v>29349871</v>
      </c>
      <c r="JN200">
        <v>2.55737</v>
      </c>
      <c r="JO200">
        <v>2.60498</v>
      </c>
      <c r="JP200">
        <v>1.54785</v>
      </c>
      <c r="JQ200">
        <v>2.31445</v>
      </c>
      <c r="JR200">
        <v>1.64673</v>
      </c>
      <c r="JS200">
        <v>2.40234</v>
      </c>
      <c r="JT200">
        <v>33.6029</v>
      </c>
      <c r="JU200">
        <v>24.1838</v>
      </c>
      <c r="JV200">
        <v>18</v>
      </c>
      <c r="JW200">
        <v>500.941</v>
      </c>
      <c r="JX200">
        <v>394.935</v>
      </c>
      <c r="JY200">
        <v>11.5405</v>
      </c>
      <c r="JZ200">
        <v>23.9994</v>
      </c>
      <c r="KA200">
        <v>30.0002</v>
      </c>
      <c r="KB200">
        <v>23.99</v>
      </c>
      <c r="KC200">
        <v>23.9572</v>
      </c>
      <c r="KD200">
        <v>51.2913</v>
      </c>
      <c r="KE200">
        <v>7.32529</v>
      </c>
      <c r="KF200">
        <v>26.5359</v>
      </c>
      <c r="KG200">
        <v>11.5355</v>
      </c>
      <c r="KH200">
        <v>1348.34</v>
      </c>
      <c r="KI200">
        <v>9.77429</v>
      </c>
      <c r="KJ200">
        <v>97.0354</v>
      </c>
      <c r="KK200">
        <v>95.2947</v>
      </c>
    </row>
    <row r="201" spans="1:297">
      <c r="A201">
        <v>185</v>
      </c>
      <c r="B201">
        <v>1760992264.1</v>
      </c>
      <c r="C201">
        <v>3074</v>
      </c>
      <c r="D201" t="s">
        <v>823</v>
      </c>
      <c r="E201" t="s">
        <v>824</v>
      </c>
      <c r="F201">
        <v>5</v>
      </c>
      <c r="G201" t="s">
        <v>662</v>
      </c>
      <c r="H201" t="s">
        <v>436</v>
      </c>
      <c r="I201">
        <v>1760992256.51667</v>
      </c>
      <c r="J201">
        <f>(K201)/1000</f>
        <v>0</v>
      </c>
      <c r="K201">
        <f>IF(DP201, AN201, AH201)</f>
        <v>0</v>
      </c>
      <c r="L201">
        <f>IF(DP201, AI201, AG201)</f>
        <v>0</v>
      </c>
      <c r="M201">
        <f>DR201 - IF(AU201&gt;1, L201*DL201*100.0/(AW201), 0)</f>
        <v>0</v>
      </c>
      <c r="N201">
        <f>((T201-J201/2)*M201-L201)/(T201+J201/2)</f>
        <v>0</v>
      </c>
      <c r="O201">
        <f>N201*(DY201+DZ201)/1000.0</f>
        <v>0</v>
      </c>
      <c r="P201">
        <f>(DR201 - IF(AU201&gt;1, L201*DL201*100.0/(AW201), 0))*(DY201+DZ201)/1000.0</f>
        <v>0</v>
      </c>
      <c r="Q201">
        <f>2.0/((1/S201-1/R201)+SIGN(S201)*SQRT((1/S201-1/R201)*(1/S201-1/R201) + 4*DM201/((DM201+1)*(DM201+1))*(2*1/S201*1/R201-1/R201*1/R201)))</f>
        <v>0</v>
      </c>
      <c r="R201">
        <f>IF(LEFT(DN201,1)&lt;&gt;"0",IF(LEFT(DN201,1)="1",3.0,DO201),$D$5+$E$5*(EF201*DY201/($K$5*1000))+$F$5*(EF201*DY201/($K$5*1000))*MAX(MIN(DL201,$J$5),$I$5)*MAX(MIN(DL201,$J$5),$I$5)+$G$5*MAX(MIN(DL201,$J$5),$I$5)*(EF201*DY201/($K$5*1000))+$H$5*(EF201*DY201/($K$5*1000))*(EF201*DY201/($K$5*1000)))</f>
        <v>0</v>
      </c>
      <c r="S201">
        <f>J201*(1000-(1000*0.61365*exp(17.502*W201/(240.97+W201))/(DY201+DZ201)+DT201)/2)/(1000*0.61365*exp(17.502*W201/(240.97+W201))/(DY201+DZ201)-DT201)</f>
        <v>0</v>
      </c>
      <c r="T201">
        <f>1/((DM201+1)/(Q201/1.6)+1/(R201/1.37)) + DM201/((DM201+1)/(Q201/1.6) + DM201/(R201/1.37))</f>
        <v>0</v>
      </c>
      <c r="U201">
        <f>(DH201*DK201)</f>
        <v>0</v>
      </c>
      <c r="V201">
        <f>(EA201+(U201+2*0.95*5.67E-8*(((EA201+$B$7)+273)^4-(EA201+273)^4)-44100*J201)/(1.84*29.3*R201+8*0.95*5.67E-8*(EA201+273)^3))</f>
        <v>0</v>
      </c>
      <c r="W201">
        <f>($C$7*EB201+$D$7*EC201+$E$7*V201)</f>
        <v>0</v>
      </c>
      <c r="X201">
        <f>0.61365*exp(17.502*W201/(240.97+W201))</f>
        <v>0</v>
      </c>
      <c r="Y201">
        <f>(Z201/AA201*100)</f>
        <v>0</v>
      </c>
      <c r="Z201">
        <f>DT201*(DY201+DZ201)/1000</f>
        <v>0</v>
      </c>
      <c r="AA201">
        <f>0.61365*exp(17.502*EA201/(240.97+EA201))</f>
        <v>0</v>
      </c>
      <c r="AB201">
        <f>(X201-DT201*(DY201+DZ201)/1000)</f>
        <v>0</v>
      </c>
      <c r="AC201">
        <f>(-J201*44100)</f>
        <v>0</v>
      </c>
      <c r="AD201">
        <f>2*29.3*R201*0.92*(EA201-W201)</f>
        <v>0</v>
      </c>
      <c r="AE201">
        <f>2*0.95*5.67E-8*(((EA201+$B$7)+273)^4-(W201+273)^4)</f>
        <v>0</v>
      </c>
      <c r="AF201">
        <f>U201+AE201+AC201+AD201</f>
        <v>0</v>
      </c>
      <c r="AG201">
        <f>DX201*AU201*(DS201-DR201*(1000-AU201*DU201)/(1000-AU201*DT201))/(100*DL201)</f>
        <v>0</v>
      </c>
      <c r="AH201">
        <f>1000*DX201*AU201*(DT201-DU201)/(100*DL201*(1000-AU201*DT201))</f>
        <v>0</v>
      </c>
      <c r="AI201">
        <f>(AJ201 - AK201 - DY201*1E3/(8.314*(EA201+273.15)) * AM201/DX201 * AL201) * DX201/(100*DL201) * (1000 - DU201)/1000</f>
        <v>0</v>
      </c>
      <c r="AJ201">
        <v>1345.94764085131</v>
      </c>
      <c r="AK201">
        <v>1308.62878787879</v>
      </c>
      <c r="AL201">
        <v>3.24858333706296</v>
      </c>
      <c r="AM201">
        <v>65.2210784119795</v>
      </c>
      <c r="AN201">
        <f>(AP201 - AO201 + DY201*1E3/(8.314*(EA201+273.15)) * AR201/DX201 * AQ201) * DX201/(100*DL201) * 1000/(1000 - AP201)</f>
        <v>0</v>
      </c>
      <c r="AO201">
        <v>9.72333647940264</v>
      </c>
      <c r="AP201">
        <v>11.8764103030303</v>
      </c>
      <c r="AQ201">
        <v>-1.38523871219635e-05</v>
      </c>
      <c r="AR201">
        <v>115.574510355221</v>
      </c>
      <c r="AS201">
        <v>0</v>
      </c>
      <c r="AT201">
        <v>0</v>
      </c>
      <c r="AU201">
        <f>IF(AS201*$H$13&gt;=AW201,1.0,(AW201/(AW201-AS201*$H$13)))</f>
        <v>0</v>
      </c>
      <c r="AV201">
        <f>(AU201-1)*100</f>
        <v>0</v>
      </c>
      <c r="AW201">
        <f>MAX(0,($B$13+$C$13*EF201)/(1+$D$13*EF201)*DY201/(EA201+273)*$E$13)</f>
        <v>0</v>
      </c>
      <c r="AX201" t="s">
        <v>437</v>
      </c>
      <c r="AY201" t="s">
        <v>437</v>
      </c>
      <c r="AZ201">
        <v>0</v>
      </c>
      <c r="BA201">
        <v>0</v>
      </c>
      <c r="BB201">
        <f>1-AZ201/BA201</f>
        <v>0</v>
      </c>
      <c r="BC201">
        <v>0</v>
      </c>
      <c r="BD201" t="s">
        <v>437</v>
      </c>
      <c r="BE201" t="s">
        <v>437</v>
      </c>
      <c r="BF201">
        <v>0</v>
      </c>
      <c r="BG201">
        <v>0</v>
      </c>
      <c r="BH201">
        <f>1-BF201/BG201</f>
        <v>0</v>
      </c>
      <c r="BI201">
        <v>0.5</v>
      </c>
      <c r="BJ201">
        <f>DI201</f>
        <v>0</v>
      </c>
      <c r="BK201">
        <f>L201</f>
        <v>0</v>
      </c>
      <c r="BL201">
        <f>BH201*BI201*BJ201</f>
        <v>0</v>
      </c>
      <c r="BM201">
        <f>(BK201-BC201)/BJ201</f>
        <v>0</v>
      </c>
      <c r="BN201">
        <f>(BA201-BG201)/BG201</f>
        <v>0</v>
      </c>
      <c r="BO201">
        <f>AZ201/(BB201+AZ201/BG201)</f>
        <v>0</v>
      </c>
      <c r="BP201" t="s">
        <v>437</v>
      </c>
      <c r="BQ201">
        <v>0</v>
      </c>
      <c r="BR201">
        <f>IF(BQ201&lt;&gt;0, BQ201, BO201)</f>
        <v>0</v>
      </c>
      <c r="BS201">
        <f>1-BR201/BG201</f>
        <v>0</v>
      </c>
      <c r="BT201">
        <f>(BG201-BF201)/(BG201-BR201)</f>
        <v>0</v>
      </c>
      <c r="BU201">
        <f>(BA201-BG201)/(BA201-BR201)</f>
        <v>0</v>
      </c>
      <c r="BV201">
        <f>(BG201-BF201)/(BG201-AZ201)</f>
        <v>0</v>
      </c>
      <c r="BW201">
        <f>(BA201-BG201)/(BA201-AZ201)</f>
        <v>0</v>
      </c>
      <c r="BX201">
        <f>(BT201*BR201/BF201)</f>
        <v>0</v>
      </c>
      <c r="BY201">
        <f>(1-BX201)</f>
        <v>0</v>
      </c>
      <c r="BZ201">
        <v>282</v>
      </c>
      <c r="CA201">
        <v>290</v>
      </c>
      <c r="CB201">
        <v>1577.74</v>
      </c>
      <c r="CC201">
        <v>295</v>
      </c>
      <c r="CD201">
        <v>5140.93</v>
      </c>
      <c r="CE201">
        <v>1578.58</v>
      </c>
      <c r="CF201">
        <v>-0.84</v>
      </c>
      <c r="CG201">
        <v>300</v>
      </c>
      <c r="CH201">
        <v>23.8</v>
      </c>
      <c r="CI201">
        <v>1633.28263291266</v>
      </c>
      <c r="CJ201">
        <v>1.49577129053257</v>
      </c>
      <c r="CK201">
        <v>-28.1203876934379</v>
      </c>
      <c r="CL201">
        <v>0.666413418688897</v>
      </c>
      <c r="CM201">
        <v>0.984518017981194</v>
      </c>
      <c r="CN201">
        <v>-0.00424727541713014</v>
      </c>
      <c r="CO201">
        <v>290</v>
      </c>
      <c r="CP201">
        <v>1576.56</v>
      </c>
      <c r="CQ201">
        <v>775</v>
      </c>
      <c r="CR201">
        <v>5139.5</v>
      </c>
      <c r="CS201">
        <v>1578.57</v>
      </c>
      <c r="CT201">
        <v>-2.01</v>
      </c>
      <c r="DH201">
        <f>$B$11*EG201+$C$11*EH201+$F$11*ES201*(1-EV201)</f>
        <v>0</v>
      </c>
      <c r="DI201">
        <f>DH201*DJ201</f>
        <v>0</v>
      </c>
      <c r="DJ201">
        <f>($B$11*$D$9+$C$11*$D$9+$F$11*((FF201+EX201)/MAX(FF201+EX201+FG201, 0.1)*$I$9+FG201/MAX(FF201+EX201+FG201, 0.1)*$J$9))/($B$11+$C$11+$F$11)</f>
        <v>0</v>
      </c>
      <c r="DK201">
        <f>($B$11*$K$9+$C$11*$K$9+$F$11*((FF201+EX201)/MAX(FF201+EX201+FG201, 0.1)*$P$9+FG201/MAX(FF201+EX201+FG201, 0.1)*$Q$9))/($B$11+$C$11+$F$11)</f>
        <v>0</v>
      </c>
      <c r="DL201">
        <v>6</v>
      </c>
      <c r="DM201">
        <v>0.5</v>
      </c>
      <c r="DN201" t="s">
        <v>438</v>
      </c>
      <c r="DO201">
        <v>2</v>
      </c>
      <c r="DP201" t="b">
        <v>1</v>
      </c>
      <c r="DQ201">
        <v>1760992256.51667</v>
      </c>
      <c r="DR201">
        <v>1271.7475</v>
      </c>
      <c r="DS201">
        <v>1319.96666666667</v>
      </c>
      <c r="DT201">
        <v>11.8768916666667</v>
      </c>
      <c r="DU201">
        <v>9.72437916666667</v>
      </c>
      <c r="DV201">
        <v>1265.915</v>
      </c>
      <c r="DW201">
        <v>11.9872666666667</v>
      </c>
      <c r="DX201">
        <v>500.003833333333</v>
      </c>
      <c r="DY201">
        <v>89.84445</v>
      </c>
      <c r="DZ201">
        <v>0.00892773</v>
      </c>
      <c r="EA201">
        <v>18.378525</v>
      </c>
      <c r="EB201">
        <v>18.002525</v>
      </c>
      <c r="EC201">
        <v>999.9</v>
      </c>
      <c r="ED201">
        <v>0</v>
      </c>
      <c r="EE201">
        <v>0</v>
      </c>
      <c r="EF201">
        <v>9997.66166666667</v>
      </c>
      <c r="EG201">
        <v>0</v>
      </c>
      <c r="EH201">
        <v>1278.5725</v>
      </c>
      <c r="EI201">
        <v>-48.2191</v>
      </c>
      <c r="EJ201">
        <v>1287.0325</v>
      </c>
      <c r="EK201">
        <v>1332.92833333333</v>
      </c>
      <c r="EL201">
        <v>2.15252666666667</v>
      </c>
      <c r="EM201">
        <v>1319.96666666667</v>
      </c>
      <c r="EN201">
        <v>9.72437916666667</v>
      </c>
      <c r="EO201">
        <v>1.06707333333333</v>
      </c>
      <c r="EP201">
        <v>0.873681416666667</v>
      </c>
      <c r="EQ201">
        <v>7.86588083333333</v>
      </c>
      <c r="ER201">
        <v>4.96437166666667</v>
      </c>
      <c r="ES201">
        <v>1199.94666666667</v>
      </c>
      <c r="ET201">
        <v>0.966989333333333</v>
      </c>
      <c r="EU201">
        <v>0.033010425</v>
      </c>
      <c r="EV201">
        <v>0</v>
      </c>
      <c r="EW201">
        <v>1295.94916666667</v>
      </c>
      <c r="EX201">
        <v>5.00059</v>
      </c>
      <c r="EY201">
        <v>15256.05</v>
      </c>
      <c r="EZ201">
        <v>10358.225</v>
      </c>
      <c r="FA201">
        <v>36.8018333333333</v>
      </c>
      <c r="FB201">
        <v>38.4425</v>
      </c>
      <c r="FC201">
        <v>37.2445</v>
      </c>
      <c r="FD201">
        <v>37.66125</v>
      </c>
      <c r="FE201">
        <v>37.6924166666667</v>
      </c>
      <c r="FF201">
        <v>1155.49666666667</v>
      </c>
      <c r="FG201">
        <v>39.4483333333333</v>
      </c>
      <c r="FH201">
        <v>0</v>
      </c>
      <c r="FI201">
        <v>1119.80000019073</v>
      </c>
      <c r="FJ201">
        <v>0</v>
      </c>
      <c r="FK201">
        <v>1295.95</v>
      </c>
      <c r="FL201">
        <v>0.440341879909257</v>
      </c>
      <c r="FM201">
        <v>-33.2854702650555</v>
      </c>
      <c r="FN201">
        <v>15256.6769230769</v>
      </c>
      <c r="FO201">
        <v>15</v>
      </c>
      <c r="FP201">
        <v>0</v>
      </c>
      <c r="FQ201" t="s">
        <v>439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-48.2509857142857</v>
      </c>
      <c r="GD201">
        <v>2.32461038961027</v>
      </c>
      <c r="GE201">
        <v>0.773655596001535</v>
      </c>
      <c r="GF201">
        <v>0</v>
      </c>
      <c r="GG201">
        <v>1295.94529411765</v>
      </c>
      <c r="GH201">
        <v>0.461420935335878</v>
      </c>
      <c r="GI201">
        <v>0.191222618864476</v>
      </c>
      <c r="GJ201">
        <v>-1</v>
      </c>
      <c r="GK201">
        <v>2.15054333333333</v>
      </c>
      <c r="GL201">
        <v>0.0304963636363667</v>
      </c>
      <c r="GM201">
        <v>0.00338053438059911</v>
      </c>
      <c r="GN201">
        <v>1</v>
      </c>
      <c r="GO201">
        <v>1</v>
      </c>
      <c r="GP201">
        <v>2</v>
      </c>
      <c r="GQ201" t="s">
        <v>446</v>
      </c>
      <c r="GR201">
        <v>3.13085</v>
      </c>
      <c r="GS201">
        <v>2.68671</v>
      </c>
      <c r="GT201">
        <v>0.194491</v>
      </c>
      <c r="GU201">
        <v>0.19938</v>
      </c>
      <c r="GV201">
        <v>0.0619378</v>
      </c>
      <c r="GW201">
        <v>0.0529529</v>
      </c>
      <c r="GX201">
        <v>30528</v>
      </c>
      <c r="GY201">
        <v>32605</v>
      </c>
      <c r="GZ201">
        <v>34262.5</v>
      </c>
      <c r="HA201">
        <v>36844.9</v>
      </c>
      <c r="HB201">
        <v>45347.6</v>
      </c>
      <c r="HC201">
        <v>50048.1</v>
      </c>
      <c r="HD201">
        <v>53336.2</v>
      </c>
      <c r="HE201">
        <v>58771.6</v>
      </c>
      <c r="HF201">
        <v>2.00837</v>
      </c>
      <c r="HG201">
        <v>1.83757</v>
      </c>
      <c r="HH201">
        <v>0.00879914</v>
      </c>
      <c r="HI201">
        <v>0</v>
      </c>
      <c r="HJ201">
        <v>17.8492</v>
      </c>
      <c r="HK201">
        <v>999.9</v>
      </c>
      <c r="HL201">
        <v>26.535</v>
      </c>
      <c r="HM201">
        <v>30.434</v>
      </c>
      <c r="HN201">
        <v>12.9</v>
      </c>
      <c r="HO201">
        <v>54.1128</v>
      </c>
      <c r="HP201">
        <v>44.1787</v>
      </c>
      <c r="HQ201">
        <v>1</v>
      </c>
      <c r="HR201">
        <v>-0.260594</v>
      </c>
      <c r="HS201">
        <v>4.71808</v>
      </c>
      <c r="HT201">
        <v>20.0737</v>
      </c>
      <c r="HU201">
        <v>5.20276</v>
      </c>
      <c r="HV201">
        <v>12.004</v>
      </c>
      <c r="HW201">
        <v>4.9756</v>
      </c>
      <c r="HX201">
        <v>3.29303</v>
      </c>
      <c r="HY201">
        <v>9999</v>
      </c>
      <c r="HZ201">
        <v>999.9</v>
      </c>
      <c r="IA201">
        <v>9999</v>
      </c>
      <c r="IB201">
        <v>9999</v>
      </c>
      <c r="IC201">
        <v>1.86324</v>
      </c>
      <c r="ID201">
        <v>1.86806</v>
      </c>
      <c r="IE201">
        <v>1.86783</v>
      </c>
      <c r="IF201">
        <v>1.86903</v>
      </c>
      <c r="IG201">
        <v>1.86981</v>
      </c>
      <c r="IH201">
        <v>1.86588</v>
      </c>
      <c r="II201">
        <v>1.86691</v>
      </c>
      <c r="IJ201">
        <v>1.86835</v>
      </c>
      <c r="IK201">
        <v>5</v>
      </c>
      <c r="IL201">
        <v>0</v>
      </c>
      <c r="IM201">
        <v>0</v>
      </c>
      <c r="IN201">
        <v>0</v>
      </c>
      <c r="IO201" t="s">
        <v>441</v>
      </c>
      <c r="IP201" t="s">
        <v>442</v>
      </c>
      <c r="IQ201" t="s">
        <v>443</v>
      </c>
      <c r="IR201" t="s">
        <v>443</v>
      </c>
      <c r="IS201" t="s">
        <v>443</v>
      </c>
      <c r="IT201" t="s">
        <v>443</v>
      </c>
      <c r="IU201">
        <v>0</v>
      </c>
      <c r="IV201">
        <v>100</v>
      </c>
      <c r="IW201">
        <v>100</v>
      </c>
      <c r="IX201">
        <v>5.92</v>
      </c>
      <c r="IY201">
        <v>-0.1103</v>
      </c>
      <c r="IZ201">
        <v>1.12474291219083</v>
      </c>
      <c r="JA201">
        <v>0.00463155566490582</v>
      </c>
      <c r="JB201">
        <v>-1.1358998729424e-06</v>
      </c>
      <c r="JC201">
        <v>3.28704272115545e-10</v>
      </c>
      <c r="JD201">
        <v>-0.0704455108513773</v>
      </c>
      <c r="JE201">
        <v>-0.0251928478371425</v>
      </c>
      <c r="JF201">
        <v>0.00225751704194564</v>
      </c>
      <c r="JG201">
        <v>-3.61734043746866e-05</v>
      </c>
      <c r="JH201">
        <v>1</v>
      </c>
      <c r="JI201">
        <v>2182</v>
      </c>
      <c r="JJ201">
        <v>0</v>
      </c>
      <c r="JK201">
        <v>24</v>
      </c>
      <c r="JL201">
        <v>29349871.1</v>
      </c>
      <c r="JM201">
        <v>29349871.1</v>
      </c>
      <c r="JN201">
        <v>2.58301</v>
      </c>
      <c r="JO201">
        <v>2.60132</v>
      </c>
      <c r="JP201">
        <v>1.54785</v>
      </c>
      <c r="JQ201">
        <v>2.31323</v>
      </c>
      <c r="JR201">
        <v>1.64673</v>
      </c>
      <c r="JS201">
        <v>2.39136</v>
      </c>
      <c r="JT201">
        <v>33.6029</v>
      </c>
      <c r="JU201">
        <v>24.1838</v>
      </c>
      <c r="JV201">
        <v>18</v>
      </c>
      <c r="JW201">
        <v>501.078</v>
      </c>
      <c r="JX201">
        <v>394.866</v>
      </c>
      <c r="JY201">
        <v>11.5363</v>
      </c>
      <c r="JZ201">
        <v>23.9994</v>
      </c>
      <c r="KA201">
        <v>30.0002</v>
      </c>
      <c r="KB201">
        <v>23.9908</v>
      </c>
      <c r="KC201">
        <v>23.9586</v>
      </c>
      <c r="KD201">
        <v>51.7325</v>
      </c>
      <c r="KE201">
        <v>7.32529</v>
      </c>
      <c r="KF201">
        <v>26.5359</v>
      </c>
      <c r="KG201">
        <v>11.5391</v>
      </c>
      <c r="KH201">
        <v>1362.02</v>
      </c>
      <c r="KI201">
        <v>9.77429</v>
      </c>
      <c r="KJ201">
        <v>97.0343</v>
      </c>
      <c r="KK201">
        <v>95.2944</v>
      </c>
    </row>
    <row r="202" spans="1:297">
      <c r="A202">
        <v>186</v>
      </c>
      <c r="B202">
        <v>1760992269.1</v>
      </c>
      <c r="C202">
        <v>3079</v>
      </c>
      <c r="D202" t="s">
        <v>825</v>
      </c>
      <c r="E202" t="s">
        <v>826</v>
      </c>
      <c r="F202">
        <v>5</v>
      </c>
      <c r="G202" t="s">
        <v>662</v>
      </c>
      <c r="H202" t="s">
        <v>436</v>
      </c>
      <c r="I202">
        <v>1760992261.51667</v>
      </c>
      <c r="J202">
        <f>(K202)/1000</f>
        <v>0</v>
      </c>
      <c r="K202">
        <f>IF(DP202, AN202, AH202)</f>
        <v>0</v>
      </c>
      <c r="L202">
        <f>IF(DP202, AI202, AG202)</f>
        <v>0</v>
      </c>
      <c r="M202">
        <f>DR202 - IF(AU202&gt;1, L202*DL202*100.0/(AW202), 0)</f>
        <v>0</v>
      </c>
      <c r="N202">
        <f>((T202-J202/2)*M202-L202)/(T202+J202/2)</f>
        <v>0</v>
      </c>
      <c r="O202">
        <f>N202*(DY202+DZ202)/1000.0</f>
        <v>0</v>
      </c>
      <c r="P202">
        <f>(DR202 - IF(AU202&gt;1, L202*DL202*100.0/(AW202), 0))*(DY202+DZ202)/1000.0</f>
        <v>0</v>
      </c>
      <c r="Q202">
        <f>2.0/((1/S202-1/R202)+SIGN(S202)*SQRT((1/S202-1/R202)*(1/S202-1/R202) + 4*DM202/((DM202+1)*(DM202+1))*(2*1/S202*1/R202-1/R202*1/R202)))</f>
        <v>0</v>
      </c>
      <c r="R202">
        <f>IF(LEFT(DN202,1)&lt;&gt;"0",IF(LEFT(DN202,1)="1",3.0,DO202),$D$5+$E$5*(EF202*DY202/($K$5*1000))+$F$5*(EF202*DY202/($K$5*1000))*MAX(MIN(DL202,$J$5),$I$5)*MAX(MIN(DL202,$J$5),$I$5)+$G$5*MAX(MIN(DL202,$J$5),$I$5)*(EF202*DY202/($K$5*1000))+$H$5*(EF202*DY202/($K$5*1000))*(EF202*DY202/($K$5*1000)))</f>
        <v>0</v>
      </c>
      <c r="S202">
        <f>J202*(1000-(1000*0.61365*exp(17.502*W202/(240.97+W202))/(DY202+DZ202)+DT202)/2)/(1000*0.61365*exp(17.502*W202/(240.97+W202))/(DY202+DZ202)-DT202)</f>
        <v>0</v>
      </c>
      <c r="T202">
        <f>1/((DM202+1)/(Q202/1.6)+1/(R202/1.37)) + DM202/((DM202+1)/(Q202/1.6) + DM202/(R202/1.37))</f>
        <v>0</v>
      </c>
      <c r="U202">
        <f>(DH202*DK202)</f>
        <v>0</v>
      </c>
      <c r="V202">
        <f>(EA202+(U202+2*0.95*5.67E-8*(((EA202+$B$7)+273)^4-(EA202+273)^4)-44100*J202)/(1.84*29.3*R202+8*0.95*5.67E-8*(EA202+273)^3))</f>
        <v>0</v>
      </c>
      <c r="W202">
        <f>($C$7*EB202+$D$7*EC202+$E$7*V202)</f>
        <v>0</v>
      </c>
      <c r="X202">
        <f>0.61365*exp(17.502*W202/(240.97+W202))</f>
        <v>0</v>
      </c>
      <c r="Y202">
        <f>(Z202/AA202*100)</f>
        <v>0</v>
      </c>
      <c r="Z202">
        <f>DT202*(DY202+DZ202)/1000</f>
        <v>0</v>
      </c>
      <c r="AA202">
        <f>0.61365*exp(17.502*EA202/(240.97+EA202))</f>
        <v>0</v>
      </c>
      <c r="AB202">
        <f>(X202-DT202*(DY202+DZ202)/1000)</f>
        <v>0</v>
      </c>
      <c r="AC202">
        <f>(-J202*44100)</f>
        <v>0</v>
      </c>
      <c r="AD202">
        <f>2*29.3*R202*0.92*(EA202-W202)</f>
        <v>0</v>
      </c>
      <c r="AE202">
        <f>2*0.95*5.67E-8*(((EA202+$B$7)+273)^4-(W202+273)^4)</f>
        <v>0</v>
      </c>
      <c r="AF202">
        <f>U202+AE202+AC202+AD202</f>
        <v>0</v>
      </c>
      <c r="AG202">
        <f>DX202*AU202*(DS202-DR202*(1000-AU202*DU202)/(1000-AU202*DT202))/(100*DL202)</f>
        <v>0</v>
      </c>
      <c r="AH202">
        <f>1000*DX202*AU202*(DT202-DU202)/(100*DL202*(1000-AU202*DT202))</f>
        <v>0</v>
      </c>
      <c r="AI202">
        <f>(AJ202 - AK202 - DY202*1E3/(8.314*(EA202+273.15)) * AM202/DX202 * AL202) * DX202/(100*DL202) * (1000 - DU202)/1000</f>
        <v>0</v>
      </c>
      <c r="AJ202">
        <v>1363.20646701928</v>
      </c>
      <c r="AK202">
        <v>1325.57666666667</v>
      </c>
      <c r="AL202">
        <v>3.35594407732772</v>
      </c>
      <c r="AM202">
        <v>65.2210784119795</v>
      </c>
      <c r="AN202">
        <f>(AP202 - AO202 + DY202*1E3/(8.314*(EA202+273.15)) * AR202/DX202 * AQ202) * DX202/(100*DL202) * 1000/(1000 - AP202)</f>
        <v>0</v>
      </c>
      <c r="AO202">
        <v>9.72141067132197</v>
      </c>
      <c r="AP202">
        <v>11.8781527272727</v>
      </c>
      <c r="AQ202">
        <v>9.1351357736954e-06</v>
      </c>
      <c r="AR202">
        <v>115.574510355221</v>
      </c>
      <c r="AS202">
        <v>0</v>
      </c>
      <c r="AT202">
        <v>0</v>
      </c>
      <c r="AU202">
        <f>IF(AS202*$H$13&gt;=AW202,1.0,(AW202/(AW202-AS202*$H$13)))</f>
        <v>0</v>
      </c>
      <c r="AV202">
        <f>(AU202-1)*100</f>
        <v>0</v>
      </c>
      <c r="AW202">
        <f>MAX(0,($B$13+$C$13*EF202)/(1+$D$13*EF202)*DY202/(EA202+273)*$E$13)</f>
        <v>0</v>
      </c>
      <c r="AX202" t="s">
        <v>437</v>
      </c>
      <c r="AY202" t="s">
        <v>437</v>
      </c>
      <c r="AZ202">
        <v>0</v>
      </c>
      <c r="BA202">
        <v>0</v>
      </c>
      <c r="BB202">
        <f>1-AZ202/BA202</f>
        <v>0</v>
      </c>
      <c r="BC202">
        <v>0</v>
      </c>
      <c r="BD202" t="s">
        <v>437</v>
      </c>
      <c r="BE202" t="s">
        <v>437</v>
      </c>
      <c r="BF202">
        <v>0</v>
      </c>
      <c r="BG202">
        <v>0</v>
      </c>
      <c r="BH202">
        <f>1-BF202/BG202</f>
        <v>0</v>
      </c>
      <c r="BI202">
        <v>0.5</v>
      </c>
      <c r="BJ202">
        <f>DI202</f>
        <v>0</v>
      </c>
      <c r="BK202">
        <f>L202</f>
        <v>0</v>
      </c>
      <c r="BL202">
        <f>BH202*BI202*BJ202</f>
        <v>0</v>
      </c>
      <c r="BM202">
        <f>(BK202-BC202)/BJ202</f>
        <v>0</v>
      </c>
      <c r="BN202">
        <f>(BA202-BG202)/BG202</f>
        <v>0</v>
      </c>
      <c r="BO202">
        <f>AZ202/(BB202+AZ202/BG202)</f>
        <v>0</v>
      </c>
      <c r="BP202" t="s">
        <v>437</v>
      </c>
      <c r="BQ202">
        <v>0</v>
      </c>
      <c r="BR202">
        <f>IF(BQ202&lt;&gt;0, BQ202, BO202)</f>
        <v>0</v>
      </c>
      <c r="BS202">
        <f>1-BR202/BG202</f>
        <v>0</v>
      </c>
      <c r="BT202">
        <f>(BG202-BF202)/(BG202-BR202)</f>
        <v>0</v>
      </c>
      <c r="BU202">
        <f>(BA202-BG202)/(BA202-BR202)</f>
        <v>0</v>
      </c>
      <c r="BV202">
        <f>(BG202-BF202)/(BG202-AZ202)</f>
        <v>0</v>
      </c>
      <c r="BW202">
        <f>(BA202-BG202)/(BA202-AZ202)</f>
        <v>0</v>
      </c>
      <c r="BX202">
        <f>(BT202*BR202/BF202)</f>
        <v>0</v>
      </c>
      <c r="BY202">
        <f>(1-BX202)</f>
        <v>0</v>
      </c>
      <c r="BZ202">
        <v>282</v>
      </c>
      <c r="CA202">
        <v>290</v>
      </c>
      <c r="CB202">
        <v>1577.74</v>
      </c>
      <c r="CC202">
        <v>295</v>
      </c>
      <c r="CD202">
        <v>5140.93</v>
      </c>
      <c r="CE202">
        <v>1578.58</v>
      </c>
      <c r="CF202">
        <v>-0.84</v>
      </c>
      <c r="CG202">
        <v>300</v>
      </c>
      <c r="CH202">
        <v>23.8</v>
      </c>
      <c r="CI202">
        <v>1633.28263291266</v>
      </c>
      <c r="CJ202">
        <v>1.49577129053257</v>
      </c>
      <c r="CK202">
        <v>-28.1203876934379</v>
      </c>
      <c r="CL202">
        <v>0.666413418688897</v>
      </c>
      <c r="CM202">
        <v>0.984518017981194</v>
      </c>
      <c r="CN202">
        <v>-0.00424727541713014</v>
      </c>
      <c r="CO202">
        <v>290</v>
      </c>
      <c r="CP202">
        <v>1576.56</v>
      </c>
      <c r="CQ202">
        <v>775</v>
      </c>
      <c r="CR202">
        <v>5139.5</v>
      </c>
      <c r="CS202">
        <v>1578.57</v>
      </c>
      <c r="CT202">
        <v>-2.01</v>
      </c>
      <c r="DH202">
        <f>$B$11*EG202+$C$11*EH202+$F$11*ES202*(1-EV202)</f>
        <v>0</v>
      </c>
      <c r="DI202">
        <f>DH202*DJ202</f>
        <v>0</v>
      </c>
      <c r="DJ202">
        <f>($B$11*$D$9+$C$11*$D$9+$F$11*((FF202+EX202)/MAX(FF202+EX202+FG202, 0.1)*$I$9+FG202/MAX(FF202+EX202+FG202, 0.1)*$J$9))/($B$11+$C$11+$F$11)</f>
        <v>0</v>
      </c>
      <c r="DK202">
        <f>($B$11*$K$9+$C$11*$K$9+$F$11*((FF202+EX202)/MAX(FF202+EX202+FG202, 0.1)*$P$9+FG202/MAX(FF202+EX202+FG202, 0.1)*$Q$9))/($B$11+$C$11+$F$11)</f>
        <v>0</v>
      </c>
      <c r="DL202">
        <v>6</v>
      </c>
      <c r="DM202">
        <v>0.5</v>
      </c>
      <c r="DN202" t="s">
        <v>438</v>
      </c>
      <c r="DO202">
        <v>2</v>
      </c>
      <c r="DP202" t="b">
        <v>1</v>
      </c>
      <c r="DQ202">
        <v>1760992261.51667</v>
      </c>
      <c r="DR202">
        <v>1288.18166666667</v>
      </c>
      <c r="DS202">
        <v>1335.98833333333</v>
      </c>
      <c r="DT202">
        <v>11.8773083333333</v>
      </c>
      <c r="DU202">
        <v>9.72321583333333</v>
      </c>
      <c r="DV202">
        <v>1282.29416666667</v>
      </c>
      <c r="DW202">
        <v>11.9876916666667</v>
      </c>
      <c r="DX202">
        <v>500.005083333333</v>
      </c>
      <c r="DY202">
        <v>89.8442083333333</v>
      </c>
      <c r="DZ202">
        <v>0.00887193166666667</v>
      </c>
      <c r="EA202">
        <v>18.3773083333333</v>
      </c>
      <c r="EB202">
        <v>17.9977333333333</v>
      </c>
      <c r="EC202">
        <v>999.9</v>
      </c>
      <c r="ED202">
        <v>0</v>
      </c>
      <c r="EE202">
        <v>0</v>
      </c>
      <c r="EF202">
        <v>9991.05</v>
      </c>
      <c r="EG202">
        <v>0</v>
      </c>
      <c r="EH202">
        <v>1278.56083333333</v>
      </c>
      <c r="EI202">
        <v>-47.8064416666667</v>
      </c>
      <c r="EJ202">
        <v>1303.66583333333</v>
      </c>
      <c r="EK202">
        <v>1349.10583333333</v>
      </c>
      <c r="EL202">
        <v>2.1541075</v>
      </c>
      <c r="EM202">
        <v>1335.98833333333</v>
      </c>
      <c r="EN202">
        <v>9.72321583333333</v>
      </c>
      <c r="EO202">
        <v>1.06710833333333</v>
      </c>
      <c r="EP202">
        <v>0.873574666666667</v>
      </c>
      <c r="EQ202">
        <v>7.86635916666667</v>
      </c>
      <c r="ER202">
        <v>4.96261666666667</v>
      </c>
      <c r="ES202">
        <v>1199.93833333333</v>
      </c>
      <c r="ET202">
        <v>0.966988583333333</v>
      </c>
      <c r="EU202">
        <v>0.03301115</v>
      </c>
      <c r="EV202">
        <v>0</v>
      </c>
      <c r="EW202">
        <v>1295.87083333333</v>
      </c>
      <c r="EX202">
        <v>5.00059</v>
      </c>
      <c r="EY202">
        <v>15252.975</v>
      </c>
      <c r="EZ202">
        <v>10358.15</v>
      </c>
      <c r="FA202">
        <v>36.7549166666667</v>
      </c>
      <c r="FB202">
        <v>38.4008333333333</v>
      </c>
      <c r="FC202">
        <v>37.1925</v>
      </c>
      <c r="FD202">
        <v>37.6143333333333</v>
      </c>
      <c r="FE202">
        <v>37.656</v>
      </c>
      <c r="FF202">
        <v>1155.48833333333</v>
      </c>
      <c r="FG202">
        <v>39.45</v>
      </c>
      <c r="FH202">
        <v>0</v>
      </c>
      <c r="FI202">
        <v>1124.60000014305</v>
      </c>
      <c r="FJ202">
        <v>0</v>
      </c>
      <c r="FK202">
        <v>1295.88384615385</v>
      </c>
      <c r="FL202">
        <v>-1.42495727680193</v>
      </c>
      <c r="FM202">
        <v>-41.2478633568271</v>
      </c>
      <c r="FN202">
        <v>15253.75</v>
      </c>
      <c r="FO202">
        <v>15</v>
      </c>
      <c r="FP202">
        <v>0</v>
      </c>
      <c r="FQ202" t="s">
        <v>439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-48.087115</v>
      </c>
      <c r="GD202">
        <v>3.66716842105266</v>
      </c>
      <c r="GE202">
        <v>0.725645016709273</v>
      </c>
      <c r="GF202">
        <v>0</v>
      </c>
      <c r="GG202">
        <v>1295.89323529412</v>
      </c>
      <c r="GH202">
        <v>-0.355844158570166</v>
      </c>
      <c r="GI202">
        <v>0.214992757583001</v>
      </c>
      <c r="GJ202">
        <v>-1</v>
      </c>
      <c r="GK202">
        <v>2.153195</v>
      </c>
      <c r="GL202">
        <v>0.017368421052634</v>
      </c>
      <c r="GM202">
        <v>0.00180891818499345</v>
      </c>
      <c r="GN202">
        <v>1</v>
      </c>
      <c r="GO202">
        <v>1</v>
      </c>
      <c r="GP202">
        <v>2</v>
      </c>
      <c r="GQ202" t="s">
        <v>446</v>
      </c>
      <c r="GR202">
        <v>3.13073</v>
      </c>
      <c r="GS202">
        <v>2.68693</v>
      </c>
      <c r="GT202">
        <v>0.196016</v>
      </c>
      <c r="GU202">
        <v>0.200811</v>
      </c>
      <c r="GV202">
        <v>0.061945</v>
      </c>
      <c r="GW202">
        <v>0.0529466</v>
      </c>
      <c r="GX202">
        <v>30470.5</v>
      </c>
      <c r="GY202">
        <v>32546.8</v>
      </c>
      <c r="GZ202">
        <v>34262.6</v>
      </c>
      <c r="HA202">
        <v>36844.9</v>
      </c>
      <c r="HB202">
        <v>45347.8</v>
      </c>
      <c r="HC202">
        <v>50048.4</v>
      </c>
      <c r="HD202">
        <v>53336.6</v>
      </c>
      <c r="HE202">
        <v>58771.4</v>
      </c>
      <c r="HF202">
        <v>2.00793</v>
      </c>
      <c r="HG202">
        <v>1.8381</v>
      </c>
      <c r="HH202">
        <v>0.00876561</v>
      </c>
      <c r="HI202">
        <v>0</v>
      </c>
      <c r="HJ202">
        <v>17.8492</v>
      </c>
      <c r="HK202">
        <v>999.9</v>
      </c>
      <c r="HL202">
        <v>26.535</v>
      </c>
      <c r="HM202">
        <v>30.424</v>
      </c>
      <c r="HN202">
        <v>12.8919</v>
      </c>
      <c r="HO202">
        <v>54.5428</v>
      </c>
      <c r="HP202">
        <v>44.1947</v>
      </c>
      <c r="HQ202">
        <v>1</v>
      </c>
      <c r="HR202">
        <v>-0.260384</v>
      </c>
      <c r="HS202">
        <v>4.70233</v>
      </c>
      <c r="HT202">
        <v>20.074</v>
      </c>
      <c r="HU202">
        <v>5.20246</v>
      </c>
      <c r="HV202">
        <v>12.004</v>
      </c>
      <c r="HW202">
        <v>4.97575</v>
      </c>
      <c r="HX202">
        <v>3.29303</v>
      </c>
      <c r="HY202">
        <v>9999</v>
      </c>
      <c r="HZ202">
        <v>999.9</v>
      </c>
      <c r="IA202">
        <v>9999</v>
      </c>
      <c r="IB202">
        <v>9999</v>
      </c>
      <c r="IC202">
        <v>1.86323</v>
      </c>
      <c r="ID202">
        <v>1.86807</v>
      </c>
      <c r="IE202">
        <v>1.86783</v>
      </c>
      <c r="IF202">
        <v>1.86905</v>
      </c>
      <c r="IG202">
        <v>1.86981</v>
      </c>
      <c r="IH202">
        <v>1.86586</v>
      </c>
      <c r="II202">
        <v>1.86691</v>
      </c>
      <c r="IJ202">
        <v>1.86832</v>
      </c>
      <c r="IK202">
        <v>5</v>
      </c>
      <c r="IL202">
        <v>0</v>
      </c>
      <c r="IM202">
        <v>0</v>
      </c>
      <c r="IN202">
        <v>0</v>
      </c>
      <c r="IO202" t="s">
        <v>441</v>
      </c>
      <c r="IP202" t="s">
        <v>442</v>
      </c>
      <c r="IQ202" t="s">
        <v>443</v>
      </c>
      <c r="IR202" t="s">
        <v>443</v>
      </c>
      <c r="IS202" t="s">
        <v>443</v>
      </c>
      <c r="IT202" t="s">
        <v>443</v>
      </c>
      <c r="IU202">
        <v>0</v>
      </c>
      <c r="IV202">
        <v>100</v>
      </c>
      <c r="IW202">
        <v>100</v>
      </c>
      <c r="IX202">
        <v>5.97</v>
      </c>
      <c r="IY202">
        <v>-0.1103</v>
      </c>
      <c r="IZ202">
        <v>1.12474291219083</v>
      </c>
      <c r="JA202">
        <v>0.00463155566490582</v>
      </c>
      <c r="JB202">
        <v>-1.1358998729424e-06</v>
      </c>
      <c r="JC202">
        <v>3.28704272115545e-10</v>
      </c>
      <c r="JD202">
        <v>-0.0704455108513773</v>
      </c>
      <c r="JE202">
        <v>-0.0251928478371425</v>
      </c>
      <c r="JF202">
        <v>0.00225751704194564</v>
      </c>
      <c r="JG202">
        <v>-3.61734043746866e-05</v>
      </c>
      <c r="JH202">
        <v>1</v>
      </c>
      <c r="JI202">
        <v>2182</v>
      </c>
      <c r="JJ202">
        <v>0</v>
      </c>
      <c r="JK202">
        <v>24</v>
      </c>
      <c r="JL202">
        <v>29349871.2</v>
      </c>
      <c r="JM202">
        <v>29349871.2</v>
      </c>
      <c r="JN202">
        <v>2.60986</v>
      </c>
      <c r="JO202">
        <v>2.60376</v>
      </c>
      <c r="JP202">
        <v>1.54785</v>
      </c>
      <c r="JQ202">
        <v>2.31445</v>
      </c>
      <c r="JR202">
        <v>1.64673</v>
      </c>
      <c r="JS202">
        <v>2.39868</v>
      </c>
      <c r="JT202">
        <v>33.6029</v>
      </c>
      <c r="JU202">
        <v>24.1838</v>
      </c>
      <c r="JV202">
        <v>18</v>
      </c>
      <c r="JW202">
        <v>500.791</v>
      </c>
      <c r="JX202">
        <v>395.144</v>
      </c>
      <c r="JY202">
        <v>11.5383</v>
      </c>
      <c r="JZ202">
        <v>24.0011</v>
      </c>
      <c r="KA202">
        <v>30.0002</v>
      </c>
      <c r="KB202">
        <v>23.991</v>
      </c>
      <c r="KC202">
        <v>23.9587</v>
      </c>
      <c r="KD202">
        <v>52.2597</v>
      </c>
      <c r="KE202">
        <v>7.32529</v>
      </c>
      <c r="KF202">
        <v>26.5359</v>
      </c>
      <c r="KG202">
        <v>11.5423</v>
      </c>
      <c r="KH202">
        <v>1382.44</v>
      </c>
      <c r="KI202">
        <v>9.77419</v>
      </c>
      <c r="KJ202">
        <v>97.0349</v>
      </c>
      <c r="KK202">
        <v>95.2942</v>
      </c>
    </row>
    <row r="203" spans="1:297">
      <c r="A203">
        <v>187</v>
      </c>
      <c r="B203">
        <v>1760992274.1</v>
      </c>
      <c r="C203">
        <v>3084</v>
      </c>
      <c r="D203" t="s">
        <v>827</v>
      </c>
      <c r="E203" t="s">
        <v>828</v>
      </c>
      <c r="F203">
        <v>5</v>
      </c>
      <c r="G203" t="s">
        <v>662</v>
      </c>
      <c r="H203" t="s">
        <v>436</v>
      </c>
      <c r="I203">
        <v>1760992265.94615</v>
      </c>
      <c r="J203">
        <f>(K203)/1000</f>
        <v>0</v>
      </c>
      <c r="K203">
        <f>IF(DP203, AN203, AH203)</f>
        <v>0</v>
      </c>
      <c r="L203">
        <f>IF(DP203, AI203, AG203)</f>
        <v>0</v>
      </c>
      <c r="M203">
        <f>DR203 - IF(AU203&gt;1, L203*DL203*100.0/(AW203), 0)</f>
        <v>0</v>
      </c>
      <c r="N203">
        <f>((T203-J203/2)*M203-L203)/(T203+J203/2)</f>
        <v>0</v>
      </c>
      <c r="O203">
        <f>N203*(DY203+DZ203)/1000.0</f>
        <v>0</v>
      </c>
      <c r="P203">
        <f>(DR203 - IF(AU203&gt;1, L203*DL203*100.0/(AW203), 0))*(DY203+DZ203)/1000.0</f>
        <v>0</v>
      </c>
      <c r="Q203">
        <f>2.0/((1/S203-1/R203)+SIGN(S203)*SQRT((1/S203-1/R203)*(1/S203-1/R203) + 4*DM203/((DM203+1)*(DM203+1))*(2*1/S203*1/R203-1/R203*1/R203)))</f>
        <v>0</v>
      </c>
      <c r="R203">
        <f>IF(LEFT(DN203,1)&lt;&gt;"0",IF(LEFT(DN203,1)="1",3.0,DO203),$D$5+$E$5*(EF203*DY203/($K$5*1000))+$F$5*(EF203*DY203/($K$5*1000))*MAX(MIN(DL203,$J$5),$I$5)*MAX(MIN(DL203,$J$5),$I$5)+$G$5*MAX(MIN(DL203,$J$5),$I$5)*(EF203*DY203/($K$5*1000))+$H$5*(EF203*DY203/($K$5*1000))*(EF203*DY203/($K$5*1000)))</f>
        <v>0</v>
      </c>
      <c r="S203">
        <f>J203*(1000-(1000*0.61365*exp(17.502*W203/(240.97+W203))/(DY203+DZ203)+DT203)/2)/(1000*0.61365*exp(17.502*W203/(240.97+W203))/(DY203+DZ203)-DT203)</f>
        <v>0</v>
      </c>
      <c r="T203">
        <f>1/((DM203+1)/(Q203/1.6)+1/(R203/1.37)) + DM203/((DM203+1)/(Q203/1.6) + DM203/(R203/1.37))</f>
        <v>0</v>
      </c>
      <c r="U203">
        <f>(DH203*DK203)</f>
        <v>0</v>
      </c>
      <c r="V203">
        <f>(EA203+(U203+2*0.95*5.67E-8*(((EA203+$B$7)+273)^4-(EA203+273)^4)-44100*J203)/(1.84*29.3*R203+8*0.95*5.67E-8*(EA203+273)^3))</f>
        <v>0</v>
      </c>
      <c r="W203">
        <f>($C$7*EB203+$D$7*EC203+$E$7*V203)</f>
        <v>0</v>
      </c>
      <c r="X203">
        <f>0.61365*exp(17.502*W203/(240.97+W203))</f>
        <v>0</v>
      </c>
      <c r="Y203">
        <f>(Z203/AA203*100)</f>
        <v>0</v>
      </c>
      <c r="Z203">
        <f>DT203*(DY203+DZ203)/1000</f>
        <v>0</v>
      </c>
      <c r="AA203">
        <f>0.61365*exp(17.502*EA203/(240.97+EA203))</f>
        <v>0</v>
      </c>
      <c r="AB203">
        <f>(X203-DT203*(DY203+DZ203)/1000)</f>
        <v>0</v>
      </c>
      <c r="AC203">
        <f>(-J203*44100)</f>
        <v>0</v>
      </c>
      <c r="AD203">
        <f>2*29.3*R203*0.92*(EA203-W203)</f>
        <v>0</v>
      </c>
      <c r="AE203">
        <f>2*0.95*5.67E-8*(((EA203+$B$7)+273)^4-(W203+273)^4)</f>
        <v>0</v>
      </c>
      <c r="AF203">
        <f>U203+AE203+AC203+AD203</f>
        <v>0</v>
      </c>
      <c r="AG203">
        <f>DX203*AU203*(DS203-DR203*(1000-AU203*DU203)/(1000-AU203*DT203))/(100*DL203)</f>
        <v>0</v>
      </c>
      <c r="AH203">
        <f>1000*DX203*AU203*(DT203-DU203)/(100*DL203*(1000-AU203*DT203))</f>
        <v>0</v>
      </c>
      <c r="AI203">
        <f>(AJ203 - AK203 - DY203*1E3/(8.314*(EA203+273.15)) * AM203/DX203 * AL203) * DX203/(100*DL203) * (1000 - DU203)/1000</f>
        <v>0</v>
      </c>
      <c r="AJ203">
        <v>1379.97929734107</v>
      </c>
      <c r="AK203">
        <v>1342.33472727273</v>
      </c>
      <c r="AL203">
        <v>3.3976579603018</v>
      </c>
      <c r="AM203">
        <v>65.2210784119795</v>
      </c>
      <c r="AN203">
        <f>(AP203 - AO203 + DY203*1E3/(8.314*(EA203+273.15)) * AR203/DX203 * AQ203) * DX203/(100*DL203) * 1000/(1000 - AP203)</f>
        <v>0</v>
      </c>
      <c r="AO203">
        <v>9.72031812951357</v>
      </c>
      <c r="AP203">
        <v>11.8783133333333</v>
      </c>
      <c r="AQ203">
        <v>-1.48225137662082e-06</v>
      </c>
      <c r="AR203">
        <v>115.574510355221</v>
      </c>
      <c r="AS203">
        <v>0</v>
      </c>
      <c r="AT203">
        <v>0</v>
      </c>
      <c r="AU203">
        <f>IF(AS203*$H$13&gt;=AW203,1.0,(AW203/(AW203-AS203*$H$13)))</f>
        <v>0</v>
      </c>
      <c r="AV203">
        <f>(AU203-1)*100</f>
        <v>0</v>
      </c>
      <c r="AW203">
        <f>MAX(0,($B$13+$C$13*EF203)/(1+$D$13*EF203)*DY203/(EA203+273)*$E$13)</f>
        <v>0</v>
      </c>
      <c r="AX203" t="s">
        <v>437</v>
      </c>
      <c r="AY203" t="s">
        <v>437</v>
      </c>
      <c r="AZ203">
        <v>0</v>
      </c>
      <c r="BA203">
        <v>0</v>
      </c>
      <c r="BB203">
        <f>1-AZ203/BA203</f>
        <v>0</v>
      </c>
      <c r="BC203">
        <v>0</v>
      </c>
      <c r="BD203" t="s">
        <v>437</v>
      </c>
      <c r="BE203" t="s">
        <v>437</v>
      </c>
      <c r="BF203">
        <v>0</v>
      </c>
      <c r="BG203">
        <v>0</v>
      </c>
      <c r="BH203">
        <f>1-BF203/BG203</f>
        <v>0</v>
      </c>
      <c r="BI203">
        <v>0.5</v>
      </c>
      <c r="BJ203">
        <f>DI203</f>
        <v>0</v>
      </c>
      <c r="BK203">
        <f>L203</f>
        <v>0</v>
      </c>
      <c r="BL203">
        <f>BH203*BI203*BJ203</f>
        <v>0</v>
      </c>
      <c r="BM203">
        <f>(BK203-BC203)/BJ203</f>
        <v>0</v>
      </c>
      <c r="BN203">
        <f>(BA203-BG203)/BG203</f>
        <v>0</v>
      </c>
      <c r="BO203">
        <f>AZ203/(BB203+AZ203/BG203)</f>
        <v>0</v>
      </c>
      <c r="BP203" t="s">
        <v>437</v>
      </c>
      <c r="BQ203">
        <v>0</v>
      </c>
      <c r="BR203">
        <f>IF(BQ203&lt;&gt;0, BQ203, BO203)</f>
        <v>0</v>
      </c>
      <c r="BS203">
        <f>1-BR203/BG203</f>
        <v>0</v>
      </c>
      <c r="BT203">
        <f>(BG203-BF203)/(BG203-BR203)</f>
        <v>0</v>
      </c>
      <c r="BU203">
        <f>(BA203-BG203)/(BA203-BR203)</f>
        <v>0</v>
      </c>
      <c r="BV203">
        <f>(BG203-BF203)/(BG203-AZ203)</f>
        <v>0</v>
      </c>
      <c r="BW203">
        <f>(BA203-BG203)/(BA203-AZ203)</f>
        <v>0</v>
      </c>
      <c r="BX203">
        <f>(BT203*BR203/BF203)</f>
        <v>0</v>
      </c>
      <c r="BY203">
        <f>(1-BX203)</f>
        <v>0</v>
      </c>
      <c r="BZ203">
        <v>282</v>
      </c>
      <c r="CA203">
        <v>290</v>
      </c>
      <c r="CB203">
        <v>1577.74</v>
      </c>
      <c r="CC203">
        <v>295</v>
      </c>
      <c r="CD203">
        <v>5140.93</v>
      </c>
      <c r="CE203">
        <v>1578.58</v>
      </c>
      <c r="CF203">
        <v>-0.84</v>
      </c>
      <c r="CG203">
        <v>300</v>
      </c>
      <c r="CH203">
        <v>23.8</v>
      </c>
      <c r="CI203">
        <v>1633.28263291266</v>
      </c>
      <c r="CJ203">
        <v>1.49577129053257</v>
      </c>
      <c r="CK203">
        <v>-28.1203876934379</v>
      </c>
      <c r="CL203">
        <v>0.666413418688897</v>
      </c>
      <c r="CM203">
        <v>0.984518017981194</v>
      </c>
      <c r="CN203">
        <v>-0.00424727541713014</v>
      </c>
      <c r="CO203">
        <v>290</v>
      </c>
      <c r="CP203">
        <v>1576.56</v>
      </c>
      <c r="CQ203">
        <v>775</v>
      </c>
      <c r="CR203">
        <v>5139.5</v>
      </c>
      <c r="CS203">
        <v>1578.57</v>
      </c>
      <c r="CT203">
        <v>-2.01</v>
      </c>
      <c r="DH203">
        <f>$B$11*EG203+$C$11*EH203+$F$11*ES203*(1-EV203)</f>
        <v>0</v>
      </c>
      <c r="DI203">
        <f>DH203*DJ203</f>
        <v>0</v>
      </c>
      <c r="DJ203">
        <f>($B$11*$D$9+$C$11*$D$9+$F$11*((FF203+EX203)/MAX(FF203+EX203+FG203, 0.1)*$I$9+FG203/MAX(FF203+EX203+FG203, 0.1)*$J$9))/($B$11+$C$11+$F$11)</f>
        <v>0</v>
      </c>
      <c r="DK203">
        <f>($B$11*$K$9+$C$11*$K$9+$F$11*((FF203+EX203)/MAX(FF203+EX203+FG203, 0.1)*$P$9+FG203/MAX(FF203+EX203+FG203, 0.1)*$Q$9))/($B$11+$C$11+$F$11)</f>
        <v>0</v>
      </c>
      <c r="DL203">
        <v>6</v>
      </c>
      <c r="DM203">
        <v>0.5</v>
      </c>
      <c r="DN203" t="s">
        <v>438</v>
      </c>
      <c r="DO203">
        <v>2</v>
      </c>
      <c r="DP203" t="b">
        <v>1</v>
      </c>
      <c r="DQ203">
        <v>1760992265.94615</v>
      </c>
      <c r="DR203">
        <v>1302.67769230769</v>
      </c>
      <c r="DS203">
        <v>1350.86230769231</v>
      </c>
      <c r="DT203">
        <v>11.8777230769231</v>
      </c>
      <c r="DU203">
        <v>9.72211076923077</v>
      </c>
      <c r="DV203">
        <v>1296.74153846154</v>
      </c>
      <c r="DW203">
        <v>11.9880923076923</v>
      </c>
      <c r="DX203">
        <v>500.006230769231</v>
      </c>
      <c r="DY203">
        <v>89.8445384615385</v>
      </c>
      <c r="DZ203">
        <v>0.00883191076923077</v>
      </c>
      <c r="EA203">
        <v>18.3719538461538</v>
      </c>
      <c r="EB203">
        <v>17.9956615384615</v>
      </c>
      <c r="EC203">
        <v>999.9</v>
      </c>
      <c r="ED203">
        <v>0</v>
      </c>
      <c r="EE203">
        <v>0</v>
      </c>
      <c r="EF203">
        <v>9994.76153846154</v>
      </c>
      <c r="EG203">
        <v>0</v>
      </c>
      <c r="EH203">
        <v>1278.56230769231</v>
      </c>
      <c r="EI203">
        <v>-48.1845846153846</v>
      </c>
      <c r="EJ203">
        <v>1318.33692307692</v>
      </c>
      <c r="EK203">
        <v>1364.12538461538</v>
      </c>
      <c r="EL203">
        <v>2.15562615384615</v>
      </c>
      <c r="EM203">
        <v>1350.86230769231</v>
      </c>
      <c r="EN203">
        <v>9.72211076923077</v>
      </c>
      <c r="EO203">
        <v>1.06715</v>
      </c>
      <c r="EP203">
        <v>0.873478538461538</v>
      </c>
      <c r="EQ203">
        <v>7.86692384615385</v>
      </c>
      <c r="ER203">
        <v>4.96103923076923</v>
      </c>
      <c r="ES203">
        <v>1199.94538461538</v>
      </c>
      <c r="ET203">
        <v>0.966990230769231</v>
      </c>
      <c r="EU203">
        <v>0.0330094307692308</v>
      </c>
      <c r="EV203">
        <v>0</v>
      </c>
      <c r="EW203">
        <v>1295.75230769231</v>
      </c>
      <c r="EX203">
        <v>5.00059</v>
      </c>
      <c r="EY203">
        <v>15249.8</v>
      </c>
      <c r="EZ203">
        <v>10358.2153846154</v>
      </c>
      <c r="FA203">
        <v>36.7113076923077</v>
      </c>
      <c r="FB203">
        <v>38.3603076923077</v>
      </c>
      <c r="FC203">
        <v>37.1536153846154</v>
      </c>
      <c r="FD203">
        <v>37.5719230769231</v>
      </c>
      <c r="FE203">
        <v>37.6247692307692</v>
      </c>
      <c r="FF203">
        <v>1155.49769230769</v>
      </c>
      <c r="FG203">
        <v>39.4476923076923</v>
      </c>
      <c r="FH203">
        <v>0</v>
      </c>
      <c r="FI203">
        <v>1130</v>
      </c>
      <c r="FJ203">
        <v>0</v>
      </c>
      <c r="FK203">
        <v>1295.7408</v>
      </c>
      <c r="FL203">
        <v>-2.5615384841014</v>
      </c>
      <c r="FM203">
        <v>-51.523077014557</v>
      </c>
      <c r="FN203">
        <v>15249.364</v>
      </c>
      <c r="FO203">
        <v>15</v>
      </c>
      <c r="FP203">
        <v>0</v>
      </c>
      <c r="FQ203" t="s">
        <v>439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-48.0618761904762</v>
      </c>
      <c r="GD203">
        <v>-2.87048571428575</v>
      </c>
      <c r="GE203">
        <v>0.720629193932214</v>
      </c>
      <c r="GF203">
        <v>0</v>
      </c>
      <c r="GG203">
        <v>1295.82294117647</v>
      </c>
      <c r="GH203">
        <v>-1.69961803223359</v>
      </c>
      <c r="GI203">
        <v>0.260073851635445</v>
      </c>
      <c r="GJ203">
        <v>-1</v>
      </c>
      <c r="GK203">
        <v>2.15468</v>
      </c>
      <c r="GL203">
        <v>0.0210592207792203</v>
      </c>
      <c r="GM203">
        <v>0.00223172152213952</v>
      </c>
      <c r="GN203">
        <v>1</v>
      </c>
      <c r="GO203">
        <v>1</v>
      </c>
      <c r="GP203">
        <v>2</v>
      </c>
      <c r="GQ203" t="s">
        <v>446</v>
      </c>
      <c r="GR203">
        <v>3.13096</v>
      </c>
      <c r="GS203">
        <v>2.68638</v>
      </c>
      <c r="GT203">
        <v>0.197582</v>
      </c>
      <c r="GU203">
        <v>0.202483</v>
      </c>
      <c r="GV203">
        <v>0.0619454</v>
      </c>
      <c r="GW203">
        <v>0.0529424</v>
      </c>
      <c r="GX203">
        <v>30411.2</v>
      </c>
      <c r="GY203">
        <v>32478.9</v>
      </c>
      <c r="GZ203">
        <v>34262.6</v>
      </c>
      <c r="HA203">
        <v>36844.9</v>
      </c>
      <c r="HB203">
        <v>45347.9</v>
      </c>
      <c r="HC203">
        <v>50049</v>
      </c>
      <c r="HD203">
        <v>53336.6</v>
      </c>
      <c r="HE203">
        <v>58771.6</v>
      </c>
      <c r="HF203">
        <v>2.00828</v>
      </c>
      <c r="HG203">
        <v>1.83785</v>
      </c>
      <c r="HH203">
        <v>0.00895932</v>
      </c>
      <c r="HI203">
        <v>0</v>
      </c>
      <c r="HJ203">
        <v>17.8505</v>
      </c>
      <c r="HK203">
        <v>999.9</v>
      </c>
      <c r="HL203">
        <v>26.535</v>
      </c>
      <c r="HM203">
        <v>30.424</v>
      </c>
      <c r="HN203">
        <v>12.8925</v>
      </c>
      <c r="HO203">
        <v>54.1628</v>
      </c>
      <c r="HP203">
        <v>44.0705</v>
      </c>
      <c r="HQ203">
        <v>1</v>
      </c>
      <c r="HR203">
        <v>-0.260638</v>
      </c>
      <c r="HS203">
        <v>4.68876</v>
      </c>
      <c r="HT203">
        <v>20.0745</v>
      </c>
      <c r="HU203">
        <v>5.20246</v>
      </c>
      <c r="HV203">
        <v>12.004</v>
      </c>
      <c r="HW203">
        <v>4.97555</v>
      </c>
      <c r="HX203">
        <v>3.29298</v>
      </c>
      <c r="HY203">
        <v>9999</v>
      </c>
      <c r="HZ203">
        <v>999.9</v>
      </c>
      <c r="IA203">
        <v>9999</v>
      </c>
      <c r="IB203">
        <v>9999</v>
      </c>
      <c r="IC203">
        <v>1.86324</v>
      </c>
      <c r="ID203">
        <v>1.86809</v>
      </c>
      <c r="IE203">
        <v>1.86783</v>
      </c>
      <c r="IF203">
        <v>1.86905</v>
      </c>
      <c r="IG203">
        <v>1.86981</v>
      </c>
      <c r="IH203">
        <v>1.86587</v>
      </c>
      <c r="II203">
        <v>1.86691</v>
      </c>
      <c r="IJ203">
        <v>1.86835</v>
      </c>
      <c r="IK203">
        <v>5</v>
      </c>
      <c r="IL203">
        <v>0</v>
      </c>
      <c r="IM203">
        <v>0</v>
      </c>
      <c r="IN203">
        <v>0</v>
      </c>
      <c r="IO203" t="s">
        <v>441</v>
      </c>
      <c r="IP203" t="s">
        <v>442</v>
      </c>
      <c r="IQ203" t="s">
        <v>443</v>
      </c>
      <c r="IR203" t="s">
        <v>443</v>
      </c>
      <c r="IS203" t="s">
        <v>443</v>
      </c>
      <c r="IT203" t="s">
        <v>443</v>
      </c>
      <c r="IU203">
        <v>0</v>
      </c>
      <c r="IV203">
        <v>100</v>
      </c>
      <c r="IW203">
        <v>100</v>
      </c>
      <c r="IX203">
        <v>6.03</v>
      </c>
      <c r="IY203">
        <v>-0.1104</v>
      </c>
      <c r="IZ203">
        <v>1.12474291219083</v>
      </c>
      <c r="JA203">
        <v>0.00463155566490582</v>
      </c>
      <c r="JB203">
        <v>-1.1358998729424e-06</v>
      </c>
      <c r="JC203">
        <v>3.28704272115545e-10</v>
      </c>
      <c r="JD203">
        <v>-0.0704455108513773</v>
      </c>
      <c r="JE203">
        <v>-0.0251928478371425</v>
      </c>
      <c r="JF203">
        <v>0.00225751704194564</v>
      </c>
      <c r="JG203">
        <v>-3.61734043746866e-05</v>
      </c>
      <c r="JH203">
        <v>1</v>
      </c>
      <c r="JI203">
        <v>2182</v>
      </c>
      <c r="JJ203">
        <v>0</v>
      </c>
      <c r="JK203">
        <v>24</v>
      </c>
      <c r="JL203">
        <v>29349871.2</v>
      </c>
      <c r="JM203">
        <v>29349871.2</v>
      </c>
      <c r="JN203">
        <v>2.63672</v>
      </c>
      <c r="JO203">
        <v>2.6062</v>
      </c>
      <c r="JP203">
        <v>1.54785</v>
      </c>
      <c r="JQ203">
        <v>2.31445</v>
      </c>
      <c r="JR203">
        <v>1.64673</v>
      </c>
      <c r="JS203">
        <v>2.38037</v>
      </c>
      <c r="JT203">
        <v>33.6254</v>
      </c>
      <c r="JU203">
        <v>24.1838</v>
      </c>
      <c r="JV203">
        <v>18</v>
      </c>
      <c r="JW203">
        <v>501.033</v>
      </c>
      <c r="JX203">
        <v>395.026</v>
      </c>
      <c r="JY203">
        <v>11.5414</v>
      </c>
      <c r="JZ203">
        <v>24.0014</v>
      </c>
      <c r="KA203">
        <v>30.0001</v>
      </c>
      <c r="KB203">
        <v>23.9928</v>
      </c>
      <c r="KC203">
        <v>23.9606</v>
      </c>
      <c r="KD203">
        <v>52.7997</v>
      </c>
      <c r="KE203">
        <v>7.32529</v>
      </c>
      <c r="KF203">
        <v>26.5359</v>
      </c>
      <c r="KG203">
        <v>11.5462</v>
      </c>
      <c r="KH203">
        <v>1396.09</v>
      </c>
      <c r="KI203">
        <v>9.77409</v>
      </c>
      <c r="KJ203">
        <v>97.0349</v>
      </c>
      <c r="KK203">
        <v>95.2944</v>
      </c>
    </row>
    <row r="204" spans="1:297">
      <c r="A204">
        <v>188</v>
      </c>
      <c r="B204">
        <v>1760992279.1</v>
      </c>
      <c r="C204">
        <v>3089</v>
      </c>
      <c r="D204" t="s">
        <v>829</v>
      </c>
      <c r="E204" t="s">
        <v>830</v>
      </c>
      <c r="F204">
        <v>5</v>
      </c>
      <c r="G204" t="s">
        <v>662</v>
      </c>
      <c r="H204" t="s">
        <v>436</v>
      </c>
      <c r="I204">
        <v>1760992270.94615</v>
      </c>
      <c r="J204">
        <f>(K204)/1000</f>
        <v>0</v>
      </c>
      <c r="K204">
        <f>IF(DP204, AN204, AH204)</f>
        <v>0</v>
      </c>
      <c r="L204">
        <f>IF(DP204, AI204, AG204)</f>
        <v>0</v>
      </c>
      <c r="M204">
        <f>DR204 - IF(AU204&gt;1, L204*DL204*100.0/(AW204), 0)</f>
        <v>0</v>
      </c>
      <c r="N204">
        <f>((T204-J204/2)*M204-L204)/(T204+J204/2)</f>
        <v>0</v>
      </c>
      <c r="O204">
        <f>N204*(DY204+DZ204)/1000.0</f>
        <v>0</v>
      </c>
      <c r="P204">
        <f>(DR204 - IF(AU204&gt;1, L204*DL204*100.0/(AW204), 0))*(DY204+DZ204)/1000.0</f>
        <v>0</v>
      </c>
      <c r="Q204">
        <f>2.0/((1/S204-1/R204)+SIGN(S204)*SQRT((1/S204-1/R204)*(1/S204-1/R204) + 4*DM204/((DM204+1)*(DM204+1))*(2*1/S204*1/R204-1/R204*1/R204)))</f>
        <v>0</v>
      </c>
      <c r="R204">
        <f>IF(LEFT(DN204,1)&lt;&gt;"0",IF(LEFT(DN204,1)="1",3.0,DO204),$D$5+$E$5*(EF204*DY204/($K$5*1000))+$F$5*(EF204*DY204/($K$5*1000))*MAX(MIN(DL204,$J$5),$I$5)*MAX(MIN(DL204,$J$5),$I$5)+$G$5*MAX(MIN(DL204,$J$5),$I$5)*(EF204*DY204/($K$5*1000))+$H$5*(EF204*DY204/($K$5*1000))*(EF204*DY204/($K$5*1000)))</f>
        <v>0</v>
      </c>
      <c r="S204">
        <f>J204*(1000-(1000*0.61365*exp(17.502*W204/(240.97+W204))/(DY204+DZ204)+DT204)/2)/(1000*0.61365*exp(17.502*W204/(240.97+W204))/(DY204+DZ204)-DT204)</f>
        <v>0</v>
      </c>
      <c r="T204">
        <f>1/((DM204+1)/(Q204/1.6)+1/(R204/1.37)) + DM204/((DM204+1)/(Q204/1.6) + DM204/(R204/1.37))</f>
        <v>0</v>
      </c>
      <c r="U204">
        <f>(DH204*DK204)</f>
        <v>0</v>
      </c>
      <c r="V204">
        <f>(EA204+(U204+2*0.95*5.67E-8*(((EA204+$B$7)+273)^4-(EA204+273)^4)-44100*J204)/(1.84*29.3*R204+8*0.95*5.67E-8*(EA204+273)^3))</f>
        <v>0</v>
      </c>
      <c r="W204">
        <f>($C$7*EB204+$D$7*EC204+$E$7*V204)</f>
        <v>0</v>
      </c>
      <c r="X204">
        <f>0.61365*exp(17.502*W204/(240.97+W204))</f>
        <v>0</v>
      </c>
      <c r="Y204">
        <f>(Z204/AA204*100)</f>
        <v>0</v>
      </c>
      <c r="Z204">
        <f>DT204*(DY204+DZ204)/1000</f>
        <v>0</v>
      </c>
      <c r="AA204">
        <f>0.61365*exp(17.502*EA204/(240.97+EA204))</f>
        <v>0</v>
      </c>
      <c r="AB204">
        <f>(X204-DT204*(DY204+DZ204)/1000)</f>
        <v>0</v>
      </c>
      <c r="AC204">
        <f>(-J204*44100)</f>
        <v>0</v>
      </c>
      <c r="AD204">
        <f>2*29.3*R204*0.92*(EA204-W204)</f>
        <v>0</v>
      </c>
      <c r="AE204">
        <f>2*0.95*5.67E-8*(((EA204+$B$7)+273)^4-(W204+273)^4)</f>
        <v>0</v>
      </c>
      <c r="AF204">
        <f>U204+AE204+AC204+AD204</f>
        <v>0</v>
      </c>
      <c r="AG204">
        <f>DX204*AU204*(DS204-DR204*(1000-AU204*DU204)/(1000-AU204*DT204))/(100*DL204)</f>
        <v>0</v>
      </c>
      <c r="AH204">
        <f>1000*DX204*AU204*(DT204-DU204)/(100*DL204*(1000-AU204*DT204))</f>
        <v>0</v>
      </c>
      <c r="AI204">
        <f>(AJ204 - AK204 - DY204*1E3/(8.314*(EA204+273.15)) * AM204/DX204 * AL204) * DX204/(100*DL204) * (1000 - DU204)/1000</f>
        <v>0</v>
      </c>
      <c r="AJ204">
        <v>1398.13908357816</v>
      </c>
      <c r="AK204">
        <v>1359.99478787879</v>
      </c>
      <c r="AL204">
        <v>3.51908664111222</v>
      </c>
      <c r="AM204">
        <v>65.2210784119795</v>
      </c>
      <c r="AN204">
        <f>(AP204 - AO204 + DY204*1E3/(8.314*(EA204+273.15)) * AR204/DX204 * AQ204) * DX204/(100*DL204) * 1000/(1000 - AP204)</f>
        <v>0</v>
      </c>
      <c r="AO204">
        <v>9.71871892861819</v>
      </c>
      <c r="AP204">
        <v>11.8798206060606</v>
      </c>
      <c r="AQ204">
        <v>1.11932937227229e-05</v>
      </c>
      <c r="AR204">
        <v>115.574510355221</v>
      </c>
      <c r="AS204">
        <v>0</v>
      </c>
      <c r="AT204">
        <v>0</v>
      </c>
      <c r="AU204">
        <f>IF(AS204*$H$13&gt;=AW204,1.0,(AW204/(AW204-AS204*$H$13)))</f>
        <v>0</v>
      </c>
      <c r="AV204">
        <f>(AU204-1)*100</f>
        <v>0</v>
      </c>
      <c r="AW204">
        <f>MAX(0,($B$13+$C$13*EF204)/(1+$D$13*EF204)*DY204/(EA204+273)*$E$13)</f>
        <v>0</v>
      </c>
      <c r="AX204" t="s">
        <v>437</v>
      </c>
      <c r="AY204" t="s">
        <v>437</v>
      </c>
      <c r="AZ204">
        <v>0</v>
      </c>
      <c r="BA204">
        <v>0</v>
      </c>
      <c r="BB204">
        <f>1-AZ204/BA204</f>
        <v>0</v>
      </c>
      <c r="BC204">
        <v>0</v>
      </c>
      <c r="BD204" t="s">
        <v>437</v>
      </c>
      <c r="BE204" t="s">
        <v>437</v>
      </c>
      <c r="BF204">
        <v>0</v>
      </c>
      <c r="BG204">
        <v>0</v>
      </c>
      <c r="BH204">
        <f>1-BF204/BG204</f>
        <v>0</v>
      </c>
      <c r="BI204">
        <v>0.5</v>
      </c>
      <c r="BJ204">
        <f>DI204</f>
        <v>0</v>
      </c>
      <c r="BK204">
        <f>L204</f>
        <v>0</v>
      </c>
      <c r="BL204">
        <f>BH204*BI204*BJ204</f>
        <v>0</v>
      </c>
      <c r="BM204">
        <f>(BK204-BC204)/BJ204</f>
        <v>0</v>
      </c>
      <c r="BN204">
        <f>(BA204-BG204)/BG204</f>
        <v>0</v>
      </c>
      <c r="BO204">
        <f>AZ204/(BB204+AZ204/BG204)</f>
        <v>0</v>
      </c>
      <c r="BP204" t="s">
        <v>437</v>
      </c>
      <c r="BQ204">
        <v>0</v>
      </c>
      <c r="BR204">
        <f>IF(BQ204&lt;&gt;0, BQ204, BO204)</f>
        <v>0</v>
      </c>
      <c r="BS204">
        <f>1-BR204/BG204</f>
        <v>0</v>
      </c>
      <c r="BT204">
        <f>(BG204-BF204)/(BG204-BR204)</f>
        <v>0</v>
      </c>
      <c r="BU204">
        <f>(BA204-BG204)/(BA204-BR204)</f>
        <v>0</v>
      </c>
      <c r="BV204">
        <f>(BG204-BF204)/(BG204-AZ204)</f>
        <v>0</v>
      </c>
      <c r="BW204">
        <f>(BA204-BG204)/(BA204-AZ204)</f>
        <v>0</v>
      </c>
      <c r="BX204">
        <f>(BT204*BR204/BF204)</f>
        <v>0</v>
      </c>
      <c r="BY204">
        <f>(1-BX204)</f>
        <v>0</v>
      </c>
      <c r="BZ204">
        <v>282</v>
      </c>
      <c r="CA204">
        <v>290</v>
      </c>
      <c r="CB204">
        <v>1577.74</v>
      </c>
      <c r="CC204">
        <v>295</v>
      </c>
      <c r="CD204">
        <v>5140.93</v>
      </c>
      <c r="CE204">
        <v>1578.58</v>
      </c>
      <c r="CF204">
        <v>-0.84</v>
      </c>
      <c r="CG204">
        <v>300</v>
      </c>
      <c r="CH204">
        <v>23.8</v>
      </c>
      <c r="CI204">
        <v>1633.28263291266</v>
      </c>
      <c r="CJ204">
        <v>1.49577129053257</v>
      </c>
      <c r="CK204">
        <v>-28.1203876934379</v>
      </c>
      <c r="CL204">
        <v>0.666413418688897</v>
      </c>
      <c r="CM204">
        <v>0.984518017981194</v>
      </c>
      <c r="CN204">
        <v>-0.00424727541713014</v>
      </c>
      <c r="CO204">
        <v>290</v>
      </c>
      <c r="CP204">
        <v>1576.56</v>
      </c>
      <c r="CQ204">
        <v>775</v>
      </c>
      <c r="CR204">
        <v>5139.5</v>
      </c>
      <c r="CS204">
        <v>1578.57</v>
      </c>
      <c r="CT204">
        <v>-2.01</v>
      </c>
      <c r="DH204">
        <f>$B$11*EG204+$C$11*EH204+$F$11*ES204*(1-EV204)</f>
        <v>0</v>
      </c>
      <c r="DI204">
        <f>DH204*DJ204</f>
        <v>0</v>
      </c>
      <c r="DJ204">
        <f>($B$11*$D$9+$C$11*$D$9+$F$11*((FF204+EX204)/MAX(FF204+EX204+FG204, 0.1)*$I$9+FG204/MAX(FF204+EX204+FG204, 0.1)*$J$9))/($B$11+$C$11+$F$11)</f>
        <v>0</v>
      </c>
      <c r="DK204">
        <f>($B$11*$K$9+$C$11*$K$9+$F$11*((FF204+EX204)/MAX(FF204+EX204+FG204, 0.1)*$P$9+FG204/MAX(FF204+EX204+FG204, 0.1)*$Q$9))/($B$11+$C$11+$F$11)</f>
        <v>0</v>
      </c>
      <c r="DL204">
        <v>6</v>
      </c>
      <c r="DM204">
        <v>0.5</v>
      </c>
      <c r="DN204" t="s">
        <v>438</v>
      </c>
      <c r="DO204">
        <v>2</v>
      </c>
      <c r="DP204" t="b">
        <v>1</v>
      </c>
      <c r="DQ204">
        <v>1760992270.94615</v>
      </c>
      <c r="DR204">
        <v>1319.41615384615</v>
      </c>
      <c r="DS204">
        <v>1367.91230769231</v>
      </c>
      <c r="DT204">
        <v>11.8782692307692</v>
      </c>
      <c r="DU204">
        <v>9.72072538461538</v>
      </c>
      <c r="DV204">
        <v>1313.42307692308</v>
      </c>
      <c r="DW204">
        <v>11.9886307692308</v>
      </c>
      <c r="DX204">
        <v>500.022384615385</v>
      </c>
      <c r="DY204">
        <v>89.8448</v>
      </c>
      <c r="DZ204">
        <v>0.00863062538461538</v>
      </c>
      <c r="EA204">
        <v>18.3675769230769</v>
      </c>
      <c r="EB204">
        <v>17.9952769230769</v>
      </c>
      <c r="EC204">
        <v>999.9</v>
      </c>
      <c r="ED204">
        <v>0</v>
      </c>
      <c r="EE204">
        <v>0</v>
      </c>
      <c r="EF204">
        <v>10006.9692307692</v>
      </c>
      <c r="EG204">
        <v>0</v>
      </c>
      <c r="EH204">
        <v>1278.56769230769</v>
      </c>
      <c r="EI204">
        <v>-48.4966846153846</v>
      </c>
      <c r="EJ204">
        <v>1335.27769230769</v>
      </c>
      <c r="EK204">
        <v>1381.34076923077</v>
      </c>
      <c r="EL204">
        <v>2.15755461538462</v>
      </c>
      <c r="EM204">
        <v>1367.91230769231</v>
      </c>
      <c r="EN204">
        <v>9.72072538461538</v>
      </c>
      <c r="EO204">
        <v>1.06720230769231</v>
      </c>
      <c r="EP204">
        <v>0.873356692307692</v>
      </c>
      <c r="EQ204">
        <v>7.86763769230769</v>
      </c>
      <c r="ER204">
        <v>4.95903846153846</v>
      </c>
      <c r="ES204">
        <v>1199.95923076923</v>
      </c>
      <c r="ET204">
        <v>0.966990230769231</v>
      </c>
      <c r="EU204">
        <v>0.0330094230769231</v>
      </c>
      <c r="EV204">
        <v>0</v>
      </c>
      <c r="EW204">
        <v>1295.54</v>
      </c>
      <c r="EX204">
        <v>5.00059</v>
      </c>
      <c r="EY204">
        <v>15245.6846153846</v>
      </c>
      <c r="EZ204">
        <v>10358.3461538462</v>
      </c>
      <c r="FA204">
        <v>36.6680769230769</v>
      </c>
      <c r="FB204">
        <v>38.3218461538462</v>
      </c>
      <c r="FC204">
        <v>37.1103076923077</v>
      </c>
      <c r="FD204">
        <v>37.5334615384615</v>
      </c>
      <c r="FE204">
        <v>37.5815384615385</v>
      </c>
      <c r="FF204">
        <v>1155.51153846154</v>
      </c>
      <c r="FG204">
        <v>39.4476923076923</v>
      </c>
      <c r="FH204">
        <v>0</v>
      </c>
      <c r="FI204">
        <v>1134.80000019073</v>
      </c>
      <c r="FJ204">
        <v>0</v>
      </c>
      <c r="FK204">
        <v>1295.5036</v>
      </c>
      <c r="FL204">
        <v>-2.90153847173964</v>
      </c>
      <c r="FM204">
        <v>-53.4846153287133</v>
      </c>
      <c r="FN204">
        <v>15245.372</v>
      </c>
      <c r="FO204">
        <v>15</v>
      </c>
      <c r="FP204">
        <v>0</v>
      </c>
      <c r="FQ204" t="s">
        <v>439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-48.350305</v>
      </c>
      <c r="GD204">
        <v>-4.29842255639099</v>
      </c>
      <c r="GE204">
        <v>0.726622542641639</v>
      </c>
      <c r="GF204">
        <v>0</v>
      </c>
      <c r="GG204">
        <v>1295.68588235294</v>
      </c>
      <c r="GH204">
        <v>-2.47303285693871</v>
      </c>
      <c r="GI204">
        <v>0.314643754175283</v>
      </c>
      <c r="GJ204">
        <v>-1</v>
      </c>
      <c r="GK204">
        <v>2.1565965</v>
      </c>
      <c r="GL204">
        <v>0.0236115789473727</v>
      </c>
      <c r="GM204">
        <v>0.00235206350892144</v>
      </c>
      <c r="GN204">
        <v>1</v>
      </c>
      <c r="GO204">
        <v>1</v>
      </c>
      <c r="GP204">
        <v>2</v>
      </c>
      <c r="GQ204" t="s">
        <v>446</v>
      </c>
      <c r="GR204">
        <v>3.13082</v>
      </c>
      <c r="GS204">
        <v>2.68659</v>
      </c>
      <c r="GT204">
        <v>0.199156</v>
      </c>
      <c r="GU204">
        <v>0.203875</v>
      </c>
      <c r="GV204">
        <v>0.0619534</v>
      </c>
      <c r="GW204">
        <v>0.0529346</v>
      </c>
      <c r="GX204">
        <v>30351.7</v>
      </c>
      <c r="GY204">
        <v>32422.1</v>
      </c>
      <c r="GZ204">
        <v>34262.6</v>
      </c>
      <c r="HA204">
        <v>36844.6</v>
      </c>
      <c r="HB204">
        <v>45347.6</v>
      </c>
      <c r="HC204">
        <v>50049.3</v>
      </c>
      <c r="HD204">
        <v>53336.5</v>
      </c>
      <c r="HE204">
        <v>58771.2</v>
      </c>
      <c r="HF204">
        <v>2.00812</v>
      </c>
      <c r="HG204">
        <v>1.83812</v>
      </c>
      <c r="HH204">
        <v>0.00886619</v>
      </c>
      <c r="HI204">
        <v>0</v>
      </c>
      <c r="HJ204">
        <v>17.8509</v>
      </c>
      <c r="HK204">
        <v>999.9</v>
      </c>
      <c r="HL204">
        <v>26.535</v>
      </c>
      <c r="HM204">
        <v>30.424</v>
      </c>
      <c r="HN204">
        <v>12.892</v>
      </c>
      <c r="HO204">
        <v>54.2628</v>
      </c>
      <c r="HP204">
        <v>44.0785</v>
      </c>
      <c r="HQ204">
        <v>1</v>
      </c>
      <c r="HR204">
        <v>-0.260589</v>
      </c>
      <c r="HS204">
        <v>4.68143</v>
      </c>
      <c r="HT204">
        <v>20.0745</v>
      </c>
      <c r="HU204">
        <v>5.20112</v>
      </c>
      <c r="HV204">
        <v>12.004</v>
      </c>
      <c r="HW204">
        <v>4.9754</v>
      </c>
      <c r="HX204">
        <v>3.2929</v>
      </c>
      <c r="HY204">
        <v>9999</v>
      </c>
      <c r="HZ204">
        <v>999.9</v>
      </c>
      <c r="IA204">
        <v>9999</v>
      </c>
      <c r="IB204">
        <v>9999</v>
      </c>
      <c r="IC204">
        <v>1.86324</v>
      </c>
      <c r="ID204">
        <v>1.86807</v>
      </c>
      <c r="IE204">
        <v>1.86783</v>
      </c>
      <c r="IF204">
        <v>1.86905</v>
      </c>
      <c r="IG204">
        <v>1.86981</v>
      </c>
      <c r="IH204">
        <v>1.86586</v>
      </c>
      <c r="II204">
        <v>1.86691</v>
      </c>
      <c r="IJ204">
        <v>1.86836</v>
      </c>
      <c r="IK204">
        <v>5</v>
      </c>
      <c r="IL204">
        <v>0</v>
      </c>
      <c r="IM204">
        <v>0</v>
      </c>
      <c r="IN204">
        <v>0</v>
      </c>
      <c r="IO204" t="s">
        <v>441</v>
      </c>
      <c r="IP204" t="s">
        <v>442</v>
      </c>
      <c r="IQ204" t="s">
        <v>443</v>
      </c>
      <c r="IR204" t="s">
        <v>443</v>
      </c>
      <c r="IS204" t="s">
        <v>443</v>
      </c>
      <c r="IT204" t="s">
        <v>443</v>
      </c>
      <c r="IU204">
        <v>0</v>
      </c>
      <c r="IV204">
        <v>100</v>
      </c>
      <c r="IW204">
        <v>100</v>
      </c>
      <c r="IX204">
        <v>6.08</v>
      </c>
      <c r="IY204">
        <v>-0.1103</v>
      </c>
      <c r="IZ204">
        <v>1.12474291219083</v>
      </c>
      <c r="JA204">
        <v>0.00463155566490582</v>
      </c>
      <c r="JB204">
        <v>-1.1358998729424e-06</v>
      </c>
      <c r="JC204">
        <v>3.28704272115545e-10</v>
      </c>
      <c r="JD204">
        <v>-0.0704455108513773</v>
      </c>
      <c r="JE204">
        <v>-0.0251928478371425</v>
      </c>
      <c r="JF204">
        <v>0.00225751704194564</v>
      </c>
      <c r="JG204">
        <v>-3.61734043746866e-05</v>
      </c>
      <c r="JH204">
        <v>1</v>
      </c>
      <c r="JI204">
        <v>2182</v>
      </c>
      <c r="JJ204">
        <v>0</v>
      </c>
      <c r="JK204">
        <v>24</v>
      </c>
      <c r="JL204">
        <v>29349871.3</v>
      </c>
      <c r="JM204">
        <v>29349871.3</v>
      </c>
      <c r="JN204">
        <v>2.66235</v>
      </c>
      <c r="JO204">
        <v>2.60132</v>
      </c>
      <c r="JP204">
        <v>1.54785</v>
      </c>
      <c r="JQ204">
        <v>2.31445</v>
      </c>
      <c r="JR204">
        <v>1.64673</v>
      </c>
      <c r="JS204">
        <v>2.37793</v>
      </c>
      <c r="JT204">
        <v>33.6029</v>
      </c>
      <c r="JU204">
        <v>24.1838</v>
      </c>
      <c r="JV204">
        <v>18</v>
      </c>
      <c r="JW204">
        <v>500.937</v>
      </c>
      <c r="JX204">
        <v>395.171</v>
      </c>
      <c r="JY204">
        <v>11.5458</v>
      </c>
      <c r="JZ204">
        <v>24.0014</v>
      </c>
      <c r="KA204">
        <v>30</v>
      </c>
      <c r="KB204">
        <v>23.9928</v>
      </c>
      <c r="KC204">
        <v>23.9606</v>
      </c>
      <c r="KD204">
        <v>53.3059</v>
      </c>
      <c r="KE204">
        <v>7.32529</v>
      </c>
      <c r="KF204">
        <v>26.5359</v>
      </c>
      <c r="KG204">
        <v>11.5488</v>
      </c>
      <c r="KH204">
        <v>1416.48</v>
      </c>
      <c r="KI204">
        <v>9.77148</v>
      </c>
      <c r="KJ204">
        <v>97.0348</v>
      </c>
      <c r="KK204">
        <v>95.2937</v>
      </c>
    </row>
    <row r="205" spans="1:297">
      <c r="A205">
        <v>189</v>
      </c>
      <c r="B205">
        <v>1760992284.1</v>
      </c>
      <c r="C205">
        <v>3094</v>
      </c>
      <c r="D205" t="s">
        <v>831</v>
      </c>
      <c r="E205" t="s">
        <v>832</v>
      </c>
      <c r="F205">
        <v>5</v>
      </c>
      <c r="G205" t="s">
        <v>662</v>
      </c>
      <c r="H205" t="s">
        <v>436</v>
      </c>
      <c r="I205">
        <v>1760992275.94615</v>
      </c>
      <c r="J205">
        <f>(K205)/1000</f>
        <v>0</v>
      </c>
      <c r="K205">
        <f>IF(DP205, AN205, AH205)</f>
        <v>0</v>
      </c>
      <c r="L205">
        <f>IF(DP205, AI205, AG205)</f>
        <v>0</v>
      </c>
      <c r="M205">
        <f>DR205 - IF(AU205&gt;1, L205*DL205*100.0/(AW205), 0)</f>
        <v>0</v>
      </c>
      <c r="N205">
        <f>((T205-J205/2)*M205-L205)/(T205+J205/2)</f>
        <v>0</v>
      </c>
      <c r="O205">
        <f>N205*(DY205+DZ205)/1000.0</f>
        <v>0</v>
      </c>
      <c r="P205">
        <f>(DR205 - IF(AU205&gt;1, L205*DL205*100.0/(AW205), 0))*(DY205+DZ205)/1000.0</f>
        <v>0</v>
      </c>
      <c r="Q205">
        <f>2.0/((1/S205-1/R205)+SIGN(S205)*SQRT((1/S205-1/R205)*(1/S205-1/R205) + 4*DM205/((DM205+1)*(DM205+1))*(2*1/S205*1/R205-1/R205*1/R205)))</f>
        <v>0</v>
      </c>
      <c r="R205">
        <f>IF(LEFT(DN205,1)&lt;&gt;"0",IF(LEFT(DN205,1)="1",3.0,DO205),$D$5+$E$5*(EF205*DY205/($K$5*1000))+$F$5*(EF205*DY205/($K$5*1000))*MAX(MIN(DL205,$J$5),$I$5)*MAX(MIN(DL205,$J$5),$I$5)+$G$5*MAX(MIN(DL205,$J$5),$I$5)*(EF205*DY205/($K$5*1000))+$H$5*(EF205*DY205/($K$5*1000))*(EF205*DY205/($K$5*1000)))</f>
        <v>0</v>
      </c>
      <c r="S205">
        <f>J205*(1000-(1000*0.61365*exp(17.502*W205/(240.97+W205))/(DY205+DZ205)+DT205)/2)/(1000*0.61365*exp(17.502*W205/(240.97+W205))/(DY205+DZ205)-DT205)</f>
        <v>0</v>
      </c>
      <c r="T205">
        <f>1/((DM205+1)/(Q205/1.6)+1/(R205/1.37)) + DM205/((DM205+1)/(Q205/1.6) + DM205/(R205/1.37))</f>
        <v>0</v>
      </c>
      <c r="U205">
        <f>(DH205*DK205)</f>
        <v>0</v>
      </c>
      <c r="V205">
        <f>(EA205+(U205+2*0.95*5.67E-8*(((EA205+$B$7)+273)^4-(EA205+273)^4)-44100*J205)/(1.84*29.3*R205+8*0.95*5.67E-8*(EA205+273)^3))</f>
        <v>0</v>
      </c>
      <c r="W205">
        <f>($C$7*EB205+$D$7*EC205+$E$7*V205)</f>
        <v>0</v>
      </c>
      <c r="X205">
        <f>0.61365*exp(17.502*W205/(240.97+W205))</f>
        <v>0</v>
      </c>
      <c r="Y205">
        <f>(Z205/AA205*100)</f>
        <v>0</v>
      </c>
      <c r="Z205">
        <f>DT205*(DY205+DZ205)/1000</f>
        <v>0</v>
      </c>
      <c r="AA205">
        <f>0.61365*exp(17.502*EA205/(240.97+EA205))</f>
        <v>0</v>
      </c>
      <c r="AB205">
        <f>(X205-DT205*(DY205+DZ205)/1000)</f>
        <v>0</v>
      </c>
      <c r="AC205">
        <f>(-J205*44100)</f>
        <v>0</v>
      </c>
      <c r="AD205">
        <f>2*29.3*R205*0.92*(EA205-W205)</f>
        <v>0</v>
      </c>
      <c r="AE205">
        <f>2*0.95*5.67E-8*(((EA205+$B$7)+273)^4-(W205+273)^4)</f>
        <v>0</v>
      </c>
      <c r="AF205">
        <f>U205+AE205+AC205+AD205</f>
        <v>0</v>
      </c>
      <c r="AG205">
        <f>DX205*AU205*(DS205-DR205*(1000-AU205*DU205)/(1000-AU205*DT205))/(100*DL205)</f>
        <v>0</v>
      </c>
      <c r="AH205">
        <f>1000*DX205*AU205*(DT205-DU205)/(100*DL205*(1000-AU205*DT205))</f>
        <v>0</v>
      </c>
      <c r="AI205">
        <f>(AJ205 - AK205 - DY205*1E3/(8.314*(EA205+273.15)) * AM205/DX205 * AL205) * DX205/(100*DL205) * (1000 - DU205)/1000</f>
        <v>0</v>
      </c>
      <c r="AJ205">
        <v>1414.24297910964</v>
      </c>
      <c r="AK205">
        <v>1376.67781818182</v>
      </c>
      <c r="AL205">
        <v>3.35056026093538</v>
      </c>
      <c r="AM205">
        <v>65.2210784119795</v>
      </c>
      <c r="AN205">
        <f>(AP205 - AO205 + DY205*1E3/(8.314*(EA205+273.15)) * AR205/DX205 * AQ205) * DX205/(100*DL205) * 1000/(1000 - AP205)</f>
        <v>0</v>
      </c>
      <c r="AO205">
        <v>9.71716762955671</v>
      </c>
      <c r="AP205">
        <v>11.8791551515151</v>
      </c>
      <c r="AQ205">
        <v>-5.69144821881525e-06</v>
      </c>
      <c r="AR205">
        <v>115.574510355221</v>
      </c>
      <c r="AS205">
        <v>0</v>
      </c>
      <c r="AT205">
        <v>0</v>
      </c>
      <c r="AU205">
        <f>IF(AS205*$H$13&gt;=AW205,1.0,(AW205/(AW205-AS205*$H$13)))</f>
        <v>0</v>
      </c>
      <c r="AV205">
        <f>(AU205-1)*100</f>
        <v>0</v>
      </c>
      <c r="AW205">
        <f>MAX(0,($B$13+$C$13*EF205)/(1+$D$13*EF205)*DY205/(EA205+273)*$E$13)</f>
        <v>0</v>
      </c>
      <c r="AX205" t="s">
        <v>437</v>
      </c>
      <c r="AY205" t="s">
        <v>437</v>
      </c>
      <c r="AZ205">
        <v>0</v>
      </c>
      <c r="BA205">
        <v>0</v>
      </c>
      <c r="BB205">
        <f>1-AZ205/BA205</f>
        <v>0</v>
      </c>
      <c r="BC205">
        <v>0</v>
      </c>
      <c r="BD205" t="s">
        <v>437</v>
      </c>
      <c r="BE205" t="s">
        <v>437</v>
      </c>
      <c r="BF205">
        <v>0</v>
      </c>
      <c r="BG205">
        <v>0</v>
      </c>
      <c r="BH205">
        <f>1-BF205/BG205</f>
        <v>0</v>
      </c>
      <c r="BI205">
        <v>0.5</v>
      </c>
      <c r="BJ205">
        <f>DI205</f>
        <v>0</v>
      </c>
      <c r="BK205">
        <f>L205</f>
        <v>0</v>
      </c>
      <c r="BL205">
        <f>BH205*BI205*BJ205</f>
        <v>0</v>
      </c>
      <c r="BM205">
        <f>(BK205-BC205)/BJ205</f>
        <v>0</v>
      </c>
      <c r="BN205">
        <f>(BA205-BG205)/BG205</f>
        <v>0</v>
      </c>
      <c r="BO205">
        <f>AZ205/(BB205+AZ205/BG205)</f>
        <v>0</v>
      </c>
      <c r="BP205" t="s">
        <v>437</v>
      </c>
      <c r="BQ205">
        <v>0</v>
      </c>
      <c r="BR205">
        <f>IF(BQ205&lt;&gt;0, BQ205, BO205)</f>
        <v>0</v>
      </c>
      <c r="BS205">
        <f>1-BR205/BG205</f>
        <v>0</v>
      </c>
      <c r="BT205">
        <f>(BG205-BF205)/(BG205-BR205)</f>
        <v>0</v>
      </c>
      <c r="BU205">
        <f>(BA205-BG205)/(BA205-BR205)</f>
        <v>0</v>
      </c>
      <c r="BV205">
        <f>(BG205-BF205)/(BG205-AZ205)</f>
        <v>0</v>
      </c>
      <c r="BW205">
        <f>(BA205-BG205)/(BA205-AZ205)</f>
        <v>0</v>
      </c>
      <c r="BX205">
        <f>(BT205*BR205/BF205)</f>
        <v>0</v>
      </c>
      <c r="BY205">
        <f>(1-BX205)</f>
        <v>0</v>
      </c>
      <c r="BZ205">
        <v>282</v>
      </c>
      <c r="CA205">
        <v>290</v>
      </c>
      <c r="CB205">
        <v>1577.74</v>
      </c>
      <c r="CC205">
        <v>295</v>
      </c>
      <c r="CD205">
        <v>5140.93</v>
      </c>
      <c r="CE205">
        <v>1578.58</v>
      </c>
      <c r="CF205">
        <v>-0.84</v>
      </c>
      <c r="CG205">
        <v>300</v>
      </c>
      <c r="CH205">
        <v>23.8</v>
      </c>
      <c r="CI205">
        <v>1633.28263291266</v>
      </c>
      <c r="CJ205">
        <v>1.49577129053257</v>
      </c>
      <c r="CK205">
        <v>-28.1203876934379</v>
      </c>
      <c r="CL205">
        <v>0.666413418688897</v>
      </c>
      <c r="CM205">
        <v>0.984518017981194</v>
      </c>
      <c r="CN205">
        <v>-0.00424727541713014</v>
      </c>
      <c r="CO205">
        <v>290</v>
      </c>
      <c r="CP205">
        <v>1576.56</v>
      </c>
      <c r="CQ205">
        <v>775</v>
      </c>
      <c r="CR205">
        <v>5139.5</v>
      </c>
      <c r="CS205">
        <v>1578.57</v>
      </c>
      <c r="CT205">
        <v>-2.01</v>
      </c>
      <c r="DH205">
        <f>$B$11*EG205+$C$11*EH205+$F$11*ES205*(1-EV205)</f>
        <v>0</v>
      </c>
      <c r="DI205">
        <f>DH205*DJ205</f>
        <v>0</v>
      </c>
      <c r="DJ205">
        <f>($B$11*$D$9+$C$11*$D$9+$F$11*((FF205+EX205)/MAX(FF205+EX205+FG205, 0.1)*$I$9+FG205/MAX(FF205+EX205+FG205, 0.1)*$J$9))/($B$11+$C$11+$F$11)</f>
        <v>0</v>
      </c>
      <c r="DK205">
        <f>($B$11*$K$9+$C$11*$K$9+$F$11*((FF205+EX205)/MAX(FF205+EX205+FG205, 0.1)*$P$9+FG205/MAX(FF205+EX205+FG205, 0.1)*$Q$9))/($B$11+$C$11+$F$11)</f>
        <v>0</v>
      </c>
      <c r="DL205">
        <v>6</v>
      </c>
      <c r="DM205">
        <v>0.5</v>
      </c>
      <c r="DN205" t="s">
        <v>438</v>
      </c>
      <c r="DO205">
        <v>2</v>
      </c>
      <c r="DP205" t="b">
        <v>1</v>
      </c>
      <c r="DQ205">
        <v>1760992275.94615</v>
      </c>
      <c r="DR205">
        <v>1336.22076923077</v>
      </c>
      <c r="DS205">
        <v>1384.91384615385</v>
      </c>
      <c r="DT205">
        <v>11.8788846153846</v>
      </c>
      <c r="DU205">
        <v>9.71921153846154</v>
      </c>
      <c r="DV205">
        <v>1330.17153846154</v>
      </c>
      <c r="DW205">
        <v>11.9892230769231</v>
      </c>
      <c r="DX205">
        <v>499.996076923077</v>
      </c>
      <c r="DY205">
        <v>89.8456</v>
      </c>
      <c r="DZ205">
        <v>0.00861309384615385</v>
      </c>
      <c r="EA205">
        <v>18.3629923076923</v>
      </c>
      <c r="EB205">
        <v>17.9961692307692</v>
      </c>
      <c r="EC205">
        <v>999.9</v>
      </c>
      <c r="ED205">
        <v>0</v>
      </c>
      <c r="EE205">
        <v>0</v>
      </c>
      <c r="EF205">
        <v>10016.2938461538</v>
      </c>
      <c r="EG205">
        <v>0</v>
      </c>
      <c r="EH205">
        <v>1278.58230769231</v>
      </c>
      <c r="EI205">
        <v>-48.6941</v>
      </c>
      <c r="EJ205">
        <v>1352.28384615385</v>
      </c>
      <c r="EK205">
        <v>1398.50769230769</v>
      </c>
      <c r="EL205">
        <v>2.15968</v>
      </c>
      <c r="EM205">
        <v>1384.91384615385</v>
      </c>
      <c r="EN205">
        <v>9.71921153846154</v>
      </c>
      <c r="EO205">
        <v>1.06726615384615</v>
      </c>
      <c r="EP205">
        <v>0.873228307692308</v>
      </c>
      <c r="EQ205">
        <v>7.86852384615385</v>
      </c>
      <c r="ER205">
        <v>4.95693153846154</v>
      </c>
      <c r="ES205">
        <v>1199.94923076923</v>
      </c>
      <c r="ET205">
        <v>0.966991384615384</v>
      </c>
      <c r="EU205">
        <v>0.0330082538461538</v>
      </c>
      <c r="EV205">
        <v>0</v>
      </c>
      <c r="EW205">
        <v>1295.31230769231</v>
      </c>
      <c r="EX205">
        <v>5.00059</v>
      </c>
      <c r="EY205">
        <v>15240.2307692308</v>
      </c>
      <c r="EZ205">
        <v>10358.2615384615</v>
      </c>
      <c r="FA205">
        <v>36.6199230769231</v>
      </c>
      <c r="FB205">
        <v>38.2833846153846</v>
      </c>
      <c r="FC205">
        <v>37.0623076923077</v>
      </c>
      <c r="FD205">
        <v>37.4901538461539</v>
      </c>
      <c r="FE205">
        <v>37.5430769230769</v>
      </c>
      <c r="FF205">
        <v>1155.50384615385</v>
      </c>
      <c r="FG205">
        <v>39.4453846153846</v>
      </c>
      <c r="FH205">
        <v>0</v>
      </c>
      <c r="FI205">
        <v>1139.60000014305</v>
      </c>
      <c r="FJ205">
        <v>0</v>
      </c>
      <c r="FK205">
        <v>1295.2404</v>
      </c>
      <c r="FL205">
        <v>-4.34692308291122</v>
      </c>
      <c r="FM205">
        <v>-67.8461538124793</v>
      </c>
      <c r="FN205">
        <v>15240.18</v>
      </c>
      <c r="FO205">
        <v>15</v>
      </c>
      <c r="FP205">
        <v>0</v>
      </c>
      <c r="FQ205" t="s">
        <v>439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-48.4839047619048</v>
      </c>
      <c r="GD205">
        <v>-2.03309610389616</v>
      </c>
      <c r="GE205">
        <v>0.671080595171266</v>
      </c>
      <c r="GF205">
        <v>0</v>
      </c>
      <c r="GG205">
        <v>1295.39617647059</v>
      </c>
      <c r="GH205">
        <v>-3.30466005433738</v>
      </c>
      <c r="GI205">
        <v>0.389713429449655</v>
      </c>
      <c r="GJ205">
        <v>-1</v>
      </c>
      <c r="GK205">
        <v>2.15843714285714</v>
      </c>
      <c r="GL205">
        <v>0.0260883116883139</v>
      </c>
      <c r="GM205">
        <v>0.00268159714821337</v>
      </c>
      <c r="GN205">
        <v>1</v>
      </c>
      <c r="GO205">
        <v>1</v>
      </c>
      <c r="GP205">
        <v>2</v>
      </c>
      <c r="GQ205" t="s">
        <v>446</v>
      </c>
      <c r="GR205">
        <v>3.13096</v>
      </c>
      <c r="GS205">
        <v>2.68676</v>
      </c>
      <c r="GT205">
        <v>0.200686</v>
      </c>
      <c r="GU205">
        <v>0.205537</v>
      </c>
      <c r="GV205">
        <v>0.0619519</v>
      </c>
      <c r="GW205">
        <v>0.0529304</v>
      </c>
      <c r="GX205">
        <v>30293.9</v>
      </c>
      <c r="GY205">
        <v>32354.5</v>
      </c>
      <c r="GZ205">
        <v>34262.7</v>
      </c>
      <c r="HA205">
        <v>36844.5</v>
      </c>
      <c r="HB205">
        <v>45348</v>
      </c>
      <c r="HC205">
        <v>50049.4</v>
      </c>
      <c r="HD205">
        <v>53336.6</v>
      </c>
      <c r="HE205">
        <v>58770.9</v>
      </c>
      <c r="HF205">
        <v>2.00835</v>
      </c>
      <c r="HG205">
        <v>1.8377</v>
      </c>
      <c r="HH205">
        <v>0.00896677</v>
      </c>
      <c r="HI205">
        <v>0</v>
      </c>
      <c r="HJ205">
        <v>17.8509</v>
      </c>
      <c r="HK205">
        <v>999.9</v>
      </c>
      <c r="HL205">
        <v>26.511</v>
      </c>
      <c r="HM205">
        <v>30.424</v>
      </c>
      <c r="HN205">
        <v>12.8813</v>
      </c>
      <c r="HO205">
        <v>53.9428</v>
      </c>
      <c r="HP205">
        <v>44.0184</v>
      </c>
      <c r="HQ205">
        <v>1</v>
      </c>
      <c r="HR205">
        <v>-0.260206</v>
      </c>
      <c r="HS205">
        <v>4.68729</v>
      </c>
      <c r="HT205">
        <v>20.0747</v>
      </c>
      <c r="HU205">
        <v>5.20172</v>
      </c>
      <c r="HV205">
        <v>12.004</v>
      </c>
      <c r="HW205">
        <v>4.9757</v>
      </c>
      <c r="HX205">
        <v>3.29305</v>
      </c>
      <c r="HY205">
        <v>9999</v>
      </c>
      <c r="HZ205">
        <v>999.9</v>
      </c>
      <c r="IA205">
        <v>9999</v>
      </c>
      <c r="IB205">
        <v>9999</v>
      </c>
      <c r="IC205">
        <v>1.86323</v>
      </c>
      <c r="ID205">
        <v>1.86808</v>
      </c>
      <c r="IE205">
        <v>1.86783</v>
      </c>
      <c r="IF205">
        <v>1.86904</v>
      </c>
      <c r="IG205">
        <v>1.86981</v>
      </c>
      <c r="IH205">
        <v>1.86586</v>
      </c>
      <c r="II205">
        <v>1.86691</v>
      </c>
      <c r="IJ205">
        <v>1.86836</v>
      </c>
      <c r="IK205">
        <v>5</v>
      </c>
      <c r="IL205">
        <v>0</v>
      </c>
      <c r="IM205">
        <v>0</v>
      </c>
      <c r="IN205">
        <v>0</v>
      </c>
      <c r="IO205" t="s">
        <v>441</v>
      </c>
      <c r="IP205" t="s">
        <v>442</v>
      </c>
      <c r="IQ205" t="s">
        <v>443</v>
      </c>
      <c r="IR205" t="s">
        <v>443</v>
      </c>
      <c r="IS205" t="s">
        <v>443</v>
      </c>
      <c r="IT205" t="s">
        <v>443</v>
      </c>
      <c r="IU205">
        <v>0</v>
      </c>
      <c r="IV205">
        <v>100</v>
      </c>
      <c r="IW205">
        <v>100</v>
      </c>
      <c r="IX205">
        <v>6.14</v>
      </c>
      <c r="IY205">
        <v>-0.1103</v>
      </c>
      <c r="IZ205">
        <v>1.12474291219083</v>
      </c>
      <c r="JA205">
        <v>0.00463155566490582</v>
      </c>
      <c r="JB205">
        <v>-1.1358998729424e-06</v>
      </c>
      <c r="JC205">
        <v>3.28704272115545e-10</v>
      </c>
      <c r="JD205">
        <v>-0.0704455108513773</v>
      </c>
      <c r="JE205">
        <v>-0.0251928478371425</v>
      </c>
      <c r="JF205">
        <v>0.00225751704194564</v>
      </c>
      <c r="JG205">
        <v>-3.61734043746866e-05</v>
      </c>
      <c r="JH205">
        <v>1</v>
      </c>
      <c r="JI205">
        <v>2182</v>
      </c>
      <c r="JJ205">
        <v>0</v>
      </c>
      <c r="JK205">
        <v>24</v>
      </c>
      <c r="JL205">
        <v>29349871.4</v>
      </c>
      <c r="JM205">
        <v>29349871.4</v>
      </c>
      <c r="JN205">
        <v>2.68921</v>
      </c>
      <c r="JO205">
        <v>2.60498</v>
      </c>
      <c r="JP205">
        <v>1.54785</v>
      </c>
      <c r="JQ205">
        <v>2.31445</v>
      </c>
      <c r="JR205">
        <v>1.64551</v>
      </c>
      <c r="JS205">
        <v>2.36694</v>
      </c>
      <c r="JT205">
        <v>33.6029</v>
      </c>
      <c r="JU205">
        <v>24.1838</v>
      </c>
      <c r="JV205">
        <v>18</v>
      </c>
      <c r="JW205">
        <v>501.092</v>
      </c>
      <c r="JX205">
        <v>394.954</v>
      </c>
      <c r="JY205">
        <v>11.5498</v>
      </c>
      <c r="JZ205">
        <v>24.0034</v>
      </c>
      <c r="KA205">
        <v>30.0001</v>
      </c>
      <c r="KB205">
        <v>23.994</v>
      </c>
      <c r="KC205">
        <v>23.9616</v>
      </c>
      <c r="KD205">
        <v>53.8334</v>
      </c>
      <c r="KE205">
        <v>7.32529</v>
      </c>
      <c r="KF205">
        <v>26.5359</v>
      </c>
      <c r="KG205">
        <v>11.5501</v>
      </c>
      <c r="KH205">
        <v>1430.06</v>
      </c>
      <c r="KI205">
        <v>9.77121</v>
      </c>
      <c r="KJ205">
        <v>97.0351</v>
      </c>
      <c r="KK205">
        <v>95.2933</v>
      </c>
    </row>
    <row r="206" spans="1:297">
      <c r="A206">
        <v>190</v>
      </c>
      <c r="B206">
        <v>1760992289.1</v>
      </c>
      <c r="C206">
        <v>3099</v>
      </c>
      <c r="D206" t="s">
        <v>833</v>
      </c>
      <c r="E206" t="s">
        <v>834</v>
      </c>
      <c r="F206">
        <v>5</v>
      </c>
      <c r="G206" t="s">
        <v>662</v>
      </c>
      <c r="H206" t="s">
        <v>436</v>
      </c>
      <c r="I206">
        <v>1760992280.94615</v>
      </c>
      <c r="J206">
        <f>(K206)/1000</f>
        <v>0</v>
      </c>
      <c r="K206">
        <f>IF(DP206, AN206, AH206)</f>
        <v>0</v>
      </c>
      <c r="L206">
        <f>IF(DP206, AI206, AG206)</f>
        <v>0</v>
      </c>
      <c r="M206">
        <f>DR206 - IF(AU206&gt;1, L206*DL206*100.0/(AW206), 0)</f>
        <v>0</v>
      </c>
      <c r="N206">
        <f>((T206-J206/2)*M206-L206)/(T206+J206/2)</f>
        <v>0</v>
      </c>
      <c r="O206">
        <f>N206*(DY206+DZ206)/1000.0</f>
        <v>0</v>
      </c>
      <c r="P206">
        <f>(DR206 - IF(AU206&gt;1, L206*DL206*100.0/(AW206), 0))*(DY206+DZ206)/1000.0</f>
        <v>0</v>
      </c>
      <c r="Q206">
        <f>2.0/((1/S206-1/R206)+SIGN(S206)*SQRT((1/S206-1/R206)*(1/S206-1/R206) + 4*DM206/((DM206+1)*(DM206+1))*(2*1/S206*1/R206-1/R206*1/R206)))</f>
        <v>0</v>
      </c>
      <c r="R206">
        <f>IF(LEFT(DN206,1)&lt;&gt;"0",IF(LEFT(DN206,1)="1",3.0,DO206),$D$5+$E$5*(EF206*DY206/($K$5*1000))+$F$5*(EF206*DY206/($K$5*1000))*MAX(MIN(DL206,$J$5),$I$5)*MAX(MIN(DL206,$J$5),$I$5)+$G$5*MAX(MIN(DL206,$J$5),$I$5)*(EF206*DY206/($K$5*1000))+$H$5*(EF206*DY206/($K$5*1000))*(EF206*DY206/($K$5*1000)))</f>
        <v>0</v>
      </c>
      <c r="S206">
        <f>J206*(1000-(1000*0.61365*exp(17.502*W206/(240.97+W206))/(DY206+DZ206)+DT206)/2)/(1000*0.61365*exp(17.502*W206/(240.97+W206))/(DY206+DZ206)-DT206)</f>
        <v>0</v>
      </c>
      <c r="T206">
        <f>1/((DM206+1)/(Q206/1.6)+1/(R206/1.37)) + DM206/((DM206+1)/(Q206/1.6) + DM206/(R206/1.37))</f>
        <v>0</v>
      </c>
      <c r="U206">
        <f>(DH206*DK206)</f>
        <v>0</v>
      </c>
      <c r="V206">
        <f>(EA206+(U206+2*0.95*5.67E-8*(((EA206+$B$7)+273)^4-(EA206+273)^4)-44100*J206)/(1.84*29.3*R206+8*0.95*5.67E-8*(EA206+273)^3))</f>
        <v>0</v>
      </c>
      <c r="W206">
        <f>($C$7*EB206+$D$7*EC206+$E$7*V206)</f>
        <v>0</v>
      </c>
      <c r="X206">
        <f>0.61365*exp(17.502*W206/(240.97+W206))</f>
        <v>0</v>
      </c>
      <c r="Y206">
        <f>(Z206/AA206*100)</f>
        <v>0</v>
      </c>
      <c r="Z206">
        <f>DT206*(DY206+DZ206)/1000</f>
        <v>0</v>
      </c>
      <c r="AA206">
        <f>0.61365*exp(17.502*EA206/(240.97+EA206))</f>
        <v>0</v>
      </c>
      <c r="AB206">
        <f>(X206-DT206*(DY206+DZ206)/1000)</f>
        <v>0</v>
      </c>
      <c r="AC206">
        <f>(-J206*44100)</f>
        <v>0</v>
      </c>
      <c r="AD206">
        <f>2*29.3*R206*0.92*(EA206-W206)</f>
        <v>0</v>
      </c>
      <c r="AE206">
        <f>2*0.95*5.67E-8*(((EA206+$B$7)+273)^4-(W206+273)^4)</f>
        <v>0</v>
      </c>
      <c r="AF206">
        <f>U206+AE206+AC206+AD206</f>
        <v>0</v>
      </c>
      <c r="AG206">
        <f>DX206*AU206*(DS206-DR206*(1000-AU206*DU206)/(1000-AU206*DT206))/(100*DL206)</f>
        <v>0</v>
      </c>
      <c r="AH206">
        <f>1000*DX206*AU206*(DT206-DU206)/(100*DL206*(1000-AU206*DT206))</f>
        <v>0</v>
      </c>
      <c r="AI206">
        <f>(AJ206 - AK206 - DY206*1E3/(8.314*(EA206+273.15)) * AM206/DX206 * AL206) * DX206/(100*DL206) * (1000 - DU206)/1000</f>
        <v>0</v>
      </c>
      <c r="AJ206">
        <v>1432.67403452672</v>
      </c>
      <c r="AK206">
        <v>1394.53309090909</v>
      </c>
      <c r="AL206">
        <v>3.54934544072054</v>
      </c>
      <c r="AM206">
        <v>65.2210784119795</v>
      </c>
      <c r="AN206">
        <f>(AP206 - AO206 + DY206*1E3/(8.314*(EA206+273.15)) * AR206/DX206 * AQ206) * DX206/(100*DL206) * 1000/(1000 - AP206)</f>
        <v>0</v>
      </c>
      <c r="AO206">
        <v>9.7157872769151</v>
      </c>
      <c r="AP206">
        <v>11.8799157575758</v>
      </c>
      <c r="AQ206">
        <v>2.30943769868416e-07</v>
      </c>
      <c r="AR206">
        <v>115.574510355221</v>
      </c>
      <c r="AS206">
        <v>0</v>
      </c>
      <c r="AT206">
        <v>0</v>
      </c>
      <c r="AU206">
        <f>IF(AS206*$H$13&gt;=AW206,1.0,(AW206/(AW206-AS206*$H$13)))</f>
        <v>0</v>
      </c>
      <c r="AV206">
        <f>(AU206-1)*100</f>
        <v>0</v>
      </c>
      <c r="AW206">
        <f>MAX(0,($B$13+$C$13*EF206)/(1+$D$13*EF206)*DY206/(EA206+273)*$E$13)</f>
        <v>0</v>
      </c>
      <c r="AX206" t="s">
        <v>437</v>
      </c>
      <c r="AY206" t="s">
        <v>437</v>
      </c>
      <c r="AZ206">
        <v>0</v>
      </c>
      <c r="BA206">
        <v>0</v>
      </c>
      <c r="BB206">
        <f>1-AZ206/BA206</f>
        <v>0</v>
      </c>
      <c r="BC206">
        <v>0</v>
      </c>
      <c r="BD206" t="s">
        <v>437</v>
      </c>
      <c r="BE206" t="s">
        <v>437</v>
      </c>
      <c r="BF206">
        <v>0</v>
      </c>
      <c r="BG206">
        <v>0</v>
      </c>
      <c r="BH206">
        <f>1-BF206/BG206</f>
        <v>0</v>
      </c>
      <c r="BI206">
        <v>0.5</v>
      </c>
      <c r="BJ206">
        <f>DI206</f>
        <v>0</v>
      </c>
      <c r="BK206">
        <f>L206</f>
        <v>0</v>
      </c>
      <c r="BL206">
        <f>BH206*BI206*BJ206</f>
        <v>0</v>
      </c>
      <c r="BM206">
        <f>(BK206-BC206)/BJ206</f>
        <v>0</v>
      </c>
      <c r="BN206">
        <f>(BA206-BG206)/BG206</f>
        <v>0</v>
      </c>
      <c r="BO206">
        <f>AZ206/(BB206+AZ206/BG206)</f>
        <v>0</v>
      </c>
      <c r="BP206" t="s">
        <v>437</v>
      </c>
      <c r="BQ206">
        <v>0</v>
      </c>
      <c r="BR206">
        <f>IF(BQ206&lt;&gt;0, BQ206, BO206)</f>
        <v>0</v>
      </c>
      <c r="BS206">
        <f>1-BR206/BG206</f>
        <v>0</v>
      </c>
      <c r="BT206">
        <f>(BG206-BF206)/(BG206-BR206)</f>
        <v>0</v>
      </c>
      <c r="BU206">
        <f>(BA206-BG206)/(BA206-BR206)</f>
        <v>0</v>
      </c>
      <c r="BV206">
        <f>(BG206-BF206)/(BG206-AZ206)</f>
        <v>0</v>
      </c>
      <c r="BW206">
        <f>(BA206-BG206)/(BA206-AZ206)</f>
        <v>0</v>
      </c>
      <c r="BX206">
        <f>(BT206*BR206/BF206)</f>
        <v>0</v>
      </c>
      <c r="BY206">
        <f>(1-BX206)</f>
        <v>0</v>
      </c>
      <c r="BZ206">
        <v>282</v>
      </c>
      <c r="CA206">
        <v>290</v>
      </c>
      <c r="CB206">
        <v>1577.74</v>
      </c>
      <c r="CC206">
        <v>295</v>
      </c>
      <c r="CD206">
        <v>5140.93</v>
      </c>
      <c r="CE206">
        <v>1578.58</v>
      </c>
      <c r="CF206">
        <v>-0.84</v>
      </c>
      <c r="CG206">
        <v>300</v>
      </c>
      <c r="CH206">
        <v>23.8</v>
      </c>
      <c r="CI206">
        <v>1633.28263291266</v>
      </c>
      <c r="CJ206">
        <v>1.49577129053257</v>
      </c>
      <c r="CK206">
        <v>-28.1203876934379</v>
      </c>
      <c r="CL206">
        <v>0.666413418688897</v>
      </c>
      <c r="CM206">
        <v>0.984518017981194</v>
      </c>
      <c r="CN206">
        <v>-0.00424727541713014</v>
      </c>
      <c r="CO206">
        <v>290</v>
      </c>
      <c r="CP206">
        <v>1576.56</v>
      </c>
      <c r="CQ206">
        <v>775</v>
      </c>
      <c r="CR206">
        <v>5139.5</v>
      </c>
      <c r="CS206">
        <v>1578.57</v>
      </c>
      <c r="CT206">
        <v>-2.01</v>
      </c>
      <c r="DH206">
        <f>$B$11*EG206+$C$11*EH206+$F$11*ES206*(1-EV206)</f>
        <v>0</v>
      </c>
      <c r="DI206">
        <f>DH206*DJ206</f>
        <v>0</v>
      </c>
      <c r="DJ206">
        <f>($B$11*$D$9+$C$11*$D$9+$F$11*((FF206+EX206)/MAX(FF206+EX206+FG206, 0.1)*$I$9+FG206/MAX(FF206+EX206+FG206, 0.1)*$J$9))/($B$11+$C$11+$F$11)</f>
        <v>0</v>
      </c>
      <c r="DK206">
        <f>($B$11*$K$9+$C$11*$K$9+$F$11*((FF206+EX206)/MAX(FF206+EX206+FG206, 0.1)*$P$9+FG206/MAX(FF206+EX206+FG206, 0.1)*$Q$9))/($B$11+$C$11+$F$11)</f>
        <v>0</v>
      </c>
      <c r="DL206">
        <v>6</v>
      </c>
      <c r="DM206">
        <v>0.5</v>
      </c>
      <c r="DN206" t="s">
        <v>438</v>
      </c>
      <c r="DO206">
        <v>2</v>
      </c>
      <c r="DP206" t="b">
        <v>1</v>
      </c>
      <c r="DQ206">
        <v>1760992280.94615</v>
      </c>
      <c r="DR206">
        <v>1353.32153846154</v>
      </c>
      <c r="DS206">
        <v>1402.14461538462</v>
      </c>
      <c r="DT206">
        <v>11.8793538461538</v>
      </c>
      <c r="DU206">
        <v>9.71780076923077</v>
      </c>
      <c r="DV206">
        <v>1347.21384615385</v>
      </c>
      <c r="DW206">
        <v>11.9896846153846</v>
      </c>
      <c r="DX206">
        <v>500</v>
      </c>
      <c r="DY206">
        <v>89.8461461538461</v>
      </c>
      <c r="DZ206">
        <v>0.00855887769230769</v>
      </c>
      <c r="EA206">
        <v>18.3602307692308</v>
      </c>
      <c r="EB206">
        <v>17.9966461538462</v>
      </c>
      <c r="EC206">
        <v>999.9</v>
      </c>
      <c r="ED206">
        <v>0</v>
      </c>
      <c r="EE206">
        <v>0</v>
      </c>
      <c r="EF206">
        <v>10009.8515384615</v>
      </c>
      <c r="EG206">
        <v>0</v>
      </c>
      <c r="EH206">
        <v>1278.58384615385</v>
      </c>
      <c r="EI206">
        <v>-48.8246615384615</v>
      </c>
      <c r="EJ206">
        <v>1369.59</v>
      </c>
      <c r="EK206">
        <v>1415.90538461538</v>
      </c>
      <c r="EL206">
        <v>2.16154692307692</v>
      </c>
      <c r="EM206">
        <v>1402.14461538462</v>
      </c>
      <c r="EN206">
        <v>9.71780076923077</v>
      </c>
      <c r="EO206">
        <v>1.06731384615385</v>
      </c>
      <c r="EP206">
        <v>0.873107076923077</v>
      </c>
      <c r="EQ206">
        <v>7.86917769230769</v>
      </c>
      <c r="ER206">
        <v>4.95493846153846</v>
      </c>
      <c r="ES206">
        <v>1199.96538461538</v>
      </c>
      <c r="ET206">
        <v>0.966991384615384</v>
      </c>
      <c r="EU206">
        <v>0.0330082692307692</v>
      </c>
      <c r="EV206">
        <v>0</v>
      </c>
      <c r="EW206">
        <v>1294.93384615385</v>
      </c>
      <c r="EX206">
        <v>5.00059</v>
      </c>
      <c r="EY206">
        <v>15234.3923076923</v>
      </c>
      <c r="EZ206">
        <v>10358.3923076923</v>
      </c>
      <c r="FA206">
        <v>36.5766923076923</v>
      </c>
      <c r="FB206">
        <v>38.2449230769231</v>
      </c>
      <c r="FC206">
        <v>37.0093076923077</v>
      </c>
      <c r="FD206">
        <v>37.4564615384615</v>
      </c>
      <c r="FE206">
        <v>37.4949230769231</v>
      </c>
      <c r="FF206">
        <v>1155.52</v>
      </c>
      <c r="FG206">
        <v>39.4453846153846</v>
      </c>
      <c r="FH206">
        <v>0</v>
      </c>
      <c r="FI206">
        <v>1145</v>
      </c>
      <c r="FJ206">
        <v>0</v>
      </c>
      <c r="FK206">
        <v>1294.85192307692</v>
      </c>
      <c r="FL206">
        <v>-5.37128205175223</v>
      </c>
      <c r="FM206">
        <v>-76.2495725848722</v>
      </c>
      <c r="FN206">
        <v>15234.0576923077</v>
      </c>
      <c r="FO206">
        <v>15</v>
      </c>
      <c r="FP206">
        <v>0</v>
      </c>
      <c r="FQ206" t="s">
        <v>439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-48.770445</v>
      </c>
      <c r="GD206">
        <v>-0.730109774436091</v>
      </c>
      <c r="GE206">
        <v>0.605118240904206</v>
      </c>
      <c r="GF206">
        <v>0</v>
      </c>
      <c r="GG206">
        <v>1295.11029411765</v>
      </c>
      <c r="GH206">
        <v>-4.45118410880066</v>
      </c>
      <c r="GI206">
        <v>0.471745727211016</v>
      </c>
      <c r="GJ206">
        <v>-1</v>
      </c>
      <c r="GK206">
        <v>2.1606665</v>
      </c>
      <c r="GL206">
        <v>0.0234843609022598</v>
      </c>
      <c r="GM206">
        <v>0.00231180292196378</v>
      </c>
      <c r="GN206">
        <v>1</v>
      </c>
      <c r="GO206">
        <v>1</v>
      </c>
      <c r="GP206">
        <v>2</v>
      </c>
      <c r="GQ206" t="s">
        <v>446</v>
      </c>
      <c r="GR206">
        <v>3.13077</v>
      </c>
      <c r="GS206">
        <v>2.68662</v>
      </c>
      <c r="GT206">
        <v>0.202247</v>
      </c>
      <c r="GU206">
        <v>0.206914</v>
      </c>
      <c r="GV206">
        <v>0.061951</v>
      </c>
      <c r="GW206">
        <v>0.0529241</v>
      </c>
      <c r="GX206">
        <v>30234.7</v>
      </c>
      <c r="GY206">
        <v>32298.8</v>
      </c>
      <c r="GZ206">
        <v>34262.5</v>
      </c>
      <c r="HA206">
        <v>36844.8</v>
      </c>
      <c r="HB206">
        <v>45347.9</v>
      </c>
      <c r="HC206">
        <v>50050.2</v>
      </c>
      <c r="HD206">
        <v>53336.2</v>
      </c>
      <c r="HE206">
        <v>58771.2</v>
      </c>
      <c r="HF206">
        <v>2.00795</v>
      </c>
      <c r="HG206">
        <v>1.8382</v>
      </c>
      <c r="HH206">
        <v>0.00901148</v>
      </c>
      <c r="HI206">
        <v>0</v>
      </c>
      <c r="HJ206">
        <v>17.8509</v>
      </c>
      <c r="HK206">
        <v>999.9</v>
      </c>
      <c r="HL206">
        <v>26.511</v>
      </c>
      <c r="HM206">
        <v>30.424</v>
      </c>
      <c r="HN206">
        <v>12.881</v>
      </c>
      <c r="HO206">
        <v>54.1628</v>
      </c>
      <c r="HP206">
        <v>44.0345</v>
      </c>
      <c r="HQ206">
        <v>1</v>
      </c>
      <c r="HR206">
        <v>-0.260277</v>
      </c>
      <c r="HS206">
        <v>4.68931</v>
      </c>
      <c r="HT206">
        <v>20.0744</v>
      </c>
      <c r="HU206">
        <v>5.20007</v>
      </c>
      <c r="HV206">
        <v>12.004</v>
      </c>
      <c r="HW206">
        <v>4.97545</v>
      </c>
      <c r="HX206">
        <v>3.293</v>
      </c>
      <c r="HY206">
        <v>9999</v>
      </c>
      <c r="HZ206">
        <v>999.9</v>
      </c>
      <c r="IA206">
        <v>9999</v>
      </c>
      <c r="IB206">
        <v>9999</v>
      </c>
      <c r="IC206">
        <v>1.86323</v>
      </c>
      <c r="ID206">
        <v>1.86806</v>
      </c>
      <c r="IE206">
        <v>1.86783</v>
      </c>
      <c r="IF206">
        <v>1.86905</v>
      </c>
      <c r="IG206">
        <v>1.86981</v>
      </c>
      <c r="IH206">
        <v>1.86587</v>
      </c>
      <c r="II206">
        <v>1.86691</v>
      </c>
      <c r="IJ206">
        <v>1.86835</v>
      </c>
      <c r="IK206">
        <v>5</v>
      </c>
      <c r="IL206">
        <v>0</v>
      </c>
      <c r="IM206">
        <v>0</v>
      </c>
      <c r="IN206">
        <v>0</v>
      </c>
      <c r="IO206" t="s">
        <v>441</v>
      </c>
      <c r="IP206" t="s">
        <v>442</v>
      </c>
      <c r="IQ206" t="s">
        <v>443</v>
      </c>
      <c r="IR206" t="s">
        <v>443</v>
      </c>
      <c r="IS206" t="s">
        <v>443</v>
      </c>
      <c r="IT206" t="s">
        <v>443</v>
      </c>
      <c r="IU206">
        <v>0</v>
      </c>
      <c r="IV206">
        <v>100</v>
      </c>
      <c r="IW206">
        <v>100</v>
      </c>
      <c r="IX206">
        <v>6.2</v>
      </c>
      <c r="IY206">
        <v>-0.1103</v>
      </c>
      <c r="IZ206">
        <v>1.12474291219083</v>
      </c>
      <c r="JA206">
        <v>0.00463155566490582</v>
      </c>
      <c r="JB206">
        <v>-1.1358998729424e-06</v>
      </c>
      <c r="JC206">
        <v>3.28704272115545e-10</v>
      </c>
      <c r="JD206">
        <v>-0.0704455108513773</v>
      </c>
      <c r="JE206">
        <v>-0.0251928478371425</v>
      </c>
      <c r="JF206">
        <v>0.00225751704194564</v>
      </c>
      <c r="JG206">
        <v>-3.61734043746866e-05</v>
      </c>
      <c r="JH206">
        <v>1</v>
      </c>
      <c r="JI206">
        <v>2182</v>
      </c>
      <c r="JJ206">
        <v>0</v>
      </c>
      <c r="JK206">
        <v>24</v>
      </c>
      <c r="JL206">
        <v>29349871.5</v>
      </c>
      <c r="JM206">
        <v>29349871.5</v>
      </c>
      <c r="JN206">
        <v>2.70874</v>
      </c>
      <c r="JO206">
        <v>2.60498</v>
      </c>
      <c r="JP206">
        <v>1.54785</v>
      </c>
      <c r="JQ206">
        <v>2.31323</v>
      </c>
      <c r="JR206">
        <v>1.64673</v>
      </c>
      <c r="JS206">
        <v>2.37549</v>
      </c>
      <c r="JT206">
        <v>33.6029</v>
      </c>
      <c r="JU206">
        <v>24.1838</v>
      </c>
      <c r="JV206">
        <v>18</v>
      </c>
      <c r="JW206">
        <v>500.844</v>
      </c>
      <c r="JX206">
        <v>395.225</v>
      </c>
      <c r="JY206">
        <v>11.5514</v>
      </c>
      <c r="JZ206">
        <v>24.0034</v>
      </c>
      <c r="KA206">
        <v>30.0002</v>
      </c>
      <c r="KB206">
        <v>23.9948</v>
      </c>
      <c r="KC206">
        <v>23.9626</v>
      </c>
      <c r="KD206">
        <v>54.2445</v>
      </c>
      <c r="KE206">
        <v>7.32529</v>
      </c>
      <c r="KF206">
        <v>26.5359</v>
      </c>
      <c r="KG206">
        <v>11.5523</v>
      </c>
      <c r="KH206">
        <v>1443.75</v>
      </c>
      <c r="KI206">
        <v>9.72742</v>
      </c>
      <c r="KJ206">
        <v>97.0344</v>
      </c>
      <c r="KK206">
        <v>95.2939</v>
      </c>
    </row>
    <row r="207" spans="1:297">
      <c r="A207">
        <v>191</v>
      </c>
      <c r="B207">
        <v>1760992294.1</v>
      </c>
      <c r="C207">
        <v>3104</v>
      </c>
      <c r="D207" t="s">
        <v>835</v>
      </c>
      <c r="E207" t="s">
        <v>836</v>
      </c>
      <c r="F207">
        <v>5</v>
      </c>
      <c r="G207" t="s">
        <v>662</v>
      </c>
      <c r="H207" t="s">
        <v>436</v>
      </c>
      <c r="I207">
        <v>1760992285.94615</v>
      </c>
      <c r="J207">
        <f>(K207)/1000</f>
        <v>0</v>
      </c>
      <c r="K207">
        <f>IF(DP207, AN207, AH207)</f>
        <v>0</v>
      </c>
      <c r="L207">
        <f>IF(DP207, AI207, AG207)</f>
        <v>0</v>
      </c>
      <c r="M207">
        <f>DR207 - IF(AU207&gt;1, L207*DL207*100.0/(AW207), 0)</f>
        <v>0</v>
      </c>
      <c r="N207">
        <f>((T207-J207/2)*M207-L207)/(T207+J207/2)</f>
        <v>0</v>
      </c>
      <c r="O207">
        <f>N207*(DY207+DZ207)/1000.0</f>
        <v>0</v>
      </c>
      <c r="P207">
        <f>(DR207 - IF(AU207&gt;1, L207*DL207*100.0/(AW207), 0))*(DY207+DZ207)/1000.0</f>
        <v>0</v>
      </c>
      <c r="Q207">
        <f>2.0/((1/S207-1/R207)+SIGN(S207)*SQRT((1/S207-1/R207)*(1/S207-1/R207) + 4*DM207/((DM207+1)*(DM207+1))*(2*1/S207*1/R207-1/R207*1/R207)))</f>
        <v>0</v>
      </c>
      <c r="R207">
        <f>IF(LEFT(DN207,1)&lt;&gt;"0",IF(LEFT(DN207,1)="1",3.0,DO207),$D$5+$E$5*(EF207*DY207/($K$5*1000))+$F$5*(EF207*DY207/($K$5*1000))*MAX(MIN(DL207,$J$5),$I$5)*MAX(MIN(DL207,$J$5),$I$5)+$G$5*MAX(MIN(DL207,$J$5),$I$5)*(EF207*DY207/($K$5*1000))+$H$5*(EF207*DY207/($K$5*1000))*(EF207*DY207/($K$5*1000)))</f>
        <v>0</v>
      </c>
      <c r="S207">
        <f>J207*(1000-(1000*0.61365*exp(17.502*W207/(240.97+W207))/(DY207+DZ207)+DT207)/2)/(1000*0.61365*exp(17.502*W207/(240.97+W207))/(DY207+DZ207)-DT207)</f>
        <v>0</v>
      </c>
      <c r="T207">
        <f>1/((DM207+1)/(Q207/1.6)+1/(R207/1.37)) + DM207/((DM207+1)/(Q207/1.6) + DM207/(R207/1.37))</f>
        <v>0</v>
      </c>
      <c r="U207">
        <f>(DH207*DK207)</f>
        <v>0</v>
      </c>
      <c r="V207">
        <f>(EA207+(U207+2*0.95*5.67E-8*(((EA207+$B$7)+273)^4-(EA207+273)^4)-44100*J207)/(1.84*29.3*R207+8*0.95*5.67E-8*(EA207+273)^3))</f>
        <v>0</v>
      </c>
      <c r="W207">
        <f>($C$7*EB207+$D$7*EC207+$E$7*V207)</f>
        <v>0</v>
      </c>
      <c r="X207">
        <f>0.61365*exp(17.502*W207/(240.97+W207))</f>
        <v>0</v>
      </c>
      <c r="Y207">
        <f>(Z207/AA207*100)</f>
        <v>0</v>
      </c>
      <c r="Z207">
        <f>DT207*(DY207+DZ207)/1000</f>
        <v>0</v>
      </c>
      <c r="AA207">
        <f>0.61365*exp(17.502*EA207/(240.97+EA207))</f>
        <v>0</v>
      </c>
      <c r="AB207">
        <f>(X207-DT207*(DY207+DZ207)/1000)</f>
        <v>0</v>
      </c>
      <c r="AC207">
        <f>(-J207*44100)</f>
        <v>0</v>
      </c>
      <c r="AD207">
        <f>2*29.3*R207*0.92*(EA207-W207)</f>
        <v>0</v>
      </c>
      <c r="AE207">
        <f>2*0.95*5.67E-8*(((EA207+$B$7)+273)^4-(W207+273)^4)</f>
        <v>0</v>
      </c>
      <c r="AF207">
        <f>U207+AE207+AC207+AD207</f>
        <v>0</v>
      </c>
      <c r="AG207">
        <f>DX207*AU207*(DS207-DR207*(1000-AU207*DU207)/(1000-AU207*DT207))/(100*DL207)</f>
        <v>0</v>
      </c>
      <c r="AH207">
        <f>1000*DX207*AU207*(DT207-DU207)/(100*DL207*(1000-AU207*DT207))</f>
        <v>0</v>
      </c>
      <c r="AI207">
        <f>(AJ207 - AK207 - DY207*1E3/(8.314*(EA207+273.15)) * AM207/DX207 * AL207) * DX207/(100*DL207) * (1000 - DU207)/1000</f>
        <v>0</v>
      </c>
      <c r="AJ207">
        <v>1447.42234407333</v>
      </c>
      <c r="AK207">
        <v>1410.67884848485</v>
      </c>
      <c r="AL207">
        <v>3.19537484148576</v>
      </c>
      <c r="AM207">
        <v>65.2210784119795</v>
      </c>
      <c r="AN207">
        <f>(AP207 - AO207 + DY207*1E3/(8.314*(EA207+273.15)) * AR207/DX207 * AQ207) * DX207/(100*DL207) * 1000/(1000 - AP207)</f>
        <v>0</v>
      </c>
      <c r="AO207">
        <v>9.7142411453772</v>
      </c>
      <c r="AP207">
        <v>11.8784515151515</v>
      </c>
      <c r="AQ207">
        <v>-6.23494396494299e-06</v>
      </c>
      <c r="AR207">
        <v>115.574510355221</v>
      </c>
      <c r="AS207">
        <v>0</v>
      </c>
      <c r="AT207">
        <v>0</v>
      </c>
      <c r="AU207">
        <f>IF(AS207*$H$13&gt;=AW207,1.0,(AW207/(AW207-AS207*$H$13)))</f>
        <v>0</v>
      </c>
      <c r="AV207">
        <f>(AU207-1)*100</f>
        <v>0</v>
      </c>
      <c r="AW207">
        <f>MAX(0,($B$13+$C$13*EF207)/(1+$D$13*EF207)*DY207/(EA207+273)*$E$13)</f>
        <v>0</v>
      </c>
      <c r="AX207" t="s">
        <v>437</v>
      </c>
      <c r="AY207" t="s">
        <v>437</v>
      </c>
      <c r="AZ207">
        <v>0</v>
      </c>
      <c r="BA207">
        <v>0</v>
      </c>
      <c r="BB207">
        <f>1-AZ207/BA207</f>
        <v>0</v>
      </c>
      <c r="BC207">
        <v>0</v>
      </c>
      <c r="BD207" t="s">
        <v>437</v>
      </c>
      <c r="BE207" t="s">
        <v>437</v>
      </c>
      <c r="BF207">
        <v>0</v>
      </c>
      <c r="BG207">
        <v>0</v>
      </c>
      <c r="BH207">
        <f>1-BF207/BG207</f>
        <v>0</v>
      </c>
      <c r="BI207">
        <v>0.5</v>
      </c>
      <c r="BJ207">
        <f>DI207</f>
        <v>0</v>
      </c>
      <c r="BK207">
        <f>L207</f>
        <v>0</v>
      </c>
      <c r="BL207">
        <f>BH207*BI207*BJ207</f>
        <v>0</v>
      </c>
      <c r="BM207">
        <f>(BK207-BC207)/BJ207</f>
        <v>0</v>
      </c>
      <c r="BN207">
        <f>(BA207-BG207)/BG207</f>
        <v>0</v>
      </c>
      <c r="BO207">
        <f>AZ207/(BB207+AZ207/BG207)</f>
        <v>0</v>
      </c>
      <c r="BP207" t="s">
        <v>437</v>
      </c>
      <c r="BQ207">
        <v>0</v>
      </c>
      <c r="BR207">
        <f>IF(BQ207&lt;&gt;0, BQ207, BO207)</f>
        <v>0</v>
      </c>
      <c r="BS207">
        <f>1-BR207/BG207</f>
        <v>0</v>
      </c>
      <c r="BT207">
        <f>(BG207-BF207)/(BG207-BR207)</f>
        <v>0</v>
      </c>
      <c r="BU207">
        <f>(BA207-BG207)/(BA207-BR207)</f>
        <v>0</v>
      </c>
      <c r="BV207">
        <f>(BG207-BF207)/(BG207-AZ207)</f>
        <v>0</v>
      </c>
      <c r="BW207">
        <f>(BA207-BG207)/(BA207-AZ207)</f>
        <v>0</v>
      </c>
      <c r="BX207">
        <f>(BT207*BR207/BF207)</f>
        <v>0</v>
      </c>
      <c r="BY207">
        <f>(1-BX207)</f>
        <v>0</v>
      </c>
      <c r="BZ207">
        <v>282</v>
      </c>
      <c r="CA207">
        <v>290</v>
      </c>
      <c r="CB207">
        <v>1577.74</v>
      </c>
      <c r="CC207">
        <v>295</v>
      </c>
      <c r="CD207">
        <v>5140.93</v>
      </c>
      <c r="CE207">
        <v>1578.58</v>
      </c>
      <c r="CF207">
        <v>-0.84</v>
      </c>
      <c r="CG207">
        <v>300</v>
      </c>
      <c r="CH207">
        <v>23.8</v>
      </c>
      <c r="CI207">
        <v>1633.28263291266</v>
      </c>
      <c r="CJ207">
        <v>1.49577129053257</v>
      </c>
      <c r="CK207">
        <v>-28.1203876934379</v>
      </c>
      <c r="CL207">
        <v>0.666413418688897</v>
      </c>
      <c r="CM207">
        <v>0.984518017981194</v>
      </c>
      <c r="CN207">
        <v>-0.00424727541713014</v>
      </c>
      <c r="CO207">
        <v>290</v>
      </c>
      <c r="CP207">
        <v>1576.56</v>
      </c>
      <c r="CQ207">
        <v>775</v>
      </c>
      <c r="CR207">
        <v>5139.5</v>
      </c>
      <c r="CS207">
        <v>1578.57</v>
      </c>
      <c r="CT207">
        <v>-2.01</v>
      </c>
      <c r="DH207">
        <f>$B$11*EG207+$C$11*EH207+$F$11*ES207*(1-EV207)</f>
        <v>0</v>
      </c>
      <c r="DI207">
        <f>DH207*DJ207</f>
        <v>0</v>
      </c>
      <c r="DJ207">
        <f>($B$11*$D$9+$C$11*$D$9+$F$11*((FF207+EX207)/MAX(FF207+EX207+FG207, 0.1)*$I$9+FG207/MAX(FF207+EX207+FG207, 0.1)*$J$9))/($B$11+$C$11+$F$11)</f>
        <v>0</v>
      </c>
      <c r="DK207">
        <f>($B$11*$K$9+$C$11*$K$9+$F$11*((FF207+EX207)/MAX(FF207+EX207+FG207, 0.1)*$P$9+FG207/MAX(FF207+EX207+FG207, 0.1)*$Q$9))/($B$11+$C$11+$F$11)</f>
        <v>0</v>
      </c>
      <c r="DL207">
        <v>6</v>
      </c>
      <c r="DM207">
        <v>0.5</v>
      </c>
      <c r="DN207" t="s">
        <v>438</v>
      </c>
      <c r="DO207">
        <v>2</v>
      </c>
      <c r="DP207" t="b">
        <v>1</v>
      </c>
      <c r="DQ207">
        <v>1760992285.94615</v>
      </c>
      <c r="DR207">
        <v>1370.23153846154</v>
      </c>
      <c r="DS207">
        <v>1418.25</v>
      </c>
      <c r="DT207">
        <v>11.8794</v>
      </c>
      <c r="DU207">
        <v>9.71625615384615</v>
      </c>
      <c r="DV207">
        <v>1364.06846153846</v>
      </c>
      <c r="DW207">
        <v>11.9897307692308</v>
      </c>
      <c r="DX207">
        <v>499.982384615385</v>
      </c>
      <c r="DY207">
        <v>89.8463692307692</v>
      </c>
      <c r="DZ207">
        <v>0.00856993230769231</v>
      </c>
      <c r="EA207">
        <v>18.3586923076923</v>
      </c>
      <c r="EB207">
        <v>17.997</v>
      </c>
      <c r="EC207">
        <v>999.9</v>
      </c>
      <c r="ED207">
        <v>0</v>
      </c>
      <c r="EE207">
        <v>0</v>
      </c>
      <c r="EF207">
        <v>10011.4284615385</v>
      </c>
      <c r="EG207">
        <v>0</v>
      </c>
      <c r="EH207">
        <v>1278.57769230769</v>
      </c>
      <c r="EI207">
        <v>-48.0176230769231</v>
      </c>
      <c r="EJ207">
        <v>1386.70538461539</v>
      </c>
      <c r="EK207">
        <v>1432.16615384615</v>
      </c>
      <c r="EL207">
        <v>2.16314538461538</v>
      </c>
      <c r="EM207">
        <v>1418.25</v>
      </c>
      <c r="EN207">
        <v>9.71625615384615</v>
      </c>
      <c r="EO207">
        <v>1.06732230769231</v>
      </c>
      <c r="EP207">
        <v>0.872970384615385</v>
      </c>
      <c r="EQ207">
        <v>7.86928153846154</v>
      </c>
      <c r="ER207">
        <v>4.95269461538462</v>
      </c>
      <c r="ES207">
        <v>1199.98769230769</v>
      </c>
      <c r="ET207">
        <v>0.966989538461538</v>
      </c>
      <c r="EU207">
        <v>0.0330101230769231</v>
      </c>
      <c r="EV207">
        <v>0</v>
      </c>
      <c r="EW207">
        <v>1294.46923076923</v>
      </c>
      <c r="EX207">
        <v>5.00059</v>
      </c>
      <c r="EY207">
        <v>15227.5769230769</v>
      </c>
      <c r="EZ207">
        <v>10358.5692307692</v>
      </c>
      <c r="FA207">
        <v>36.5382307692308</v>
      </c>
      <c r="FB207">
        <v>38.1921538461538</v>
      </c>
      <c r="FC207">
        <v>36.9708461538462</v>
      </c>
      <c r="FD207">
        <v>37.418</v>
      </c>
      <c r="FE207">
        <v>37.4564615384615</v>
      </c>
      <c r="FF207">
        <v>1155.54</v>
      </c>
      <c r="FG207">
        <v>39.4476923076923</v>
      </c>
      <c r="FH207">
        <v>0</v>
      </c>
      <c r="FI207">
        <v>1149.80000019073</v>
      </c>
      <c r="FJ207">
        <v>0</v>
      </c>
      <c r="FK207">
        <v>1294.42153846154</v>
      </c>
      <c r="FL207">
        <v>-5.41196580828561</v>
      </c>
      <c r="FM207">
        <v>-89.1658118898414</v>
      </c>
      <c r="FN207">
        <v>15227.1576923077</v>
      </c>
      <c r="FO207">
        <v>15</v>
      </c>
      <c r="FP207">
        <v>0</v>
      </c>
      <c r="FQ207" t="s">
        <v>439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-48.325319047619</v>
      </c>
      <c r="GD207">
        <v>6.99640519480523</v>
      </c>
      <c r="GE207">
        <v>1.07953298483718</v>
      </c>
      <c r="GF207">
        <v>0</v>
      </c>
      <c r="GG207">
        <v>1294.69117647059</v>
      </c>
      <c r="GH207">
        <v>-5.32895339793675</v>
      </c>
      <c r="GI207">
        <v>0.54826337974007</v>
      </c>
      <c r="GJ207">
        <v>-1</v>
      </c>
      <c r="GK207">
        <v>2.16205380952381</v>
      </c>
      <c r="GL207">
        <v>0.019449350649346</v>
      </c>
      <c r="GM207">
        <v>0.00207167168797729</v>
      </c>
      <c r="GN207">
        <v>1</v>
      </c>
      <c r="GO207">
        <v>1</v>
      </c>
      <c r="GP207">
        <v>2</v>
      </c>
      <c r="GQ207" t="s">
        <v>446</v>
      </c>
      <c r="GR207">
        <v>3.13078</v>
      </c>
      <c r="GS207">
        <v>2.68662</v>
      </c>
      <c r="GT207">
        <v>0.203653</v>
      </c>
      <c r="GU207">
        <v>0.208152</v>
      </c>
      <c r="GV207">
        <v>0.0619463</v>
      </c>
      <c r="GW207">
        <v>0.0529143</v>
      </c>
      <c r="GX207">
        <v>30181.4</v>
      </c>
      <c r="GY207">
        <v>32248.4</v>
      </c>
      <c r="GZ207">
        <v>34262.4</v>
      </c>
      <c r="HA207">
        <v>36844.8</v>
      </c>
      <c r="HB207">
        <v>45347.9</v>
      </c>
      <c r="HC207">
        <v>50050.8</v>
      </c>
      <c r="HD207">
        <v>53335.8</v>
      </c>
      <c r="HE207">
        <v>58771.2</v>
      </c>
      <c r="HF207">
        <v>2.00795</v>
      </c>
      <c r="HG207">
        <v>1.83845</v>
      </c>
      <c r="HH207">
        <v>0.00856072</v>
      </c>
      <c r="HI207">
        <v>0</v>
      </c>
      <c r="HJ207">
        <v>17.8512</v>
      </c>
      <c r="HK207">
        <v>999.9</v>
      </c>
      <c r="HL207">
        <v>26.511</v>
      </c>
      <c r="HM207">
        <v>30.424</v>
      </c>
      <c r="HN207">
        <v>12.8811</v>
      </c>
      <c r="HO207">
        <v>53.7528</v>
      </c>
      <c r="HP207">
        <v>44.0224</v>
      </c>
      <c r="HQ207">
        <v>1</v>
      </c>
      <c r="HR207">
        <v>-0.26046</v>
      </c>
      <c r="HS207">
        <v>4.69095</v>
      </c>
      <c r="HT207">
        <v>20.0743</v>
      </c>
      <c r="HU207">
        <v>5.19947</v>
      </c>
      <c r="HV207">
        <v>12.004</v>
      </c>
      <c r="HW207">
        <v>4.9754</v>
      </c>
      <c r="HX207">
        <v>3.29298</v>
      </c>
      <c r="HY207">
        <v>9999</v>
      </c>
      <c r="HZ207">
        <v>999.9</v>
      </c>
      <c r="IA207">
        <v>9999</v>
      </c>
      <c r="IB207">
        <v>9999</v>
      </c>
      <c r="IC207">
        <v>1.86324</v>
      </c>
      <c r="ID207">
        <v>1.86805</v>
      </c>
      <c r="IE207">
        <v>1.86783</v>
      </c>
      <c r="IF207">
        <v>1.86905</v>
      </c>
      <c r="IG207">
        <v>1.86981</v>
      </c>
      <c r="IH207">
        <v>1.86586</v>
      </c>
      <c r="II207">
        <v>1.86691</v>
      </c>
      <c r="IJ207">
        <v>1.86838</v>
      </c>
      <c r="IK207">
        <v>5</v>
      </c>
      <c r="IL207">
        <v>0</v>
      </c>
      <c r="IM207">
        <v>0</v>
      </c>
      <c r="IN207">
        <v>0</v>
      </c>
      <c r="IO207" t="s">
        <v>441</v>
      </c>
      <c r="IP207" t="s">
        <v>442</v>
      </c>
      <c r="IQ207" t="s">
        <v>443</v>
      </c>
      <c r="IR207" t="s">
        <v>443</v>
      </c>
      <c r="IS207" t="s">
        <v>443</v>
      </c>
      <c r="IT207" t="s">
        <v>443</v>
      </c>
      <c r="IU207">
        <v>0</v>
      </c>
      <c r="IV207">
        <v>100</v>
      </c>
      <c r="IW207">
        <v>100</v>
      </c>
      <c r="IX207">
        <v>6.25</v>
      </c>
      <c r="IY207">
        <v>-0.1103</v>
      </c>
      <c r="IZ207">
        <v>1.12474291219083</v>
      </c>
      <c r="JA207">
        <v>0.00463155566490582</v>
      </c>
      <c r="JB207">
        <v>-1.1358998729424e-06</v>
      </c>
      <c r="JC207">
        <v>3.28704272115545e-10</v>
      </c>
      <c r="JD207">
        <v>-0.0704455108513773</v>
      </c>
      <c r="JE207">
        <v>-0.0251928478371425</v>
      </c>
      <c r="JF207">
        <v>0.00225751704194564</v>
      </c>
      <c r="JG207">
        <v>-3.61734043746866e-05</v>
      </c>
      <c r="JH207">
        <v>1</v>
      </c>
      <c r="JI207">
        <v>2182</v>
      </c>
      <c r="JJ207">
        <v>0</v>
      </c>
      <c r="JK207">
        <v>24</v>
      </c>
      <c r="JL207">
        <v>29349871.6</v>
      </c>
      <c r="JM207">
        <v>29349871.6</v>
      </c>
      <c r="JN207">
        <v>2.73926</v>
      </c>
      <c r="JO207">
        <v>2.60254</v>
      </c>
      <c r="JP207">
        <v>1.54785</v>
      </c>
      <c r="JQ207">
        <v>2.31445</v>
      </c>
      <c r="JR207">
        <v>1.64551</v>
      </c>
      <c r="JS207">
        <v>2.34985</v>
      </c>
      <c r="JT207">
        <v>33.6029</v>
      </c>
      <c r="JU207">
        <v>24.1838</v>
      </c>
      <c r="JV207">
        <v>18</v>
      </c>
      <c r="JW207">
        <v>500.844</v>
      </c>
      <c r="JX207">
        <v>395.357</v>
      </c>
      <c r="JY207">
        <v>11.5535</v>
      </c>
      <c r="JZ207">
        <v>24.0036</v>
      </c>
      <c r="KA207">
        <v>30</v>
      </c>
      <c r="KB207">
        <v>23.9948</v>
      </c>
      <c r="KC207">
        <v>23.9626</v>
      </c>
      <c r="KD207">
        <v>54.8642</v>
      </c>
      <c r="KE207">
        <v>7.32529</v>
      </c>
      <c r="KF207">
        <v>26.5359</v>
      </c>
      <c r="KG207">
        <v>11.5538</v>
      </c>
      <c r="KH207">
        <v>1464.36</v>
      </c>
      <c r="KI207">
        <v>9.70552</v>
      </c>
      <c r="KJ207">
        <v>97.0338</v>
      </c>
      <c r="KK207">
        <v>95.2939</v>
      </c>
    </row>
    <row r="208" spans="1:297">
      <c r="A208">
        <v>192</v>
      </c>
      <c r="B208">
        <v>1760992299.1</v>
      </c>
      <c r="C208">
        <v>3109</v>
      </c>
      <c r="D208" t="s">
        <v>837</v>
      </c>
      <c r="E208" t="s">
        <v>838</v>
      </c>
      <c r="F208">
        <v>5</v>
      </c>
      <c r="G208" t="s">
        <v>662</v>
      </c>
      <c r="H208" t="s">
        <v>436</v>
      </c>
      <c r="I208">
        <v>1760992290.94615</v>
      </c>
      <c r="J208">
        <f>(K208)/1000</f>
        <v>0</v>
      </c>
      <c r="K208">
        <f>IF(DP208, AN208, AH208)</f>
        <v>0</v>
      </c>
      <c r="L208">
        <f>IF(DP208, AI208, AG208)</f>
        <v>0</v>
      </c>
      <c r="M208">
        <f>DR208 - IF(AU208&gt;1, L208*DL208*100.0/(AW208), 0)</f>
        <v>0</v>
      </c>
      <c r="N208">
        <f>((T208-J208/2)*M208-L208)/(T208+J208/2)</f>
        <v>0</v>
      </c>
      <c r="O208">
        <f>N208*(DY208+DZ208)/1000.0</f>
        <v>0</v>
      </c>
      <c r="P208">
        <f>(DR208 - IF(AU208&gt;1, L208*DL208*100.0/(AW208), 0))*(DY208+DZ208)/1000.0</f>
        <v>0</v>
      </c>
      <c r="Q208">
        <f>2.0/((1/S208-1/R208)+SIGN(S208)*SQRT((1/S208-1/R208)*(1/S208-1/R208) + 4*DM208/((DM208+1)*(DM208+1))*(2*1/S208*1/R208-1/R208*1/R208)))</f>
        <v>0</v>
      </c>
      <c r="R208">
        <f>IF(LEFT(DN208,1)&lt;&gt;"0",IF(LEFT(DN208,1)="1",3.0,DO208),$D$5+$E$5*(EF208*DY208/($K$5*1000))+$F$5*(EF208*DY208/($K$5*1000))*MAX(MIN(DL208,$J$5),$I$5)*MAX(MIN(DL208,$J$5),$I$5)+$G$5*MAX(MIN(DL208,$J$5),$I$5)*(EF208*DY208/($K$5*1000))+$H$5*(EF208*DY208/($K$5*1000))*(EF208*DY208/($K$5*1000)))</f>
        <v>0</v>
      </c>
      <c r="S208">
        <f>J208*(1000-(1000*0.61365*exp(17.502*W208/(240.97+W208))/(DY208+DZ208)+DT208)/2)/(1000*0.61365*exp(17.502*W208/(240.97+W208))/(DY208+DZ208)-DT208)</f>
        <v>0</v>
      </c>
      <c r="T208">
        <f>1/((DM208+1)/(Q208/1.6)+1/(R208/1.37)) + DM208/((DM208+1)/(Q208/1.6) + DM208/(R208/1.37))</f>
        <v>0</v>
      </c>
      <c r="U208">
        <f>(DH208*DK208)</f>
        <v>0</v>
      </c>
      <c r="V208">
        <f>(EA208+(U208+2*0.95*5.67E-8*(((EA208+$B$7)+273)^4-(EA208+273)^4)-44100*J208)/(1.84*29.3*R208+8*0.95*5.67E-8*(EA208+273)^3))</f>
        <v>0</v>
      </c>
      <c r="W208">
        <f>($C$7*EB208+$D$7*EC208+$E$7*V208)</f>
        <v>0</v>
      </c>
      <c r="X208">
        <f>0.61365*exp(17.502*W208/(240.97+W208))</f>
        <v>0</v>
      </c>
      <c r="Y208">
        <f>(Z208/AA208*100)</f>
        <v>0</v>
      </c>
      <c r="Z208">
        <f>DT208*(DY208+DZ208)/1000</f>
        <v>0</v>
      </c>
      <c r="AA208">
        <f>0.61365*exp(17.502*EA208/(240.97+EA208))</f>
        <v>0</v>
      </c>
      <c r="AB208">
        <f>(X208-DT208*(DY208+DZ208)/1000)</f>
        <v>0</v>
      </c>
      <c r="AC208">
        <f>(-J208*44100)</f>
        <v>0</v>
      </c>
      <c r="AD208">
        <f>2*29.3*R208*0.92*(EA208-W208)</f>
        <v>0</v>
      </c>
      <c r="AE208">
        <f>2*0.95*5.67E-8*(((EA208+$B$7)+273)^4-(W208+273)^4)</f>
        <v>0</v>
      </c>
      <c r="AF208">
        <f>U208+AE208+AC208+AD208</f>
        <v>0</v>
      </c>
      <c r="AG208">
        <f>DX208*AU208*(DS208-DR208*(1000-AU208*DU208)/(1000-AU208*DT208))/(100*DL208)</f>
        <v>0</v>
      </c>
      <c r="AH208">
        <f>1000*DX208*AU208*(DT208-DU208)/(100*DL208*(1000-AU208*DT208))</f>
        <v>0</v>
      </c>
      <c r="AI208">
        <f>(AJ208 - AK208 - DY208*1E3/(8.314*(EA208+273.15)) * AM208/DX208 * AL208) * DX208/(100*DL208) * (1000 - DU208)/1000</f>
        <v>0</v>
      </c>
      <c r="AJ208">
        <v>1463.40248740407</v>
      </c>
      <c r="AK208">
        <v>1426.6823030303</v>
      </c>
      <c r="AL208">
        <v>3.24564042821998</v>
      </c>
      <c r="AM208">
        <v>65.2210784119795</v>
      </c>
      <c r="AN208">
        <f>(AP208 - AO208 + DY208*1E3/(8.314*(EA208+273.15)) * AR208/DX208 * AQ208) * DX208/(100*DL208) * 1000/(1000 - AP208)</f>
        <v>0</v>
      </c>
      <c r="AO208">
        <v>9.71306591949383</v>
      </c>
      <c r="AP208">
        <v>11.8776357575758</v>
      </c>
      <c r="AQ208">
        <v>-3.30214365969655e-06</v>
      </c>
      <c r="AR208">
        <v>115.574510355221</v>
      </c>
      <c r="AS208">
        <v>0</v>
      </c>
      <c r="AT208">
        <v>0</v>
      </c>
      <c r="AU208">
        <f>IF(AS208*$H$13&gt;=AW208,1.0,(AW208/(AW208-AS208*$H$13)))</f>
        <v>0</v>
      </c>
      <c r="AV208">
        <f>(AU208-1)*100</f>
        <v>0</v>
      </c>
      <c r="AW208">
        <f>MAX(0,($B$13+$C$13*EF208)/(1+$D$13*EF208)*DY208/(EA208+273)*$E$13)</f>
        <v>0</v>
      </c>
      <c r="AX208" t="s">
        <v>437</v>
      </c>
      <c r="AY208" t="s">
        <v>437</v>
      </c>
      <c r="AZ208">
        <v>0</v>
      </c>
      <c r="BA208">
        <v>0</v>
      </c>
      <c r="BB208">
        <f>1-AZ208/BA208</f>
        <v>0</v>
      </c>
      <c r="BC208">
        <v>0</v>
      </c>
      <c r="BD208" t="s">
        <v>437</v>
      </c>
      <c r="BE208" t="s">
        <v>437</v>
      </c>
      <c r="BF208">
        <v>0</v>
      </c>
      <c r="BG208">
        <v>0</v>
      </c>
      <c r="BH208">
        <f>1-BF208/BG208</f>
        <v>0</v>
      </c>
      <c r="BI208">
        <v>0.5</v>
      </c>
      <c r="BJ208">
        <f>DI208</f>
        <v>0</v>
      </c>
      <c r="BK208">
        <f>L208</f>
        <v>0</v>
      </c>
      <c r="BL208">
        <f>BH208*BI208*BJ208</f>
        <v>0</v>
      </c>
      <c r="BM208">
        <f>(BK208-BC208)/BJ208</f>
        <v>0</v>
      </c>
      <c r="BN208">
        <f>(BA208-BG208)/BG208</f>
        <v>0</v>
      </c>
      <c r="BO208">
        <f>AZ208/(BB208+AZ208/BG208)</f>
        <v>0</v>
      </c>
      <c r="BP208" t="s">
        <v>437</v>
      </c>
      <c r="BQ208">
        <v>0</v>
      </c>
      <c r="BR208">
        <f>IF(BQ208&lt;&gt;0, BQ208, BO208)</f>
        <v>0</v>
      </c>
      <c r="BS208">
        <f>1-BR208/BG208</f>
        <v>0</v>
      </c>
      <c r="BT208">
        <f>(BG208-BF208)/(BG208-BR208)</f>
        <v>0</v>
      </c>
      <c r="BU208">
        <f>(BA208-BG208)/(BA208-BR208)</f>
        <v>0</v>
      </c>
      <c r="BV208">
        <f>(BG208-BF208)/(BG208-AZ208)</f>
        <v>0</v>
      </c>
      <c r="BW208">
        <f>(BA208-BG208)/(BA208-AZ208)</f>
        <v>0</v>
      </c>
      <c r="BX208">
        <f>(BT208*BR208/BF208)</f>
        <v>0</v>
      </c>
      <c r="BY208">
        <f>(1-BX208)</f>
        <v>0</v>
      </c>
      <c r="BZ208">
        <v>282</v>
      </c>
      <c r="CA208">
        <v>290</v>
      </c>
      <c r="CB208">
        <v>1577.74</v>
      </c>
      <c r="CC208">
        <v>295</v>
      </c>
      <c r="CD208">
        <v>5140.93</v>
      </c>
      <c r="CE208">
        <v>1578.58</v>
      </c>
      <c r="CF208">
        <v>-0.84</v>
      </c>
      <c r="CG208">
        <v>300</v>
      </c>
      <c r="CH208">
        <v>23.8</v>
      </c>
      <c r="CI208">
        <v>1633.28263291266</v>
      </c>
      <c r="CJ208">
        <v>1.49577129053257</v>
      </c>
      <c r="CK208">
        <v>-28.1203876934379</v>
      </c>
      <c r="CL208">
        <v>0.666413418688897</v>
      </c>
      <c r="CM208">
        <v>0.984518017981194</v>
      </c>
      <c r="CN208">
        <v>-0.00424727541713014</v>
      </c>
      <c r="CO208">
        <v>290</v>
      </c>
      <c r="CP208">
        <v>1576.56</v>
      </c>
      <c r="CQ208">
        <v>775</v>
      </c>
      <c r="CR208">
        <v>5139.5</v>
      </c>
      <c r="CS208">
        <v>1578.57</v>
      </c>
      <c r="CT208">
        <v>-2.01</v>
      </c>
      <c r="DH208">
        <f>$B$11*EG208+$C$11*EH208+$F$11*ES208*(1-EV208)</f>
        <v>0</v>
      </c>
      <c r="DI208">
        <f>DH208*DJ208</f>
        <v>0</v>
      </c>
      <c r="DJ208">
        <f>($B$11*$D$9+$C$11*$D$9+$F$11*((FF208+EX208)/MAX(FF208+EX208+FG208, 0.1)*$I$9+FG208/MAX(FF208+EX208+FG208, 0.1)*$J$9))/($B$11+$C$11+$F$11)</f>
        <v>0</v>
      </c>
      <c r="DK208">
        <f>($B$11*$K$9+$C$11*$K$9+$F$11*((FF208+EX208)/MAX(FF208+EX208+FG208, 0.1)*$P$9+FG208/MAX(FF208+EX208+FG208, 0.1)*$Q$9))/($B$11+$C$11+$F$11)</f>
        <v>0</v>
      </c>
      <c r="DL208">
        <v>6</v>
      </c>
      <c r="DM208">
        <v>0.5</v>
      </c>
      <c r="DN208" t="s">
        <v>438</v>
      </c>
      <c r="DO208">
        <v>2</v>
      </c>
      <c r="DP208" t="b">
        <v>1</v>
      </c>
      <c r="DQ208">
        <v>1760992290.94615</v>
      </c>
      <c r="DR208">
        <v>1386.74769230769</v>
      </c>
      <c r="DS208">
        <v>1434.77538461538</v>
      </c>
      <c r="DT208">
        <v>11.8789538461538</v>
      </c>
      <c r="DU208">
        <v>9.71488923076923</v>
      </c>
      <c r="DV208">
        <v>1380.52846153846</v>
      </c>
      <c r="DW208">
        <v>11.9892769230769</v>
      </c>
      <c r="DX208">
        <v>499.996615384615</v>
      </c>
      <c r="DY208">
        <v>89.8467</v>
      </c>
      <c r="DZ208">
        <v>0.00851177461538462</v>
      </c>
      <c r="EA208">
        <v>18.3563846153846</v>
      </c>
      <c r="EB208">
        <v>17.9938615384615</v>
      </c>
      <c r="EC208">
        <v>999.9</v>
      </c>
      <c r="ED208">
        <v>0</v>
      </c>
      <c r="EE208">
        <v>0</v>
      </c>
      <c r="EF208">
        <v>10013.3038461538</v>
      </c>
      <c r="EG208">
        <v>0</v>
      </c>
      <c r="EH208">
        <v>1278.56923076923</v>
      </c>
      <c r="EI208">
        <v>-48.0282384615385</v>
      </c>
      <c r="EJ208">
        <v>1403.41846153846</v>
      </c>
      <c r="EK208">
        <v>1448.85230769231</v>
      </c>
      <c r="EL208">
        <v>2.16405615384615</v>
      </c>
      <c r="EM208">
        <v>1434.77538461538</v>
      </c>
      <c r="EN208">
        <v>9.71488923076923</v>
      </c>
      <c r="EO208">
        <v>1.06728538461538</v>
      </c>
      <c r="EP208">
        <v>0.872850769230769</v>
      </c>
      <c r="EQ208">
        <v>7.86877384615385</v>
      </c>
      <c r="ER208">
        <v>4.95073076923077</v>
      </c>
      <c r="ES208">
        <v>1200.00692307692</v>
      </c>
      <c r="ET208">
        <v>0.966989538461538</v>
      </c>
      <c r="EU208">
        <v>0.0330101230769231</v>
      </c>
      <c r="EV208">
        <v>0</v>
      </c>
      <c r="EW208">
        <v>1293.96</v>
      </c>
      <c r="EX208">
        <v>5.00059</v>
      </c>
      <c r="EY208">
        <v>15220.3230769231</v>
      </c>
      <c r="EZ208">
        <v>10358.7307692308</v>
      </c>
      <c r="FA208">
        <v>36.4949230769231</v>
      </c>
      <c r="FB208">
        <v>38.1488461538462</v>
      </c>
      <c r="FC208">
        <v>36.9276153846154</v>
      </c>
      <c r="FD208">
        <v>37.3843846153846</v>
      </c>
      <c r="FE208">
        <v>37.418</v>
      </c>
      <c r="FF208">
        <v>1155.55923076923</v>
      </c>
      <c r="FG208">
        <v>39.4476923076923</v>
      </c>
      <c r="FH208">
        <v>0</v>
      </c>
      <c r="FI208">
        <v>1154.60000014305</v>
      </c>
      <c r="FJ208">
        <v>0</v>
      </c>
      <c r="FK208">
        <v>1293.94653846154</v>
      </c>
      <c r="FL208">
        <v>-6.31145297789095</v>
      </c>
      <c r="FM208">
        <v>-94.082051327998</v>
      </c>
      <c r="FN208">
        <v>15219.8269230769</v>
      </c>
      <c r="FO208">
        <v>15</v>
      </c>
      <c r="FP208">
        <v>0</v>
      </c>
      <c r="FQ208" t="s">
        <v>439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-48.037825</v>
      </c>
      <c r="GD208">
        <v>3.94997142857141</v>
      </c>
      <c r="GE208">
        <v>1.16081966897318</v>
      </c>
      <c r="GF208">
        <v>0</v>
      </c>
      <c r="GG208">
        <v>1294.21852941176</v>
      </c>
      <c r="GH208">
        <v>-5.90572956100398</v>
      </c>
      <c r="GI208">
        <v>0.607701224736901</v>
      </c>
      <c r="GJ208">
        <v>-1</v>
      </c>
      <c r="GK208">
        <v>2.163574</v>
      </c>
      <c r="GL208">
        <v>0.0106150375939878</v>
      </c>
      <c r="GM208">
        <v>0.001081348232532</v>
      </c>
      <c r="GN208">
        <v>1</v>
      </c>
      <c r="GO208">
        <v>1</v>
      </c>
      <c r="GP208">
        <v>2</v>
      </c>
      <c r="GQ208" t="s">
        <v>446</v>
      </c>
      <c r="GR208">
        <v>3.13074</v>
      </c>
      <c r="GS208">
        <v>2.68693</v>
      </c>
      <c r="GT208">
        <v>0.205123</v>
      </c>
      <c r="GU208">
        <v>0.209878</v>
      </c>
      <c r="GV208">
        <v>0.0619421</v>
      </c>
      <c r="GW208">
        <v>0.0529131</v>
      </c>
      <c r="GX208">
        <v>30126</v>
      </c>
      <c r="GY208">
        <v>32178.4</v>
      </c>
      <c r="GZ208">
        <v>34262.6</v>
      </c>
      <c r="HA208">
        <v>36844.8</v>
      </c>
      <c r="HB208">
        <v>45348.8</v>
      </c>
      <c r="HC208">
        <v>50051.2</v>
      </c>
      <c r="HD208">
        <v>53336.4</v>
      </c>
      <c r="HE208">
        <v>58771.3</v>
      </c>
      <c r="HF208">
        <v>2.0079</v>
      </c>
      <c r="HG208">
        <v>1.83845</v>
      </c>
      <c r="HH208">
        <v>0.0077039</v>
      </c>
      <c r="HI208">
        <v>0</v>
      </c>
      <c r="HJ208">
        <v>17.8509</v>
      </c>
      <c r="HK208">
        <v>999.9</v>
      </c>
      <c r="HL208">
        <v>26.511</v>
      </c>
      <c r="HM208">
        <v>30.424</v>
      </c>
      <c r="HN208">
        <v>12.8803</v>
      </c>
      <c r="HO208">
        <v>53.5228</v>
      </c>
      <c r="HP208">
        <v>44.0545</v>
      </c>
      <c r="HQ208">
        <v>1</v>
      </c>
      <c r="HR208">
        <v>-0.260104</v>
      </c>
      <c r="HS208">
        <v>4.67812</v>
      </c>
      <c r="HT208">
        <v>20.0748</v>
      </c>
      <c r="HU208">
        <v>5.19917</v>
      </c>
      <c r="HV208">
        <v>12.004</v>
      </c>
      <c r="HW208">
        <v>4.97565</v>
      </c>
      <c r="HX208">
        <v>3.29298</v>
      </c>
      <c r="HY208">
        <v>9999</v>
      </c>
      <c r="HZ208">
        <v>999.9</v>
      </c>
      <c r="IA208">
        <v>9999</v>
      </c>
      <c r="IB208">
        <v>9999</v>
      </c>
      <c r="IC208">
        <v>1.86323</v>
      </c>
      <c r="ID208">
        <v>1.86807</v>
      </c>
      <c r="IE208">
        <v>1.86783</v>
      </c>
      <c r="IF208">
        <v>1.86904</v>
      </c>
      <c r="IG208">
        <v>1.86981</v>
      </c>
      <c r="IH208">
        <v>1.86585</v>
      </c>
      <c r="II208">
        <v>1.86691</v>
      </c>
      <c r="IJ208">
        <v>1.8684</v>
      </c>
      <c r="IK208">
        <v>5</v>
      </c>
      <c r="IL208">
        <v>0</v>
      </c>
      <c r="IM208">
        <v>0</v>
      </c>
      <c r="IN208">
        <v>0</v>
      </c>
      <c r="IO208" t="s">
        <v>441</v>
      </c>
      <c r="IP208" t="s">
        <v>442</v>
      </c>
      <c r="IQ208" t="s">
        <v>443</v>
      </c>
      <c r="IR208" t="s">
        <v>443</v>
      </c>
      <c r="IS208" t="s">
        <v>443</v>
      </c>
      <c r="IT208" t="s">
        <v>443</v>
      </c>
      <c r="IU208">
        <v>0</v>
      </c>
      <c r="IV208">
        <v>100</v>
      </c>
      <c r="IW208">
        <v>100</v>
      </c>
      <c r="IX208">
        <v>6.31</v>
      </c>
      <c r="IY208">
        <v>-0.1104</v>
      </c>
      <c r="IZ208">
        <v>1.12474291219083</v>
      </c>
      <c r="JA208">
        <v>0.00463155566490582</v>
      </c>
      <c r="JB208">
        <v>-1.1358998729424e-06</v>
      </c>
      <c r="JC208">
        <v>3.28704272115545e-10</v>
      </c>
      <c r="JD208">
        <v>-0.0704455108513773</v>
      </c>
      <c r="JE208">
        <v>-0.0251928478371425</v>
      </c>
      <c r="JF208">
        <v>0.00225751704194564</v>
      </c>
      <c r="JG208">
        <v>-3.61734043746866e-05</v>
      </c>
      <c r="JH208">
        <v>1</v>
      </c>
      <c r="JI208">
        <v>2182</v>
      </c>
      <c r="JJ208">
        <v>0</v>
      </c>
      <c r="JK208">
        <v>24</v>
      </c>
      <c r="JL208">
        <v>29349871.7</v>
      </c>
      <c r="JM208">
        <v>29349871.7</v>
      </c>
      <c r="JN208">
        <v>2.76123</v>
      </c>
      <c r="JO208">
        <v>2.60742</v>
      </c>
      <c r="JP208">
        <v>1.54785</v>
      </c>
      <c r="JQ208">
        <v>2.31323</v>
      </c>
      <c r="JR208">
        <v>1.64673</v>
      </c>
      <c r="JS208">
        <v>2.37183</v>
      </c>
      <c r="JT208">
        <v>33.6029</v>
      </c>
      <c r="JU208">
        <v>24.1838</v>
      </c>
      <c r="JV208">
        <v>18</v>
      </c>
      <c r="JW208">
        <v>500.827</v>
      </c>
      <c r="JX208">
        <v>395.364</v>
      </c>
      <c r="JY208">
        <v>11.5547</v>
      </c>
      <c r="JZ208">
        <v>24.0055</v>
      </c>
      <c r="KA208">
        <v>30.0002</v>
      </c>
      <c r="KB208">
        <v>23.9965</v>
      </c>
      <c r="KC208">
        <v>23.9636</v>
      </c>
      <c r="KD208">
        <v>55.2832</v>
      </c>
      <c r="KE208">
        <v>7.32529</v>
      </c>
      <c r="KF208">
        <v>26.5359</v>
      </c>
      <c r="KG208">
        <v>11.5598</v>
      </c>
      <c r="KH208">
        <v>1478.01</v>
      </c>
      <c r="KI208">
        <v>9.6875</v>
      </c>
      <c r="KJ208">
        <v>97.0347</v>
      </c>
      <c r="KK208">
        <v>95.294</v>
      </c>
    </row>
    <row r="209" spans="1:297">
      <c r="A209">
        <v>193</v>
      </c>
      <c r="B209">
        <v>1760992304.1</v>
      </c>
      <c r="C209">
        <v>3114</v>
      </c>
      <c r="D209" t="s">
        <v>839</v>
      </c>
      <c r="E209" t="s">
        <v>840</v>
      </c>
      <c r="F209">
        <v>5</v>
      </c>
      <c r="G209" t="s">
        <v>662</v>
      </c>
      <c r="H209" t="s">
        <v>436</v>
      </c>
      <c r="I209">
        <v>1760992295.94615</v>
      </c>
      <c r="J209">
        <f>(K209)/1000</f>
        <v>0</v>
      </c>
      <c r="K209">
        <f>IF(DP209, AN209, AH209)</f>
        <v>0</v>
      </c>
      <c r="L209">
        <f>IF(DP209, AI209, AG209)</f>
        <v>0</v>
      </c>
      <c r="M209">
        <f>DR209 - IF(AU209&gt;1, L209*DL209*100.0/(AW209), 0)</f>
        <v>0</v>
      </c>
      <c r="N209">
        <f>((T209-J209/2)*M209-L209)/(T209+J209/2)</f>
        <v>0</v>
      </c>
      <c r="O209">
        <f>N209*(DY209+DZ209)/1000.0</f>
        <v>0</v>
      </c>
      <c r="P209">
        <f>(DR209 - IF(AU209&gt;1, L209*DL209*100.0/(AW209), 0))*(DY209+DZ209)/1000.0</f>
        <v>0</v>
      </c>
      <c r="Q209">
        <f>2.0/((1/S209-1/R209)+SIGN(S209)*SQRT((1/S209-1/R209)*(1/S209-1/R209) + 4*DM209/((DM209+1)*(DM209+1))*(2*1/S209*1/R209-1/R209*1/R209)))</f>
        <v>0</v>
      </c>
      <c r="R209">
        <f>IF(LEFT(DN209,1)&lt;&gt;"0",IF(LEFT(DN209,1)="1",3.0,DO209),$D$5+$E$5*(EF209*DY209/($K$5*1000))+$F$5*(EF209*DY209/($K$5*1000))*MAX(MIN(DL209,$J$5),$I$5)*MAX(MIN(DL209,$J$5),$I$5)+$G$5*MAX(MIN(DL209,$J$5),$I$5)*(EF209*DY209/($K$5*1000))+$H$5*(EF209*DY209/($K$5*1000))*(EF209*DY209/($K$5*1000)))</f>
        <v>0</v>
      </c>
      <c r="S209">
        <f>J209*(1000-(1000*0.61365*exp(17.502*W209/(240.97+W209))/(DY209+DZ209)+DT209)/2)/(1000*0.61365*exp(17.502*W209/(240.97+W209))/(DY209+DZ209)-DT209)</f>
        <v>0</v>
      </c>
      <c r="T209">
        <f>1/((DM209+1)/(Q209/1.6)+1/(R209/1.37)) + DM209/((DM209+1)/(Q209/1.6) + DM209/(R209/1.37))</f>
        <v>0</v>
      </c>
      <c r="U209">
        <f>(DH209*DK209)</f>
        <v>0</v>
      </c>
      <c r="V209">
        <f>(EA209+(U209+2*0.95*5.67E-8*(((EA209+$B$7)+273)^4-(EA209+273)^4)-44100*J209)/(1.84*29.3*R209+8*0.95*5.67E-8*(EA209+273)^3))</f>
        <v>0</v>
      </c>
      <c r="W209">
        <f>($C$7*EB209+$D$7*EC209+$E$7*V209)</f>
        <v>0</v>
      </c>
      <c r="X209">
        <f>0.61365*exp(17.502*W209/(240.97+W209))</f>
        <v>0</v>
      </c>
      <c r="Y209">
        <f>(Z209/AA209*100)</f>
        <v>0</v>
      </c>
      <c r="Z209">
        <f>DT209*(DY209+DZ209)/1000</f>
        <v>0</v>
      </c>
      <c r="AA209">
        <f>0.61365*exp(17.502*EA209/(240.97+EA209))</f>
        <v>0</v>
      </c>
      <c r="AB209">
        <f>(X209-DT209*(DY209+DZ209)/1000)</f>
        <v>0</v>
      </c>
      <c r="AC209">
        <f>(-J209*44100)</f>
        <v>0</v>
      </c>
      <c r="AD209">
        <f>2*29.3*R209*0.92*(EA209-W209)</f>
        <v>0</v>
      </c>
      <c r="AE209">
        <f>2*0.95*5.67E-8*(((EA209+$B$7)+273)^4-(W209+273)^4)</f>
        <v>0</v>
      </c>
      <c r="AF209">
        <f>U209+AE209+AC209+AD209</f>
        <v>0</v>
      </c>
      <c r="AG209">
        <f>DX209*AU209*(DS209-DR209*(1000-AU209*DU209)/(1000-AU209*DT209))/(100*DL209)</f>
        <v>0</v>
      </c>
      <c r="AH209">
        <f>1000*DX209*AU209*(DT209-DU209)/(100*DL209*(1000-AU209*DT209))</f>
        <v>0</v>
      </c>
      <c r="AI209">
        <f>(AJ209 - AK209 - DY209*1E3/(8.314*(EA209+273.15)) * AM209/DX209 * AL209) * DX209/(100*DL209) * (1000 - DU209)/1000</f>
        <v>0</v>
      </c>
      <c r="AJ209">
        <v>1482.27675177282</v>
      </c>
      <c r="AK209">
        <v>1444.51266666667</v>
      </c>
      <c r="AL209">
        <v>3.53149347395587</v>
      </c>
      <c r="AM209">
        <v>65.2210784119795</v>
      </c>
      <c r="AN209">
        <f>(AP209 - AO209 + DY209*1E3/(8.314*(EA209+273.15)) * AR209/DX209 * AQ209) * DX209/(100*DL209) * 1000/(1000 - AP209)</f>
        <v>0</v>
      </c>
      <c r="AO209">
        <v>9.71252647349172</v>
      </c>
      <c r="AP209">
        <v>11.877143030303</v>
      </c>
      <c r="AQ209">
        <v>5.41085331182784e-07</v>
      </c>
      <c r="AR209">
        <v>115.574510355221</v>
      </c>
      <c r="AS209">
        <v>0</v>
      </c>
      <c r="AT209">
        <v>0</v>
      </c>
      <c r="AU209">
        <f>IF(AS209*$H$13&gt;=AW209,1.0,(AW209/(AW209-AS209*$H$13)))</f>
        <v>0</v>
      </c>
      <c r="AV209">
        <f>(AU209-1)*100</f>
        <v>0</v>
      </c>
      <c r="AW209">
        <f>MAX(0,($B$13+$C$13*EF209)/(1+$D$13*EF209)*DY209/(EA209+273)*$E$13)</f>
        <v>0</v>
      </c>
      <c r="AX209" t="s">
        <v>437</v>
      </c>
      <c r="AY209" t="s">
        <v>437</v>
      </c>
      <c r="AZ209">
        <v>0</v>
      </c>
      <c r="BA209">
        <v>0</v>
      </c>
      <c r="BB209">
        <f>1-AZ209/BA209</f>
        <v>0</v>
      </c>
      <c r="BC209">
        <v>0</v>
      </c>
      <c r="BD209" t="s">
        <v>437</v>
      </c>
      <c r="BE209" t="s">
        <v>437</v>
      </c>
      <c r="BF209">
        <v>0</v>
      </c>
      <c r="BG209">
        <v>0</v>
      </c>
      <c r="BH209">
        <f>1-BF209/BG209</f>
        <v>0</v>
      </c>
      <c r="BI209">
        <v>0.5</v>
      </c>
      <c r="BJ209">
        <f>DI209</f>
        <v>0</v>
      </c>
      <c r="BK209">
        <f>L209</f>
        <v>0</v>
      </c>
      <c r="BL209">
        <f>BH209*BI209*BJ209</f>
        <v>0</v>
      </c>
      <c r="BM209">
        <f>(BK209-BC209)/BJ209</f>
        <v>0</v>
      </c>
      <c r="BN209">
        <f>(BA209-BG209)/BG209</f>
        <v>0</v>
      </c>
      <c r="BO209">
        <f>AZ209/(BB209+AZ209/BG209)</f>
        <v>0</v>
      </c>
      <c r="BP209" t="s">
        <v>437</v>
      </c>
      <c r="BQ209">
        <v>0</v>
      </c>
      <c r="BR209">
        <f>IF(BQ209&lt;&gt;0, BQ209, BO209)</f>
        <v>0</v>
      </c>
      <c r="BS209">
        <f>1-BR209/BG209</f>
        <v>0</v>
      </c>
      <c r="BT209">
        <f>(BG209-BF209)/(BG209-BR209)</f>
        <v>0</v>
      </c>
      <c r="BU209">
        <f>(BA209-BG209)/(BA209-BR209)</f>
        <v>0</v>
      </c>
      <c r="BV209">
        <f>(BG209-BF209)/(BG209-AZ209)</f>
        <v>0</v>
      </c>
      <c r="BW209">
        <f>(BA209-BG209)/(BA209-AZ209)</f>
        <v>0</v>
      </c>
      <c r="BX209">
        <f>(BT209*BR209/BF209)</f>
        <v>0</v>
      </c>
      <c r="BY209">
        <f>(1-BX209)</f>
        <v>0</v>
      </c>
      <c r="BZ209">
        <v>282</v>
      </c>
      <c r="CA209">
        <v>290</v>
      </c>
      <c r="CB209">
        <v>1577.74</v>
      </c>
      <c r="CC209">
        <v>295</v>
      </c>
      <c r="CD209">
        <v>5140.93</v>
      </c>
      <c r="CE209">
        <v>1578.58</v>
      </c>
      <c r="CF209">
        <v>-0.84</v>
      </c>
      <c r="CG209">
        <v>300</v>
      </c>
      <c r="CH209">
        <v>23.8</v>
      </c>
      <c r="CI209">
        <v>1633.28263291266</v>
      </c>
      <c r="CJ209">
        <v>1.49577129053257</v>
      </c>
      <c r="CK209">
        <v>-28.1203876934379</v>
      </c>
      <c r="CL209">
        <v>0.666413418688897</v>
      </c>
      <c r="CM209">
        <v>0.984518017981194</v>
      </c>
      <c r="CN209">
        <v>-0.00424727541713014</v>
      </c>
      <c r="CO209">
        <v>290</v>
      </c>
      <c r="CP209">
        <v>1576.56</v>
      </c>
      <c r="CQ209">
        <v>775</v>
      </c>
      <c r="CR209">
        <v>5139.5</v>
      </c>
      <c r="CS209">
        <v>1578.57</v>
      </c>
      <c r="CT209">
        <v>-2.01</v>
      </c>
      <c r="DH209">
        <f>$B$11*EG209+$C$11*EH209+$F$11*ES209*(1-EV209)</f>
        <v>0</v>
      </c>
      <c r="DI209">
        <f>DH209*DJ209</f>
        <v>0</v>
      </c>
      <c r="DJ209">
        <f>($B$11*$D$9+$C$11*$D$9+$F$11*((FF209+EX209)/MAX(FF209+EX209+FG209, 0.1)*$I$9+FG209/MAX(FF209+EX209+FG209, 0.1)*$J$9))/($B$11+$C$11+$F$11)</f>
        <v>0</v>
      </c>
      <c r="DK209">
        <f>($B$11*$K$9+$C$11*$K$9+$F$11*((FF209+EX209)/MAX(FF209+EX209+FG209, 0.1)*$P$9+FG209/MAX(FF209+EX209+FG209, 0.1)*$Q$9))/($B$11+$C$11+$F$11)</f>
        <v>0</v>
      </c>
      <c r="DL209">
        <v>6</v>
      </c>
      <c r="DM209">
        <v>0.5</v>
      </c>
      <c r="DN209" t="s">
        <v>438</v>
      </c>
      <c r="DO209">
        <v>2</v>
      </c>
      <c r="DP209" t="b">
        <v>1</v>
      </c>
      <c r="DQ209">
        <v>1760992295.94615</v>
      </c>
      <c r="DR209">
        <v>1403.3</v>
      </c>
      <c r="DS209">
        <v>1451.02846153846</v>
      </c>
      <c r="DT209">
        <v>11.8781076923077</v>
      </c>
      <c r="DU209">
        <v>9.71371461538462</v>
      </c>
      <c r="DV209">
        <v>1397.02692307692</v>
      </c>
      <c r="DW209">
        <v>11.9884384615385</v>
      </c>
      <c r="DX209">
        <v>500.012692307692</v>
      </c>
      <c r="DY209">
        <v>89.8463153846154</v>
      </c>
      <c r="DZ209">
        <v>0.00852517384615385</v>
      </c>
      <c r="EA209">
        <v>18.3532153846154</v>
      </c>
      <c r="EB209">
        <v>17.9893769230769</v>
      </c>
      <c r="EC209">
        <v>999.9</v>
      </c>
      <c r="ED209">
        <v>0</v>
      </c>
      <c r="EE209">
        <v>0</v>
      </c>
      <c r="EF209">
        <v>10019.0169230769</v>
      </c>
      <c r="EG209">
        <v>0</v>
      </c>
      <c r="EH209">
        <v>1278.56615384615</v>
      </c>
      <c r="EI209">
        <v>-47.7279</v>
      </c>
      <c r="EJ209">
        <v>1420.17076923077</v>
      </c>
      <c r="EK209">
        <v>1465.26307692308</v>
      </c>
      <c r="EL209">
        <v>2.16438615384615</v>
      </c>
      <c r="EM209">
        <v>1451.02846153846</v>
      </c>
      <c r="EN209">
        <v>9.71371461538462</v>
      </c>
      <c r="EO209">
        <v>1.06720461538462</v>
      </c>
      <c r="EP209">
        <v>0.872741461538461</v>
      </c>
      <c r="EQ209">
        <v>7.86766538461538</v>
      </c>
      <c r="ER209">
        <v>4.94893461538461</v>
      </c>
      <c r="ES209">
        <v>1200.02461538462</v>
      </c>
      <c r="ET209">
        <v>0.966989538461538</v>
      </c>
      <c r="EU209">
        <v>0.0330101076923077</v>
      </c>
      <c r="EV209">
        <v>0</v>
      </c>
      <c r="EW209">
        <v>1293.37384615385</v>
      </c>
      <c r="EX209">
        <v>5.00059</v>
      </c>
      <c r="EY209">
        <v>15212.3846153846</v>
      </c>
      <c r="EZ209">
        <v>10358.9</v>
      </c>
      <c r="FA209">
        <v>36.4469230769231</v>
      </c>
      <c r="FB209">
        <v>38.1055384615385</v>
      </c>
      <c r="FC209">
        <v>36.8891538461538</v>
      </c>
      <c r="FD209">
        <v>37.3363846153846</v>
      </c>
      <c r="FE209">
        <v>37.3746923076923</v>
      </c>
      <c r="FF209">
        <v>1155.57692307692</v>
      </c>
      <c r="FG209">
        <v>39.4476923076923</v>
      </c>
      <c r="FH209">
        <v>0</v>
      </c>
      <c r="FI209">
        <v>1160</v>
      </c>
      <c r="FJ209">
        <v>0</v>
      </c>
      <c r="FK209">
        <v>1293.2828</v>
      </c>
      <c r="FL209">
        <v>-7.67153846023232</v>
      </c>
      <c r="FM209">
        <v>-103.27692324775</v>
      </c>
      <c r="FN209">
        <v>15210.2</v>
      </c>
      <c r="FO209">
        <v>15</v>
      </c>
      <c r="FP209">
        <v>0</v>
      </c>
      <c r="FQ209" t="s">
        <v>439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-48.1061380952381</v>
      </c>
      <c r="GD209">
        <v>1.89056103896097</v>
      </c>
      <c r="GE209">
        <v>1.18993734107793</v>
      </c>
      <c r="GF209">
        <v>0</v>
      </c>
      <c r="GG209">
        <v>1293.72470588235</v>
      </c>
      <c r="GH209">
        <v>-6.75874712309869</v>
      </c>
      <c r="GI209">
        <v>0.68480669360955</v>
      </c>
      <c r="GJ209">
        <v>-1</v>
      </c>
      <c r="GK209">
        <v>2.16404904761905</v>
      </c>
      <c r="GL209">
        <v>0.00496597402597613</v>
      </c>
      <c r="GM209">
        <v>0.00071039831055343</v>
      </c>
      <c r="GN209">
        <v>1</v>
      </c>
      <c r="GO209">
        <v>1</v>
      </c>
      <c r="GP209">
        <v>2</v>
      </c>
      <c r="GQ209" t="s">
        <v>446</v>
      </c>
      <c r="GR209">
        <v>3.13076</v>
      </c>
      <c r="GS209">
        <v>2.687</v>
      </c>
      <c r="GT209">
        <v>0.206622</v>
      </c>
      <c r="GU209">
        <v>0.211185</v>
      </c>
      <c r="GV209">
        <v>0.0619424</v>
      </c>
      <c r="GW209">
        <v>0.0529065</v>
      </c>
      <c r="GX209">
        <v>30069.3</v>
      </c>
      <c r="GY209">
        <v>32125.2</v>
      </c>
      <c r="GZ209">
        <v>34262.6</v>
      </c>
      <c r="HA209">
        <v>36844.8</v>
      </c>
      <c r="HB209">
        <v>45349.1</v>
      </c>
      <c r="HC209">
        <v>50051.7</v>
      </c>
      <c r="HD209">
        <v>53336.6</v>
      </c>
      <c r="HE209">
        <v>58771.2</v>
      </c>
      <c r="HF209">
        <v>2.00805</v>
      </c>
      <c r="HG209">
        <v>1.8384</v>
      </c>
      <c r="HH209">
        <v>0.00814721</v>
      </c>
      <c r="HI209">
        <v>0</v>
      </c>
      <c r="HJ209">
        <v>17.8509</v>
      </c>
      <c r="HK209">
        <v>999.9</v>
      </c>
      <c r="HL209">
        <v>26.511</v>
      </c>
      <c r="HM209">
        <v>30.424</v>
      </c>
      <c r="HN209">
        <v>12.8801</v>
      </c>
      <c r="HO209">
        <v>54.4328</v>
      </c>
      <c r="HP209">
        <v>44.0345</v>
      </c>
      <c r="HQ209">
        <v>1</v>
      </c>
      <c r="HR209">
        <v>-0.260272</v>
      </c>
      <c r="HS209">
        <v>4.64411</v>
      </c>
      <c r="HT209">
        <v>20.0758</v>
      </c>
      <c r="HU209">
        <v>5.19917</v>
      </c>
      <c r="HV209">
        <v>12.004</v>
      </c>
      <c r="HW209">
        <v>4.9756</v>
      </c>
      <c r="HX209">
        <v>3.29303</v>
      </c>
      <c r="HY209">
        <v>9999</v>
      </c>
      <c r="HZ209">
        <v>999.9</v>
      </c>
      <c r="IA209">
        <v>9999</v>
      </c>
      <c r="IB209">
        <v>9999</v>
      </c>
      <c r="IC209">
        <v>1.86324</v>
      </c>
      <c r="ID209">
        <v>1.86803</v>
      </c>
      <c r="IE209">
        <v>1.86783</v>
      </c>
      <c r="IF209">
        <v>1.86904</v>
      </c>
      <c r="IG209">
        <v>1.86981</v>
      </c>
      <c r="IH209">
        <v>1.86587</v>
      </c>
      <c r="II209">
        <v>1.86691</v>
      </c>
      <c r="IJ209">
        <v>1.86838</v>
      </c>
      <c r="IK209">
        <v>5</v>
      </c>
      <c r="IL209">
        <v>0</v>
      </c>
      <c r="IM209">
        <v>0</v>
      </c>
      <c r="IN209">
        <v>0</v>
      </c>
      <c r="IO209" t="s">
        <v>441</v>
      </c>
      <c r="IP209" t="s">
        <v>442</v>
      </c>
      <c r="IQ209" t="s">
        <v>443</v>
      </c>
      <c r="IR209" t="s">
        <v>443</v>
      </c>
      <c r="IS209" t="s">
        <v>443</v>
      </c>
      <c r="IT209" t="s">
        <v>443</v>
      </c>
      <c r="IU209">
        <v>0</v>
      </c>
      <c r="IV209">
        <v>100</v>
      </c>
      <c r="IW209">
        <v>100</v>
      </c>
      <c r="IX209">
        <v>6.36</v>
      </c>
      <c r="IY209">
        <v>-0.1104</v>
      </c>
      <c r="IZ209">
        <v>1.12474291219083</v>
      </c>
      <c r="JA209">
        <v>0.00463155566490582</v>
      </c>
      <c r="JB209">
        <v>-1.1358998729424e-06</v>
      </c>
      <c r="JC209">
        <v>3.28704272115545e-10</v>
      </c>
      <c r="JD209">
        <v>-0.0704455108513773</v>
      </c>
      <c r="JE209">
        <v>-0.0251928478371425</v>
      </c>
      <c r="JF209">
        <v>0.00225751704194564</v>
      </c>
      <c r="JG209">
        <v>-3.61734043746866e-05</v>
      </c>
      <c r="JH209">
        <v>1</v>
      </c>
      <c r="JI209">
        <v>2182</v>
      </c>
      <c r="JJ209">
        <v>0</v>
      </c>
      <c r="JK209">
        <v>24</v>
      </c>
      <c r="JL209">
        <v>29349871.7</v>
      </c>
      <c r="JM209">
        <v>29349871.7</v>
      </c>
      <c r="JN209">
        <v>2.79175</v>
      </c>
      <c r="JO209">
        <v>2.6062</v>
      </c>
      <c r="JP209">
        <v>1.54785</v>
      </c>
      <c r="JQ209">
        <v>2.31323</v>
      </c>
      <c r="JR209">
        <v>1.64551</v>
      </c>
      <c r="JS209">
        <v>2.35474</v>
      </c>
      <c r="JT209">
        <v>33.6029</v>
      </c>
      <c r="JU209">
        <v>24.1838</v>
      </c>
      <c r="JV209">
        <v>18</v>
      </c>
      <c r="JW209">
        <v>500.927</v>
      </c>
      <c r="JX209">
        <v>395.345</v>
      </c>
      <c r="JY209">
        <v>11.5603</v>
      </c>
      <c r="JZ209">
        <v>24.0055</v>
      </c>
      <c r="KA209">
        <v>30</v>
      </c>
      <c r="KB209">
        <v>23.9968</v>
      </c>
      <c r="KC209">
        <v>23.9645</v>
      </c>
      <c r="KD209">
        <v>55.8965</v>
      </c>
      <c r="KE209">
        <v>7.32529</v>
      </c>
      <c r="KF209">
        <v>26.5359</v>
      </c>
      <c r="KG209">
        <v>11.5734</v>
      </c>
      <c r="KH209">
        <v>1498.56</v>
      </c>
      <c r="KI209">
        <v>9.66742</v>
      </c>
      <c r="KJ209">
        <v>97.0349</v>
      </c>
      <c r="KK209">
        <v>95.294</v>
      </c>
    </row>
    <row r="210" spans="1:297">
      <c r="A210">
        <v>194</v>
      </c>
      <c r="B210">
        <v>1760992309.1</v>
      </c>
      <c r="C210">
        <v>3119</v>
      </c>
      <c r="D210" t="s">
        <v>841</v>
      </c>
      <c r="E210" t="s">
        <v>842</v>
      </c>
      <c r="F210">
        <v>5</v>
      </c>
      <c r="G210" t="s">
        <v>662</v>
      </c>
      <c r="H210" t="s">
        <v>436</v>
      </c>
      <c r="I210">
        <v>1760992300.94615</v>
      </c>
      <c r="J210">
        <f>(K210)/1000</f>
        <v>0</v>
      </c>
      <c r="K210">
        <f>IF(DP210, AN210, AH210)</f>
        <v>0</v>
      </c>
      <c r="L210">
        <f>IF(DP210, AI210, AG210)</f>
        <v>0</v>
      </c>
      <c r="M210">
        <f>DR210 - IF(AU210&gt;1, L210*DL210*100.0/(AW210), 0)</f>
        <v>0</v>
      </c>
      <c r="N210">
        <f>((T210-J210/2)*M210-L210)/(T210+J210/2)</f>
        <v>0</v>
      </c>
      <c r="O210">
        <f>N210*(DY210+DZ210)/1000.0</f>
        <v>0</v>
      </c>
      <c r="P210">
        <f>(DR210 - IF(AU210&gt;1, L210*DL210*100.0/(AW210), 0))*(DY210+DZ210)/1000.0</f>
        <v>0</v>
      </c>
      <c r="Q210">
        <f>2.0/((1/S210-1/R210)+SIGN(S210)*SQRT((1/S210-1/R210)*(1/S210-1/R210) + 4*DM210/((DM210+1)*(DM210+1))*(2*1/S210*1/R210-1/R210*1/R210)))</f>
        <v>0</v>
      </c>
      <c r="R210">
        <f>IF(LEFT(DN210,1)&lt;&gt;"0",IF(LEFT(DN210,1)="1",3.0,DO210),$D$5+$E$5*(EF210*DY210/($K$5*1000))+$F$5*(EF210*DY210/($K$5*1000))*MAX(MIN(DL210,$J$5),$I$5)*MAX(MIN(DL210,$J$5),$I$5)+$G$5*MAX(MIN(DL210,$J$5),$I$5)*(EF210*DY210/($K$5*1000))+$H$5*(EF210*DY210/($K$5*1000))*(EF210*DY210/($K$5*1000)))</f>
        <v>0</v>
      </c>
      <c r="S210">
        <f>J210*(1000-(1000*0.61365*exp(17.502*W210/(240.97+W210))/(DY210+DZ210)+DT210)/2)/(1000*0.61365*exp(17.502*W210/(240.97+W210))/(DY210+DZ210)-DT210)</f>
        <v>0</v>
      </c>
      <c r="T210">
        <f>1/((DM210+1)/(Q210/1.6)+1/(R210/1.37)) + DM210/((DM210+1)/(Q210/1.6) + DM210/(R210/1.37))</f>
        <v>0</v>
      </c>
      <c r="U210">
        <f>(DH210*DK210)</f>
        <v>0</v>
      </c>
      <c r="V210">
        <f>(EA210+(U210+2*0.95*5.67E-8*(((EA210+$B$7)+273)^4-(EA210+273)^4)-44100*J210)/(1.84*29.3*R210+8*0.95*5.67E-8*(EA210+273)^3))</f>
        <v>0</v>
      </c>
      <c r="W210">
        <f>($C$7*EB210+$D$7*EC210+$E$7*V210)</f>
        <v>0</v>
      </c>
      <c r="X210">
        <f>0.61365*exp(17.502*W210/(240.97+W210))</f>
        <v>0</v>
      </c>
      <c r="Y210">
        <f>(Z210/AA210*100)</f>
        <v>0</v>
      </c>
      <c r="Z210">
        <f>DT210*(DY210+DZ210)/1000</f>
        <v>0</v>
      </c>
      <c r="AA210">
        <f>0.61365*exp(17.502*EA210/(240.97+EA210))</f>
        <v>0</v>
      </c>
      <c r="AB210">
        <f>(X210-DT210*(DY210+DZ210)/1000)</f>
        <v>0</v>
      </c>
      <c r="AC210">
        <f>(-J210*44100)</f>
        <v>0</v>
      </c>
      <c r="AD210">
        <f>2*29.3*R210*0.92*(EA210-W210)</f>
        <v>0</v>
      </c>
      <c r="AE210">
        <f>2*0.95*5.67E-8*(((EA210+$B$7)+273)^4-(W210+273)^4)</f>
        <v>0</v>
      </c>
      <c r="AF210">
        <f>U210+AE210+AC210+AD210</f>
        <v>0</v>
      </c>
      <c r="AG210">
        <f>DX210*AU210*(DS210-DR210*(1000-AU210*DU210)/(1000-AU210*DT210))/(100*DL210)</f>
        <v>0</v>
      </c>
      <c r="AH210">
        <f>1000*DX210*AU210*(DT210-DU210)/(100*DL210*(1000-AU210*DT210))</f>
        <v>0</v>
      </c>
      <c r="AI210">
        <f>(AJ210 - AK210 - DY210*1E3/(8.314*(EA210+273.15)) * AM210/DX210 * AL210) * DX210/(100*DL210) * (1000 - DU210)/1000</f>
        <v>0</v>
      </c>
      <c r="AJ210">
        <v>1498.73198902582</v>
      </c>
      <c r="AK210">
        <v>1461.24212121212</v>
      </c>
      <c r="AL210">
        <v>3.40932897269141</v>
      </c>
      <c r="AM210">
        <v>65.2210784119795</v>
      </c>
      <c r="AN210">
        <f>(AP210 - AO210 + DY210*1E3/(8.314*(EA210+273.15)) * AR210/DX210 * AQ210) * DX210/(100*DL210) * 1000/(1000 - AP210)</f>
        <v>0</v>
      </c>
      <c r="AO210">
        <v>9.71085902134751</v>
      </c>
      <c r="AP210">
        <v>11.8771987878788</v>
      </c>
      <c r="AQ210">
        <v>-2.12259153227178e-06</v>
      </c>
      <c r="AR210">
        <v>115.574510355221</v>
      </c>
      <c r="AS210">
        <v>0</v>
      </c>
      <c r="AT210">
        <v>0</v>
      </c>
      <c r="AU210">
        <f>IF(AS210*$H$13&gt;=AW210,1.0,(AW210/(AW210-AS210*$H$13)))</f>
        <v>0</v>
      </c>
      <c r="AV210">
        <f>(AU210-1)*100</f>
        <v>0</v>
      </c>
      <c r="AW210">
        <f>MAX(0,($B$13+$C$13*EF210)/(1+$D$13*EF210)*DY210/(EA210+273)*$E$13)</f>
        <v>0</v>
      </c>
      <c r="AX210" t="s">
        <v>437</v>
      </c>
      <c r="AY210" t="s">
        <v>437</v>
      </c>
      <c r="AZ210">
        <v>0</v>
      </c>
      <c r="BA210">
        <v>0</v>
      </c>
      <c r="BB210">
        <f>1-AZ210/BA210</f>
        <v>0</v>
      </c>
      <c r="BC210">
        <v>0</v>
      </c>
      <c r="BD210" t="s">
        <v>437</v>
      </c>
      <c r="BE210" t="s">
        <v>437</v>
      </c>
      <c r="BF210">
        <v>0</v>
      </c>
      <c r="BG210">
        <v>0</v>
      </c>
      <c r="BH210">
        <f>1-BF210/BG210</f>
        <v>0</v>
      </c>
      <c r="BI210">
        <v>0.5</v>
      </c>
      <c r="BJ210">
        <f>DI210</f>
        <v>0</v>
      </c>
      <c r="BK210">
        <f>L210</f>
        <v>0</v>
      </c>
      <c r="BL210">
        <f>BH210*BI210*BJ210</f>
        <v>0</v>
      </c>
      <c r="BM210">
        <f>(BK210-BC210)/BJ210</f>
        <v>0</v>
      </c>
      <c r="BN210">
        <f>(BA210-BG210)/BG210</f>
        <v>0</v>
      </c>
      <c r="BO210">
        <f>AZ210/(BB210+AZ210/BG210)</f>
        <v>0</v>
      </c>
      <c r="BP210" t="s">
        <v>437</v>
      </c>
      <c r="BQ210">
        <v>0</v>
      </c>
      <c r="BR210">
        <f>IF(BQ210&lt;&gt;0, BQ210, BO210)</f>
        <v>0</v>
      </c>
      <c r="BS210">
        <f>1-BR210/BG210</f>
        <v>0</v>
      </c>
      <c r="BT210">
        <f>(BG210-BF210)/(BG210-BR210)</f>
        <v>0</v>
      </c>
      <c r="BU210">
        <f>(BA210-BG210)/(BA210-BR210)</f>
        <v>0</v>
      </c>
      <c r="BV210">
        <f>(BG210-BF210)/(BG210-AZ210)</f>
        <v>0</v>
      </c>
      <c r="BW210">
        <f>(BA210-BG210)/(BA210-AZ210)</f>
        <v>0</v>
      </c>
      <c r="BX210">
        <f>(BT210*BR210/BF210)</f>
        <v>0</v>
      </c>
      <c r="BY210">
        <f>(1-BX210)</f>
        <v>0</v>
      </c>
      <c r="BZ210">
        <v>282</v>
      </c>
      <c r="CA210">
        <v>290</v>
      </c>
      <c r="CB210">
        <v>1577.74</v>
      </c>
      <c r="CC210">
        <v>295</v>
      </c>
      <c r="CD210">
        <v>5140.93</v>
      </c>
      <c r="CE210">
        <v>1578.58</v>
      </c>
      <c r="CF210">
        <v>-0.84</v>
      </c>
      <c r="CG210">
        <v>300</v>
      </c>
      <c r="CH210">
        <v>23.8</v>
      </c>
      <c r="CI210">
        <v>1633.28263291266</v>
      </c>
      <c r="CJ210">
        <v>1.49577129053257</v>
      </c>
      <c r="CK210">
        <v>-28.1203876934379</v>
      </c>
      <c r="CL210">
        <v>0.666413418688897</v>
      </c>
      <c r="CM210">
        <v>0.984518017981194</v>
      </c>
      <c r="CN210">
        <v>-0.00424727541713014</v>
      </c>
      <c r="CO210">
        <v>290</v>
      </c>
      <c r="CP210">
        <v>1576.56</v>
      </c>
      <c r="CQ210">
        <v>775</v>
      </c>
      <c r="CR210">
        <v>5139.5</v>
      </c>
      <c r="CS210">
        <v>1578.57</v>
      </c>
      <c r="CT210">
        <v>-2.01</v>
      </c>
      <c r="DH210">
        <f>$B$11*EG210+$C$11*EH210+$F$11*ES210*(1-EV210)</f>
        <v>0</v>
      </c>
      <c r="DI210">
        <f>DH210*DJ210</f>
        <v>0</v>
      </c>
      <c r="DJ210">
        <f>($B$11*$D$9+$C$11*$D$9+$F$11*((FF210+EX210)/MAX(FF210+EX210+FG210, 0.1)*$I$9+FG210/MAX(FF210+EX210+FG210, 0.1)*$J$9))/($B$11+$C$11+$F$11)</f>
        <v>0</v>
      </c>
      <c r="DK210">
        <f>($B$11*$K$9+$C$11*$K$9+$F$11*((FF210+EX210)/MAX(FF210+EX210+FG210, 0.1)*$P$9+FG210/MAX(FF210+EX210+FG210, 0.1)*$Q$9))/($B$11+$C$11+$F$11)</f>
        <v>0</v>
      </c>
      <c r="DL210">
        <v>6</v>
      </c>
      <c r="DM210">
        <v>0.5</v>
      </c>
      <c r="DN210" t="s">
        <v>438</v>
      </c>
      <c r="DO210">
        <v>2</v>
      </c>
      <c r="DP210" t="b">
        <v>1</v>
      </c>
      <c r="DQ210">
        <v>1760992300.94615</v>
      </c>
      <c r="DR210">
        <v>1419.77230769231</v>
      </c>
      <c r="DS210">
        <v>1468.22692307692</v>
      </c>
      <c r="DT210">
        <v>11.8775230769231</v>
      </c>
      <c r="DU210">
        <v>9.71248769230769</v>
      </c>
      <c r="DV210">
        <v>1413.44307692308</v>
      </c>
      <c r="DW210">
        <v>11.9878538461538</v>
      </c>
      <c r="DX210">
        <v>500.013384615385</v>
      </c>
      <c r="DY210">
        <v>89.8463384615385</v>
      </c>
      <c r="DZ210">
        <v>0.00869315461538462</v>
      </c>
      <c r="EA210">
        <v>18.3484692307692</v>
      </c>
      <c r="EB210">
        <v>17.9872076923077</v>
      </c>
      <c r="EC210">
        <v>999.9</v>
      </c>
      <c r="ED210">
        <v>0</v>
      </c>
      <c r="EE210">
        <v>0</v>
      </c>
      <c r="EF210">
        <v>10015.6092307692</v>
      </c>
      <c r="EG210">
        <v>0</v>
      </c>
      <c r="EH210">
        <v>1278.55076923077</v>
      </c>
      <c r="EI210">
        <v>-48.4550615384615</v>
      </c>
      <c r="EJ210">
        <v>1436.83923076923</v>
      </c>
      <c r="EK210">
        <v>1482.62692307692</v>
      </c>
      <c r="EL210">
        <v>2.16502538461538</v>
      </c>
      <c r="EM210">
        <v>1468.22692307692</v>
      </c>
      <c r="EN210">
        <v>9.71248769230769</v>
      </c>
      <c r="EO210">
        <v>1.06715153846154</v>
      </c>
      <c r="EP210">
        <v>0.872631461538461</v>
      </c>
      <c r="EQ210">
        <v>7.86694307692308</v>
      </c>
      <c r="ER210">
        <v>4.94712615384615</v>
      </c>
      <c r="ES210">
        <v>1200.00692307692</v>
      </c>
      <c r="ET210">
        <v>0.966996230769231</v>
      </c>
      <c r="EU210">
        <v>0.0330033692307692</v>
      </c>
      <c r="EV210">
        <v>0</v>
      </c>
      <c r="EW210">
        <v>1292.73692307692</v>
      </c>
      <c r="EX210">
        <v>5.00059</v>
      </c>
      <c r="EY210">
        <v>15203.2230769231</v>
      </c>
      <c r="EZ210">
        <v>10358.7769230769</v>
      </c>
      <c r="FA210">
        <v>36.4084615384615</v>
      </c>
      <c r="FB210">
        <v>38.0766153846154</v>
      </c>
      <c r="FC210">
        <v>36.8411538461539</v>
      </c>
      <c r="FD210">
        <v>37.2979230769231</v>
      </c>
      <c r="FE210">
        <v>37.341</v>
      </c>
      <c r="FF210">
        <v>1155.56846153846</v>
      </c>
      <c r="FG210">
        <v>39.4384615384615</v>
      </c>
      <c r="FH210">
        <v>0</v>
      </c>
      <c r="FI210">
        <v>1164.80000019073</v>
      </c>
      <c r="FJ210">
        <v>0</v>
      </c>
      <c r="FK210">
        <v>1292.6352</v>
      </c>
      <c r="FL210">
        <v>-8.50692305330565</v>
      </c>
      <c r="FM210">
        <v>-115.661538301793</v>
      </c>
      <c r="FN210">
        <v>15201.604</v>
      </c>
      <c r="FO210">
        <v>15</v>
      </c>
      <c r="FP210">
        <v>0</v>
      </c>
      <c r="FQ210" t="s">
        <v>439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-48.059205</v>
      </c>
      <c r="GD210">
        <v>-9.00090676691737</v>
      </c>
      <c r="GE210">
        <v>1.28208779359098</v>
      </c>
      <c r="GF210">
        <v>0</v>
      </c>
      <c r="GG210">
        <v>1293.05735294118</v>
      </c>
      <c r="GH210">
        <v>-7.90114590588176</v>
      </c>
      <c r="GI210">
        <v>0.797198435786699</v>
      </c>
      <c r="GJ210">
        <v>-1</v>
      </c>
      <c r="GK210">
        <v>2.1648</v>
      </c>
      <c r="GL210">
        <v>0.00657744360902103</v>
      </c>
      <c r="GM210">
        <v>0.000838075175625654</v>
      </c>
      <c r="GN210">
        <v>1</v>
      </c>
      <c r="GO210">
        <v>1</v>
      </c>
      <c r="GP210">
        <v>2</v>
      </c>
      <c r="GQ210" t="s">
        <v>446</v>
      </c>
      <c r="GR210">
        <v>3.13082</v>
      </c>
      <c r="GS210">
        <v>2.68675</v>
      </c>
      <c r="GT210">
        <v>0.208141</v>
      </c>
      <c r="GU210">
        <v>0.212921</v>
      </c>
      <c r="GV210">
        <v>0.0619431</v>
      </c>
      <c r="GW210">
        <v>0.0529015</v>
      </c>
      <c r="GX210">
        <v>30011.8</v>
      </c>
      <c r="GY210">
        <v>32054.7</v>
      </c>
      <c r="GZ210">
        <v>34262.5</v>
      </c>
      <c r="HA210">
        <v>36844.7</v>
      </c>
      <c r="HB210">
        <v>45349.1</v>
      </c>
      <c r="HC210">
        <v>50052.1</v>
      </c>
      <c r="HD210">
        <v>53336.5</v>
      </c>
      <c r="HE210">
        <v>58771.2</v>
      </c>
      <c r="HF210">
        <v>2.00785</v>
      </c>
      <c r="HG210">
        <v>1.83853</v>
      </c>
      <c r="HH210">
        <v>0.00829995</v>
      </c>
      <c r="HI210">
        <v>0</v>
      </c>
      <c r="HJ210">
        <v>17.8509</v>
      </c>
      <c r="HK210">
        <v>999.9</v>
      </c>
      <c r="HL210">
        <v>26.511</v>
      </c>
      <c r="HM210">
        <v>30.424</v>
      </c>
      <c r="HN210">
        <v>12.8812</v>
      </c>
      <c r="HO210">
        <v>54.3228</v>
      </c>
      <c r="HP210">
        <v>44.0465</v>
      </c>
      <c r="HQ210">
        <v>1</v>
      </c>
      <c r="HR210">
        <v>-0.260513</v>
      </c>
      <c r="HS210">
        <v>4.62362</v>
      </c>
      <c r="HT210">
        <v>20.0763</v>
      </c>
      <c r="HU210">
        <v>5.19917</v>
      </c>
      <c r="HV210">
        <v>12.004</v>
      </c>
      <c r="HW210">
        <v>4.97555</v>
      </c>
      <c r="HX210">
        <v>3.29298</v>
      </c>
      <c r="HY210">
        <v>9999</v>
      </c>
      <c r="HZ210">
        <v>999.9</v>
      </c>
      <c r="IA210">
        <v>9999</v>
      </c>
      <c r="IB210">
        <v>9999</v>
      </c>
      <c r="IC210">
        <v>1.86324</v>
      </c>
      <c r="ID210">
        <v>1.86804</v>
      </c>
      <c r="IE210">
        <v>1.86783</v>
      </c>
      <c r="IF210">
        <v>1.86904</v>
      </c>
      <c r="IG210">
        <v>1.86981</v>
      </c>
      <c r="IH210">
        <v>1.86586</v>
      </c>
      <c r="II210">
        <v>1.86691</v>
      </c>
      <c r="IJ210">
        <v>1.8684</v>
      </c>
      <c r="IK210">
        <v>5</v>
      </c>
      <c r="IL210">
        <v>0</v>
      </c>
      <c r="IM210">
        <v>0</v>
      </c>
      <c r="IN210">
        <v>0</v>
      </c>
      <c r="IO210" t="s">
        <v>441</v>
      </c>
      <c r="IP210" t="s">
        <v>442</v>
      </c>
      <c r="IQ210" t="s">
        <v>443</v>
      </c>
      <c r="IR210" t="s">
        <v>443</v>
      </c>
      <c r="IS210" t="s">
        <v>443</v>
      </c>
      <c r="IT210" t="s">
        <v>443</v>
      </c>
      <c r="IU210">
        <v>0</v>
      </c>
      <c r="IV210">
        <v>100</v>
      </c>
      <c r="IW210">
        <v>100</v>
      </c>
      <c r="IX210">
        <v>6.42</v>
      </c>
      <c r="IY210">
        <v>-0.1104</v>
      </c>
      <c r="IZ210">
        <v>1.12474291219083</v>
      </c>
      <c r="JA210">
        <v>0.00463155566490582</v>
      </c>
      <c r="JB210">
        <v>-1.1358998729424e-06</v>
      </c>
      <c r="JC210">
        <v>3.28704272115545e-10</v>
      </c>
      <c r="JD210">
        <v>-0.0704455108513773</v>
      </c>
      <c r="JE210">
        <v>-0.0251928478371425</v>
      </c>
      <c r="JF210">
        <v>0.00225751704194564</v>
      </c>
      <c r="JG210">
        <v>-3.61734043746866e-05</v>
      </c>
      <c r="JH210">
        <v>1</v>
      </c>
      <c r="JI210">
        <v>2182</v>
      </c>
      <c r="JJ210">
        <v>0</v>
      </c>
      <c r="JK210">
        <v>24</v>
      </c>
      <c r="JL210">
        <v>29349871.8</v>
      </c>
      <c r="JM210">
        <v>29349871.8</v>
      </c>
      <c r="JN210">
        <v>2.82104</v>
      </c>
      <c r="JO210">
        <v>2.60376</v>
      </c>
      <c r="JP210">
        <v>1.54785</v>
      </c>
      <c r="JQ210">
        <v>2.31445</v>
      </c>
      <c r="JR210">
        <v>1.64673</v>
      </c>
      <c r="JS210">
        <v>2.35474</v>
      </c>
      <c r="JT210">
        <v>33.6029</v>
      </c>
      <c r="JU210">
        <v>24.1838</v>
      </c>
      <c r="JV210">
        <v>18</v>
      </c>
      <c r="JW210">
        <v>500.799</v>
      </c>
      <c r="JX210">
        <v>395.411</v>
      </c>
      <c r="JY210">
        <v>11.5731</v>
      </c>
      <c r="JZ210">
        <v>24.0056</v>
      </c>
      <c r="KA210">
        <v>30.0001</v>
      </c>
      <c r="KB210">
        <v>23.9968</v>
      </c>
      <c r="KC210">
        <v>23.9645</v>
      </c>
      <c r="KD210">
        <v>56.4919</v>
      </c>
      <c r="KE210">
        <v>7.32529</v>
      </c>
      <c r="KF210">
        <v>26.5359</v>
      </c>
      <c r="KG210">
        <v>11.5816</v>
      </c>
      <c r="KH210">
        <v>1518.93</v>
      </c>
      <c r="KI210">
        <v>9.64669</v>
      </c>
      <c r="KJ210">
        <v>97.0347</v>
      </c>
      <c r="KK210">
        <v>95.2939</v>
      </c>
    </row>
    <row r="211" spans="1:297">
      <c r="A211">
        <v>195</v>
      </c>
      <c r="B211">
        <v>1760992314.1</v>
      </c>
      <c r="C211">
        <v>3124</v>
      </c>
      <c r="D211" t="s">
        <v>843</v>
      </c>
      <c r="E211" t="s">
        <v>844</v>
      </c>
      <c r="F211">
        <v>5</v>
      </c>
      <c r="G211" t="s">
        <v>662</v>
      </c>
      <c r="H211" t="s">
        <v>436</v>
      </c>
      <c r="I211">
        <v>1760992305.94615</v>
      </c>
      <c r="J211">
        <f>(K211)/1000</f>
        <v>0</v>
      </c>
      <c r="K211">
        <f>IF(DP211, AN211, AH211)</f>
        <v>0</v>
      </c>
      <c r="L211">
        <f>IF(DP211, AI211, AG211)</f>
        <v>0</v>
      </c>
      <c r="M211">
        <f>DR211 - IF(AU211&gt;1, L211*DL211*100.0/(AW211), 0)</f>
        <v>0</v>
      </c>
      <c r="N211">
        <f>((T211-J211/2)*M211-L211)/(T211+J211/2)</f>
        <v>0</v>
      </c>
      <c r="O211">
        <f>N211*(DY211+DZ211)/1000.0</f>
        <v>0</v>
      </c>
      <c r="P211">
        <f>(DR211 - IF(AU211&gt;1, L211*DL211*100.0/(AW211), 0))*(DY211+DZ211)/1000.0</f>
        <v>0</v>
      </c>
      <c r="Q211">
        <f>2.0/((1/S211-1/R211)+SIGN(S211)*SQRT((1/S211-1/R211)*(1/S211-1/R211) + 4*DM211/((DM211+1)*(DM211+1))*(2*1/S211*1/R211-1/R211*1/R211)))</f>
        <v>0</v>
      </c>
      <c r="R211">
        <f>IF(LEFT(DN211,1)&lt;&gt;"0",IF(LEFT(DN211,1)="1",3.0,DO211),$D$5+$E$5*(EF211*DY211/($K$5*1000))+$F$5*(EF211*DY211/($K$5*1000))*MAX(MIN(DL211,$J$5),$I$5)*MAX(MIN(DL211,$J$5),$I$5)+$G$5*MAX(MIN(DL211,$J$5),$I$5)*(EF211*DY211/($K$5*1000))+$H$5*(EF211*DY211/($K$5*1000))*(EF211*DY211/($K$5*1000)))</f>
        <v>0</v>
      </c>
      <c r="S211">
        <f>J211*(1000-(1000*0.61365*exp(17.502*W211/(240.97+W211))/(DY211+DZ211)+DT211)/2)/(1000*0.61365*exp(17.502*W211/(240.97+W211))/(DY211+DZ211)-DT211)</f>
        <v>0</v>
      </c>
      <c r="T211">
        <f>1/((DM211+1)/(Q211/1.6)+1/(R211/1.37)) + DM211/((DM211+1)/(Q211/1.6) + DM211/(R211/1.37))</f>
        <v>0</v>
      </c>
      <c r="U211">
        <f>(DH211*DK211)</f>
        <v>0</v>
      </c>
      <c r="V211">
        <f>(EA211+(U211+2*0.95*5.67E-8*(((EA211+$B$7)+273)^4-(EA211+273)^4)-44100*J211)/(1.84*29.3*R211+8*0.95*5.67E-8*(EA211+273)^3))</f>
        <v>0</v>
      </c>
      <c r="W211">
        <f>($C$7*EB211+$D$7*EC211+$E$7*V211)</f>
        <v>0</v>
      </c>
      <c r="X211">
        <f>0.61365*exp(17.502*W211/(240.97+W211))</f>
        <v>0</v>
      </c>
      <c r="Y211">
        <f>(Z211/AA211*100)</f>
        <v>0</v>
      </c>
      <c r="Z211">
        <f>DT211*(DY211+DZ211)/1000</f>
        <v>0</v>
      </c>
      <c r="AA211">
        <f>0.61365*exp(17.502*EA211/(240.97+EA211))</f>
        <v>0</v>
      </c>
      <c r="AB211">
        <f>(X211-DT211*(DY211+DZ211)/1000)</f>
        <v>0</v>
      </c>
      <c r="AC211">
        <f>(-J211*44100)</f>
        <v>0</v>
      </c>
      <c r="AD211">
        <f>2*29.3*R211*0.92*(EA211-W211)</f>
        <v>0</v>
      </c>
      <c r="AE211">
        <f>2*0.95*5.67E-8*(((EA211+$B$7)+273)^4-(W211+273)^4)</f>
        <v>0</v>
      </c>
      <c r="AF211">
        <f>U211+AE211+AC211+AD211</f>
        <v>0</v>
      </c>
      <c r="AG211">
        <f>DX211*AU211*(DS211-DR211*(1000-AU211*DU211)/(1000-AU211*DT211))/(100*DL211)</f>
        <v>0</v>
      </c>
      <c r="AH211">
        <f>1000*DX211*AU211*(DT211-DU211)/(100*DL211*(1000-AU211*DT211))</f>
        <v>0</v>
      </c>
      <c r="AI211">
        <f>(AJ211 - AK211 - DY211*1E3/(8.314*(EA211+273.15)) * AM211/DX211 * AL211) * DX211/(100*DL211) * (1000 - DU211)/1000</f>
        <v>0</v>
      </c>
      <c r="AJ211">
        <v>1519.18127738588</v>
      </c>
      <c r="AK211">
        <v>1480.20818181818</v>
      </c>
      <c r="AL211">
        <v>3.79529179534259</v>
      </c>
      <c r="AM211">
        <v>65.2210784119795</v>
      </c>
      <c r="AN211">
        <f>(AP211 - AO211 + DY211*1E3/(8.314*(EA211+273.15)) * AR211/DX211 * AQ211) * DX211/(100*DL211) * 1000/(1000 - AP211)</f>
        <v>0</v>
      </c>
      <c r="AO211">
        <v>9.70953876303008</v>
      </c>
      <c r="AP211">
        <v>11.8796896969697</v>
      </c>
      <c r="AQ211">
        <v>1.02455591884298e-05</v>
      </c>
      <c r="AR211">
        <v>115.574510355221</v>
      </c>
      <c r="AS211">
        <v>0</v>
      </c>
      <c r="AT211">
        <v>0</v>
      </c>
      <c r="AU211">
        <f>IF(AS211*$H$13&gt;=AW211,1.0,(AW211/(AW211-AS211*$H$13)))</f>
        <v>0</v>
      </c>
      <c r="AV211">
        <f>(AU211-1)*100</f>
        <v>0</v>
      </c>
      <c r="AW211">
        <f>MAX(0,($B$13+$C$13*EF211)/(1+$D$13*EF211)*DY211/(EA211+273)*$E$13)</f>
        <v>0</v>
      </c>
      <c r="AX211" t="s">
        <v>437</v>
      </c>
      <c r="AY211" t="s">
        <v>437</v>
      </c>
      <c r="AZ211">
        <v>0</v>
      </c>
      <c r="BA211">
        <v>0</v>
      </c>
      <c r="BB211">
        <f>1-AZ211/BA211</f>
        <v>0</v>
      </c>
      <c r="BC211">
        <v>0</v>
      </c>
      <c r="BD211" t="s">
        <v>437</v>
      </c>
      <c r="BE211" t="s">
        <v>437</v>
      </c>
      <c r="BF211">
        <v>0</v>
      </c>
      <c r="BG211">
        <v>0</v>
      </c>
      <c r="BH211">
        <f>1-BF211/BG211</f>
        <v>0</v>
      </c>
      <c r="BI211">
        <v>0.5</v>
      </c>
      <c r="BJ211">
        <f>DI211</f>
        <v>0</v>
      </c>
      <c r="BK211">
        <f>L211</f>
        <v>0</v>
      </c>
      <c r="BL211">
        <f>BH211*BI211*BJ211</f>
        <v>0</v>
      </c>
      <c r="BM211">
        <f>(BK211-BC211)/BJ211</f>
        <v>0</v>
      </c>
      <c r="BN211">
        <f>(BA211-BG211)/BG211</f>
        <v>0</v>
      </c>
      <c r="BO211">
        <f>AZ211/(BB211+AZ211/BG211)</f>
        <v>0</v>
      </c>
      <c r="BP211" t="s">
        <v>437</v>
      </c>
      <c r="BQ211">
        <v>0</v>
      </c>
      <c r="BR211">
        <f>IF(BQ211&lt;&gt;0, BQ211, BO211)</f>
        <v>0</v>
      </c>
      <c r="BS211">
        <f>1-BR211/BG211</f>
        <v>0</v>
      </c>
      <c r="BT211">
        <f>(BG211-BF211)/(BG211-BR211)</f>
        <v>0</v>
      </c>
      <c r="BU211">
        <f>(BA211-BG211)/(BA211-BR211)</f>
        <v>0</v>
      </c>
      <c r="BV211">
        <f>(BG211-BF211)/(BG211-AZ211)</f>
        <v>0</v>
      </c>
      <c r="BW211">
        <f>(BA211-BG211)/(BA211-AZ211)</f>
        <v>0</v>
      </c>
      <c r="BX211">
        <f>(BT211*BR211/BF211)</f>
        <v>0</v>
      </c>
      <c r="BY211">
        <f>(1-BX211)</f>
        <v>0</v>
      </c>
      <c r="BZ211">
        <v>282</v>
      </c>
      <c r="CA211">
        <v>290</v>
      </c>
      <c r="CB211">
        <v>1577.74</v>
      </c>
      <c r="CC211">
        <v>295</v>
      </c>
      <c r="CD211">
        <v>5140.93</v>
      </c>
      <c r="CE211">
        <v>1578.58</v>
      </c>
      <c r="CF211">
        <v>-0.84</v>
      </c>
      <c r="CG211">
        <v>300</v>
      </c>
      <c r="CH211">
        <v>23.8</v>
      </c>
      <c r="CI211">
        <v>1633.28263291266</v>
      </c>
      <c r="CJ211">
        <v>1.49577129053257</v>
      </c>
      <c r="CK211">
        <v>-28.1203876934379</v>
      </c>
      <c r="CL211">
        <v>0.666413418688897</v>
      </c>
      <c r="CM211">
        <v>0.984518017981194</v>
      </c>
      <c r="CN211">
        <v>-0.00424727541713014</v>
      </c>
      <c r="CO211">
        <v>290</v>
      </c>
      <c r="CP211">
        <v>1576.56</v>
      </c>
      <c r="CQ211">
        <v>775</v>
      </c>
      <c r="CR211">
        <v>5139.5</v>
      </c>
      <c r="CS211">
        <v>1578.57</v>
      </c>
      <c r="CT211">
        <v>-2.01</v>
      </c>
      <c r="DH211">
        <f>$B$11*EG211+$C$11*EH211+$F$11*ES211*(1-EV211)</f>
        <v>0</v>
      </c>
      <c r="DI211">
        <f>DH211*DJ211</f>
        <v>0</v>
      </c>
      <c r="DJ211">
        <f>($B$11*$D$9+$C$11*$D$9+$F$11*((FF211+EX211)/MAX(FF211+EX211+FG211, 0.1)*$I$9+FG211/MAX(FF211+EX211+FG211, 0.1)*$J$9))/($B$11+$C$11+$F$11)</f>
        <v>0</v>
      </c>
      <c r="DK211">
        <f>($B$11*$K$9+$C$11*$K$9+$F$11*((FF211+EX211)/MAX(FF211+EX211+FG211, 0.1)*$P$9+FG211/MAX(FF211+EX211+FG211, 0.1)*$Q$9))/($B$11+$C$11+$F$11)</f>
        <v>0</v>
      </c>
      <c r="DL211">
        <v>6</v>
      </c>
      <c r="DM211">
        <v>0.5</v>
      </c>
      <c r="DN211" t="s">
        <v>438</v>
      </c>
      <c r="DO211">
        <v>2</v>
      </c>
      <c r="DP211" t="b">
        <v>1</v>
      </c>
      <c r="DQ211">
        <v>1760992305.94615</v>
      </c>
      <c r="DR211">
        <v>1437.03461538462</v>
      </c>
      <c r="DS211">
        <v>1486.58461538462</v>
      </c>
      <c r="DT211">
        <v>11.8777846153846</v>
      </c>
      <c r="DU211">
        <v>9.71138615384615</v>
      </c>
      <c r="DV211">
        <v>1430.64615384615</v>
      </c>
      <c r="DW211">
        <v>11.9881076923077</v>
      </c>
      <c r="DX211">
        <v>500.010692307692</v>
      </c>
      <c r="DY211">
        <v>89.8458769230769</v>
      </c>
      <c r="DZ211">
        <v>0.00874631461538461</v>
      </c>
      <c r="EA211">
        <v>18.3425230769231</v>
      </c>
      <c r="EB211">
        <v>17.9868692307692</v>
      </c>
      <c r="EC211">
        <v>999.9</v>
      </c>
      <c r="ED211">
        <v>0</v>
      </c>
      <c r="EE211">
        <v>0</v>
      </c>
      <c r="EF211">
        <v>10016.34</v>
      </c>
      <c r="EG211">
        <v>0</v>
      </c>
      <c r="EH211">
        <v>1278.53307692308</v>
      </c>
      <c r="EI211">
        <v>-49.5498615384615</v>
      </c>
      <c r="EJ211">
        <v>1454.30846153846</v>
      </c>
      <c r="EK211">
        <v>1501.16076923077</v>
      </c>
      <c r="EL211">
        <v>2.16638923076923</v>
      </c>
      <c r="EM211">
        <v>1486.58461538462</v>
      </c>
      <c r="EN211">
        <v>9.71138615384615</v>
      </c>
      <c r="EO211">
        <v>1.06717</v>
      </c>
      <c r="EP211">
        <v>0.872528076923077</v>
      </c>
      <c r="EQ211">
        <v>7.86719076923077</v>
      </c>
      <c r="ER211">
        <v>4.94542538461539</v>
      </c>
      <c r="ES211">
        <v>1200.01153846154</v>
      </c>
      <c r="ET211">
        <v>0.967003615384615</v>
      </c>
      <c r="EU211">
        <v>0.0329959846153846</v>
      </c>
      <c r="EV211">
        <v>0</v>
      </c>
      <c r="EW211">
        <v>1291.97769230769</v>
      </c>
      <c r="EX211">
        <v>5.00059</v>
      </c>
      <c r="EY211">
        <v>15193.5230769231</v>
      </c>
      <c r="EZ211">
        <v>10358.8384615385</v>
      </c>
      <c r="FA211">
        <v>36.3651538461539</v>
      </c>
      <c r="FB211">
        <v>38.0381538461538</v>
      </c>
      <c r="FC211">
        <v>36.7979230769231</v>
      </c>
      <c r="FD211">
        <v>37.2546153846154</v>
      </c>
      <c r="FE211">
        <v>37.2977692307692</v>
      </c>
      <c r="FF211">
        <v>1155.58230769231</v>
      </c>
      <c r="FG211">
        <v>39.4292307692308</v>
      </c>
      <c r="FH211">
        <v>0</v>
      </c>
      <c r="FI211">
        <v>1169.60000014305</v>
      </c>
      <c r="FJ211">
        <v>0</v>
      </c>
      <c r="FK211">
        <v>1291.9408</v>
      </c>
      <c r="FL211">
        <v>-9.1030769241151</v>
      </c>
      <c r="FM211">
        <v>-123.030769247297</v>
      </c>
      <c r="FN211">
        <v>15192.076</v>
      </c>
      <c r="FO211">
        <v>15</v>
      </c>
      <c r="FP211">
        <v>0</v>
      </c>
      <c r="FQ211" t="s">
        <v>439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-48.9462523809524</v>
      </c>
      <c r="GD211">
        <v>-12.8739506493507</v>
      </c>
      <c r="GE211">
        <v>1.57305520310577</v>
      </c>
      <c r="GF211">
        <v>0</v>
      </c>
      <c r="GG211">
        <v>1292.41264705882</v>
      </c>
      <c r="GH211">
        <v>-8.5978609625349</v>
      </c>
      <c r="GI211">
        <v>0.86050706263476</v>
      </c>
      <c r="GJ211">
        <v>-1</v>
      </c>
      <c r="GK211">
        <v>2.16588904761905</v>
      </c>
      <c r="GL211">
        <v>0.0153638961039004</v>
      </c>
      <c r="GM211">
        <v>0.00181758841996726</v>
      </c>
      <c r="GN211">
        <v>1</v>
      </c>
      <c r="GO211">
        <v>1</v>
      </c>
      <c r="GP211">
        <v>2</v>
      </c>
      <c r="GQ211" t="s">
        <v>446</v>
      </c>
      <c r="GR211">
        <v>3.13084</v>
      </c>
      <c r="GS211">
        <v>2.6869</v>
      </c>
      <c r="GT211">
        <v>0.20976</v>
      </c>
      <c r="GU211">
        <v>0.214621</v>
      </c>
      <c r="GV211">
        <v>0.0619511</v>
      </c>
      <c r="GW211">
        <v>0.0528966</v>
      </c>
      <c r="GX211">
        <v>29950.7</v>
      </c>
      <c r="GY211">
        <v>31985.9</v>
      </c>
      <c r="GZ211">
        <v>34262.7</v>
      </c>
      <c r="HA211">
        <v>36845.1</v>
      </c>
      <c r="HB211">
        <v>45348.9</v>
      </c>
      <c r="HC211">
        <v>50053.1</v>
      </c>
      <c r="HD211">
        <v>53336.5</v>
      </c>
      <c r="HE211">
        <v>58771.8</v>
      </c>
      <c r="HF211">
        <v>2.00812</v>
      </c>
      <c r="HG211">
        <v>1.83853</v>
      </c>
      <c r="HH211">
        <v>0.00873581</v>
      </c>
      <c r="HI211">
        <v>0</v>
      </c>
      <c r="HJ211">
        <v>17.8504</v>
      </c>
      <c r="HK211">
        <v>999.9</v>
      </c>
      <c r="HL211">
        <v>26.511</v>
      </c>
      <c r="HM211">
        <v>30.414</v>
      </c>
      <c r="HN211">
        <v>12.8743</v>
      </c>
      <c r="HO211">
        <v>53.8228</v>
      </c>
      <c r="HP211">
        <v>44.0625</v>
      </c>
      <c r="HQ211">
        <v>1</v>
      </c>
      <c r="HR211">
        <v>-0.26061</v>
      </c>
      <c r="HS211">
        <v>4.62181</v>
      </c>
      <c r="HT211">
        <v>20.0761</v>
      </c>
      <c r="HU211">
        <v>5.19917</v>
      </c>
      <c r="HV211">
        <v>12.004</v>
      </c>
      <c r="HW211">
        <v>4.9756</v>
      </c>
      <c r="HX211">
        <v>3.29305</v>
      </c>
      <c r="HY211">
        <v>9999</v>
      </c>
      <c r="HZ211">
        <v>999.9</v>
      </c>
      <c r="IA211">
        <v>9999</v>
      </c>
      <c r="IB211">
        <v>9999</v>
      </c>
      <c r="IC211">
        <v>1.86323</v>
      </c>
      <c r="ID211">
        <v>1.86806</v>
      </c>
      <c r="IE211">
        <v>1.86783</v>
      </c>
      <c r="IF211">
        <v>1.86904</v>
      </c>
      <c r="IG211">
        <v>1.86981</v>
      </c>
      <c r="IH211">
        <v>1.86586</v>
      </c>
      <c r="II211">
        <v>1.86692</v>
      </c>
      <c r="IJ211">
        <v>1.86839</v>
      </c>
      <c r="IK211">
        <v>5</v>
      </c>
      <c r="IL211">
        <v>0</v>
      </c>
      <c r="IM211">
        <v>0</v>
      </c>
      <c r="IN211">
        <v>0</v>
      </c>
      <c r="IO211" t="s">
        <v>441</v>
      </c>
      <c r="IP211" t="s">
        <v>442</v>
      </c>
      <c r="IQ211" t="s">
        <v>443</v>
      </c>
      <c r="IR211" t="s">
        <v>443</v>
      </c>
      <c r="IS211" t="s">
        <v>443</v>
      </c>
      <c r="IT211" t="s">
        <v>443</v>
      </c>
      <c r="IU211">
        <v>0</v>
      </c>
      <c r="IV211">
        <v>100</v>
      </c>
      <c r="IW211">
        <v>100</v>
      </c>
      <c r="IX211">
        <v>6.49</v>
      </c>
      <c r="IY211">
        <v>-0.1103</v>
      </c>
      <c r="IZ211">
        <v>1.12474291219083</v>
      </c>
      <c r="JA211">
        <v>0.00463155566490582</v>
      </c>
      <c r="JB211">
        <v>-1.1358998729424e-06</v>
      </c>
      <c r="JC211">
        <v>3.28704272115545e-10</v>
      </c>
      <c r="JD211">
        <v>-0.0704455108513773</v>
      </c>
      <c r="JE211">
        <v>-0.0251928478371425</v>
      </c>
      <c r="JF211">
        <v>0.00225751704194564</v>
      </c>
      <c r="JG211">
        <v>-3.61734043746866e-05</v>
      </c>
      <c r="JH211">
        <v>1</v>
      </c>
      <c r="JI211">
        <v>2182</v>
      </c>
      <c r="JJ211">
        <v>0</v>
      </c>
      <c r="JK211">
        <v>24</v>
      </c>
      <c r="JL211">
        <v>29349871.9</v>
      </c>
      <c r="JM211">
        <v>29349871.9</v>
      </c>
      <c r="JN211">
        <v>2.84668</v>
      </c>
      <c r="JO211">
        <v>2.60498</v>
      </c>
      <c r="JP211">
        <v>1.54785</v>
      </c>
      <c r="JQ211">
        <v>2.31445</v>
      </c>
      <c r="JR211">
        <v>1.64673</v>
      </c>
      <c r="JS211">
        <v>2.3584</v>
      </c>
      <c r="JT211">
        <v>33.6029</v>
      </c>
      <c r="JU211">
        <v>24.1838</v>
      </c>
      <c r="JV211">
        <v>18</v>
      </c>
      <c r="JW211">
        <v>500.986</v>
      </c>
      <c r="JX211">
        <v>395.415</v>
      </c>
      <c r="JY211">
        <v>11.5836</v>
      </c>
      <c r="JZ211">
        <v>24.0074</v>
      </c>
      <c r="KA211">
        <v>30</v>
      </c>
      <c r="KB211">
        <v>23.998</v>
      </c>
      <c r="KC211">
        <v>23.9651</v>
      </c>
      <c r="KD211">
        <v>57.0806</v>
      </c>
      <c r="KE211">
        <v>7.32529</v>
      </c>
      <c r="KF211">
        <v>26.5359</v>
      </c>
      <c r="KG211">
        <v>11.5894</v>
      </c>
      <c r="KH211">
        <v>1539.36</v>
      </c>
      <c r="KI211">
        <v>9.62245</v>
      </c>
      <c r="KJ211">
        <v>97.0348</v>
      </c>
      <c r="KK211">
        <v>95.2948</v>
      </c>
    </row>
    <row r="212" spans="1:297">
      <c r="A212">
        <v>196</v>
      </c>
      <c r="B212">
        <v>1760992319.1</v>
      </c>
      <c r="C212">
        <v>3129</v>
      </c>
      <c r="D212" t="s">
        <v>845</v>
      </c>
      <c r="E212" t="s">
        <v>846</v>
      </c>
      <c r="F212">
        <v>5</v>
      </c>
      <c r="G212" t="s">
        <v>662</v>
      </c>
      <c r="H212" t="s">
        <v>436</v>
      </c>
      <c r="I212">
        <v>1760992310.94615</v>
      </c>
      <c r="J212">
        <f>(K212)/1000</f>
        <v>0</v>
      </c>
      <c r="K212">
        <f>IF(DP212, AN212, AH212)</f>
        <v>0</v>
      </c>
      <c r="L212">
        <f>IF(DP212, AI212, AG212)</f>
        <v>0</v>
      </c>
      <c r="M212">
        <f>DR212 - IF(AU212&gt;1, L212*DL212*100.0/(AW212), 0)</f>
        <v>0</v>
      </c>
      <c r="N212">
        <f>((T212-J212/2)*M212-L212)/(T212+J212/2)</f>
        <v>0</v>
      </c>
      <c r="O212">
        <f>N212*(DY212+DZ212)/1000.0</f>
        <v>0</v>
      </c>
      <c r="P212">
        <f>(DR212 - IF(AU212&gt;1, L212*DL212*100.0/(AW212), 0))*(DY212+DZ212)/1000.0</f>
        <v>0</v>
      </c>
      <c r="Q212">
        <f>2.0/((1/S212-1/R212)+SIGN(S212)*SQRT((1/S212-1/R212)*(1/S212-1/R212) + 4*DM212/((DM212+1)*(DM212+1))*(2*1/S212*1/R212-1/R212*1/R212)))</f>
        <v>0</v>
      </c>
      <c r="R212">
        <f>IF(LEFT(DN212,1)&lt;&gt;"0",IF(LEFT(DN212,1)="1",3.0,DO212),$D$5+$E$5*(EF212*DY212/($K$5*1000))+$F$5*(EF212*DY212/($K$5*1000))*MAX(MIN(DL212,$J$5),$I$5)*MAX(MIN(DL212,$J$5),$I$5)+$G$5*MAX(MIN(DL212,$J$5),$I$5)*(EF212*DY212/($K$5*1000))+$H$5*(EF212*DY212/($K$5*1000))*(EF212*DY212/($K$5*1000)))</f>
        <v>0</v>
      </c>
      <c r="S212">
        <f>J212*(1000-(1000*0.61365*exp(17.502*W212/(240.97+W212))/(DY212+DZ212)+DT212)/2)/(1000*0.61365*exp(17.502*W212/(240.97+W212))/(DY212+DZ212)-DT212)</f>
        <v>0</v>
      </c>
      <c r="T212">
        <f>1/((DM212+1)/(Q212/1.6)+1/(R212/1.37)) + DM212/((DM212+1)/(Q212/1.6) + DM212/(R212/1.37))</f>
        <v>0</v>
      </c>
      <c r="U212">
        <f>(DH212*DK212)</f>
        <v>0</v>
      </c>
      <c r="V212">
        <f>(EA212+(U212+2*0.95*5.67E-8*(((EA212+$B$7)+273)^4-(EA212+273)^4)-44100*J212)/(1.84*29.3*R212+8*0.95*5.67E-8*(EA212+273)^3))</f>
        <v>0</v>
      </c>
      <c r="W212">
        <f>($C$7*EB212+$D$7*EC212+$E$7*V212)</f>
        <v>0</v>
      </c>
      <c r="X212">
        <f>0.61365*exp(17.502*W212/(240.97+W212))</f>
        <v>0</v>
      </c>
      <c r="Y212">
        <f>(Z212/AA212*100)</f>
        <v>0</v>
      </c>
      <c r="Z212">
        <f>DT212*(DY212+DZ212)/1000</f>
        <v>0</v>
      </c>
      <c r="AA212">
        <f>0.61365*exp(17.502*EA212/(240.97+EA212))</f>
        <v>0</v>
      </c>
      <c r="AB212">
        <f>(X212-DT212*(DY212+DZ212)/1000)</f>
        <v>0</v>
      </c>
      <c r="AC212">
        <f>(-J212*44100)</f>
        <v>0</v>
      </c>
      <c r="AD212">
        <f>2*29.3*R212*0.92*(EA212-W212)</f>
        <v>0</v>
      </c>
      <c r="AE212">
        <f>2*0.95*5.67E-8*(((EA212+$B$7)+273)^4-(W212+273)^4)</f>
        <v>0</v>
      </c>
      <c r="AF212">
        <f>U212+AE212+AC212+AD212</f>
        <v>0</v>
      </c>
      <c r="AG212">
        <f>DX212*AU212*(DS212-DR212*(1000-AU212*DU212)/(1000-AU212*DT212))/(100*DL212)</f>
        <v>0</v>
      </c>
      <c r="AH212">
        <f>1000*DX212*AU212*(DT212-DU212)/(100*DL212*(1000-AU212*DT212))</f>
        <v>0</v>
      </c>
      <c r="AI212">
        <f>(AJ212 - AK212 - DY212*1E3/(8.314*(EA212+273.15)) * AM212/DX212 * AL212) * DX212/(100*DL212) * (1000 - DU212)/1000</f>
        <v>0</v>
      </c>
      <c r="AJ212">
        <v>1539.32102103109</v>
      </c>
      <c r="AK212">
        <v>1499.55381818182</v>
      </c>
      <c r="AL212">
        <v>3.90419743732294</v>
      </c>
      <c r="AM212">
        <v>65.2210784119795</v>
      </c>
      <c r="AN212">
        <f>(AP212 - AO212 + DY212*1E3/(8.314*(EA212+273.15)) * AR212/DX212 * AQ212) * DX212/(100*DL212) * 1000/(1000 - AP212)</f>
        <v>0</v>
      </c>
      <c r="AO212">
        <v>9.70991445674972</v>
      </c>
      <c r="AP212">
        <v>11.8800187878788</v>
      </c>
      <c r="AQ212">
        <v>-3.31762881372711e-06</v>
      </c>
      <c r="AR212">
        <v>115.574510355221</v>
      </c>
      <c r="AS212">
        <v>0</v>
      </c>
      <c r="AT212">
        <v>0</v>
      </c>
      <c r="AU212">
        <f>IF(AS212*$H$13&gt;=AW212,1.0,(AW212/(AW212-AS212*$H$13)))</f>
        <v>0</v>
      </c>
      <c r="AV212">
        <f>(AU212-1)*100</f>
        <v>0</v>
      </c>
      <c r="AW212">
        <f>MAX(0,($B$13+$C$13*EF212)/(1+$D$13*EF212)*DY212/(EA212+273)*$E$13)</f>
        <v>0</v>
      </c>
      <c r="AX212" t="s">
        <v>437</v>
      </c>
      <c r="AY212" t="s">
        <v>437</v>
      </c>
      <c r="AZ212">
        <v>0</v>
      </c>
      <c r="BA212">
        <v>0</v>
      </c>
      <c r="BB212">
        <f>1-AZ212/BA212</f>
        <v>0</v>
      </c>
      <c r="BC212">
        <v>0</v>
      </c>
      <c r="BD212" t="s">
        <v>437</v>
      </c>
      <c r="BE212" t="s">
        <v>437</v>
      </c>
      <c r="BF212">
        <v>0</v>
      </c>
      <c r="BG212">
        <v>0</v>
      </c>
      <c r="BH212">
        <f>1-BF212/BG212</f>
        <v>0</v>
      </c>
      <c r="BI212">
        <v>0.5</v>
      </c>
      <c r="BJ212">
        <f>DI212</f>
        <v>0</v>
      </c>
      <c r="BK212">
        <f>L212</f>
        <v>0</v>
      </c>
      <c r="BL212">
        <f>BH212*BI212*BJ212</f>
        <v>0</v>
      </c>
      <c r="BM212">
        <f>(BK212-BC212)/BJ212</f>
        <v>0</v>
      </c>
      <c r="BN212">
        <f>(BA212-BG212)/BG212</f>
        <v>0</v>
      </c>
      <c r="BO212">
        <f>AZ212/(BB212+AZ212/BG212)</f>
        <v>0</v>
      </c>
      <c r="BP212" t="s">
        <v>437</v>
      </c>
      <c r="BQ212">
        <v>0</v>
      </c>
      <c r="BR212">
        <f>IF(BQ212&lt;&gt;0, BQ212, BO212)</f>
        <v>0</v>
      </c>
      <c r="BS212">
        <f>1-BR212/BG212</f>
        <v>0</v>
      </c>
      <c r="BT212">
        <f>(BG212-BF212)/(BG212-BR212)</f>
        <v>0</v>
      </c>
      <c r="BU212">
        <f>(BA212-BG212)/(BA212-BR212)</f>
        <v>0</v>
      </c>
      <c r="BV212">
        <f>(BG212-BF212)/(BG212-AZ212)</f>
        <v>0</v>
      </c>
      <c r="BW212">
        <f>(BA212-BG212)/(BA212-AZ212)</f>
        <v>0</v>
      </c>
      <c r="BX212">
        <f>(BT212*BR212/BF212)</f>
        <v>0</v>
      </c>
      <c r="BY212">
        <f>(1-BX212)</f>
        <v>0</v>
      </c>
      <c r="BZ212">
        <v>282</v>
      </c>
      <c r="CA212">
        <v>290</v>
      </c>
      <c r="CB212">
        <v>1577.74</v>
      </c>
      <c r="CC212">
        <v>295</v>
      </c>
      <c r="CD212">
        <v>5140.93</v>
      </c>
      <c r="CE212">
        <v>1578.58</v>
      </c>
      <c r="CF212">
        <v>-0.84</v>
      </c>
      <c r="CG212">
        <v>300</v>
      </c>
      <c r="CH212">
        <v>23.8</v>
      </c>
      <c r="CI212">
        <v>1633.28263291266</v>
      </c>
      <c r="CJ212">
        <v>1.49577129053257</v>
      </c>
      <c r="CK212">
        <v>-28.1203876934379</v>
      </c>
      <c r="CL212">
        <v>0.666413418688897</v>
      </c>
      <c r="CM212">
        <v>0.984518017981194</v>
      </c>
      <c r="CN212">
        <v>-0.00424727541713014</v>
      </c>
      <c r="CO212">
        <v>290</v>
      </c>
      <c r="CP212">
        <v>1576.56</v>
      </c>
      <c r="CQ212">
        <v>775</v>
      </c>
      <c r="CR212">
        <v>5139.5</v>
      </c>
      <c r="CS212">
        <v>1578.57</v>
      </c>
      <c r="CT212">
        <v>-2.01</v>
      </c>
      <c r="DH212">
        <f>$B$11*EG212+$C$11*EH212+$F$11*ES212*(1-EV212)</f>
        <v>0</v>
      </c>
      <c r="DI212">
        <f>DH212*DJ212</f>
        <v>0</v>
      </c>
      <c r="DJ212">
        <f>($B$11*$D$9+$C$11*$D$9+$F$11*((FF212+EX212)/MAX(FF212+EX212+FG212, 0.1)*$I$9+FG212/MAX(FF212+EX212+FG212, 0.1)*$J$9))/($B$11+$C$11+$F$11)</f>
        <v>0</v>
      </c>
      <c r="DK212">
        <f>($B$11*$K$9+$C$11*$K$9+$F$11*((FF212+EX212)/MAX(FF212+EX212+FG212, 0.1)*$P$9+FG212/MAX(FF212+EX212+FG212, 0.1)*$Q$9))/($B$11+$C$11+$F$11)</f>
        <v>0</v>
      </c>
      <c r="DL212">
        <v>6</v>
      </c>
      <c r="DM212">
        <v>0.5</v>
      </c>
      <c r="DN212" t="s">
        <v>438</v>
      </c>
      <c r="DO212">
        <v>2</v>
      </c>
      <c r="DP212" t="b">
        <v>1</v>
      </c>
      <c r="DQ212">
        <v>1760992310.94615</v>
      </c>
      <c r="DR212">
        <v>1454.91769230769</v>
      </c>
      <c r="DS212">
        <v>1505.46230769231</v>
      </c>
      <c r="DT212">
        <v>11.8787615384615</v>
      </c>
      <c r="DU212">
        <v>9.71047</v>
      </c>
      <c r="DV212">
        <v>1448.46769230769</v>
      </c>
      <c r="DW212">
        <v>11.9890769230769</v>
      </c>
      <c r="DX212">
        <v>500.005846153846</v>
      </c>
      <c r="DY212">
        <v>89.8456153846154</v>
      </c>
      <c r="DZ212">
        <v>0.00875242307692308</v>
      </c>
      <c r="EA212">
        <v>18.3391461538462</v>
      </c>
      <c r="EB212">
        <v>17.9901307692308</v>
      </c>
      <c r="EC212">
        <v>999.9</v>
      </c>
      <c r="ED212">
        <v>0</v>
      </c>
      <c r="EE212">
        <v>0</v>
      </c>
      <c r="EF212">
        <v>10016.44</v>
      </c>
      <c r="EG212">
        <v>0</v>
      </c>
      <c r="EH212">
        <v>1278.51307692308</v>
      </c>
      <c r="EI212">
        <v>-50.5450307692308</v>
      </c>
      <c r="EJ212">
        <v>1472.40692307692</v>
      </c>
      <c r="EK212">
        <v>1520.22307692308</v>
      </c>
      <c r="EL212">
        <v>2.16828846153846</v>
      </c>
      <c r="EM212">
        <v>1505.46230769231</v>
      </c>
      <c r="EN212">
        <v>9.71047</v>
      </c>
      <c r="EO212">
        <v>1.06725384615385</v>
      </c>
      <c r="EP212">
        <v>0.872443076923077</v>
      </c>
      <c r="EQ212">
        <v>7.86836230769231</v>
      </c>
      <c r="ER212">
        <v>4.94403076923077</v>
      </c>
      <c r="ES212">
        <v>1200.01692307692</v>
      </c>
      <c r="ET212">
        <v>0.967011</v>
      </c>
      <c r="EU212">
        <v>0.0329886</v>
      </c>
      <c r="EV212">
        <v>0</v>
      </c>
      <c r="EW212">
        <v>1291.24384615385</v>
      </c>
      <c r="EX212">
        <v>5.00059</v>
      </c>
      <c r="EY212">
        <v>15182.9769230769</v>
      </c>
      <c r="EZ212">
        <v>10358.9</v>
      </c>
      <c r="FA212">
        <v>36.3219230769231</v>
      </c>
      <c r="FB212">
        <v>38.0093846153846</v>
      </c>
      <c r="FC212">
        <v>36.7449230769231</v>
      </c>
      <c r="FD212">
        <v>37.2209230769231</v>
      </c>
      <c r="FE212">
        <v>37.2593076923077</v>
      </c>
      <c r="FF212">
        <v>1155.59692307692</v>
      </c>
      <c r="FG212">
        <v>39.42</v>
      </c>
      <c r="FH212">
        <v>0</v>
      </c>
      <c r="FI212">
        <v>1175</v>
      </c>
      <c r="FJ212">
        <v>0</v>
      </c>
      <c r="FK212">
        <v>1291.16230769231</v>
      </c>
      <c r="FL212">
        <v>-9.17948718501058</v>
      </c>
      <c r="FM212">
        <v>-130.817094016446</v>
      </c>
      <c r="FN212">
        <v>15181.3153846154</v>
      </c>
      <c r="FO212">
        <v>15</v>
      </c>
      <c r="FP212">
        <v>0</v>
      </c>
      <c r="FQ212" t="s">
        <v>439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-49.9563761904762</v>
      </c>
      <c r="GD212">
        <v>-12.3698025974027</v>
      </c>
      <c r="GE212">
        <v>1.50933055576834</v>
      </c>
      <c r="GF212">
        <v>0</v>
      </c>
      <c r="GG212">
        <v>1291.815</v>
      </c>
      <c r="GH212">
        <v>-8.95355232987953</v>
      </c>
      <c r="GI212">
        <v>0.891615354946568</v>
      </c>
      <c r="GJ212">
        <v>-1</v>
      </c>
      <c r="GK212">
        <v>2.16695428571429</v>
      </c>
      <c r="GL212">
        <v>0.0229199999999979</v>
      </c>
      <c r="GM212">
        <v>0.00240632019289793</v>
      </c>
      <c r="GN212">
        <v>1</v>
      </c>
      <c r="GO212">
        <v>1</v>
      </c>
      <c r="GP212">
        <v>2</v>
      </c>
      <c r="GQ212" t="s">
        <v>446</v>
      </c>
      <c r="GR212">
        <v>3.13076</v>
      </c>
      <c r="GS212">
        <v>2.6866</v>
      </c>
      <c r="GT212">
        <v>0.211425</v>
      </c>
      <c r="GU212">
        <v>0.216151</v>
      </c>
      <c r="GV212">
        <v>0.0619501</v>
      </c>
      <c r="GW212">
        <v>0.0528897</v>
      </c>
      <c r="GX212">
        <v>29887.6</v>
      </c>
      <c r="GY212">
        <v>31923.5</v>
      </c>
      <c r="GZ212">
        <v>34262.5</v>
      </c>
      <c r="HA212">
        <v>36844.8</v>
      </c>
      <c r="HB212">
        <v>45348.9</v>
      </c>
      <c r="HC212">
        <v>50053.1</v>
      </c>
      <c r="HD212">
        <v>53336.3</v>
      </c>
      <c r="HE212">
        <v>58771.1</v>
      </c>
      <c r="HF212">
        <v>2.00807</v>
      </c>
      <c r="HG212">
        <v>1.83853</v>
      </c>
      <c r="HH212">
        <v>0.00880286</v>
      </c>
      <c r="HI212">
        <v>0</v>
      </c>
      <c r="HJ212">
        <v>17.8492</v>
      </c>
      <c r="HK212">
        <v>999.9</v>
      </c>
      <c r="HL212">
        <v>26.511</v>
      </c>
      <c r="HM212">
        <v>30.414</v>
      </c>
      <c r="HN212">
        <v>12.8737</v>
      </c>
      <c r="HO212">
        <v>54.4628</v>
      </c>
      <c r="HP212">
        <v>44.0465</v>
      </c>
      <c r="HQ212">
        <v>1</v>
      </c>
      <c r="HR212">
        <v>-0.260117</v>
      </c>
      <c r="HS212">
        <v>4.62959</v>
      </c>
      <c r="HT212">
        <v>20.077</v>
      </c>
      <c r="HU212">
        <v>5.19917</v>
      </c>
      <c r="HV212">
        <v>12.004</v>
      </c>
      <c r="HW212">
        <v>4.9756</v>
      </c>
      <c r="HX212">
        <v>3.29298</v>
      </c>
      <c r="HY212">
        <v>9999</v>
      </c>
      <c r="HZ212">
        <v>999.9</v>
      </c>
      <c r="IA212">
        <v>9999</v>
      </c>
      <c r="IB212">
        <v>9999</v>
      </c>
      <c r="IC212">
        <v>1.86323</v>
      </c>
      <c r="ID212">
        <v>1.86808</v>
      </c>
      <c r="IE212">
        <v>1.86783</v>
      </c>
      <c r="IF212">
        <v>1.86905</v>
      </c>
      <c r="IG212">
        <v>1.86981</v>
      </c>
      <c r="IH212">
        <v>1.86587</v>
      </c>
      <c r="II212">
        <v>1.86693</v>
      </c>
      <c r="IJ212">
        <v>1.86841</v>
      </c>
      <c r="IK212">
        <v>5</v>
      </c>
      <c r="IL212">
        <v>0</v>
      </c>
      <c r="IM212">
        <v>0</v>
      </c>
      <c r="IN212">
        <v>0</v>
      </c>
      <c r="IO212" t="s">
        <v>441</v>
      </c>
      <c r="IP212" t="s">
        <v>442</v>
      </c>
      <c r="IQ212" t="s">
        <v>443</v>
      </c>
      <c r="IR212" t="s">
        <v>443</v>
      </c>
      <c r="IS212" t="s">
        <v>443</v>
      </c>
      <c r="IT212" t="s">
        <v>443</v>
      </c>
      <c r="IU212">
        <v>0</v>
      </c>
      <c r="IV212">
        <v>100</v>
      </c>
      <c r="IW212">
        <v>100</v>
      </c>
      <c r="IX212">
        <v>6.56</v>
      </c>
      <c r="IY212">
        <v>-0.1104</v>
      </c>
      <c r="IZ212">
        <v>1.12474291219083</v>
      </c>
      <c r="JA212">
        <v>0.00463155566490582</v>
      </c>
      <c r="JB212">
        <v>-1.1358998729424e-06</v>
      </c>
      <c r="JC212">
        <v>3.28704272115545e-10</v>
      </c>
      <c r="JD212">
        <v>-0.0704455108513773</v>
      </c>
      <c r="JE212">
        <v>-0.0251928478371425</v>
      </c>
      <c r="JF212">
        <v>0.00225751704194564</v>
      </c>
      <c r="JG212">
        <v>-3.61734043746866e-05</v>
      </c>
      <c r="JH212">
        <v>1</v>
      </c>
      <c r="JI212">
        <v>2182</v>
      </c>
      <c r="JJ212">
        <v>0</v>
      </c>
      <c r="JK212">
        <v>24</v>
      </c>
      <c r="JL212">
        <v>29349872</v>
      </c>
      <c r="JM212">
        <v>29349872</v>
      </c>
      <c r="JN212">
        <v>2.87354</v>
      </c>
      <c r="JO212">
        <v>2.60254</v>
      </c>
      <c r="JP212">
        <v>1.54785</v>
      </c>
      <c r="JQ212">
        <v>2.31445</v>
      </c>
      <c r="JR212">
        <v>1.64673</v>
      </c>
      <c r="JS212">
        <v>2.35474</v>
      </c>
      <c r="JT212">
        <v>33.6029</v>
      </c>
      <c r="JU212">
        <v>24.1838</v>
      </c>
      <c r="JV212">
        <v>18</v>
      </c>
      <c r="JW212">
        <v>500.963</v>
      </c>
      <c r="JX212">
        <v>395.426</v>
      </c>
      <c r="JY212">
        <v>11.5921</v>
      </c>
      <c r="JZ212">
        <v>24.0074</v>
      </c>
      <c r="KA212">
        <v>30.0002</v>
      </c>
      <c r="KB212">
        <v>23.9988</v>
      </c>
      <c r="KC212">
        <v>23.9666</v>
      </c>
      <c r="KD212">
        <v>57.5415</v>
      </c>
      <c r="KE212">
        <v>7.61617</v>
      </c>
      <c r="KF212">
        <v>26.5359</v>
      </c>
      <c r="KG212">
        <v>11.5945</v>
      </c>
      <c r="KH212">
        <v>1559.73</v>
      </c>
      <c r="KI212">
        <v>9.60515</v>
      </c>
      <c r="KJ212">
        <v>97.0345</v>
      </c>
      <c r="KK212">
        <v>95.2938</v>
      </c>
    </row>
    <row r="213" spans="1:297">
      <c r="A213">
        <v>197</v>
      </c>
      <c r="B213">
        <v>1760992324.1</v>
      </c>
      <c r="C213">
        <v>3134</v>
      </c>
      <c r="D213" t="s">
        <v>847</v>
      </c>
      <c r="E213" t="s">
        <v>848</v>
      </c>
      <c r="F213">
        <v>5</v>
      </c>
      <c r="G213" t="s">
        <v>662</v>
      </c>
      <c r="H213" t="s">
        <v>436</v>
      </c>
      <c r="I213">
        <v>1760992315.94615</v>
      </c>
      <c r="J213">
        <f>(K213)/1000</f>
        <v>0</v>
      </c>
      <c r="K213">
        <f>IF(DP213, AN213, AH213)</f>
        <v>0</v>
      </c>
      <c r="L213">
        <f>IF(DP213, AI213, AG213)</f>
        <v>0</v>
      </c>
      <c r="M213">
        <f>DR213 - IF(AU213&gt;1, L213*DL213*100.0/(AW213), 0)</f>
        <v>0</v>
      </c>
      <c r="N213">
        <f>((T213-J213/2)*M213-L213)/(T213+J213/2)</f>
        <v>0</v>
      </c>
      <c r="O213">
        <f>N213*(DY213+DZ213)/1000.0</f>
        <v>0</v>
      </c>
      <c r="P213">
        <f>(DR213 - IF(AU213&gt;1, L213*DL213*100.0/(AW213), 0))*(DY213+DZ213)/1000.0</f>
        <v>0</v>
      </c>
      <c r="Q213">
        <f>2.0/((1/S213-1/R213)+SIGN(S213)*SQRT((1/S213-1/R213)*(1/S213-1/R213) + 4*DM213/((DM213+1)*(DM213+1))*(2*1/S213*1/R213-1/R213*1/R213)))</f>
        <v>0</v>
      </c>
      <c r="R213">
        <f>IF(LEFT(DN213,1)&lt;&gt;"0",IF(LEFT(DN213,1)="1",3.0,DO213),$D$5+$E$5*(EF213*DY213/($K$5*1000))+$F$5*(EF213*DY213/($K$5*1000))*MAX(MIN(DL213,$J$5),$I$5)*MAX(MIN(DL213,$J$5),$I$5)+$G$5*MAX(MIN(DL213,$J$5),$I$5)*(EF213*DY213/($K$5*1000))+$H$5*(EF213*DY213/($K$5*1000))*(EF213*DY213/($K$5*1000)))</f>
        <v>0</v>
      </c>
      <c r="S213">
        <f>J213*(1000-(1000*0.61365*exp(17.502*W213/(240.97+W213))/(DY213+DZ213)+DT213)/2)/(1000*0.61365*exp(17.502*W213/(240.97+W213))/(DY213+DZ213)-DT213)</f>
        <v>0</v>
      </c>
      <c r="T213">
        <f>1/((DM213+1)/(Q213/1.6)+1/(R213/1.37)) + DM213/((DM213+1)/(Q213/1.6) + DM213/(R213/1.37))</f>
        <v>0</v>
      </c>
      <c r="U213">
        <f>(DH213*DK213)</f>
        <v>0</v>
      </c>
      <c r="V213">
        <f>(EA213+(U213+2*0.95*5.67E-8*(((EA213+$B$7)+273)^4-(EA213+273)^4)-44100*J213)/(1.84*29.3*R213+8*0.95*5.67E-8*(EA213+273)^3))</f>
        <v>0</v>
      </c>
      <c r="W213">
        <f>($C$7*EB213+$D$7*EC213+$E$7*V213)</f>
        <v>0</v>
      </c>
      <c r="X213">
        <f>0.61365*exp(17.502*W213/(240.97+W213))</f>
        <v>0</v>
      </c>
      <c r="Y213">
        <f>(Z213/AA213*100)</f>
        <v>0</v>
      </c>
      <c r="Z213">
        <f>DT213*(DY213+DZ213)/1000</f>
        <v>0</v>
      </c>
      <c r="AA213">
        <f>0.61365*exp(17.502*EA213/(240.97+EA213))</f>
        <v>0</v>
      </c>
      <c r="AB213">
        <f>(X213-DT213*(DY213+DZ213)/1000)</f>
        <v>0</v>
      </c>
      <c r="AC213">
        <f>(-J213*44100)</f>
        <v>0</v>
      </c>
      <c r="AD213">
        <f>2*29.3*R213*0.92*(EA213-W213)</f>
        <v>0</v>
      </c>
      <c r="AE213">
        <f>2*0.95*5.67E-8*(((EA213+$B$7)+273)^4-(W213+273)^4)</f>
        <v>0</v>
      </c>
      <c r="AF213">
        <f>U213+AE213+AC213+AD213</f>
        <v>0</v>
      </c>
      <c r="AG213">
        <f>DX213*AU213*(DS213-DR213*(1000-AU213*DU213)/(1000-AU213*DT213))/(100*DL213)</f>
        <v>0</v>
      </c>
      <c r="AH213">
        <f>1000*DX213*AU213*(DT213-DU213)/(100*DL213*(1000-AU213*DT213))</f>
        <v>0</v>
      </c>
      <c r="AI213">
        <f>(AJ213 - AK213 - DY213*1E3/(8.314*(EA213+273.15)) * AM213/DX213 * AL213) * DX213/(100*DL213) * (1000 - DU213)/1000</f>
        <v>0</v>
      </c>
      <c r="AJ213">
        <v>1556.84891670198</v>
      </c>
      <c r="AK213">
        <v>1518.03103030303</v>
      </c>
      <c r="AL213">
        <v>3.66268189161584</v>
      </c>
      <c r="AM213">
        <v>65.2210784119795</v>
      </c>
      <c r="AN213">
        <f>(AP213 - AO213 + DY213*1E3/(8.314*(EA213+273.15)) * AR213/DX213 * AQ213) * DX213/(100*DL213) * 1000/(1000 - AP213)</f>
        <v>0</v>
      </c>
      <c r="AO213">
        <v>9.6999404912632</v>
      </c>
      <c r="AP213">
        <v>11.88096</v>
      </c>
      <c r="AQ213">
        <v>4.10173870645249e-06</v>
      </c>
      <c r="AR213">
        <v>115.574510355221</v>
      </c>
      <c r="AS213">
        <v>0</v>
      </c>
      <c r="AT213">
        <v>0</v>
      </c>
      <c r="AU213">
        <f>IF(AS213*$H$13&gt;=AW213,1.0,(AW213/(AW213-AS213*$H$13)))</f>
        <v>0</v>
      </c>
      <c r="AV213">
        <f>(AU213-1)*100</f>
        <v>0</v>
      </c>
      <c r="AW213">
        <f>MAX(0,($B$13+$C$13*EF213)/(1+$D$13*EF213)*DY213/(EA213+273)*$E$13)</f>
        <v>0</v>
      </c>
      <c r="AX213" t="s">
        <v>437</v>
      </c>
      <c r="AY213" t="s">
        <v>437</v>
      </c>
      <c r="AZ213">
        <v>0</v>
      </c>
      <c r="BA213">
        <v>0</v>
      </c>
      <c r="BB213">
        <f>1-AZ213/BA213</f>
        <v>0</v>
      </c>
      <c r="BC213">
        <v>0</v>
      </c>
      <c r="BD213" t="s">
        <v>437</v>
      </c>
      <c r="BE213" t="s">
        <v>437</v>
      </c>
      <c r="BF213">
        <v>0</v>
      </c>
      <c r="BG213">
        <v>0</v>
      </c>
      <c r="BH213">
        <f>1-BF213/BG213</f>
        <v>0</v>
      </c>
      <c r="BI213">
        <v>0.5</v>
      </c>
      <c r="BJ213">
        <f>DI213</f>
        <v>0</v>
      </c>
      <c r="BK213">
        <f>L213</f>
        <v>0</v>
      </c>
      <c r="BL213">
        <f>BH213*BI213*BJ213</f>
        <v>0</v>
      </c>
      <c r="BM213">
        <f>(BK213-BC213)/BJ213</f>
        <v>0</v>
      </c>
      <c r="BN213">
        <f>(BA213-BG213)/BG213</f>
        <v>0</v>
      </c>
      <c r="BO213">
        <f>AZ213/(BB213+AZ213/BG213)</f>
        <v>0</v>
      </c>
      <c r="BP213" t="s">
        <v>437</v>
      </c>
      <c r="BQ213">
        <v>0</v>
      </c>
      <c r="BR213">
        <f>IF(BQ213&lt;&gt;0, BQ213, BO213)</f>
        <v>0</v>
      </c>
      <c r="BS213">
        <f>1-BR213/BG213</f>
        <v>0</v>
      </c>
      <c r="BT213">
        <f>(BG213-BF213)/(BG213-BR213)</f>
        <v>0</v>
      </c>
      <c r="BU213">
        <f>(BA213-BG213)/(BA213-BR213)</f>
        <v>0</v>
      </c>
      <c r="BV213">
        <f>(BG213-BF213)/(BG213-AZ213)</f>
        <v>0</v>
      </c>
      <c r="BW213">
        <f>(BA213-BG213)/(BA213-AZ213)</f>
        <v>0</v>
      </c>
      <c r="BX213">
        <f>(BT213*BR213/BF213)</f>
        <v>0</v>
      </c>
      <c r="BY213">
        <f>(1-BX213)</f>
        <v>0</v>
      </c>
      <c r="BZ213">
        <v>282</v>
      </c>
      <c r="CA213">
        <v>290</v>
      </c>
      <c r="CB213">
        <v>1577.74</v>
      </c>
      <c r="CC213">
        <v>295</v>
      </c>
      <c r="CD213">
        <v>5140.93</v>
      </c>
      <c r="CE213">
        <v>1578.58</v>
      </c>
      <c r="CF213">
        <v>-0.84</v>
      </c>
      <c r="CG213">
        <v>300</v>
      </c>
      <c r="CH213">
        <v>23.8</v>
      </c>
      <c r="CI213">
        <v>1633.28263291266</v>
      </c>
      <c r="CJ213">
        <v>1.49577129053257</v>
      </c>
      <c r="CK213">
        <v>-28.1203876934379</v>
      </c>
      <c r="CL213">
        <v>0.666413418688897</v>
      </c>
      <c r="CM213">
        <v>0.984518017981194</v>
      </c>
      <c r="CN213">
        <v>-0.00424727541713014</v>
      </c>
      <c r="CO213">
        <v>290</v>
      </c>
      <c r="CP213">
        <v>1576.56</v>
      </c>
      <c r="CQ213">
        <v>775</v>
      </c>
      <c r="CR213">
        <v>5139.5</v>
      </c>
      <c r="CS213">
        <v>1578.57</v>
      </c>
      <c r="CT213">
        <v>-2.01</v>
      </c>
      <c r="DH213">
        <f>$B$11*EG213+$C$11*EH213+$F$11*ES213*(1-EV213)</f>
        <v>0</v>
      </c>
      <c r="DI213">
        <f>DH213*DJ213</f>
        <v>0</v>
      </c>
      <c r="DJ213">
        <f>($B$11*$D$9+$C$11*$D$9+$F$11*((FF213+EX213)/MAX(FF213+EX213+FG213, 0.1)*$I$9+FG213/MAX(FF213+EX213+FG213, 0.1)*$J$9))/($B$11+$C$11+$F$11)</f>
        <v>0</v>
      </c>
      <c r="DK213">
        <f>($B$11*$K$9+$C$11*$K$9+$F$11*((FF213+EX213)/MAX(FF213+EX213+FG213, 0.1)*$P$9+FG213/MAX(FF213+EX213+FG213, 0.1)*$Q$9))/($B$11+$C$11+$F$11)</f>
        <v>0</v>
      </c>
      <c r="DL213">
        <v>6</v>
      </c>
      <c r="DM213">
        <v>0.5</v>
      </c>
      <c r="DN213" t="s">
        <v>438</v>
      </c>
      <c r="DO213">
        <v>2</v>
      </c>
      <c r="DP213" t="b">
        <v>1</v>
      </c>
      <c r="DQ213">
        <v>1760992315.94615</v>
      </c>
      <c r="DR213">
        <v>1473.38923076923</v>
      </c>
      <c r="DS213">
        <v>1524.41769230769</v>
      </c>
      <c r="DT213">
        <v>11.8798384615385</v>
      </c>
      <c r="DU213">
        <v>9.70781076923077</v>
      </c>
      <c r="DV213">
        <v>1466.87769230769</v>
      </c>
      <c r="DW213">
        <v>11.9901384615385</v>
      </c>
      <c r="DX213">
        <v>500.003461538462</v>
      </c>
      <c r="DY213">
        <v>89.8452230769231</v>
      </c>
      <c r="DZ213">
        <v>0.00865193846153846</v>
      </c>
      <c r="EA213">
        <v>18.3367461538462</v>
      </c>
      <c r="EB213">
        <v>17.9902769230769</v>
      </c>
      <c r="EC213">
        <v>999.9</v>
      </c>
      <c r="ED213">
        <v>0</v>
      </c>
      <c r="EE213">
        <v>0</v>
      </c>
      <c r="EF213">
        <v>10017.1615384615</v>
      </c>
      <c r="EG213">
        <v>0</v>
      </c>
      <c r="EH213">
        <v>1278.51153846154</v>
      </c>
      <c r="EI213">
        <v>-51.0293615384615</v>
      </c>
      <c r="EJ213">
        <v>1491.10230769231</v>
      </c>
      <c r="EK213">
        <v>1539.36230769231</v>
      </c>
      <c r="EL213">
        <v>2.17202307692308</v>
      </c>
      <c r="EM213">
        <v>1524.41769230769</v>
      </c>
      <c r="EN213">
        <v>9.70781076923077</v>
      </c>
      <c r="EO213">
        <v>1.06734461538462</v>
      </c>
      <c r="EP213">
        <v>0.872200384615385</v>
      </c>
      <c r="EQ213">
        <v>7.86962615384615</v>
      </c>
      <c r="ER213">
        <v>4.94004</v>
      </c>
      <c r="ES213">
        <v>1199.97</v>
      </c>
      <c r="ET213">
        <v>0.967009153846154</v>
      </c>
      <c r="EU213">
        <v>0.0329904461538462</v>
      </c>
      <c r="EV213">
        <v>0</v>
      </c>
      <c r="EW213">
        <v>1290.36923076923</v>
      </c>
      <c r="EX213">
        <v>5.00059</v>
      </c>
      <c r="EY213">
        <v>15171.9384615385</v>
      </c>
      <c r="EZ213">
        <v>10358.5</v>
      </c>
      <c r="FA213">
        <v>36.293</v>
      </c>
      <c r="FB213">
        <v>38.0046923076923</v>
      </c>
      <c r="FC213">
        <v>36.7257692307692</v>
      </c>
      <c r="FD213">
        <v>37.2304615384615</v>
      </c>
      <c r="FE213">
        <v>37.245</v>
      </c>
      <c r="FF213">
        <v>1155.54846153846</v>
      </c>
      <c r="FG213">
        <v>39.4207692307692</v>
      </c>
      <c r="FH213">
        <v>0</v>
      </c>
      <c r="FI213">
        <v>1179.80000019073</v>
      </c>
      <c r="FJ213">
        <v>0</v>
      </c>
      <c r="FK213">
        <v>1290.33</v>
      </c>
      <c r="FL213">
        <v>-11.4037606978343</v>
      </c>
      <c r="FM213">
        <v>-133.702564133346</v>
      </c>
      <c r="FN213">
        <v>15170.7307692308</v>
      </c>
      <c r="FO213">
        <v>15</v>
      </c>
      <c r="FP213">
        <v>0</v>
      </c>
      <c r="FQ213" t="s">
        <v>439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-50.4286952380952</v>
      </c>
      <c r="GD213">
        <v>-7.92776103896112</v>
      </c>
      <c r="GE213">
        <v>1.35590375184341</v>
      </c>
      <c r="GF213">
        <v>0</v>
      </c>
      <c r="GG213">
        <v>1290.92911764706</v>
      </c>
      <c r="GH213">
        <v>-9.96073339294829</v>
      </c>
      <c r="GI213">
        <v>0.995086066768498</v>
      </c>
      <c r="GJ213">
        <v>-1</v>
      </c>
      <c r="GK213">
        <v>2.17019571428571</v>
      </c>
      <c r="GL213">
        <v>0.0394137662337693</v>
      </c>
      <c r="GM213">
        <v>0.00437018314035831</v>
      </c>
      <c r="GN213">
        <v>1</v>
      </c>
      <c r="GO213">
        <v>1</v>
      </c>
      <c r="GP213">
        <v>2</v>
      </c>
      <c r="GQ213" t="s">
        <v>446</v>
      </c>
      <c r="GR213">
        <v>3.13083</v>
      </c>
      <c r="GS213">
        <v>2.68683</v>
      </c>
      <c r="GT213">
        <v>0.212989</v>
      </c>
      <c r="GU213">
        <v>0.217689</v>
      </c>
      <c r="GV213">
        <v>0.0619486</v>
      </c>
      <c r="GW213">
        <v>0.0528327</v>
      </c>
      <c r="GX213">
        <v>29828.6</v>
      </c>
      <c r="GY213">
        <v>31861.4</v>
      </c>
      <c r="GZ213">
        <v>34262.7</v>
      </c>
      <c r="HA213">
        <v>36845.2</v>
      </c>
      <c r="HB213">
        <v>45349.3</v>
      </c>
      <c r="HC213">
        <v>50056.9</v>
      </c>
      <c r="HD213">
        <v>53336.5</v>
      </c>
      <c r="HE213">
        <v>58771.8</v>
      </c>
      <c r="HF213">
        <v>2.00822</v>
      </c>
      <c r="HG213">
        <v>1.8382</v>
      </c>
      <c r="HH213">
        <v>0.00768155</v>
      </c>
      <c r="HI213">
        <v>0</v>
      </c>
      <c r="HJ213">
        <v>17.8492</v>
      </c>
      <c r="HK213">
        <v>999.9</v>
      </c>
      <c r="HL213">
        <v>26.511</v>
      </c>
      <c r="HM213">
        <v>30.424</v>
      </c>
      <c r="HN213">
        <v>12.8804</v>
      </c>
      <c r="HO213">
        <v>53.3928</v>
      </c>
      <c r="HP213">
        <v>44.0986</v>
      </c>
      <c r="HQ213">
        <v>1</v>
      </c>
      <c r="HR213">
        <v>-0.260208</v>
      </c>
      <c r="HS213">
        <v>4.63266</v>
      </c>
      <c r="HT213">
        <v>20.0776</v>
      </c>
      <c r="HU213">
        <v>5.19947</v>
      </c>
      <c r="HV213">
        <v>12.004</v>
      </c>
      <c r="HW213">
        <v>4.9757</v>
      </c>
      <c r="HX213">
        <v>3.29303</v>
      </c>
      <c r="HY213">
        <v>9999</v>
      </c>
      <c r="HZ213">
        <v>999.9</v>
      </c>
      <c r="IA213">
        <v>9999</v>
      </c>
      <c r="IB213">
        <v>9999</v>
      </c>
      <c r="IC213">
        <v>1.86323</v>
      </c>
      <c r="ID213">
        <v>1.86807</v>
      </c>
      <c r="IE213">
        <v>1.86783</v>
      </c>
      <c r="IF213">
        <v>1.86905</v>
      </c>
      <c r="IG213">
        <v>1.86981</v>
      </c>
      <c r="IH213">
        <v>1.86587</v>
      </c>
      <c r="II213">
        <v>1.86691</v>
      </c>
      <c r="IJ213">
        <v>1.86839</v>
      </c>
      <c r="IK213">
        <v>5</v>
      </c>
      <c r="IL213">
        <v>0</v>
      </c>
      <c r="IM213">
        <v>0</v>
      </c>
      <c r="IN213">
        <v>0</v>
      </c>
      <c r="IO213" t="s">
        <v>441</v>
      </c>
      <c r="IP213" t="s">
        <v>442</v>
      </c>
      <c r="IQ213" t="s">
        <v>443</v>
      </c>
      <c r="IR213" t="s">
        <v>443</v>
      </c>
      <c r="IS213" t="s">
        <v>443</v>
      </c>
      <c r="IT213" t="s">
        <v>443</v>
      </c>
      <c r="IU213">
        <v>0</v>
      </c>
      <c r="IV213">
        <v>100</v>
      </c>
      <c r="IW213">
        <v>100</v>
      </c>
      <c r="IX213">
        <v>6.62</v>
      </c>
      <c r="IY213">
        <v>-0.1103</v>
      </c>
      <c r="IZ213">
        <v>1.12474291219083</v>
      </c>
      <c r="JA213">
        <v>0.00463155566490582</v>
      </c>
      <c r="JB213">
        <v>-1.1358998729424e-06</v>
      </c>
      <c r="JC213">
        <v>3.28704272115545e-10</v>
      </c>
      <c r="JD213">
        <v>-0.0704455108513773</v>
      </c>
      <c r="JE213">
        <v>-0.0251928478371425</v>
      </c>
      <c r="JF213">
        <v>0.00225751704194564</v>
      </c>
      <c r="JG213">
        <v>-3.61734043746866e-05</v>
      </c>
      <c r="JH213">
        <v>1</v>
      </c>
      <c r="JI213">
        <v>2182</v>
      </c>
      <c r="JJ213">
        <v>0</v>
      </c>
      <c r="JK213">
        <v>24</v>
      </c>
      <c r="JL213">
        <v>29349872.1</v>
      </c>
      <c r="JM213">
        <v>29349872.1</v>
      </c>
      <c r="JN213">
        <v>2.90161</v>
      </c>
      <c r="JO213">
        <v>2.60864</v>
      </c>
      <c r="JP213">
        <v>1.54785</v>
      </c>
      <c r="JQ213">
        <v>2.31445</v>
      </c>
      <c r="JR213">
        <v>1.64673</v>
      </c>
      <c r="JS213">
        <v>2.34375</v>
      </c>
      <c r="JT213">
        <v>33.6029</v>
      </c>
      <c r="JU213">
        <v>24.1838</v>
      </c>
      <c r="JV213">
        <v>18</v>
      </c>
      <c r="JW213">
        <v>501.058</v>
      </c>
      <c r="JX213">
        <v>395.255</v>
      </c>
      <c r="JY213">
        <v>11.5975</v>
      </c>
      <c r="JZ213">
        <v>24.0076</v>
      </c>
      <c r="KA213">
        <v>30.0001</v>
      </c>
      <c r="KB213">
        <v>23.9988</v>
      </c>
      <c r="KC213">
        <v>23.9666</v>
      </c>
      <c r="KD213">
        <v>58.0904</v>
      </c>
      <c r="KE213">
        <v>8.18546</v>
      </c>
      <c r="KF213">
        <v>26.5359</v>
      </c>
      <c r="KG213">
        <v>11.5996</v>
      </c>
      <c r="KH213">
        <v>1573.29</v>
      </c>
      <c r="KI213">
        <v>9.58498</v>
      </c>
      <c r="KJ213">
        <v>97.0349</v>
      </c>
      <c r="KK213">
        <v>95.295</v>
      </c>
    </row>
    <row r="214" spans="1:297">
      <c r="A214">
        <v>198</v>
      </c>
      <c r="B214">
        <v>1760992329.1</v>
      </c>
      <c r="C214">
        <v>3139</v>
      </c>
      <c r="D214" t="s">
        <v>849</v>
      </c>
      <c r="E214" t="s">
        <v>850</v>
      </c>
      <c r="F214">
        <v>5</v>
      </c>
      <c r="G214" t="s">
        <v>662</v>
      </c>
      <c r="H214" t="s">
        <v>436</v>
      </c>
      <c r="I214">
        <v>1760992320.94615</v>
      </c>
      <c r="J214">
        <f>(K214)/1000</f>
        <v>0</v>
      </c>
      <c r="K214">
        <f>IF(DP214, AN214, AH214)</f>
        <v>0</v>
      </c>
      <c r="L214">
        <f>IF(DP214, AI214, AG214)</f>
        <v>0</v>
      </c>
      <c r="M214">
        <f>DR214 - IF(AU214&gt;1, L214*DL214*100.0/(AW214), 0)</f>
        <v>0</v>
      </c>
      <c r="N214">
        <f>((T214-J214/2)*M214-L214)/(T214+J214/2)</f>
        <v>0</v>
      </c>
      <c r="O214">
        <f>N214*(DY214+DZ214)/1000.0</f>
        <v>0</v>
      </c>
      <c r="P214">
        <f>(DR214 - IF(AU214&gt;1, L214*DL214*100.0/(AW214), 0))*(DY214+DZ214)/1000.0</f>
        <v>0</v>
      </c>
      <c r="Q214">
        <f>2.0/((1/S214-1/R214)+SIGN(S214)*SQRT((1/S214-1/R214)*(1/S214-1/R214) + 4*DM214/((DM214+1)*(DM214+1))*(2*1/S214*1/R214-1/R214*1/R214)))</f>
        <v>0</v>
      </c>
      <c r="R214">
        <f>IF(LEFT(DN214,1)&lt;&gt;"0",IF(LEFT(DN214,1)="1",3.0,DO214),$D$5+$E$5*(EF214*DY214/($K$5*1000))+$F$5*(EF214*DY214/($K$5*1000))*MAX(MIN(DL214,$J$5),$I$5)*MAX(MIN(DL214,$J$5),$I$5)+$G$5*MAX(MIN(DL214,$J$5),$I$5)*(EF214*DY214/($K$5*1000))+$H$5*(EF214*DY214/($K$5*1000))*(EF214*DY214/($K$5*1000)))</f>
        <v>0</v>
      </c>
      <c r="S214">
        <f>J214*(1000-(1000*0.61365*exp(17.502*W214/(240.97+W214))/(DY214+DZ214)+DT214)/2)/(1000*0.61365*exp(17.502*W214/(240.97+W214))/(DY214+DZ214)-DT214)</f>
        <v>0</v>
      </c>
      <c r="T214">
        <f>1/((DM214+1)/(Q214/1.6)+1/(R214/1.37)) + DM214/((DM214+1)/(Q214/1.6) + DM214/(R214/1.37))</f>
        <v>0</v>
      </c>
      <c r="U214">
        <f>(DH214*DK214)</f>
        <v>0</v>
      </c>
      <c r="V214">
        <f>(EA214+(U214+2*0.95*5.67E-8*(((EA214+$B$7)+273)^4-(EA214+273)^4)-44100*J214)/(1.84*29.3*R214+8*0.95*5.67E-8*(EA214+273)^3))</f>
        <v>0</v>
      </c>
      <c r="W214">
        <f>($C$7*EB214+$D$7*EC214+$E$7*V214)</f>
        <v>0</v>
      </c>
      <c r="X214">
        <f>0.61365*exp(17.502*W214/(240.97+W214))</f>
        <v>0</v>
      </c>
      <c r="Y214">
        <f>(Z214/AA214*100)</f>
        <v>0</v>
      </c>
      <c r="Z214">
        <f>DT214*(DY214+DZ214)/1000</f>
        <v>0</v>
      </c>
      <c r="AA214">
        <f>0.61365*exp(17.502*EA214/(240.97+EA214))</f>
        <v>0</v>
      </c>
      <c r="AB214">
        <f>(X214-DT214*(DY214+DZ214)/1000)</f>
        <v>0</v>
      </c>
      <c r="AC214">
        <f>(-J214*44100)</f>
        <v>0</v>
      </c>
      <c r="AD214">
        <f>2*29.3*R214*0.92*(EA214-W214)</f>
        <v>0</v>
      </c>
      <c r="AE214">
        <f>2*0.95*5.67E-8*(((EA214+$B$7)+273)^4-(W214+273)^4)</f>
        <v>0</v>
      </c>
      <c r="AF214">
        <f>U214+AE214+AC214+AD214</f>
        <v>0</v>
      </c>
      <c r="AG214">
        <f>DX214*AU214*(DS214-DR214*(1000-AU214*DU214)/(1000-AU214*DT214))/(100*DL214)</f>
        <v>0</v>
      </c>
      <c r="AH214">
        <f>1000*DX214*AU214*(DT214-DU214)/(100*DL214*(1000-AU214*DT214))</f>
        <v>0</v>
      </c>
      <c r="AI214">
        <f>(AJ214 - AK214 - DY214*1E3/(8.314*(EA214+273.15)) * AM214/DX214 * AL214) * DX214/(100*DL214) * (1000 - DU214)/1000</f>
        <v>0</v>
      </c>
      <c r="AJ214">
        <v>1575.16620022378</v>
      </c>
      <c r="AK214">
        <v>1536.49642424242</v>
      </c>
      <c r="AL214">
        <v>3.68024342546942</v>
      </c>
      <c r="AM214">
        <v>65.2210784119795</v>
      </c>
      <c r="AN214">
        <f>(AP214 - AO214 + DY214*1E3/(8.314*(EA214+273.15)) * AR214/DX214 * AQ214) * DX214/(100*DL214) * 1000/(1000 - AP214)</f>
        <v>0</v>
      </c>
      <c r="AO214">
        <v>9.67286503116562</v>
      </c>
      <c r="AP214">
        <v>11.8744363636364</v>
      </c>
      <c r="AQ214">
        <v>-2.52334342367095e-05</v>
      </c>
      <c r="AR214">
        <v>115.574510355221</v>
      </c>
      <c r="AS214">
        <v>0</v>
      </c>
      <c r="AT214">
        <v>0</v>
      </c>
      <c r="AU214">
        <f>IF(AS214*$H$13&gt;=AW214,1.0,(AW214/(AW214-AS214*$H$13)))</f>
        <v>0</v>
      </c>
      <c r="AV214">
        <f>(AU214-1)*100</f>
        <v>0</v>
      </c>
      <c r="AW214">
        <f>MAX(0,($B$13+$C$13*EF214)/(1+$D$13*EF214)*DY214/(EA214+273)*$E$13)</f>
        <v>0</v>
      </c>
      <c r="AX214" t="s">
        <v>437</v>
      </c>
      <c r="AY214" t="s">
        <v>437</v>
      </c>
      <c r="AZ214">
        <v>0</v>
      </c>
      <c r="BA214">
        <v>0</v>
      </c>
      <c r="BB214">
        <f>1-AZ214/BA214</f>
        <v>0</v>
      </c>
      <c r="BC214">
        <v>0</v>
      </c>
      <c r="BD214" t="s">
        <v>437</v>
      </c>
      <c r="BE214" t="s">
        <v>437</v>
      </c>
      <c r="BF214">
        <v>0</v>
      </c>
      <c r="BG214">
        <v>0</v>
      </c>
      <c r="BH214">
        <f>1-BF214/BG214</f>
        <v>0</v>
      </c>
      <c r="BI214">
        <v>0.5</v>
      </c>
      <c r="BJ214">
        <f>DI214</f>
        <v>0</v>
      </c>
      <c r="BK214">
        <f>L214</f>
        <v>0</v>
      </c>
      <c r="BL214">
        <f>BH214*BI214*BJ214</f>
        <v>0</v>
      </c>
      <c r="BM214">
        <f>(BK214-BC214)/BJ214</f>
        <v>0</v>
      </c>
      <c r="BN214">
        <f>(BA214-BG214)/BG214</f>
        <v>0</v>
      </c>
      <c r="BO214">
        <f>AZ214/(BB214+AZ214/BG214)</f>
        <v>0</v>
      </c>
      <c r="BP214" t="s">
        <v>437</v>
      </c>
      <c r="BQ214">
        <v>0</v>
      </c>
      <c r="BR214">
        <f>IF(BQ214&lt;&gt;0, BQ214, BO214)</f>
        <v>0</v>
      </c>
      <c r="BS214">
        <f>1-BR214/BG214</f>
        <v>0</v>
      </c>
      <c r="BT214">
        <f>(BG214-BF214)/(BG214-BR214)</f>
        <v>0</v>
      </c>
      <c r="BU214">
        <f>(BA214-BG214)/(BA214-BR214)</f>
        <v>0</v>
      </c>
      <c r="BV214">
        <f>(BG214-BF214)/(BG214-AZ214)</f>
        <v>0</v>
      </c>
      <c r="BW214">
        <f>(BA214-BG214)/(BA214-AZ214)</f>
        <v>0</v>
      </c>
      <c r="BX214">
        <f>(BT214*BR214/BF214)</f>
        <v>0</v>
      </c>
      <c r="BY214">
        <f>(1-BX214)</f>
        <v>0</v>
      </c>
      <c r="BZ214">
        <v>282</v>
      </c>
      <c r="CA214">
        <v>290</v>
      </c>
      <c r="CB214">
        <v>1577.74</v>
      </c>
      <c r="CC214">
        <v>295</v>
      </c>
      <c r="CD214">
        <v>5140.93</v>
      </c>
      <c r="CE214">
        <v>1578.58</v>
      </c>
      <c r="CF214">
        <v>-0.84</v>
      </c>
      <c r="CG214">
        <v>300</v>
      </c>
      <c r="CH214">
        <v>23.8</v>
      </c>
      <c r="CI214">
        <v>1633.28263291266</v>
      </c>
      <c r="CJ214">
        <v>1.49577129053257</v>
      </c>
      <c r="CK214">
        <v>-28.1203876934379</v>
      </c>
      <c r="CL214">
        <v>0.666413418688897</v>
      </c>
      <c r="CM214">
        <v>0.984518017981194</v>
      </c>
      <c r="CN214">
        <v>-0.00424727541713014</v>
      </c>
      <c r="CO214">
        <v>290</v>
      </c>
      <c r="CP214">
        <v>1576.56</v>
      </c>
      <c r="CQ214">
        <v>775</v>
      </c>
      <c r="CR214">
        <v>5139.5</v>
      </c>
      <c r="CS214">
        <v>1578.57</v>
      </c>
      <c r="CT214">
        <v>-2.01</v>
      </c>
      <c r="DH214">
        <f>$B$11*EG214+$C$11*EH214+$F$11*ES214*(1-EV214)</f>
        <v>0</v>
      </c>
      <c r="DI214">
        <f>DH214*DJ214</f>
        <v>0</v>
      </c>
      <c r="DJ214">
        <f>($B$11*$D$9+$C$11*$D$9+$F$11*((FF214+EX214)/MAX(FF214+EX214+FG214, 0.1)*$I$9+FG214/MAX(FF214+EX214+FG214, 0.1)*$J$9))/($B$11+$C$11+$F$11)</f>
        <v>0</v>
      </c>
      <c r="DK214">
        <f>($B$11*$K$9+$C$11*$K$9+$F$11*((FF214+EX214)/MAX(FF214+EX214+FG214, 0.1)*$P$9+FG214/MAX(FF214+EX214+FG214, 0.1)*$Q$9))/($B$11+$C$11+$F$11)</f>
        <v>0</v>
      </c>
      <c r="DL214">
        <v>6</v>
      </c>
      <c r="DM214">
        <v>0.5</v>
      </c>
      <c r="DN214" t="s">
        <v>438</v>
      </c>
      <c r="DO214">
        <v>2</v>
      </c>
      <c r="DP214" t="b">
        <v>1</v>
      </c>
      <c r="DQ214">
        <v>1760992320.94615</v>
      </c>
      <c r="DR214">
        <v>1491.99153846154</v>
      </c>
      <c r="DS214">
        <v>1542.85538461538</v>
      </c>
      <c r="DT214">
        <v>11.8792384615385</v>
      </c>
      <c r="DU214">
        <v>9.69848153846154</v>
      </c>
      <c r="DV214">
        <v>1485.41692307692</v>
      </c>
      <c r="DW214">
        <v>11.9895538461538</v>
      </c>
      <c r="DX214">
        <v>500.008461538462</v>
      </c>
      <c r="DY214">
        <v>89.8457923076923</v>
      </c>
      <c r="DZ214">
        <v>0.00865568153846154</v>
      </c>
      <c r="EA214">
        <v>18.3340153846154</v>
      </c>
      <c r="EB214">
        <v>17.9872846153846</v>
      </c>
      <c r="EC214">
        <v>999.9</v>
      </c>
      <c r="ED214">
        <v>0</v>
      </c>
      <c r="EE214">
        <v>0</v>
      </c>
      <c r="EF214">
        <v>10011.1515384615</v>
      </c>
      <c r="EG214">
        <v>0</v>
      </c>
      <c r="EH214">
        <v>1278.51692307692</v>
      </c>
      <c r="EI214">
        <v>-50.8658307692308</v>
      </c>
      <c r="EJ214">
        <v>1509.92846153846</v>
      </c>
      <c r="EK214">
        <v>1557.96846153846</v>
      </c>
      <c r="EL214">
        <v>2.18075461538462</v>
      </c>
      <c r="EM214">
        <v>1542.85538461538</v>
      </c>
      <c r="EN214">
        <v>9.69848153846154</v>
      </c>
      <c r="EO214">
        <v>1.06729846153846</v>
      </c>
      <c r="EP214">
        <v>0.871367769230769</v>
      </c>
      <c r="EQ214">
        <v>7.86898153846154</v>
      </c>
      <c r="ER214">
        <v>4.92633615384615</v>
      </c>
      <c r="ES214">
        <v>1199.93923076923</v>
      </c>
      <c r="ET214">
        <v>0.967004538461538</v>
      </c>
      <c r="EU214">
        <v>0.0329951846153846</v>
      </c>
      <c r="EV214">
        <v>0</v>
      </c>
      <c r="EW214">
        <v>1289.41692307692</v>
      </c>
      <c r="EX214">
        <v>5.00059</v>
      </c>
      <c r="EY214">
        <v>15161.4923076923</v>
      </c>
      <c r="EZ214">
        <v>10358.2076923077</v>
      </c>
      <c r="FA214">
        <v>36.3026923076923</v>
      </c>
      <c r="FB214">
        <v>38.072</v>
      </c>
      <c r="FC214">
        <v>36.7593846153846</v>
      </c>
      <c r="FD214">
        <v>37.3073846153846</v>
      </c>
      <c r="FE214">
        <v>37.2786153846154</v>
      </c>
      <c r="FF214">
        <v>1155.51153846154</v>
      </c>
      <c r="FG214">
        <v>39.4269230769231</v>
      </c>
      <c r="FH214">
        <v>0</v>
      </c>
      <c r="FI214">
        <v>1184.60000014305</v>
      </c>
      <c r="FJ214">
        <v>0</v>
      </c>
      <c r="FK214">
        <v>1289.35192307692</v>
      </c>
      <c r="FL214">
        <v>-13.5360683983769</v>
      </c>
      <c r="FM214">
        <v>-119.678632570646</v>
      </c>
      <c r="FN214">
        <v>15160.8153846154</v>
      </c>
      <c r="FO214">
        <v>15</v>
      </c>
      <c r="FP214">
        <v>0</v>
      </c>
      <c r="FQ214" t="s">
        <v>439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-50.88953</v>
      </c>
      <c r="GD214">
        <v>4.04652631578947</v>
      </c>
      <c r="GE214">
        <v>0.766329373768225</v>
      </c>
      <c r="GF214">
        <v>0</v>
      </c>
      <c r="GG214">
        <v>1289.91264705882</v>
      </c>
      <c r="GH214">
        <v>-12.0420168161292</v>
      </c>
      <c r="GI214">
        <v>1.20256908526881</v>
      </c>
      <c r="GJ214">
        <v>-1</v>
      </c>
      <c r="GK214">
        <v>2.1774985</v>
      </c>
      <c r="GL214">
        <v>0.100567669172932</v>
      </c>
      <c r="GM214">
        <v>0.0108305398180331</v>
      </c>
      <c r="GN214">
        <v>0</v>
      </c>
      <c r="GO214">
        <v>0</v>
      </c>
      <c r="GP214">
        <v>2</v>
      </c>
      <c r="GQ214" t="s">
        <v>519</v>
      </c>
      <c r="GR214">
        <v>3.1308</v>
      </c>
      <c r="GS214">
        <v>2.68665</v>
      </c>
      <c r="GT214">
        <v>0.214533</v>
      </c>
      <c r="GU214">
        <v>0.219044</v>
      </c>
      <c r="GV214">
        <v>0.0619269</v>
      </c>
      <c r="GW214">
        <v>0.0527121</v>
      </c>
      <c r="GX214">
        <v>29770.1</v>
      </c>
      <c r="GY214">
        <v>31805.9</v>
      </c>
      <c r="GZ214">
        <v>34262.6</v>
      </c>
      <c r="HA214">
        <v>36844.8</v>
      </c>
      <c r="HB214">
        <v>45350.4</v>
      </c>
      <c r="HC214">
        <v>50062.9</v>
      </c>
      <c r="HD214">
        <v>53336.2</v>
      </c>
      <c r="HE214">
        <v>58771.2</v>
      </c>
      <c r="HF214">
        <v>2.00798</v>
      </c>
      <c r="HG214">
        <v>1.83843</v>
      </c>
      <c r="HH214">
        <v>0.00804663</v>
      </c>
      <c r="HI214">
        <v>0</v>
      </c>
      <c r="HJ214">
        <v>17.85</v>
      </c>
      <c r="HK214">
        <v>999.9</v>
      </c>
      <c r="HL214">
        <v>26.486</v>
      </c>
      <c r="HM214">
        <v>30.414</v>
      </c>
      <c r="HN214">
        <v>12.8604</v>
      </c>
      <c r="HO214">
        <v>53.4928</v>
      </c>
      <c r="HP214">
        <v>44.1506</v>
      </c>
      <c r="HQ214">
        <v>1</v>
      </c>
      <c r="HR214">
        <v>-0.260198</v>
      </c>
      <c r="HS214">
        <v>4.61162</v>
      </c>
      <c r="HT214">
        <v>20.0782</v>
      </c>
      <c r="HU214">
        <v>5.19947</v>
      </c>
      <c r="HV214">
        <v>12.004</v>
      </c>
      <c r="HW214">
        <v>4.97565</v>
      </c>
      <c r="HX214">
        <v>3.29298</v>
      </c>
      <c r="HY214">
        <v>9999</v>
      </c>
      <c r="HZ214">
        <v>999.9</v>
      </c>
      <c r="IA214">
        <v>9999</v>
      </c>
      <c r="IB214">
        <v>9999</v>
      </c>
      <c r="IC214">
        <v>1.86322</v>
      </c>
      <c r="ID214">
        <v>1.86805</v>
      </c>
      <c r="IE214">
        <v>1.86783</v>
      </c>
      <c r="IF214">
        <v>1.86905</v>
      </c>
      <c r="IG214">
        <v>1.86981</v>
      </c>
      <c r="IH214">
        <v>1.86588</v>
      </c>
      <c r="II214">
        <v>1.86692</v>
      </c>
      <c r="IJ214">
        <v>1.86841</v>
      </c>
      <c r="IK214">
        <v>5</v>
      </c>
      <c r="IL214">
        <v>0</v>
      </c>
      <c r="IM214">
        <v>0</v>
      </c>
      <c r="IN214">
        <v>0</v>
      </c>
      <c r="IO214" t="s">
        <v>441</v>
      </c>
      <c r="IP214" t="s">
        <v>442</v>
      </c>
      <c r="IQ214" t="s">
        <v>443</v>
      </c>
      <c r="IR214" t="s">
        <v>443</v>
      </c>
      <c r="IS214" t="s">
        <v>443</v>
      </c>
      <c r="IT214" t="s">
        <v>443</v>
      </c>
      <c r="IU214">
        <v>0</v>
      </c>
      <c r="IV214">
        <v>100</v>
      </c>
      <c r="IW214">
        <v>100</v>
      </c>
      <c r="IX214">
        <v>6.68</v>
      </c>
      <c r="IY214">
        <v>-0.1104</v>
      </c>
      <c r="IZ214">
        <v>1.12474291219083</v>
      </c>
      <c r="JA214">
        <v>0.00463155566490582</v>
      </c>
      <c r="JB214">
        <v>-1.1358998729424e-06</v>
      </c>
      <c r="JC214">
        <v>3.28704272115545e-10</v>
      </c>
      <c r="JD214">
        <v>-0.0704455108513773</v>
      </c>
      <c r="JE214">
        <v>-0.0251928478371425</v>
      </c>
      <c r="JF214">
        <v>0.00225751704194564</v>
      </c>
      <c r="JG214">
        <v>-3.61734043746866e-05</v>
      </c>
      <c r="JH214">
        <v>1</v>
      </c>
      <c r="JI214">
        <v>2182</v>
      </c>
      <c r="JJ214">
        <v>0</v>
      </c>
      <c r="JK214">
        <v>24</v>
      </c>
      <c r="JL214">
        <v>29349872.2</v>
      </c>
      <c r="JM214">
        <v>29349872.2</v>
      </c>
      <c r="JN214">
        <v>2.9248</v>
      </c>
      <c r="JO214">
        <v>2.6062</v>
      </c>
      <c r="JP214">
        <v>1.54785</v>
      </c>
      <c r="JQ214">
        <v>2.31445</v>
      </c>
      <c r="JR214">
        <v>1.64673</v>
      </c>
      <c r="JS214">
        <v>2.33887</v>
      </c>
      <c r="JT214">
        <v>33.6029</v>
      </c>
      <c r="JU214">
        <v>24.1838</v>
      </c>
      <c r="JV214">
        <v>18</v>
      </c>
      <c r="JW214">
        <v>500.902</v>
      </c>
      <c r="JX214">
        <v>395.373</v>
      </c>
      <c r="JY214">
        <v>11.6023</v>
      </c>
      <c r="JZ214">
        <v>24.0095</v>
      </c>
      <c r="KA214">
        <v>30.0001</v>
      </c>
      <c r="KB214">
        <v>23.9993</v>
      </c>
      <c r="KC214">
        <v>23.9666</v>
      </c>
      <c r="KD214">
        <v>58.5659</v>
      </c>
      <c r="KE214">
        <v>8.47197</v>
      </c>
      <c r="KF214">
        <v>26.5359</v>
      </c>
      <c r="KG214">
        <v>11.6146</v>
      </c>
      <c r="KH214">
        <v>1593.65</v>
      </c>
      <c r="KI214">
        <v>9.56911</v>
      </c>
      <c r="KJ214">
        <v>97.0345</v>
      </c>
      <c r="KK214">
        <v>95.2939</v>
      </c>
    </row>
    <row r="215" spans="1:297">
      <c r="A215">
        <v>199</v>
      </c>
      <c r="B215">
        <v>1760992334.1</v>
      </c>
      <c r="C215">
        <v>3144</v>
      </c>
      <c r="D215" t="s">
        <v>851</v>
      </c>
      <c r="E215" t="s">
        <v>852</v>
      </c>
      <c r="F215">
        <v>5</v>
      </c>
      <c r="G215" t="s">
        <v>662</v>
      </c>
      <c r="H215" t="s">
        <v>436</v>
      </c>
      <c r="I215">
        <v>1760992325.94615</v>
      </c>
      <c r="J215">
        <f>(K215)/1000</f>
        <v>0</v>
      </c>
      <c r="K215">
        <f>IF(DP215, AN215, AH215)</f>
        <v>0</v>
      </c>
      <c r="L215">
        <f>IF(DP215, AI215, AG215)</f>
        <v>0</v>
      </c>
      <c r="M215">
        <f>DR215 - IF(AU215&gt;1, L215*DL215*100.0/(AW215), 0)</f>
        <v>0</v>
      </c>
      <c r="N215">
        <f>((T215-J215/2)*M215-L215)/(T215+J215/2)</f>
        <v>0</v>
      </c>
      <c r="O215">
        <f>N215*(DY215+DZ215)/1000.0</f>
        <v>0</v>
      </c>
      <c r="P215">
        <f>(DR215 - IF(AU215&gt;1, L215*DL215*100.0/(AW215), 0))*(DY215+DZ215)/1000.0</f>
        <v>0</v>
      </c>
      <c r="Q215">
        <f>2.0/((1/S215-1/R215)+SIGN(S215)*SQRT((1/S215-1/R215)*(1/S215-1/R215) + 4*DM215/((DM215+1)*(DM215+1))*(2*1/S215*1/R215-1/R215*1/R215)))</f>
        <v>0</v>
      </c>
      <c r="R215">
        <f>IF(LEFT(DN215,1)&lt;&gt;"0",IF(LEFT(DN215,1)="1",3.0,DO215),$D$5+$E$5*(EF215*DY215/($K$5*1000))+$F$5*(EF215*DY215/($K$5*1000))*MAX(MIN(DL215,$J$5),$I$5)*MAX(MIN(DL215,$J$5),$I$5)+$G$5*MAX(MIN(DL215,$J$5),$I$5)*(EF215*DY215/($K$5*1000))+$H$5*(EF215*DY215/($K$5*1000))*(EF215*DY215/($K$5*1000)))</f>
        <v>0</v>
      </c>
      <c r="S215">
        <f>J215*(1000-(1000*0.61365*exp(17.502*W215/(240.97+W215))/(DY215+DZ215)+DT215)/2)/(1000*0.61365*exp(17.502*W215/(240.97+W215))/(DY215+DZ215)-DT215)</f>
        <v>0</v>
      </c>
      <c r="T215">
        <f>1/((DM215+1)/(Q215/1.6)+1/(R215/1.37)) + DM215/((DM215+1)/(Q215/1.6) + DM215/(R215/1.37))</f>
        <v>0</v>
      </c>
      <c r="U215">
        <f>(DH215*DK215)</f>
        <v>0</v>
      </c>
      <c r="V215">
        <f>(EA215+(U215+2*0.95*5.67E-8*(((EA215+$B$7)+273)^4-(EA215+273)^4)-44100*J215)/(1.84*29.3*R215+8*0.95*5.67E-8*(EA215+273)^3))</f>
        <v>0</v>
      </c>
      <c r="W215">
        <f>($C$7*EB215+$D$7*EC215+$E$7*V215)</f>
        <v>0</v>
      </c>
      <c r="X215">
        <f>0.61365*exp(17.502*W215/(240.97+W215))</f>
        <v>0</v>
      </c>
      <c r="Y215">
        <f>(Z215/AA215*100)</f>
        <v>0</v>
      </c>
      <c r="Z215">
        <f>DT215*(DY215+DZ215)/1000</f>
        <v>0</v>
      </c>
      <c r="AA215">
        <f>0.61365*exp(17.502*EA215/(240.97+EA215))</f>
        <v>0</v>
      </c>
      <c r="AB215">
        <f>(X215-DT215*(DY215+DZ215)/1000)</f>
        <v>0</v>
      </c>
      <c r="AC215">
        <f>(-J215*44100)</f>
        <v>0</v>
      </c>
      <c r="AD215">
        <f>2*29.3*R215*0.92*(EA215-W215)</f>
        <v>0</v>
      </c>
      <c r="AE215">
        <f>2*0.95*5.67E-8*(((EA215+$B$7)+273)^4-(W215+273)^4)</f>
        <v>0</v>
      </c>
      <c r="AF215">
        <f>U215+AE215+AC215+AD215</f>
        <v>0</v>
      </c>
      <c r="AG215">
        <f>DX215*AU215*(DS215-DR215*(1000-AU215*DU215)/(1000-AU215*DT215))/(100*DL215)</f>
        <v>0</v>
      </c>
      <c r="AH215">
        <f>1000*DX215*AU215*(DT215-DU215)/(100*DL215*(1000-AU215*DT215))</f>
        <v>0</v>
      </c>
      <c r="AI215">
        <f>(AJ215 - AK215 - DY215*1E3/(8.314*(EA215+273.15)) * AM215/DX215 * AL215) * DX215/(100*DL215) * (1000 - DU215)/1000</f>
        <v>0</v>
      </c>
      <c r="AJ215">
        <v>1591.45505794173</v>
      </c>
      <c r="AK215">
        <v>1553.84339393939</v>
      </c>
      <c r="AL215">
        <v>3.45515889754253</v>
      </c>
      <c r="AM215">
        <v>65.2210784119795</v>
      </c>
      <c r="AN215">
        <f>(AP215 - AO215 + DY215*1E3/(8.314*(EA215+273.15)) * AR215/DX215 * AQ215) * DX215/(100*DL215) * 1000/(1000 - AP215)</f>
        <v>0</v>
      </c>
      <c r="AO215">
        <v>9.65673026697466</v>
      </c>
      <c r="AP215">
        <v>11.8664757575758</v>
      </c>
      <c r="AQ215">
        <v>-2.91503659366654e-05</v>
      </c>
      <c r="AR215">
        <v>115.574510355221</v>
      </c>
      <c r="AS215">
        <v>0</v>
      </c>
      <c r="AT215">
        <v>0</v>
      </c>
      <c r="AU215">
        <f>IF(AS215*$H$13&gt;=AW215,1.0,(AW215/(AW215-AS215*$H$13)))</f>
        <v>0</v>
      </c>
      <c r="AV215">
        <f>(AU215-1)*100</f>
        <v>0</v>
      </c>
      <c r="AW215">
        <f>MAX(0,($B$13+$C$13*EF215)/(1+$D$13*EF215)*DY215/(EA215+273)*$E$13)</f>
        <v>0</v>
      </c>
      <c r="AX215" t="s">
        <v>437</v>
      </c>
      <c r="AY215" t="s">
        <v>437</v>
      </c>
      <c r="AZ215">
        <v>0</v>
      </c>
      <c r="BA215">
        <v>0</v>
      </c>
      <c r="BB215">
        <f>1-AZ215/BA215</f>
        <v>0</v>
      </c>
      <c r="BC215">
        <v>0</v>
      </c>
      <c r="BD215" t="s">
        <v>437</v>
      </c>
      <c r="BE215" t="s">
        <v>437</v>
      </c>
      <c r="BF215">
        <v>0</v>
      </c>
      <c r="BG215">
        <v>0</v>
      </c>
      <c r="BH215">
        <f>1-BF215/BG215</f>
        <v>0</v>
      </c>
      <c r="BI215">
        <v>0.5</v>
      </c>
      <c r="BJ215">
        <f>DI215</f>
        <v>0</v>
      </c>
      <c r="BK215">
        <f>L215</f>
        <v>0</v>
      </c>
      <c r="BL215">
        <f>BH215*BI215*BJ215</f>
        <v>0</v>
      </c>
      <c r="BM215">
        <f>(BK215-BC215)/BJ215</f>
        <v>0</v>
      </c>
      <c r="BN215">
        <f>(BA215-BG215)/BG215</f>
        <v>0</v>
      </c>
      <c r="BO215">
        <f>AZ215/(BB215+AZ215/BG215)</f>
        <v>0</v>
      </c>
      <c r="BP215" t="s">
        <v>437</v>
      </c>
      <c r="BQ215">
        <v>0</v>
      </c>
      <c r="BR215">
        <f>IF(BQ215&lt;&gt;0, BQ215, BO215)</f>
        <v>0</v>
      </c>
      <c r="BS215">
        <f>1-BR215/BG215</f>
        <v>0</v>
      </c>
      <c r="BT215">
        <f>(BG215-BF215)/(BG215-BR215)</f>
        <v>0</v>
      </c>
      <c r="BU215">
        <f>(BA215-BG215)/(BA215-BR215)</f>
        <v>0</v>
      </c>
      <c r="BV215">
        <f>(BG215-BF215)/(BG215-AZ215)</f>
        <v>0</v>
      </c>
      <c r="BW215">
        <f>(BA215-BG215)/(BA215-AZ215)</f>
        <v>0</v>
      </c>
      <c r="BX215">
        <f>(BT215*BR215/BF215)</f>
        <v>0</v>
      </c>
      <c r="BY215">
        <f>(1-BX215)</f>
        <v>0</v>
      </c>
      <c r="BZ215">
        <v>282</v>
      </c>
      <c r="CA215">
        <v>290</v>
      </c>
      <c r="CB215">
        <v>1577.74</v>
      </c>
      <c r="CC215">
        <v>295</v>
      </c>
      <c r="CD215">
        <v>5140.93</v>
      </c>
      <c r="CE215">
        <v>1578.58</v>
      </c>
      <c r="CF215">
        <v>-0.84</v>
      </c>
      <c r="CG215">
        <v>300</v>
      </c>
      <c r="CH215">
        <v>23.8</v>
      </c>
      <c r="CI215">
        <v>1633.28263291266</v>
      </c>
      <c r="CJ215">
        <v>1.49577129053257</v>
      </c>
      <c r="CK215">
        <v>-28.1203876934379</v>
      </c>
      <c r="CL215">
        <v>0.666413418688897</v>
      </c>
      <c r="CM215">
        <v>0.984518017981194</v>
      </c>
      <c r="CN215">
        <v>-0.00424727541713014</v>
      </c>
      <c r="CO215">
        <v>290</v>
      </c>
      <c r="CP215">
        <v>1576.56</v>
      </c>
      <c r="CQ215">
        <v>775</v>
      </c>
      <c r="CR215">
        <v>5139.5</v>
      </c>
      <c r="CS215">
        <v>1578.57</v>
      </c>
      <c r="CT215">
        <v>-2.01</v>
      </c>
      <c r="DH215">
        <f>$B$11*EG215+$C$11*EH215+$F$11*ES215*(1-EV215)</f>
        <v>0</v>
      </c>
      <c r="DI215">
        <f>DH215*DJ215</f>
        <v>0</v>
      </c>
      <c r="DJ215">
        <f>($B$11*$D$9+$C$11*$D$9+$F$11*((FF215+EX215)/MAX(FF215+EX215+FG215, 0.1)*$I$9+FG215/MAX(FF215+EX215+FG215, 0.1)*$J$9))/($B$11+$C$11+$F$11)</f>
        <v>0</v>
      </c>
      <c r="DK215">
        <f>($B$11*$K$9+$C$11*$K$9+$F$11*((FF215+EX215)/MAX(FF215+EX215+FG215, 0.1)*$P$9+FG215/MAX(FF215+EX215+FG215, 0.1)*$Q$9))/($B$11+$C$11+$F$11)</f>
        <v>0</v>
      </c>
      <c r="DL215">
        <v>6</v>
      </c>
      <c r="DM215">
        <v>0.5</v>
      </c>
      <c r="DN215" t="s">
        <v>438</v>
      </c>
      <c r="DO215">
        <v>2</v>
      </c>
      <c r="DP215" t="b">
        <v>1</v>
      </c>
      <c r="DQ215">
        <v>1760992325.94615</v>
      </c>
      <c r="DR215">
        <v>1510.2</v>
      </c>
      <c r="DS215">
        <v>1560.14846153846</v>
      </c>
      <c r="DT215">
        <v>11.8758153846154</v>
      </c>
      <c r="DU215">
        <v>9.68297384615385</v>
      </c>
      <c r="DV215">
        <v>1503.56307692308</v>
      </c>
      <c r="DW215">
        <v>11.9861846153846</v>
      </c>
      <c r="DX215">
        <v>500.026076923077</v>
      </c>
      <c r="DY215">
        <v>89.8467923076923</v>
      </c>
      <c r="DZ215">
        <v>0.00860670384615385</v>
      </c>
      <c r="EA215">
        <v>18.3325384615385</v>
      </c>
      <c r="EB215">
        <v>17.9855307692308</v>
      </c>
      <c r="EC215">
        <v>999.9</v>
      </c>
      <c r="ED215">
        <v>0</v>
      </c>
      <c r="EE215">
        <v>0</v>
      </c>
      <c r="EF215">
        <v>9998.27076923077</v>
      </c>
      <c r="EG215">
        <v>0</v>
      </c>
      <c r="EH215">
        <v>1278.52307692308</v>
      </c>
      <c r="EI215">
        <v>-49.9496384615385</v>
      </c>
      <c r="EJ215">
        <v>1528.35153846154</v>
      </c>
      <c r="EK215">
        <v>1575.40538461538</v>
      </c>
      <c r="EL215">
        <v>2.19284461538462</v>
      </c>
      <c r="EM215">
        <v>1560.14846153846</v>
      </c>
      <c r="EN215">
        <v>9.68297384615385</v>
      </c>
      <c r="EO215">
        <v>1.06700384615385</v>
      </c>
      <c r="EP215">
        <v>0.869984153846154</v>
      </c>
      <c r="EQ215">
        <v>7.86492153846154</v>
      </c>
      <c r="ER215">
        <v>4.90354230769231</v>
      </c>
      <c r="ES215">
        <v>1199.90923076923</v>
      </c>
      <c r="ET215">
        <v>0.967001307692308</v>
      </c>
      <c r="EU215">
        <v>0.0329985923076923</v>
      </c>
      <c r="EV215">
        <v>0</v>
      </c>
      <c r="EW215">
        <v>1288.17538461538</v>
      </c>
      <c r="EX215">
        <v>5.00059</v>
      </c>
      <c r="EY215">
        <v>15151.2538461538</v>
      </c>
      <c r="EZ215">
        <v>10357.9538461538</v>
      </c>
      <c r="FA215">
        <v>36.3506923076923</v>
      </c>
      <c r="FB215">
        <v>38.1969230769231</v>
      </c>
      <c r="FC215">
        <v>36.8363076923077</v>
      </c>
      <c r="FD215">
        <v>37.4420769230769</v>
      </c>
      <c r="FE215">
        <v>37.3603846153846</v>
      </c>
      <c r="FF215">
        <v>1155.47846153846</v>
      </c>
      <c r="FG215">
        <v>39.43</v>
      </c>
      <c r="FH215">
        <v>0</v>
      </c>
      <c r="FI215">
        <v>1190</v>
      </c>
      <c r="FJ215">
        <v>0</v>
      </c>
      <c r="FK215">
        <v>1287.9508</v>
      </c>
      <c r="FL215">
        <v>-15.8153846414746</v>
      </c>
      <c r="FM215">
        <v>-110.961538692513</v>
      </c>
      <c r="FN215">
        <v>15149.464</v>
      </c>
      <c r="FO215">
        <v>15</v>
      </c>
      <c r="FP215">
        <v>0</v>
      </c>
      <c r="FQ215" t="s">
        <v>439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-50.4727857142857</v>
      </c>
      <c r="GD215">
        <v>9.81015584415588</v>
      </c>
      <c r="GE215">
        <v>1.11975568776055</v>
      </c>
      <c r="GF215">
        <v>0</v>
      </c>
      <c r="GG215">
        <v>1288.875</v>
      </c>
      <c r="GH215">
        <v>-14.4667685184837</v>
      </c>
      <c r="GI215">
        <v>1.43657527801775</v>
      </c>
      <c r="GJ215">
        <v>-1</v>
      </c>
      <c r="GK215">
        <v>2.1867280952381</v>
      </c>
      <c r="GL215">
        <v>0.150423896103895</v>
      </c>
      <c r="GM215">
        <v>0.0157530343619881</v>
      </c>
      <c r="GN215">
        <v>0</v>
      </c>
      <c r="GO215">
        <v>0</v>
      </c>
      <c r="GP215">
        <v>2</v>
      </c>
      <c r="GQ215" t="s">
        <v>519</v>
      </c>
      <c r="GR215">
        <v>3.13053</v>
      </c>
      <c r="GS215">
        <v>2.68676</v>
      </c>
      <c r="GT215">
        <v>0.215991</v>
      </c>
      <c r="GU215">
        <v>0.220541</v>
      </c>
      <c r="GV215">
        <v>0.0618915</v>
      </c>
      <c r="GW215">
        <v>0.0526551</v>
      </c>
      <c r="GX215">
        <v>29715</v>
      </c>
      <c r="GY215">
        <v>31745</v>
      </c>
      <c r="GZ215">
        <v>34262.6</v>
      </c>
      <c r="HA215">
        <v>36844.7</v>
      </c>
      <c r="HB215">
        <v>45352.5</v>
      </c>
      <c r="HC215">
        <v>50066.1</v>
      </c>
      <c r="HD215">
        <v>53336.4</v>
      </c>
      <c r="HE215">
        <v>58771.1</v>
      </c>
      <c r="HF215">
        <v>2.00763</v>
      </c>
      <c r="HG215">
        <v>1.8387</v>
      </c>
      <c r="HH215">
        <v>0.00821799</v>
      </c>
      <c r="HI215">
        <v>0</v>
      </c>
      <c r="HJ215">
        <v>17.8509</v>
      </c>
      <c r="HK215">
        <v>999.9</v>
      </c>
      <c r="HL215">
        <v>26.511</v>
      </c>
      <c r="HM215">
        <v>30.414</v>
      </c>
      <c r="HN215">
        <v>12.8729</v>
      </c>
      <c r="HO215">
        <v>53.5928</v>
      </c>
      <c r="HP215">
        <v>44.2308</v>
      </c>
      <c r="HQ215">
        <v>1</v>
      </c>
      <c r="HR215">
        <v>-0.260241</v>
      </c>
      <c r="HS215">
        <v>4.58675</v>
      </c>
      <c r="HT215">
        <v>20.079</v>
      </c>
      <c r="HU215">
        <v>5.19932</v>
      </c>
      <c r="HV215">
        <v>12.004</v>
      </c>
      <c r="HW215">
        <v>4.9757</v>
      </c>
      <c r="HX215">
        <v>3.29303</v>
      </c>
      <c r="HY215">
        <v>9999</v>
      </c>
      <c r="HZ215">
        <v>999.9</v>
      </c>
      <c r="IA215">
        <v>9999</v>
      </c>
      <c r="IB215">
        <v>9999</v>
      </c>
      <c r="IC215">
        <v>1.8632</v>
      </c>
      <c r="ID215">
        <v>1.86805</v>
      </c>
      <c r="IE215">
        <v>1.86783</v>
      </c>
      <c r="IF215">
        <v>1.86905</v>
      </c>
      <c r="IG215">
        <v>1.86981</v>
      </c>
      <c r="IH215">
        <v>1.86585</v>
      </c>
      <c r="II215">
        <v>1.86691</v>
      </c>
      <c r="IJ215">
        <v>1.86838</v>
      </c>
      <c r="IK215">
        <v>5</v>
      </c>
      <c r="IL215">
        <v>0</v>
      </c>
      <c r="IM215">
        <v>0</v>
      </c>
      <c r="IN215">
        <v>0</v>
      </c>
      <c r="IO215" t="s">
        <v>441</v>
      </c>
      <c r="IP215" t="s">
        <v>442</v>
      </c>
      <c r="IQ215" t="s">
        <v>443</v>
      </c>
      <c r="IR215" t="s">
        <v>443</v>
      </c>
      <c r="IS215" t="s">
        <v>443</v>
      </c>
      <c r="IT215" t="s">
        <v>443</v>
      </c>
      <c r="IU215">
        <v>0</v>
      </c>
      <c r="IV215">
        <v>100</v>
      </c>
      <c r="IW215">
        <v>100</v>
      </c>
      <c r="IX215">
        <v>6.74</v>
      </c>
      <c r="IY215">
        <v>-0.1105</v>
      </c>
      <c r="IZ215">
        <v>1.12474291219083</v>
      </c>
      <c r="JA215">
        <v>0.00463155566490582</v>
      </c>
      <c r="JB215">
        <v>-1.1358998729424e-06</v>
      </c>
      <c r="JC215">
        <v>3.28704272115545e-10</v>
      </c>
      <c r="JD215">
        <v>-0.0704455108513773</v>
      </c>
      <c r="JE215">
        <v>-0.0251928478371425</v>
      </c>
      <c r="JF215">
        <v>0.00225751704194564</v>
      </c>
      <c r="JG215">
        <v>-3.61734043746866e-05</v>
      </c>
      <c r="JH215">
        <v>1</v>
      </c>
      <c r="JI215">
        <v>2182</v>
      </c>
      <c r="JJ215">
        <v>0</v>
      </c>
      <c r="JK215">
        <v>24</v>
      </c>
      <c r="JL215">
        <v>29349872.2</v>
      </c>
      <c r="JM215">
        <v>29349872.2</v>
      </c>
      <c r="JN215">
        <v>2.94922</v>
      </c>
      <c r="JO215">
        <v>2.60742</v>
      </c>
      <c r="JP215">
        <v>1.54785</v>
      </c>
      <c r="JQ215">
        <v>2.31445</v>
      </c>
      <c r="JR215">
        <v>1.64673</v>
      </c>
      <c r="JS215">
        <v>2.32544</v>
      </c>
      <c r="JT215">
        <v>33.6029</v>
      </c>
      <c r="JU215">
        <v>24.1838</v>
      </c>
      <c r="JV215">
        <v>18</v>
      </c>
      <c r="JW215">
        <v>500.693</v>
      </c>
      <c r="JX215">
        <v>395.533</v>
      </c>
      <c r="JY215">
        <v>11.6156</v>
      </c>
      <c r="JZ215">
        <v>24.0095</v>
      </c>
      <c r="KA215">
        <v>30.0001</v>
      </c>
      <c r="KB215">
        <v>24.0008</v>
      </c>
      <c r="KC215">
        <v>23.9685</v>
      </c>
      <c r="KD215">
        <v>59.0691</v>
      </c>
      <c r="KE215">
        <v>8.75871</v>
      </c>
      <c r="KF215">
        <v>26.5359</v>
      </c>
      <c r="KG215">
        <v>11.6252</v>
      </c>
      <c r="KH215">
        <v>1607.16</v>
      </c>
      <c r="KI215">
        <v>9.56026</v>
      </c>
      <c r="KJ215">
        <v>97.0347</v>
      </c>
      <c r="KK215">
        <v>95.2937</v>
      </c>
    </row>
    <row r="216" spans="1:297">
      <c r="A216">
        <v>200</v>
      </c>
      <c r="B216">
        <v>1760993408.1</v>
      </c>
      <c r="C216">
        <v>4218</v>
      </c>
      <c r="D216" t="s">
        <v>853</v>
      </c>
      <c r="E216" t="s">
        <v>854</v>
      </c>
      <c r="F216">
        <v>5</v>
      </c>
      <c r="G216" t="s">
        <v>662</v>
      </c>
      <c r="H216" t="s">
        <v>436</v>
      </c>
      <c r="I216">
        <v>1760993400.1</v>
      </c>
      <c r="J216">
        <f>(K216)/1000</f>
        <v>0</v>
      </c>
      <c r="K216">
        <f>IF(DP216, AN216, AH216)</f>
        <v>0</v>
      </c>
      <c r="L216">
        <f>IF(DP216, AI216, AG216)</f>
        <v>0</v>
      </c>
      <c r="M216">
        <f>DR216 - IF(AU216&gt;1, L216*DL216*100.0/(AW216), 0)</f>
        <v>0</v>
      </c>
      <c r="N216">
        <f>((T216-J216/2)*M216-L216)/(T216+J216/2)</f>
        <v>0</v>
      </c>
      <c r="O216">
        <f>N216*(DY216+DZ216)/1000.0</f>
        <v>0</v>
      </c>
      <c r="P216">
        <f>(DR216 - IF(AU216&gt;1, L216*DL216*100.0/(AW216), 0))*(DY216+DZ216)/1000.0</f>
        <v>0</v>
      </c>
      <c r="Q216">
        <f>2.0/((1/S216-1/R216)+SIGN(S216)*SQRT((1/S216-1/R216)*(1/S216-1/R216) + 4*DM216/((DM216+1)*(DM216+1))*(2*1/S216*1/R216-1/R216*1/R216)))</f>
        <v>0</v>
      </c>
      <c r="R216">
        <f>IF(LEFT(DN216,1)&lt;&gt;"0",IF(LEFT(DN216,1)="1",3.0,DO216),$D$5+$E$5*(EF216*DY216/($K$5*1000))+$F$5*(EF216*DY216/($K$5*1000))*MAX(MIN(DL216,$J$5),$I$5)*MAX(MIN(DL216,$J$5),$I$5)+$G$5*MAX(MIN(DL216,$J$5),$I$5)*(EF216*DY216/($K$5*1000))+$H$5*(EF216*DY216/($K$5*1000))*(EF216*DY216/($K$5*1000)))</f>
        <v>0</v>
      </c>
      <c r="S216">
        <f>J216*(1000-(1000*0.61365*exp(17.502*W216/(240.97+W216))/(DY216+DZ216)+DT216)/2)/(1000*0.61365*exp(17.502*W216/(240.97+W216))/(DY216+DZ216)-DT216)</f>
        <v>0</v>
      </c>
      <c r="T216">
        <f>1/((DM216+1)/(Q216/1.6)+1/(R216/1.37)) + DM216/((DM216+1)/(Q216/1.6) + DM216/(R216/1.37))</f>
        <v>0</v>
      </c>
      <c r="U216">
        <f>(DH216*DK216)</f>
        <v>0</v>
      </c>
      <c r="V216">
        <f>(EA216+(U216+2*0.95*5.67E-8*(((EA216+$B$7)+273)^4-(EA216+273)^4)-44100*J216)/(1.84*29.3*R216+8*0.95*5.67E-8*(EA216+273)^3))</f>
        <v>0</v>
      </c>
      <c r="W216">
        <f>($C$7*EB216+$D$7*EC216+$E$7*V216)</f>
        <v>0</v>
      </c>
      <c r="X216">
        <f>0.61365*exp(17.502*W216/(240.97+W216))</f>
        <v>0</v>
      </c>
      <c r="Y216">
        <f>(Z216/AA216*100)</f>
        <v>0</v>
      </c>
      <c r="Z216">
        <f>DT216*(DY216+DZ216)/1000</f>
        <v>0</v>
      </c>
      <c r="AA216">
        <f>0.61365*exp(17.502*EA216/(240.97+EA216))</f>
        <v>0</v>
      </c>
      <c r="AB216">
        <f>(X216-DT216*(DY216+DZ216)/1000)</f>
        <v>0</v>
      </c>
      <c r="AC216">
        <f>(-J216*44100)</f>
        <v>0</v>
      </c>
      <c r="AD216">
        <f>2*29.3*R216*0.92*(EA216-W216)</f>
        <v>0</v>
      </c>
      <c r="AE216">
        <f>2*0.95*5.67E-8*(((EA216+$B$7)+273)^4-(W216+273)^4)</f>
        <v>0</v>
      </c>
      <c r="AF216">
        <f>U216+AE216+AC216+AD216</f>
        <v>0</v>
      </c>
      <c r="AG216">
        <f>DX216*AU216*(DS216-DR216*(1000-AU216*DU216)/(1000-AU216*DT216))/(100*DL216)</f>
        <v>0</v>
      </c>
      <c r="AH216">
        <f>1000*DX216*AU216*(DT216-DU216)/(100*DL216*(1000-AU216*DT216))</f>
        <v>0</v>
      </c>
      <c r="AI216">
        <f>(AJ216 - AK216 - DY216*1E3/(8.314*(EA216+273.15)) * AM216/DX216 * AL216) * DX216/(100*DL216) * (1000 - DU216)/1000</f>
        <v>0</v>
      </c>
      <c r="AJ216">
        <v>424.025090552972</v>
      </c>
      <c r="AK216">
        <v>407.075284848485</v>
      </c>
      <c r="AL216">
        <v>-8.66926850059818e-05</v>
      </c>
      <c r="AM216">
        <v>65.2210784119795</v>
      </c>
      <c r="AN216">
        <f>(AP216 - AO216 + DY216*1E3/(8.314*(EA216+273.15)) * AR216/DX216 * AQ216) * DX216/(100*DL216) * 1000/(1000 - AP216)</f>
        <v>0</v>
      </c>
      <c r="AO216">
        <v>9.55877426969333</v>
      </c>
      <c r="AP216">
        <v>11.7389866666667</v>
      </c>
      <c r="AQ216">
        <v>0.000187337380478385</v>
      </c>
      <c r="AR216">
        <v>115.574510355221</v>
      </c>
      <c r="AS216">
        <v>0</v>
      </c>
      <c r="AT216">
        <v>0</v>
      </c>
      <c r="AU216">
        <f>IF(AS216*$H$13&gt;=AW216,1.0,(AW216/(AW216-AS216*$H$13)))</f>
        <v>0</v>
      </c>
      <c r="AV216">
        <f>(AU216-1)*100</f>
        <v>0</v>
      </c>
      <c r="AW216">
        <f>MAX(0,($B$13+$C$13*EF216)/(1+$D$13*EF216)*DY216/(EA216+273)*$E$13)</f>
        <v>0</v>
      </c>
      <c r="AX216" t="s">
        <v>659</v>
      </c>
      <c r="AY216">
        <v>5140.93</v>
      </c>
      <c r="AZ216">
        <v>718.434615384615</v>
      </c>
      <c r="BA216">
        <v>1633.28263291266</v>
      </c>
      <c r="BB216">
        <f>1-AZ216/BA216</f>
        <v>0</v>
      </c>
      <c r="BC216">
        <v>-0.638083621395434</v>
      </c>
      <c r="BD216" t="s">
        <v>855</v>
      </c>
      <c r="BE216">
        <v>5151.48</v>
      </c>
      <c r="BF216">
        <v>1172.3772</v>
      </c>
      <c r="BG216">
        <v>1421.43932225759</v>
      </c>
      <c r="BH216">
        <f>1-BF216/BG216</f>
        <v>0</v>
      </c>
      <c r="BI216">
        <v>0.5</v>
      </c>
      <c r="BJ216">
        <f>DI216</f>
        <v>0</v>
      </c>
      <c r="BK216">
        <f>L216</f>
        <v>0</v>
      </c>
      <c r="BL216">
        <f>BH216*BI216*BJ216</f>
        <v>0</v>
      </c>
      <c r="BM216">
        <f>(BK216-BC216)/BJ216</f>
        <v>0</v>
      </c>
      <c r="BN216">
        <f>(BA216-BG216)/BG216</f>
        <v>0</v>
      </c>
      <c r="BO216">
        <f>AZ216/(BB216+AZ216/BG216)</f>
        <v>0</v>
      </c>
      <c r="BP216" t="s">
        <v>856</v>
      </c>
      <c r="BQ216">
        <v>750.6</v>
      </c>
      <c r="BR216">
        <f>IF(BQ216&lt;&gt;0, BQ216, BO216)</f>
        <v>0</v>
      </c>
      <c r="BS216">
        <f>1-BR216/BG216</f>
        <v>0</v>
      </c>
      <c r="BT216">
        <f>(BG216-BF216)/(BG216-BR216)</f>
        <v>0</v>
      </c>
      <c r="BU216">
        <f>(BA216-BG216)/(BA216-BR216)</f>
        <v>0</v>
      </c>
      <c r="BV216">
        <f>(BG216-BF216)/(BG216-AZ216)</f>
        <v>0</v>
      </c>
      <c r="BW216">
        <f>(BA216-BG216)/(BA216-AZ216)</f>
        <v>0</v>
      </c>
      <c r="BX216">
        <f>(BT216*BR216/BF216)</f>
        <v>0</v>
      </c>
      <c r="BY216">
        <f>(1-BX216)</f>
        <v>0</v>
      </c>
      <c r="BZ216">
        <v>283</v>
      </c>
      <c r="CA216">
        <v>290</v>
      </c>
      <c r="CB216">
        <v>1351.64</v>
      </c>
      <c r="CC216">
        <v>245</v>
      </c>
      <c r="CD216">
        <v>5151.48</v>
      </c>
      <c r="CE216">
        <v>1351.22</v>
      </c>
      <c r="CF216">
        <v>0.42</v>
      </c>
      <c r="CG216">
        <v>300</v>
      </c>
      <c r="CH216">
        <v>23.7</v>
      </c>
      <c r="CI216">
        <v>1421.43932225759</v>
      </c>
      <c r="CJ216">
        <v>1.62945751953032</v>
      </c>
      <c r="CK216">
        <v>-36.174180035582</v>
      </c>
      <c r="CL216">
        <v>0.755408350893119</v>
      </c>
      <c r="CM216">
        <v>0.987937051421676</v>
      </c>
      <c r="CN216">
        <v>-0.00324740823136819</v>
      </c>
      <c r="CO216">
        <v>290</v>
      </c>
      <c r="CP216">
        <v>1349.61</v>
      </c>
      <c r="CQ216">
        <v>695</v>
      </c>
      <c r="CR216">
        <v>5150.13</v>
      </c>
      <c r="CS216">
        <v>1351.2</v>
      </c>
      <c r="CT216">
        <v>-1.59</v>
      </c>
      <c r="DH216">
        <f>$B$11*EG216+$C$11*EH216+$F$11*ES216*(1-EV216)</f>
        <v>0</v>
      </c>
      <c r="DI216">
        <f>DH216*DJ216</f>
        <v>0</v>
      </c>
      <c r="DJ216">
        <f>($B$11*$D$9+$C$11*$D$9+$F$11*((FF216+EX216)/MAX(FF216+EX216+FG216, 0.1)*$I$9+FG216/MAX(FF216+EX216+FG216, 0.1)*$J$9))/($B$11+$C$11+$F$11)</f>
        <v>0</v>
      </c>
      <c r="DK216">
        <f>($B$11*$K$9+$C$11*$K$9+$F$11*((FF216+EX216)/MAX(FF216+EX216+FG216, 0.1)*$P$9+FG216/MAX(FF216+EX216+FG216, 0.1)*$Q$9))/($B$11+$C$11+$F$11)</f>
        <v>0</v>
      </c>
      <c r="DL216">
        <v>6</v>
      </c>
      <c r="DM216">
        <v>0.5</v>
      </c>
      <c r="DN216" t="s">
        <v>438</v>
      </c>
      <c r="DO216">
        <v>2</v>
      </c>
      <c r="DP216" t="b">
        <v>1</v>
      </c>
      <c r="DQ216">
        <v>1760993400.1</v>
      </c>
      <c r="DR216">
        <v>402.297466666667</v>
      </c>
      <c r="DS216">
        <v>419.9806</v>
      </c>
      <c r="DT216">
        <v>11.7257066666667</v>
      </c>
      <c r="DU216">
        <v>9.54349266666667</v>
      </c>
      <c r="DV216">
        <v>399.4826</v>
      </c>
      <c r="DW216">
        <v>11.8380133333333</v>
      </c>
      <c r="DX216">
        <v>499.979866666667</v>
      </c>
      <c r="DY216">
        <v>89.8371533333333</v>
      </c>
      <c r="DZ216">
        <v>0.00998807266666667</v>
      </c>
      <c r="EA216">
        <v>18.38328</v>
      </c>
      <c r="EB216">
        <v>18.0175933333333</v>
      </c>
      <c r="EC216">
        <v>999.9</v>
      </c>
      <c r="ED216">
        <v>0</v>
      </c>
      <c r="EE216">
        <v>0</v>
      </c>
      <c r="EF216">
        <v>9988.33266666667</v>
      </c>
      <c r="EG216">
        <v>0</v>
      </c>
      <c r="EH216">
        <v>1278.52866666667</v>
      </c>
      <c r="EI216">
        <v>-17.6832066666667</v>
      </c>
      <c r="EJ216">
        <v>407.070533333333</v>
      </c>
      <c r="EK216">
        <v>424.0274</v>
      </c>
      <c r="EL216">
        <v>2.18220733333333</v>
      </c>
      <c r="EM216">
        <v>419.9806</v>
      </c>
      <c r="EN216">
        <v>9.54349266666667</v>
      </c>
      <c r="EO216">
        <v>1.053404</v>
      </c>
      <c r="EP216">
        <v>0.857360133333333</v>
      </c>
      <c r="EQ216">
        <v>7.67671666666667</v>
      </c>
      <c r="ER216">
        <v>4.69421133333333</v>
      </c>
      <c r="ES216">
        <v>1200.072</v>
      </c>
      <c r="ET216">
        <v>0.9670028</v>
      </c>
      <c r="EU216">
        <v>0.0329971266666667</v>
      </c>
      <c r="EV216">
        <v>0</v>
      </c>
      <c r="EW216">
        <v>1172.44866666667</v>
      </c>
      <c r="EX216">
        <v>5.00059</v>
      </c>
      <c r="EY216">
        <v>13924.8866666667</v>
      </c>
      <c r="EZ216">
        <v>10359.3333333333</v>
      </c>
      <c r="FA216">
        <v>38.8664666666667</v>
      </c>
      <c r="FB216">
        <v>41.6580666666667</v>
      </c>
      <c r="FC216">
        <v>39.3913333333333</v>
      </c>
      <c r="FD216">
        <v>41.7788666666667</v>
      </c>
      <c r="FE216">
        <v>39.9164666666667</v>
      </c>
      <c r="FF216">
        <v>1155.638</v>
      </c>
      <c r="FG216">
        <v>39.434</v>
      </c>
      <c r="FH216">
        <v>0</v>
      </c>
      <c r="FI216">
        <v>2264</v>
      </c>
      <c r="FJ216">
        <v>0</v>
      </c>
      <c r="FK216">
        <v>1172.3772</v>
      </c>
      <c r="FL216">
        <v>-2.39000000669253</v>
      </c>
      <c r="FM216">
        <v>-61.4538461937389</v>
      </c>
      <c r="FN216">
        <v>13923.568</v>
      </c>
      <c r="FO216">
        <v>15</v>
      </c>
      <c r="FP216">
        <v>0</v>
      </c>
      <c r="FQ216" t="s">
        <v>439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-17.694015</v>
      </c>
      <c r="GD216">
        <v>0.200711278195513</v>
      </c>
      <c r="GE216">
        <v>0.035926985331363</v>
      </c>
      <c r="GF216">
        <v>1</v>
      </c>
      <c r="GG216">
        <v>1172.62911764706</v>
      </c>
      <c r="GH216">
        <v>-3.12406417110715</v>
      </c>
      <c r="GI216">
        <v>0.352448307824822</v>
      </c>
      <c r="GJ216">
        <v>-1</v>
      </c>
      <c r="GK216">
        <v>2.187076</v>
      </c>
      <c r="GL216">
        <v>-0.0901930827067672</v>
      </c>
      <c r="GM216">
        <v>0.00909054860830743</v>
      </c>
      <c r="GN216">
        <v>1</v>
      </c>
      <c r="GO216">
        <v>2</v>
      </c>
      <c r="GP216">
        <v>2</v>
      </c>
      <c r="GQ216" t="s">
        <v>440</v>
      </c>
      <c r="GR216">
        <v>3.13063</v>
      </c>
      <c r="GS216">
        <v>2.68811</v>
      </c>
      <c r="GT216">
        <v>0.0866506</v>
      </c>
      <c r="GU216">
        <v>0.0901679</v>
      </c>
      <c r="GV216">
        <v>0.0613718</v>
      </c>
      <c r="GW216">
        <v>0.0522324</v>
      </c>
      <c r="GX216">
        <v>34603.3</v>
      </c>
      <c r="GY216">
        <v>37038.3</v>
      </c>
      <c r="GZ216">
        <v>34256.2</v>
      </c>
      <c r="HA216">
        <v>36836.9</v>
      </c>
      <c r="HB216">
        <v>45357</v>
      </c>
      <c r="HC216">
        <v>50064.2</v>
      </c>
      <c r="HD216">
        <v>53328.3</v>
      </c>
      <c r="HE216">
        <v>58761</v>
      </c>
      <c r="HF216">
        <v>2.00638</v>
      </c>
      <c r="HG216">
        <v>1.8347</v>
      </c>
      <c r="HH216">
        <v>0.00919402</v>
      </c>
      <c r="HI216">
        <v>0</v>
      </c>
      <c r="HJ216">
        <v>17.8571</v>
      </c>
      <c r="HK216">
        <v>999.9</v>
      </c>
      <c r="HL216">
        <v>26.56</v>
      </c>
      <c r="HM216">
        <v>30.353</v>
      </c>
      <c r="HN216">
        <v>12.853</v>
      </c>
      <c r="HO216">
        <v>54.8228</v>
      </c>
      <c r="HP216">
        <v>44.2748</v>
      </c>
      <c r="HQ216">
        <v>1</v>
      </c>
      <c r="HR216">
        <v>-0.252698</v>
      </c>
      <c r="HS216">
        <v>4.84754</v>
      </c>
      <c r="HT216">
        <v>20.0691</v>
      </c>
      <c r="HU216">
        <v>5.20172</v>
      </c>
      <c r="HV216">
        <v>12.004</v>
      </c>
      <c r="HW216">
        <v>4.97565</v>
      </c>
      <c r="HX216">
        <v>3.29303</v>
      </c>
      <c r="HY216">
        <v>9999</v>
      </c>
      <c r="HZ216">
        <v>999.9</v>
      </c>
      <c r="IA216">
        <v>9999</v>
      </c>
      <c r="IB216">
        <v>9999</v>
      </c>
      <c r="IC216">
        <v>1.86322</v>
      </c>
      <c r="ID216">
        <v>1.86803</v>
      </c>
      <c r="IE216">
        <v>1.86783</v>
      </c>
      <c r="IF216">
        <v>1.86905</v>
      </c>
      <c r="IG216">
        <v>1.86981</v>
      </c>
      <c r="IH216">
        <v>1.86586</v>
      </c>
      <c r="II216">
        <v>1.86691</v>
      </c>
      <c r="IJ216">
        <v>1.8683</v>
      </c>
      <c r="IK216">
        <v>5</v>
      </c>
      <c r="IL216">
        <v>0</v>
      </c>
      <c r="IM216">
        <v>0</v>
      </c>
      <c r="IN216">
        <v>0</v>
      </c>
      <c r="IO216" t="s">
        <v>441</v>
      </c>
      <c r="IP216" t="s">
        <v>442</v>
      </c>
      <c r="IQ216" t="s">
        <v>443</v>
      </c>
      <c r="IR216" t="s">
        <v>443</v>
      </c>
      <c r="IS216" t="s">
        <v>443</v>
      </c>
      <c r="IT216" t="s">
        <v>443</v>
      </c>
      <c r="IU216">
        <v>0</v>
      </c>
      <c r="IV216">
        <v>100</v>
      </c>
      <c r="IW216">
        <v>100</v>
      </c>
      <c r="IX216">
        <v>2.815</v>
      </c>
      <c r="IY216">
        <v>-0.1121</v>
      </c>
      <c r="IZ216">
        <v>1.12474291219083</v>
      </c>
      <c r="JA216">
        <v>0.00463155566490582</v>
      </c>
      <c r="JB216">
        <v>-1.1358998729424e-06</v>
      </c>
      <c r="JC216">
        <v>3.28704272115545e-10</v>
      </c>
      <c r="JD216">
        <v>-0.0704455108513773</v>
      </c>
      <c r="JE216">
        <v>-0.0251928478371425</v>
      </c>
      <c r="JF216">
        <v>0.00225751704194564</v>
      </c>
      <c r="JG216">
        <v>-3.61734043746866e-05</v>
      </c>
      <c r="JH216">
        <v>1</v>
      </c>
      <c r="JI216">
        <v>2182</v>
      </c>
      <c r="JJ216">
        <v>0</v>
      </c>
      <c r="JK216">
        <v>24</v>
      </c>
      <c r="JL216">
        <v>29349890.1</v>
      </c>
      <c r="JM216">
        <v>29349890.1</v>
      </c>
      <c r="JN216">
        <v>1.00098</v>
      </c>
      <c r="JO216">
        <v>2.62573</v>
      </c>
      <c r="JP216">
        <v>1.54785</v>
      </c>
      <c r="JQ216">
        <v>2.31445</v>
      </c>
      <c r="JR216">
        <v>1.64673</v>
      </c>
      <c r="JS216">
        <v>2.34131</v>
      </c>
      <c r="JT216">
        <v>33.6705</v>
      </c>
      <c r="JU216">
        <v>24.1751</v>
      </c>
      <c r="JV216">
        <v>18</v>
      </c>
      <c r="JW216">
        <v>500.829</v>
      </c>
      <c r="JX216">
        <v>394.151</v>
      </c>
      <c r="JY216">
        <v>11.5081</v>
      </c>
      <c r="JZ216">
        <v>24.0984</v>
      </c>
      <c r="KA216">
        <v>30.0002</v>
      </c>
      <c r="KB216">
        <v>24.099</v>
      </c>
      <c r="KC216">
        <v>24.068</v>
      </c>
      <c r="KD216">
        <v>20.059</v>
      </c>
      <c r="KE216">
        <v>9.7576</v>
      </c>
      <c r="KF216">
        <v>26.1658</v>
      </c>
      <c r="KG216">
        <v>11.497</v>
      </c>
      <c r="KH216">
        <v>420</v>
      </c>
      <c r="KI216">
        <v>9.61749</v>
      </c>
      <c r="KJ216">
        <v>97.0186</v>
      </c>
      <c r="KK216">
        <v>95.2759</v>
      </c>
    </row>
    <row r="217" spans="1:297">
      <c r="A217">
        <v>201</v>
      </c>
      <c r="B217">
        <v>1760993478.1</v>
      </c>
      <c r="C217">
        <v>4288</v>
      </c>
      <c r="D217" t="s">
        <v>857</v>
      </c>
      <c r="E217" t="s">
        <v>858</v>
      </c>
      <c r="F217">
        <v>5</v>
      </c>
      <c r="G217" t="s">
        <v>662</v>
      </c>
      <c r="H217" t="s">
        <v>436</v>
      </c>
      <c r="I217">
        <v>1760993469.6</v>
      </c>
      <c r="J217">
        <f>(K217)/1000</f>
        <v>0</v>
      </c>
      <c r="K217">
        <f>IF(DP217, AN217, AH217)</f>
        <v>0</v>
      </c>
      <c r="L217">
        <f>IF(DP217, AI217, AG217)</f>
        <v>0</v>
      </c>
      <c r="M217">
        <f>DR217 - IF(AU217&gt;1, L217*DL217*100.0/(AW217), 0)</f>
        <v>0</v>
      </c>
      <c r="N217">
        <f>((T217-J217/2)*M217-L217)/(T217+J217/2)</f>
        <v>0</v>
      </c>
      <c r="O217">
        <f>N217*(DY217+DZ217)/1000.0</f>
        <v>0</v>
      </c>
      <c r="P217">
        <f>(DR217 - IF(AU217&gt;1, L217*DL217*100.0/(AW217), 0))*(DY217+DZ217)/1000.0</f>
        <v>0</v>
      </c>
      <c r="Q217">
        <f>2.0/((1/S217-1/R217)+SIGN(S217)*SQRT((1/S217-1/R217)*(1/S217-1/R217) + 4*DM217/((DM217+1)*(DM217+1))*(2*1/S217*1/R217-1/R217*1/R217)))</f>
        <v>0</v>
      </c>
      <c r="R217">
        <f>IF(LEFT(DN217,1)&lt;&gt;"0",IF(LEFT(DN217,1)="1",3.0,DO217),$D$5+$E$5*(EF217*DY217/($K$5*1000))+$F$5*(EF217*DY217/($K$5*1000))*MAX(MIN(DL217,$J$5),$I$5)*MAX(MIN(DL217,$J$5),$I$5)+$G$5*MAX(MIN(DL217,$J$5),$I$5)*(EF217*DY217/($K$5*1000))+$H$5*(EF217*DY217/($K$5*1000))*(EF217*DY217/($K$5*1000)))</f>
        <v>0</v>
      </c>
      <c r="S217">
        <f>J217*(1000-(1000*0.61365*exp(17.502*W217/(240.97+W217))/(DY217+DZ217)+DT217)/2)/(1000*0.61365*exp(17.502*W217/(240.97+W217))/(DY217+DZ217)-DT217)</f>
        <v>0</v>
      </c>
      <c r="T217">
        <f>1/((DM217+1)/(Q217/1.6)+1/(R217/1.37)) + DM217/((DM217+1)/(Q217/1.6) + DM217/(R217/1.37))</f>
        <v>0</v>
      </c>
      <c r="U217">
        <f>(DH217*DK217)</f>
        <v>0</v>
      </c>
      <c r="V217">
        <f>(EA217+(U217+2*0.95*5.67E-8*(((EA217+$B$7)+273)^4-(EA217+273)^4)-44100*J217)/(1.84*29.3*R217+8*0.95*5.67E-8*(EA217+273)^3))</f>
        <v>0</v>
      </c>
      <c r="W217">
        <f>($C$7*EB217+$D$7*EC217+$E$7*V217)</f>
        <v>0</v>
      </c>
      <c r="X217">
        <f>0.61365*exp(17.502*W217/(240.97+W217))</f>
        <v>0</v>
      </c>
      <c r="Y217">
        <f>(Z217/AA217*100)</f>
        <v>0</v>
      </c>
      <c r="Z217">
        <f>DT217*(DY217+DZ217)/1000</f>
        <v>0</v>
      </c>
      <c r="AA217">
        <f>0.61365*exp(17.502*EA217/(240.97+EA217))</f>
        <v>0</v>
      </c>
      <c r="AB217">
        <f>(X217-DT217*(DY217+DZ217)/1000)</f>
        <v>0</v>
      </c>
      <c r="AC217">
        <f>(-J217*44100)</f>
        <v>0</v>
      </c>
      <c r="AD217">
        <f>2*29.3*R217*0.92*(EA217-W217)</f>
        <v>0</v>
      </c>
      <c r="AE217">
        <f>2*0.95*5.67E-8*(((EA217+$B$7)+273)^4-(W217+273)^4)</f>
        <v>0</v>
      </c>
      <c r="AF217">
        <f>U217+AE217+AC217+AD217</f>
        <v>0</v>
      </c>
      <c r="AG217">
        <f>DX217*AU217*(DS217-DR217*(1000-AU217*DU217)/(1000-AU217*DT217))/(100*DL217)</f>
        <v>0</v>
      </c>
      <c r="AH217">
        <f>1000*DX217*AU217*(DT217-DU217)/(100*DL217*(1000-AU217*DT217))</f>
        <v>0</v>
      </c>
      <c r="AI217">
        <f>(AJ217 - AK217 - DY217*1E3/(8.314*(EA217+273.15)) * AM217/DX217 * AL217) * DX217/(100*DL217) * (1000 - DU217)/1000</f>
        <v>0</v>
      </c>
      <c r="AJ217">
        <v>424.118166769257</v>
      </c>
      <c r="AK217">
        <v>407.880490909091</v>
      </c>
      <c r="AL217">
        <v>0.00762627436988453</v>
      </c>
      <c r="AM217">
        <v>65.2210784119795</v>
      </c>
      <c r="AN217">
        <f>(AP217 - AO217 + DY217*1E3/(8.314*(EA217+273.15)) * AR217/DX217 * AQ217) * DX217/(100*DL217) * 1000/(1000 - AP217)</f>
        <v>0</v>
      </c>
      <c r="AO217">
        <v>9.58656111048147</v>
      </c>
      <c r="AP217">
        <v>11.8751751515152</v>
      </c>
      <c r="AQ217">
        <v>5.5246725219818e-05</v>
      </c>
      <c r="AR217">
        <v>115.574510355221</v>
      </c>
      <c r="AS217">
        <v>0</v>
      </c>
      <c r="AT217">
        <v>0</v>
      </c>
      <c r="AU217">
        <f>IF(AS217*$H$13&gt;=AW217,1.0,(AW217/(AW217-AS217*$H$13)))</f>
        <v>0</v>
      </c>
      <c r="AV217">
        <f>(AU217-1)*100</f>
        <v>0</v>
      </c>
      <c r="AW217">
        <f>MAX(0,($B$13+$C$13*EF217)/(1+$D$13*EF217)*DY217/(EA217+273)*$E$13)</f>
        <v>0</v>
      </c>
      <c r="AX217" t="s">
        <v>437</v>
      </c>
      <c r="AY217" t="s">
        <v>437</v>
      </c>
      <c r="AZ217">
        <v>0</v>
      </c>
      <c r="BA217">
        <v>0</v>
      </c>
      <c r="BB217">
        <f>1-AZ217/BA217</f>
        <v>0</v>
      </c>
      <c r="BC217">
        <v>0</v>
      </c>
      <c r="BD217" t="s">
        <v>437</v>
      </c>
      <c r="BE217" t="s">
        <v>437</v>
      </c>
      <c r="BF217">
        <v>0</v>
      </c>
      <c r="BG217">
        <v>0</v>
      </c>
      <c r="BH217">
        <f>1-BF217/BG217</f>
        <v>0</v>
      </c>
      <c r="BI217">
        <v>0.5</v>
      </c>
      <c r="BJ217">
        <f>DI217</f>
        <v>0</v>
      </c>
      <c r="BK217">
        <f>L217</f>
        <v>0</v>
      </c>
      <c r="BL217">
        <f>BH217*BI217*BJ217</f>
        <v>0</v>
      </c>
      <c r="BM217">
        <f>(BK217-BC217)/BJ217</f>
        <v>0</v>
      </c>
      <c r="BN217">
        <f>(BA217-BG217)/BG217</f>
        <v>0</v>
      </c>
      <c r="BO217">
        <f>AZ217/(BB217+AZ217/BG217)</f>
        <v>0</v>
      </c>
      <c r="BP217" t="s">
        <v>437</v>
      </c>
      <c r="BQ217">
        <v>0</v>
      </c>
      <c r="BR217">
        <f>IF(BQ217&lt;&gt;0, BQ217, BO217)</f>
        <v>0</v>
      </c>
      <c r="BS217">
        <f>1-BR217/BG217</f>
        <v>0</v>
      </c>
      <c r="BT217">
        <f>(BG217-BF217)/(BG217-BR217)</f>
        <v>0</v>
      </c>
      <c r="BU217">
        <f>(BA217-BG217)/(BA217-BR217)</f>
        <v>0</v>
      </c>
      <c r="BV217">
        <f>(BG217-BF217)/(BG217-AZ217)</f>
        <v>0</v>
      </c>
      <c r="BW217">
        <f>(BA217-BG217)/(BA217-AZ217)</f>
        <v>0</v>
      </c>
      <c r="BX217">
        <f>(BT217*BR217/BF217)</f>
        <v>0</v>
      </c>
      <c r="BY217">
        <f>(1-BX217)</f>
        <v>0</v>
      </c>
      <c r="BZ217">
        <v>283</v>
      </c>
      <c r="CA217">
        <v>290</v>
      </c>
      <c r="CB217">
        <v>1351.64</v>
      </c>
      <c r="CC217">
        <v>245</v>
      </c>
      <c r="CD217">
        <v>5151.48</v>
      </c>
      <c r="CE217">
        <v>1351.22</v>
      </c>
      <c r="CF217">
        <v>0.42</v>
      </c>
      <c r="CG217">
        <v>300</v>
      </c>
      <c r="CH217">
        <v>23.7</v>
      </c>
      <c r="CI217">
        <v>1421.43932225759</v>
      </c>
      <c r="CJ217">
        <v>1.62945751953032</v>
      </c>
      <c r="CK217">
        <v>-36.174180035582</v>
      </c>
      <c r="CL217">
        <v>0.755408350893119</v>
      </c>
      <c r="CM217">
        <v>0.987937051421676</v>
      </c>
      <c r="CN217">
        <v>-0.00324740823136819</v>
      </c>
      <c r="CO217">
        <v>290</v>
      </c>
      <c r="CP217">
        <v>1349.61</v>
      </c>
      <c r="CQ217">
        <v>695</v>
      </c>
      <c r="CR217">
        <v>5150.13</v>
      </c>
      <c r="CS217">
        <v>1351.2</v>
      </c>
      <c r="CT217">
        <v>-1.59</v>
      </c>
      <c r="DH217">
        <f>$B$11*EG217+$C$11*EH217+$F$11*ES217*(1-EV217)</f>
        <v>0</v>
      </c>
      <c r="DI217">
        <f>DH217*DJ217</f>
        <v>0</v>
      </c>
      <c r="DJ217">
        <f>($B$11*$D$9+$C$11*$D$9+$F$11*((FF217+EX217)/MAX(FF217+EX217+FG217, 0.1)*$I$9+FG217/MAX(FF217+EX217+FG217, 0.1)*$J$9))/($B$11+$C$11+$F$11)</f>
        <v>0</v>
      </c>
      <c r="DK217">
        <f>($B$11*$K$9+$C$11*$K$9+$F$11*((FF217+EX217)/MAX(FF217+EX217+FG217, 0.1)*$P$9+FG217/MAX(FF217+EX217+FG217, 0.1)*$Q$9))/($B$11+$C$11+$F$11)</f>
        <v>0</v>
      </c>
      <c r="DL217">
        <v>6</v>
      </c>
      <c r="DM217">
        <v>0.5</v>
      </c>
      <c r="DN217" t="s">
        <v>438</v>
      </c>
      <c r="DO217">
        <v>2</v>
      </c>
      <c r="DP217" t="b">
        <v>1</v>
      </c>
      <c r="DQ217">
        <v>1760993469.6</v>
      </c>
      <c r="DR217">
        <v>403.030125</v>
      </c>
      <c r="DS217">
        <v>420.0083125</v>
      </c>
      <c r="DT217">
        <v>11.86635625</v>
      </c>
      <c r="DU217">
        <v>9.584008125</v>
      </c>
      <c r="DV217">
        <v>400.21275</v>
      </c>
      <c r="DW217">
        <v>11.9768625</v>
      </c>
      <c r="DX217">
        <v>499.99</v>
      </c>
      <c r="DY217">
        <v>89.83725</v>
      </c>
      <c r="DZ217">
        <v>0.00919366375</v>
      </c>
      <c r="EA217">
        <v>18.44863125</v>
      </c>
      <c r="EB217">
        <v>17.8639375</v>
      </c>
      <c r="EC217">
        <v>999.9</v>
      </c>
      <c r="ED217">
        <v>0</v>
      </c>
      <c r="EE217">
        <v>0</v>
      </c>
      <c r="EF217">
        <v>9993.546875</v>
      </c>
      <c r="EG217">
        <v>0</v>
      </c>
      <c r="EH217">
        <v>1278.556875</v>
      </c>
      <c r="EI217">
        <v>-16.97813125</v>
      </c>
      <c r="EJ217">
        <v>407.870125</v>
      </c>
      <c r="EK217">
        <v>424.0726875</v>
      </c>
      <c r="EL217">
        <v>2.282353125</v>
      </c>
      <c r="EM217">
        <v>420.0083125</v>
      </c>
      <c r="EN217">
        <v>9.584008125</v>
      </c>
      <c r="EO217">
        <v>1.066041875</v>
      </c>
      <c r="EP217">
        <v>0.8610009375</v>
      </c>
      <c r="EQ217">
        <v>7.85166375</v>
      </c>
      <c r="ER217">
        <v>4.754875625</v>
      </c>
      <c r="ES217">
        <v>900.0089375</v>
      </c>
      <c r="ET217">
        <v>0.9559919375</v>
      </c>
      <c r="EU217">
        <v>0.044008375</v>
      </c>
      <c r="EV217">
        <v>0</v>
      </c>
      <c r="EW217">
        <v>1128.079375</v>
      </c>
      <c r="EX217">
        <v>5.00059</v>
      </c>
      <c r="EY217">
        <v>9986.27375</v>
      </c>
      <c r="EZ217">
        <v>7732.865</v>
      </c>
      <c r="FA217">
        <v>37.827875</v>
      </c>
      <c r="FB217">
        <v>39.8044375</v>
      </c>
      <c r="FC217">
        <v>38.4138125</v>
      </c>
      <c r="FD217">
        <v>39.3200625</v>
      </c>
      <c r="FE217">
        <v>38.7731875</v>
      </c>
      <c r="FF217">
        <v>855.62</v>
      </c>
      <c r="FG217">
        <v>39.38875</v>
      </c>
      <c r="FH217">
        <v>0</v>
      </c>
      <c r="FI217">
        <v>67.1000001430511</v>
      </c>
      <c r="FJ217">
        <v>0</v>
      </c>
      <c r="FK217">
        <v>1127.99692307692</v>
      </c>
      <c r="FL217">
        <v>-5.60820512868678</v>
      </c>
      <c r="FM217">
        <v>-74.5121367641698</v>
      </c>
      <c r="FN217">
        <v>9985.30538461539</v>
      </c>
      <c r="FO217">
        <v>15</v>
      </c>
      <c r="FP217">
        <v>0</v>
      </c>
      <c r="FQ217" t="s">
        <v>439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-16.964105</v>
      </c>
      <c r="GD217">
        <v>-0.377842105263158</v>
      </c>
      <c r="GE217">
        <v>0.063153942671855</v>
      </c>
      <c r="GF217">
        <v>1</v>
      </c>
      <c r="GG217">
        <v>1128.41764705882</v>
      </c>
      <c r="GH217">
        <v>-6.18029029204466</v>
      </c>
      <c r="GI217">
        <v>0.642838644211236</v>
      </c>
      <c r="GJ217">
        <v>-1</v>
      </c>
      <c r="GK217">
        <v>2.277027</v>
      </c>
      <c r="GL217">
        <v>0.0989666165413526</v>
      </c>
      <c r="GM217">
        <v>0.00989450559654195</v>
      </c>
      <c r="GN217">
        <v>1</v>
      </c>
      <c r="GO217">
        <v>2</v>
      </c>
      <c r="GP217">
        <v>2</v>
      </c>
      <c r="GQ217" t="s">
        <v>440</v>
      </c>
      <c r="GR217">
        <v>3.13068</v>
      </c>
      <c r="GS217">
        <v>2.68728</v>
      </c>
      <c r="GT217">
        <v>0.0867693</v>
      </c>
      <c r="GU217">
        <v>0.0901604</v>
      </c>
      <c r="GV217">
        <v>0.0619117</v>
      </c>
      <c r="GW217">
        <v>0.052345</v>
      </c>
      <c r="GX217">
        <v>34598.6</v>
      </c>
      <c r="GY217">
        <v>37038.8</v>
      </c>
      <c r="GZ217">
        <v>34256</v>
      </c>
      <c r="HA217">
        <v>36837.1</v>
      </c>
      <c r="HB217">
        <v>45330</v>
      </c>
      <c r="HC217">
        <v>50058.4</v>
      </c>
      <c r="HD217">
        <v>53327.9</v>
      </c>
      <c r="HE217">
        <v>58761.3</v>
      </c>
      <c r="HF217">
        <v>2.00645</v>
      </c>
      <c r="HG217">
        <v>1.83463</v>
      </c>
      <c r="HH217">
        <v>0.00206381</v>
      </c>
      <c r="HI217">
        <v>0</v>
      </c>
      <c r="HJ217">
        <v>17.8693</v>
      </c>
      <c r="HK217">
        <v>999.9</v>
      </c>
      <c r="HL217">
        <v>26.535</v>
      </c>
      <c r="HM217">
        <v>30.363</v>
      </c>
      <c r="HN217">
        <v>12.849</v>
      </c>
      <c r="HO217">
        <v>54.3628</v>
      </c>
      <c r="HP217">
        <v>44.1707</v>
      </c>
      <c r="HQ217">
        <v>1</v>
      </c>
      <c r="HR217">
        <v>-0.258371</v>
      </c>
      <c r="HS217">
        <v>3.20776</v>
      </c>
      <c r="HT217">
        <v>20.111</v>
      </c>
      <c r="HU217">
        <v>5.20127</v>
      </c>
      <c r="HV217">
        <v>12.004</v>
      </c>
      <c r="HW217">
        <v>4.97565</v>
      </c>
      <c r="HX217">
        <v>3.29303</v>
      </c>
      <c r="HY217">
        <v>9999</v>
      </c>
      <c r="HZ217">
        <v>999.9</v>
      </c>
      <c r="IA217">
        <v>9999</v>
      </c>
      <c r="IB217">
        <v>9999</v>
      </c>
      <c r="IC217">
        <v>1.86324</v>
      </c>
      <c r="ID217">
        <v>1.86811</v>
      </c>
      <c r="IE217">
        <v>1.86783</v>
      </c>
      <c r="IF217">
        <v>1.86905</v>
      </c>
      <c r="IG217">
        <v>1.86981</v>
      </c>
      <c r="IH217">
        <v>1.86588</v>
      </c>
      <c r="II217">
        <v>1.86691</v>
      </c>
      <c r="IJ217">
        <v>1.86837</v>
      </c>
      <c r="IK217">
        <v>5</v>
      </c>
      <c r="IL217">
        <v>0</v>
      </c>
      <c r="IM217">
        <v>0</v>
      </c>
      <c r="IN217">
        <v>0</v>
      </c>
      <c r="IO217" t="s">
        <v>441</v>
      </c>
      <c r="IP217" t="s">
        <v>442</v>
      </c>
      <c r="IQ217" t="s">
        <v>443</v>
      </c>
      <c r="IR217" t="s">
        <v>443</v>
      </c>
      <c r="IS217" t="s">
        <v>443</v>
      </c>
      <c r="IT217" t="s">
        <v>443</v>
      </c>
      <c r="IU217">
        <v>0</v>
      </c>
      <c r="IV217">
        <v>100</v>
      </c>
      <c r="IW217">
        <v>100</v>
      </c>
      <c r="IX217">
        <v>2.818</v>
      </c>
      <c r="IY217">
        <v>-0.1104</v>
      </c>
      <c r="IZ217">
        <v>1.12474291219083</v>
      </c>
      <c r="JA217">
        <v>0.00463155566490582</v>
      </c>
      <c r="JB217">
        <v>-1.1358998729424e-06</v>
      </c>
      <c r="JC217">
        <v>3.28704272115545e-10</v>
      </c>
      <c r="JD217">
        <v>-0.0704455108513773</v>
      </c>
      <c r="JE217">
        <v>-0.0251928478371425</v>
      </c>
      <c r="JF217">
        <v>0.00225751704194564</v>
      </c>
      <c r="JG217">
        <v>-3.61734043746866e-05</v>
      </c>
      <c r="JH217">
        <v>1</v>
      </c>
      <c r="JI217">
        <v>2182</v>
      </c>
      <c r="JJ217">
        <v>0</v>
      </c>
      <c r="JK217">
        <v>24</v>
      </c>
      <c r="JL217">
        <v>29349891.3</v>
      </c>
      <c r="JM217">
        <v>29349891.3</v>
      </c>
      <c r="JN217">
        <v>1.00098</v>
      </c>
      <c r="JO217">
        <v>2.62329</v>
      </c>
      <c r="JP217">
        <v>1.54785</v>
      </c>
      <c r="JQ217">
        <v>2.31445</v>
      </c>
      <c r="JR217">
        <v>1.64673</v>
      </c>
      <c r="JS217">
        <v>2.37183</v>
      </c>
      <c r="JT217">
        <v>33.6705</v>
      </c>
      <c r="JU217">
        <v>24.2013</v>
      </c>
      <c r="JV217">
        <v>18</v>
      </c>
      <c r="JW217">
        <v>500.914</v>
      </c>
      <c r="JX217">
        <v>394.141</v>
      </c>
      <c r="JY217">
        <v>12.8669</v>
      </c>
      <c r="JZ217">
        <v>24.1019</v>
      </c>
      <c r="KA217">
        <v>30.0001</v>
      </c>
      <c r="KB217">
        <v>24.103</v>
      </c>
      <c r="KC217">
        <v>24.072</v>
      </c>
      <c r="KD217">
        <v>20.058</v>
      </c>
      <c r="KE217">
        <v>9.47399</v>
      </c>
      <c r="KF217">
        <v>26.1658</v>
      </c>
      <c r="KG217">
        <v>12.8989</v>
      </c>
      <c r="KH217">
        <v>420</v>
      </c>
      <c r="KI217">
        <v>9.58327</v>
      </c>
      <c r="KJ217">
        <v>97.0179</v>
      </c>
      <c r="KK217">
        <v>95.2763</v>
      </c>
    </row>
    <row r="218" spans="1:297">
      <c r="A218">
        <v>202</v>
      </c>
      <c r="B218">
        <v>1760993539.1</v>
      </c>
      <c r="C218">
        <v>4349</v>
      </c>
      <c r="D218" t="s">
        <v>859</v>
      </c>
      <c r="E218" t="s">
        <v>860</v>
      </c>
      <c r="F218">
        <v>5</v>
      </c>
      <c r="G218" t="s">
        <v>662</v>
      </c>
      <c r="H218" t="s">
        <v>436</v>
      </c>
      <c r="I218">
        <v>1760993530.6</v>
      </c>
      <c r="J218">
        <f>(K218)/1000</f>
        <v>0</v>
      </c>
      <c r="K218">
        <f>IF(DP218, AN218, AH218)</f>
        <v>0</v>
      </c>
      <c r="L218">
        <f>IF(DP218, AI218, AG218)</f>
        <v>0</v>
      </c>
      <c r="M218">
        <f>DR218 - IF(AU218&gt;1, L218*DL218*100.0/(AW218), 0)</f>
        <v>0</v>
      </c>
      <c r="N218">
        <f>((T218-J218/2)*M218-L218)/(T218+J218/2)</f>
        <v>0</v>
      </c>
      <c r="O218">
        <f>N218*(DY218+DZ218)/1000.0</f>
        <v>0</v>
      </c>
      <c r="P218">
        <f>(DR218 - IF(AU218&gt;1, L218*DL218*100.0/(AW218), 0))*(DY218+DZ218)/1000.0</f>
        <v>0</v>
      </c>
      <c r="Q218">
        <f>2.0/((1/S218-1/R218)+SIGN(S218)*SQRT((1/S218-1/R218)*(1/S218-1/R218) + 4*DM218/((DM218+1)*(DM218+1))*(2*1/S218*1/R218-1/R218*1/R218)))</f>
        <v>0</v>
      </c>
      <c r="R218">
        <f>IF(LEFT(DN218,1)&lt;&gt;"0",IF(LEFT(DN218,1)="1",3.0,DO218),$D$5+$E$5*(EF218*DY218/($K$5*1000))+$F$5*(EF218*DY218/($K$5*1000))*MAX(MIN(DL218,$J$5),$I$5)*MAX(MIN(DL218,$J$5),$I$5)+$G$5*MAX(MIN(DL218,$J$5),$I$5)*(EF218*DY218/($K$5*1000))+$H$5*(EF218*DY218/($K$5*1000))*(EF218*DY218/($K$5*1000)))</f>
        <v>0</v>
      </c>
      <c r="S218">
        <f>J218*(1000-(1000*0.61365*exp(17.502*W218/(240.97+W218))/(DY218+DZ218)+DT218)/2)/(1000*0.61365*exp(17.502*W218/(240.97+W218))/(DY218+DZ218)-DT218)</f>
        <v>0</v>
      </c>
      <c r="T218">
        <f>1/((DM218+1)/(Q218/1.6)+1/(R218/1.37)) + DM218/((DM218+1)/(Q218/1.6) + DM218/(R218/1.37))</f>
        <v>0</v>
      </c>
      <c r="U218">
        <f>(DH218*DK218)</f>
        <v>0</v>
      </c>
      <c r="V218">
        <f>(EA218+(U218+2*0.95*5.67E-8*(((EA218+$B$7)+273)^4-(EA218+273)^4)-44100*J218)/(1.84*29.3*R218+8*0.95*5.67E-8*(EA218+273)^3))</f>
        <v>0</v>
      </c>
      <c r="W218">
        <f>($C$7*EB218+$D$7*EC218+$E$7*V218)</f>
        <v>0</v>
      </c>
      <c r="X218">
        <f>0.61365*exp(17.502*W218/(240.97+W218))</f>
        <v>0</v>
      </c>
      <c r="Y218">
        <f>(Z218/AA218*100)</f>
        <v>0</v>
      </c>
      <c r="Z218">
        <f>DT218*(DY218+DZ218)/1000</f>
        <v>0</v>
      </c>
      <c r="AA218">
        <f>0.61365*exp(17.502*EA218/(240.97+EA218))</f>
        <v>0</v>
      </c>
      <c r="AB218">
        <f>(X218-DT218*(DY218+DZ218)/1000)</f>
        <v>0</v>
      </c>
      <c r="AC218">
        <f>(-J218*44100)</f>
        <v>0</v>
      </c>
      <c r="AD218">
        <f>2*29.3*R218*0.92*(EA218-W218)</f>
        <v>0</v>
      </c>
      <c r="AE218">
        <f>2*0.95*5.67E-8*(((EA218+$B$7)+273)^4-(W218+273)^4)</f>
        <v>0</v>
      </c>
      <c r="AF218">
        <f>U218+AE218+AC218+AD218</f>
        <v>0</v>
      </c>
      <c r="AG218">
        <f>DX218*AU218*(DS218-DR218*(1000-AU218*DU218)/(1000-AU218*DT218))/(100*DL218)</f>
        <v>0</v>
      </c>
      <c r="AH218">
        <f>1000*DX218*AU218*(DT218-DU218)/(100*DL218*(1000-AU218*DT218))</f>
        <v>0</v>
      </c>
      <c r="AI218">
        <f>(AJ218 - AK218 - DY218*1E3/(8.314*(EA218+273.15)) * AM218/DX218 * AL218) * DX218/(100*DL218) * (1000 - DU218)/1000</f>
        <v>0</v>
      </c>
      <c r="AJ218">
        <v>424.049297208047</v>
      </c>
      <c r="AK218">
        <v>409.123357575757</v>
      </c>
      <c r="AL218">
        <v>0.000659811584008324</v>
      </c>
      <c r="AM218">
        <v>65.2210784119795</v>
      </c>
      <c r="AN218">
        <f>(AP218 - AO218 + DY218*1E3/(8.314*(EA218+273.15)) * AR218/DX218 * AQ218) * DX218/(100*DL218) * 1000/(1000 - AP218)</f>
        <v>0</v>
      </c>
      <c r="AO218">
        <v>9.61855174691863</v>
      </c>
      <c r="AP218">
        <v>11.8934363636364</v>
      </c>
      <c r="AQ218">
        <v>3.30289544397255e-05</v>
      </c>
      <c r="AR218">
        <v>115.574510355221</v>
      </c>
      <c r="AS218">
        <v>0</v>
      </c>
      <c r="AT218">
        <v>0</v>
      </c>
      <c r="AU218">
        <f>IF(AS218*$H$13&gt;=AW218,1.0,(AW218/(AW218-AS218*$H$13)))</f>
        <v>0</v>
      </c>
      <c r="AV218">
        <f>(AU218-1)*100</f>
        <v>0</v>
      </c>
      <c r="AW218">
        <f>MAX(0,($B$13+$C$13*EF218)/(1+$D$13*EF218)*DY218/(EA218+273)*$E$13)</f>
        <v>0</v>
      </c>
      <c r="AX218" t="s">
        <v>659</v>
      </c>
      <c r="AY218">
        <v>5140.93</v>
      </c>
      <c r="AZ218">
        <v>718.434615384615</v>
      </c>
      <c r="BA218">
        <v>1633.28263291266</v>
      </c>
      <c r="BB218">
        <f>1-AZ218/BA218</f>
        <v>0</v>
      </c>
      <c r="BC218">
        <v>-0.638083621395434</v>
      </c>
      <c r="BD218" t="s">
        <v>861</v>
      </c>
      <c r="BE218">
        <v>5158.21</v>
      </c>
      <c r="BF218">
        <v>1032.97307692308</v>
      </c>
      <c r="BG218">
        <v>1490.9591164573</v>
      </c>
      <c r="BH218">
        <f>1-BF218/BG218</f>
        <v>0</v>
      </c>
      <c r="BI218">
        <v>0.5</v>
      </c>
      <c r="BJ218">
        <f>DI218</f>
        <v>0</v>
      </c>
      <c r="BK218">
        <f>L218</f>
        <v>0</v>
      </c>
      <c r="BL218">
        <f>BH218*BI218*BJ218</f>
        <v>0</v>
      </c>
      <c r="BM218">
        <f>(BK218-BC218)/BJ218</f>
        <v>0</v>
      </c>
      <c r="BN218">
        <f>(BA218-BG218)/BG218</f>
        <v>0</v>
      </c>
      <c r="BO218">
        <f>AZ218/(BB218+AZ218/BG218)</f>
        <v>0</v>
      </c>
      <c r="BP218" t="s">
        <v>862</v>
      </c>
      <c r="BQ218">
        <v>742.67</v>
      </c>
      <c r="BR218">
        <f>IF(BQ218&lt;&gt;0, BQ218, BO218)</f>
        <v>0</v>
      </c>
      <c r="BS218">
        <f>1-BR218/BG218</f>
        <v>0</v>
      </c>
      <c r="BT218">
        <f>(BG218-BF218)/(BG218-BR218)</f>
        <v>0</v>
      </c>
      <c r="BU218">
        <f>(BA218-BG218)/(BA218-BR218)</f>
        <v>0</v>
      </c>
      <c r="BV218">
        <f>(BG218-BF218)/(BG218-AZ218)</f>
        <v>0</v>
      </c>
      <c r="BW218">
        <f>(BA218-BG218)/(BA218-AZ218)</f>
        <v>0</v>
      </c>
      <c r="BX218">
        <f>(BT218*BR218/BF218)</f>
        <v>0</v>
      </c>
      <c r="BY218">
        <f>(1-BX218)</f>
        <v>0</v>
      </c>
      <c r="BZ218">
        <v>285</v>
      </c>
      <c r="CA218">
        <v>290</v>
      </c>
      <c r="CB218">
        <v>1414.94</v>
      </c>
      <c r="CC218">
        <v>235</v>
      </c>
      <c r="CD218">
        <v>5158.21</v>
      </c>
      <c r="CE218">
        <v>1414.78</v>
      </c>
      <c r="CF218">
        <v>0.16</v>
      </c>
      <c r="CG218">
        <v>300</v>
      </c>
      <c r="CH218">
        <v>23.8</v>
      </c>
      <c r="CI218">
        <v>1490.9591164573</v>
      </c>
      <c r="CJ218">
        <v>1.83113038442154</v>
      </c>
      <c r="CK218">
        <v>-39.2922390355116</v>
      </c>
      <c r="CL218">
        <v>0.834331468972814</v>
      </c>
      <c r="CM218">
        <v>0.987532677303626</v>
      </c>
      <c r="CN218">
        <v>-0.00375824694104561</v>
      </c>
      <c r="CO218">
        <v>290</v>
      </c>
      <c r="CP218">
        <v>1414.24</v>
      </c>
      <c r="CQ218">
        <v>665</v>
      </c>
      <c r="CR218">
        <v>5156.93</v>
      </c>
      <c r="CS218">
        <v>1414.77</v>
      </c>
      <c r="CT218">
        <v>-0.53</v>
      </c>
      <c r="DH218">
        <f>$B$11*EG218+$C$11*EH218+$F$11*ES218*(1-EV218)</f>
        <v>0</v>
      </c>
      <c r="DI218">
        <f>DH218*DJ218</f>
        <v>0</v>
      </c>
      <c r="DJ218">
        <f>($B$11*$D$9+$C$11*$D$9+$F$11*((FF218+EX218)/MAX(FF218+EX218+FG218, 0.1)*$I$9+FG218/MAX(FF218+EX218+FG218, 0.1)*$J$9))/($B$11+$C$11+$F$11)</f>
        <v>0</v>
      </c>
      <c r="DK218">
        <f>($B$11*$K$9+$C$11*$K$9+$F$11*((FF218+EX218)/MAX(FF218+EX218+FG218, 0.1)*$P$9+FG218/MAX(FF218+EX218+FG218, 0.1)*$Q$9))/($B$11+$C$11+$F$11)</f>
        <v>0</v>
      </c>
      <c r="DL218">
        <v>6</v>
      </c>
      <c r="DM218">
        <v>0.5</v>
      </c>
      <c r="DN218" t="s">
        <v>438</v>
      </c>
      <c r="DO218">
        <v>2</v>
      </c>
      <c r="DP218" t="b">
        <v>1</v>
      </c>
      <c r="DQ218">
        <v>1760993530.6</v>
      </c>
      <c r="DR218">
        <v>404.252</v>
      </c>
      <c r="DS218">
        <v>419.9946875</v>
      </c>
      <c r="DT218">
        <v>11.8866625</v>
      </c>
      <c r="DU218">
        <v>9.603284375</v>
      </c>
      <c r="DV218">
        <v>401.429875</v>
      </c>
      <c r="DW218">
        <v>11.99689375</v>
      </c>
      <c r="DX218">
        <v>499.990375</v>
      </c>
      <c r="DY218">
        <v>89.84270625</v>
      </c>
      <c r="DZ218">
        <v>0.00934352</v>
      </c>
      <c r="EA218">
        <v>18.6381</v>
      </c>
      <c r="EB218">
        <v>17.8843875</v>
      </c>
      <c r="EC218">
        <v>999.9</v>
      </c>
      <c r="ED218">
        <v>0</v>
      </c>
      <c r="EE218">
        <v>0</v>
      </c>
      <c r="EF218">
        <v>9993.121875</v>
      </c>
      <c r="EG218">
        <v>0</v>
      </c>
      <c r="EH218">
        <v>1278.603125</v>
      </c>
      <c r="EI218">
        <v>-15.74269375</v>
      </c>
      <c r="EJ218">
        <v>409.114875</v>
      </c>
      <c r="EK218">
        <v>424.0671875</v>
      </c>
      <c r="EL218">
        <v>2.283375625</v>
      </c>
      <c r="EM218">
        <v>419.9946875</v>
      </c>
      <c r="EN218">
        <v>9.603284375</v>
      </c>
      <c r="EO218">
        <v>1.067928125</v>
      </c>
      <c r="EP218">
        <v>0.862785125</v>
      </c>
      <c r="EQ218">
        <v>7.8776525</v>
      </c>
      <c r="ER218">
        <v>4.784514375</v>
      </c>
      <c r="ES218">
        <v>600.0256875</v>
      </c>
      <c r="ET218">
        <v>0.933015</v>
      </c>
      <c r="EU218">
        <v>0.0669852</v>
      </c>
      <c r="EV218">
        <v>0</v>
      </c>
      <c r="EW218">
        <v>1032.61</v>
      </c>
      <c r="EX218">
        <v>5.00059</v>
      </c>
      <c r="EY218">
        <v>6041.43625</v>
      </c>
      <c r="EZ218">
        <v>5105.749375</v>
      </c>
      <c r="FA218">
        <v>36.7654375</v>
      </c>
      <c r="FB218">
        <v>38.9138125</v>
      </c>
      <c r="FC218">
        <v>37.5935</v>
      </c>
      <c r="FD218">
        <v>38.222375</v>
      </c>
      <c r="FE218">
        <v>37.8864375</v>
      </c>
      <c r="FF218">
        <v>555.168125</v>
      </c>
      <c r="FG218">
        <v>39.86</v>
      </c>
      <c r="FH218">
        <v>0</v>
      </c>
      <c r="FI218">
        <v>128.300000190735</v>
      </c>
      <c r="FJ218">
        <v>0</v>
      </c>
      <c r="FK218">
        <v>1032.97307692308</v>
      </c>
      <c r="FL218">
        <v>20.5367521356864</v>
      </c>
      <c r="FM218">
        <v>95.8064956915782</v>
      </c>
      <c r="FN218">
        <v>6042.95230769231</v>
      </c>
      <c r="FO218">
        <v>15</v>
      </c>
      <c r="FP218">
        <v>0</v>
      </c>
      <c r="FQ218" t="s">
        <v>439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-15.7705714285714</v>
      </c>
      <c r="GD218">
        <v>0.410353246753231</v>
      </c>
      <c r="GE218">
        <v>0.0555795024126283</v>
      </c>
      <c r="GF218">
        <v>1</v>
      </c>
      <c r="GG218">
        <v>1031.37705882353</v>
      </c>
      <c r="GH218">
        <v>22.9515660906907</v>
      </c>
      <c r="GI218">
        <v>2.26666447011224</v>
      </c>
      <c r="GJ218">
        <v>-1</v>
      </c>
      <c r="GK218">
        <v>2.28148666666667</v>
      </c>
      <c r="GL218">
        <v>0.0354124675324701</v>
      </c>
      <c r="GM218">
        <v>0.00523547090103226</v>
      </c>
      <c r="GN218">
        <v>1</v>
      </c>
      <c r="GO218">
        <v>2</v>
      </c>
      <c r="GP218">
        <v>2</v>
      </c>
      <c r="GQ218" t="s">
        <v>440</v>
      </c>
      <c r="GR218">
        <v>3.13085</v>
      </c>
      <c r="GS218">
        <v>2.68726</v>
      </c>
      <c r="GT218">
        <v>0.0869849</v>
      </c>
      <c r="GU218">
        <v>0.0901639</v>
      </c>
      <c r="GV218">
        <v>0.0619958</v>
      </c>
      <c r="GW218">
        <v>0.0525052</v>
      </c>
      <c r="GX218">
        <v>34590.9</v>
      </c>
      <c r="GY218">
        <v>37039.1</v>
      </c>
      <c r="GZ218">
        <v>34256.4</v>
      </c>
      <c r="HA218">
        <v>36837.5</v>
      </c>
      <c r="HB218">
        <v>45326.3</v>
      </c>
      <c r="HC218">
        <v>50050.6</v>
      </c>
      <c r="HD218">
        <v>53328.5</v>
      </c>
      <c r="HE218">
        <v>58762.2</v>
      </c>
      <c r="HF218">
        <v>2.00665</v>
      </c>
      <c r="HG218">
        <v>1.835</v>
      </c>
      <c r="HH218">
        <v>-0.00271574</v>
      </c>
      <c r="HI218">
        <v>0</v>
      </c>
      <c r="HJ218">
        <v>17.9812</v>
      </c>
      <c r="HK218">
        <v>999.9</v>
      </c>
      <c r="HL218">
        <v>26.535</v>
      </c>
      <c r="HM218">
        <v>30.353</v>
      </c>
      <c r="HN218">
        <v>12.8405</v>
      </c>
      <c r="HO218">
        <v>54.2628</v>
      </c>
      <c r="HP218">
        <v>44.0545</v>
      </c>
      <c r="HQ218">
        <v>1</v>
      </c>
      <c r="HR218">
        <v>-0.260986</v>
      </c>
      <c r="HS218">
        <v>2.37504</v>
      </c>
      <c r="HT218">
        <v>20.1261</v>
      </c>
      <c r="HU218">
        <v>5.20172</v>
      </c>
      <c r="HV218">
        <v>12.004</v>
      </c>
      <c r="HW218">
        <v>4.97545</v>
      </c>
      <c r="HX218">
        <v>3.293</v>
      </c>
      <c r="HY218">
        <v>9999</v>
      </c>
      <c r="HZ218">
        <v>999.9</v>
      </c>
      <c r="IA218">
        <v>9999</v>
      </c>
      <c r="IB218">
        <v>9999</v>
      </c>
      <c r="IC218">
        <v>1.86324</v>
      </c>
      <c r="ID218">
        <v>1.86811</v>
      </c>
      <c r="IE218">
        <v>1.86783</v>
      </c>
      <c r="IF218">
        <v>1.86905</v>
      </c>
      <c r="IG218">
        <v>1.86981</v>
      </c>
      <c r="IH218">
        <v>1.86585</v>
      </c>
      <c r="II218">
        <v>1.86691</v>
      </c>
      <c r="IJ218">
        <v>1.86837</v>
      </c>
      <c r="IK218">
        <v>5</v>
      </c>
      <c r="IL218">
        <v>0</v>
      </c>
      <c r="IM218">
        <v>0</v>
      </c>
      <c r="IN218">
        <v>0</v>
      </c>
      <c r="IO218" t="s">
        <v>441</v>
      </c>
      <c r="IP218" t="s">
        <v>442</v>
      </c>
      <c r="IQ218" t="s">
        <v>443</v>
      </c>
      <c r="IR218" t="s">
        <v>443</v>
      </c>
      <c r="IS218" t="s">
        <v>443</v>
      </c>
      <c r="IT218" t="s">
        <v>443</v>
      </c>
      <c r="IU218">
        <v>0</v>
      </c>
      <c r="IV218">
        <v>100</v>
      </c>
      <c r="IW218">
        <v>100</v>
      </c>
      <c r="IX218">
        <v>2.822</v>
      </c>
      <c r="IY218">
        <v>-0.1101</v>
      </c>
      <c r="IZ218">
        <v>1.12474291219083</v>
      </c>
      <c r="JA218">
        <v>0.00463155566490582</v>
      </c>
      <c r="JB218">
        <v>-1.1358998729424e-06</v>
      </c>
      <c r="JC218">
        <v>3.28704272115545e-10</v>
      </c>
      <c r="JD218">
        <v>-0.0704455108513773</v>
      </c>
      <c r="JE218">
        <v>-0.0251928478371425</v>
      </c>
      <c r="JF218">
        <v>0.00225751704194564</v>
      </c>
      <c r="JG218">
        <v>-3.61734043746866e-05</v>
      </c>
      <c r="JH218">
        <v>1</v>
      </c>
      <c r="JI218">
        <v>2182</v>
      </c>
      <c r="JJ218">
        <v>0</v>
      </c>
      <c r="JK218">
        <v>24</v>
      </c>
      <c r="JL218">
        <v>29349892.3</v>
      </c>
      <c r="JM218">
        <v>29349892.3</v>
      </c>
      <c r="JN218">
        <v>1.00098</v>
      </c>
      <c r="JO218">
        <v>2.61597</v>
      </c>
      <c r="JP218">
        <v>1.54785</v>
      </c>
      <c r="JQ218">
        <v>2.31445</v>
      </c>
      <c r="JR218">
        <v>1.64551</v>
      </c>
      <c r="JS218">
        <v>2.39136</v>
      </c>
      <c r="JT218">
        <v>33.693</v>
      </c>
      <c r="JU218">
        <v>24.2101</v>
      </c>
      <c r="JV218">
        <v>18</v>
      </c>
      <c r="JW218">
        <v>501.043</v>
      </c>
      <c r="JX218">
        <v>394.338</v>
      </c>
      <c r="JY218">
        <v>14.2793</v>
      </c>
      <c r="JZ218">
        <v>24.0964</v>
      </c>
      <c r="KA218">
        <v>30.0002</v>
      </c>
      <c r="KB218">
        <v>24.103</v>
      </c>
      <c r="KC218">
        <v>24.072</v>
      </c>
      <c r="KD218">
        <v>20.0609</v>
      </c>
      <c r="KE218">
        <v>8.91994</v>
      </c>
      <c r="KF218">
        <v>26.1658</v>
      </c>
      <c r="KG218">
        <v>14.284</v>
      </c>
      <c r="KH218">
        <v>420</v>
      </c>
      <c r="KI218">
        <v>9.69777</v>
      </c>
      <c r="KJ218">
        <v>97.019</v>
      </c>
      <c r="KK218">
        <v>95.2777</v>
      </c>
    </row>
    <row r="219" spans="1:297">
      <c r="A219">
        <v>203</v>
      </c>
      <c r="B219">
        <v>1760993611.1</v>
      </c>
      <c r="C219">
        <v>4421</v>
      </c>
      <c r="D219" t="s">
        <v>863</v>
      </c>
      <c r="E219" t="s">
        <v>864</v>
      </c>
      <c r="F219">
        <v>5</v>
      </c>
      <c r="G219" t="s">
        <v>662</v>
      </c>
      <c r="H219" t="s">
        <v>436</v>
      </c>
      <c r="I219">
        <v>1760993602.6</v>
      </c>
      <c r="J219">
        <f>(K219)/1000</f>
        <v>0</v>
      </c>
      <c r="K219">
        <f>IF(DP219, AN219, AH219)</f>
        <v>0</v>
      </c>
      <c r="L219">
        <f>IF(DP219, AI219, AG219)</f>
        <v>0</v>
      </c>
      <c r="M219">
        <f>DR219 - IF(AU219&gt;1, L219*DL219*100.0/(AW219), 0)</f>
        <v>0</v>
      </c>
      <c r="N219">
        <f>((T219-J219/2)*M219-L219)/(T219+J219/2)</f>
        <v>0</v>
      </c>
      <c r="O219">
        <f>N219*(DY219+DZ219)/1000.0</f>
        <v>0</v>
      </c>
      <c r="P219">
        <f>(DR219 - IF(AU219&gt;1, L219*DL219*100.0/(AW219), 0))*(DY219+DZ219)/1000.0</f>
        <v>0</v>
      </c>
      <c r="Q219">
        <f>2.0/((1/S219-1/R219)+SIGN(S219)*SQRT((1/S219-1/R219)*(1/S219-1/R219) + 4*DM219/((DM219+1)*(DM219+1))*(2*1/S219*1/R219-1/R219*1/R219)))</f>
        <v>0</v>
      </c>
      <c r="R219">
        <f>IF(LEFT(DN219,1)&lt;&gt;"0",IF(LEFT(DN219,1)="1",3.0,DO219),$D$5+$E$5*(EF219*DY219/($K$5*1000))+$F$5*(EF219*DY219/($K$5*1000))*MAX(MIN(DL219,$J$5),$I$5)*MAX(MIN(DL219,$J$5),$I$5)+$G$5*MAX(MIN(DL219,$J$5),$I$5)*(EF219*DY219/($K$5*1000))+$H$5*(EF219*DY219/($K$5*1000))*(EF219*DY219/($K$5*1000)))</f>
        <v>0</v>
      </c>
      <c r="S219">
        <f>J219*(1000-(1000*0.61365*exp(17.502*W219/(240.97+W219))/(DY219+DZ219)+DT219)/2)/(1000*0.61365*exp(17.502*W219/(240.97+W219))/(DY219+DZ219)-DT219)</f>
        <v>0</v>
      </c>
      <c r="T219">
        <f>1/((DM219+1)/(Q219/1.6)+1/(R219/1.37)) + DM219/((DM219+1)/(Q219/1.6) + DM219/(R219/1.37))</f>
        <v>0</v>
      </c>
      <c r="U219">
        <f>(DH219*DK219)</f>
        <v>0</v>
      </c>
      <c r="V219">
        <f>(EA219+(U219+2*0.95*5.67E-8*(((EA219+$B$7)+273)^4-(EA219+273)^4)-44100*J219)/(1.84*29.3*R219+8*0.95*5.67E-8*(EA219+273)^3))</f>
        <v>0</v>
      </c>
      <c r="W219">
        <f>($C$7*EB219+$D$7*EC219+$E$7*V219)</f>
        <v>0</v>
      </c>
      <c r="X219">
        <f>0.61365*exp(17.502*W219/(240.97+W219))</f>
        <v>0</v>
      </c>
      <c r="Y219">
        <f>(Z219/AA219*100)</f>
        <v>0</v>
      </c>
      <c r="Z219">
        <f>DT219*(DY219+DZ219)/1000</f>
        <v>0</v>
      </c>
      <c r="AA219">
        <f>0.61365*exp(17.502*EA219/(240.97+EA219))</f>
        <v>0</v>
      </c>
      <c r="AB219">
        <f>(X219-DT219*(DY219+DZ219)/1000)</f>
        <v>0</v>
      </c>
      <c r="AC219">
        <f>(-J219*44100)</f>
        <v>0</v>
      </c>
      <c r="AD219">
        <f>2*29.3*R219*0.92*(EA219-W219)</f>
        <v>0</v>
      </c>
      <c r="AE219">
        <f>2*0.95*5.67E-8*(((EA219+$B$7)+273)^4-(W219+273)^4)</f>
        <v>0</v>
      </c>
      <c r="AF219">
        <f>U219+AE219+AC219+AD219</f>
        <v>0</v>
      </c>
      <c r="AG219">
        <f>DX219*AU219*(DS219-DR219*(1000-AU219*DU219)/(1000-AU219*DT219))/(100*DL219)</f>
        <v>0</v>
      </c>
      <c r="AH219">
        <f>1000*DX219*AU219*(DT219-DU219)/(100*DL219*(1000-AU219*DT219))</f>
        <v>0</v>
      </c>
      <c r="AI219">
        <f>(AJ219 - AK219 - DY219*1E3/(8.314*(EA219+273.15)) * AM219/DX219 * AL219) * DX219/(100*DL219) * (1000 - DU219)/1000</f>
        <v>0</v>
      </c>
      <c r="AJ219">
        <v>424.186040724785</v>
      </c>
      <c r="AK219">
        <v>413.143224242424</v>
      </c>
      <c r="AL219">
        <v>0.000631552031958231</v>
      </c>
      <c r="AM219">
        <v>65.2210784119795</v>
      </c>
      <c r="AN219">
        <f>(AP219 - AO219 + DY219*1E3/(8.314*(EA219+273.15)) * AR219/DX219 * AQ219) * DX219/(100*DL219) * 1000/(1000 - AP219)</f>
        <v>0</v>
      </c>
      <c r="AO219">
        <v>9.89578949592824</v>
      </c>
      <c r="AP219">
        <v>12.0686424242424</v>
      </c>
      <c r="AQ219">
        <v>0.000171137633319892</v>
      </c>
      <c r="AR219">
        <v>115.574510355221</v>
      </c>
      <c r="AS219">
        <v>0</v>
      </c>
      <c r="AT219">
        <v>0</v>
      </c>
      <c r="AU219">
        <f>IF(AS219*$H$13&gt;=AW219,1.0,(AW219/(AW219-AS219*$H$13)))</f>
        <v>0</v>
      </c>
      <c r="AV219">
        <f>(AU219-1)*100</f>
        <v>0</v>
      </c>
      <c r="AW219">
        <f>MAX(0,($B$13+$C$13*EF219)/(1+$D$13*EF219)*DY219/(EA219+273)*$E$13)</f>
        <v>0</v>
      </c>
      <c r="AX219" t="s">
        <v>437</v>
      </c>
      <c r="AY219" t="s">
        <v>437</v>
      </c>
      <c r="AZ219">
        <v>0</v>
      </c>
      <c r="BA219">
        <v>0</v>
      </c>
      <c r="BB219">
        <f>1-AZ219/BA219</f>
        <v>0</v>
      </c>
      <c r="BC219">
        <v>0</v>
      </c>
      <c r="BD219" t="s">
        <v>437</v>
      </c>
      <c r="BE219" t="s">
        <v>437</v>
      </c>
      <c r="BF219">
        <v>0</v>
      </c>
      <c r="BG219">
        <v>0</v>
      </c>
      <c r="BH219">
        <f>1-BF219/BG219</f>
        <v>0</v>
      </c>
      <c r="BI219">
        <v>0.5</v>
      </c>
      <c r="BJ219">
        <f>DI219</f>
        <v>0</v>
      </c>
      <c r="BK219">
        <f>L219</f>
        <v>0</v>
      </c>
      <c r="BL219">
        <f>BH219*BI219*BJ219</f>
        <v>0</v>
      </c>
      <c r="BM219">
        <f>(BK219-BC219)/BJ219</f>
        <v>0</v>
      </c>
      <c r="BN219">
        <f>(BA219-BG219)/BG219</f>
        <v>0</v>
      </c>
      <c r="BO219">
        <f>AZ219/(BB219+AZ219/BG219)</f>
        <v>0</v>
      </c>
      <c r="BP219" t="s">
        <v>437</v>
      </c>
      <c r="BQ219">
        <v>0</v>
      </c>
      <c r="BR219">
        <f>IF(BQ219&lt;&gt;0, BQ219, BO219)</f>
        <v>0</v>
      </c>
      <c r="BS219">
        <f>1-BR219/BG219</f>
        <v>0</v>
      </c>
      <c r="BT219">
        <f>(BG219-BF219)/(BG219-BR219)</f>
        <v>0</v>
      </c>
      <c r="BU219">
        <f>(BA219-BG219)/(BA219-BR219)</f>
        <v>0</v>
      </c>
      <c r="BV219">
        <f>(BG219-BF219)/(BG219-AZ219)</f>
        <v>0</v>
      </c>
      <c r="BW219">
        <f>(BA219-BG219)/(BA219-AZ219)</f>
        <v>0</v>
      </c>
      <c r="BX219">
        <f>(BT219*BR219/BF219)</f>
        <v>0</v>
      </c>
      <c r="BY219">
        <f>(1-BX219)</f>
        <v>0</v>
      </c>
      <c r="BZ219">
        <v>285</v>
      </c>
      <c r="CA219">
        <v>290</v>
      </c>
      <c r="CB219">
        <v>1414.94</v>
      </c>
      <c r="CC219">
        <v>235</v>
      </c>
      <c r="CD219">
        <v>5158.21</v>
      </c>
      <c r="CE219">
        <v>1414.78</v>
      </c>
      <c r="CF219">
        <v>0.16</v>
      </c>
      <c r="CG219">
        <v>300</v>
      </c>
      <c r="CH219">
        <v>23.8</v>
      </c>
      <c r="CI219">
        <v>1490.9591164573</v>
      </c>
      <c r="CJ219">
        <v>1.83113038442154</v>
      </c>
      <c r="CK219">
        <v>-39.2922390355116</v>
      </c>
      <c r="CL219">
        <v>0.834331468972814</v>
      </c>
      <c r="CM219">
        <v>0.987532677303626</v>
      </c>
      <c r="CN219">
        <v>-0.00375824694104561</v>
      </c>
      <c r="CO219">
        <v>290</v>
      </c>
      <c r="CP219">
        <v>1414.24</v>
      </c>
      <c r="CQ219">
        <v>665</v>
      </c>
      <c r="CR219">
        <v>5156.93</v>
      </c>
      <c r="CS219">
        <v>1414.77</v>
      </c>
      <c r="CT219">
        <v>-0.53</v>
      </c>
      <c r="DH219">
        <f>$B$11*EG219+$C$11*EH219+$F$11*ES219*(1-EV219)</f>
        <v>0</v>
      </c>
      <c r="DI219">
        <f>DH219*DJ219</f>
        <v>0</v>
      </c>
      <c r="DJ219">
        <f>($B$11*$D$9+$C$11*$D$9+$F$11*((FF219+EX219)/MAX(FF219+EX219+FG219, 0.1)*$I$9+FG219/MAX(FF219+EX219+FG219, 0.1)*$J$9))/($B$11+$C$11+$F$11)</f>
        <v>0</v>
      </c>
      <c r="DK219">
        <f>($B$11*$K$9+$C$11*$K$9+$F$11*((FF219+EX219)/MAX(FF219+EX219+FG219, 0.1)*$P$9+FG219/MAX(FF219+EX219+FG219, 0.1)*$Q$9))/($B$11+$C$11+$F$11)</f>
        <v>0</v>
      </c>
      <c r="DL219">
        <v>6</v>
      </c>
      <c r="DM219">
        <v>0.5</v>
      </c>
      <c r="DN219" t="s">
        <v>438</v>
      </c>
      <c r="DO219">
        <v>2</v>
      </c>
      <c r="DP219" t="b">
        <v>1</v>
      </c>
      <c r="DQ219">
        <v>1760993602.6</v>
      </c>
      <c r="DR219">
        <v>408.15475</v>
      </c>
      <c r="DS219">
        <v>419.9988125</v>
      </c>
      <c r="DT219">
        <v>12.05383125</v>
      </c>
      <c r="DU219">
        <v>9.88725</v>
      </c>
      <c r="DV219">
        <v>405.3175625</v>
      </c>
      <c r="DW219">
        <v>12.16181875</v>
      </c>
      <c r="DX219">
        <v>499.978875</v>
      </c>
      <c r="DY219">
        <v>89.84388125</v>
      </c>
      <c r="DZ219">
        <v>0.00957522625</v>
      </c>
      <c r="EA219">
        <v>18.87075</v>
      </c>
      <c r="EB219">
        <v>17.9586</v>
      </c>
      <c r="EC219">
        <v>999.9</v>
      </c>
      <c r="ED219">
        <v>0</v>
      </c>
      <c r="EE219">
        <v>0</v>
      </c>
      <c r="EF219">
        <v>9993.59375</v>
      </c>
      <c r="EG219">
        <v>0</v>
      </c>
      <c r="EH219">
        <v>1278.65</v>
      </c>
      <c r="EI219">
        <v>-11.84403125</v>
      </c>
      <c r="EJ219">
        <v>413.1346875</v>
      </c>
      <c r="EK219">
        <v>424.192875</v>
      </c>
      <c r="EL219">
        <v>2.1665625</v>
      </c>
      <c r="EM219">
        <v>419.9988125</v>
      </c>
      <c r="EN219">
        <v>9.88725</v>
      </c>
      <c r="EO219">
        <v>1.082961875</v>
      </c>
      <c r="EP219">
        <v>0.8883089375</v>
      </c>
      <c r="EQ219">
        <v>8.083045625</v>
      </c>
      <c r="ER219">
        <v>5.202719375</v>
      </c>
      <c r="ES219">
        <v>299.95725</v>
      </c>
      <c r="ET219">
        <v>0.8999985625</v>
      </c>
      <c r="EU219">
        <v>0.1000012125</v>
      </c>
      <c r="EV219">
        <v>0</v>
      </c>
      <c r="EW219">
        <v>872.1185</v>
      </c>
      <c r="EX219">
        <v>5.00059</v>
      </c>
      <c r="EY219">
        <v>2530.521875</v>
      </c>
      <c r="EZ219">
        <v>2505.824375</v>
      </c>
      <c r="FA219">
        <v>35.60525</v>
      </c>
      <c r="FB219">
        <v>38.12475</v>
      </c>
      <c r="FC219">
        <v>36.6990625</v>
      </c>
      <c r="FD219">
        <v>37.4295</v>
      </c>
      <c r="FE219">
        <v>36.9568125</v>
      </c>
      <c r="FF219">
        <v>265.46</v>
      </c>
      <c r="FG219">
        <v>29.5</v>
      </c>
      <c r="FH219">
        <v>0</v>
      </c>
      <c r="FI219">
        <v>69.2000000476837</v>
      </c>
      <c r="FJ219">
        <v>0</v>
      </c>
      <c r="FK219">
        <v>872.458230769231</v>
      </c>
      <c r="FL219">
        <v>22.2843760741291</v>
      </c>
      <c r="FM219">
        <v>59.8382905989595</v>
      </c>
      <c r="FN219">
        <v>2531.82884615385</v>
      </c>
      <c r="FO219">
        <v>15</v>
      </c>
      <c r="FP219">
        <v>0</v>
      </c>
      <c r="FQ219" t="s">
        <v>439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-11.8693714285714</v>
      </c>
      <c r="GD219">
        <v>0.341812987012983</v>
      </c>
      <c r="GE219">
        <v>0.0455150748743351</v>
      </c>
      <c r="GF219">
        <v>1</v>
      </c>
      <c r="GG219">
        <v>870.997558823529</v>
      </c>
      <c r="GH219">
        <v>20.9992819056773</v>
      </c>
      <c r="GI219">
        <v>2.07017497400833</v>
      </c>
      <c r="GJ219">
        <v>-1</v>
      </c>
      <c r="GK219">
        <v>2.16226476190476</v>
      </c>
      <c r="GL219">
        <v>0.0737275324675315</v>
      </c>
      <c r="GM219">
        <v>0.00752297472764829</v>
      </c>
      <c r="GN219">
        <v>1</v>
      </c>
      <c r="GO219">
        <v>2</v>
      </c>
      <c r="GP219">
        <v>2</v>
      </c>
      <c r="GQ219" t="s">
        <v>440</v>
      </c>
      <c r="GR219">
        <v>3.13095</v>
      </c>
      <c r="GS219">
        <v>2.68738</v>
      </c>
      <c r="GT219">
        <v>0.0876365</v>
      </c>
      <c r="GU219">
        <v>0.0901727</v>
      </c>
      <c r="GV219">
        <v>0.0626975</v>
      </c>
      <c r="GW219">
        <v>0.0536847</v>
      </c>
      <c r="GX219">
        <v>34567</v>
      </c>
      <c r="GY219">
        <v>37039.4</v>
      </c>
      <c r="GZ219">
        <v>34257.1</v>
      </c>
      <c r="HA219">
        <v>36838.1</v>
      </c>
      <c r="HB219">
        <v>45292.6</v>
      </c>
      <c r="HC219">
        <v>49988</v>
      </c>
      <c r="HD219">
        <v>53329.5</v>
      </c>
      <c r="HE219">
        <v>58762.8</v>
      </c>
      <c r="HF219">
        <v>2.007</v>
      </c>
      <c r="HG219">
        <v>1.83592</v>
      </c>
      <c r="HH219">
        <v>-0.0106581</v>
      </c>
      <c r="HI219">
        <v>0</v>
      </c>
      <c r="HJ219">
        <v>18.1734</v>
      </c>
      <c r="HK219">
        <v>999.9</v>
      </c>
      <c r="HL219">
        <v>26.56</v>
      </c>
      <c r="HM219">
        <v>30.383</v>
      </c>
      <c r="HN219">
        <v>12.8736</v>
      </c>
      <c r="HO219">
        <v>53.8728</v>
      </c>
      <c r="HP219">
        <v>44.0064</v>
      </c>
      <c r="HQ219">
        <v>1</v>
      </c>
      <c r="HR219">
        <v>-0.262078</v>
      </c>
      <c r="HS219">
        <v>2.37244</v>
      </c>
      <c r="HT219">
        <v>20.1284</v>
      </c>
      <c r="HU219">
        <v>5.19932</v>
      </c>
      <c r="HV219">
        <v>12.004</v>
      </c>
      <c r="HW219">
        <v>4.9758</v>
      </c>
      <c r="HX219">
        <v>3.293</v>
      </c>
      <c r="HY219">
        <v>9999</v>
      </c>
      <c r="HZ219">
        <v>999.9</v>
      </c>
      <c r="IA219">
        <v>9999</v>
      </c>
      <c r="IB219">
        <v>9999</v>
      </c>
      <c r="IC219">
        <v>1.86324</v>
      </c>
      <c r="ID219">
        <v>1.86808</v>
      </c>
      <c r="IE219">
        <v>1.86783</v>
      </c>
      <c r="IF219">
        <v>1.86905</v>
      </c>
      <c r="IG219">
        <v>1.86981</v>
      </c>
      <c r="IH219">
        <v>1.86588</v>
      </c>
      <c r="II219">
        <v>1.86691</v>
      </c>
      <c r="IJ219">
        <v>1.86832</v>
      </c>
      <c r="IK219">
        <v>5</v>
      </c>
      <c r="IL219">
        <v>0</v>
      </c>
      <c r="IM219">
        <v>0</v>
      </c>
      <c r="IN219">
        <v>0</v>
      </c>
      <c r="IO219" t="s">
        <v>441</v>
      </c>
      <c r="IP219" t="s">
        <v>442</v>
      </c>
      <c r="IQ219" t="s">
        <v>443</v>
      </c>
      <c r="IR219" t="s">
        <v>443</v>
      </c>
      <c r="IS219" t="s">
        <v>443</v>
      </c>
      <c r="IT219" t="s">
        <v>443</v>
      </c>
      <c r="IU219">
        <v>0</v>
      </c>
      <c r="IV219">
        <v>100</v>
      </c>
      <c r="IW219">
        <v>100</v>
      </c>
      <c r="IX219">
        <v>2.837</v>
      </c>
      <c r="IY219">
        <v>-0.1078</v>
      </c>
      <c r="IZ219">
        <v>1.12474291219083</v>
      </c>
      <c r="JA219">
        <v>0.00463155566490582</v>
      </c>
      <c r="JB219">
        <v>-1.1358998729424e-06</v>
      </c>
      <c r="JC219">
        <v>3.28704272115545e-10</v>
      </c>
      <c r="JD219">
        <v>-0.0704455108513773</v>
      </c>
      <c r="JE219">
        <v>-0.0251928478371425</v>
      </c>
      <c r="JF219">
        <v>0.00225751704194564</v>
      </c>
      <c r="JG219">
        <v>-3.61734043746866e-05</v>
      </c>
      <c r="JH219">
        <v>1</v>
      </c>
      <c r="JI219">
        <v>2182</v>
      </c>
      <c r="JJ219">
        <v>0</v>
      </c>
      <c r="JK219">
        <v>24</v>
      </c>
      <c r="JL219">
        <v>29349893.5</v>
      </c>
      <c r="JM219">
        <v>29349893.5</v>
      </c>
      <c r="JN219">
        <v>1.00098</v>
      </c>
      <c r="JO219">
        <v>2.61719</v>
      </c>
      <c r="JP219">
        <v>1.54785</v>
      </c>
      <c r="JQ219">
        <v>2.31445</v>
      </c>
      <c r="JR219">
        <v>1.64673</v>
      </c>
      <c r="JS219">
        <v>2.39502</v>
      </c>
      <c r="JT219">
        <v>33.7155</v>
      </c>
      <c r="JU219">
        <v>24.2188</v>
      </c>
      <c r="JV219">
        <v>18</v>
      </c>
      <c r="JW219">
        <v>501.191</v>
      </c>
      <c r="JX219">
        <v>394.783</v>
      </c>
      <c r="JY219">
        <v>14.9576</v>
      </c>
      <c r="JZ219">
        <v>24.0797</v>
      </c>
      <c r="KA219">
        <v>30</v>
      </c>
      <c r="KB219">
        <v>24.095</v>
      </c>
      <c r="KC219">
        <v>24.066</v>
      </c>
      <c r="KD219">
        <v>20.0656</v>
      </c>
      <c r="KE219">
        <v>0</v>
      </c>
      <c r="KF219">
        <v>26.1658</v>
      </c>
      <c r="KG219">
        <v>14.9467</v>
      </c>
      <c r="KH219">
        <v>420</v>
      </c>
      <c r="KI219">
        <v>10.071</v>
      </c>
      <c r="KJ219">
        <v>97.0209</v>
      </c>
      <c r="KK219">
        <v>95.2788</v>
      </c>
    </row>
    <row r="220" spans="1:297">
      <c r="A220">
        <v>204</v>
      </c>
      <c r="B220">
        <v>1760993696</v>
      </c>
      <c r="C220">
        <v>4505.90000009537</v>
      </c>
      <c r="D220" t="s">
        <v>865</v>
      </c>
      <c r="E220" t="s">
        <v>866</v>
      </c>
      <c r="F220">
        <v>5</v>
      </c>
      <c r="G220" t="s">
        <v>662</v>
      </c>
      <c r="H220" t="s">
        <v>436</v>
      </c>
      <c r="I220">
        <v>1760993687.5</v>
      </c>
      <c r="J220">
        <f>(K220)/1000</f>
        <v>0</v>
      </c>
      <c r="K220">
        <f>IF(DP220, AN220, AH220)</f>
        <v>0</v>
      </c>
      <c r="L220">
        <f>IF(DP220, AI220, AG220)</f>
        <v>0</v>
      </c>
      <c r="M220">
        <f>DR220 - IF(AU220&gt;1, L220*DL220*100.0/(AW220), 0)</f>
        <v>0</v>
      </c>
      <c r="N220">
        <f>((T220-J220/2)*M220-L220)/(T220+J220/2)</f>
        <v>0</v>
      </c>
      <c r="O220">
        <f>N220*(DY220+DZ220)/1000.0</f>
        <v>0</v>
      </c>
      <c r="P220">
        <f>(DR220 - IF(AU220&gt;1, L220*DL220*100.0/(AW220), 0))*(DY220+DZ220)/1000.0</f>
        <v>0</v>
      </c>
      <c r="Q220">
        <f>2.0/((1/S220-1/R220)+SIGN(S220)*SQRT((1/S220-1/R220)*(1/S220-1/R220) + 4*DM220/((DM220+1)*(DM220+1))*(2*1/S220*1/R220-1/R220*1/R220)))</f>
        <v>0</v>
      </c>
      <c r="R220">
        <f>IF(LEFT(DN220,1)&lt;&gt;"0",IF(LEFT(DN220,1)="1",3.0,DO220),$D$5+$E$5*(EF220*DY220/($K$5*1000))+$F$5*(EF220*DY220/($K$5*1000))*MAX(MIN(DL220,$J$5),$I$5)*MAX(MIN(DL220,$J$5),$I$5)+$G$5*MAX(MIN(DL220,$J$5),$I$5)*(EF220*DY220/($K$5*1000))+$H$5*(EF220*DY220/($K$5*1000))*(EF220*DY220/($K$5*1000)))</f>
        <v>0</v>
      </c>
      <c r="S220">
        <f>J220*(1000-(1000*0.61365*exp(17.502*W220/(240.97+W220))/(DY220+DZ220)+DT220)/2)/(1000*0.61365*exp(17.502*W220/(240.97+W220))/(DY220+DZ220)-DT220)</f>
        <v>0</v>
      </c>
      <c r="T220">
        <f>1/((DM220+1)/(Q220/1.6)+1/(R220/1.37)) + DM220/((DM220+1)/(Q220/1.6) + DM220/(R220/1.37))</f>
        <v>0</v>
      </c>
      <c r="U220">
        <f>(DH220*DK220)</f>
        <v>0</v>
      </c>
      <c r="V220">
        <f>(EA220+(U220+2*0.95*5.67E-8*(((EA220+$B$7)+273)^4-(EA220+273)^4)-44100*J220)/(1.84*29.3*R220+8*0.95*5.67E-8*(EA220+273)^3))</f>
        <v>0</v>
      </c>
      <c r="W220">
        <f>($C$7*EB220+$D$7*EC220+$E$7*V220)</f>
        <v>0</v>
      </c>
      <c r="X220">
        <f>0.61365*exp(17.502*W220/(240.97+W220))</f>
        <v>0</v>
      </c>
      <c r="Y220">
        <f>(Z220/AA220*100)</f>
        <v>0</v>
      </c>
      <c r="Z220">
        <f>DT220*(DY220+DZ220)/1000</f>
        <v>0</v>
      </c>
      <c r="AA220">
        <f>0.61365*exp(17.502*EA220/(240.97+EA220))</f>
        <v>0</v>
      </c>
      <c r="AB220">
        <f>(X220-DT220*(DY220+DZ220)/1000)</f>
        <v>0</v>
      </c>
      <c r="AC220">
        <f>(-J220*44100)</f>
        <v>0</v>
      </c>
      <c r="AD220">
        <f>2*29.3*R220*0.92*(EA220-W220)</f>
        <v>0</v>
      </c>
      <c r="AE220">
        <f>2*0.95*5.67E-8*(((EA220+$B$7)+273)^4-(W220+273)^4)</f>
        <v>0</v>
      </c>
      <c r="AF220">
        <f>U220+AE220+AC220+AD220</f>
        <v>0</v>
      </c>
      <c r="AG220">
        <f>DX220*AU220*(DS220-DR220*(1000-AU220*DU220)/(1000-AU220*DT220))/(100*DL220)</f>
        <v>0</v>
      </c>
      <c r="AH220">
        <f>1000*DX220*AU220*(DT220-DU220)/(100*DL220*(1000-AU220*DT220))</f>
        <v>0</v>
      </c>
      <c r="AI220">
        <f>(AJ220 - AK220 - DY220*1E3/(8.314*(EA220+273.15)) * AM220/DX220 * AL220) * DX220/(100*DL220) * (1000 - DU220)/1000</f>
        <v>0</v>
      </c>
      <c r="AJ220">
        <v>424.26958226109</v>
      </c>
      <c r="AK220">
        <v>417.909672727272</v>
      </c>
      <c r="AL220">
        <v>-0.00077876919903963</v>
      </c>
      <c r="AM220">
        <v>65.2210784119795</v>
      </c>
      <c r="AN220">
        <f>(AP220 - AO220 + DY220*1E3/(8.314*(EA220+273.15)) * AR220/DX220 * AQ220) * DX220/(100*DL220) * 1000/(1000 - AP220)</f>
        <v>0</v>
      </c>
      <c r="AO220">
        <v>10.1510332888094</v>
      </c>
      <c r="AP220">
        <v>12.2152872727273</v>
      </c>
      <c r="AQ220">
        <v>0.000440549013034031</v>
      </c>
      <c r="AR220">
        <v>115.574510355221</v>
      </c>
      <c r="AS220">
        <v>0</v>
      </c>
      <c r="AT220">
        <v>0</v>
      </c>
      <c r="AU220">
        <f>IF(AS220*$H$13&gt;=AW220,1.0,(AW220/(AW220-AS220*$H$13)))</f>
        <v>0</v>
      </c>
      <c r="AV220">
        <f>(AU220-1)*100</f>
        <v>0</v>
      </c>
      <c r="AW220">
        <f>MAX(0,($B$13+$C$13*EF220)/(1+$D$13*EF220)*DY220/(EA220+273)*$E$13)</f>
        <v>0</v>
      </c>
      <c r="AX220" t="s">
        <v>659</v>
      </c>
      <c r="AY220">
        <v>5140.93</v>
      </c>
      <c r="AZ220">
        <v>718.434615384615</v>
      </c>
      <c r="BA220">
        <v>1633.28263291266</v>
      </c>
      <c r="BB220">
        <f>1-AZ220/BA220</f>
        <v>0</v>
      </c>
      <c r="BC220">
        <v>-0.638083621395434</v>
      </c>
      <c r="BD220" t="s">
        <v>867</v>
      </c>
      <c r="BE220">
        <v>5134.8</v>
      </c>
      <c r="BF220">
        <v>800.3795</v>
      </c>
      <c r="BG220">
        <v>1695.60478205538</v>
      </c>
      <c r="BH220">
        <f>1-BF220/BG220</f>
        <v>0</v>
      </c>
      <c r="BI220">
        <v>0.5</v>
      </c>
      <c r="BJ220">
        <f>DI220</f>
        <v>0</v>
      </c>
      <c r="BK220">
        <f>L220</f>
        <v>0</v>
      </c>
      <c r="BL220">
        <f>BH220*BI220*BJ220</f>
        <v>0</v>
      </c>
      <c r="BM220">
        <f>(BK220-BC220)/BJ220</f>
        <v>0</v>
      </c>
      <c r="BN220">
        <f>(BA220-BG220)/BG220</f>
        <v>0</v>
      </c>
      <c r="BO220">
        <f>AZ220/(BB220+AZ220/BG220)</f>
        <v>0</v>
      </c>
      <c r="BP220" t="s">
        <v>868</v>
      </c>
      <c r="BQ220">
        <v>732.2</v>
      </c>
      <c r="BR220">
        <f>IF(BQ220&lt;&gt;0, BQ220, BO220)</f>
        <v>0</v>
      </c>
      <c r="BS220">
        <f>1-BR220/BG220</f>
        <v>0</v>
      </c>
      <c r="BT220">
        <f>(BG220-BF220)/(BG220-BR220)</f>
        <v>0</v>
      </c>
      <c r="BU220">
        <f>(BA220-BG220)/(BA220-BR220)</f>
        <v>0</v>
      </c>
      <c r="BV220">
        <f>(BG220-BF220)/(BG220-AZ220)</f>
        <v>0</v>
      </c>
      <c r="BW220">
        <f>(BA220-BG220)/(BA220-AZ220)</f>
        <v>0</v>
      </c>
      <c r="BX220">
        <f>(BT220*BR220/BF220)</f>
        <v>0</v>
      </c>
      <c r="BY220">
        <f>(1-BX220)</f>
        <v>0</v>
      </c>
      <c r="BZ220">
        <v>287</v>
      </c>
      <c r="CA220">
        <v>290</v>
      </c>
      <c r="CB220">
        <v>1595.72</v>
      </c>
      <c r="CC220">
        <v>295</v>
      </c>
      <c r="CD220">
        <v>5134.8</v>
      </c>
      <c r="CE220">
        <v>1596.24</v>
      </c>
      <c r="CF220">
        <v>-0.52</v>
      </c>
      <c r="CG220">
        <v>300</v>
      </c>
      <c r="CH220">
        <v>23.9</v>
      </c>
      <c r="CI220">
        <v>1695.60478205538</v>
      </c>
      <c r="CJ220">
        <v>1.55135998499924</v>
      </c>
      <c r="CK220">
        <v>-51.019909416599</v>
      </c>
      <c r="CL220">
        <v>0.693642783191614</v>
      </c>
      <c r="CM220">
        <v>0.994851170337442</v>
      </c>
      <c r="CN220">
        <v>-0.00411982714126807</v>
      </c>
      <c r="CO220">
        <v>290</v>
      </c>
      <c r="CP220">
        <v>1595.86</v>
      </c>
      <c r="CQ220">
        <v>745</v>
      </c>
      <c r="CR220">
        <v>5133.49</v>
      </c>
      <c r="CS220">
        <v>1596.22</v>
      </c>
      <c r="CT220">
        <v>-0.36</v>
      </c>
      <c r="DH220">
        <f>$B$11*EG220+$C$11*EH220+$F$11*ES220*(1-EV220)</f>
        <v>0</v>
      </c>
      <c r="DI220">
        <f>DH220*DJ220</f>
        <v>0</v>
      </c>
      <c r="DJ220">
        <f>($B$11*$D$9+$C$11*$D$9+$F$11*((FF220+EX220)/MAX(FF220+EX220+FG220, 0.1)*$I$9+FG220/MAX(FF220+EX220+FG220, 0.1)*$J$9))/($B$11+$C$11+$F$11)</f>
        <v>0</v>
      </c>
      <c r="DK220">
        <f>($B$11*$K$9+$C$11*$K$9+$F$11*((FF220+EX220)/MAX(FF220+EX220+FG220, 0.1)*$P$9+FG220/MAX(FF220+EX220+FG220, 0.1)*$Q$9))/($B$11+$C$11+$F$11)</f>
        <v>0</v>
      </c>
      <c r="DL220">
        <v>6</v>
      </c>
      <c r="DM220">
        <v>0.5</v>
      </c>
      <c r="DN220" t="s">
        <v>438</v>
      </c>
      <c r="DO220">
        <v>2</v>
      </c>
      <c r="DP220" t="b">
        <v>1</v>
      </c>
      <c r="DQ220">
        <v>1760993687.5</v>
      </c>
      <c r="DR220">
        <v>412.8343125</v>
      </c>
      <c r="DS220">
        <v>420.000875</v>
      </c>
      <c r="DT220">
        <v>12.1958125</v>
      </c>
      <c r="DU220">
        <v>10.14529375</v>
      </c>
      <c r="DV220">
        <v>409.9786875</v>
      </c>
      <c r="DW220">
        <v>12.301875</v>
      </c>
      <c r="DX220">
        <v>500.01075</v>
      </c>
      <c r="DY220">
        <v>89.84454375</v>
      </c>
      <c r="DZ220">
        <v>0.00921300875</v>
      </c>
      <c r="EA220">
        <v>19.01503125</v>
      </c>
      <c r="EB220">
        <v>18.0471</v>
      </c>
      <c r="EC220">
        <v>999.9</v>
      </c>
      <c r="ED220">
        <v>0</v>
      </c>
      <c r="EE220">
        <v>0</v>
      </c>
      <c r="EF220">
        <v>9996.401875</v>
      </c>
      <c r="EG220">
        <v>0</v>
      </c>
      <c r="EH220">
        <v>1278.676875</v>
      </c>
      <c r="EI220">
        <v>-7.16674</v>
      </c>
      <c r="EJ220">
        <v>417.9310625</v>
      </c>
      <c r="EK220">
        <v>424.3055625</v>
      </c>
      <c r="EL220">
        <v>2.05052375</v>
      </c>
      <c r="EM220">
        <v>420.000875</v>
      </c>
      <c r="EN220">
        <v>10.14529375</v>
      </c>
      <c r="EO220">
        <v>1.09572875</v>
      </c>
      <c r="EP220">
        <v>0.911499625</v>
      </c>
      <c r="EQ220">
        <v>8.25552375</v>
      </c>
      <c r="ER220">
        <v>5.57359</v>
      </c>
      <c r="ES220">
        <v>149.9925</v>
      </c>
      <c r="ET220">
        <v>0.899942875</v>
      </c>
      <c r="EU220">
        <v>0.1000570875</v>
      </c>
      <c r="EV220">
        <v>0</v>
      </c>
      <c r="EW220">
        <v>800.2033125</v>
      </c>
      <c r="EX220">
        <v>5.00059</v>
      </c>
      <c r="EY220">
        <v>1168.145</v>
      </c>
      <c r="EZ220">
        <v>1231.768125</v>
      </c>
      <c r="FA220">
        <v>35.5738125</v>
      </c>
      <c r="FB220">
        <v>39.781</v>
      </c>
      <c r="FC220">
        <v>37.3123125</v>
      </c>
      <c r="FD220">
        <v>39.26925</v>
      </c>
      <c r="FE220">
        <v>37.452875</v>
      </c>
      <c r="FF220">
        <v>130.48375</v>
      </c>
      <c r="FG220">
        <v>14.51</v>
      </c>
      <c r="FH220">
        <v>0</v>
      </c>
      <c r="FI220">
        <v>154.399999856949</v>
      </c>
      <c r="FJ220">
        <v>0</v>
      </c>
      <c r="FK220">
        <v>800.3795</v>
      </c>
      <c r="FL220">
        <v>11.3966837778646</v>
      </c>
      <c r="FM220">
        <v>18.251623974873</v>
      </c>
      <c r="FN220">
        <v>1168.54461538462</v>
      </c>
      <c r="FO220">
        <v>15</v>
      </c>
      <c r="FP220">
        <v>0</v>
      </c>
      <c r="FQ220" t="s">
        <v>439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-7.16422142857143</v>
      </c>
      <c r="GD220">
        <v>0.04970571428572</v>
      </c>
      <c r="GE220">
        <v>0.0359217572066893</v>
      </c>
      <c r="GF220">
        <v>1</v>
      </c>
      <c r="GG220">
        <v>799.523029411765</v>
      </c>
      <c r="GH220">
        <v>10.1949427174626</v>
      </c>
      <c r="GI220">
        <v>1.02028996701036</v>
      </c>
      <c r="GJ220">
        <v>-1</v>
      </c>
      <c r="GK220">
        <v>2.05091761904762</v>
      </c>
      <c r="GL220">
        <v>0.0123233766233782</v>
      </c>
      <c r="GM220">
        <v>0.0162542972793459</v>
      </c>
      <c r="GN220">
        <v>1</v>
      </c>
      <c r="GO220">
        <v>2</v>
      </c>
      <c r="GP220">
        <v>2</v>
      </c>
      <c r="GQ220" t="s">
        <v>440</v>
      </c>
      <c r="GR220">
        <v>3.13087</v>
      </c>
      <c r="GS220">
        <v>2.68739</v>
      </c>
      <c r="GT220">
        <v>0.088412</v>
      </c>
      <c r="GU220">
        <v>0.0901697</v>
      </c>
      <c r="GV220">
        <v>0.0632801</v>
      </c>
      <c r="GW220">
        <v>0.0547731</v>
      </c>
      <c r="GX220">
        <v>34538.9</v>
      </c>
      <c r="GY220">
        <v>37041.8</v>
      </c>
      <c r="GZ220">
        <v>34258.2</v>
      </c>
      <c r="HA220">
        <v>36840.2</v>
      </c>
      <c r="HB220">
        <v>45265</v>
      </c>
      <c r="HC220">
        <v>49932.5</v>
      </c>
      <c r="HD220">
        <v>53330.9</v>
      </c>
      <c r="HE220">
        <v>58765.9</v>
      </c>
      <c r="HF220">
        <v>2.007</v>
      </c>
      <c r="HG220">
        <v>1.83683</v>
      </c>
      <c r="HH220">
        <v>-0.0187866</v>
      </c>
      <c r="HI220">
        <v>0</v>
      </c>
      <c r="HJ220">
        <v>18.3765</v>
      </c>
      <c r="HK220">
        <v>999.9</v>
      </c>
      <c r="HL220">
        <v>26.785</v>
      </c>
      <c r="HM220">
        <v>30.383</v>
      </c>
      <c r="HN220">
        <v>12.9841</v>
      </c>
      <c r="HO220">
        <v>54.4328</v>
      </c>
      <c r="HP220">
        <v>44.2508</v>
      </c>
      <c r="HQ220">
        <v>1</v>
      </c>
      <c r="HR220">
        <v>-0.261969</v>
      </c>
      <c r="HS220">
        <v>3.14378</v>
      </c>
      <c r="HT220">
        <v>20.1185</v>
      </c>
      <c r="HU220">
        <v>5.20351</v>
      </c>
      <c r="HV220">
        <v>12.004</v>
      </c>
      <c r="HW220">
        <v>4.97585</v>
      </c>
      <c r="HX220">
        <v>3.29313</v>
      </c>
      <c r="HY220">
        <v>9999</v>
      </c>
      <c r="HZ220">
        <v>999.9</v>
      </c>
      <c r="IA220">
        <v>9999</v>
      </c>
      <c r="IB220">
        <v>9999</v>
      </c>
      <c r="IC220">
        <v>1.86321</v>
      </c>
      <c r="ID220">
        <v>1.86808</v>
      </c>
      <c r="IE220">
        <v>1.86783</v>
      </c>
      <c r="IF220">
        <v>1.86905</v>
      </c>
      <c r="IG220">
        <v>1.86981</v>
      </c>
      <c r="IH220">
        <v>1.86588</v>
      </c>
      <c r="II220">
        <v>1.86691</v>
      </c>
      <c r="IJ220">
        <v>1.86835</v>
      </c>
      <c r="IK220">
        <v>5</v>
      </c>
      <c r="IL220">
        <v>0</v>
      </c>
      <c r="IM220">
        <v>0</v>
      </c>
      <c r="IN220">
        <v>0</v>
      </c>
      <c r="IO220" t="s">
        <v>441</v>
      </c>
      <c r="IP220" t="s">
        <v>442</v>
      </c>
      <c r="IQ220" t="s">
        <v>443</v>
      </c>
      <c r="IR220" t="s">
        <v>443</v>
      </c>
      <c r="IS220" t="s">
        <v>443</v>
      </c>
      <c r="IT220" t="s">
        <v>443</v>
      </c>
      <c r="IU220">
        <v>0</v>
      </c>
      <c r="IV220">
        <v>100</v>
      </c>
      <c r="IW220">
        <v>100</v>
      </c>
      <c r="IX220">
        <v>2.855</v>
      </c>
      <c r="IY220">
        <v>-0.1058</v>
      </c>
      <c r="IZ220">
        <v>1.12474291219083</v>
      </c>
      <c r="JA220">
        <v>0.00463155566490582</v>
      </c>
      <c r="JB220">
        <v>-1.1358998729424e-06</v>
      </c>
      <c r="JC220">
        <v>3.28704272115545e-10</v>
      </c>
      <c r="JD220">
        <v>-0.0704455108513773</v>
      </c>
      <c r="JE220">
        <v>-0.0251928478371425</v>
      </c>
      <c r="JF220">
        <v>0.00225751704194564</v>
      </c>
      <c r="JG220">
        <v>-3.61734043746866e-05</v>
      </c>
      <c r="JH220">
        <v>1</v>
      </c>
      <c r="JI220">
        <v>2182</v>
      </c>
      <c r="JJ220">
        <v>0</v>
      </c>
      <c r="JK220">
        <v>24</v>
      </c>
      <c r="JL220">
        <v>29349894.9</v>
      </c>
      <c r="JM220">
        <v>29349894.9</v>
      </c>
      <c r="JN220">
        <v>1.00098</v>
      </c>
      <c r="JO220">
        <v>2.62207</v>
      </c>
      <c r="JP220">
        <v>1.54785</v>
      </c>
      <c r="JQ220">
        <v>2.31445</v>
      </c>
      <c r="JR220">
        <v>1.64673</v>
      </c>
      <c r="JS220">
        <v>2.37305</v>
      </c>
      <c r="JT220">
        <v>33.7381</v>
      </c>
      <c r="JU220">
        <v>24.2188</v>
      </c>
      <c r="JV220">
        <v>18</v>
      </c>
      <c r="JW220">
        <v>501.038</v>
      </c>
      <c r="JX220">
        <v>395.15</v>
      </c>
      <c r="JY220">
        <v>14.6554</v>
      </c>
      <c r="JZ220">
        <v>24.0509</v>
      </c>
      <c r="KA220">
        <v>30.0001</v>
      </c>
      <c r="KB220">
        <v>24.0789</v>
      </c>
      <c r="KC220">
        <v>24.0512</v>
      </c>
      <c r="KD220">
        <v>20.0658</v>
      </c>
      <c r="KE220">
        <v>0</v>
      </c>
      <c r="KF220">
        <v>26.9189</v>
      </c>
      <c r="KG220">
        <v>14.6153</v>
      </c>
      <c r="KH220">
        <v>420</v>
      </c>
      <c r="KI220">
        <v>10.4623</v>
      </c>
      <c r="KJ220">
        <v>97.0236</v>
      </c>
      <c r="KK220">
        <v>95.284</v>
      </c>
    </row>
    <row r="221" spans="1:297">
      <c r="A221">
        <v>205</v>
      </c>
      <c r="B221">
        <v>1760993796</v>
      </c>
      <c r="C221">
        <v>4605.90000009537</v>
      </c>
      <c r="D221" t="s">
        <v>869</v>
      </c>
      <c r="E221" t="s">
        <v>870</v>
      </c>
      <c r="F221">
        <v>5</v>
      </c>
      <c r="G221" t="s">
        <v>662</v>
      </c>
      <c r="H221" t="s">
        <v>436</v>
      </c>
      <c r="I221">
        <v>1760993787.5</v>
      </c>
      <c r="J221">
        <f>(K221)/1000</f>
        <v>0</v>
      </c>
      <c r="K221">
        <f>IF(DP221, AN221, AH221)</f>
        <v>0</v>
      </c>
      <c r="L221">
        <f>IF(DP221, AI221, AG221)</f>
        <v>0</v>
      </c>
      <c r="M221">
        <f>DR221 - IF(AU221&gt;1, L221*DL221*100.0/(AW221), 0)</f>
        <v>0</v>
      </c>
      <c r="N221">
        <f>((T221-J221/2)*M221-L221)/(T221+J221/2)</f>
        <v>0</v>
      </c>
      <c r="O221">
        <f>N221*(DY221+DZ221)/1000.0</f>
        <v>0</v>
      </c>
      <c r="P221">
        <f>(DR221 - IF(AU221&gt;1, L221*DL221*100.0/(AW221), 0))*(DY221+DZ221)/1000.0</f>
        <v>0</v>
      </c>
      <c r="Q221">
        <f>2.0/((1/S221-1/R221)+SIGN(S221)*SQRT((1/S221-1/R221)*(1/S221-1/R221) + 4*DM221/((DM221+1)*(DM221+1))*(2*1/S221*1/R221-1/R221*1/R221)))</f>
        <v>0</v>
      </c>
      <c r="R221">
        <f>IF(LEFT(DN221,1)&lt;&gt;"0",IF(LEFT(DN221,1)="1",3.0,DO221),$D$5+$E$5*(EF221*DY221/($K$5*1000))+$F$5*(EF221*DY221/($K$5*1000))*MAX(MIN(DL221,$J$5),$I$5)*MAX(MIN(DL221,$J$5),$I$5)+$G$5*MAX(MIN(DL221,$J$5),$I$5)*(EF221*DY221/($K$5*1000))+$H$5*(EF221*DY221/($K$5*1000))*(EF221*DY221/($K$5*1000)))</f>
        <v>0</v>
      </c>
      <c r="S221">
        <f>J221*(1000-(1000*0.61365*exp(17.502*W221/(240.97+W221))/(DY221+DZ221)+DT221)/2)/(1000*0.61365*exp(17.502*W221/(240.97+W221))/(DY221+DZ221)-DT221)</f>
        <v>0</v>
      </c>
      <c r="T221">
        <f>1/((DM221+1)/(Q221/1.6)+1/(R221/1.37)) + DM221/((DM221+1)/(Q221/1.6) + DM221/(R221/1.37))</f>
        <v>0</v>
      </c>
      <c r="U221">
        <f>(DH221*DK221)</f>
        <v>0</v>
      </c>
      <c r="V221">
        <f>(EA221+(U221+2*0.95*5.67E-8*(((EA221+$B$7)+273)^4-(EA221+273)^4)-44100*J221)/(1.84*29.3*R221+8*0.95*5.67E-8*(EA221+273)^3))</f>
        <v>0</v>
      </c>
      <c r="W221">
        <f>($C$7*EB221+$D$7*EC221+$E$7*V221)</f>
        <v>0</v>
      </c>
      <c r="X221">
        <f>0.61365*exp(17.502*W221/(240.97+W221))</f>
        <v>0</v>
      </c>
      <c r="Y221">
        <f>(Z221/AA221*100)</f>
        <v>0</v>
      </c>
      <c r="Z221">
        <f>DT221*(DY221+DZ221)/1000</f>
        <v>0</v>
      </c>
      <c r="AA221">
        <f>0.61365*exp(17.502*EA221/(240.97+EA221))</f>
        <v>0</v>
      </c>
      <c r="AB221">
        <f>(X221-DT221*(DY221+DZ221)/1000)</f>
        <v>0</v>
      </c>
      <c r="AC221">
        <f>(-J221*44100)</f>
        <v>0</v>
      </c>
      <c r="AD221">
        <f>2*29.3*R221*0.92*(EA221-W221)</f>
        <v>0</v>
      </c>
      <c r="AE221">
        <f>2*0.95*5.67E-8*(((EA221+$B$7)+273)^4-(W221+273)^4)</f>
        <v>0</v>
      </c>
      <c r="AF221">
        <f>U221+AE221+AC221+AD221</f>
        <v>0</v>
      </c>
      <c r="AG221">
        <f>DX221*AU221*(DS221-DR221*(1000-AU221*DU221)/(1000-AU221*DT221))/(100*DL221)</f>
        <v>0</v>
      </c>
      <c r="AH221">
        <f>1000*DX221*AU221*(DT221-DU221)/(100*DL221*(1000-AU221*DT221))</f>
        <v>0</v>
      </c>
      <c r="AI221">
        <f>(AJ221 - AK221 - DY221*1E3/(8.314*(EA221+273.15)) * AM221/DX221 * AL221) * DX221/(100*DL221) * (1000 - DU221)/1000</f>
        <v>0</v>
      </c>
      <c r="AJ221">
        <v>424.394157683965</v>
      </c>
      <c r="AK221">
        <v>422.596048484848</v>
      </c>
      <c r="AL221">
        <v>-0.000125593229797488</v>
      </c>
      <c r="AM221">
        <v>65.2210784119795</v>
      </c>
      <c r="AN221">
        <f>(AP221 - AO221 + DY221*1E3/(8.314*(EA221+273.15)) * AR221/DX221 * AQ221) * DX221/(100*DL221) * 1000/(1000 - AP221)</f>
        <v>0</v>
      </c>
      <c r="AO221">
        <v>10.3172493007957</v>
      </c>
      <c r="AP221">
        <v>12.3328460606061</v>
      </c>
      <c r="AQ221">
        <v>-1.92020092208303e-05</v>
      </c>
      <c r="AR221">
        <v>115.574510355221</v>
      </c>
      <c r="AS221">
        <v>0</v>
      </c>
      <c r="AT221">
        <v>0</v>
      </c>
      <c r="AU221">
        <f>IF(AS221*$H$13&gt;=AW221,1.0,(AW221/(AW221-AS221*$H$13)))</f>
        <v>0</v>
      </c>
      <c r="AV221">
        <f>(AU221-1)*100</f>
        <v>0</v>
      </c>
      <c r="AW221">
        <f>MAX(0,($B$13+$C$13*EF221)/(1+$D$13*EF221)*DY221/(EA221+273)*$E$13)</f>
        <v>0</v>
      </c>
      <c r="AX221" t="s">
        <v>659</v>
      </c>
      <c r="AY221">
        <v>5140.93</v>
      </c>
      <c r="AZ221">
        <v>718.434615384615</v>
      </c>
      <c r="BA221">
        <v>1633.28263291266</v>
      </c>
      <c r="BB221">
        <f>1-AZ221/BA221</f>
        <v>0</v>
      </c>
      <c r="BC221">
        <v>-0.638083621395434</v>
      </c>
      <c r="BD221" t="s">
        <v>871</v>
      </c>
      <c r="BE221">
        <v>5124.51</v>
      </c>
      <c r="BF221">
        <v>775.17608</v>
      </c>
      <c r="BG221">
        <v>1789.80103048454</v>
      </c>
      <c r="BH221">
        <f>1-BF221/BG221</f>
        <v>0</v>
      </c>
      <c r="BI221">
        <v>0.5</v>
      </c>
      <c r="BJ221">
        <f>DI221</f>
        <v>0</v>
      </c>
      <c r="BK221">
        <f>L221</f>
        <v>0</v>
      </c>
      <c r="BL221">
        <f>BH221*BI221*BJ221</f>
        <v>0</v>
      </c>
      <c r="BM221">
        <f>(BK221-BC221)/BJ221</f>
        <v>0</v>
      </c>
      <c r="BN221">
        <f>(BA221-BG221)/BG221</f>
        <v>0</v>
      </c>
      <c r="BO221">
        <f>AZ221/(BB221+AZ221/BG221)</f>
        <v>0</v>
      </c>
      <c r="BP221" t="s">
        <v>872</v>
      </c>
      <c r="BQ221">
        <v>746.07</v>
      </c>
      <c r="BR221">
        <f>IF(BQ221&lt;&gt;0, BQ221, BO221)</f>
        <v>0</v>
      </c>
      <c r="BS221">
        <f>1-BR221/BG221</f>
        <v>0</v>
      </c>
      <c r="BT221">
        <f>(BG221-BF221)/(BG221-BR221)</f>
        <v>0</v>
      </c>
      <c r="BU221">
        <f>(BA221-BG221)/(BA221-BR221)</f>
        <v>0</v>
      </c>
      <c r="BV221">
        <f>(BG221-BF221)/(BG221-AZ221)</f>
        <v>0</v>
      </c>
      <c r="BW221">
        <f>(BA221-BG221)/(BA221-AZ221)</f>
        <v>0</v>
      </c>
      <c r="BX221">
        <f>(BT221*BR221/BF221)</f>
        <v>0</v>
      </c>
      <c r="BY221">
        <f>(1-BX221)</f>
        <v>0</v>
      </c>
      <c r="BZ221">
        <v>289</v>
      </c>
      <c r="CA221">
        <v>290</v>
      </c>
      <c r="CB221">
        <v>1686.9</v>
      </c>
      <c r="CC221">
        <v>255</v>
      </c>
      <c r="CD221">
        <v>5124.51</v>
      </c>
      <c r="CE221">
        <v>1687.45</v>
      </c>
      <c r="CF221">
        <v>-0.55</v>
      </c>
      <c r="CG221">
        <v>300</v>
      </c>
      <c r="CH221">
        <v>23.9</v>
      </c>
      <c r="CI221">
        <v>1789.80103048454</v>
      </c>
      <c r="CJ221">
        <v>1.50458947785547</v>
      </c>
      <c r="CK221">
        <v>-52.4504073860115</v>
      </c>
      <c r="CL221">
        <v>0.669148895481702</v>
      </c>
      <c r="CM221">
        <v>0.995463393351809</v>
      </c>
      <c r="CN221">
        <v>-0.00419562647385985</v>
      </c>
      <c r="CO221">
        <v>290</v>
      </c>
      <c r="CP221">
        <v>1689.99</v>
      </c>
      <c r="CQ221">
        <v>865</v>
      </c>
      <c r="CR221">
        <v>5122.39</v>
      </c>
      <c r="CS221">
        <v>1687.41</v>
      </c>
      <c r="CT221">
        <v>2.58</v>
      </c>
      <c r="DH221">
        <f>$B$11*EG221+$C$11*EH221+$F$11*ES221*(1-EV221)</f>
        <v>0</v>
      </c>
      <c r="DI221">
        <f>DH221*DJ221</f>
        <v>0</v>
      </c>
      <c r="DJ221">
        <f>($B$11*$D$9+$C$11*$D$9+$F$11*((FF221+EX221)/MAX(FF221+EX221+FG221, 0.1)*$I$9+FG221/MAX(FF221+EX221+FG221, 0.1)*$J$9))/($B$11+$C$11+$F$11)</f>
        <v>0</v>
      </c>
      <c r="DK221">
        <f>($B$11*$K$9+$C$11*$K$9+$F$11*((FF221+EX221)/MAX(FF221+EX221+FG221, 0.1)*$P$9+FG221/MAX(FF221+EX221+FG221, 0.1)*$Q$9))/($B$11+$C$11+$F$11)</f>
        <v>0</v>
      </c>
      <c r="DL221">
        <v>6</v>
      </c>
      <c r="DM221">
        <v>0.5</v>
      </c>
      <c r="DN221" t="s">
        <v>438</v>
      </c>
      <c r="DO221">
        <v>2</v>
      </c>
      <c r="DP221" t="b">
        <v>1</v>
      </c>
      <c r="DQ221">
        <v>1760993787.5</v>
      </c>
      <c r="DR221">
        <v>417.3296875</v>
      </c>
      <c r="DS221">
        <v>419.998</v>
      </c>
      <c r="DT221">
        <v>12.332475</v>
      </c>
      <c r="DU221">
        <v>10.31425</v>
      </c>
      <c r="DV221">
        <v>414.457</v>
      </c>
      <c r="DW221">
        <v>12.43664375</v>
      </c>
      <c r="DX221">
        <v>500.0153125</v>
      </c>
      <c r="DY221">
        <v>89.84381875</v>
      </c>
      <c r="DZ221">
        <v>0.009107460625</v>
      </c>
      <c r="EA221">
        <v>19.0695375</v>
      </c>
      <c r="EB221">
        <v>18.02588125</v>
      </c>
      <c r="EC221">
        <v>999.9</v>
      </c>
      <c r="ED221">
        <v>0</v>
      </c>
      <c r="EE221">
        <v>0</v>
      </c>
      <c r="EF221">
        <v>10001.91625</v>
      </c>
      <c r="EG221">
        <v>0</v>
      </c>
      <c r="EH221">
        <v>1278.690625</v>
      </c>
      <c r="EI221">
        <v>-2.668145</v>
      </c>
      <c r="EJ221">
        <v>422.5406875</v>
      </c>
      <c r="EK221">
        <v>424.3749375</v>
      </c>
      <c r="EL221">
        <v>2.018215625</v>
      </c>
      <c r="EM221">
        <v>419.998</v>
      </c>
      <c r="EN221">
        <v>10.31425</v>
      </c>
      <c r="EO221">
        <v>1.10799625</v>
      </c>
      <c r="EP221">
        <v>0.9266719375</v>
      </c>
      <c r="EQ221">
        <v>8.419620625</v>
      </c>
      <c r="ER221">
        <v>5.811748125</v>
      </c>
      <c r="ES221">
        <v>50.00933125</v>
      </c>
      <c r="ET221">
        <v>0.9002929375</v>
      </c>
      <c r="EU221">
        <v>0.0997073375</v>
      </c>
      <c r="EV221">
        <v>0</v>
      </c>
      <c r="EW221">
        <v>775.0614375</v>
      </c>
      <c r="EX221">
        <v>5.00059</v>
      </c>
      <c r="EY221">
        <v>379.5819375</v>
      </c>
      <c r="EZ221">
        <v>382.4091875</v>
      </c>
      <c r="FA221">
        <v>35.992125</v>
      </c>
      <c r="FB221">
        <v>41.2535625</v>
      </c>
      <c r="FC221">
        <v>38.03875</v>
      </c>
      <c r="FD221">
        <v>41.3395625</v>
      </c>
      <c r="FE221">
        <v>38.0974375</v>
      </c>
      <c r="FF221">
        <v>40.520625</v>
      </c>
      <c r="FG221">
        <v>4.49125</v>
      </c>
      <c r="FH221">
        <v>0</v>
      </c>
      <c r="FI221">
        <v>96.6000001430511</v>
      </c>
      <c r="FJ221">
        <v>0</v>
      </c>
      <c r="FK221">
        <v>775.17608</v>
      </c>
      <c r="FL221">
        <v>5.54700000200645</v>
      </c>
      <c r="FM221">
        <v>1.16630767547223</v>
      </c>
      <c r="FN221">
        <v>379.62808</v>
      </c>
      <c r="FO221">
        <v>15</v>
      </c>
      <c r="FP221">
        <v>0</v>
      </c>
      <c r="FQ221" t="s">
        <v>439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-2.70011904761905</v>
      </c>
      <c r="GD221">
        <v>0.486004675324675</v>
      </c>
      <c r="GE221">
        <v>0.0555683768330052</v>
      </c>
      <c r="GF221">
        <v>1</v>
      </c>
      <c r="GG221">
        <v>774.751176470588</v>
      </c>
      <c r="GH221">
        <v>5.48415583993879</v>
      </c>
      <c r="GI221">
        <v>0.568025189509189</v>
      </c>
      <c r="GJ221">
        <v>-1</v>
      </c>
      <c r="GK221">
        <v>2.01906428571429</v>
      </c>
      <c r="GL221">
        <v>-0.0143953246753215</v>
      </c>
      <c r="GM221">
        <v>0.00158005295700453</v>
      </c>
      <c r="GN221">
        <v>1</v>
      </c>
      <c r="GO221">
        <v>2</v>
      </c>
      <c r="GP221">
        <v>2</v>
      </c>
      <c r="GQ221" t="s">
        <v>440</v>
      </c>
      <c r="GR221">
        <v>3.13082</v>
      </c>
      <c r="GS221">
        <v>2.68721</v>
      </c>
      <c r="GT221">
        <v>0.0891689</v>
      </c>
      <c r="GU221">
        <v>0.0901836</v>
      </c>
      <c r="GV221">
        <v>0.0637512</v>
      </c>
      <c r="GW221">
        <v>0.0554789</v>
      </c>
      <c r="GX221">
        <v>34512.4</v>
      </c>
      <c r="GY221">
        <v>37044.4</v>
      </c>
      <c r="GZ221">
        <v>34260.1</v>
      </c>
      <c r="HA221">
        <v>36843.1</v>
      </c>
      <c r="HB221">
        <v>45244</v>
      </c>
      <c r="HC221">
        <v>49898.6</v>
      </c>
      <c r="HD221">
        <v>53333.4</v>
      </c>
      <c r="HE221">
        <v>58770.4</v>
      </c>
      <c r="HF221">
        <v>2.00705</v>
      </c>
      <c r="HG221">
        <v>1.8375</v>
      </c>
      <c r="HH221">
        <v>-0.0298694</v>
      </c>
      <c r="HI221">
        <v>0</v>
      </c>
      <c r="HJ221">
        <v>18.5202</v>
      </c>
      <c r="HK221">
        <v>999.9</v>
      </c>
      <c r="HL221">
        <v>27.036</v>
      </c>
      <c r="HM221">
        <v>30.393</v>
      </c>
      <c r="HN221">
        <v>13.1121</v>
      </c>
      <c r="HO221">
        <v>54.2128</v>
      </c>
      <c r="HP221">
        <v>44.3069</v>
      </c>
      <c r="HQ221">
        <v>1</v>
      </c>
      <c r="HR221">
        <v>-0.26329</v>
      </c>
      <c r="HS221">
        <v>3.4682</v>
      </c>
      <c r="HT221">
        <v>20.1134</v>
      </c>
      <c r="HU221">
        <v>5.20306</v>
      </c>
      <c r="HV221">
        <v>12.0041</v>
      </c>
      <c r="HW221">
        <v>4.9757</v>
      </c>
      <c r="HX221">
        <v>3.29303</v>
      </c>
      <c r="HY221">
        <v>9999</v>
      </c>
      <c r="HZ221">
        <v>999.9</v>
      </c>
      <c r="IA221">
        <v>9999</v>
      </c>
      <c r="IB221">
        <v>9999</v>
      </c>
      <c r="IC221">
        <v>1.86322</v>
      </c>
      <c r="ID221">
        <v>1.86808</v>
      </c>
      <c r="IE221">
        <v>1.86783</v>
      </c>
      <c r="IF221">
        <v>1.86905</v>
      </c>
      <c r="IG221">
        <v>1.86981</v>
      </c>
      <c r="IH221">
        <v>1.86585</v>
      </c>
      <c r="II221">
        <v>1.86691</v>
      </c>
      <c r="IJ221">
        <v>1.86836</v>
      </c>
      <c r="IK221">
        <v>5</v>
      </c>
      <c r="IL221">
        <v>0</v>
      </c>
      <c r="IM221">
        <v>0</v>
      </c>
      <c r="IN221">
        <v>0</v>
      </c>
      <c r="IO221" t="s">
        <v>441</v>
      </c>
      <c r="IP221" t="s">
        <v>442</v>
      </c>
      <c r="IQ221" t="s">
        <v>443</v>
      </c>
      <c r="IR221" t="s">
        <v>443</v>
      </c>
      <c r="IS221" t="s">
        <v>443</v>
      </c>
      <c r="IT221" t="s">
        <v>443</v>
      </c>
      <c r="IU221">
        <v>0</v>
      </c>
      <c r="IV221">
        <v>100</v>
      </c>
      <c r="IW221">
        <v>100</v>
      </c>
      <c r="IX221">
        <v>2.873</v>
      </c>
      <c r="IY221">
        <v>-0.1042</v>
      </c>
      <c r="IZ221">
        <v>1.12474291219083</v>
      </c>
      <c r="JA221">
        <v>0.00463155566490582</v>
      </c>
      <c r="JB221">
        <v>-1.1358998729424e-06</v>
      </c>
      <c r="JC221">
        <v>3.28704272115545e-10</v>
      </c>
      <c r="JD221">
        <v>-0.0704455108513773</v>
      </c>
      <c r="JE221">
        <v>-0.0251928478371425</v>
      </c>
      <c r="JF221">
        <v>0.00225751704194564</v>
      </c>
      <c r="JG221">
        <v>-3.61734043746866e-05</v>
      </c>
      <c r="JH221">
        <v>1</v>
      </c>
      <c r="JI221">
        <v>2182</v>
      </c>
      <c r="JJ221">
        <v>0</v>
      </c>
      <c r="JK221">
        <v>24</v>
      </c>
      <c r="JL221">
        <v>29349896.6</v>
      </c>
      <c r="JM221">
        <v>29349896.6</v>
      </c>
      <c r="JN221">
        <v>1.00098</v>
      </c>
      <c r="JO221">
        <v>2.61719</v>
      </c>
      <c r="JP221">
        <v>1.54785</v>
      </c>
      <c r="JQ221">
        <v>2.31445</v>
      </c>
      <c r="JR221">
        <v>1.64673</v>
      </c>
      <c r="JS221">
        <v>2.37793</v>
      </c>
      <c r="JT221">
        <v>33.7606</v>
      </c>
      <c r="JU221">
        <v>24.2101</v>
      </c>
      <c r="JV221">
        <v>18</v>
      </c>
      <c r="JW221">
        <v>500.851</v>
      </c>
      <c r="JX221">
        <v>395.346</v>
      </c>
      <c r="JY221">
        <v>14.1212</v>
      </c>
      <c r="JZ221">
        <v>24.0195</v>
      </c>
      <c r="KA221">
        <v>30.0002</v>
      </c>
      <c r="KB221">
        <v>24.0559</v>
      </c>
      <c r="KC221">
        <v>24.0293</v>
      </c>
      <c r="KD221">
        <v>20.0637</v>
      </c>
      <c r="KE221">
        <v>0</v>
      </c>
      <c r="KF221">
        <v>27.293</v>
      </c>
      <c r="KG221">
        <v>14.0894</v>
      </c>
      <c r="KH221">
        <v>420</v>
      </c>
      <c r="KI221">
        <v>10.3894</v>
      </c>
      <c r="KJ221">
        <v>97.0287</v>
      </c>
      <c r="KK221">
        <v>95.2915</v>
      </c>
    </row>
    <row r="222" spans="1:297">
      <c r="A222">
        <v>206</v>
      </c>
      <c r="B222">
        <v>1760993892</v>
      </c>
      <c r="C222">
        <v>4701.90000009537</v>
      </c>
      <c r="D222" t="s">
        <v>873</v>
      </c>
      <c r="E222" t="s">
        <v>874</v>
      </c>
      <c r="F222">
        <v>5</v>
      </c>
      <c r="G222" t="s">
        <v>662</v>
      </c>
      <c r="H222" t="s">
        <v>436</v>
      </c>
      <c r="I222">
        <v>1760993883.5</v>
      </c>
      <c r="J222">
        <f>(K222)/1000</f>
        <v>0</v>
      </c>
      <c r="K222">
        <f>IF(DP222, AN222, AH222)</f>
        <v>0</v>
      </c>
      <c r="L222">
        <f>IF(DP222, AI222, AG222)</f>
        <v>0</v>
      </c>
      <c r="M222">
        <f>DR222 - IF(AU222&gt;1, L222*DL222*100.0/(AW222), 0)</f>
        <v>0</v>
      </c>
      <c r="N222">
        <f>((T222-J222/2)*M222-L222)/(T222+J222/2)</f>
        <v>0</v>
      </c>
      <c r="O222">
        <f>N222*(DY222+DZ222)/1000.0</f>
        <v>0</v>
      </c>
      <c r="P222">
        <f>(DR222 - IF(AU222&gt;1, L222*DL222*100.0/(AW222), 0))*(DY222+DZ222)/1000.0</f>
        <v>0</v>
      </c>
      <c r="Q222">
        <f>2.0/((1/S222-1/R222)+SIGN(S222)*SQRT((1/S222-1/R222)*(1/S222-1/R222) + 4*DM222/((DM222+1)*(DM222+1))*(2*1/S222*1/R222-1/R222*1/R222)))</f>
        <v>0</v>
      </c>
      <c r="R222">
        <f>IF(LEFT(DN222,1)&lt;&gt;"0",IF(LEFT(DN222,1)="1",3.0,DO222),$D$5+$E$5*(EF222*DY222/($K$5*1000))+$F$5*(EF222*DY222/($K$5*1000))*MAX(MIN(DL222,$J$5),$I$5)*MAX(MIN(DL222,$J$5),$I$5)+$G$5*MAX(MIN(DL222,$J$5),$I$5)*(EF222*DY222/($K$5*1000))+$H$5*(EF222*DY222/($K$5*1000))*(EF222*DY222/($K$5*1000)))</f>
        <v>0</v>
      </c>
      <c r="S222">
        <f>J222*(1000-(1000*0.61365*exp(17.502*W222/(240.97+W222))/(DY222+DZ222)+DT222)/2)/(1000*0.61365*exp(17.502*W222/(240.97+W222))/(DY222+DZ222)-DT222)</f>
        <v>0</v>
      </c>
      <c r="T222">
        <f>1/((DM222+1)/(Q222/1.6)+1/(R222/1.37)) + DM222/((DM222+1)/(Q222/1.6) + DM222/(R222/1.37))</f>
        <v>0</v>
      </c>
      <c r="U222">
        <f>(DH222*DK222)</f>
        <v>0</v>
      </c>
      <c r="V222">
        <f>(EA222+(U222+2*0.95*5.67E-8*(((EA222+$B$7)+273)^4-(EA222+273)^4)-44100*J222)/(1.84*29.3*R222+8*0.95*5.67E-8*(EA222+273)^3))</f>
        <v>0</v>
      </c>
      <c r="W222">
        <f>($C$7*EB222+$D$7*EC222+$E$7*V222)</f>
        <v>0</v>
      </c>
      <c r="X222">
        <f>0.61365*exp(17.502*W222/(240.97+W222))</f>
        <v>0</v>
      </c>
      <c r="Y222">
        <f>(Z222/AA222*100)</f>
        <v>0</v>
      </c>
      <c r="Z222">
        <f>DT222*(DY222+DZ222)/1000</f>
        <v>0</v>
      </c>
      <c r="AA222">
        <f>0.61365*exp(17.502*EA222/(240.97+EA222))</f>
        <v>0</v>
      </c>
      <c r="AB222">
        <f>(X222-DT222*(DY222+DZ222)/1000)</f>
        <v>0</v>
      </c>
      <c r="AC222">
        <f>(-J222*44100)</f>
        <v>0</v>
      </c>
      <c r="AD222">
        <f>2*29.3*R222*0.92*(EA222-W222)</f>
        <v>0</v>
      </c>
      <c r="AE222">
        <f>2*0.95*5.67E-8*(((EA222+$B$7)+273)^4-(W222+273)^4)</f>
        <v>0</v>
      </c>
      <c r="AF222">
        <f>U222+AE222+AC222+AD222</f>
        <v>0</v>
      </c>
      <c r="AG222">
        <f>DX222*AU222*(DS222-DR222*(1000-AU222*DU222)/(1000-AU222*DT222))/(100*DL222)</f>
        <v>0</v>
      </c>
      <c r="AH222">
        <f>1000*DX222*AU222*(DT222-DU222)/(100*DL222*(1000-AU222*DT222))</f>
        <v>0</v>
      </c>
      <c r="AI222">
        <f>(AJ222 - AK222 - DY222*1E3/(8.314*(EA222+273.15)) * AM222/DX222 * AL222) * DX222/(100*DL222) * (1000 - DU222)/1000</f>
        <v>0</v>
      </c>
      <c r="AJ222">
        <v>424.455695434242</v>
      </c>
      <c r="AK222">
        <v>425.125993939394</v>
      </c>
      <c r="AL222">
        <v>0.00208020324665952</v>
      </c>
      <c r="AM222">
        <v>65.2210784119795</v>
      </c>
      <c r="AN222">
        <f>(AP222 - AO222 + DY222*1E3/(8.314*(EA222+273.15)) * AR222/DX222 * AQ222) * DX222/(100*DL222) * 1000/(1000 - AP222)</f>
        <v>0</v>
      </c>
      <c r="AO222">
        <v>10.4002038536156</v>
      </c>
      <c r="AP222">
        <v>12.4031545454545</v>
      </c>
      <c r="AQ222">
        <v>-6.93363483417963e-05</v>
      </c>
      <c r="AR222">
        <v>115.574510355221</v>
      </c>
      <c r="AS222">
        <v>0</v>
      </c>
      <c r="AT222">
        <v>0</v>
      </c>
      <c r="AU222">
        <f>IF(AS222*$H$13&gt;=AW222,1.0,(AW222/(AW222-AS222*$H$13)))</f>
        <v>0</v>
      </c>
      <c r="AV222">
        <f>(AU222-1)*100</f>
        <v>0</v>
      </c>
      <c r="AW222">
        <f>MAX(0,($B$13+$C$13*EF222)/(1+$D$13*EF222)*DY222/(EA222+273)*$E$13)</f>
        <v>0</v>
      </c>
      <c r="AX222" t="s">
        <v>875</v>
      </c>
      <c r="AY222">
        <v>5122.83</v>
      </c>
      <c r="AZ222">
        <v>725.773076923077</v>
      </c>
      <c r="BA222">
        <v>1875.06470258429</v>
      </c>
      <c r="BB222">
        <f>1-AZ222/BA222</f>
        <v>0</v>
      </c>
      <c r="BC222">
        <v>-0.561050853640744</v>
      </c>
      <c r="BD222" t="s">
        <v>437</v>
      </c>
      <c r="BE222" t="s">
        <v>437</v>
      </c>
      <c r="BF222">
        <v>0</v>
      </c>
      <c r="BG222">
        <v>0</v>
      </c>
      <c r="BH222">
        <f>1-BF222/BG222</f>
        <v>0</v>
      </c>
      <c r="BI222">
        <v>0.5</v>
      </c>
      <c r="BJ222">
        <f>DI222</f>
        <v>0</v>
      </c>
      <c r="BK222">
        <f>L222</f>
        <v>0</v>
      </c>
      <c r="BL222">
        <f>BH222*BI222*BJ222</f>
        <v>0</v>
      </c>
      <c r="BM222">
        <f>(BK222-BC222)/BJ222</f>
        <v>0</v>
      </c>
      <c r="BN222">
        <f>(BA222-BG222)/BG222</f>
        <v>0</v>
      </c>
      <c r="BO222">
        <f>AZ222/(BB222+AZ222/BG222)</f>
        <v>0</v>
      </c>
      <c r="BP222" t="s">
        <v>437</v>
      </c>
      <c r="BQ222">
        <v>0</v>
      </c>
      <c r="BR222">
        <f>IF(BQ222&lt;&gt;0, BQ222, BO222)</f>
        <v>0</v>
      </c>
      <c r="BS222">
        <f>1-BR222/BG222</f>
        <v>0</v>
      </c>
      <c r="BT222">
        <f>(BG222-BF222)/(BG222-BR222)</f>
        <v>0</v>
      </c>
      <c r="BU222">
        <f>(BA222-BG222)/(BA222-BR222)</f>
        <v>0</v>
      </c>
      <c r="BV222">
        <f>(BG222-BF222)/(BG222-AZ222)</f>
        <v>0</v>
      </c>
      <c r="BW222">
        <f>(BA222-BG222)/(BA222-AZ222)</f>
        <v>0</v>
      </c>
      <c r="BX222">
        <f>(BT222*BR222/BF222)</f>
        <v>0</v>
      </c>
      <c r="BY222">
        <f>(1-BX222)</f>
        <v>0</v>
      </c>
      <c r="BZ222">
        <v>291</v>
      </c>
      <c r="CA222">
        <v>290</v>
      </c>
      <c r="CB222">
        <v>1769.02</v>
      </c>
      <c r="CC222">
        <v>265</v>
      </c>
      <c r="CD222">
        <v>5122.83</v>
      </c>
      <c r="CE222">
        <v>1769.98</v>
      </c>
      <c r="CF222">
        <v>-0.96</v>
      </c>
      <c r="CG222">
        <v>300</v>
      </c>
      <c r="CH222">
        <v>23.8</v>
      </c>
      <c r="CI222">
        <v>1875.06470258429</v>
      </c>
      <c r="CJ222">
        <v>1.63014706053774</v>
      </c>
      <c r="CK222">
        <v>-53.8340891692779</v>
      </c>
      <c r="CL222">
        <v>0.723709970507696</v>
      </c>
      <c r="CM222">
        <v>0.994965222242524</v>
      </c>
      <c r="CN222">
        <v>-0.00423164961067853</v>
      </c>
      <c r="CO222">
        <v>290</v>
      </c>
      <c r="CP222">
        <v>1772.74</v>
      </c>
      <c r="CQ222">
        <v>825</v>
      </c>
      <c r="CR222">
        <v>5121.04</v>
      </c>
      <c r="CS222">
        <v>1769.94</v>
      </c>
      <c r="CT222">
        <v>2.8</v>
      </c>
      <c r="DH222">
        <f>$B$11*EG222+$C$11*EH222+$F$11*ES222*(1-EV222)</f>
        <v>0</v>
      </c>
      <c r="DI222">
        <f>DH222*DJ222</f>
        <v>0</v>
      </c>
      <c r="DJ222">
        <f>($B$11*$D$9+$C$11*$D$9+$F$11*((FF222+EX222)/MAX(FF222+EX222+FG222, 0.1)*$I$9+FG222/MAX(FF222+EX222+FG222, 0.1)*$J$9))/($B$11+$C$11+$F$11)</f>
        <v>0</v>
      </c>
      <c r="DK222">
        <f>($B$11*$K$9+$C$11*$K$9+$F$11*((FF222+EX222)/MAX(FF222+EX222+FG222, 0.1)*$P$9+FG222/MAX(FF222+EX222+FG222, 0.1)*$Q$9))/($B$11+$C$11+$F$11)</f>
        <v>0</v>
      </c>
      <c r="DL222">
        <v>6</v>
      </c>
      <c r="DM222">
        <v>0.5</v>
      </c>
      <c r="DN222" t="s">
        <v>438</v>
      </c>
      <c r="DO222">
        <v>2</v>
      </c>
      <c r="DP222" t="b">
        <v>1</v>
      </c>
      <c r="DQ222">
        <v>1760993883.5</v>
      </c>
      <c r="DR222">
        <v>419.762875</v>
      </c>
      <c r="DS222">
        <v>420.0079375</v>
      </c>
      <c r="DT222">
        <v>12.414425</v>
      </c>
      <c r="DU222">
        <v>10.41949375</v>
      </c>
      <c r="DV222">
        <v>416.8809375</v>
      </c>
      <c r="DW222">
        <v>12.51744375</v>
      </c>
      <c r="DX222">
        <v>500.0125625</v>
      </c>
      <c r="DY222">
        <v>89.8428875</v>
      </c>
      <c r="DZ222">
        <v>0.00920863875</v>
      </c>
      <c r="EA222">
        <v>19.062125</v>
      </c>
      <c r="EB222">
        <v>17.9959625</v>
      </c>
      <c r="EC222">
        <v>999.9</v>
      </c>
      <c r="ED222">
        <v>0</v>
      </c>
      <c r="EE222">
        <v>0</v>
      </c>
      <c r="EF222">
        <v>10003.360625</v>
      </c>
      <c r="EG222">
        <v>0</v>
      </c>
      <c r="EH222">
        <v>1278.7025</v>
      </c>
      <c r="EI222">
        <v>-0.244995125</v>
      </c>
      <c r="EJ222">
        <v>425.039625</v>
      </c>
      <c r="EK222">
        <v>424.4303125</v>
      </c>
      <c r="EL222">
        <v>1.99491375</v>
      </c>
      <c r="EM222">
        <v>420.0079375</v>
      </c>
      <c r="EN222">
        <v>10.41949375</v>
      </c>
      <c r="EO222">
        <v>1.11534625</v>
      </c>
      <c r="EP222">
        <v>0.9361185625</v>
      </c>
      <c r="EQ222">
        <v>8.5171775</v>
      </c>
      <c r="ER222">
        <v>5.9582875</v>
      </c>
      <c r="ES222">
        <v>0.00500059</v>
      </c>
      <c r="ET222">
        <v>0</v>
      </c>
      <c r="EU222">
        <v>0</v>
      </c>
      <c r="EV222">
        <v>0</v>
      </c>
      <c r="EW222">
        <v>727.525</v>
      </c>
      <c r="EX222">
        <v>0.00500059</v>
      </c>
      <c r="EY222">
        <v>25.7375</v>
      </c>
      <c r="EZ222">
        <v>-0.70625</v>
      </c>
      <c r="FA222">
        <v>35.601375</v>
      </c>
      <c r="FB222">
        <v>39.91775</v>
      </c>
      <c r="FC222">
        <v>37.367</v>
      </c>
      <c r="FD222">
        <v>39.7340625</v>
      </c>
      <c r="FE222">
        <v>37.2028125</v>
      </c>
      <c r="FF222">
        <v>0</v>
      </c>
      <c r="FG222">
        <v>0</v>
      </c>
      <c r="FH222">
        <v>0</v>
      </c>
      <c r="FI222">
        <v>92.5999999046326</v>
      </c>
      <c r="FJ222">
        <v>0</v>
      </c>
      <c r="FK222">
        <v>725.773076923077</v>
      </c>
      <c r="FL222">
        <v>9.65128192111495</v>
      </c>
      <c r="FM222">
        <v>9.95897479123138</v>
      </c>
      <c r="FN222">
        <v>27.8730769230769</v>
      </c>
      <c r="FO222">
        <v>15</v>
      </c>
      <c r="FP222">
        <v>0</v>
      </c>
      <c r="FQ222" t="s">
        <v>439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-0.278068904761905</v>
      </c>
      <c r="GD222">
        <v>0.44441961038961</v>
      </c>
      <c r="GE222">
        <v>0.0575107051193451</v>
      </c>
      <c r="GF222">
        <v>1</v>
      </c>
      <c r="GG222">
        <v>725.320588235294</v>
      </c>
      <c r="GH222">
        <v>7.53399539532053</v>
      </c>
      <c r="GI222">
        <v>5.61126909267858</v>
      </c>
      <c r="GJ222">
        <v>-1</v>
      </c>
      <c r="GK222">
        <v>1.99142380952381</v>
      </c>
      <c r="GL222">
        <v>0.0573187012986958</v>
      </c>
      <c r="GM222">
        <v>0.00580708801395449</v>
      </c>
      <c r="GN222">
        <v>1</v>
      </c>
      <c r="GO222">
        <v>2</v>
      </c>
      <c r="GP222">
        <v>2</v>
      </c>
      <c r="GQ222" t="s">
        <v>440</v>
      </c>
      <c r="GR222">
        <v>3.13084</v>
      </c>
      <c r="GS222">
        <v>2.68728</v>
      </c>
      <c r="GT222">
        <v>0.0895757</v>
      </c>
      <c r="GU222">
        <v>0.0901817</v>
      </c>
      <c r="GV222">
        <v>0.0640196</v>
      </c>
      <c r="GW222">
        <v>0.0558063</v>
      </c>
      <c r="GX222">
        <v>34499</v>
      </c>
      <c r="GY222">
        <v>37046.7</v>
      </c>
      <c r="GZ222">
        <v>34262</v>
      </c>
      <c r="HA222">
        <v>36845.2</v>
      </c>
      <c r="HB222">
        <v>45232.8</v>
      </c>
      <c r="HC222">
        <v>49883.5</v>
      </c>
      <c r="HD222">
        <v>53335.9</v>
      </c>
      <c r="HE222">
        <v>58773.3</v>
      </c>
      <c r="HF222">
        <v>2.00723</v>
      </c>
      <c r="HG222">
        <v>1.8378</v>
      </c>
      <c r="HH222">
        <v>-0.0344105</v>
      </c>
      <c r="HI222">
        <v>0</v>
      </c>
      <c r="HJ222">
        <v>18.5642</v>
      </c>
      <c r="HK222">
        <v>999.9</v>
      </c>
      <c r="HL222">
        <v>27.237</v>
      </c>
      <c r="HM222">
        <v>30.424</v>
      </c>
      <c r="HN222">
        <v>13.2343</v>
      </c>
      <c r="HO222">
        <v>54.6628</v>
      </c>
      <c r="HP222">
        <v>44.3109</v>
      </c>
      <c r="HQ222">
        <v>1</v>
      </c>
      <c r="HR222">
        <v>-0.265722</v>
      </c>
      <c r="HS222">
        <v>3.33936</v>
      </c>
      <c r="HT222">
        <v>20.1155</v>
      </c>
      <c r="HU222">
        <v>5.20157</v>
      </c>
      <c r="HV222">
        <v>12.004</v>
      </c>
      <c r="HW222">
        <v>4.9757</v>
      </c>
      <c r="HX222">
        <v>3.29308</v>
      </c>
      <c r="HY222">
        <v>9999</v>
      </c>
      <c r="HZ222">
        <v>999.9</v>
      </c>
      <c r="IA222">
        <v>9999</v>
      </c>
      <c r="IB222">
        <v>9999</v>
      </c>
      <c r="IC222">
        <v>1.86322</v>
      </c>
      <c r="ID222">
        <v>1.8681</v>
      </c>
      <c r="IE222">
        <v>1.86783</v>
      </c>
      <c r="IF222">
        <v>1.86905</v>
      </c>
      <c r="IG222">
        <v>1.86981</v>
      </c>
      <c r="IH222">
        <v>1.86585</v>
      </c>
      <c r="II222">
        <v>1.86692</v>
      </c>
      <c r="IJ222">
        <v>1.86841</v>
      </c>
      <c r="IK222">
        <v>5</v>
      </c>
      <c r="IL222">
        <v>0</v>
      </c>
      <c r="IM222">
        <v>0</v>
      </c>
      <c r="IN222">
        <v>0</v>
      </c>
      <c r="IO222" t="s">
        <v>441</v>
      </c>
      <c r="IP222" t="s">
        <v>442</v>
      </c>
      <c r="IQ222" t="s">
        <v>443</v>
      </c>
      <c r="IR222" t="s">
        <v>443</v>
      </c>
      <c r="IS222" t="s">
        <v>443</v>
      </c>
      <c r="IT222" t="s">
        <v>443</v>
      </c>
      <c r="IU222">
        <v>0</v>
      </c>
      <c r="IV222">
        <v>100</v>
      </c>
      <c r="IW222">
        <v>100</v>
      </c>
      <c r="IX222">
        <v>2.882</v>
      </c>
      <c r="IY222">
        <v>-0.1032</v>
      </c>
      <c r="IZ222">
        <v>1.12474291219083</v>
      </c>
      <c r="JA222">
        <v>0.00463155566490582</v>
      </c>
      <c r="JB222">
        <v>-1.1358998729424e-06</v>
      </c>
      <c r="JC222">
        <v>3.28704272115545e-10</v>
      </c>
      <c r="JD222">
        <v>-0.0704455108513773</v>
      </c>
      <c r="JE222">
        <v>-0.0251928478371425</v>
      </c>
      <c r="JF222">
        <v>0.00225751704194564</v>
      </c>
      <c r="JG222">
        <v>-3.61734043746866e-05</v>
      </c>
      <c r="JH222">
        <v>1</v>
      </c>
      <c r="JI222">
        <v>2182</v>
      </c>
      <c r="JJ222">
        <v>0</v>
      </c>
      <c r="JK222">
        <v>24</v>
      </c>
      <c r="JL222">
        <v>29349898.2</v>
      </c>
      <c r="JM222">
        <v>29349898.2</v>
      </c>
      <c r="JN222">
        <v>1.00098</v>
      </c>
      <c r="JO222">
        <v>2.63184</v>
      </c>
      <c r="JP222">
        <v>1.54785</v>
      </c>
      <c r="JQ222">
        <v>2.31445</v>
      </c>
      <c r="JR222">
        <v>1.64673</v>
      </c>
      <c r="JS222">
        <v>2.25708</v>
      </c>
      <c r="JT222">
        <v>33.7832</v>
      </c>
      <c r="JU222">
        <v>24.2013</v>
      </c>
      <c r="JV222">
        <v>18</v>
      </c>
      <c r="JW222">
        <v>500.767</v>
      </c>
      <c r="JX222">
        <v>395.362</v>
      </c>
      <c r="JY222">
        <v>14.0827</v>
      </c>
      <c r="JZ222">
        <v>23.9994</v>
      </c>
      <c r="KA222">
        <v>30</v>
      </c>
      <c r="KB222">
        <v>24.0354</v>
      </c>
      <c r="KC222">
        <v>24.0099</v>
      </c>
      <c r="KD222">
        <v>20.0666</v>
      </c>
      <c r="KE222">
        <v>5.95981</v>
      </c>
      <c r="KF222">
        <v>27.664</v>
      </c>
      <c r="KG222">
        <v>14.0886</v>
      </c>
      <c r="KH222">
        <v>420</v>
      </c>
      <c r="KI222">
        <v>10.2723</v>
      </c>
      <c r="KJ222">
        <v>97.0335</v>
      </c>
      <c r="KK222">
        <v>95.2964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25</v>
      </c>
    </row>
    <row r="15" spans="1:2">
      <c r="A15" t="s">
        <v>27</v>
      </c>
      <c r="B15" t="s">
        <v>23</v>
      </c>
    </row>
    <row r="16" spans="1:2">
      <c r="A16" t="s">
        <v>28</v>
      </c>
      <c r="B16" t="s">
        <v>11</v>
      </c>
    </row>
    <row r="17" spans="1:2">
      <c r="A17" t="s">
        <v>29</v>
      </c>
      <c r="B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2025-10-20T16:09:04Z</dcterms:created>
  <dcterms:modified xsi:type="dcterms:W3CDTF">2025-10-20T16:09:04Z</dcterms:modified>
</cp:coreProperties>
</file>