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<sst xmlns="http://schemas.openxmlformats.org/spreadsheetml/2006/main" count="3171" uniqueCount="769">
  <si>
    <t>File opened</t>
  </si>
  <si>
    <t>2025-10-28 12:55:19</t>
  </si>
  <si>
    <t>Console s/n</t>
  </si>
  <si>
    <t>68C-901364</t>
  </si>
  <si>
    <t>Console ver</t>
  </si>
  <si>
    <t>Bluestem v.2.1.11</t>
  </si>
  <si>
    <t>Scripts ver</t>
  </si>
  <si>
    <t>2023.02  2.1.11, Jun 2023</t>
  </si>
  <si>
    <t>Head s/n</t>
  </si>
  <si>
    <t>68H-581364</t>
  </si>
  <si>
    <t>Head ver</t>
  </si>
  <si>
    <t>1.4.23</t>
  </si>
  <si>
    <t>Head cal</t>
  </si>
  <si>
    <t>{"co2bspanconc2": "301.4", "oxygen": "21", "co2aspanconc2": "301.4", "tbzero": "0.339216", "ssa_ref": "45138", "h2oaspan2b": "0.0649319", "co2bspanconc1": "2473", "co2bspan2a": "0.300636", "co2aspanconc1": "2473", "h2oaspanconc2": "0", "h2oaspan2a": "0.0642495", "co2aspan2a": "0.300986", "h2oazero": "1.10043", "h2oaspanconc1": "11.69", "h2oaspan2": "0", "h2obspanconc1": "11.69", "co2aspan1": "1.00063", "ssb_ref": "50169", "h2obspanconc2": "0", "co2aspan2b": "0.297984", "flowazero": "0.29401", "flowmeterzero": "2.49091", "h2obspan2": "0", "h2obspan2b": "0.0654872", "chamberpressurezero": "2.62959", "tazero": "0.20418", "co2aspan2": "-0.0352407", "co2bspan1": "1.00051", "h2obspan2a": "0.0647193", "co2bspan2b": "0.297586", "flowbzero": "0.28105", "co2bspan2": "-0.0354637", "co2bzero": "0.901409", "co2azero": "0.900515", "h2obspan1": "1.01187", "h2oaspan1": "1.01062", "h2obzero": "1.10982"}</t>
  </si>
  <si>
    <t>Factory cal date</t>
  </si>
  <si>
    <t>19 Oct 2023</t>
  </si>
  <si>
    <t>CO2 rangematch</t>
  </si>
  <si>
    <t>Mon Oct 27 10:33</t>
  </si>
  <si>
    <t>H2O rangematch</t>
  </si>
  <si>
    <t>Mon Oct 27 10:43</t>
  </si>
  <si>
    <t>Chamber type</t>
  </si>
  <si>
    <t>6800-01A</t>
  </si>
  <si>
    <t>Chamber s/n</t>
  </si>
  <si>
    <t>MPF-282120</t>
  </si>
  <si>
    <t>Chamber rev</t>
  </si>
  <si>
    <t>0</t>
  </si>
  <si>
    <t>Chamber cal</t>
  </si>
  <si>
    <t>Fluorometer</t>
  </si>
  <si>
    <t>Flr. Version</t>
  </si>
  <si>
    <t>12:55:20</t>
  </si>
  <si>
    <t>Stability Definition:	F (FlrLS): Per=20	ΔCO2 (Meas2): Slp&lt;0.5 Per=20	ΔH2O (Meas2): Slp&lt;0.1 Per=20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</si>
  <si>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</si>
  <si>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</si>
  <si>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</si>
  <si>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</si>
  <si>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</si>
  <si>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</si>
  <si>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</si>
  <si>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</si>
  <si>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</si>
  <si>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</si>
  <si>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</si>
  <si>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</si>
  <si>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</si>
  <si>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</si>
  <si>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</si>
  <si>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</si>
  <si>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</si>
  <si>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</si>
  <si>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</si>
  <si>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</si>
  <si>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</si>
  <si>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</si>
  <si>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</si>
  <si>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</si>
  <si>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</si>
  <si>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</si>
  <si>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</si>
  <si>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</si>
  <si>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</si>
  <si>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</si>
  <si>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</si>
  <si>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</si>
  <si>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</si>
  <si>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</si>
  <si>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</si>
  <si>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</si>
  <si>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</si>
  <si>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</si>
  <si>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</si>
  <si>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</si>
  <si>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</si>
  <si>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</si>
  <si>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</si>
  <si>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</si>
  <si>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</si>
  <si>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</si>
  <si>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</si>
  <si>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</si>
  <si>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</si>
  <si>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</si>
  <si>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</si>
  <si>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3.58337 184.567 346.001 631.42 872.779 1083.71 1255.53 1408.8</t>
  </si>
  <si>
    <t>Fs_true</t>
  </si>
  <si>
    <t>-0.624065 215.168 374.841 614.566 799.894 1005.77 1201.19 1401.53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</si>
  <si>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</si>
  <si>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</si>
  <si>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</si>
  <si>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</si>
  <si>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</si>
  <si>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</si>
  <si>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</si>
  <si>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</si>
  <si>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</si>
  <si>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</si>
  <si>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</si>
  <si>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</si>
  <si>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</si>
  <si>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</si>
  <si>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</si>
  <si>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</si>
  <si>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</si>
  <si>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</si>
  <si>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</si>
  <si>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</si>
  <si>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</si>
  <si>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</si>
  <si>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</si>
  <si>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</si>
  <si>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</si>
  <si>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</si>
  <si>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</si>
  <si>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</si>
  <si>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</si>
  <si>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</si>
  <si>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</si>
  <si>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</si>
  <si>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</si>
  <si>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</si>
  <si>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</si>
  <si>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</si>
  <si>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</si>
  <si>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</si>
  <si>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</si>
  <si>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</si>
  <si>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</si>
  <si>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</si>
  <si>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</si>
  <si>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</si>
  <si>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</si>
  <si>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</si>
  <si>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</si>
  <si>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</si>
  <si>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</si>
  <si>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</si>
  <si>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</si>
  <si>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</si>
  <si>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</si>
  <si>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</si>
  <si>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</si>
  <si>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</si>
  <si>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</si>
  <si>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</si>
  <si>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</si>
  <si>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</si>
  <si>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</si>
  <si>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</si>
  <si>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</si>
  <si>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</si>
  <si>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</si>
  <si>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</si>
  <si>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</si>
  <si>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</si>
  <si>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</si>
  <si>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</si>
  <si>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</si>
  <si>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</si>
  <si>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</si>
  <si>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</si>
  <si>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</si>
  <si>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</si>
  <si>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</si>
  <si>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</si>
  <si>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</si>
  <si>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</si>
  <si>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</si>
  <si>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</si>
  <si>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</si>
  <si>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</si>
  <si>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</si>
  <si>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</si>
  <si>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</si>
  <si>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</si>
  <si>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</si>
  <si>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</si>
  <si>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</si>
  <si>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</si>
  <si>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</si>
  <si>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</si>
  <si>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</si>
  <si>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</si>
  <si>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</si>
  <si>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</si>
  <si>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</si>
  <si>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</si>
  <si>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</si>
  <si>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</si>
  <si>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</si>
  <si>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</si>
  <si>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</si>
  <si>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</si>
  <si>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</si>
  <si>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</si>
  <si>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</si>
  <si>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</si>
  <si>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</si>
  <si>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</si>
  <si>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</si>
  <si>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</si>
  <si>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</si>
  <si>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</si>
  <si>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</si>
  <si>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</si>
  <si>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</si>
  <si>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</si>
  <si>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</si>
  <si>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</si>
  <si>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</si>
  <si>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</si>
  <si>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</si>
  <si>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</si>
  <si>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</si>
  <si>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</si>
  <si>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</si>
  <si>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</si>
  <si>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</si>
  <si>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</si>
  <si>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</si>
  <si>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</si>
  <si>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</si>
  <si>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</si>
  <si>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</si>
  <si>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</si>
  <si>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</si>
  <si>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</si>
  <si>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</si>
  <si>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</si>
  <si>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</si>
  <si>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</si>
  <si>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</si>
  <si>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</si>
  <si>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</si>
  <si>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</si>
  <si>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</si>
  <si>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</si>
  <si>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</si>
  <si>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</si>
  <si>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</si>
  <si>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</si>
  <si>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</si>
  <si>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</si>
  <si>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</si>
  <si>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</si>
  <si>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</si>
  <si>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</si>
  <si>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</si>
  <si>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</si>
  <si>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</si>
  <si>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</si>
  <si>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</si>
  <si>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</si>
  <si>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</si>
  <si>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</si>
  <si>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</si>
  <si>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</si>
  <si>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</si>
  <si>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</si>
  <si>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</si>
  <si>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</si>
  <si>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</si>
  <si>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</si>
  <si>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</si>
  <si>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</si>
  <si>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</si>
  <si>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</si>
  <si>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</si>
  <si>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</si>
  <si>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</si>
  <si>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</si>
  <si>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</si>
  <si>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</si>
  <si>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</si>
  <si>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</si>
  <si>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</si>
  <si>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</si>
  <si>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</si>
  <si>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</si>
  <si>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</si>
  <si>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</si>
  <si>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</si>
  <si>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</si>
  <si>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</si>
  <si>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</si>
  <si>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</si>
  <si>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</si>
  <si>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</si>
  <si>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</si>
  <si>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</si>
  <si>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</si>
  <si>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</si>
  <si>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</si>
  <si>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</si>
  <si>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</si>
  <si>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</si>
  <si>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</si>
  <si>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</si>
  <si>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</si>
  <si>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</si>
  <si>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</si>
  <si>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</si>
  <si>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</si>
  <si>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</si>
  <si>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</si>
  <si>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</si>
  <si>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</si>
  <si>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</si>
  <si>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</si>
  <si>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</si>
  <si>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</si>
  <si>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</si>
  <si>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</si>
  <si>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</si>
  <si>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</si>
  <si>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</si>
  <si>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</si>
  <si>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</si>
  <si>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</si>
  <si>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</si>
  <si>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</si>
  <si>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</si>
  <si>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</si>
  <si>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</si>
  <si>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</si>
  <si>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</si>
  <si>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</si>
  <si>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</si>
  <si>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</si>
  <si>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</si>
  <si>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</si>
  <si>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</si>
  <si>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</si>
  <si>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</si>
  <si>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</si>
  <si>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</si>
  <si>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</si>
  <si>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AccH2O_hum</t>
  </si>
  <si>
    <t>AccH2O_des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</si>
  <si>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</si>
  <si>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</si>
  <si>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</si>
  <si>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</si>
  <si>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</si>
  <si>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</si>
  <si>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</si>
  <si>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</si>
  <si>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</si>
  <si>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</si>
  <si>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</si>
  <si>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</si>
  <si>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</si>
  <si>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</si>
  <si>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</si>
  <si>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</si>
  <si>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</si>
  <si>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</si>
  <si>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</si>
  <si>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</si>
  <si>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</si>
  <si>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</si>
  <si>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</si>
  <si>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</si>
  <si>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</si>
  <si>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</si>
  <si>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</si>
  <si>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</si>
  <si>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</si>
  <si>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</si>
  <si>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</si>
  <si>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</si>
  <si>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</si>
  <si>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</si>
  <si>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</si>
  <si>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</si>
  <si>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</si>
  <si>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</si>
  <si>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</si>
  <si>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</si>
  <si>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</si>
  <si>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</si>
  <si>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</si>
  <si>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</si>
  <si>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</si>
  <si>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</si>
  <si>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</si>
  <si>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</si>
  <si>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</si>
  <si>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</si>
  <si>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</si>
  <si>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</si>
  <si>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</si>
  <si>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</si>
  <si>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</si>
  <si>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</si>
  <si>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</si>
  <si>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</si>
  <si>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</si>
  <si>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</si>
  <si>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</si>
  <si>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</si>
  <si>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</si>
  <si>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</si>
  <si>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</si>
  <si>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</si>
  <si>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</si>
  <si>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</si>
  <si>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</si>
  <si>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</si>
  <si>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</si>
  <si>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</si>
  <si>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</si>
  <si>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</si>
  <si>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</si>
  <si>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</si>
  <si>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</si>
  <si>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</si>
  <si>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</si>
  <si>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</si>
  <si>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</si>
  <si>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</si>
  <si>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</si>
  <si>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</si>
  <si>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</si>
  <si>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</si>
  <si>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</si>
  <si>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</si>
  <si>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</si>
  <si>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</si>
  <si>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</si>
  <si>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</si>
  <si>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</si>
  <si>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</si>
  <si>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</si>
  <si>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</si>
  <si>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20251028 13:49:09</t>
  </si>
  <si>
    <t>13:49:09</t>
  </si>
  <si>
    <t>gg_2</t>
  </si>
  <si>
    <t>ozzie</t>
  </si>
  <si>
    <t>MPF-309-20251026-12_53_21</t>
  </si>
  <si>
    <t>MPF-1-20251028-13_48_15</t>
  </si>
  <si>
    <t>DARK-2-20251028-13_48_22</t>
  </si>
  <si>
    <t>0: Broadleaf</t>
  </si>
  <si>
    <t>--:--:--</t>
  </si>
  <si>
    <t>2/2</t>
  </si>
  <si>
    <t>11111111</t>
  </si>
  <si>
    <t>oooooooo</t>
  </si>
  <si>
    <t>off</t>
  </si>
  <si>
    <t>20251028 13:50:19</t>
  </si>
  <si>
    <t>13:50:19</t>
  </si>
  <si>
    <t>-</t>
  </si>
  <si>
    <t>20251028 13:51:30</t>
  </si>
  <si>
    <t>13:51:30</t>
  </si>
  <si>
    <t>MPF-3-20251028-13_50_36</t>
  </si>
  <si>
    <t>DARK-4-20251028-13_50_43</t>
  </si>
  <si>
    <t>20251028 13:52:58</t>
  </si>
  <si>
    <t>13:52:58</t>
  </si>
  <si>
    <t>20251028 13:54:18</t>
  </si>
  <si>
    <t>13:54:18</t>
  </si>
  <si>
    <t>MPF-5-20251028-13_53_24</t>
  </si>
  <si>
    <t>DARK-6-20251028-13_53_31</t>
  </si>
  <si>
    <t>20251028 13:55:28</t>
  </si>
  <si>
    <t>13:55:28</t>
  </si>
  <si>
    <t>1/2</t>
  </si>
  <si>
    <t>20251028 13:56:35</t>
  </si>
  <si>
    <t>13:56:35</t>
  </si>
  <si>
    <t>MPF-7-20251028-13_55_41</t>
  </si>
  <si>
    <t>DARK-8-20251028-13_55_47</t>
  </si>
  <si>
    <t>20251028 13:57:57</t>
  </si>
  <si>
    <t>13:57:57</t>
  </si>
  <si>
    <t>20251028 13:59:25</t>
  </si>
  <si>
    <t>13:59:25</t>
  </si>
  <si>
    <t>MPF-9-20251028-13_58_31</t>
  </si>
  <si>
    <t>DARK-10-20251028-13_58_38</t>
  </si>
  <si>
    <t>20251028 14:01:14</t>
  </si>
  <si>
    <t>14:01:14</t>
  </si>
  <si>
    <t>MPF-11-20251028-14_00_20</t>
  </si>
  <si>
    <t>20251028 14:19:26</t>
  </si>
  <si>
    <t>14:19:26</t>
  </si>
  <si>
    <t>gg_10</t>
  </si>
  <si>
    <t>MPF-12-20251028-14_18_33</t>
  </si>
  <si>
    <t>DARK-13-20251028-14_18_39</t>
  </si>
  <si>
    <t>20251028 14:20:41</t>
  </si>
  <si>
    <t>14:20:41</t>
  </si>
  <si>
    <t>20251028 14:21:42</t>
  </si>
  <si>
    <t>14:21:42</t>
  </si>
  <si>
    <t>MPF-14-20251028-14_20_48</t>
  </si>
  <si>
    <t>DARK-15-20251028-14_20_55</t>
  </si>
  <si>
    <t>20251028 14:22:52</t>
  </si>
  <si>
    <t>14:22:52</t>
  </si>
  <si>
    <t>20251028 14:23:53</t>
  </si>
  <si>
    <t>14:23:53</t>
  </si>
  <si>
    <t>MPF-16-20251028-14_22_59</t>
  </si>
  <si>
    <t>DARK-17-20251028-14_23_06</t>
  </si>
  <si>
    <t>20251028 14:25:03</t>
  </si>
  <si>
    <t>14:25:03</t>
  </si>
  <si>
    <t>20251028 14:26:07</t>
  </si>
  <si>
    <t>14:26:07</t>
  </si>
  <si>
    <t>MPF-18-20251028-14_25_13</t>
  </si>
  <si>
    <t>DARK-19-20251028-14_25_20</t>
  </si>
  <si>
    <t>20251028 14:27:27</t>
  </si>
  <si>
    <t>14:27:27</t>
  </si>
  <si>
    <t>20251028 14:28:56</t>
  </si>
  <si>
    <t>14:28:56</t>
  </si>
  <si>
    <t>MPF-20-20251028-14_28_03</t>
  </si>
  <si>
    <t>DARK-21-20251028-14_28_09</t>
  </si>
  <si>
    <t>20251028 14:30:54</t>
  </si>
  <si>
    <t>14:30:54</t>
  </si>
  <si>
    <t>MPF-22-20251028-14_30_00</t>
  </si>
  <si>
    <t>20251028 14:46:46</t>
  </si>
  <si>
    <t>14:46:46</t>
  </si>
  <si>
    <t>gg_8</t>
  </si>
  <si>
    <t>MPF-23-20251028-14_45_52</t>
  </si>
  <si>
    <t>DARK-24-20251028-14_45_59</t>
  </si>
  <si>
    <t>20251028 14:48:04</t>
  </si>
  <si>
    <t>14:48:04</t>
  </si>
  <si>
    <t>20251028 14:49:08</t>
  </si>
  <si>
    <t>14:49:08</t>
  </si>
  <si>
    <t>MPF-25-20251028-14_48_14</t>
  </si>
  <si>
    <t>DARK-26-20251028-14_48_21</t>
  </si>
  <si>
    <t>20251028 14:50:21</t>
  </si>
  <si>
    <t>14:50:21</t>
  </si>
  <si>
    <t>20251028 14:51:22</t>
  </si>
  <si>
    <t>14:51:22</t>
  </si>
  <si>
    <t>MPF-27-20251028-14_50_28</t>
  </si>
  <si>
    <t>DARK-28-20251028-14_50_35</t>
  </si>
  <si>
    <t>20251028 14:52:32</t>
  </si>
  <si>
    <t>14:52:32</t>
  </si>
  <si>
    <t>20251028 14:53:43</t>
  </si>
  <si>
    <t>14:53:43</t>
  </si>
  <si>
    <t>MPF-29-20251028-14_52_49</t>
  </si>
  <si>
    <t>DARK-30-20251028-14_52_56</t>
  </si>
  <si>
    <t>20251028 14:55:21</t>
  </si>
  <si>
    <t>14:55:21</t>
  </si>
  <si>
    <t>MPF-31-20251028-14_54_27</t>
  </si>
  <si>
    <t>DARK-32-20251028-14_54_34</t>
  </si>
  <si>
    <t>20251028 14:57:31</t>
  </si>
  <si>
    <t>14:57:31</t>
  </si>
  <si>
    <t>MPF-33-20251028-14_56_37</t>
  </si>
  <si>
    <t>DARK-34-20251028-14_56_44</t>
  </si>
  <si>
    <t>20251028 14:59:41</t>
  </si>
  <si>
    <t>14:59:41</t>
  </si>
  <si>
    <t>MPF-35-20251028-14_58_47</t>
  </si>
  <si>
    <t>20251028 15:13:24</t>
  </si>
  <si>
    <t>15:13:24</t>
  </si>
  <si>
    <t>gg_28</t>
  </si>
  <si>
    <t>MPF-36-20251028-15_12_31</t>
  </si>
  <si>
    <t>DARK-37-20251028-15_12_37</t>
  </si>
  <si>
    <t>20251028 15:14:38</t>
  </si>
  <si>
    <t>15:14:38</t>
  </si>
  <si>
    <t>20251028 15:15:39</t>
  </si>
  <si>
    <t>15:15:39</t>
  </si>
  <si>
    <t>MPF-38-20251028-15_14_46</t>
  </si>
  <si>
    <t>DARK-39-20251028-15_14_52</t>
  </si>
  <si>
    <t>20251028 15:16:49</t>
  </si>
  <si>
    <t>15:16:49</t>
  </si>
  <si>
    <t>20251028 15:17:50</t>
  </si>
  <si>
    <t>15:17:50</t>
  </si>
  <si>
    <t>MPF-40-20251028-15_16_57</t>
  </si>
  <si>
    <t>DARK-41-20251028-15_17_04</t>
  </si>
  <si>
    <t>20251028 15:19:00</t>
  </si>
  <si>
    <t>15:19:00</t>
  </si>
  <si>
    <t>20251028 15:20:05</t>
  </si>
  <si>
    <t>15:20:05</t>
  </si>
  <si>
    <t>MPF-42-20251028-15_19_12</t>
  </si>
  <si>
    <t>DARK-43-20251028-15_19_18</t>
  </si>
  <si>
    <t>20251028 15:21:15</t>
  </si>
  <si>
    <t>15:21:15</t>
  </si>
  <si>
    <t>20251028 15:22:40</t>
  </si>
  <si>
    <t>15:22:40</t>
  </si>
  <si>
    <t>MPF-44-20251028-15_21_47</t>
  </si>
  <si>
    <t>DARK-45-20251028-15_21_53</t>
  </si>
  <si>
    <t>20251028 15:24:21</t>
  </si>
  <si>
    <t>15:24:21</t>
  </si>
  <si>
    <t>MPF-46-20251028-15_23_28</t>
  </si>
  <si>
    <t>20251028 15:37:57</t>
  </si>
  <si>
    <t>15:37:57</t>
  </si>
  <si>
    <t>gg_40</t>
  </si>
  <si>
    <t>MPF-47-20251028-15_37_04</t>
  </si>
  <si>
    <t>DARK-48-20251028-15_37_10</t>
  </si>
  <si>
    <t>20251028 15:39:07</t>
  </si>
  <si>
    <t>15:39:07</t>
  </si>
  <si>
    <t>20251028 15:40:08</t>
  </si>
  <si>
    <t>15:40:08</t>
  </si>
  <si>
    <t>MPF-49-20251028-15_39_15</t>
  </si>
  <si>
    <t>DARK-50-20251028-15_39_21</t>
  </si>
  <si>
    <t>20251028 15:41:18</t>
  </si>
  <si>
    <t>15:41:18</t>
  </si>
  <si>
    <t>20251028 15:42:19</t>
  </si>
  <si>
    <t>15:42:19</t>
  </si>
  <si>
    <t>MPF-51-20251028-15_41_26</t>
  </si>
  <si>
    <t>DARK-52-20251028-15_41_32</t>
  </si>
  <si>
    <t>20251028 15:43:29</t>
  </si>
  <si>
    <t>15:43:29</t>
  </si>
  <si>
    <t>20251028 15:44:30</t>
  </si>
  <si>
    <t>15:44:30</t>
  </si>
  <si>
    <t>MPF-53-20251028-15_43_37</t>
  </si>
  <si>
    <t>DARK-54-20251028-15_43_43</t>
  </si>
  <si>
    <t>20251028 15:45:40</t>
  </si>
  <si>
    <t>15:45:40</t>
  </si>
  <si>
    <t>20251028 15:47:25</t>
  </si>
  <si>
    <t>15:47:25</t>
  </si>
  <si>
    <t>MPF-55-20251028-15_46_32</t>
  </si>
  <si>
    <t>DARK-56-20251028-15_46_39</t>
  </si>
  <si>
    <t>20251028 15:48:44</t>
  </si>
  <si>
    <t>15:48:44</t>
  </si>
  <si>
    <t>20251028 16:13:54</t>
  </si>
  <si>
    <t>16:13:54</t>
  </si>
  <si>
    <t>gg_14</t>
  </si>
  <si>
    <t>MPF-57-20251028-16_13_01</t>
  </si>
  <si>
    <t>DARK-58-20251028-16_13_08</t>
  </si>
  <si>
    <t>20251028 16:15:04</t>
  </si>
  <si>
    <t>16:15:04</t>
  </si>
  <si>
    <t>20251028 16:16:05</t>
  </si>
  <si>
    <t>16:16:05</t>
  </si>
  <si>
    <t>MPF-59-20251028-16_15_12</t>
  </si>
  <si>
    <t>DARK-60-20251028-16_15_19</t>
  </si>
  <si>
    <t>20251028 16:17:15</t>
  </si>
  <si>
    <t>16:17:15</t>
  </si>
  <si>
    <t>20251028 16:18:16</t>
  </si>
  <si>
    <t>16:18:16</t>
  </si>
  <si>
    <t>MPF-61-20251028-16_17_23</t>
  </si>
  <si>
    <t>DARK-62-20251028-16_17_29</t>
  </si>
  <si>
    <t>20251028 16:19:26</t>
  </si>
  <si>
    <t>16:19:26</t>
  </si>
  <si>
    <t>20251028 16:20:49</t>
  </si>
  <si>
    <t>16:20:49</t>
  </si>
  <si>
    <t>MPF-63-20251028-16_19_56</t>
  </si>
  <si>
    <t>DARK-64-20251028-16_20_03</t>
  </si>
  <si>
    <t>20251028 16:22:33</t>
  </si>
  <si>
    <t>16:22:33</t>
  </si>
  <si>
    <t>MPF-65-20251028-16_21_40</t>
  </si>
  <si>
    <t>DARK-66-20251028-16_21_47</t>
  </si>
  <si>
    <t>20251028 16:24:25</t>
  </si>
  <si>
    <t>16:24:25</t>
  </si>
  <si>
    <t>MPF-67-20251028-16_23_33</t>
  </si>
  <si>
    <t>DARK-68-20251028-16_23_39</t>
  </si>
  <si>
    <t>20251028 16:26:36</t>
  </si>
  <si>
    <t>16:26:36</t>
  </si>
  <si>
    <t>MPF-69-20251028-16_25_43</t>
  </si>
  <si>
    <t>0/2</t>
  </si>
  <si>
    <t>20251028 16:40:23</t>
  </si>
  <si>
    <t>16:40:23</t>
  </si>
  <si>
    <t>gg_32</t>
  </si>
  <si>
    <t>MPF-70-20251028-16_39_30</t>
  </si>
  <si>
    <t>DARK-71-20251028-16_39_37</t>
  </si>
  <si>
    <t>20251028 16:41:33</t>
  </si>
  <si>
    <t>16:41:33</t>
  </si>
  <si>
    <t>20251028 16:42:40</t>
  </si>
  <si>
    <t>16:42:40</t>
  </si>
  <si>
    <t>MPF-72-20251028-16_41_47</t>
  </si>
  <si>
    <t>DARK-73-20251028-16_41_54</t>
  </si>
  <si>
    <t>20251028 16:43:50</t>
  </si>
  <si>
    <t>16:43:50</t>
  </si>
  <si>
    <t>20251028 16:44:51</t>
  </si>
  <si>
    <t>16:44:51</t>
  </si>
  <si>
    <t>MPF-74-20251028-16_43_58</t>
  </si>
  <si>
    <t>DARK-75-20251028-16_44_05</t>
  </si>
  <si>
    <t>20251028 16:46:01</t>
  </si>
  <si>
    <t>16:46:01</t>
  </si>
  <si>
    <t>20251028 16:47:02</t>
  </si>
  <si>
    <t>16:47:02</t>
  </si>
  <si>
    <t>MPF-76-20251028-16_46_09</t>
  </si>
  <si>
    <t>DARK-77-20251028-16_46_16</t>
  </si>
  <si>
    <t>20251028 16:48:24</t>
  </si>
  <si>
    <t>16:48:24</t>
  </si>
  <si>
    <t>20251028 16:50:05</t>
  </si>
  <si>
    <t>16:50:05</t>
  </si>
  <si>
    <t>MPF-78-20251028-16_49_12</t>
  </si>
  <si>
    <t>DARK-79-20251028-16_49_19</t>
  </si>
  <si>
    <t>20251028 16:51:40</t>
  </si>
  <si>
    <t>16:51:40</t>
  </si>
  <si>
    <t>MPF-80-20251028-16_50_48</t>
  </si>
  <si>
    <t>20251028 17:03:13</t>
  </si>
  <si>
    <t>17:03:13</t>
  </si>
  <si>
    <t>gg_4</t>
  </si>
  <si>
    <t>MPF-81-20251028-17_02_20</t>
  </si>
  <si>
    <t>DARK-82-20251028-17_02_27</t>
  </si>
  <si>
    <t>20251028 17:04:23</t>
  </si>
  <si>
    <t>17:04:23</t>
  </si>
  <si>
    <t>20251028 17:05:40</t>
  </si>
  <si>
    <t>17:05:40</t>
  </si>
  <si>
    <t>MPF-83-20251028-17_04_47</t>
  </si>
  <si>
    <t>DARK-84-20251028-17_04_54</t>
  </si>
  <si>
    <t>20251028 17:06:50</t>
  </si>
  <si>
    <t>17:06:50</t>
  </si>
  <si>
    <t>20251028 17:07:59</t>
  </si>
  <si>
    <t>17:07:59</t>
  </si>
  <si>
    <t>MPF-85-20251028-17_07_06</t>
  </si>
  <si>
    <t>DARK-86-20251028-17_07_13</t>
  </si>
  <si>
    <t>20251028 17:09:09</t>
  </si>
  <si>
    <t>17:09:09</t>
  </si>
  <si>
    <t>20251028 17:10:13</t>
  </si>
  <si>
    <t>17:10:13</t>
  </si>
  <si>
    <t>MPF-87-20251028-17_09_21</t>
  </si>
  <si>
    <t>DARK-88-20251028-17_09_27</t>
  </si>
  <si>
    <t>20251028 17:11:29</t>
  </si>
  <si>
    <t>17:11:29</t>
  </si>
  <si>
    <t>20251028 17:13:01</t>
  </si>
  <si>
    <t>17:13:01</t>
  </si>
  <si>
    <t>MPF-89-20251028-17_12_09</t>
  </si>
  <si>
    <t>DARK-90-20251028-17_12_15</t>
  </si>
  <si>
    <t>20251028 17:15:04</t>
  </si>
  <si>
    <t>17:15:04</t>
  </si>
  <si>
    <t>MPF-91-20251028-17_14_12</t>
  </si>
  <si>
    <t>20251028 17:37:35</t>
  </si>
  <si>
    <t>17:37:35</t>
  </si>
  <si>
    <t>gg_16</t>
  </si>
  <si>
    <t>MPF-92-20251028-17_36_43</t>
  </si>
  <si>
    <t>DARK-93-20251028-17_36_49</t>
  </si>
  <si>
    <t>20251028 17:38:45</t>
  </si>
  <si>
    <t>17:38:45</t>
  </si>
  <si>
    <t>20251028 17:39:46</t>
  </si>
  <si>
    <t>17:39:46</t>
  </si>
  <si>
    <t>MPF-94-20251028-17_38_54</t>
  </si>
  <si>
    <t>DARK-95-20251028-17_39_00</t>
  </si>
  <si>
    <t>20251028 17:40:56</t>
  </si>
  <si>
    <t>17:40:56</t>
  </si>
  <si>
    <t>20251028 17:41:59</t>
  </si>
  <si>
    <t>17:41:59</t>
  </si>
  <si>
    <t>MPF-96-20251028-17_41_07</t>
  </si>
  <si>
    <t>DARK-97-20251028-17_41_13</t>
  </si>
  <si>
    <t>20251028 17:43:21</t>
  </si>
  <si>
    <t>17:43:21</t>
  </si>
  <si>
    <t>20251028 17:45:22</t>
  </si>
  <si>
    <t>17:45:22</t>
  </si>
  <si>
    <t>MPF-98-20251028-17_44_30</t>
  </si>
  <si>
    <t>DARK-99-20251028-17_44_36</t>
  </si>
  <si>
    <t>20251028 17:47:22</t>
  </si>
  <si>
    <t>17:47:22</t>
  </si>
  <si>
    <t>MPF-100-20251028-17_46_30</t>
  </si>
  <si>
    <t>DARK-101-20251028-17_46_36</t>
  </si>
  <si>
    <t>20251028 17:49:32</t>
  </si>
  <si>
    <t>17:49:32</t>
  </si>
  <si>
    <t>MPF-102-20251028-17_48_40</t>
  </si>
  <si>
    <t>DARK-103-20251028-17_48_47</t>
  </si>
  <si>
    <t>20251028 17:51:33</t>
  </si>
  <si>
    <t>17:51:33</t>
  </si>
  <si>
    <t>MPF-104-20251028-17_50_41</t>
  </si>
  <si>
    <t>20251028 18:09:14</t>
  </si>
  <si>
    <t>18:09:14</t>
  </si>
  <si>
    <t>gg_30</t>
  </si>
  <si>
    <t>MPF-105-20251028-18_08_22</t>
  </si>
  <si>
    <t>DARK-106-20251028-18_08_29</t>
  </si>
  <si>
    <t>20251028 18:10:25</t>
  </si>
  <si>
    <t>18:10:25</t>
  </si>
  <si>
    <t>20251028 18:11:27</t>
  </si>
  <si>
    <t>18:11:27</t>
  </si>
  <si>
    <t>MPF-107-20251028-18_10_35</t>
  </si>
  <si>
    <t>DARK-108-20251028-18_10_42</t>
  </si>
  <si>
    <t>20251028 18:12:37</t>
  </si>
  <si>
    <t>18:12:37</t>
  </si>
  <si>
    <t>20251028 18:13:42</t>
  </si>
  <si>
    <t>18:13:42</t>
  </si>
  <si>
    <t>MPF-109-20251028-18_12_50</t>
  </si>
  <si>
    <t>DARK-110-20251028-18_12_57</t>
  </si>
  <si>
    <t>20251028 18:14:52</t>
  </si>
  <si>
    <t>18:14:52</t>
  </si>
  <si>
    <t>20251028 18:15:55</t>
  </si>
  <si>
    <t>18:15:55</t>
  </si>
  <si>
    <t>MPF-111-20251028-18_15_03</t>
  </si>
  <si>
    <t>DARK-112-20251028-18_15_10</t>
  </si>
  <si>
    <t>20251028 18:17:18</t>
  </si>
  <si>
    <t>18:17:18</t>
  </si>
  <si>
    <t>20251028 18:19:07</t>
  </si>
  <si>
    <t>18:19:07</t>
  </si>
  <si>
    <t>MPF-113-20251028-18_18_15</t>
  </si>
  <si>
    <t>DARK-114-20251028-18_18_21</t>
  </si>
  <si>
    <t>20251028 18:21:17</t>
  </si>
  <si>
    <t>18:21:17</t>
  </si>
  <si>
    <t>MPF-115-20251028-18_20_25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</si>
</sst>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116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33</v>
      </c>
    </row>
    <row r="3" spans="1:297">
      <c r="B3">
        <v>4</v>
      </c>
      <c r="C3">
        <v>21</v>
      </c>
    </row>
    <row r="4" spans="1:297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97">
      <c r="B5" t="s">
        <v>21</v>
      </c>
      <c r="C5" t="s">
        <v>37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</v>
      </c>
    </row>
    <row r="6" spans="1:297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97">
      <c r="B7">
        <v>0</v>
      </c>
      <c r="C7">
        <v>0</v>
      </c>
      <c r="D7">
        <v>0</v>
      </c>
      <c r="E7">
        <v>1</v>
      </c>
    </row>
    <row r="8" spans="1:297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97">
      <c r="B9" t="s">
        <v>53</v>
      </c>
      <c r="C9" t="s">
        <v>55</v>
      </c>
      <c r="D9">
        <v>0.76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0.1725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97">
      <c r="B11">
        <v>0</v>
      </c>
      <c r="C11">
        <v>0</v>
      </c>
      <c r="D11">
        <v>0</v>
      </c>
      <c r="E11">
        <v>0</v>
      </c>
      <c r="F11">
        <v>1</v>
      </c>
    </row>
    <row r="12" spans="1:297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82</v>
      </c>
      <c r="G13" t="s">
        <v>84</v>
      </c>
      <c r="H13">
        <v>0</v>
      </c>
    </row>
    <row r="14" spans="1:297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88</v>
      </c>
      <c r="AH14" t="s">
        <v>88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91</v>
      </c>
      <c r="AY14" t="s">
        <v>91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91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92</v>
      </c>
      <c r="CA14" t="s">
        <v>92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92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94</v>
      </c>
      <c r="DI14" t="s">
        <v>94</v>
      </c>
      <c r="DJ14" t="s">
        <v>94</v>
      </c>
      <c r="DK14" t="s">
        <v>94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104</v>
      </c>
      <c r="ID14" t="s">
        <v>104</v>
      </c>
      <c r="IE14" t="s">
        <v>104</v>
      </c>
      <c r="IF14" t="s">
        <v>104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105</v>
      </c>
      <c r="IW14" t="s">
        <v>105</v>
      </c>
      <c r="IX14" t="s">
        <v>105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107</v>
      </c>
      <c r="JW14" t="s">
        <v>107</v>
      </c>
      <c r="JX14" t="s">
        <v>107</v>
      </c>
      <c r="JY14" t="s">
        <v>107</v>
      </c>
      <c r="JZ14" t="s">
        <v>107</v>
      </c>
      <c r="KA14" t="s">
        <v>107</v>
      </c>
      <c r="KB14" t="s">
        <v>107</v>
      </c>
      <c r="KC14" t="s">
        <v>107</v>
      </c>
      <c r="KD14" t="s">
        <v>107</v>
      </c>
      <c r="KE14" t="s">
        <v>107</v>
      </c>
      <c r="KF14" t="s">
        <v>107</v>
      </c>
      <c r="KG14" t="s">
        <v>107</v>
      </c>
      <c r="KH14" t="s">
        <v>107</v>
      </c>
      <c r="KI14" t="s">
        <v>107</v>
      </c>
      <c r="KJ14" t="s">
        <v>107</v>
      </c>
      <c r="KK14" t="s">
        <v>107</v>
      </c>
    </row>
    <row r="15" spans="1:297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139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147</v>
      </c>
      <c r="AO15" t="s">
        <v>148</v>
      </c>
      <c r="AP15" t="s">
        <v>149</v>
      </c>
      <c r="AQ15" t="s">
        <v>150</v>
      </c>
      <c r="AR15" t="s">
        <v>151</v>
      </c>
      <c r="AS15" t="s">
        <v>90</v>
      </c>
      <c r="AT15" t="s">
        <v>152</v>
      </c>
      <c r="AU15" t="s">
        <v>153</v>
      </c>
      <c r="AV15" t="s">
        <v>154</v>
      </c>
      <c r="AW15" t="s">
        <v>155</v>
      </c>
      <c r="AX15" t="s">
        <v>156</v>
      </c>
      <c r="AY15" t="s">
        <v>157</v>
      </c>
      <c r="AZ15" t="s">
        <v>158</v>
      </c>
      <c r="BA15" t="s">
        <v>159</v>
      </c>
      <c r="BB15" t="s">
        <v>160</v>
      </c>
      <c r="BC15" t="s">
        <v>161</v>
      </c>
      <c r="BD15" t="s">
        <v>162</v>
      </c>
      <c r="BE15" t="s">
        <v>163</v>
      </c>
      <c r="BF15" t="s">
        <v>164</v>
      </c>
      <c r="BG15" t="s">
        <v>165</v>
      </c>
      <c r="BH15" t="s">
        <v>166</v>
      </c>
      <c r="BI15" t="s">
        <v>167</v>
      </c>
      <c r="BJ15" t="s">
        <v>168</v>
      </c>
      <c r="BK15" t="s">
        <v>169</v>
      </c>
      <c r="BL15" t="s">
        <v>170</v>
      </c>
      <c r="BM15" t="s">
        <v>171</v>
      </c>
      <c r="BN15" t="s">
        <v>172</v>
      </c>
      <c r="BO15" t="s">
        <v>173</v>
      </c>
      <c r="BP15" t="s">
        <v>174</v>
      </c>
      <c r="BQ15" t="s">
        <v>175</v>
      </c>
      <c r="BR15" t="s">
        <v>176</v>
      </c>
      <c r="BS15" t="s">
        <v>177</v>
      </c>
      <c r="BT15" t="s">
        <v>178</v>
      </c>
      <c r="BU15" t="s">
        <v>179</v>
      </c>
      <c r="BV15" t="s">
        <v>180</v>
      </c>
      <c r="BW15" t="s">
        <v>181</v>
      </c>
      <c r="BX15" t="s">
        <v>182</v>
      </c>
      <c r="BY15" t="s">
        <v>183</v>
      </c>
      <c r="BZ15" t="s">
        <v>184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184</v>
      </c>
      <c r="CV15" t="s">
        <v>205</v>
      </c>
      <c r="CW15" t="s">
        <v>206</v>
      </c>
      <c r="CX15" t="s">
        <v>207</v>
      </c>
      <c r="CY15" t="s">
        <v>158</v>
      </c>
      <c r="CZ15" t="s">
        <v>208</v>
      </c>
      <c r="DA15" t="s">
        <v>209</v>
      </c>
      <c r="DB15" t="s">
        <v>210</v>
      </c>
      <c r="DC15" t="s">
        <v>211</v>
      </c>
      <c r="DD15" t="s">
        <v>212</v>
      </c>
      <c r="DE15" t="s">
        <v>213</v>
      </c>
      <c r="DF15" t="s">
        <v>214</v>
      </c>
      <c r="DG15" t="s">
        <v>215</v>
      </c>
      <c r="DH15" t="s">
        <v>216</v>
      </c>
      <c r="DI15" t="s">
        <v>217</v>
      </c>
      <c r="DJ15" t="s">
        <v>218</v>
      </c>
      <c r="DK15" t="s">
        <v>219</v>
      </c>
      <c r="DL15" t="s">
        <v>220</v>
      </c>
      <c r="DM15" t="s">
        <v>221</v>
      </c>
      <c r="DN15" t="s">
        <v>222</v>
      </c>
      <c r="DO15" t="s">
        <v>223</v>
      </c>
      <c r="DP15" t="s">
        <v>224</v>
      </c>
      <c r="DQ15" t="s">
        <v>116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109</v>
      </c>
      <c r="FQ15" t="s">
        <v>112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  <c r="GD15" t="s">
        <v>287</v>
      </c>
      <c r="GE15" t="s">
        <v>288</v>
      </c>
      <c r="GF15" t="s">
        <v>289</v>
      </c>
      <c r="GG15" t="s">
        <v>290</v>
      </c>
      <c r="GH15" t="s">
        <v>291</v>
      </c>
      <c r="GI15" t="s">
        <v>292</v>
      </c>
      <c r="GJ15" t="s">
        <v>293</v>
      </c>
      <c r="GK15" t="s">
        <v>294</v>
      </c>
      <c r="GL15" t="s">
        <v>295</v>
      </c>
      <c r="GM15" t="s">
        <v>296</v>
      </c>
      <c r="GN15" t="s">
        <v>297</v>
      </c>
      <c r="GO15" t="s">
        <v>298</v>
      </c>
      <c r="GP15" t="s">
        <v>299</v>
      </c>
      <c r="GQ15" t="s">
        <v>300</v>
      </c>
      <c r="GR15" t="s">
        <v>301</v>
      </c>
      <c r="GS15" t="s">
        <v>302</v>
      </c>
      <c r="GT15" t="s">
        <v>303</v>
      </c>
      <c r="GU15" t="s">
        <v>304</v>
      </c>
      <c r="GV15" t="s">
        <v>305</v>
      </c>
      <c r="GW15" t="s">
        <v>306</v>
      </c>
      <c r="GX15" t="s">
        <v>307</v>
      </c>
      <c r="GY15" t="s">
        <v>308</v>
      </c>
      <c r="GZ15" t="s">
        <v>309</v>
      </c>
      <c r="HA15" t="s">
        <v>310</v>
      </c>
      <c r="HB15" t="s">
        <v>311</v>
      </c>
      <c r="HC15" t="s">
        <v>312</v>
      </c>
      <c r="HD15" t="s">
        <v>313</v>
      </c>
      <c r="HE15" t="s">
        <v>314</v>
      </c>
      <c r="HF15" t="s">
        <v>315</v>
      </c>
      <c r="HG15" t="s">
        <v>316</v>
      </c>
      <c r="HH15" t="s">
        <v>317</v>
      </c>
      <c r="HI15" t="s">
        <v>318</v>
      </c>
      <c r="HJ15" t="s">
        <v>319</v>
      </c>
      <c r="HK15" t="s">
        <v>320</v>
      </c>
      <c r="HL15" t="s">
        <v>321</v>
      </c>
      <c r="HM15" t="s">
        <v>322</v>
      </c>
      <c r="HN15" t="s">
        <v>323</v>
      </c>
      <c r="HO15" t="s">
        <v>324</v>
      </c>
      <c r="HP15" t="s">
        <v>325</v>
      </c>
      <c r="HQ15" t="s">
        <v>326</v>
      </c>
      <c r="HR15" t="s">
        <v>327</v>
      </c>
      <c r="HS15" t="s">
        <v>328</v>
      </c>
      <c r="HT15" t="s">
        <v>329</v>
      </c>
      <c r="HU15" t="s">
        <v>330</v>
      </c>
      <c r="HV15" t="s">
        <v>331</v>
      </c>
      <c r="HW15" t="s">
        <v>332</v>
      </c>
      <c r="HX15" t="s">
        <v>333</v>
      </c>
      <c r="HY15" t="s">
        <v>334</v>
      </c>
      <c r="HZ15" t="s">
        <v>335</v>
      </c>
      <c r="IA15" t="s">
        <v>336</v>
      </c>
      <c r="IB15" t="s">
        <v>337</v>
      </c>
      <c r="IC15" t="s">
        <v>338</v>
      </c>
      <c r="ID15" t="s">
        <v>339</v>
      </c>
      <c r="IE15" t="s">
        <v>340</v>
      </c>
      <c r="IF15" t="s">
        <v>341</v>
      </c>
      <c r="IG15" t="s">
        <v>342</v>
      </c>
      <c r="IH15" t="s">
        <v>343</v>
      </c>
      <c r="II15" t="s">
        <v>344</v>
      </c>
      <c r="IJ15" t="s">
        <v>345</v>
      </c>
      <c r="IK15" t="s">
        <v>346</v>
      </c>
      <c r="IL15" t="s">
        <v>347</v>
      </c>
      <c r="IM15" t="s">
        <v>348</v>
      </c>
      <c r="IN15" t="s">
        <v>349</v>
      </c>
      <c r="IO15" t="s">
        <v>350</v>
      </c>
      <c r="IP15" t="s">
        <v>351</v>
      </c>
      <c r="IQ15" t="s">
        <v>352</v>
      </c>
      <c r="IR15" t="s">
        <v>353</v>
      </c>
      <c r="IS15" t="s">
        <v>354</v>
      </c>
      <c r="IT15" t="s">
        <v>355</v>
      </c>
      <c r="IU15" t="s">
        <v>356</v>
      </c>
      <c r="IV15" t="s">
        <v>357</v>
      </c>
      <c r="IW15" t="s">
        <v>358</v>
      </c>
      <c r="IX15" t="s">
        <v>359</v>
      </c>
      <c r="IY15" t="s">
        <v>360</v>
      </c>
      <c r="IZ15" t="s">
        <v>361</v>
      </c>
      <c r="JA15" t="s">
        <v>362</v>
      </c>
      <c r="JB15" t="s">
        <v>363</v>
      </c>
      <c r="JC15" t="s">
        <v>364</v>
      </c>
      <c r="JD15" t="s">
        <v>365</v>
      </c>
      <c r="JE15" t="s">
        <v>366</v>
      </c>
      <c r="JF15" t="s">
        <v>367</v>
      </c>
      <c r="JG15" t="s">
        <v>368</v>
      </c>
      <c r="JH15" t="s">
        <v>369</v>
      </c>
      <c r="JI15" t="s">
        <v>370</v>
      </c>
      <c r="JJ15" t="s">
        <v>371</v>
      </c>
      <c r="JK15" t="s">
        <v>372</v>
      </c>
      <c r="JL15" t="s">
        <v>373</v>
      </c>
      <c r="JM15" t="s">
        <v>374</v>
      </c>
      <c r="JN15" t="s">
        <v>375</v>
      </c>
      <c r="JO15" t="s">
        <v>376</v>
      </c>
      <c r="JP15" t="s">
        <v>377</v>
      </c>
      <c r="JQ15" t="s">
        <v>378</v>
      </c>
      <c r="JR15" t="s">
        <v>379</v>
      </c>
      <c r="JS15" t="s">
        <v>380</v>
      </c>
      <c r="JT15" t="s">
        <v>381</v>
      </c>
      <c r="JU15" t="s">
        <v>382</v>
      </c>
      <c r="JV15" t="s">
        <v>383</v>
      </c>
      <c r="JW15" t="s">
        <v>384</v>
      </c>
      <c r="JX15" t="s">
        <v>385</v>
      </c>
      <c r="JY15" t="s">
        <v>386</v>
      </c>
      <c r="JZ15" t="s">
        <v>387</v>
      </c>
      <c r="KA15" t="s">
        <v>388</v>
      </c>
      <c r="KB15" t="s">
        <v>389</v>
      </c>
      <c r="KC15" t="s">
        <v>390</v>
      </c>
      <c r="KD15" t="s">
        <v>391</v>
      </c>
      <c r="KE15" t="s">
        <v>392</v>
      </c>
      <c r="KF15" t="s">
        <v>393</v>
      </c>
      <c r="KG15" t="s">
        <v>394</v>
      </c>
      <c r="KH15" t="s">
        <v>395</v>
      </c>
      <c r="KI15" t="s">
        <v>396</v>
      </c>
      <c r="KJ15" t="s">
        <v>397</v>
      </c>
      <c r="KK15" t="s">
        <v>398</v>
      </c>
    </row>
    <row r="16" spans="1:297">
      <c r="B16" t="s">
        <v>399</v>
      </c>
      <c r="C16" t="s">
        <v>399</v>
      </c>
      <c r="F16" t="s">
        <v>399</v>
      </c>
      <c r="I16" t="s">
        <v>399</v>
      </c>
      <c r="J16" t="s">
        <v>400</v>
      </c>
      <c r="K16" t="s">
        <v>401</v>
      </c>
      <c r="L16" t="s">
        <v>402</v>
      </c>
      <c r="M16" t="s">
        <v>403</v>
      </c>
      <c r="N16" t="s">
        <v>403</v>
      </c>
      <c r="O16" t="s">
        <v>232</v>
      </c>
      <c r="P16" t="s">
        <v>232</v>
      </c>
      <c r="Q16" t="s">
        <v>400</v>
      </c>
      <c r="R16" t="s">
        <v>400</v>
      </c>
      <c r="S16" t="s">
        <v>400</v>
      </c>
      <c r="T16" t="s">
        <v>400</v>
      </c>
      <c r="U16" t="s">
        <v>404</v>
      </c>
      <c r="V16" t="s">
        <v>405</v>
      </c>
      <c r="W16" t="s">
        <v>405</v>
      </c>
      <c r="X16" t="s">
        <v>406</v>
      </c>
      <c r="Y16" t="s">
        <v>407</v>
      </c>
      <c r="Z16" t="s">
        <v>406</v>
      </c>
      <c r="AA16" t="s">
        <v>406</v>
      </c>
      <c r="AB16" t="s">
        <v>406</v>
      </c>
      <c r="AC16" t="s">
        <v>404</v>
      </c>
      <c r="AD16" t="s">
        <v>404</v>
      </c>
      <c r="AE16" t="s">
        <v>404</v>
      </c>
      <c r="AF16" t="s">
        <v>404</v>
      </c>
      <c r="AG16" t="s">
        <v>402</v>
      </c>
      <c r="AH16" t="s">
        <v>401</v>
      </c>
      <c r="AI16" t="s">
        <v>402</v>
      </c>
      <c r="AJ16" t="s">
        <v>403</v>
      </c>
      <c r="AK16" t="s">
        <v>403</v>
      </c>
      <c r="AL16" t="s">
        <v>408</v>
      </c>
      <c r="AM16" t="s">
        <v>409</v>
      </c>
      <c r="AN16" t="s">
        <v>401</v>
      </c>
      <c r="AO16" t="s">
        <v>410</v>
      </c>
      <c r="AP16" t="s">
        <v>410</v>
      </c>
      <c r="AQ16" t="s">
        <v>411</v>
      </c>
      <c r="AR16" t="s">
        <v>409</v>
      </c>
      <c r="AS16" t="s">
        <v>412</v>
      </c>
      <c r="AT16" t="s">
        <v>407</v>
      </c>
      <c r="AV16" t="s">
        <v>407</v>
      </c>
      <c r="AW16" t="s">
        <v>412</v>
      </c>
      <c r="BC16" t="s">
        <v>402</v>
      </c>
      <c r="BJ16" t="s">
        <v>402</v>
      </c>
      <c r="BK16" t="s">
        <v>402</v>
      </c>
      <c r="BL16" t="s">
        <v>402</v>
      </c>
      <c r="BM16" t="s">
        <v>413</v>
      </c>
      <c r="CA16" t="s">
        <v>414</v>
      </c>
      <c r="CC16" t="s">
        <v>414</v>
      </c>
      <c r="CD16" t="s">
        <v>402</v>
      </c>
      <c r="CG16" t="s">
        <v>414</v>
      </c>
      <c r="CH16" t="s">
        <v>407</v>
      </c>
      <c r="CK16" t="s">
        <v>415</v>
      </c>
      <c r="CL16" t="s">
        <v>415</v>
      </c>
      <c r="CN16" t="s">
        <v>416</v>
      </c>
      <c r="CO16" t="s">
        <v>414</v>
      </c>
      <c r="CQ16" t="s">
        <v>414</v>
      </c>
      <c r="CR16" t="s">
        <v>402</v>
      </c>
      <c r="CV16" t="s">
        <v>414</v>
      </c>
      <c r="CX16" t="s">
        <v>417</v>
      </c>
      <c r="DA16" t="s">
        <v>414</v>
      </c>
      <c r="DB16" t="s">
        <v>414</v>
      </c>
      <c r="DD16" t="s">
        <v>414</v>
      </c>
      <c r="DF16" t="s">
        <v>414</v>
      </c>
      <c r="DH16" t="s">
        <v>402</v>
      </c>
      <c r="DI16" t="s">
        <v>402</v>
      </c>
      <c r="DK16" t="s">
        <v>418</v>
      </c>
      <c r="DL16" t="s">
        <v>419</v>
      </c>
      <c r="DO16" t="s">
        <v>400</v>
      </c>
      <c r="DQ16" t="s">
        <v>399</v>
      </c>
      <c r="DR16" t="s">
        <v>403</v>
      </c>
      <c r="DS16" t="s">
        <v>403</v>
      </c>
      <c r="DT16" t="s">
        <v>410</v>
      </c>
      <c r="DU16" t="s">
        <v>410</v>
      </c>
      <c r="DV16" t="s">
        <v>403</v>
      </c>
      <c r="DW16" t="s">
        <v>410</v>
      </c>
      <c r="DX16" t="s">
        <v>412</v>
      </c>
      <c r="DY16" t="s">
        <v>406</v>
      </c>
      <c r="DZ16" t="s">
        <v>406</v>
      </c>
      <c r="EA16" t="s">
        <v>405</v>
      </c>
      <c r="EB16" t="s">
        <v>405</v>
      </c>
      <c r="EC16" t="s">
        <v>405</v>
      </c>
      <c r="ED16" t="s">
        <v>405</v>
      </c>
      <c r="EE16" t="s">
        <v>405</v>
      </c>
      <c r="EF16" t="s">
        <v>420</v>
      </c>
      <c r="EG16" t="s">
        <v>402</v>
      </c>
      <c r="EH16" t="s">
        <v>402</v>
      </c>
      <c r="EI16" t="s">
        <v>403</v>
      </c>
      <c r="EJ16" t="s">
        <v>403</v>
      </c>
      <c r="EK16" t="s">
        <v>403</v>
      </c>
      <c r="EL16" t="s">
        <v>410</v>
      </c>
      <c r="EM16" t="s">
        <v>403</v>
      </c>
      <c r="EN16" t="s">
        <v>410</v>
      </c>
      <c r="EO16" t="s">
        <v>406</v>
      </c>
      <c r="EP16" t="s">
        <v>406</v>
      </c>
      <c r="EQ16" t="s">
        <v>405</v>
      </c>
      <c r="ER16" t="s">
        <v>405</v>
      </c>
      <c r="ES16" t="s">
        <v>402</v>
      </c>
      <c r="EX16" t="s">
        <v>402</v>
      </c>
      <c r="FA16" t="s">
        <v>405</v>
      </c>
      <c r="FB16" t="s">
        <v>405</v>
      </c>
      <c r="FC16" t="s">
        <v>405</v>
      </c>
      <c r="FD16" t="s">
        <v>405</v>
      </c>
      <c r="FE16" t="s">
        <v>405</v>
      </c>
      <c r="FF16" t="s">
        <v>402</v>
      </c>
      <c r="FG16" t="s">
        <v>402</v>
      </c>
      <c r="FH16" t="s">
        <v>402</v>
      </c>
      <c r="FI16" t="s">
        <v>399</v>
      </c>
      <c r="FL16" t="s">
        <v>421</v>
      </c>
      <c r="FM16" t="s">
        <v>421</v>
      </c>
      <c r="FO16" t="s">
        <v>399</v>
      </c>
      <c r="FP16" t="s">
        <v>422</v>
      </c>
      <c r="FR16" t="s">
        <v>399</v>
      </c>
      <c r="FS16" t="s">
        <v>399</v>
      </c>
      <c r="FU16" t="s">
        <v>423</v>
      </c>
      <c r="FV16" t="s">
        <v>424</v>
      </c>
      <c r="FW16" t="s">
        <v>423</v>
      </c>
      <c r="FX16" t="s">
        <v>424</v>
      </c>
      <c r="FY16" t="s">
        <v>423</v>
      </c>
      <c r="FZ16" t="s">
        <v>424</v>
      </c>
      <c r="GA16" t="s">
        <v>407</v>
      </c>
      <c r="GB16" t="s">
        <v>407</v>
      </c>
      <c r="GC16" t="s">
        <v>403</v>
      </c>
      <c r="GD16" t="s">
        <v>425</v>
      </c>
      <c r="GE16" t="s">
        <v>403</v>
      </c>
      <c r="GH16" t="s">
        <v>426</v>
      </c>
      <c r="GK16" t="s">
        <v>410</v>
      </c>
      <c r="GL16" t="s">
        <v>427</v>
      </c>
      <c r="GM16" t="s">
        <v>410</v>
      </c>
      <c r="GR16" t="s">
        <v>428</v>
      </c>
      <c r="GS16" t="s">
        <v>428</v>
      </c>
      <c r="HF16" t="s">
        <v>428</v>
      </c>
      <c r="HG16" t="s">
        <v>428</v>
      </c>
      <c r="HH16" t="s">
        <v>429</v>
      </c>
      <c r="HI16" t="s">
        <v>429</v>
      </c>
      <c r="HJ16" t="s">
        <v>405</v>
      </c>
      <c r="HK16" t="s">
        <v>405</v>
      </c>
      <c r="HL16" t="s">
        <v>407</v>
      </c>
      <c r="HM16" t="s">
        <v>405</v>
      </c>
      <c r="HN16" t="s">
        <v>410</v>
      </c>
      <c r="HO16" t="s">
        <v>407</v>
      </c>
      <c r="HP16" t="s">
        <v>407</v>
      </c>
      <c r="HR16" t="s">
        <v>428</v>
      </c>
      <c r="HS16" t="s">
        <v>428</v>
      </c>
      <c r="HT16" t="s">
        <v>428</v>
      </c>
      <c r="HU16" t="s">
        <v>428</v>
      </c>
      <c r="HV16" t="s">
        <v>428</v>
      </c>
      <c r="HW16" t="s">
        <v>428</v>
      </c>
      <c r="HX16" t="s">
        <v>428</v>
      </c>
      <c r="HY16" t="s">
        <v>430</v>
      </c>
      <c r="HZ16" t="s">
        <v>430</v>
      </c>
      <c r="IA16" t="s">
        <v>430</v>
      </c>
      <c r="IB16" t="s">
        <v>431</v>
      </c>
      <c r="IC16" t="s">
        <v>428</v>
      </c>
      <c r="ID16" t="s">
        <v>428</v>
      </c>
      <c r="IE16" t="s">
        <v>428</v>
      </c>
      <c r="IF16" t="s">
        <v>428</v>
      </c>
      <c r="IG16" t="s">
        <v>428</v>
      </c>
      <c r="IH16" t="s">
        <v>428</v>
      </c>
      <c r="II16" t="s">
        <v>428</v>
      </c>
      <c r="IJ16" t="s">
        <v>428</v>
      </c>
      <c r="IK16" t="s">
        <v>428</v>
      </c>
      <c r="IL16" t="s">
        <v>428</v>
      </c>
      <c r="IM16" t="s">
        <v>428</v>
      </c>
      <c r="IN16" t="s">
        <v>428</v>
      </c>
      <c r="IU16" t="s">
        <v>428</v>
      </c>
      <c r="IV16" t="s">
        <v>407</v>
      </c>
      <c r="IW16" t="s">
        <v>407</v>
      </c>
      <c r="IX16" t="s">
        <v>423</v>
      </c>
      <c r="IY16" t="s">
        <v>424</v>
      </c>
      <c r="IZ16" t="s">
        <v>423</v>
      </c>
      <c r="JD16" t="s">
        <v>424</v>
      </c>
      <c r="JH16" t="s">
        <v>403</v>
      </c>
      <c r="JI16" t="s">
        <v>403</v>
      </c>
      <c r="JJ16" t="s">
        <v>410</v>
      </c>
      <c r="JK16" t="s">
        <v>410</v>
      </c>
      <c r="JL16" t="s">
        <v>432</v>
      </c>
      <c r="JM16" t="s">
        <v>432</v>
      </c>
      <c r="JN16" t="s">
        <v>428</v>
      </c>
      <c r="JO16" t="s">
        <v>428</v>
      </c>
      <c r="JP16" t="s">
        <v>428</v>
      </c>
      <c r="JQ16" t="s">
        <v>428</v>
      </c>
      <c r="JR16" t="s">
        <v>428</v>
      </c>
      <c r="JS16" t="s">
        <v>428</v>
      </c>
      <c r="JT16" t="s">
        <v>405</v>
      </c>
      <c r="JU16" t="s">
        <v>428</v>
      </c>
      <c r="JW16" t="s">
        <v>412</v>
      </c>
      <c r="JX16" t="s">
        <v>412</v>
      </c>
      <c r="JY16" t="s">
        <v>405</v>
      </c>
      <c r="JZ16" t="s">
        <v>405</v>
      </c>
      <c r="KA16" t="s">
        <v>405</v>
      </c>
      <c r="KB16" t="s">
        <v>405</v>
      </c>
      <c r="KC16" t="s">
        <v>405</v>
      </c>
      <c r="KD16" t="s">
        <v>407</v>
      </c>
      <c r="KE16" t="s">
        <v>407</v>
      </c>
      <c r="KF16" t="s">
        <v>407</v>
      </c>
      <c r="KG16" t="s">
        <v>405</v>
      </c>
      <c r="KH16" t="s">
        <v>403</v>
      </c>
      <c r="KI16" t="s">
        <v>410</v>
      </c>
      <c r="KJ16" t="s">
        <v>407</v>
      </c>
      <c r="KK16" t="s">
        <v>407</v>
      </c>
    </row>
    <row r="17" spans="1:297">
      <c r="A17">
        <v>1</v>
      </c>
      <c r="B17">
        <v>1761677349.1</v>
      </c>
      <c r="C17">
        <v>0</v>
      </c>
      <c r="D17" t="s">
        <v>433</v>
      </c>
      <c r="E17" t="s">
        <v>434</v>
      </c>
      <c r="F17">
        <v>5</v>
      </c>
      <c r="G17" t="s">
        <v>435</v>
      </c>
      <c r="H17" t="s">
        <v>436</v>
      </c>
      <c r="I17">
        <v>1761677340.6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421.804401888282</v>
      </c>
      <c r="AK17">
        <v>415.450733333333</v>
      </c>
      <c r="AL17">
        <v>1.85235931426826e-05</v>
      </c>
      <c r="AM17">
        <v>64.013581017493</v>
      </c>
      <c r="AN17">
        <f>(AP17 - AO17 + DY17*1E3/(8.314*(EA17+273.15)) * AR17/DX17 * AQ17) * DX17/(100*DL17) * 1000/(1000 - AP17)</f>
        <v>0</v>
      </c>
      <c r="AO17">
        <v>4.23716965585721</v>
      </c>
      <c r="AP17">
        <v>6.2112890909091</v>
      </c>
      <c r="AQ17">
        <v>-2.21361977734108e-06</v>
      </c>
      <c r="AR17">
        <v>106.10340464483</v>
      </c>
      <c r="AS17">
        <v>0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437</v>
      </c>
      <c r="AY17">
        <v>5115.2</v>
      </c>
      <c r="AZ17">
        <v>732.504</v>
      </c>
      <c r="BA17">
        <v>1728.22675254666</v>
      </c>
      <c r="BB17">
        <f>1-AZ17/BA17</f>
        <v>0</v>
      </c>
      <c r="BC17">
        <v>-0.350174750577109</v>
      </c>
      <c r="BD17" t="s">
        <v>438</v>
      </c>
      <c r="BE17">
        <v>5147.33</v>
      </c>
      <c r="BF17">
        <v>1504.79230769231</v>
      </c>
      <c r="BG17">
        <v>1579.54248463303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439</v>
      </c>
      <c r="BQ17">
        <v>876.67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BZ17">
        <v>1</v>
      </c>
      <c r="CA17">
        <v>290</v>
      </c>
      <c r="CB17">
        <v>1545.1</v>
      </c>
      <c r="CC17">
        <v>115</v>
      </c>
      <c r="CD17">
        <v>5147.33</v>
      </c>
      <c r="CE17">
        <v>1543.54</v>
      </c>
      <c r="CF17">
        <v>1.56</v>
      </c>
      <c r="CG17">
        <v>300</v>
      </c>
      <c r="CH17">
        <v>23.6</v>
      </c>
      <c r="CI17">
        <v>1579.54248463303</v>
      </c>
      <c r="CJ17">
        <v>2.60724561923572</v>
      </c>
      <c r="CK17">
        <v>-18.5291429467243</v>
      </c>
      <c r="CL17">
        <v>1.23644981414981</v>
      </c>
      <c r="CM17">
        <v>0.889140991973656</v>
      </c>
      <c r="CN17">
        <v>-0.00256879755283649</v>
      </c>
      <c r="CO17">
        <v>290</v>
      </c>
      <c r="CP17">
        <v>1541.93</v>
      </c>
      <c r="CQ17">
        <v>675</v>
      </c>
      <c r="CR17">
        <v>5144.64</v>
      </c>
      <c r="CS17">
        <v>1543.53</v>
      </c>
      <c r="CT17">
        <v>-1.6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440</v>
      </c>
      <c r="DO17">
        <v>2</v>
      </c>
      <c r="DP17" t="b">
        <v>1</v>
      </c>
      <c r="DQ17">
        <v>1761677340.6</v>
      </c>
      <c r="DR17">
        <v>412.876</v>
      </c>
      <c r="DS17">
        <v>419.9886875</v>
      </c>
      <c r="DT17">
        <v>6.2134425</v>
      </c>
      <c r="DU17">
        <v>4.242293125</v>
      </c>
      <c r="DV17">
        <v>409.9880625</v>
      </c>
      <c r="DW17">
        <v>6.347501875</v>
      </c>
      <c r="DX17">
        <v>499.9955625</v>
      </c>
      <c r="DY17">
        <v>90.854125</v>
      </c>
      <c r="DZ17">
        <v>0.02153610625</v>
      </c>
      <c r="EA17">
        <v>18.2875</v>
      </c>
      <c r="EB17">
        <v>18.62486875</v>
      </c>
      <c r="EC17">
        <v>999.9</v>
      </c>
      <c r="ED17">
        <v>0</v>
      </c>
      <c r="EE17">
        <v>0</v>
      </c>
      <c r="EF17">
        <v>9999.44125</v>
      </c>
      <c r="EG17">
        <v>0</v>
      </c>
      <c r="EH17">
        <v>1266.2225</v>
      </c>
      <c r="EI17">
        <v>-7.11290875</v>
      </c>
      <c r="EJ17">
        <v>415.457375</v>
      </c>
      <c r="EK17">
        <v>421.7781875</v>
      </c>
      <c r="EL17">
        <v>1.971149375</v>
      </c>
      <c r="EM17">
        <v>419.9886875</v>
      </c>
      <c r="EN17">
        <v>4.242293125</v>
      </c>
      <c r="EO17">
        <v>0.5645168125</v>
      </c>
      <c r="EP17">
        <v>0.385429875</v>
      </c>
      <c r="EQ17">
        <v>-1.143561875</v>
      </c>
      <c r="ER17">
        <v>-6.237365625</v>
      </c>
      <c r="ES17">
        <v>1999.996875</v>
      </c>
      <c r="ET17">
        <v>0.9799968125</v>
      </c>
      <c r="EU17">
        <v>0.0200029</v>
      </c>
      <c r="EV17">
        <v>0</v>
      </c>
      <c r="EW17">
        <v>1504.95625</v>
      </c>
      <c r="EX17">
        <v>5.00059</v>
      </c>
      <c r="EY17">
        <v>29979.25</v>
      </c>
      <c r="EZ17">
        <v>17360.28125</v>
      </c>
      <c r="FA17">
        <v>38.503875</v>
      </c>
      <c r="FB17">
        <v>39.375</v>
      </c>
      <c r="FC17">
        <v>38.27325</v>
      </c>
      <c r="FD17">
        <v>38.562</v>
      </c>
      <c r="FE17">
        <v>38.944875</v>
      </c>
      <c r="FF17">
        <v>1955.086875</v>
      </c>
      <c r="FG17">
        <v>39.91</v>
      </c>
      <c r="FH17">
        <v>0</v>
      </c>
      <c r="FI17">
        <v>1761677304.1</v>
      </c>
      <c r="FJ17">
        <v>0</v>
      </c>
      <c r="FK17">
        <v>1504.79230769231</v>
      </c>
      <c r="FL17">
        <v>-7.69777776694313</v>
      </c>
      <c r="FM17">
        <v>-154.738461605424</v>
      </c>
      <c r="FN17">
        <v>29976.3884615385</v>
      </c>
      <c r="FO17">
        <v>15</v>
      </c>
      <c r="FP17">
        <v>0</v>
      </c>
      <c r="FQ17" t="s">
        <v>441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-7.1196685</v>
      </c>
      <c r="GD17">
        <v>0.045538195488729</v>
      </c>
      <c r="GE17">
        <v>0.050380480572837</v>
      </c>
      <c r="GF17">
        <v>1</v>
      </c>
      <c r="GG17">
        <v>1505.26852941176</v>
      </c>
      <c r="GH17">
        <v>-7.78655461108714</v>
      </c>
      <c r="GI17">
        <v>0.814884085416071</v>
      </c>
      <c r="GJ17">
        <v>-1</v>
      </c>
      <c r="GK17">
        <v>1.9694645</v>
      </c>
      <c r="GL17">
        <v>0.0536530827067675</v>
      </c>
      <c r="GM17">
        <v>0.00532546098943558</v>
      </c>
      <c r="GN17">
        <v>1</v>
      </c>
      <c r="GO17">
        <v>2</v>
      </c>
      <c r="GP17">
        <v>2</v>
      </c>
      <c r="GQ17" t="s">
        <v>442</v>
      </c>
      <c r="GR17">
        <v>3.12839</v>
      </c>
      <c r="GS17">
        <v>2.69947</v>
      </c>
      <c r="GT17">
        <v>0.0886132</v>
      </c>
      <c r="GU17">
        <v>0.0903943</v>
      </c>
      <c r="GV17">
        <v>0.0368828</v>
      </c>
      <c r="GW17">
        <v>0.0265767</v>
      </c>
      <c r="GX17">
        <v>34329.9</v>
      </c>
      <c r="GY17">
        <v>36733.7</v>
      </c>
      <c r="GZ17">
        <v>34077</v>
      </c>
      <c r="HA17">
        <v>36561.8</v>
      </c>
      <c r="HB17">
        <v>46346.9</v>
      </c>
      <c r="HC17">
        <v>51050.1</v>
      </c>
      <c r="HD17">
        <v>53091.8</v>
      </c>
      <c r="HE17">
        <v>58337.8</v>
      </c>
      <c r="HF17">
        <v>1.9624</v>
      </c>
      <c r="HG17">
        <v>2.34632</v>
      </c>
      <c r="HH17">
        <v>0.005465</v>
      </c>
      <c r="HI17">
        <v>0</v>
      </c>
      <c r="HJ17">
        <v>18.5158</v>
      </c>
      <c r="HK17">
        <v>999.9</v>
      </c>
      <c r="HL17">
        <v>27.616</v>
      </c>
      <c r="HM17">
        <v>27.744</v>
      </c>
      <c r="HN17">
        <v>11.364</v>
      </c>
      <c r="HO17">
        <v>56.234</v>
      </c>
      <c r="HP17">
        <v>32.8045</v>
      </c>
      <c r="HQ17">
        <v>2</v>
      </c>
      <c r="HR17">
        <v>0.0263897</v>
      </c>
      <c r="HS17">
        <v>9.28105</v>
      </c>
      <c r="HT17">
        <v>19.8933</v>
      </c>
      <c r="HU17">
        <v>5.20127</v>
      </c>
      <c r="HV17">
        <v>12.0099</v>
      </c>
      <c r="HW17">
        <v>4.97565</v>
      </c>
      <c r="HX17">
        <v>3.29395</v>
      </c>
      <c r="HY17">
        <v>9999</v>
      </c>
      <c r="HZ17">
        <v>9999</v>
      </c>
      <c r="IA17">
        <v>9999</v>
      </c>
      <c r="IB17">
        <v>999.9</v>
      </c>
      <c r="IC17">
        <v>1.86315</v>
      </c>
      <c r="ID17">
        <v>1.86803</v>
      </c>
      <c r="IE17">
        <v>1.86783</v>
      </c>
      <c r="IF17">
        <v>1.86899</v>
      </c>
      <c r="IG17">
        <v>1.86981</v>
      </c>
      <c r="IH17">
        <v>1.86584</v>
      </c>
      <c r="II17">
        <v>1.86694</v>
      </c>
      <c r="IJ17">
        <v>1.8684</v>
      </c>
      <c r="IK17">
        <v>5</v>
      </c>
      <c r="IL17">
        <v>0</v>
      </c>
      <c r="IM17">
        <v>0</v>
      </c>
      <c r="IN17">
        <v>0</v>
      </c>
      <c r="IO17" t="s">
        <v>443</v>
      </c>
      <c r="IP17" t="s">
        <v>444</v>
      </c>
      <c r="IQ17" t="s">
        <v>445</v>
      </c>
      <c r="IR17" t="s">
        <v>445</v>
      </c>
      <c r="IS17" t="s">
        <v>445</v>
      </c>
      <c r="IT17" t="s">
        <v>445</v>
      </c>
      <c r="IU17">
        <v>0</v>
      </c>
      <c r="IV17">
        <v>100</v>
      </c>
      <c r="IW17">
        <v>100</v>
      </c>
      <c r="IX17">
        <v>2.888</v>
      </c>
      <c r="IY17">
        <v>-0.1341</v>
      </c>
      <c r="IZ17">
        <v>1.24656194001752</v>
      </c>
      <c r="JA17">
        <v>0.00408463137630218</v>
      </c>
      <c r="JB17">
        <v>-2.23906557180379e-07</v>
      </c>
      <c r="JC17">
        <v>6.23399102760906e-11</v>
      </c>
      <c r="JD17">
        <v>-0.0873394905990972</v>
      </c>
      <c r="JE17">
        <v>-0.0233348201324191</v>
      </c>
      <c r="JF17">
        <v>0.00274696999164489</v>
      </c>
      <c r="JG17">
        <v>-3.62864435074646e-05</v>
      </c>
      <c r="JH17">
        <v>5</v>
      </c>
      <c r="JI17">
        <v>2263</v>
      </c>
      <c r="JJ17">
        <v>1</v>
      </c>
      <c r="JK17">
        <v>24</v>
      </c>
      <c r="JL17">
        <v>29361289.2</v>
      </c>
      <c r="JM17">
        <v>29361289.2</v>
      </c>
      <c r="JN17">
        <v>1.24512</v>
      </c>
      <c r="JO17">
        <v>2.6001</v>
      </c>
      <c r="JP17">
        <v>2.19849</v>
      </c>
      <c r="JQ17">
        <v>2.63428</v>
      </c>
      <c r="JR17">
        <v>2.44507</v>
      </c>
      <c r="JS17">
        <v>2.32178</v>
      </c>
      <c r="JT17">
        <v>31.9585</v>
      </c>
      <c r="JU17">
        <v>24.0963</v>
      </c>
      <c r="JV17">
        <v>18</v>
      </c>
      <c r="JW17">
        <v>500.894</v>
      </c>
      <c r="JX17">
        <v>793.021</v>
      </c>
      <c r="JY17">
        <v>8.55619</v>
      </c>
      <c r="JZ17">
        <v>27.4034</v>
      </c>
      <c r="KA17">
        <v>30.0003</v>
      </c>
      <c r="KB17">
        <v>27.1858</v>
      </c>
      <c r="KC17">
        <v>27.0816</v>
      </c>
      <c r="KD17">
        <v>24.9318</v>
      </c>
      <c r="KE17">
        <v>46.8705</v>
      </c>
      <c r="KF17">
        <v>5.98893</v>
      </c>
      <c r="KG17">
        <v>-0.600523</v>
      </c>
      <c r="KH17">
        <v>420</v>
      </c>
      <c r="KI17">
        <v>4.14409</v>
      </c>
      <c r="KJ17">
        <v>96.5582</v>
      </c>
      <c r="KK17">
        <v>94.58</v>
      </c>
    </row>
    <row r="18" spans="1:297">
      <c r="A18">
        <v>2</v>
      </c>
      <c r="B18">
        <v>1761677419.1</v>
      </c>
      <c r="C18">
        <v>70</v>
      </c>
      <c r="D18" t="s">
        <v>446</v>
      </c>
      <c r="E18" t="s">
        <v>447</v>
      </c>
      <c r="F18">
        <v>5</v>
      </c>
      <c r="G18" t="s">
        <v>435</v>
      </c>
      <c r="H18" t="s">
        <v>436</v>
      </c>
      <c r="I18">
        <v>1761677410.6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421.701037268761</v>
      </c>
      <c r="AK18">
        <v>415.570903030303</v>
      </c>
      <c r="AL18">
        <v>-0.000542771413285588</v>
      </c>
      <c r="AM18">
        <v>64.013581017493</v>
      </c>
      <c r="AN18">
        <f>(AP18 - AO18 + DY18*1E3/(8.314*(EA18+273.15)) * AR18/DX18 * AQ18) * DX18/(100*DL18) * 1000/(1000 - AP18)</f>
        <v>0</v>
      </c>
      <c r="AO18">
        <v>4.09741811309484</v>
      </c>
      <c r="AP18">
        <v>6.09702734265734</v>
      </c>
      <c r="AQ18">
        <v>-2.95936434350689e-05</v>
      </c>
      <c r="AR18">
        <v>106.10340464483</v>
      </c>
      <c r="AS18">
        <v>0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448</v>
      </c>
      <c r="AY18" t="s">
        <v>448</v>
      </c>
      <c r="AZ18">
        <v>0</v>
      </c>
      <c r="BA18">
        <v>0</v>
      </c>
      <c r="BB18">
        <f>1-AZ18/BA18</f>
        <v>0</v>
      </c>
      <c r="BC18">
        <v>0</v>
      </c>
      <c r="BD18" t="s">
        <v>448</v>
      </c>
      <c r="BE18" t="s">
        <v>448</v>
      </c>
      <c r="BF18">
        <v>0</v>
      </c>
      <c r="BG18">
        <v>0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448</v>
      </c>
      <c r="BQ18">
        <v>0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BZ18">
        <v>1</v>
      </c>
      <c r="CA18">
        <v>290</v>
      </c>
      <c r="CB18">
        <v>1545.1</v>
      </c>
      <c r="CC18">
        <v>115</v>
      </c>
      <c r="CD18">
        <v>5147.33</v>
      </c>
      <c r="CE18">
        <v>1543.54</v>
      </c>
      <c r="CF18">
        <v>1.56</v>
      </c>
      <c r="CG18">
        <v>300</v>
      </c>
      <c r="CH18">
        <v>23.6</v>
      </c>
      <c r="CI18">
        <v>1579.54248463303</v>
      </c>
      <c r="CJ18">
        <v>2.60724561923572</v>
      </c>
      <c r="CK18">
        <v>-18.5291429467243</v>
      </c>
      <c r="CL18">
        <v>1.23644981414981</v>
      </c>
      <c r="CM18">
        <v>0.889140991973656</v>
      </c>
      <c r="CN18">
        <v>-0.00256879755283649</v>
      </c>
      <c r="CO18">
        <v>290</v>
      </c>
      <c r="CP18">
        <v>1541.93</v>
      </c>
      <c r="CQ18">
        <v>675</v>
      </c>
      <c r="CR18">
        <v>5144.64</v>
      </c>
      <c r="CS18">
        <v>1543.53</v>
      </c>
      <c r="CT18">
        <v>-1.6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440</v>
      </c>
      <c r="DO18">
        <v>2</v>
      </c>
      <c r="DP18" t="b">
        <v>1</v>
      </c>
      <c r="DQ18">
        <v>1761677410.6</v>
      </c>
      <c r="DR18">
        <v>413.065125</v>
      </c>
      <c r="DS18">
        <v>419.9875</v>
      </c>
      <c r="DT18">
        <v>6.099916875</v>
      </c>
      <c r="DU18">
        <v>4.101626875</v>
      </c>
      <c r="DV18">
        <v>410.1766875</v>
      </c>
      <c r="DW18">
        <v>6.234755625</v>
      </c>
      <c r="DX18">
        <v>499.9905625</v>
      </c>
      <c r="DY18">
        <v>90.8569375</v>
      </c>
      <c r="DZ18">
        <v>0.02154660625</v>
      </c>
      <c r="EA18">
        <v>18.0482375</v>
      </c>
      <c r="EB18">
        <v>18.2441875</v>
      </c>
      <c r="EC18">
        <v>999.9</v>
      </c>
      <c r="ED18">
        <v>0</v>
      </c>
      <c r="EE18">
        <v>0</v>
      </c>
      <c r="EF18">
        <v>9994.766875</v>
      </c>
      <c r="EG18">
        <v>0</v>
      </c>
      <c r="EH18">
        <v>1266.110625</v>
      </c>
      <c r="EI18">
        <v>-6.92231625</v>
      </c>
      <c r="EJ18">
        <v>415.6003125</v>
      </c>
      <c r="EK18">
        <v>421.717</v>
      </c>
      <c r="EL18">
        <v>1.9982875</v>
      </c>
      <c r="EM18">
        <v>419.9875</v>
      </c>
      <c r="EN18">
        <v>4.101626875</v>
      </c>
      <c r="EO18">
        <v>0.55421975</v>
      </c>
      <c r="EP18">
        <v>0.372661375</v>
      </c>
      <c r="EQ18">
        <v>-1.394358125</v>
      </c>
      <c r="ER18">
        <v>-6.6766775</v>
      </c>
      <c r="ES18">
        <v>1799.998125</v>
      </c>
      <c r="ET18">
        <v>0.9780015</v>
      </c>
      <c r="EU18">
        <v>0.02199878125</v>
      </c>
      <c r="EV18">
        <v>0</v>
      </c>
      <c r="EW18">
        <v>1497.823125</v>
      </c>
      <c r="EX18">
        <v>5.00059</v>
      </c>
      <c r="EY18">
        <v>26820.625</v>
      </c>
      <c r="EZ18">
        <v>15610.66875</v>
      </c>
      <c r="FA18">
        <v>38.312</v>
      </c>
      <c r="FB18">
        <v>39.3474375</v>
      </c>
      <c r="FC18">
        <v>38.187</v>
      </c>
      <c r="FD18">
        <v>38.5</v>
      </c>
      <c r="FE18">
        <v>38.812</v>
      </c>
      <c r="FF18">
        <v>1755.508125</v>
      </c>
      <c r="FG18">
        <v>39.49</v>
      </c>
      <c r="FH18">
        <v>0</v>
      </c>
      <c r="FI18">
        <v>67</v>
      </c>
      <c r="FJ18">
        <v>0</v>
      </c>
      <c r="FK18">
        <v>1497.75076923077</v>
      </c>
      <c r="FL18">
        <v>-7.4105982967022</v>
      </c>
      <c r="FM18">
        <v>-148.345299255842</v>
      </c>
      <c r="FN18">
        <v>26818.6653846154</v>
      </c>
      <c r="FO18">
        <v>15</v>
      </c>
      <c r="FP18">
        <v>0</v>
      </c>
      <c r="FQ18" t="s">
        <v>441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-6.92359857142857</v>
      </c>
      <c r="GD18">
        <v>-0.05482675324676</v>
      </c>
      <c r="GE18">
        <v>0.0390219715015009</v>
      </c>
      <c r="GF18">
        <v>1</v>
      </c>
      <c r="GG18">
        <v>1498.24176470588</v>
      </c>
      <c r="GH18">
        <v>-6.61176469794346</v>
      </c>
      <c r="GI18">
        <v>0.706509525302054</v>
      </c>
      <c r="GJ18">
        <v>-1</v>
      </c>
      <c r="GK18">
        <v>1.99589</v>
      </c>
      <c r="GL18">
        <v>0.039143376623377</v>
      </c>
      <c r="GM18">
        <v>0.00422556617789964</v>
      </c>
      <c r="GN18">
        <v>1</v>
      </c>
      <c r="GO18">
        <v>2</v>
      </c>
      <c r="GP18">
        <v>2</v>
      </c>
      <c r="GQ18" t="s">
        <v>442</v>
      </c>
      <c r="GR18">
        <v>3.12827</v>
      </c>
      <c r="GS18">
        <v>2.69958</v>
      </c>
      <c r="GT18">
        <v>0.0886339</v>
      </c>
      <c r="GU18">
        <v>0.0903935</v>
      </c>
      <c r="GV18">
        <v>0.036315</v>
      </c>
      <c r="GW18">
        <v>0.0257646</v>
      </c>
      <c r="GX18">
        <v>34327.2</v>
      </c>
      <c r="GY18">
        <v>36731.4</v>
      </c>
      <c r="GZ18">
        <v>34075.3</v>
      </c>
      <c r="HA18">
        <v>36559.7</v>
      </c>
      <c r="HB18">
        <v>46372.5</v>
      </c>
      <c r="HC18">
        <v>51090.3</v>
      </c>
      <c r="HD18">
        <v>53089.6</v>
      </c>
      <c r="HE18">
        <v>58335.1</v>
      </c>
      <c r="HF18">
        <v>1.96168</v>
      </c>
      <c r="HG18">
        <v>2.34538</v>
      </c>
      <c r="HH18">
        <v>-0.00756234</v>
      </c>
      <c r="HI18">
        <v>0</v>
      </c>
      <c r="HJ18">
        <v>18.3419</v>
      </c>
      <c r="HK18">
        <v>999.9</v>
      </c>
      <c r="HL18">
        <v>27.036</v>
      </c>
      <c r="HM18">
        <v>27.785</v>
      </c>
      <c r="HN18">
        <v>11.1513</v>
      </c>
      <c r="HO18">
        <v>56.0741</v>
      </c>
      <c r="HP18">
        <v>32.7564</v>
      </c>
      <c r="HQ18">
        <v>2</v>
      </c>
      <c r="HR18">
        <v>0.028872</v>
      </c>
      <c r="HS18">
        <v>9.28105</v>
      </c>
      <c r="HT18">
        <v>19.895</v>
      </c>
      <c r="HU18">
        <v>5.20276</v>
      </c>
      <c r="HV18">
        <v>12.0099</v>
      </c>
      <c r="HW18">
        <v>4.97585</v>
      </c>
      <c r="HX18">
        <v>3.294</v>
      </c>
      <c r="HY18">
        <v>9999</v>
      </c>
      <c r="HZ18">
        <v>9999</v>
      </c>
      <c r="IA18">
        <v>9999</v>
      </c>
      <c r="IB18">
        <v>999.9</v>
      </c>
      <c r="IC18">
        <v>1.86312</v>
      </c>
      <c r="ID18">
        <v>1.86805</v>
      </c>
      <c r="IE18">
        <v>1.86783</v>
      </c>
      <c r="IF18">
        <v>1.86901</v>
      </c>
      <c r="IG18">
        <v>1.86981</v>
      </c>
      <c r="IH18">
        <v>1.86585</v>
      </c>
      <c r="II18">
        <v>1.86696</v>
      </c>
      <c r="IJ18">
        <v>1.8684</v>
      </c>
      <c r="IK18">
        <v>5</v>
      </c>
      <c r="IL18">
        <v>0</v>
      </c>
      <c r="IM18">
        <v>0</v>
      </c>
      <c r="IN18">
        <v>0</v>
      </c>
      <c r="IO18" t="s">
        <v>443</v>
      </c>
      <c r="IP18" t="s">
        <v>444</v>
      </c>
      <c r="IQ18" t="s">
        <v>445</v>
      </c>
      <c r="IR18" t="s">
        <v>445</v>
      </c>
      <c r="IS18" t="s">
        <v>445</v>
      </c>
      <c r="IT18" t="s">
        <v>445</v>
      </c>
      <c r="IU18">
        <v>0</v>
      </c>
      <c r="IV18">
        <v>100</v>
      </c>
      <c r="IW18">
        <v>100</v>
      </c>
      <c r="IX18">
        <v>2.888</v>
      </c>
      <c r="IY18">
        <v>-0.1349</v>
      </c>
      <c r="IZ18">
        <v>1.24656194001752</v>
      </c>
      <c r="JA18">
        <v>0.00408463137630218</v>
      </c>
      <c r="JB18">
        <v>-2.23906557180379e-07</v>
      </c>
      <c r="JC18">
        <v>6.23399102760906e-11</v>
      </c>
      <c r="JD18">
        <v>-0.0873394905990972</v>
      </c>
      <c r="JE18">
        <v>-0.0233348201324191</v>
      </c>
      <c r="JF18">
        <v>0.00274696999164489</v>
      </c>
      <c r="JG18">
        <v>-3.62864435074646e-05</v>
      </c>
      <c r="JH18">
        <v>5</v>
      </c>
      <c r="JI18">
        <v>2263</v>
      </c>
      <c r="JJ18">
        <v>1</v>
      </c>
      <c r="JK18">
        <v>24</v>
      </c>
      <c r="JL18">
        <v>29361290.3</v>
      </c>
      <c r="JM18">
        <v>29361290.3</v>
      </c>
      <c r="JN18">
        <v>1.2439</v>
      </c>
      <c r="JO18">
        <v>2.60254</v>
      </c>
      <c r="JP18">
        <v>2.19849</v>
      </c>
      <c r="JQ18">
        <v>2.63428</v>
      </c>
      <c r="JR18">
        <v>2.44507</v>
      </c>
      <c r="JS18">
        <v>2.29004</v>
      </c>
      <c r="JT18">
        <v>31.9805</v>
      </c>
      <c r="JU18">
        <v>24.0963</v>
      </c>
      <c r="JV18">
        <v>18</v>
      </c>
      <c r="JW18">
        <v>500.771</v>
      </c>
      <c r="JX18">
        <v>792.716</v>
      </c>
      <c r="JY18">
        <v>8.43177</v>
      </c>
      <c r="JZ18">
        <v>27.4329</v>
      </c>
      <c r="KA18">
        <v>30.0002</v>
      </c>
      <c r="KB18">
        <v>27.2248</v>
      </c>
      <c r="KC18">
        <v>27.1218</v>
      </c>
      <c r="KD18">
        <v>24.9312</v>
      </c>
      <c r="KE18">
        <v>47.4287</v>
      </c>
      <c r="KF18">
        <v>3.72851</v>
      </c>
      <c r="KG18">
        <v>5.28751</v>
      </c>
      <c r="KH18">
        <v>420</v>
      </c>
      <c r="KI18">
        <v>4.0242</v>
      </c>
      <c r="KJ18">
        <v>96.5538</v>
      </c>
      <c r="KK18">
        <v>94.5751</v>
      </c>
    </row>
    <row r="19" spans="1:297">
      <c r="A19">
        <v>3</v>
      </c>
      <c r="B19">
        <v>1761677490</v>
      </c>
      <c r="C19">
        <v>140.900000095367</v>
      </c>
      <c r="D19" t="s">
        <v>449</v>
      </c>
      <c r="E19" t="s">
        <v>450</v>
      </c>
      <c r="F19">
        <v>5</v>
      </c>
      <c r="G19" t="s">
        <v>435</v>
      </c>
      <c r="H19" t="s">
        <v>436</v>
      </c>
      <c r="I19">
        <v>1761677481.5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421.637851913525</v>
      </c>
      <c r="AK19">
        <v>415.54823030303</v>
      </c>
      <c r="AL19">
        <v>-0.000139714567639309</v>
      </c>
      <c r="AM19">
        <v>64.013581017493</v>
      </c>
      <c r="AN19">
        <f>(AP19 - AO19 + DY19*1E3/(8.314*(EA19+273.15)) * AR19/DX19 * AQ19) * DX19/(100*DL19) * 1000/(1000 - AP19)</f>
        <v>0</v>
      </c>
      <c r="AO19">
        <v>3.96721255264526</v>
      </c>
      <c r="AP19">
        <v>5.98871580419581</v>
      </c>
      <c r="AQ19">
        <v>-9.61386752715413e-06</v>
      </c>
      <c r="AR19">
        <v>106.10340464483</v>
      </c>
      <c r="AS19">
        <v>0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437</v>
      </c>
      <c r="AY19">
        <v>5115.2</v>
      </c>
      <c r="AZ19">
        <v>732.504</v>
      </c>
      <c r="BA19">
        <v>1728.22675254666</v>
      </c>
      <c r="BB19">
        <f>1-AZ19/BA19</f>
        <v>0</v>
      </c>
      <c r="BC19">
        <v>-0.350174750577109</v>
      </c>
      <c r="BD19" t="s">
        <v>451</v>
      </c>
      <c r="BE19">
        <v>5150.22</v>
      </c>
      <c r="BF19">
        <v>1479.416</v>
      </c>
      <c r="BG19">
        <v>1571.13905854885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452</v>
      </c>
      <c r="BQ19">
        <v>880.6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BZ19">
        <v>3</v>
      </c>
      <c r="CA19">
        <v>290</v>
      </c>
      <c r="CB19">
        <v>1540.24</v>
      </c>
      <c r="CC19">
        <v>135</v>
      </c>
      <c r="CD19">
        <v>5150.22</v>
      </c>
      <c r="CE19">
        <v>1537.51</v>
      </c>
      <c r="CF19">
        <v>2.73</v>
      </c>
      <c r="CG19">
        <v>300</v>
      </c>
      <c r="CH19">
        <v>23.7</v>
      </c>
      <c r="CI19">
        <v>1571.13905854885</v>
      </c>
      <c r="CJ19">
        <v>1.8417250299569</v>
      </c>
      <c r="CK19">
        <v>-17.3183138866969</v>
      </c>
      <c r="CL19">
        <v>0.861137683725854</v>
      </c>
      <c r="CM19">
        <v>0.935252795539348</v>
      </c>
      <c r="CN19">
        <v>-0.00299261179087877</v>
      </c>
      <c r="CO19">
        <v>290</v>
      </c>
      <c r="CP19">
        <v>1536.2</v>
      </c>
      <c r="CQ19">
        <v>625</v>
      </c>
      <c r="CR19">
        <v>5148.08</v>
      </c>
      <c r="CS19">
        <v>1537.5</v>
      </c>
      <c r="CT19">
        <v>-1.3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440</v>
      </c>
      <c r="DO19">
        <v>2</v>
      </c>
      <c r="DP19" t="b">
        <v>1</v>
      </c>
      <c r="DQ19">
        <v>1761677481.5</v>
      </c>
      <c r="DR19">
        <v>413.0730625</v>
      </c>
      <c r="DS19">
        <v>419.985375</v>
      </c>
      <c r="DT19">
        <v>5.99270875</v>
      </c>
      <c r="DU19">
        <v>3.974828125</v>
      </c>
      <c r="DV19">
        <v>410.1844375</v>
      </c>
      <c r="DW19">
        <v>6.12823875</v>
      </c>
      <c r="DX19">
        <v>500.0224375</v>
      </c>
      <c r="DY19">
        <v>90.86005</v>
      </c>
      <c r="DZ19">
        <v>0.021223225</v>
      </c>
      <c r="EA19">
        <v>17.79530625</v>
      </c>
      <c r="EB19">
        <v>17.7427125</v>
      </c>
      <c r="EC19">
        <v>999.9</v>
      </c>
      <c r="ED19">
        <v>0</v>
      </c>
      <c r="EE19">
        <v>0</v>
      </c>
      <c r="EF19">
        <v>10001.04625</v>
      </c>
      <c r="EG19">
        <v>0</v>
      </c>
      <c r="EH19">
        <v>1266.124375</v>
      </c>
      <c r="EI19">
        <v>-6.912375</v>
      </c>
      <c r="EJ19">
        <v>415.5635625</v>
      </c>
      <c r="EK19">
        <v>421.661375</v>
      </c>
      <c r="EL19">
        <v>2.01788125</v>
      </c>
      <c r="EM19">
        <v>419.985375</v>
      </c>
      <c r="EN19">
        <v>3.974828125</v>
      </c>
      <c r="EO19">
        <v>0.5444976875</v>
      </c>
      <c r="EP19">
        <v>0.3611530625</v>
      </c>
      <c r="EQ19">
        <v>-1.63497</v>
      </c>
      <c r="ER19">
        <v>-7.08426875</v>
      </c>
      <c r="ES19">
        <v>1500.0175</v>
      </c>
      <c r="ET19">
        <v>0.97299275</v>
      </c>
      <c r="EU19">
        <v>0.02700699375</v>
      </c>
      <c r="EV19">
        <v>0</v>
      </c>
      <c r="EW19">
        <v>1479.6275</v>
      </c>
      <c r="EX19">
        <v>5.00059</v>
      </c>
      <c r="EY19">
        <v>22016.775</v>
      </c>
      <c r="EZ19">
        <v>12982.49375</v>
      </c>
      <c r="FA19">
        <v>37.909875</v>
      </c>
      <c r="FB19">
        <v>39.253875</v>
      </c>
      <c r="FC19">
        <v>38.027125</v>
      </c>
      <c r="FD19">
        <v>38.437</v>
      </c>
      <c r="FE19">
        <v>38.5465</v>
      </c>
      <c r="FF19">
        <v>1454.6375</v>
      </c>
      <c r="FG19">
        <v>40.38</v>
      </c>
      <c r="FH19">
        <v>0</v>
      </c>
      <c r="FI19">
        <v>138.399999856949</v>
      </c>
      <c r="FJ19">
        <v>0</v>
      </c>
      <c r="FK19">
        <v>1479.416</v>
      </c>
      <c r="FL19">
        <v>-8.11153845759682</v>
      </c>
      <c r="FM19">
        <v>-121.276923240381</v>
      </c>
      <c r="FN19">
        <v>22013.404</v>
      </c>
      <c r="FO19">
        <v>15</v>
      </c>
      <c r="FP19">
        <v>0</v>
      </c>
      <c r="FQ19" t="s">
        <v>441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-6.90911</v>
      </c>
      <c r="GD19">
        <v>-0.0197064935065014</v>
      </c>
      <c r="GE19">
        <v>0.0298565940710559</v>
      </c>
      <c r="GF19">
        <v>1</v>
      </c>
      <c r="GG19">
        <v>1479.94852941176</v>
      </c>
      <c r="GH19">
        <v>-6.17188693916485</v>
      </c>
      <c r="GI19">
        <v>0.667511323336172</v>
      </c>
      <c r="GJ19">
        <v>-1</v>
      </c>
      <c r="GK19">
        <v>2.01063285714286</v>
      </c>
      <c r="GL19">
        <v>0.0958176623376638</v>
      </c>
      <c r="GM19">
        <v>0.0113542910465633</v>
      </c>
      <c r="GN19">
        <v>1</v>
      </c>
      <c r="GO19">
        <v>2</v>
      </c>
      <c r="GP19">
        <v>2</v>
      </c>
      <c r="GQ19" t="s">
        <v>442</v>
      </c>
      <c r="GR19">
        <v>3.12823</v>
      </c>
      <c r="GS19">
        <v>2.69924</v>
      </c>
      <c r="GT19">
        <v>0.0886338</v>
      </c>
      <c r="GU19">
        <v>0.0903893</v>
      </c>
      <c r="GV19">
        <v>0.0357916</v>
      </c>
      <c r="GW19">
        <v>0.0251297</v>
      </c>
      <c r="GX19">
        <v>34327</v>
      </c>
      <c r="GY19">
        <v>36730.6</v>
      </c>
      <c r="GZ19">
        <v>34075.3</v>
      </c>
      <c r="HA19">
        <v>36558.8</v>
      </c>
      <c r="HB19">
        <v>46398.2</v>
      </c>
      <c r="HC19">
        <v>51122.9</v>
      </c>
      <c r="HD19">
        <v>53090</v>
      </c>
      <c r="HE19">
        <v>58334.2</v>
      </c>
      <c r="HF19">
        <v>1.96172</v>
      </c>
      <c r="HG19">
        <v>2.3451</v>
      </c>
      <c r="HH19">
        <v>-0.0289269</v>
      </c>
      <c r="HI19">
        <v>0</v>
      </c>
      <c r="HJ19">
        <v>18.1803</v>
      </c>
      <c r="HK19">
        <v>999.9</v>
      </c>
      <c r="HL19">
        <v>26.56</v>
      </c>
      <c r="HM19">
        <v>27.835</v>
      </c>
      <c r="HN19">
        <v>10.9874</v>
      </c>
      <c r="HO19">
        <v>56.0241</v>
      </c>
      <c r="HP19">
        <v>32.7083</v>
      </c>
      <c r="HQ19">
        <v>2</v>
      </c>
      <c r="HR19">
        <v>0.0170732</v>
      </c>
      <c r="HS19">
        <v>5.54336</v>
      </c>
      <c r="HT19">
        <v>20.0568</v>
      </c>
      <c r="HU19">
        <v>5.20202</v>
      </c>
      <c r="HV19">
        <v>12.0041</v>
      </c>
      <c r="HW19">
        <v>4.97575</v>
      </c>
      <c r="HX19">
        <v>3.294</v>
      </c>
      <c r="HY19">
        <v>9999</v>
      </c>
      <c r="HZ19">
        <v>9999</v>
      </c>
      <c r="IA19">
        <v>9999</v>
      </c>
      <c r="IB19">
        <v>999.9</v>
      </c>
      <c r="IC19">
        <v>1.86312</v>
      </c>
      <c r="ID19">
        <v>1.86809</v>
      </c>
      <c r="IE19">
        <v>1.86784</v>
      </c>
      <c r="IF19">
        <v>1.86902</v>
      </c>
      <c r="IG19">
        <v>1.86981</v>
      </c>
      <c r="IH19">
        <v>1.86587</v>
      </c>
      <c r="II19">
        <v>1.86695</v>
      </c>
      <c r="IJ19">
        <v>1.86843</v>
      </c>
      <c r="IK19">
        <v>5</v>
      </c>
      <c r="IL19">
        <v>0</v>
      </c>
      <c r="IM19">
        <v>0</v>
      </c>
      <c r="IN19">
        <v>0</v>
      </c>
      <c r="IO19" t="s">
        <v>443</v>
      </c>
      <c r="IP19" t="s">
        <v>444</v>
      </c>
      <c r="IQ19" t="s">
        <v>445</v>
      </c>
      <c r="IR19" t="s">
        <v>445</v>
      </c>
      <c r="IS19" t="s">
        <v>445</v>
      </c>
      <c r="IT19" t="s">
        <v>445</v>
      </c>
      <c r="IU19">
        <v>0</v>
      </c>
      <c r="IV19">
        <v>100</v>
      </c>
      <c r="IW19">
        <v>100</v>
      </c>
      <c r="IX19">
        <v>2.888</v>
      </c>
      <c r="IY19">
        <v>-0.1355</v>
      </c>
      <c r="IZ19">
        <v>1.24656194001752</v>
      </c>
      <c r="JA19">
        <v>0.00408463137630218</v>
      </c>
      <c r="JB19">
        <v>-2.23906557180379e-07</v>
      </c>
      <c r="JC19">
        <v>6.23399102760906e-11</v>
      </c>
      <c r="JD19">
        <v>-0.0873394905990972</v>
      </c>
      <c r="JE19">
        <v>-0.0233348201324191</v>
      </c>
      <c r="JF19">
        <v>0.00274696999164489</v>
      </c>
      <c r="JG19">
        <v>-3.62864435074646e-05</v>
      </c>
      <c r="JH19">
        <v>5</v>
      </c>
      <c r="JI19">
        <v>2263</v>
      </c>
      <c r="JJ19">
        <v>1</v>
      </c>
      <c r="JK19">
        <v>24</v>
      </c>
      <c r="JL19">
        <v>29361291.5</v>
      </c>
      <c r="JM19">
        <v>29361291.5</v>
      </c>
      <c r="JN19">
        <v>1.24512</v>
      </c>
      <c r="JO19">
        <v>2.60376</v>
      </c>
      <c r="JP19">
        <v>2.19849</v>
      </c>
      <c r="JQ19">
        <v>2.63428</v>
      </c>
      <c r="JR19">
        <v>2.44507</v>
      </c>
      <c r="JS19">
        <v>2.29736</v>
      </c>
      <c r="JT19">
        <v>32.0024</v>
      </c>
      <c r="JU19">
        <v>24.1663</v>
      </c>
      <c r="JV19">
        <v>18</v>
      </c>
      <c r="JW19">
        <v>501.104</v>
      </c>
      <c r="JX19">
        <v>792.97</v>
      </c>
      <c r="JY19">
        <v>9.23787</v>
      </c>
      <c r="JZ19">
        <v>27.4569</v>
      </c>
      <c r="KA19">
        <v>29.9963</v>
      </c>
      <c r="KB19">
        <v>27.2584</v>
      </c>
      <c r="KC19">
        <v>27.1569</v>
      </c>
      <c r="KD19">
        <v>24.9349</v>
      </c>
      <c r="KE19">
        <v>47.7052</v>
      </c>
      <c r="KF19">
        <v>1.4576</v>
      </c>
      <c r="KG19">
        <v>9.51376</v>
      </c>
      <c r="KH19">
        <v>420</v>
      </c>
      <c r="KI19">
        <v>3.93427</v>
      </c>
      <c r="KJ19">
        <v>96.5542</v>
      </c>
      <c r="KK19">
        <v>94.5733</v>
      </c>
    </row>
    <row r="20" spans="1:297">
      <c r="A20">
        <v>4</v>
      </c>
      <c r="B20">
        <v>1761677578</v>
      </c>
      <c r="C20">
        <v>228.900000095367</v>
      </c>
      <c r="D20" t="s">
        <v>453</v>
      </c>
      <c r="E20" t="s">
        <v>454</v>
      </c>
      <c r="F20">
        <v>5</v>
      </c>
      <c r="G20" t="s">
        <v>435</v>
      </c>
      <c r="H20" t="s">
        <v>436</v>
      </c>
      <c r="I20">
        <v>1761677569.5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421.640682945112</v>
      </c>
      <c r="AK20">
        <v>415.671066666667</v>
      </c>
      <c r="AL20">
        <v>-0.00123650420065066</v>
      </c>
      <c r="AM20">
        <v>64.013581017493</v>
      </c>
      <c r="AN20">
        <f>(AP20 - AO20 + DY20*1E3/(8.314*(EA20+273.15)) * AR20/DX20 * AQ20) * DX20/(100*DL20) * 1000/(1000 - AP20)</f>
        <v>0</v>
      </c>
      <c r="AO20">
        <v>3.91761843026285</v>
      </c>
      <c r="AP20">
        <v>6.0485472027972</v>
      </c>
      <c r="AQ20">
        <v>5.5259344616723e-05</v>
      </c>
      <c r="AR20">
        <v>106.10340464483</v>
      </c>
      <c r="AS20">
        <v>0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448</v>
      </c>
      <c r="AY20" t="s">
        <v>448</v>
      </c>
      <c r="AZ20">
        <v>0</v>
      </c>
      <c r="BA20">
        <v>0</v>
      </c>
      <c r="BB20">
        <f>1-AZ20/BA20</f>
        <v>0</v>
      </c>
      <c r="BC20">
        <v>0</v>
      </c>
      <c r="BD20" t="s">
        <v>448</v>
      </c>
      <c r="BE20" t="s">
        <v>448</v>
      </c>
      <c r="BF20">
        <v>0</v>
      </c>
      <c r="BG20">
        <v>0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448</v>
      </c>
      <c r="BQ20">
        <v>0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BZ20">
        <v>3</v>
      </c>
      <c r="CA20">
        <v>290</v>
      </c>
      <c r="CB20">
        <v>1540.24</v>
      </c>
      <c r="CC20">
        <v>135</v>
      </c>
      <c r="CD20">
        <v>5150.22</v>
      </c>
      <c r="CE20">
        <v>1537.51</v>
      </c>
      <c r="CF20">
        <v>2.73</v>
      </c>
      <c r="CG20">
        <v>300</v>
      </c>
      <c r="CH20">
        <v>23.7</v>
      </c>
      <c r="CI20">
        <v>1571.13905854885</v>
      </c>
      <c r="CJ20">
        <v>1.8417250299569</v>
      </c>
      <c r="CK20">
        <v>-17.3183138866969</v>
      </c>
      <c r="CL20">
        <v>0.861137683725854</v>
      </c>
      <c r="CM20">
        <v>0.935252795539348</v>
      </c>
      <c r="CN20">
        <v>-0.00299261179087877</v>
      </c>
      <c r="CO20">
        <v>290</v>
      </c>
      <c r="CP20">
        <v>1536.2</v>
      </c>
      <c r="CQ20">
        <v>625</v>
      </c>
      <c r="CR20">
        <v>5148.08</v>
      </c>
      <c r="CS20">
        <v>1537.5</v>
      </c>
      <c r="CT20">
        <v>-1.3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440</v>
      </c>
      <c r="DO20">
        <v>2</v>
      </c>
      <c r="DP20" t="b">
        <v>1</v>
      </c>
      <c r="DQ20">
        <v>1761677569.5</v>
      </c>
      <c r="DR20">
        <v>413.2304375</v>
      </c>
      <c r="DS20">
        <v>419.99</v>
      </c>
      <c r="DT20">
        <v>6.04074875</v>
      </c>
      <c r="DU20">
        <v>3.919234375</v>
      </c>
      <c r="DV20">
        <v>410.34125</v>
      </c>
      <c r="DW20">
        <v>6.175974375</v>
      </c>
      <c r="DX20">
        <v>499.99275</v>
      </c>
      <c r="DY20">
        <v>90.85881875</v>
      </c>
      <c r="DZ20">
        <v>0.01929715</v>
      </c>
      <c r="EA20">
        <v>18.24529375</v>
      </c>
      <c r="EB20">
        <v>17.95271875</v>
      </c>
      <c r="EC20">
        <v>999.9</v>
      </c>
      <c r="ED20">
        <v>0</v>
      </c>
      <c r="EE20">
        <v>0</v>
      </c>
      <c r="EF20">
        <v>10000.78125</v>
      </c>
      <c r="EG20">
        <v>0</v>
      </c>
      <c r="EH20">
        <v>1266.0675</v>
      </c>
      <c r="EI20">
        <v>-6.75940625</v>
      </c>
      <c r="EJ20">
        <v>415.7419375</v>
      </c>
      <c r="EK20">
        <v>421.6424375</v>
      </c>
      <c r="EL20">
        <v>2.121513125</v>
      </c>
      <c r="EM20">
        <v>419.99</v>
      </c>
      <c r="EN20">
        <v>3.919234375</v>
      </c>
      <c r="EO20">
        <v>0.5488551875</v>
      </c>
      <c r="EP20">
        <v>0.356096875</v>
      </c>
      <c r="EQ20">
        <v>-1.52665625</v>
      </c>
      <c r="ER20">
        <v>-7.266956875</v>
      </c>
      <c r="ES20">
        <v>1199.980625</v>
      </c>
      <c r="ET20">
        <v>0.967008</v>
      </c>
      <c r="EU20">
        <v>0.0329918375</v>
      </c>
      <c r="EV20">
        <v>0</v>
      </c>
      <c r="EW20">
        <v>1455.3</v>
      </c>
      <c r="EX20">
        <v>5.00059</v>
      </c>
      <c r="EY20">
        <v>17267.7875</v>
      </c>
      <c r="EZ20">
        <v>10358.59375</v>
      </c>
      <c r="FA20">
        <v>37.335625</v>
      </c>
      <c r="FB20">
        <v>39.0816875</v>
      </c>
      <c r="FC20">
        <v>37.7145625</v>
      </c>
      <c r="FD20">
        <v>38.308125</v>
      </c>
      <c r="FE20">
        <v>38.1365625</v>
      </c>
      <c r="FF20">
        <v>1155.55875</v>
      </c>
      <c r="FG20">
        <v>39.421875</v>
      </c>
      <c r="FH20">
        <v>0</v>
      </c>
      <c r="FI20">
        <v>84.7999999523163</v>
      </c>
      <c r="FJ20">
        <v>0</v>
      </c>
      <c r="FK20">
        <v>1455.1248</v>
      </c>
      <c r="FL20">
        <v>-8.69846155190911</v>
      </c>
      <c r="FM20">
        <v>-110.638461644925</v>
      </c>
      <c r="FN20">
        <v>17266.156</v>
      </c>
      <c r="FO20">
        <v>15</v>
      </c>
      <c r="FP20">
        <v>0</v>
      </c>
      <c r="FQ20" t="s">
        <v>441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-6.74784523809524</v>
      </c>
      <c r="GD20">
        <v>-0.219720779220768</v>
      </c>
      <c r="GE20">
        <v>0.0398699104372789</v>
      </c>
      <c r="GF20">
        <v>1</v>
      </c>
      <c r="GG20">
        <v>1455.805</v>
      </c>
      <c r="GH20">
        <v>-9.2472116118473</v>
      </c>
      <c r="GI20">
        <v>0.938102747414101</v>
      </c>
      <c r="GJ20">
        <v>-1</v>
      </c>
      <c r="GK20">
        <v>2.11616904761905</v>
      </c>
      <c r="GL20">
        <v>0.0928472727272767</v>
      </c>
      <c r="GM20">
        <v>0.00940110272395231</v>
      </c>
      <c r="GN20">
        <v>1</v>
      </c>
      <c r="GO20">
        <v>2</v>
      </c>
      <c r="GP20">
        <v>2</v>
      </c>
      <c r="GQ20" t="s">
        <v>442</v>
      </c>
      <c r="GR20">
        <v>3.12817</v>
      </c>
      <c r="GS20">
        <v>2.69752</v>
      </c>
      <c r="GT20">
        <v>0.0886404</v>
      </c>
      <c r="GU20">
        <v>0.0903824</v>
      </c>
      <c r="GV20">
        <v>0.036083</v>
      </c>
      <c r="GW20">
        <v>0.0248589</v>
      </c>
      <c r="GX20">
        <v>34324.6</v>
      </c>
      <c r="GY20">
        <v>36729.4</v>
      </c>
      <c r="GZ20">
        <v>34073.1</v>
      </c>
      <c r="HA20">
        <v>36557.3</v>
      </c>
      <c r="HB20">
        <v>46381.6</v>
      </c>
      <c r="HC20">
        <v>51135.3</v>
      </c>
      <c r="HD20">
        <v>53087.2</v>
      </c>
      <c r="HE20">
        <v>58332</v>
      </c>
      <c r="HF20">
        <v>1.9612</v>
      </c>
      <c r="HG20">
        <v>2.34525</v>
      </c>
      <c r="HH20">
        <v>-0.0101291</v>
      </c>
      <c r="HI20">
        <v>0</v>
      </c>
      <c r="HJ20">
        <v>18.2141</v>
      </c>
      <c r="HK20">
        <v>999.9</v>
      </c>
      <c r="HL20">
        <v>26.157</v>
      </c>
      <c r="HM20">
        <v>27.906</v>
      </c>
      <c r="HN20">
        <v>10.8654</v>
      </c>
      <c r="HO20">
        <v>54.7241</v>
      </c>
      <c r="HP20">
        <v>32.3037</v>
      </c>
      <c r="HQ20">
        <v>2</v>
      </c>
      <c r="HR20">
        <v>0.0133587</v>
      </c>
      <c r="HS20">
        <v>4.51409</v>
      </c>
      <c r="HT20">
        <v>20.0811</v>
      </c>
      <c r="HU20">
        <v>5.19857</v>
      </c>
      <c r="HV20">
        <v>12.004</v>
      </c>
      <c r="HW20">
        <v>4.9758</v>
      </c>
      <c r="HX20">
        <v>3.294</v>
      </c>
      <c r="HY20">
        <v>9999</v>
      </c>
      <c r="HZ20">
        <v>9999</v>
      </c>
      <c r="IA20">
        <v>9999</v>
      </c>
      <c r="IB20">
        <v>999.9</v>
      </c>
      <c r="IC20">
        <v>1.86314</v>
      </c>
      <c r="ID20">
        <v>1.86811</v>
      </c>
      <c r="IE20">
        <v>1.86783</v>
      </c>
      <c r="IF20">
        <v>1.86897</v>
      </c>
      <c r="IG20">
        <v>1.86982</v>
      </c>
      <c r="IH20">
        <v>1.86587</v>
      </c>
      <c r="II20">
        <v>1.86696</v>
      </c>
      <c r="IJ20">
        <v>1.86843</v>
      </c>
      <c r="IK20">
        <v>5</v>
      </c>
      <c r="IL20">
        <v>0</v>
      </c>
      <c r="IM20">
        <v>0</v>
      </c>
      <c r="IN20">
        <v>0</v>
      </c>
      <c r="IO20" t="s">
        <v>443</v>
      </c>
      <c r="IP20" t="s">
        <v>444</v>
      </c>
      <c r="IQ20" t="s">
        <v>445</v>
      </c>
      <c r="IR20" t="s">
        <v>445</v>
      </c>
      <c r="IS20" t="s">
        <v>445</v>
      </c>
      <c r="IT20" t="s">
        <v>445</v>
      </c>
      <c r="IU20">
        <v>0</v>
      </c>
      <c r="IV20">
        <v>100</v>
      </c>
      <c r="IW20">
        <v>100</v>
      </c>
      <c r="IX20">
        <v>2.889</v>
      </c>
      <c r="IY20">
        <v>-0.1352</v>
      </c>
      <c r="IZ20">
        <v>1.24656194001752</v>
      </c>
      <c r="JA20">
        <v>0.00408463137630218</v>
      </c>
      <c r="JB20">
        <v>-2.23906557180379e-07</v>
      </c>
      <c r="JC20">
        <v>6.23399102760906e-11</v>
      </c>
      <c r="JD20">
        <v>-0.0873394905990972</v>
      </c>
      <c r="JE20">
        <v>-0.0233348201324191</v>
      </c>
      <c r="JF20">
        <v>0.00274696999164489</v>
      </c>
      <c r="JG20">
        <v>-3.62864435074646e-05</v>
      </c>
      <c r="JH20">
        <v>5</v>
      </c>
      <c r="JI20">
        <v>2263</v>
      </c>
      <c r="JJ20">
        <v>1</v>
      </c>
      <c r="JK20">
        <v>24</v>
      </c>
      <c r="JL20">
        <v>29361293</v>
      </c>
      <c r="JM20">
        <v>29361293</v>
      </c>
      <c r="JN20">
        <v>1.2439</v>
      </c>
      <c r="JO20">
        <v>2.59521</v>
      </c>
      <c r="JP20">
        <v>2.19849</v>
      </c>
      <c r="JQ20">
        <v>2.63428</v>
      </c>
      <c r="JR20">
        <v>2.44507</v>
      </c>
      <c r="JS20">
        <v>2.32666</v>
      </c>
      <c r="JT20">
        <v>32.0024</v>
      </c>
      <c r="JU20">
        <v>24.1838</v>
      </c>
      <c r="JV20">
        <v>18</v>
      </c>
      <c r="JW20">
        <v>500.993</v>
      </c>
      <c r="JX20">
        <v>793.557</v>
      </c>
      <c r="JY20">
        <v>12.7564</v>
      </c>
      <c r="JZ20">
        <v>27.4466</v>
      </c>
      <c r="KA20">
        <v>30.0006</v>
      </c>
      <c r="KB20">
        <v>27.2844</v>
      </c>
      <c r="KC20">
        <v>27.1875</v>
      </c>
      <c r="KD20">
        <v>24.9367</v>
      </c>
      <c r="KE20">
        <v>47.7052</v>
      </c>
      <c r="KF20">
        <v>0</v>
      </c>
      <c r="KG20">
        <v>11.1286</v>
      </c>
      <c r="KH20">
        <v>420</v>
      </c>
      <c r="KI20">
        <v>3.93585</v>
      </c>
      <c r="KJ20">
        <v>96.5487</v>
      </c>
      <c r="KK20">
        <v>94.5697</v>
      </c>
    </row>
    <row r="21" spans="1:297">
      <c r="A21">
        <v>5</v>
      </c>
      <c r="B21">
        <v>1761677658</v>
      </c>
      <c r="C21">
        <v>308.900000095367</v>
      </c>
      <c r="D21" t="s">
        <v>455</v>
      </c>
      <c r="E21" t="s">
        <v>456</v>
      </c>
      <c r="F21">
        <v>5</v>
      </c>
      <c r="G21" t="s">
        <v>435</v>
      </c>
      <c r="H21" t="s">
        <v>436</v>
      </c>
      <c r="I21">
        <v>1761677650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421.635697277105</v>
      </c>
      <c r="AK21">
        <v>415.823018181818</v>
      </c>
      <c r="AL21">
        <v>-0.000338034896448986</v>
      </c>
      <c r="AM21">
        <v>64.013581017493</v>
      </c>
      <c r="AN21">
        <f>(AP21 - AO21 + DY21*1E3/(8.314*(EA21+273.15)) * AR21/DX21 * AQ21) * DX21/(100*DL21) * 1000/(1000 - AP21)</f>
        <v>0</v>
      </c>
      <c r="AO21">
        <v>3.96411382253559</v>
      </c>
      <c r="AP21">
        <v>6.10571748251749</v>
      </c>
      <c r="AQ21">
        <v>3.42577152404125e-05</v>
      </c>
      <c r="AR21">
        <v>106.10340464483</v>
      </c>
      <c r="AS21">
        <v>0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437</v>
      </c>
      <c r="AY21">
        <v>5115.2</v>
      </c>
      <c r="AZ21">
        <v>732.504</v>
      </c>
      <c r="BA21">
        <v>1728.22675254666</v>
      </c>
      <c r="BB21">
        <f>1-AZ21/BA21</f>
        <v>0</v>
      </c>
      <c r="BC21">
        <v>-0.350174750577109</v>
      </c>
      <c r="BD21" t="s">
        <v>457</v>
      </c>
      <c r="BE21">
        <v>5152.1</v>
      </c>
      <c r="BF21">
        <v>1420.75</v>
      </c>
      <c r="BG21">
        <v>1566.68657207819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458</v>
      </c>
      <c r="BQ21">
        <v>869.47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BZ21">
        <v>5</v>
      </c>
      <c r="CA21">
        <v>290</v>
      </c>
      <c r="CB21">
        <v>1538.94</v>
      </c>
      <c r="CC21">
        <v>205</v>
      </c>
      <c r="CD21">
        <v>5152.1</v>
      </c>
      <c r="CE21">
        <v>1537.17</v>
      </c>
      <c r="CF21">
        <v>1.77</v>
      </c>
      <c r="CG21">
        <v>300</v>
      </c>
      <c r="CH21">
        <v>23.8</v>
      </c>
      <c r="CI21">
        <v>1566.68657207819</v>
      </c>
      <c r="CJ21">
        <v>1.69033595644234</v>
      </c>
      <c r="CK21">
        <v>-15.2047715831109</v>
      </c>
      <c r="CL21">
        <v>0.776470996261547</v>
      </c>
      <c r="CM21">
        <v>0.931948073837784</v>
      </c>
      <c r="CN21">
        <v>-0.00350070856507231</v>
      </c>
      <c r="CO21">
        <v>290</v>
      </c>
      <c r="CP21">
        <v>1535.47</v>
      </c>
      <c r="CQ21">
        <v>685</v>
      </c>
      <c r="CR21">
        <v>5150.43</v>
      </c>
      <c r="CS21">
        <v>1537.17</v>
      </c>
      <c r="CT21">
        <v>-1.7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440</v>
      </c>
      <c r="DO21">
        <v>2</v>
      </c>
      <c r="DP21" t="b">
        <v>1</v>
      </c>
      <c r="DQ21">
        <v>1761677650</v>
      </c>
      <c r="DR21">
        <v>413.332466666667</v>
      </c>
      <c r="DS21">
        <v>419.999066666667</v>
      </c>
      <c r="DT21">
        <v>6.096576</v>
      </c>
      <c r="DU21">
        <v>3.96578666666667</v>
      </c>
      <c r="DV21">
        <v>410.4428</v>
      </c>
      <c r="DW21">
        <v>6.231438</v>
      </c>
      <c r="DX21">
        <v>500.027733333333</v>
      </c>
      <c r="DY21">
        <v>90.85776</v>
      </c>
      <c r="DZ21">
        <v>0.01896562</v>
      </c>
      <c r="EA21">
        <v>18.3308866666667</v>
      </c>
      <c r="EB21">
        <v>17.8154266666667</v>
      </c>
      <c r="EC21">
        <v>999.9</v>
      </c>
      <c r="ED21">
        <v>0</v>
      </c>
      <c r="EE21">
        <v>0</v>
      </c>
      <c r="EF21">
        <v>9996.286</v>
      </c>
      <c r="EG21">
        <v>0</v>
      </c>
      <c r="EH21">
        <v>1266.34866666667</v>
      </c>
      <c r="EI21">
        <v>-6.666544</v>
      </c>
      <c r="EJ21">
        <v>415.867733333333</v>
      </c>
      <c r="EK21">
        <v>421.671266666667</v>
      </c>
      <c r="EL21">
        <v>2.13079</v>
      </c>
      <c r="EM21">
        <v>419.999066666667</v>
      </c>
      <c r="EN21">
        <v>3.96578666666667</v>
      </c>
      <c r="EO21">
        <v>0.553921333333333</v>
      </c>
      <c r="EP21">
        <v>0.360322533333333</v>
      </c>
      <c r="EQ21">
        <v>-1.40169</v>
      </c>
      <c r="ER21">
        <v>-7.11410466666667</v>
      </c>
      <c r="ES21">
        <v>900.0056</v>
      </c>
      <c r="ET21">
        <v>0.956002733333333</v>
      </c>
      <c r="EU21">
        <v>0.0439971133333333</v>
      </c>
      <c r="EV21">
        <v>0</v>
      </c>
      <c r="EW21">
        <v>1420.816</v>
      </c>
      <c r="EX21">
        <v>5.00059</v>
      </c>
      <c r="EY21">
        <v>12584.44</v>
      </c>
      <c r="EZ21">
        <v>7732.86266666667</v>
      </c>
      <c r="FA21">
        <v>36.6414666666667</v>
      </c>
      <c r="FB21">
        <v>38.8288</v>
      </c>
      <c r="FC21">
        <v>37.2955333333333</v>
      </c>
      <c r="FD21">
        <v>38.062</v>
      </c>
      <c r="FE21">
        <v>37.6539333333333</v>
      </c>
      <c r="FF21">
        <v>855.627333333334</v>
      </c>
      <c r="FG21">
        <v>39.38</v>
      </c>
      <c r="FH21">
        <v>0</v>
      </c>
      <c r="FI21">
        <v>165.200000047684</v>
      </c>
      <c r="FJ21">
        <v>0</v>
      </c>
      <c r="FK21">
        <v>1420.75</v>
      </c>
      <c r="FL21">
        <v>-4.74692307116449</v>
      </c>
      <c r="FM21">
        <v>-54.2153846123317</v>
      </c>
      <c r="FN21">
        <v>12583.368</v>
      </c>
      <c r="FO21">
        <v>15</v>
      </c>
      <c r="FP21">
        <v>0</v>
      </c>
      <c r="FQ21" t="s">
        <v>441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-6.67771095238095</v>
      </c>
      <c r="GD21">
        <v>0.245304935064925</v>
      </c>
      <c r="GE21">
        <v>0.0492665641378624</v>
      </c>
      <c r="GF21">
        <v>1</v>
      </c>
      <c r="GG21">
        <v>1421.17058823529</v>
      </c>
      <c r="GH21">
        <v>-5.12971734424068</v>
      </c>
      <c r="GI21">
        <v>0.540124937488439</v>
      </c>
      <c r="GJ21">
        <v>-1</v>
      </c>
      <c r="GK21">
        <v>2.12612761904762</v>
      </c>
      <c r="GL21">
        <v>0.0816163636363633</v>
      </c>
      <c r="GM21">
        <v>0.0091156939002715</v>
      </c>
      <c r="GN21">
        <v>1</v>
      </c>
      <c r="GO21">
        <v>2</v>
      </c>
      <c r="GP21">
        <v>2</v>
      </c>
      <c r="GQ21" t="s">
        <v>442</v>
      </c>
      <c r="GR21">
        <v>3.12823</v>
      </c>
      <c r="GS21">
        <v>2.697</v>
      </c>
      <c r="GT21">
        <v>0.0886637</v>
      </c>
      <c r="GU21">
        <v>0.0903854</v>
      </c>
      <c r="GV21">
        <v>0.0363809</v>
      </c>
      <c r="GW21">
        <v>0.02527</v>
      </c>
      <c r="GX21">
        <v>34327.4</v>
      </c>
      <c r="GY21">
        <v>36734.3</v>
      </c>
      <c r="GZ21">
        <v>34076.4</v>
      </c>
      <c r="HA21">
        <v>36561.9</v>
      </c>
      <c r="HB21">
        <v>46371.2</v>
      </c>
      <c r="HC21">
        <v>51119.8</v>
      </c>
      <c r="HD21">
        <v>53091.6</v>
      </c>
      <c r="HE21">
        <v>58338.9</v>
      </c>
      <c r="HF21">
        <v>1.9616</v>
      </c>
      <c r="HG21">
        <v>2.34585</v>
      </c>
      <c r="HH21">
        <v>-0.0261143</v>
      </c>
      <c r="HI21">
        <v>0</v>
      </c>
      <c r="HJ21">
        <v>18.3093</v>
      </c>
      <c r="HK21">
        <v>999.9</v>
      </c>
      <c r="HL21">
        <v>25.858</v>
      </c>
      <c r="HM21">
        <v>27.926</v>
      </c>
      <c r="HN21">
        <v>10.7522</v>
      </c>
      <c r="HO21">
        <v>54.3441</v>
      </c>
      <c r="HP21">
        <v>32.2837</v>
      </c>
      <c r="HQ21">
        <v>2</v>
      </c>
      <c r="HR21">
        <v>0.00716972</v>
      </c>
      <c r="HS21">
        <v>4.05683</v>
      </c>
      <c r="HT21">
        <v>20.0969</v>
      </c>
      <c r="HU21">
        <v>5.19932</v>
      </c>
      <c r="HV21">
        <v>12.0041</v>
      </c>
      <c r="HW21">
        <v>4.97575</v>
      </c>
      <c r="HX21">
        <v>3.29398</v>
      </c>
      <c r="HY21">
        <v>9999</v>
      </c>
      <c r="HZ21">
        <v>9999</v>
      </c>
      <c r="IA21">
        <v>9999</v>
      </c>
      <c r="IB21">
        <v>999.9</v>
      </c>
      <c r="IC21">
        <v>1.86319</v>
      </c>
      <c r="ID21">
        <v>1.86809</v>
      </c>
      <c r="IE21">
        <v>1.86783</v>
      </c>
      <c r="IF21">
        <v>1.86898</v>
      </c>
      <c r="IG21">
        <v>1.86981</v>
      </c>
      <c r="IH21">
        <v>1.86585</v>
      </c>
      <c r="II21">
        <v>1.86699</v>
      </c>
      <c r="IJ21">
        <v>1.86842</v>
      </c>
      <c r="IK21">
        <v>5</v>
      </c>
      <c r="IL21">
        <v>0</v>
      </c>
      <c r="IM21">
        <v>0</v>
      </c>
      <c r="IN21">
        <v>0</v>
      </c>
      <c r="IO21" t="s">
        <v>443</v>
      </c>
      <c r="IP21" t="s">
        <v>444</v>
      </c>
      <c r="IQ21" t="s">
        <v>445</v>
      </c>
      <c r="IR21" t="s">
        <v>445</v>
      </c>
      <c r="IS21" t="s">
        <v>445</v>
      </c>
      <c r="IT21" t="s">
        <v>445</v>
      </c>
      <c r="IU21">
        <v>0</v>
      </c>
      <c r="IV21">
        <v>100</v>
      </c>
      <c r="IW21">
        <v>100</v>
      </c>
      <c r="IX21">
        <v>2.889</v>
      </c>
      <c r="IY21">
        <v>-0.1348</v>
      </c>
      <c r="IZ21">
        <v>1.24656194001752</v>
      </c>
      <c r="JA21">
        <v>0.00408463137630218</v>
      </c>
      <c r="JB21">
        <v>-2.23906557180379e-07</v>
      </c>
      <c r="JC21">
        <v>6.23399102760906e-11</v>
      </c>
      <c r="JD21">
        <v>-0.0873394905990972</v>
      </c>
      <c r="JE21">
        <v>-0.0233348201324191</v>
      </c>
      <c r="JF21">
        <v>0.00274696999164489</v>
      </c>
      <c r="JG21">
        <v>-3.62864435074646e-05</v>
      </c>
      <c r="JH21">
        <v>5</v>
      </c>
      <c r="JI21">
        <v>2263</v>
      </c>
      <c r="JJ21">
        <v>1</v>
      </c>
      <c r="JK21">
        <v>24</v>
      </c>
      <c r="JL21">
        <v>29361294.3</v>
      </c>
      <c r="JM21">
        <v>29361294.3</v>
      </c>
      <c r="JN21">
        <v>1.2439</v>
      </c>
      <c r="JO21">
        <v>2.59766</v>
      </c>
      <c r="JP21">
        <v>2.19849</v>
      </c>
      <c r="JQ21">
        <v>2.63306</v>
      </c>
      <c r="JR21">
        <v>2.44507</v>
      </c>
      <c r="JS21">
        <v>2.33154</v>
      </c>
      <c r="JT21">
        <v>32.0244</v>
      </c>
      <c r="JU21">
        <v>24.1838</v>
      </c>
      <c r="JV21">
        <v>18</v>
      </c>
      <c r="JW21">
        <v>501.172</v>
      </c>
      <c r="JX21">
        <v>794.141</v>
      </c>
      <c r="JY21">
        <v>12.9182</v>
      </c>
      <c r="JZ21">
        <v>27.3925</v>
      </c>
      <c r="KA21">
        <v>30</v>
      </c>
      <c r="KB21">
        <v>27.2752</v>
      </c>
      <c r="KC21">
        <v>27.1889</v>
      </c>
      <c r="KD21">
        <v>24.9362</v>
      </c>
      <c r="KE21">
        <v>46.5993</v>
      </c>
      <c r="KF21">
        <v>0</v>
      </c>
      <c r="KG21">
        <v>12.9935</v>
      </c>
      <c r="KH21">
        <v>420</v>
      </c>
      <c r="KI21">
        <v>4.01859</v>
      </c>
      <c r="KJ21">
        <v>96.5573</v>
      </c>
      <c r="KK21">
        <v>94.5811</v>
      </c>
    </row>
    <row r="22" spans="1:297">
      <c r="A22">
        <v>6</v>
      </c>
      <c r="B22">
        <v>1761677728</v>
      </c>
      <c r="C22">
        <v>378.900000095367</v>
      </c>
      <c r="D22" t="s">
        <v>459</v>
      </c>
      <c r="E22" t="s">
        <v>460</v>
      </c>
      <c r="F22">
        <v>5</v>
      </c>
      <c r="G22" t="s">
        <v>435</v>
      </c>
      <c r="H22" t="s">
        <v>436</v>
      </c>
      <c r="I22">
        <v>1761677719.5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421.693275769621</v>
      </c>
      <c r="AK22">
        <v>416.176048484849</v>
      </c>
      <c r="AL22">
        <v>0.000159227748794915</v>
      </c>
      <c r="AM22">
        <v>64.013581017493</v>
      </c>
      <c r="AN22">
        <f>(AP22 - AO22 + DY22*1E3/(8.314*(EA22+273.15)) * AR22/DX22 * AQ22) * DX22/(100*DL22) * 1000/(1000 - AP22)</f>
        <v>0</v>
      </c>
      <c r="AO22">
        <v>4.0273064983353</v>
      </c>
      <c r="AP22">
        <v>6.2045765034965</v>
      </c>
      <c r="AQ22">
        <v>0.000134106428089169</v>
      </c>
      <c r="AR22">
        <v>106.10340464483</v>
      </c>
      <c r="AS22">
        <v>0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448</v>
      </c>
      <c r="AY22" t="s">
        <v>448</v>
      </c>
      <c r="AZ22">
        <v>0</v>
      </c>
      <c r="BA22">
        <v>0</v>
      </c>
      <c r="BB22">
        <f>1-AZ22/BA22</f>
        <v>0</v>
      </c>
      <c r="BC22">
        <v>0</v>
      </c>
      <c r="BD22" t="s">
        <v>448</v>
      </c>
      <c r="BE22" t="s">
        <v>448</v>
      </c>
      <c r="BF22">
        <v>0</v>
      </c>
      <c r="BG22">
        <v>0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448</v>
      </c>
      <c r="BQ22">
        <v>0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BZ22">
        <v>5</v>
      </c>
      <c r="CA22">
        <v>290</v>
      </c>
      <c r="CB22">
        <v>1538.94</v>
      </c>
      <c r="CC22">
        <v>205</v>
      </c>
      <c r="CD22">
        <v>5152.1</v>
      </c>
      <c r="CE22">
        <v>1537.17</v>
      </c>
      <c r="CF22">
        <v>1.77</v>
      </c>
      <c r="CG22">
        <v>300</v>
      </c>
      <c r="CH22">
        <v>23.8</v>
      </c>
      <c r="CI22">
        <v>1566.68657207819</v>
      </c>
      <c r="CJ22">
        <v>1.69033595644234</v>
      </c>
      <c r="CK22">
        <v>-15.2047715831109</v>
      </c>
      <c r="CL22">
        <v>0.776470996261547</v>
      </c>
      <c r="CM22">
        <v>0.931948073837784</v>
      </c>
      <c r="CN22">
        <v>-0.00350070856507231</v>
      </c>
      <c r="CO22">
        <v>290</v>
      </c>
      <c r="CP22">
        <v>1535.47</v>
      </c>
      <c r="CQ22">
        <v>685</v>
      </c>
      <c r="CR22">
        <v>5150.43</v>
      </c>
      <c r="CS22">
        <v>1537.17</v>
      </c>
      <c r="CT22">
        <v>-1.7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440</v>
      </c>
      <c r="DO22">
        <v>2</v>
      </c>
      <c r="DP22" t="b">
        <v>1</v>
      </c>
      <c r="DQ22">
        <v>1761677719.5</v>
      </c>
      <c r="DR22">
        <v>413.6035</v>
      </c>
      <c r="DS22">
        <v>420.01425</v>
      </c>
      <c r="DT22">
        <v>6.187431875</v>
      </c>
      <c r="DU22">
        <v>4.027690625</v>
      </c>
      <c r="DV22">
        <v>410.712875</v>
      </c>
      <c r="DW22">
        <v>6.32167375</v>
      </c>
      <c r="DX22">
        <v>500.009</v>
      </c>
      <c r="DY22">
        <v>90.8681625</v>
      </c>
      <c r="DZ22">
        <v>0.0187801625</v>
      </c>
      <c r="EA22">
        <v>18.6616875</v>
      </c>
      <c r="EB22">
        <v>17.93099375</v>
      </c>
      <c r="EC22">
        <v>999.9</v>
      </c>
      <c r="ED22">
        <v>0</v>
      </c>
      <c r="EE22">
        <v>0</v>
      </c>
      <c r="EF22">
        <v>10010.353125</v>
      </c>
      <c r="EG22">
        <v>0</v>
      </c>
      <c r="EH22">
        <v>1266.4</v>
      </c>
      <c r="EI22">
        <v>-6.4106925</v>
      </c>
      <c r="EJ22">
        <v>416.1786875</v>
      </c>
      <c r="EK22">
        <v>421.71275</v>
      </c>
      <c r="EL22">
        <v>2.159741875</v>
      </c>
      <c r="EM22">
        <v>420.01425</v>
      </c>
      <c r="EN22">
        <v>4.027690625</v>
      </c>
      <c r="EO22">
        <v>0.5622404375</v>
      </c>
      <c r="EP22">
        <v>0.365988625</v>
      </c>
      <c r="EQ22">
        <v>-1.198675625</v>
      </c>
      <c r="ER22">
        <v>-6.9115825</v>
      </c>
      <c r="ES22">
        <v>600.0250625</v>
      </c>
      <c r="ET22">
        <v>0.9330013125</v>
      </c>
      <c r="EU22">
        <v>0.06699874375</v>
      </c>
      <c r="EV22">
        <v>0</v>
      </c>
      <c r="EW22">
        <v>1357.1075</v>
      </c>
      <c r="EX22">
        <v>5.00059</v>
      </c>
      <c r="EY22">
        <v>7963.67125</v>
      </c>
      <c r="EZ22">
        <v>5105.72375</v>
      </c>
      <c r="FA22">
        <v>36.058375</v>
      </c>
      <c r="FB22">
        <v>38.5816875</v>
      </c>
      <c r="FC22">
        <v>36.91375</v>
      </c>
      <c r="FD22">
        <v>37.875</v>
      </c>
      <c r="FE22">
        <v>37.23425</v>
      </c>
      <c r="FF22">
        <v>555.158125</v>
      </c>
      <c r="FG22">
        <v>39.8625</v>
      </c>
      <c r="FH22">
        <v>0</v>
      </c>
      <c r="FI22">
        <v>67.0999999046326</v>
      </c>
      <c r="FJ22">
        <v>0</v>
      </c>
      <c r="FK22">
        <v>1357.155</v>
      </c>
      <c r="FL22">
        <v>-0.570598298087804</v>
      </c>
      <c r="FM22">
        <v>-15.9312819771747</v>
      </c>
      <c r="FN22">
        <v>7963.24038461538</v>
      </c>
      <c r="FO22">
        <v>15</v>
      </c>
      <c r="FP22">
        <v>0</v>
      </c>
      <c r="FQ22" t="s">
        <v>441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-6.3988455</v>
      </c>
      <c r="GD22">
        <v>-0.249756541353387</v>
      </c>
      <c r="GE22">
        <v>0.0320855360676738</v>
      </c>
      <c r="GF22">
        <v>1</v>
      </c>
      <c r="GG22">
        <v>1357.12941176471</v>
      </c>
      <c r="GH22">
        <v>0.288770052312694</v>
      </c>
      <c r="GI22">
        <v>0.234243980103074</v>
      </c>
      <c r="GJ22">
        <v>-1</v>
      </c>
      <c r="GK22">
        <v>2.1572605</v>
      </c>
      <c r="GL22">
        <v>0.120100601503758</v>
      </c>
      <c r="GM22">
        <v>0.0128805052210696</v>
      </c>
      <c r="GN22">
        <v>0</v>
      </c>
      <c r="GO22">
        <v>1</v>
      </c>
      <c r="GP22">
        <v>2</v>
      </c>
      <c r="GQ22" t="s">
        <v>461</v>
      </c>
      <c r="GR22">
        <v>3.12842</v>
      </c>
      <c r="GS22">
        <v>2.697</v>
      </c>
      <c r="GT22">
        <v>0.0887313</v>
      </c>
      <c r="GU22">
        <v>0.0903921</v>
      </c>
      <c r="GV22">
        <v>0.0368604</v>
      </c>
      <c r="GW22">
        <v>0.0254796</v>
      </c>
      <c r="GX22">
        <v>34327.8</v>
      </c>
      <c r="GY22">
        <v>36738.9</v>
      </c>
      <c r="GZ22">
        <v>34079</v>
      </c>
      <c r="HA22">
        <v>36566.5</v>
      </c>
      <c r="HB22">
        <v>46351</v>
      </c>
      <c r="HC22">
        <v>51115.3</v>
      </c>
      <c r="HD22">
        <v>53095</v>
      </c>
      <c r="HE22">
        <v>58345.9</v>
      </c>
      <c r="HF22">
        <v>1.96248</v>
      </c>
      <c r="HG22">
        <v>2.34687</v>
      </c>
      <c r="HH22">
        <v>-0.0303127</v>
      </c>
      <c r="HI22">
        <v>0</v>
      </c>
      <c r="HJ22">
        <v>18.4884</v>
      </c>
      <c r="HK22">
        <v>999.9</v>
      </c>
      <c r="HL22">
        <v>25.632</v>
      </c>
      <c r="HM22">
        <v>27.976</v>
      </c>
      <c r="HN22">
        <v>10.6903</v>
      </c>
      <c r="HO22">
        <v>54.6041</v>
      </c>
      <c r="HP22">
        <v>32.1915</v>
      </c>
      <c r="HQ22">
        <v>2</v>
      </c>
      <c r="HR22">
        <v>0.00134654</v>
      </c>
      <c r="HS22">
        <v>3.71358</v>
      </c>
      <c r="HT22">
        <v>20.1054</v>
      </c>
      <c r="HU22">
        <v>5.19962</v>
      </c>
      <c r="HV22">
        <v>12.004</v>
      </c>
      <c r="HW22">
        <v>4.9757</v>
      </c>
      <c r="HX22">
        <v>3.29398</v>
      </c>
      <c r="HY22">
        <v>9999</v>
      </c>
      <c r="HZ22">
        <v>9999</v>
      </c>
      <c r="IA22">
        <v>9999</v>
      </c>
      <c r="IB22">
        <v>999.9</v>
      </c>
      <c r="IC22">
        <v>1.8632</v>
      </c>
      <c r="ID22">
        <v>1.86812</v>
      </c>
      <c r="IE22">
        <v>1.86785</v>
      </c>
      <c r="IF22">
        <v>1.86904</v>
      </c>
      <c r="IG22">
        <v>1.86983</v>
      </c>
      <c r="IH22">
        <v>1.86587</v>
      </c>
      <c r="II22">
        <v>1.86701</v>
      </c>
      <c r="IJ22">
        <v>1.86844</v>
      </c>
      <c r="IK22">
        <v>5</v>
      </c>
      <c r="IL22">
        <v>0</v>
      </c>
      <c r="IM22">
        <v>0</v>
      </c>
      <c r="IN22">
        <v>0</v>
      </c>
      <c r="IO22" t="s">
        <v>443</v>
      </c>
      <c r="IP22" t="s">
        <v>444</v>
      </c>
      <c r="IQ22" t="s">
        <v>445</v>
      </c>
      <c r="IR22" t="s">
        <v>445</v>
      </c>
      <c r="IS22" t="s">
        <v>445</v>
      </c>
      <c r="IT22" t="s">
        <v>445</v>
      </c>
      <c r="IU22">
        <v>0</v>
      </c>
      <c r="IV22">
        <v>100</v>
      </c>
      <c r="IW22">
        <v>100</v>
      </c>
      <c r="IX22">
        <v>2.891</v>
      </c>
      <c r="IY22">
        <v>-0.1341</v>
      </c>
      <c r="IZ22">
        <v>1.24656194001752</v>
      </c>
      <c r="JA22">
        <v>0.00408463137630218</v>
      </c>
      <c r="JB22">
        <v>-2.23906557180379e-07</v>
      </c>
      <c r="JC22">
        <v>6.23399102760906e-11</v>
      </c>
      <c r="JD22">
        <v>-0.0873394905990972</v>
      </c>
      <c r="JE22">
        <v>-0.0233348201324191</v>
      </c>
      <c r="JF22">
        <v>0.00274696999164489</v>
      </c>
      <c r="JG22">
        <v>-3.62864435074646e-05</v>
      </c>
      <c r="JH22">
        <v>5</v>
      </c>
      <c r="JI22">
        <v>2263</v>
      </c>
      <c r="JJ22">
        <v>1</v>
      </c>
      <c r="JK22">
        <v>24</v>
      </c>
      <c r="JL22">
        <v>29361295.5</v>
      </c>
      <c r="JM22">
        <v>29361295.5</v>
      </c>
      <c r="JN22">
        <v>1.24512</v>
      </c>
      <c r="JO22">
        <v>2.6001</v>
      </c>
      <c r="JP22">
        <v>2.19849</v>
      </c>
      <c r="JQ22">
        <v>2.63428</v>
      </c>
      <c r="JR22">
        <v>2.44629</v>
      </c>
      <c r="JS22">
        <v>2.33643</v>
      </c>
      <c r="JT22">
        <v>32.0244</v>
      </c>
      <c r="JU22">
        <v>24.2013</v>
      </c>
      <c r="JV22">
        <v>18</v>
      </c>
      <c r="JW22">
        <v>501.499</v>
      </c>
      <c r="JX22">
        <v>794.839</v>
      </c>
      <c r="JY22">
        <v>13.9489</v>
      </c>
      <c r="JZ22">
        <v>27.3248</v>
      </c>
      <c r="KA22">
        <v>30</v>
      </c>
      <c r="KB22">
        <v>27.2479</v>
      </c>
      <c r="KC22">
        <v>27.1708</v>
      </c>
      <c r="KD22">
        <v>24.9346</v>
      </c>
      <c r="KE22">
        <v>45.7761</v>
      </c>
      <c r="KF22">
        <v>0</v>
      </c>
      <c r="KG22">
        <v>13.9532</v>
      </c>
      <c r="KH22">
        <v>420</v>
      </c>
      <c r="KI22">
        <v>4.09645</v>
      </c>
      <c r="KJ22">
        <v>96.5639</v>
      </c>
      <c r="KK22">
        <v>94.5927</v>
      </c>
    </row>
    <row r="23" spans="1:297">
      <c r="A23">
        <v>7</v>
      </c>
      <c r="B23">
        <v>1761677795</v>
      </c>
      <c r="C23">
        <v>445.900000095367</v>
      </c>
      <c r="D23" t="s">
        <v>462</v>
      </c>
      <c r="E23" t="s">
        <v>463</v>
      </c>
      <c r="F23">
        <v>5</v>
      </c>
      <c r="G23" t="s">
        <v>435</v>
      </c>
      <c r="H23" t="s">
        <v>436</v>
      </c>
      <c r="I23">
        <v>1761677786.5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421.761470718354</v>
      </c>
      <c r="AK23">
        <v>416.855509090909</v>
      </c>
      <c r="AL23">
        <v>0.00417236183877985</v>
      </c>
      <c r="AM23">
        <v>64.013581017493</v>
      </c>
      <c r="AN23">
        <f>(AP23 - AO23 + DY23*1E3/(8.314*(EA23+273.15)) * AR23/DX23 * AQ23) * DX23/(100*DL23) * 1000/(1000 - AP23)</f>
        <v>0</v>
      </c>
      <c r="AO23">
        <v>4.12145358815943</v>
      </c>
      <c r="AP23">
        <v>6.28476475524476</v>
      </c>
      <c r="AQ23">
        <v>9.21828928505344e-05</v>
      </c>
      <c r="AR23">
        <v>106.10340464483</v>
      </c>
      <c r="AS23">
        <v>0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437</v>
      </c>
      <c r="AY23">
        <v>5115.2</v>
      </c>
      <c r="AZ23">
        <v>732.504</v>
      </c>
      <c r="BA23">
        <v>1728.22675254666</v>
      </c>
      <c r="BB23">
        <f>1-AZ23/BA23</f>
        <v>0</v>
      </c>
      <c r="BC23">
        <v>-0.350174750577109</v>
      </c>
      <c r="BD23" t="s">
        <v>464</v>
      </c>
      <c r="BE23">
        <v>5145.26</v>
      </c>
      <c r="BF23">
        <v>1182.97615384615</v>
      </c>
      <c r="BG23">
        <v>1585.09609415154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465</v>
      </c>
      <c r="BQ23">
        <v>849.6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BZ23">
        <v>7</v>
      </c>
      <c r="CA23">
        <v>290</v>
      </c>
      <c r="CB23">
        <v>1555.12</v>
      </c>
      <c r="CC23">
        <v>295</v>
      </c>
      <c r="CD23">
        <v>5145.26</v>
      </c>
      <c r="CE23">
        <v>1554.37</v>
      </c>
      <c r="CF23">
        <v>0.75</v>
      </c>
      <c r="CG23">
        <v>300</v>
      </c>
      <c r="CH23">
        <v>23.8</v>
      </c>
      <c r="CI23">
        <v>1585.09609415154</v>
      </c>
      <c r="CJ23">
        <v>1.44850042938747</v>
      </c>
      <c r="CK23">
        <v>-15.8113979083517</v>
      </c>
      <c r="CL23">
        <v>0.652151883608543</v>
      </c>
      <c r="CM23">
        <v>0.954532035784158</v>
      </c>
      <c r="CN23">
        <v>-0.00400098642936596</v>
      </c>
      <c r="CO23">
        <v>290</v>
      </c>
      <c r="CP23">
        <v>1553.06</v>
      </c>
      <c r="CQ23">
        <v>675</v>
      </c>
      <c r="CR23">
        <v>5144.48</v>
      </c>
      <c r="CS23">
        <v>1554.36</v>
      </c>
      <c r="CT23">
        <v>-1.3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440</v>
      </c>
      <c r="DO23">
        <v>2</v>
      </c>
      <c r="DP23" t="b">
        <v>1</v>
      </c>
      <c r="DQ23">
        <v>1761677786.5</v>
      </c>
      <c r="DR23">
        <v>414.181125</v>
      </c>
      <c r="DS23">
        <v>419.992375</v>
      </c>
      <c r="DT23">
        <v>6.262709375</v>
      </c>
      <c r="DU23">
        <v>4.103344375</v>
      </c>
      <c r="DV23">
        <v>411.2880625</v>
      </c>
      <c r="DW23">
        <v>6.39641375</v>
      </c>
      <c r="DX23">
        <v>499.980125</v>
      </c>
      <c r="DY23">
        <v>90.85724375</v>
      </c>
      <c r="DZ23">
        <v>0.01912375</v>
      </c>
      <c r="EA23">
        <v>18.85209375</v>
      </c>
      <c r="EB23">
        <v>17.91686875</v>
      </c>
      <c r="EC23">
        <v>999.9</v>
      </c>
      <c r="ED23">
        <v>0</v>
      </c>
      <c r="EE23">
        <v>0</v>
      </c>
      <c r="EF23">
        <v>9999.834375</v>
      </c>
      <c r="EG23">
        <v>0</v>
      </c>
      <c r="EH23">
        <v>1266.3975</v>
      </c>
      <c r="EI23">
        <v>-5.81137625</v>
      </c>
      <c r="EJ23">
        <v>416.7911875</v>
      </c>
      <c r="EK23">
        <v>421.7230625</v>
      </c>
      <c r="EL23">
        <v>2.159365625</v>
      </c>
      <c r="EM23">
        <v>419.992375</v>
      </c>
      <c r="EN23">
        <v>4.103344375</v>
      </c>
      <c r="EO23">
        <v>0.5690125</v>
      </c>
      <c r="EP23">
        <v>0.3728185625</v>
      </c>
      <c r="EQ23">
        <v>-1.035357</v>
      </c>
      <c r="ER23">
        <v>-6.671248125</v>
      </c>
      <c r="ES23">
        <v>300.0048125</v>
      </c>
      <c r="ET23">
        <v>0.899997125</v>
      </c>
      <c r="EU23">
        <v>0.100002725</v>
      </c>
      <c r="EV23">
        <v>0</v>
      </c>
      <c r="EW23">
        <v>1182.951875</v>
      </c>
      <c r="EX23">
        <v>5.00059</v>
      </c>
      <c r="EY23">
        <v>3452.208125</v>
      </c>
      <c r="EZ23">
        <v>2506.23</v>
      </c>
      <c r="FA23">
        <v>35.3200625</v>
      </c>
      <c r="FB23">
        <v>38.284875</v>
      </c>
      <c r="FC23">
        <v>36.4685</v>
      </c>
      <c r="FD23">
        <v>37.63275</v>
      </c>
      <c r="FE23">
        <v>36.7185</v>
      </c>
      <c r="FF23">
        <v>265.503125</v>
      </c>
      <c r="FG23">
        <v>29.49875</v>
      </c>
      <c r="FH23">
        <v>0</v>
      </c>
      <c r="FI23">
        <v>134.299999952316</v>
      </c>
      <c r="FJ23">
        <v>0</v>
      </c>
      <c r="FK23">
        <v>1182.97615384615</v>
      </c>
      <c r="FL23">
        <v>1.47555555583949</v>
      </c>
      <c r="FM23">
        <v>-2.74017096967763</v>
      </c>
      <c r="FN23">
        <v>3452.07423076923</v>
      </c>
      <c r="FO23">
        <v>15</v>
      </c>
      <c r="FP23">
        <v>0</v>
      </c>
      <c r="FQ23" t="s">
        <v>441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-5.837591</v>
      </c>
      <c r="GD23">
        <v>0.401407218045114</v>
      </c>
      <c r="GE23">
        <v>0.064570853788687</v>
      </c>
      <c r="GF23">
        <v>1</v>
      </c>
      <c r="GG23">
        <v>1182.83176470588</v>
      </c>
      <c r="GH23">
        <v>1.86737968004721</v>
      </c>
      <c r="GI23">
        <v>0.234300844670169</v>
      </c>
      <c r="GJ23">
        <v>-1</v>
      </c>
      <c r="GK23">
        <v>2.159336</v>
      </c>
      <c r="GL23">
        <v>-0.0266237593984943</v>
      </c>
      <c r="GM23">
        <v>0.00593637043992372</v>
      </c>
      <c r="GN23">
        <v>1</v>
      </c>
      <c r="GO23">
        <v>2</v>
      </c>
      <c r="GP23">
        <v>2</v>
      </c>
      <c r="GQ23" t="s">
        <v>442</v>
      </c>
      <c r="GR23">
        <v>3.12837</v>
      </c>
      <c r="GS23">
        <v>2.69703</v>
      </c>
      <c r="GT23">
        <v>0.0888403</v>
      </c>
      <c r="GU23">
        <v>0.0903909</v>
      </c>
      <c r="GV23">
        <v>0.0372526</v>
      </c>
      <c r="GW23">
        <v>0.0259961</v>
      </c>
      <c r="GX23">
        <v>34328.7</v>
      </c>
      <c r="GY23">
        <v>36745.7</v>
      </c>
      <c r="GZ23">
        <v>34083.5</v>
      </c>
      <c r="HA23">
        <v>36572.7</v>
      </c>
      <c r="HB23">
        <v>46337.3</v>
      </c>
      <c r="HC23">
        <v>51096.6</v>
      </c>
      <c r="HD23">
        <v>53100.8</v>
      </c>
      <c r="HE23">
        <v>58355.3</v>
      </c>
      <c r="HF23">
        <v>1.96318</v>
      </c>
      <c r="HG23">
        <v>2.3484</v>
      </c>
      <c r="HH23">
        <v>-0.0423416</v>
      </c>
      <c r="HI23">
        <v>0</v>
      </c>
      <c r="HJ23">
        <v>18.6627</v>
      </c>
      <c r="HK23">
        <v>999.9</v>
      </c>
      <c r="HL23">
        <v>25.43</v>
      </c>
      <c r="HM23">
        <v>28.016</v>
      </c>
      <c r="HN23">
        <v>10.6315</v>
      </c>
      <c r="HO23">
        <v>54.1441</v>
      </c>
      <c r="HP23">
        <v>32.2035</v>
      </c>
      <c r="HQ23">
        <v>2</v>
      </c>
      <c r="HR23">
        <v>-0.00658028</v>
      </c>
      <c r="HS23">
        <v>3.34218</v>
      </c>
      <c r="HT23">
        <v>20.1153</v>
      </c>
      <c r="HU23">
        <v>5.19902</v>
      </c>
      <c r="HV23">
        <v>12.004</v>
      </c>
      <c r="HW23">
        <v>4.9757</v>
      </c>
      <c r="HX23">
        <v>3.29398</v>
      </c>
      <c r="HY23">
        <v>9999</v>
      </c>
      <c r="HZ23">
        <v>9999</v>
      </c>
      <c r="IA23">
        <v>9999</v>
      </c>
      <c r="IB23">
        <v>999.9</v>
      </c>
      <c r="IC23">
        <v>1.86314</v>
      </c>
      <c r="ID23">
        <v>1.86812</v>
      </c>
      <c r="IE23">
        <v>1.86784</v>
      </c>
      <c r="IF23">
        <v>1.86904</v>
      </c>
      <c r="IG23">
        <v>1.86983</v>
      </c>
      <c r="IH23">
        <v>1.86586</v>
      </c>
      <c r="II23">
        <v>1.86694</v>
      </c>
      <c r="IJ23">
        <v>1.86843</v>
      </c>
      <c r="IK23">
        <v>5</v>
      </c>
      <c r="IL23">
        <v>0</v>
      </c>
      <c r="IM23">
        <v>0</v>
      </c>
      <c r="IN23">
        <v>0</v>
      </c>
      <c r="IO23" t="s">
        <v>443</v>
      </c>
      <c r="IP23" t="s">
        <v>444</v>
      </c>
      <c r="IQ23" t="s">
        <v>445</v>
      </c>
      <c r="IR23" t="s">
        <v>445</v>
      </c>
      <c r="IS23" t="s">
        <v>445</v>
      </c>
      <c r="IT23" t="s">
        <v>445</v>
      </c>
      <c r="IU23">
        <v>0</v>
      </c>
      <c r="IV23">
        <v>100</v>
      </c>
      <c r="IW23">
        <v>100</v>
      </c>
      <c r="IX23">
        <v>2.893</v>
      </c>
      <c r="IY23">
        <v>-0.1335</v>
      </c>
      <c r="IZ23">
        <v>1.24656194001752</v>
      </c>
      <c r="JA23">
        <v>0.00408463137630218</v>
      </c>
      <c r="JB23">
        <v>-2.23906557180379e-07</v>
      </c>
      <c r="JC23">
        <v>6.23399102760906e-11</v>
      </c>
      <c r="JD23">
        <v>-0.0873394905990972</v>
      </c>
      <c r="JE23">
        <v>-0.0233348201324191</v>
      </c>
      <c r="JF23">
        <v>0.00274696999164489</v>
      </c>
      <c r="JG23">
        <v>-3.62864435074646e-05</v>
      </c>
      <c r="JH23">
        <v>5</v>
      </c>
      <c r="JI23">
        <v>2263</v>
      </c>
      <c r="JJ23">
        <v>1</v>
      </c>
      <c r="JK23">
        <v>24</v>
      </c>
      <c r="JL23">
        <v>29361296.6</v>
      </c>
      <c r="JM23">
        <v>29361296.6</v>
      </c>
      <c r="JN23">
        <v>1.24512</v>
      </c>
      <c r="JO23">
        <v>2.60254</v>
      </c>
      <c r="JP23">
        <v>2.19849</v>
      </c>
      <c r="JQ23">
        <v>2.63306</v>
      </c>
      <c r="JR23">
        <v>2.44507</v>
      </c>
      <c r="JS23">
        <v>2.32056</v>
      </c>
      <c r="JT23">
        <v>32.0024</v>
      </c>
      <c r="JU23">
        <v>24.2013</v>
      </c>
      <c r="JV23">
        <v>18</v>
      </c>
      <c r="JW23">
        <v>501.577</v>
      </c>
      <c r="JX23">
        <v>795.781</v>
      </c>
      <c r="JY23">
        <v>14.4446</v>
      </c>
      <c r="JZ23">
        <v>27.241</v>
      </c>
      <c r="KA23">
        <v>29.9998</v>
      </c>
      <c r="KB23">
        <v>27.2056</v>
      </c>
      <c r="KC23">
        <v>27.137</v>
      </c>
      <c r="KD23">
        <v>24.9367</v>
      </c>
      <c r="KE23">
        <v>44.9445</v>
      </c>
      <c r="KF23">
        <v>0</v>
      </c>
      <c r="KG23">
        <v>14.4498</v>
      </c>
      <c r="KH23">
        <v>420</v>
      </c>
      <c r="KI23">
        <v>4.16566</v>
      </c>
      <c r="KJ23">
        <v>96.5753</v>
      </c>
      <c r="KK23">
        <v>94.6082</v>
      </c>
    </row>
    <row r="24" spans="1:297">
      <c r="A24">
        <v>8</v>
      </c>
      <c r="B24">
        <v>1761677877</v>
      </c>
      <c r="C24">
        <v>527.900000095367</v>
      </c>
      <c r="D24" t="s">
        <v>466</v>
      </c>
      <c r="E24" t="s">
        <v>467</v>
      </c>
      <c r="F24">
        <v>5</v>
      </c>
      <c r="G24" t="s">
        <v>435</v>
      </c>
      <c r="H24" t="s">
        <v>436</v>
      </c>
      <c r="I24">
        <v>1761677868.5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421.751424969901</v>
      </c>
      <c r="AK24">
        <v>418.165824242424</v>
      </c>
      <c r="AL24">
        <v>0.000721457437450237</v>
      </c>
      <c r="AM24">
        <v>64.013581017493</v>
      </c>
      <c r="AN24">
        <f>(AP24 - AO24 + DY24*1E3/(8.314*(EA24+273.15)) * AR24/DX24 * AQ24) * DX24/(100*DL24) * 1000/(1000 - AP24)</f>
        <v>0</v>
      </c>
      <c r="AO24">
        <v>4.19560466517437</v>
      </c>
      <c r="AP24">
        <v>6.35577405594406</v>
      </c>
      <c r="AQ24">
        <v>1.75291499142297e-05</v>
      </c>
      <c r="AR24">
        <v>106.10340464483</v>
      </c>
      <c r="AS24">
        <v>0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448</v>
      </c>
      <c r="AY24" t="s">
        <v>448</v>
      </c>
      <c r="AZ24">
        <v>0</v>
      </c>
      <c r="BA24">
        <v>0</v>
      </c>
      <c r="BB24">
        <f>1-AZ24/BA24</f>
        <v>0</v>
      </c>
      <c r="BC24">
        <v>0</v>
      </c>
      <c r="BD24" t="s">
        <v>448</v>
      </c>
      <c r="BE24" t="s">
        <v>448</v>
      </c>
      <c r="BF24">
        <v>0</v>
      </c>
      <c r="BG24">
        <v>0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448</v>
      </c>
      <c r="BQ24">
        <v>0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BZ24">
        <v>7</v>
      </c>
      <c r="CA24">
        <v>290</v>
      </c>
      <c r="CB24">
        <v>1555.12</v>
      </c>
      <c r="CC24">
        <v>295</v>
      </c>
      <c r="CD24">
        <v>5145.26</v>
      </c>
      <c r="CE24">
        <v>1554.37</v>
      </c>
      <c r="CF24">
        <v>0.75</v>
      </c>
      <c r="CG24">
        <v>300</v>
      </c>
      <c r="CH24">
        <v>23.8</v>
      </c>
      <c r="CI24">
        <v>1585.09609415154</v>
      </c>
      <c r="CJ24">
        <v>1.44850042938747</v>
      </c>
      <c r="CK24">
        <v>-15.8113979083517</v>
      </c>
      <c r="CL24">
        <v>0.652151883608543</v>
      </c>
      <c r="CM24">
        <v>0.954532035784158</v>
      </c>
      <c r="CN24">
        <v>-0.00400098642936596</v>
      </c>
      <c r="CO24">
        <v>290</v>
      </c>
      <c r="CP24">
        <v>1553.06</v>
      </c>
      <c r="CQ24">
        <v>675</v>
      </c>
      <c r="CR24">
        <v>5144.48</v>
      </c>
      <c r="CS24">
        <v>1554.36</v>
      </c>
      <c r="CT24">
        <v>-1.3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440</v>
      </c>
      <c r="DO24">
        <v>2</v>
      </c>
      <c r="DP24" t="b">
        <v>1</v>
      </c>
      <c r="DQ24">
        <v>1761677868.5</v>
      </c>
      <c r="DR24">
        <v>415.4596875</v>
      </c>
      <c r="DS24">
        <v>419.99525</v>
      </c>
      <c r="DT24">
        <v>6.34886625</v>
      </c>
      <c r="DU24">
        <v>4.18630375</v>
      </c>
      <c r="DV24">
        <v>412.56175</v>
      </c>
      <c r="DW24">
        <v>6.481926875</v>
      </c>
      <c r="DX24">
        <v>499.99825</v>
      </c>
      <c r="DY24">
        <v>90.8592</v>
      </c>
      <c r="DZ24">
        <v>0.01898846875</v>
      </c>
      <c r="EA24">
        <v>19.05435</v>
      </c>
      <c r="EB24">
        <v>18.04544375</v>
      </c>
      <c r="EC24">
        <v>999.9</v>
      </c>
      <c r="ED24">
        <v>0</v>
      </c>
      <c r="EE24">
        <v>0</v>
      </c>
      <c r="EF24">
        <v>10009.221875</v>
      </c>
      <c r="EG24">
        <v>0</v>
      </c>
      <c r="EH24">
        <v>1266.51625</v>
      </c>
      <c r="EI24">
        <v>-4.535369375</v>
      </c>
      <c r="EJ24">
        <v>418.114375</v>
      </c>
      <c r="EK24">
        <v>421.7608125</v>
      </c>
      <c r="EL24">
        <v>2.1625625</v>
      </c>
      <c r="EM24">
        <v>419.99525</v>
      </c>
      <c r="EN24">
        <v>4.18630375</v>
      </c>
      <c r="EO24">
        <v>0.5768529375</v>
      </c>
      <c r="EP24">
        <v>0.380364</v>
      </c>
      <c r="EQ24">
        <v>-0.8483903125</v>
      </c>
      <c r="ER24">
        <v>-6.410115</v>
      </c>
      <c r="ES24">
        <v>150.0205</v>
      </c>
      <c r="ET24">
        <v>0.900041875</v>
      </c>
      <c r="EU24">
        <v>0.09995796875</v>
      </c>
      <c r="EV24">
        <v>0</v>
      </c>
      <c r="EW24">
        <v>974.5564375</v>
      </c>
      <c r="EX24">
        <v>5.00059</v>
      </c>
      <c r="EY24">
        <v>1428.32875</v>
      </c>
      <c r="EZ24">
        <v>1232.045</v>
      </c>
      <c r="FA24">
        <v>34.812125</v>
      </c>
      <c r="FB24">
        <v>38.5700625</v>
      </c>
      <c r="FC24">
        <v>36.3318125</v>
      </c>
      <c r="FD24">
        <v>37.9685</v>
      </c>
      <c r="FE24">
        <v>36.56225</v>
      </c>
      <c r="FF24">
        <v>130.525</v>
      </c>
      <c r="FG24">
        <v>14.495625</v>
      </c>
      <c r="FH24">
        <v>0</v>
      </c>
      <c r="FI24">
        <v>79.1000001430511</v>
      </c>
      <c r="FJ24">
        <v>0</v>
      </c>
      <c r="FK24">
        <v>974.558230769231</v>
      </c>
      <c r="FL24">
        <v>-0.140376062360561</v>
      </c>
      <c r="FM24">
        <v>5.04957261130186</v>
      </c>
      <c r="FN24">
        <v>1428.33384615385</v>
      </c>
      <c r="FO24">
        <v>15</v>
      </c>
      <c r="FP24">
        <v>0</v>
      </c>
      <c r="FQ24" t="s">
        <v>441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-4.549972</v>
      </c>
      <c r="GD24">
        <v>0.397225263157892</v>
      </c>
      <c r="GE24">
        <v>0.0453160216259107</v>
      </c>
      <c r="GF24">
        <v>1</v>
      </c>
      <c r="GG24">
        <v>974.4695</v>
      </c>
      <c r="GH24">
        <v>1.08762414575958</v>
      </c>
      <c r="GI24">
        <v>0.223538949099924</v>
      </c>
      <c r="GJ24">
        <v>-1</v>
      </c>
      <c r="GK24">
        <v>2.163998</v>
      </c>
      <c r="GL24">
        <v>-0.0458697744360922</v>
      </c>
      <c r="GM24">
        <v>0.00820802753406689</v>
      </c>
      <c r="GN24">
        <v>1</v>
      </c>
      <c r="GO24">
        <v>2</v>
      </c>
      <c r="GP24">
        <v>2</v>
      </c>
      <c r="GQ24" t="s">
        <v>442</v>
      </c>
      <c r="GR24">
        <v>3.12839</v>
      </c>
      <c r="GS24">
        <v>2.69678</v>
      </c>
      <c r="GT24">
        <v>0.0890667</v>
      </c>
      <c r="GU24">
        <v>0.0904135</v>
      </c>
      <c r="GV24">
        <v>0.0376125</v>
      </c>
      <c r="GW24">
        <v>0.026488</v>
      </c>
      <c r="GX24">
        <v>34325.7</v>
      </c>
      <c r="GY24">
        <v>36752.5</v>
      </c>
      <c r="GZ24">
        <v>34088.3</v>
      </c>
      <c r="HA24">
        <v>36579.8</v>
      </c>
      <c r="HB24">
        <v>46325.3</v>
      </c>
      <c r="HC24">
        <v>51080.2</v>
      </c>
      <c r="HD24">
        <v>53106.7</v>
      </c>
      <c r="HE24">
        <v>58365.7</v>
      </c>
      <c r="HF24">
        <v>1.96448</v>
      </c>
      <c r="HG24">
        <v>2.35012</v>
      </c>
      <c r="HH24">
        <v>-0.0482537</v>
      </c>
      <c r="HI24">
        <v>0</v>
      </c>
      <c r="HJ24">
        <v>18.864</v>
      </c>
      <c r="HK24">
        <v>999.9</v>
      </c>
      <c r="HL24">
        <v>25.204</v>
      </c>
      <c r="HM24">
        <v>28.047</v>
      </c>
      <c r="HN24">
        <v>10.5538</v>
      </c>
      <c r="HO24">
        <v>53.9541</v>
      </c>
      <c r="HP24">
        <v>32.2075</v>
      </c>
      <c r="HQ24">
        <v>2</v>
      </c>
      <c r="HR24">
        <v>-0.0112805</v>
      </c>
      <c r="HS24">
        <v>4.16395</v>
      </c>
      <c r="HT24">
        <v>20.0994</v>
      </c>
      <c r="HU24">
        <v>5.19932</v>
      </c>
      <c r="HV24">
        <v>12.0044</v>
      </c>
      <c r="HW24">
        <v>4.9757</v>
      </c>
      <c r="HX24">
        <v>3.29398</v>
      </c>
      <c r="HY24">
        <v>9999</v>
      </c>
      <c r="HZ24">
        <v>9999</v>
      </c>
      <c r="IA24">
        <v>9999</v>
      </c>
      <c r="IB24">
        <v>999.9</v>
      </c>
      <c r="IC24">
        <v>1.86312</v>
      </c>
      <c r="ID24">
        <v>1.86811</v>
      </c>
      <c r="IE24">
        <v>1.86784</v>
      </c>
      <c r="IF24">
        <v>1.86901</v>
      </c>
      <c r="IG24">
        <v>1.86981</v>
      </c>
      <c r="IH24">
        <v>1.86586</v>
      </c>
      <c r="II24">
        <v>1.86699</v>
      </c>
      <c r="IJ24">
        <v>1.86842</v>
      </c>
      <c r="IK24">
        <v>5</v>
      </c>
      <c r="IL24">
        <v>0</v>
      </c>
      <c r="IM24">
        <v>0</v>
      </c>
      <c r="IN24">
        <v>0</v>
      </c>
      <c r="IO24" t="s">
        <v>443</v>
      </c>
      <c r="IP24" t="s">
        <v>444</v>
      </c>
      <c r="IQ24" t="s">
        <v>445</v>
      </c>
      <c r="IR24" t="s">
        <v>445</v>
      </c>
      <c r="IS24" t="s">
        <v>445</v>
      </c>
      <c r="IT24" t="s">
        <v>445</v>
      </c>
      <c r="IU24">
        <v>0</v>
      </c>
      <c r="IV24">
        <v>100</v>
      </c>
      <c r="IW24">
        <v>100</v>
      </c>
      <c r="IX24">
        <v>2.898</v>
      </c>
      <c r="IY24">
        <v>-0.133</v>
      </c>
      <c r="IZ24">
        <v>1.24656194001752</v>
      </c>
      <c r="JA24">
        <v>0.00408463137630218</v>
      </c>
      <c r="JB24">
        <v>-2.23906557180379e-07</v>
      </c>
      <c r="JC24">
        <v>6.23399102760906e-11</v>
      </c>
      <c r="JD24">
        <v>-0.0873394905990972</v>
      </c>
      <c r="JE24">
        <v>-0.0233348201324191</v>
      </c>
      <c r="JF24">
        <v>0.00274696999164489</v>
      </c>
      <c r="JG24">
        <v>-3.62864435074646e-05</v>
      </c>
      <c r="JH24">
        <v>5</v>
      </c>
      <c r="JI24">
        <v>2263</v>
      </c>
      <c r="JJ24">
        <v>1</v>
      </c>
      <c r="JK24">
        <v>24</v>
      </c>
      <c r="JL24">
        <v>29361297.9</v>
      </c>
      <c r="JM24">
        <v>29361297.9</v>
      </c>
      <c r="JN24">
        <v>1.24512</v>
      </c>
      <c r="JO24">
        <v>2.59888</v>
      </c>
      <c r="JP24">
        <v>2.19849</v>
      </c>
      <c r="JQ24">
        <v>2.63306</v>
      </c>
      <c r="JR24">
        <v>2.44507</v>
      </c>
      <c r="JS24">
        <v>2.36694</v>
      </c>
      <c r="JT24">
        <v>32.0244</v>
      </c>
      <c r="JU24">
        <v>24.2013</v>
      </c>
      <c r="JV24">
        <v>18</v>
      </c>
      <c r="JW24">
        <v>501.827</v>
      </c>
      <c r="JX24">
        <v>796.571</v>
      </c>
      <c r="JY24">
        <v>14.2904</v>
      </c>
      <c r="JZ24">
        <v>27.1333</v>
      </c>
      <c r="KA24">
        <v>30.0003</v>
      </c>
      <c r="KB24">
        <v>27.1388</v>
      </c>
      <c r="KC24">
        <v>27.0802</v>
      </c>
      <c r="KD24">
        <v>24.9376</v>
      </c>
      <c r="KE24">
        <v>43.8361</v>
      </c>
      <c r="KF24">
        <v>0</v>
      </c>
      <c r="KG24">
        <v>14.2275</v>
      </c>
      <c r="KH24">
        <v>420</v>
      </c>
      <c r="KI24">
        <v>4.26459</v>
      </c>
      <c r="KJ24">
        <v>96.5872</v>
      </c>
      <c r="KK24">
        <v>94.6256</v>
      </c>
    </row>
    <row r="25" spans="1:297">
      <c r="A25">
        <v>9</v>
      </c>
      <c r="B25">
        <v>1761677965</v>
      </c>
      <c r="C25">
        <v>615.900000095367</v>
      </c>
      <c r="D25" t="s">
        <v>468</v>
      </c>
      <c r="E25" t="s">
        <v>469</v>
      </c>
      <c r="F25">
        <v>5</v>
      </c>
      <c r="G25" t="s">
        <v>435</v>
      </c>
      <c r="H25" t="s">
        <v>436</v>
      </c>
      <c r="I25">
        <v>1761677957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421.814618306912</v>
      </c>
      <c r="AK25">
        <v>420.641066666667</v>
      </c>
      <c r="AL25">
        <v>0.00476654795272423</v>
      </c>
      <c r="AM25">
        <v>64.013581017493</v>
      </c>
      <c r="AN25">
        <f>(AP25 - AO25 + DY25*1E3/(8.314*(EA25+273.15)) * AR25/DX25 * AQ25) * DX25/(100*DL25) * 1000/(1000 - AP25)</f>
        <v>0</v>
      </c>
      <c r="AO25">
        <v>4.24595689889026</v>
      </c>
      <c r="AP25">
        <v>6.37338895104895</v>
      </c>
      <c r="AQ25">
        <v>-9.60606104339954e-06</v>
      </c>
      <c r="AR25">
        <v>106.10340464483</v>
      </c>
      <c r="AS25">
        <v>0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437</v>
      </c>
      <c r="AY25">
        <v>5115.2</v>
      </c>
      <c r="AZ25">
        <v>732.504</v>
      </c>
      <c r="BA25">
        <v>1728.22675254666</v>
      </c>
      <c r="BB25">
        <f>1-AZ25/BA25</f>
        <v>0</v>
      </c>
      <c r="BC25">
        <v>-0.350174750577109</v>
      </c>
      <c r="BD25" t="s">
        <v>470</v>
      </c>
      <c r="BE25">
        <v>5119.91</v>
      </c>
      <c r="BF25">
        <v>870.77456</v>
      </c>
      <c r="BG25">
        <v>1632.49113698697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471</v>
      </c>
      <c r="BQ25">
        <v>797.93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BZ25">
        <v>9</v>
      </c>
      <c r="CA25">
        <v>290</v>
      </c>
      <c r="CB25">
        <v>1599.07</v>
      </c>
      <c r="CC25">
        <v>295</v>
      </c>
      <c r="CD25">
        <v>5119.91</v>
      </c>
      <c r="CE25">
        <v>1598.94</v>
      </c>
      <c r="CF25">
        <v>0.13</v>
      </c>
      <c r="CG25">
        <v>300</v>
      </c>
      <c r="CH25">
        <v>23.9</v>
      </c>
      <c r="CI25">
        <v>1632.49113698697</v>
      </c>
      <c r="CJ25">
        <v>1.48279481640869</v>
      </c>
      <c r="CK25">
        <v>-17.1789156017893</v>
      </c>
      <c r="CL25">
        <v>0.658908762373705</v>
      </c>
      <c r="CM25">
        <v>0.960437282458165</v>
      </c>
      <c r="CN25">
        <v>-0.00419171835372637</v>
      </c>
      <c r="CO25">
        <v>290</v>
      </c>
      <c r="CP25">
        <v>1597.33</v>
      </c>
      <c r="CQ25">
        <v>745</v>
      </c>
      <c r="CR25">
        <v>5118.65</v>
      </c>
      <c r="CS25">
        <v>1598.93</v>
      </c>
      <c r="CT25">
        <v>-1.6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440</v>
      </c>
      <c r="DO25">
        <v>2</v>
      </c>
      <c r="DP25" t="b">
        <v>1</v>
      </c>
      <c r="DQ25">
        <v>1761677957</v>
      </c>
      <c r="DR25">
        <v>417.866066666667</v>
      </c>
      <c r="DS25">
        <v>420.011266666667</v>
      </c>
      <c r="DT25">
        <v>6.37817733333333</v>
      </c>
      <c r="DU25">
        <v>4.24735133333333</v>
      </c>
      <c r="DV25">
        <v>414.958533333333</v>
      </c>
      <c r="DW25">
        <v>6.511014</v>
      </c>
      <c r="DX25">
        <v>500.017533333333</v>
      </c>
      <c r="DY25">
        <v>90.87012</v>
      </c>
      <c r="DZ25">
        <v>0.01856012</v>
      </c>
      <c r="EA25">
        <v>19.1173533333333</v>
      </c>
      <c r="EB25">
        <v>18.0461466666667</v>
      </c>
      <c r="EC25">
        <v>999.9</v>
      </c>
      <c r="ED25">
        <v>0</v>
      </c>
      <c r="EE25">
        <v>0</v>
      </c>
      <c r="EF25">
        <v>10003.4233333333</v>
      </c>
      <c r="EG25">
        <v>0</v>
      </c>
      <c r="EH25">
        <v>1266.542</v>
      </c>
      <c r="EI25">
        <v>-2.14530466666667</v>
      </c>
      <c r="EJ25">
        <v>420.5484</v>
      </c>
      <c r="EK25">
        <v>421.802933333333</v>
      </c>
      <c r="EL25">
        <v>2.13082733333333</v>
      </c>
      <c r="EM25">
        <v>420.011266666667</v>
      </c>
      <c r="EN25">
        <v>4.24735133333333</v>
      </c>
      <c r="EO25">
        <v>0.579585733333333</v>
      </c>
      <c r="EP25">
        <v>0.3859574</v>
      </c>
      <c r="EQ25">
        <v>-0.783759133333333</v>
      </c>
      <c r="ER25">
        <v>-6.21948066666667</v>
      </c>
      <c r="ES25">
        <v>49.9950733333333</v>
      </c>
      <c r="ET25">
        <v>0.899825933333333</v>
      </c>
      <c r="EU25">
        <v>0.100174073333333</v>
      </c>
      <c r="EV25">
        <v>0</v>
      </c>
      <c r="EW25">
        <v>870.763666666666</v>
      </c>
      <c r="EX25">
        <v>5.00059</v>
      </c>
      <c r="EY25">
        <v>422.345733333333</v>
      </c>
      <c r="EZ25">
        <v>382.234</v>
      </c>
      <c r="FA25">
        <v>35.1622</v>
      </c>
      <c r="FB25">
        <v>40.7080666666667</v>
      </c>
      <c r="FC25">
        <v>37.3080666666667</v>
      </c>
      <c r="FD25">
        <v>40.3330666666667</v>
      </c>
      <c r="FE25">
        <v>37.3414</v>
      </c>
      <c r="FF25">
        <v>40.4873333333333</v>
      </c>
      <c r="FG25">
        <v>4.51</v>
      </c>
      <c r="FH25">
        <v>0</v>
      </c>
      <c r="FI25">
        <v>167.300000190735</v>
      </c>
      <c r="FJ25">
        <v>0</v>
      </c>
      <c r="FK25">
        <v>870.77456</v>
      </c>
      <c r="FL25">
        <v>-0.17392306858739</v>
      </c>
      <c r="FM25">
        <v>5.79915383320891</v>
      </c>
      <c r="FN25">
        <v>422.5184</v>
      </c>
      <c r="FO25">
        <v>15</v>
      </c>
      <c r="FP25">
        <v>0</v>
      </c>
      <c r="FQ25" t="s">
        <v>441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-2.1732515</v>
      </c>
      <c r="GD25">
        <v>0.468115037593985</v>
      </c>
      <c r="GE25">
        <v>0.0495453747866539</v>
      </c>
      <c r="GF25">
        <v>1</v>
      </c>
      <c r="GG25">
        <v>870.756529411765</v>
      </c>
      <c r="GH25">
        <v>0.26493506764437</v>
      </c>
      <c r="GI25">
        <v>0.134536947755693</v>
      </c>
      <c r="GJ25">
        <v>-1</v>
      </c>
      <c r="GK25">
        <v>2.132281</v>
      </c>
      <c r="GL25">
        <v>-0.026649022556387</v>
      </c>
      <c r="GM25">
        <v>0.00259878029082877</v>
      </c>
      <c r="GN25">
        <v>1</v>
      </c>
      <c r="GO25">
        <v>2</v>
      </c>
      <c r="GP25">
        <v>2</v>
      </c>
      <c r="GQ25" t="s">
        <v>442</v>
      </c>
      <c r="GR25">
        <v>3.12855</v>
      </c>
      <c r="GS25">
        <v>2.69621</v>
      </c>
      <c r="GT25">
        <v>0.089499</v>
      </c>
      <c r="GU25">
        <v>0.0904399</v>
      </c>
      <c r="GV25">
        <v>0.0376921</v>
      </c>
      <c r="GW25">
        <v>0.026685</v>
      </c>
      <c r="GX25">
        <v>34315</v>
      </c>
      <c r="GY25">
        <v>36760.2</v>
      </c>
      <c r="GZ25">
        <v>34093.3</v>
      </c>
      <c r="HA25">
        <v>36587.9</v>
      </c>
      <c r="HB25">
        <v>46327.4</v>
      </c>
      <c r="HC25">
        <v>51080.7</v>
      </c>
      <c r="HD25">
        <v>53113.1</v>
      </c>
      <c r="HE25">
        <v>58377.7</v>
      </c>
      <c r="HF25">
        <v>1.96588</v>
      </c>
      <c r="HG25">
        <v>2.3517</v>
      </c>
      <c r="HH25">
        <v>-0.0562817</v>
      </c>
      <c r="HI25">
        <v>0</v>
      </c>
      <c r="HJ25">
        <v>18.9901</v>
      </c>
      <c r="HK25">
        <v>999.9</v>
      </c>
      <c r="HL25">
        <v>24.979</v>
      </c>
      <c r="HM25">
        <v>28.097</v>
      </c>
      <c r="HN25">
        <v>10.4911</v>
      </c>
      <c r="HO25">
        <v>54.1541</v>
      </c>
      <c r="HP25">
        <v>32.1314</v>
      </c>
      <c r="HQ25">
        <v>2</v>
      </c>
      <c r="HR25">
        <v>-0.0188669</v>
      </c>
      <c r="HS25">
        <v>4.44907</v>
      </c>
      <c r="HT25">
        <v>20.0941</v>
      </c>
      <c r="HU25">
        <v>5.20007</v>
      </c>
      <c r="HV25">
        <v>12.0041</v>
      </c>
      <c r="HW25">
        <v>4.9758</v>
      </c>
      <c r="HX25">
        <v>3.294</v>
      </c>
      <c r="HY25">
        <v>9999</v>
      </c>
      <c r="HZ25">
        <v>9999</v>
      </c>
      <c r="IA25">
        <v>9999</v>
      </c>
      <c r="IB25">
        <v>999.9</v>
      </c>
      <c r="IC25">
        <v>1.86315</v>
      </c>
      <c r="ID25">
        <v>1.86812</v>
      </c>
      <c r="IE25">
        <v>1.86784</v>
      </c>
      <c r="IF25">
        <v>1.86902</v>
      </c>
      <c r="IG25">
        <v>1.86981</v>
      </c>
      <c r="IH25">
        <v>1.86585</v>
      </c>
      <c r="II25">
        <v>1.86696</v>
      </c>
      <c r="IJ25">
        <v>1.86844</v>
      </c>
      <c r="IK25">
        <v>5</v>
      </c>
      <c r="IL25">
        <v>0</v>
      </c>
      <c r="IM25">
        <v>0</v>
      </c>
      <c r="IN25">
        <v>0</v>
      </c>
      <c r="IO25" t="s">
        <v>443</v>
      </c>
      <c r="IP25" t="s">
        <v>444</v>
      </c>
      <c r="IQ25" t="s">
        <v>445</v>
      </c>
      <c r="IR25" t="s">
        <v>445</v>
      </c>
      <c r="IS25" t="s">
        <v>445</v>
      </c>
      <c r="IT25" t="s">
        <v>445</v>
      </c>
      <c r="IU25">
        <v>0</v>
      </c>
      <c r="IV25">
        <v>100</v>
      </c>
      <c r="IW25">
        <v>100</v>
      </c>
      <c r="IX25">
        <v>2.908</v>
      </c>
      <c r="IY25">
        <v>-0.1329</v>
      </c>
      <c r="IZ25">
        <v>1.24656194001752</v>
      </c>
      <c r="JA25">
        <v>0.00408463137630218</v>
      </c>
      <c r="JB25">
        <v>-2.23906557180379e-07</v>
      </c>
      <c r="JC25">
        <v>6.23399102760906e-11</v>
      </c>
      <c r="JD25">
        <v>-0.0873394905990972</v>
      </c>
      <c r="JE25">
        <v>-0.0233348201324191</v>
      </c>
      <c r="JF25">
        <v>0.00274696999164489</v>
      </c>
      <c r="JG25">
        <v>-3.62864435074646e-05</v>
      </c>
      <c r="JH25">
        <v>5</v>
      </c>
      <c r="JI25">
        <v>2263</v>
      </c>
      <c r="JJ25">
        <v>1</v>
      </c>
      <c r="JK25">
        <v>24</v>
      </c>
      <c r="JL25">
        <v>29361299.4</v>
      </c>
      <c r="JM25">
        <v>29361299.4</v>
      </c>
      <c r="JN25">
        <v>1.24512</v>
      </c>
      <c r="JO25">
        <v>2.59888</v>
      </c>
      <c r="JP25">
        <v>2.19849</v>
      </c>
      <c r="JQ25">
        <v>2.63428</v>
      </c>
      <c r="JR25">
        <v>2.44507</v>
      </c>
      <c r="JS25">
        <v>2.3584</v>
      </c>
      <c r="JT25">
        <v>32.0244</v>
      </c>
      <c r="JU25">
        <v>24.2013</v>
      </c>
      <c r="JV25">
        <v>18</v>
      </c>
      <c r="JW25">
        <v>502.038</v>
      </c>
      <c r="JX25">
        <v>797.018</v>
      </c>
      <c r="JY25">
        <v>14.0208</v>
      </c>
      <c r="JZ25">
        <v>27.0265</v>
      </c>
      <c r="KA25">
        <v>30</v>
      </c>
      <c r="KB25">
        <v>27.0605</v>
      </c>
      <c r="KC25">
        <v>27.0096</v>
      </c>
      <c r="KD25">
        <v>24.9382</v>
      </c>
      <c r="KE25">
        <v>43.2841</v>
      </c>
      <c r="KF25">
        <v>0</v>
      </c>
      <c r="KG25">
        <v>14.0025</v>
      </c>
      <c r="KH25">
        <v>420</v>
      </c>
      <c r="KI25">
        <v>4.30001</v>
      </c>
      <c r="KJ25">
        <v>96.5998</v>
      </c>
      <c r="KK25">
        <v>94.6457</v>
      </c>
    </row>
    <row r="26" spans="1:297">
      <c r="A26">
        <v>10</v>
      </c>
      <c r="B26">
        <v>1761678074</v>
      </c>
      <c r="C26">
        <v>724.900000095367</v>
      </c>
      <c r="D26" t="s">
        <v>472</v>
      </c>
      <c r="E26" t="s">
        <v>473</v>
      </c>
      <c r="F26">
        <v>5</v>
      </c>
      <c r="G26" t="s">
        <v>435</v>
      </c>
      <c r="H26" t="s">
        <v>436</v>
      </c>
      <c r="I26">
        <v>1761678066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421.821550072108</v>
      </c>
      <c r="AK26">
        <v>422.563927272727</v>
      </c>
      <c r="AL26">
        <v>0.00236015346470482</v>
      </c>
      <c r="AM26">
        <v>64.013581017493</v>
      </c>
      <c r="AN26">
        <f>(AP26 - AO26 + DY26*1E3/(8.314*(EA26+273.15)) * AR26/DX26 * AQ26) * DX26/(100*DL26) * 1000/(1000 - AP26)</f>
        <v>0</v>
      </c>
      <c r="AO26">
        <v>4.39413917865479</v>
      </c>
      <c r="AP26">
        <v>6.43153034965035</v>
      </c>
      <c r="AQ26">
        <v>-4.96058430760484e-06</v>
      </c>
      <c r="AR26">
        <v>106.10340464483</v>
      </c>
      <c r="AS26">
        <v>0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474</v>
      </c>
      <c r="AY26">
        <v>5116.02</v>
      </c>
      <c r="AZ26">
        <v>799.704</v>
      </c>
      <c r="BA26">
        <v>1665.67347245608</v>
      </c>
      <c r="BB26">
        <f>1-AZ26/BA26</f>
        <v>0</v>
      </c>
      <c r="BC26">
        <v>-0.625329738090946</v>
      </c>
      <c r="BD26" t="s">
        <v>448</v>
      </c>
      <c r="BE26" t="s">
        <v>448</v>
      </c>
      <c r="BF26">
        <v>0</v>
      </c>
      <c r="BG26">
        <v>0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448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BZ26">
        <v>11</v>
      </c>
      <c r="CA26">
        <v>290</v>
      </c>
      <c r="CB26">
        <v>1628.55</v>
      </c>
      <c r="CC26">
        <v>265</v>
      </c>
      <c r="CD26">
        <v>5116.02</v>
      </c>
      <c r="CE26">
        <v>1628.65</v>
      </c>
      <c r="CF26">
        <v>-0.1</v>
      </c>
      <c r="CG26">
        <v>300</v>
      </c>
      <c r="CH26">
        <v>23.8</v>
      </c>
      <c r="CI26">
        <v>1665.67347245608</v>
      </c>
      <c r="CJ26">
        <v>1.49709906621125</v>
      </c>
      <c r="CK26">
        <v>-18.9425979227343</v>
      </c>
      <c r="CL26">
        <v>0.663754149160096</v>
      </c>
      <c r="CM26">
        <v>0.966763617734643</v>
      </c>
      <c r="CN26">
        <v>-0.004226161512792</v>
      </c>
      <c r="CO26">
        <v>290</v>
      </c>
      <c r="CP26">
        <v>1627.05</v>
      </c>
      <c r="CQ26">
        <v>625</v>
      </c>
      <c r="CR26">
        <v>5115.52</v>
      </c>
      <c r="CS26">
        <v>1628.64</v>
      </c>
      <c r="CT26">
        <v>-1.59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440</v>
      </c>
      <c r="DO26">
        <v>2</v>
      </c>
      <c r="DP26" t="b">
        <v>1</v>
      </c>
      <c r="DQ26">
        <v>1761678066</v>
      </c>
      <c r="DR26">
        <v>419.7774</v>
      </c>
      <c r="DS26">
        <v>419.987866666667</v>
      </c>
      <c r="DT26">
        <v>6.434556</v>
      </c>
      <c r="DU26">
        <v>4.39488266666667</v>
      </c>
      <c r="DV26">
        <v>416.862466666667</v>
      </c>
      <c r="DW26">
        <v>6.56694666666667</v>
      </c>
      <c r="DX26">
        <v>500.020533333333</v>
      </c>
      <c r="DY26">
        <v>90.8740866666667</v>
      </c>
      <c r="DZ26">
        <v>0.0183647333333333</v>
      </c>
      <c r="EA26">
        <v>19.11472</v>
      </c>
      <c r="EB26">
        <v>18.0116533333333</v>
      </c>
      <c r="EC26">
        <v>999.9</v>
      </c>
      <c r="ED26">
        <v>0</v>
      </c>
      <c r="EE26">
        <v>0</v>
      </c>
      <c r="EF26">
        <v>10005.2533333333</v>
      </c>
      <c r="EG26">
        <v>0</v>
      </c>
      <c r="EH26">
        <v>1266.62733333333</v>
      </c>
      <c r="EI26">
        <v>-0.210298733333333</v>
      </c>
      <c r="EJ26">
        <v>422.496066666667</v>
      </c>
      <c r="EK26">
        <v>421.8418</v>
      </c>
      <c r="EL26">
        <v>2.03967266666667</v>
      </c>
      <c r="EM26">
        <v>419.987866666667</v>
      </c>
      <c r="EN26">
        <v>4.39488266666667</v>
      </c>
      <c r="EO26">
        <v>0.5847342</v>
      </c>
      <c r="EP26">
        <v>0.399381</v>
      </c>
      <c r="EQ26">
        <v>-0.6627222</v>
      </c>
      <c r="ER26">
        <v>-5.771894</v>
      </c>
      <c r="ES26">
        <v>0.00500059</v>
      </c>
      <c r="ET26">
        <v>0</v>
      </c>
      <c r="EU26">
        <v>0</v>
      </c>
      <c r="EV26">
        <v>0</v>
      </c>
      <c r="EW26">
        <v>800.486666666667</v>
      </c>
      <c r="EX26">
        <v>0.00500059</v>
      </c>
      <c r="EY26">
        <v>23.2666666666667</v>
      </c>
      <c r="EZ26">
        <v>-0.92</v>
      </c>
      <c r="FA26">
        <v>35.604</v>
      </c>
      <c r="FB26">
        <v>41.7538666666667</v>
      </c>
      <c r="FC26">
        <v>37.9496666666667</v>
      </c>
      <c r="FD26">
        <v>41.5872666666667</v>
      </c>
      <c r="FE26">
        <v>37.6164666666667</v>
      </c>
      <c r="FF26">
        <v>0</v>
      </c>
      <c r="FG26">
        <v>0</v>
      </c>
      <c r="FH26">
        <v>0</v>
      </c>
      <c r="FI26">
        <v>106.099999904633</v>
      </c>
      <c r="FJ26">
        <v>0</v>
      </c>
      <c r="FK26">
        <v>799.704</v>
      </c>
      <c r="FL26">
        <v>-7.90769218269856</v>
      </c>
      <c r="FM26">
        <v>-21.3384611824795</v>
      </c>
      <c r="FN26">
        <v>23.908</v>
      </c>
      <c r="FO26">
        <v>15</v>
      </c>
      <c r="FP26">
        <v>0</v>
      </c>
      <c r="FQ26" t="s">
        <v>441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-0.249732666666667</v>
      </c>
      <c r="GD26">
        <v>0.490808103896104</v>
      </c>
      <c r="GE26">
        <v>0.060404859823672</v>
      </c>
      <c r="GF26">
        <v>1</v>
      </c>
      <c r="GG26">
        <v>799.914705882353</v>
      </c>
      <c r="GH26">
        <v>-1.45301750613611</v>
      </c>
      <c r="GI26">
        <v>5.25217783136846</v>
      </c>
      <c r="GJ26">
        <v>-1</v>
      </c>
      <c r="GK26">
        <v>2.04016285714286</v>
      </c>
      <c r="GL26">
        <v>-0.00881142857143005</v>
      </c>
      <c r="GM26">
        <v>0.00126598406240306</v>
      </c>
      <c r="GN26">
        <v>1</v>
      </c>
      <c r="GO26">
        <v>2</v>
      </c>
      <c r="GP26">
        <v>2</v>
      </c>
      <c r="GQ26" t="s">
        <v>442</v>
      </c>
      <c r="GR26">
        <v>3.12841</v>
      </c>
      <c r="GS26">
        <v>2.69655</v>
      </c>
      <c r="GT26">
        <v>0.0898411</v>
      </c>
      <c r="GU26">
        <v>0.090459</v>
      </c>
      <c r="GV26">
        <v>0.0379873</v>
      </c>
      <c r="GW26">
        <v>0.027503</v>
      </c>
      <c r="GX26">
        <v>34307.8</v>
      </c>
      <c r="GY26">
        <v>36767.2</v>
      </c>
      <c r="GZ26">
        <v>34098.4</v>
      </c>
      <c r="HA26">
        <v>36595.1</v>
      </c>
      <c r="HB26">
        <v>46318.8</v>
      </c>
      <c r="HC26">
        <v>51047.3</v>
      </c>
      <c r="HD26">
        <v>53119.4</v>
      </c>
      <c r="HE26">
        <v>58388.4</v>
      </c>
      <c r="HF26">
        <v>1.96672</v>
      </c>
      <c r="HG26">
        <v>2.35343</v>
      </c>
      <c r="HH26">
        <v>-0.0636168</v>
      </c>
      <c r="HI26">
        <v>0</v>
      </c>
      <c r="HJ26">
        <v>19.0777</v>
      </c>
      <c r="HK26">
        <v>999.9</v>
      </c>
      <c r="HL26">
        <v>24.753</v>
      </c>
      <c r="HM26">
        <v>28.127</v>
      </c>
      <c r="HN26">
        <v>10.4128</v>
      </c>
      <c r="HO26">
        <v>54.3241</v>
      </c>
      <c r="HP26">
        <v>32.1835</v>
      </c>
      <c r="HQ26">
        <v>2</v>
      </c>
      <c r="HR26">
        <v>-0.0267226</v>
      </c>
      <c r="HS26">
        <v>4.45946</v>
      </c>
      <c r="HT26">
        <v>20.0938</v>
      </c>
      <c r="HU26">
        <v>5.19902</v>
      </c>
      <c r="HV26">
        <v>12.004</v>
      </c>
      <c r="HW26">
        <v>4.9757</v>
      </c>
      <c r="HX26">
        <v>3.29398</v>
      </c>
      <c r="HY26">
        <v>9999</v>
      </c>
      <c r="HZ26">
        <v>9999</v>
      </c>
      <c r="IA26">
        <v>9999</v>
      </c>
      <c r="IB26">
        <v>999.9</v>
      </c>
      <c r="IC26">
        <v>1.86315</v>
      </c>
      <c r="ID26">
        <v>1.86807</v>
      </c>
      <c r="IE26">
        <v>1.86783</v>
      </c>
      <c r="IF26">
        <v>1.869</v>
      </c>
      <c r="IG26">
        <v>1.86982</v>
      </c>
      <c r="IH26">
        <v>1.86586</v>
      </c>
      <c r="II26">
        <v>1.86698</v>
      </c>
      <c r="IJ26">
        <v>1.86843</v>
      </c>
      <c r="IK26">
        <v>5</v>
      </c>
      <c r="IL26">
        <v>0</v>
      </c>
      <c r="IM26">
        <v>0</v>
      </c>
      <c r="IN26">
        <v>0</v>
      </c>
      <c r="IO26" t="s">
        <v>443</v>
      </c>
      <c r="IP26" t="s">
        <v>444</v>
      </c>
      <c r="IQ26" t="s">
        <v>445</v>
      </c>
      <c r="IR26" t="s">
        <v>445</v>
      </c>
      <c r="IS26" t="s">
        <v>445</v>
      </c>
      <c r="IT26" t="s">
        <v>445</v>
      </c>
      <c r="IU26">
        <v>0</v>
      </c>
      <c r="IV26">
        <v>100</v>
      </c>
      <c r="IW26">
        <v>100</v>
      </c>
      <c r="IX26">
        <v>2.915</v>
      </c>
      <c r="IY26">
        <v>-0.1324</v>
      </c>
      <c r="IZ26">
        <v>1.24656194001752</v>
      </c>
      <c r="JA26">
        <v>0.00408463137630218</v>
      </c>
      <c r="JB26">
        <v>-2.23906557180379e-07</v>
      </c>
      <c r="JC26">
        <v>6.23399102760906e-11</v>
      </c>
      <c r="JD26">
        <v>-0.0873394905990972</v>
      </c>
      <c r="JE26">
        <v>-0.0233348201324191</v>
      </c>
      <c r="JF26">
        <v>0.00274696999164489</v>
      </c>
      <c r="JG26">
        <v>-3.62864435074646e-05</v>
      </c>
      <c r="JH26">
        <v>5</v>
      </c>
      <c r="JI26">
        <v>2263</v>
      </c>
      <c r="JJ26">
        <v>1</v>
      </c>
      <c r="JK26">
        <v>24</v>
      </c>
      <c r="JL26">
        <v>29361301.2</v>
      </c>
      <c r="JM26">
        <v>29361301.2</v>
      </c>
      <c r="JN26">
        <v>1.24512</v>
      </c>
      <c r="JO26">
        <v>2.60498</v>
      </c>
      <c r="JP26">
        <v>2.19849</v>
      </c>
      <c r="JQ26">
        <v>2.6355</v>
      </c>
      <c r="JR26">
        <v>2.44507</v>
      </c>
      <c r="JS26">
        <v>2.31201</v>
      </c>
      <c r="JT26">
        <v>32.0464</v>
      </c>
      <c r="JU26">
        <v>24.1926</v>
      </c>
      <c r="JV26">
        <v>18</v>
      </c>
      <c r="JW26">
        <v>501.803</v>
      </c>
      <c r="JX26">
        <v>797.412</v>
      </c>
      <c r="JY26">
        <v>13.7648</v>
      </c>
      <c r="JZ26">
        <v>26.9245</v>
      </c>
      <c r="KA26">
        <v>30</v>
      </c>
      <c r="KB26">
        <v>26.9726</v>
      </c>
      <c r="KC26">
        <v>26.9261</v>
      </c>
      <c r="KD26">
        <v>24.947</v>
      </c>
      <c r="KE26">
        <v>41.6022</v>
      </c>
      <c r="KF26">
        <v>0</v>
      </c>
      <c r="KG26">
        <v>13.7413</v>
      </c>
      <c r="KH26">
        <v>420</v>
      </c>
      <c r="KI26">
        <v>4.4159</v>
      </c>
      <c r="KJ26">
        <v>96.6124</v>
      </c>
      <c r="KK26">
        <v>94.6636</v>
      </c>
    </row>
    <row r="27" spans="1:297">
      <c r="A27">
        <v>11</v>
      </c>
      <c r="B27">
        <v>1761679166.1</v>
      </c>
      <c r="C27">
        <v>1817</v>
      </c>
      <c r="D27" t="s">
        <v>475</v>
      </c>
      <c r="E27" t="s">
        <v>476</v>
      </c>
      <c r="F27">
        <v>5</v>
      </c>
      <c r="G27" t="s">
        <v>477</v>
      </c>
      <c r="H27" t="s">
        <v>436</v>
      </c>
      <c r="I27">
        <v>1761679158.1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420.69881285881</v>
      </c>
      <c r="AK27">
        <v>405.6014</v>
      </c>
      <c r="AL27">
        <v>-3.0789580956213e-05</v>
      </c>
      <c r="AM27">
        <v>64.151971606377</v>
      </c>
      <c r="AN27">
        <f>(AP27 - AO27 + DY27*1E3/(8.314*(EA27+273.15)) * AR27/DX27 * AQ27) * DX27/(100*DL27) * 1000/(1000 - AP27)</f>
        <v>0</v>
      </c>
      <c r="AO27">
        <v>1.65544292710887</v>
      </c>
      <c r="AP27">
        <v>5.8317648951049</v>
      </c>
      <c r="AQ27">
        <v>-5.3763601619938e-08</v>
      </c>
      <c r="AR27">
        <v>109.009391636412</v>
      </c>
      <c r="AS27">
        <v>0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474</v>
      </c>
      <c r="AY27">
        <v>5116.02</v>
      </c>
      <c r="AZ27">
        <v>799.704</v>
      </c>
      <c r="BA27">
        <v>1665.67347245608</v>
      </c>
      <c r="BB27">
        <f>1-AZ27/BA27</f>
        <v>0</v>
      </c>
      <c r="BC27">
        <v>-0.625329738090946</v>
      </c>
      <c r="BD27" t="s">
        <v>478</v>
      </c>
      <c r="BE27">
        <v>5159.47</v>
      </c>
      <c r="BF27">
        <v>1458.2976</v>
      </c>
      <c r="BG27">
        <v>1586.75654106774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479</v>
      </c>
      <c r="BQ27">
        <v>799.07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BZ27">
        <v>12</v>
      </c>
      <c r="CA27">
        <v>290</v>
      </c>
      <c r="CB27">
        <v>1529.81</v>
      </c>
      <c r="CC27">
        <v>95</v>
      </c>
      <c r="CD27">
        <v>5159.47</v>
      </c>
      <c r="CE27">
        <v>1529.34</v>
      </c>
      <c r="CF27">
        <v>0.47</v>
      </c>
      <c r="CG27">
        <v>300</v>
      </c>
      <c r="CH27">
        <v>23.6</v>
      </c>
      <c r="CI27">
        <v>1586.75654106774</v>
      </c>
      <c r="CJ27">
        <v>1.91859753624478</v>
      </c>
      <c r="CK27">
        <v>-29.6214762163656</v>
      </c>
      <c r="CL27">
        <v>0.91194230717717</v>
      </c>
      <c r="CM27">
        <v>0.974147410894107</v>
      </c>
      <c r="CN27">
        <v>-0.00257478976640712</v>
      </c>
      <c r="CO27">
        <v>290</v>
      </c>
      <c r="CP27">
        <v>1526.84</v>
      </c>
      <c r="CQ27">
        <v>625</v>
      </c>
      <c r="CR27">
        <v>5156.73</v>
      </c>
      <c r="CS27">
        <v>1529.31</v>
      </c>
      <c r="CT27">
        <v>-2.47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6</v>
      </c>
      <c r="DM27">
        <v>0.5</v>
      </c>
      <c r="DN27" t="s">
        <v>440</v>
      </c>
      <c r="DO27">
        <v>2</v>
      </c>
      <c r="DP27" t="b">
        <v>1</v>
      </c>
      <c r="DQ27">
        <v>1761679158.1</v>
      </c>
      <c r="DR27">
        <v>403.237866666667</v>
      </c>
      <c r="DS27">
        <v>420.007666666667</v>
      </c>
      <c r="DT27">
        <v>5.83113666666667</v>
      </c>
      <c r="DU27">
        <v>1.65090266666667</v>
      </c>
      <c r="DV27">
        <v>400.3878</v>
      </c>
      <c r="DW27">
        <v>5.96761266666667</v>
      </c>
      <c r="DX27">
        <v>500.008266666667</v>
      </c>
      <c r="DY27">
        <v>90.8520733333333</v>
      </c>
      <c r="DZ27">
        <v>0.0212756666666667</v>
      </c>
      <c r="EA27">
        <v>17.6344</v>
      </c>
      <c r="EB27">
        <v>18.0271</v>
      </c>
      <c r="EC27">
        <v>999.9</v>
      </c>
      <c r="ED27">
        <v>0</v>
      </c>
      <c r="EE27">
        <v>0</v>
      </c>
      <c r="EF27">
        <v>10000.828</v>
      </c>
      <c r="EG27">
        <v>0</v>
      </c>
      <c r="EH27">
        <v>1280.26066666667</v>
      </c>
      <c r="EI27">
        <v>-16.7698933333333</v>
      </c>
      <c r="EJ27">
        <v>405.602933333333</v>
      </c>
      <c r="EK27">
        <v>420.702333333333</v>
      </c>
      <c r="EL27">
        <v>4.18023266666667</v>
      </c>
      <c r="EM27">
        <v>420.007666666667</v>
      </c>
      <c r="EN27">
        <v>1.65090266666667</v>
      </c>
      <c r="EO27">
        <v>0.5297708</v>
      </c>
      <c r="EP27">
        <v>0.149987933333333</v>
      </c>
      <c r="EQ27">
        <v>-2.006794</v>
      </c>
      <c r="ER27">
        <v>-17.9526066666667</v>
      </c>
      <c r="ES27">
        <v>2000.04266666667</v>
      </c>
      <c r="ET27">
        <v>0.979996</v>
      </c>
      <c r="EU27">
        <v>0.0200037666666667</v>
      </c>
      <c r="EV27">
        <v>0</v>
      </c>
      <c r="EW27">
        <v>1458.468</v>
      </c>
      <c r="EX27">
        <v>5.00059</v>
      </c>
      <c r="EY27">
        <v>28816.4266666667</v>
      </c>
      <c r="EZ27">
        <v>17360.6733333333</v>
      </c>
      <c r="FA27">
        <v>38.5537333333333</v>
      </c>
      <c r="FB27">
        <v>39.437</v>
      </c>
      <c r="FC27">
        <v>38.3666</v>
      </c>
      <c r="FD27">
        <v>38.5</v>
      </c>
      <c r="FE27">
        <v>38.875</v>
      </c>
      <c r="FF27">
        <v>1955.13266666667</v>
      </c>
      <c r="FG27">
        <v>39.91</v>
      </c>
      <c r="FH27">
        <v>0</v>
      </c>
      <c r="FI27">
        <v>1090.70000004768</v>
      </c>
      <c r="FJ27">
        <v>0</v>
      </c>
      <c r="FK27">
        <v>1458.2976</v>
      </c>
      <c r="FL27">
        <v>-14.0315384476247</v>
      </c>
      <c r="FM27">
        <v>-274.361538144328</v>
      </c>
      <c r="FN27">
        <v>28813.072</v>
      </c>
      <c r="FO27">
        <v>15</v>
      </c>
      <c r="FP27">
        <v>0</v>
      </c>
      <c r="FQ27" t="s">
        <v>441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-16.7743571428571</v>
      </c>
      <c r="GD27">
        <v>0.11002597402591</v>
      </c>
      <c r="GE27">
        <v>0.0205550496965394</v>
      </c>
      <c r="GF27">
        <v>1</v>
      </c>
      <c r="GG27">
        <v>1459.09147058824</v>
      </c>
      <c r="GH27">
        <v>-14.3894576064624</v>
      </c>
      <c r="GI27">
        <v>1.42331661632662</v>
      </c>
      <c r="GJ27">
        <v>-1</v>
      </c>
      <c r="GK27">
        <v>4.18555904761905</v>
      </c>
      <c r="GL27">
        <v>-0.124449350649348</v>
      </c>
      <c r="GM27">
        <v>0.0130620289041546</v>
      </c>
      <c r="GN27">
        <v>0</v>
      </c>
      <c r="GO27">
        <v>1</v>
      </c>
      <c r="GP27">
        <v>2</v>
      </c>
      <c r="GQ27" t="s">
        <v>461</v>
      </c>
      <c r="GR27">
        <v>3.12782</v>
      </c>
      <c r="GS27">
        <v>2.69926</v>
      </c>
      <c r="GT27">
        <v>0.0870248</v>
      </c>
      <c r="GU27">
        <v>0.0903864</v>
      </c>
      <c r="GV27">
        <v>0.0350236</v>
      </c>
      <c r="GW27">
        <v>0.0115813</v>
      </c>
      <c r="GX27">
        <v>34394.8</v>
      </c>
      <c r="GY27">
        <v>36748.4</v>
      </c>
      <c r="GZ27">
        <v>34081.1</v>
      </c>
      <c r="HA27">
        <v>36575.4</v>
      </c>
      <c r="HB27">
        <v>46442.6</v>
      </c>
      <c r="HC27">
        <v>51861.3</v>
      </c>
      <c r="HD27">
        <v>53097.6</v>
      </c>
      <c r="HE27">
        <v>58362.1</v>
      </c>
      <c r="HF27">
        <v>1.96537</v>
      </c>
      <c r="HG27">
        <v>2.34148</v>
      </c>
      <c r="HH27">
        <v>0.00391155</v>
      </c>
      <c r="HI27">
        <v>0</v>
      </c>
      <c r="HJ27">
        <v>17.9657</v>
      </c>
      <c r="HK27">
        <v>999.9</v>
      </c>
      <c r="HL27">
        <v>23.569</v>
      </c>
      <c r="HM27">
        <v>28.721</v>
      </c>
      <c r="HN27">
        <v>10.2666</v>
      </c>
      <c r="HO27">
        <v>56.2362</v>
      </c>
      <c r="HP27">
        <v>32.9046</v>
      </c>
      <c r="HQ27">
        <v>2</v>
      </c>
      <c r="HR27">
        <v>0.0142734</v>
      </c>
      <c r="HS27">
        <v>8.66972</v>
      </c>
      <c r="HT27">
        <v>19.9206</v>
      </c>
      <c r="HU27">
        <v>5.20381</v>
      </c>
      <c r="HV27">
        <v>12.0094</v>
      </c>
      <c r="HW27">
        <v>4.9757</v>
      </c>
      <c r="HX27">
        <v>3.29398</v>
      </c>
      <c r="HY27">
        <v>9999</v>
      </c>
      <c r="HZ27">
        <v>9999</v>
      </c>
      <c r="IA27">
        <v>9999</v>
      </c>
      <c r="IB27">
        <v>999.9</v>
      </c>
      <c r="IC27">
        <v>1.86317</v>
      </c>
      <c r="ID27">
        <v>1.8681</v>
      </c>
      <c r="IE27">
        <v>1.86783</v>
      </c>
      <c r="IF27">
        <v>1.86896</v>
      </c>
      <c r="IG27">
        <v>1.86981</v>
      </c>
      <c r="IH27">
        <v>1.86585</v>
      </c>
      <c r="II27">
        <v>1.86696</v>
      </c>
      <c r="IJ27">
        <v>1.86843</v>
      </c>
      <c r="IK27">
        <v>5</v>
      </c>
      <c r="IL27">
        <v>0</v>
      </c>
      <c r="IM27">
        <v>0</v>
      </c>
      <c r="IN27">
        <v>0</v>
      </c>
      <c r="IO27" t="s">
        <v>443</v>
      </c>
      <c r="IP27" t="s">
        <v>444</v>
      </c>
      <c r="IQ27" t="s">
        <v>445</v>
      </c>
      <c r="IR27" t="s">
        <v>445</v>
      </c>
      <c r="IS27" t="s">
        <v>445</v>
      </c>
      <c r="IT27" t="s">
        <v>445</v>
      </c>
      <c r="IU27">
        <v>0</v>
      </c>
      <c r="IV27">
        <v>100</v>
      </c>
      <c r="IW27">
        <v>100</v>
      </c>
      <c r="IX27">
        <v>2.85</v>
      </c>
      <c r="IY27">
        <v>-0.1365</v>
      </c>
      <c r="IZ27">
        <v>1.24656194001752</v>
      </c>
      <c r="JA27">
        <v>0.00408463137630218</v>
      </c>
      <c r="JB27">
        <v>-2.23906557180379e-07</v>
      </c>
      <c r="JC27">
        <v>6.23399102760906e-11</v>
      </c>
      <c r="JD27">
        <v>-0.0873394905990972</v>
      </c>
      <c r="JE27">
        <v>-0.0233348201324191</v>
      </c>
      <c r="JF27">
        <v>0.00274696999164489</v>
      </c>
      <c r="JG27">
        <v>-3.62864435074646e-05</v>
      </c>
      <c r="JH27">
        <v>5</v>
      </c>
      <c r="JI27">
        <v>2263</v>
      </c>
      <c r="JJ27">
        <v>1</v>
      </c>
      <c r="JK27">
        <v>24</v>
      </c>
      <c r="JL27">
        <v>29361319.4</v>
      </c>
      <c r="JM27">
        <v>29361319.4</v>
      </c>
      <c r="JN27">
        <v>1.24268</v>
      </c>
      <c r="JO27">
        <v>2.60498</v>
      </c>
      <c r="JP27">
        <v>2.19849</v>
      </c>
      <c r="JQ27">
        <v>2.6355</v>
      </c>
      <c r="JR27">
        <v>2.44507</v>
      </c>
      <c r="JS27">
        <v>2.34497</v>
      </c>
      <c r="JT27">
        <v>32.6869</v>
      </c>
      <c r="JU27">
        <v>24.105</v>
      </c>
      <c r="JV27">
        <v>18</v>
      </c>
      <c r="JW27">
        <v>502</v>
      </c>
      <c r="JX27">
        <v>787.397</v>
      </c>
      <c r="JY27">
        <v>8.30768</v>
      </c>
      <c r="JZ27">
        <v>27.2182</v>
      </c>
      <c r="KA27">
        <v>30.0003</v>
      </c>
      <c r="KB27">
        <v>27.0925</v>
      </c>
      <c r="KC27">
        <v>27.0065</v>
      </c>
      <c r="KD27">
        <v>24.9106</v>
      </c>
      <c r="KE27">
        <v>67.2304</v>
      </c>
      <c r="KF27">
        <v>0</v>
      </c>
      <c r="KG27">
        <v>8.27298</v>
      </c>
      <c r="KH27">
        <v>420</v>
      </c>
      <c r="KI27">
        <v>1.7338</v>
      </c>
      <c r="KJ27">
        <v>96.5691</v>
      </c>
      <c r="KK27">
        <v>94.6177</v>
      </c>
    </row>
    <row r="28" spans="1:297">
      <c r="A28">
        <v>12</v>
      </c>
      <c r="B28">
        <v>1761679241.1</v>
      </c>
      <c r="C28">
        <v>1892</v>
      </c>
      <c r="D28" t="s">
        <v>480</v>
      </c>
      <c r="E28" t="s">
        <v>481</v>
      </c>
      <c r="F28">
        <v>5</v>
      </c>
      <c r="G28" t="s">
        <v>477</v>
      </c>
      <c r="H28" t="s">
        <v>436</v>
      </c>
      <c r="I28">
        <v>1761679233.1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420.768369516144</v>
      </c>
      <c r="AK28">
        <v>405.883157575757</v>
      </c>
      <c r="AL28">
        <v>-9.3122625675729e-05</v>
      </c>
      <c r="AM28">
        <v>64.151971606377</v>
      </c>
      <c r="AN28">
        <f>(AP28 - AO28 + DY28*1E3/(8.314*(EA28+273.15)) * AR28/DX28 * AQ28) * DX28/(100*DL28) * 1000/(1000 - AP28)</f>
        <v>0</v>
      </c>
      <c r="AO28">
        <v>1.79170496431449</v>
      </c>
      <c r="AP28">
        <v>5.87719748251749</v>
      </c>
      <c r="AQ28">
        <v>0.000107575443927261</v>
      </c>
      <c r="AR28">
        <v>109.009391636412</v>
      </c>
      <c r="AS28">
        <v>0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448</v>
      </c>
      <c r="AY28" t="s">
        <v>448</v>
      </c>
      <c r="AZ28">
        <v>0</v>
      </c>
      <c r="BA28">
        <v>0</v>
      </c>
      <c r="BB28">
        <f>1-AZ28/BA28</f>
        <v>0</v>
      </c>
      <c r="BC28">
        <v>0</v>
      </c>
      <c r="BD28" t="s">
        <v>448</v>
      </c>
      <c r="BE28" t="s">
        <v>448</v>
      </c>
      <c r="BF28">
        <v>0</v>
      </c>
      <c r="BG28">
        <v>0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448</v>
      </c>
      <c r="BQ28">
        <v>0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BZ28">
        <v>12</v>
      </c>
      <c r="CA28">
        <v>290</v>
      </c>
      <c r="CB28">
        <v>1529.81</v>
      </c>
      <c r="CC28">
        <v>95</v>
      </c>
      <c r="CD28">
        <v>5159.47</v>
      </c>
      <c r="CE28">
        <v>1529.34</v>
      </c>
      <c r="CF28">
        <v>0.47</v>
      </c>
      <c r="CG28">
        <v>300</v>
      </c>
      <c r="CH28">
        <v>23.6</v>
      </c>
      <c r="CI28">
        <v>1586.75654106774</v>
      </c>
      <c r="CJ28">
        <v>1.91859753624478</v>
      </c>
      <c r="CK28">
        <v>-29.6214762163656</v>
      </c>
      <c r="CL28">
        <v>0.91194230717717</v>
      </c>
      <c r="CM28">
        <v>0.974147410894107</v>
      </c>
      <c r="CN28">
        <v>-0.00257478976640712</v>
      </c>
      <c r="CO28">
        <v>290</v>
      </c>
      <c r="CP28">
        <v>1526.84</v>
      </c>
      <c r="CQ28">
        <v>625</v>
      </c>
      <c r="CR28">
        <v>5156.73</v>
      </c>
      <c r="CS28">
        <v>1529.31</v>
      </c>
      <c r="CT28">
        <v>-2.47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6</v>
      </c>
      <c r="DM28">
        <v>0.5</v>
      </c>
      <c r="DN28" t="s">
        <v>440</v>
      </c>
      <c r="DO28">
        <v>2</v>
      </c>
      <c r="DP28" t="b">
        <v>1</v>
      </c>
      <c r="DQ28">
        <v>1761679233.1</v>
      </c>
      <c r="DR28">
        <v>403.517866666667</v>
      </c>
      <c r="DS28">
        <v>420.024933333333</v>
      </c>
      <c r="DT28">
        <v>5.87018533333333</v>
      </c>
      <c r="DU28">
        <v>1.791248</v>
      </c>
      <c r="DV28">
        <v>400.666666666667</v>
      </c>
      <c r="DW28">
        <v>6.00644266666667</v>
      </c>
      <c r="DX28">
        <v>499.996733333333</v>
      </c>
      <c r="DY28">
        <v>90.84558</v>
      </c>
      <c r="DZ28">
        <v>0.0207932533333333</v>
      </c>
      <c r="EA28">
        <v>17.7814533333333</v>
      </c>
      <c r="EB28">
        <v>17.9274066666667</v>
      </c>
      <c r="EC28">
        <v>999.9</v>
      </c>
      <c r="ED28">
        <v>0</v>
      </c>
      <c r="EE28">
        <v>0</v>
      </c>
      <c r="EF28">
        <v>10000.2</v>
      </c>
      <c r="EG28">
        <v>0</v>
      </c>
      <c r="EH28">
        <v>1280.556</v>
      </c>
      <c r="EI28">
        <v>-16.5070266666667</v>
      </c>
      <c r="EJ28">
        <v>405.900533333333</v>
      </c>
      <c r="EK28">
        <v>420.7786</v>
      </c>
      <c r="EL28">
        <v>4.07893666666667</v>
      </c>
      <c r="EM28">
        <v>420.024933333333</v>
      </c>
      <c r="EN28">
        <v>1.791248</v>
      </c>
      <c r="EO28">
        <v>0.5332804</v>
      </c>
      <c r="EP28">
        <v>0.162727133333333</v>
      </c>
      <c r="EQ28">
        <v>-1.91736133333333</v>
      </c>
      <c r="ER28">
        <v>-16.98686</v>
      </c>
      <c r="ES28">
        <v>1799.96733333333</v>
      </c>
      <c r="ET28">
        <v>0.9780006</v>
      </c>
      <c r="EU28">
        <v>0.0219992933333333</v>
      </c>
      <c r="EV28">
        <v>0</v>
      </c>
      <c r="EW28">
        <v>1447.138</v>
      </c>
      <c r="EX28">
        <v>5.00059</v>
      </c>
      <c r="EY28">
        <v>25709.5666666667</v>
      </c>
      <c r="EZ28">
        <v>15610.4</v>
      </c>
      <c r="FA28">
        <v>38.3915333333333</v>
      </c>
      <c r="FB28">
        <v>39.437</v>
      </c>
      <c r="FC28">
        <v>38.3204</v>
      </c>
      <c r="FD28">
        <v>38.5</v>
      </c>
      <c r="FE28">
        <v>38.812</v>
      </c>
      <c r="FF28">
        <v>1755.47733333333</v>
      </c>
      <c r="FG28">
        <v>39.49</v>
      </c>
      <c r="FH28">
        <v>0</v>
      </c>
      <c r="FI28">
        <v>71.7999999523163</v>
      </c>
      <c r="FJ28">
        <v>0</v>
      </c>
      <c r="FK28">
        <v>1446.95576923077</v>
      </c>
      <c r="FL28">
        <v>-32.7552136245786</v>
      </c>
      <c r="FM28">
        <v>-583.018802653592</v>
      </c>
      <c r="FN28">
        <v>25704.9884615385</v>
      </c>
      <c r="FO28">
        <v>15</v>
      </c>
      <c r="FP28">
        <v>0</v>
      </c>
      <c r="FQ28" t="s">
        <v>441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-16.4790238095238</v>
      </c>
      <c r="GD28">
        <v>-0.435124675324673</v>
      </c>
      <c r="GE28">
        <v>0.0507885148693126</v>
      </c>
      <c r="GF28">
        <v>1</v>
      </c>
      <c r="GG28">
        <v>1449.29882352941</v>
      </c>
      <c r="GH28">
        <v>-33.9388846567598</v>
      </c>
      <c r="GI28">
        <v>3.33748387500477</v>
      </c>
      <c r="GJ28">
        <v>-1</v>
      </c>
      <c r="GK28">
        <v>4.07667238095238</v>
      </c>
      <c r="GL28">
        <v>0.0368212987012999</v>
      </c>
      <c r="GM28">
        <v>0.00393705583104684</v>
      </c>
      <c r="GN28">
        <v>1</v>
      </c>
      <c r="GO28">
        <v>2</v>
      </c>
      <c r="GP28">
        <v>2</v>
      </c>
      <c r="GQ28" t="s">
        <v>442</v>
      </c>
      <c r="GR28">
        <v>3.12768</v>
      </c>
      <c r="GS28">
        <v>2.69892</v>
      </c>
      <c r="GT28">
        <v>0.0870644</v>
      </c>
      <c r="GU28">
        <v>0.0903782</v>
      </c>
      <c r="GV28">
        <v>0.0352371</v>
      </c>
      <c r="GW28">
        <v>0.0122755</v>
      </c>
      <c r="GX28">
        <v>34392.9</v>
      </c>
      <c r="GY28">
        <v>36748.3</v>
      </c>
      <c r="GZ28">
        <v>34080.8</v>
      </c>
      <c r="HA28">
        <v>36575</v>
      </c>
      <c r="HB28">
        <v>46431.8</v>
      </c>
      <c r="HC28">
        <v>51824.6</v>
      </c>
      <c r="HD28">
        <v>53097</v>
      </c>
      <c r="HE28">
        <v>58361.8</v>
      </c>
      <c r="HF28">
        <v>1.96505</v>
      </c>
      <c r="HG28">
        <v>2.3413</v>
      </c>
      <c r="HH28">
        <v>-2.6077e-05</v>
      </c>
      <c r="HI28">
        <v>0</v>
      </c>
      <c r="HJ28">
        <v>17.9907</v>
      </c>
      <c r="HK28">
        <v>999.9</v>
      </c>
      <c r="HL28">
        <v>23.52</v>
      </c>
      <c r="HM28">
        <v>28.752</v>
      </c>
      <c r="HN28">
        <v>10.2634</v>
      </c>
      <c r="HO28">
        <v>55.6662</v>
      </c>
      <c r="HP28">
        <v>32.8806</v>
      </c>
      <c r="HQ28">
        <v>2</v>
      </c>
      <c r="HR28">
        <v>0.00465701</v>
      </c>
      <c r="HS28">
        <v>5.8728</v>
      </c>
      <c r="HT28">
        <v>20.0368</v>
      </c>
      <c r="HU28">
        <v>5.19977</v>
      </c>
      <c r="HV28">
        <v>12.0044</v>
      </c>
      <c r="HW28">
        <v>4.97575</v>
      </c>
      <c r="HX28">
        <v>3.294</v>
      </c>
      <c r="HY28">
        <v>9999</v>
      </c>
      <c r="HZ28">
        <v>9999</v>
      </c>
      <c r="IA28">
        <v>9999</v>
      </c>
      <c r="IB28">
        <v>999.9</v>
      </c>
      <c r="IC28">
        <v>1.86324</v>
      </c>
      <c r="ID28">
        <v>1.86813</v>
      </c>
      <c r="IE28">
        <v>1.86784</v>
      </c>
      <c r="IF28">
        <v>1.86905</v>
      </c>
      <c r="IG28">
        <v>1.86982</v>
      </c>
      <c r="IH28">
        <v>1.86589</v>
      </c>
      <c r="II28">
        <v>1.86698</v>
      </c>
      <c r="IJ28">
        <v>1.86844</v>
      </c>
      <c r="IK28">
        <v>5</v>
      </c>
      <c r="IL28">
        <v>0</v>
      </c>
      <c r="IM28">
        <v>0</v>
      </c>
      <c r="IN28">
        <v>0</v>
      </c>
      <c r="IO28" t="s">
        <v>443</v>
      </c>
      <c r="IP28" t="s">
        <v>444</v>
      </c>
      <c r="IQ28" t="s">
        <v>445</v>
      </c>
      <c r="IR28" t="s">
        <v>445</v>
      </c>
      <c r="IS28" t="s">
        <v>445</v>
      </c>
      <c r="IT28" t="s">
        <v>445</v>
      </c>
      <c r="IU28">
        <v>0</v>
      </c>
      <c r="IV28">
        <v>100</v>
      </c>
      <c r="IW28">
        <v>100</v>
      </c>
      <c r="IX28">
        <v>2.852</v>
      </c>
      <c r="IY28">
        <v>-0.1362</v>
      </c>
      <c r="IZ28">
        <v>1.24656194001752</v>
      </c>
      <c r="JA28">
        <v>0.00408463137630218</v>
      </c>
      <c r="JB28">
        <v>-2.23906557180379e-07</v>
      </c>
      <c r="JC28">
        <v>6.23399102760906e-11</v>
      </c>
      <c r="JD28">
        <v>-0.0873394905990972</v>
      </c>
      <c r="JE28">
        <v>-0.0233348201324191</v>
      </c>
      <c r="JF28">
        <v>0.00274696999164489</v>
      </c>
      <c r="JG28">
        <v>-3.62864435074646e-05</v>
      </c>
      <c r="JH28">
        <v>5</v>
      </c>
      <c r="JI28">
        <v>2263</v>
      </c>
      <c r="JJ28">
        <v>1</v>
      </c>
      <c r="JK28">
        <v>24</v>
      </c>
      <c r="JL28">
        <v>29361320.7</v>
      </c>
      <c r="JM28">
        <v>29361320.7</v>
      </c>
      <c r="JN28">
        <v>1.2439</v>
      </c>
      <c r="JO28">
        <v>2.60376</v>
      </c>
      <c r="JP28">
        <v>2.19849</v>
      </c>
      <c r="JQ28">
        <v>2.63428</v>
      </c>
      <c r="JR28">
        <v>2.44507</v>
      </c>
      <c r="JS28">
        <v>2.31079</v>
      </c>
      <c r="JT28">
        <v>32.7313</v>
      </c>
      <c r="JU28">
        <v>24.1575</v>
      </c>
      <c r="JV28">
        <v>18</v>
      </c>
      <c r="JW28">
        <v>501.951</v>
      </c>
      <c r="JX28">
        <v>787.545</v>
      </c>
      <c r="JY28">
        <v>10.371</v>
      </c>
      <c r="JZ28">
        <v>27.2251</v>
      </c>
      <c r="KA28">
        <v>30.0003</v>
      </c>
      <c r="KB28">
        <v>27.1107</v>
      </c>
      <c r="KC28">
        <v>27.028</v>
      </c>
      <c r="KD28">
        <v>24.9108</v>
      </c>
      <c r="KE28">
        <v>66.3106</v>
      </c>
      <c r="KF28">
        <v>0</v>
      </c>
      <c r="KG28">
        <v>10.3618</v>
      </c>
      <c r="KH28">
        <v>420</v>
      </c>
      <c r="KI28">
        <v>1.81291</v>
      </c>
      <c r="KJ28">
        <v>96.5681</v>
      </c>
      <c r="KK28">
        <v>94.6169</v>
      </c>
    </row>
    <row r="29" spans="1:297">
      <c r="A29">
        <v>13</v>
      </c>
      <c r="B29">
        <v>1761679302.1</v>
      </c>
      <c r="C29">
        <v>1953</v>
      </c>
      <c r="D29" t="s">
        <v>482</v>
      </c>
      <c r="E29" t="s">
        <v>483</v>
      </c>
      <c r="F29">
        <v>5</v>
      </c>
      <c r="G29" t="s">
        <v>477</v>
      </c>
      <c r="H29" t="s">
        <v>436</v>
      </c>
      <c r="I29">
        <v>1761679293.6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420.837972695347</v>
      </c>
      <c r="AK29">
        <v>406.057806060606</v>
      </c>
      <c r="AL29">
        <v>0.000229723262465591</v>
      </c>
      <c r="AM29">
        <v>64.151971606377</v>
      </c>
      <c r="AN29">
        <f>(AP29 - AO29 + DY29*1E3/(8.314*(EA29+273.15)) * AR29/DX29 * AQ29) * DX29/(100*DL29) * 1000/(1000 - AP29)</f>
        <v>0</v>
      </c>
      <c r="AO29">
        <v>1.94414430862091</v>
      </c>
      <c r="AP29">
        <v>5.91129909090909</v>
      </c>
      <c r="AQ29">
        <v>8.22126451611848e-05</v>
      </c>
      <c r="AR29">
        <v>109.009391636412</v>
      </c>
      <c r="AS29">
        <v>0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474</v>
      </c>
      <c r="AY29">
        <v>5116.02</v>
      </c>
      <c r="AZ29">
        <v>799.704</v>
      </c>
      <c r="BA29">
        <v>1665.67347245608</v>
      </c>
      <c r="BB29">
        <f>1-AZ29/BA29</f>
        <v>0</v>
      </c>
      <c r="BC29">
        <v>-0.625329738090946</v>
      </c>
      <c r="BD29" t="s">
        <v>484</v>
      </c>
      <c r="BE29">
        <v>5161.83</v>
      </c>
      <c r="BF29">
        <v>1404.43692307692</v>
      </c>
      <c r="BG29">
        <v>1572.34367018039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485</v>
      </c>
      <c r="BQ29">
        <v>784.73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BZ29">
        <v>14</v>
      </c>
      <c r="CA29">
        <v>290</v>
      </c>
      <c r="CB29">
        <v>1514.57</v>
      </c>
      <c r="CC29">
        <v>125</v>
      </c>
      <c r="CD29">
        <v>5161.83</v>
      </c>
      <c r="CE29">
        <v>1514.02</v>
      </c>
      <c r="CF29">
        <v>0.55</v>
      </c>
      <c r="CG29">
        <v>300</v>
      </c>
      <c r="CH29">
        <v>23.7</v>
      </c>
      <c r="CI29">
        <v>1572.34367018039</v>
      </c>
      <c r="CJ29">
        <v>2.07366681993526</v>
      </c>
      <c r="CK29">
        <v>-30.1070700047331</v>
      </c>
      <c r="CL29">
        <v>0.97173000805916</v>
      </c>
      <c r="CM29">
        <v>0.971658303579696</v>
      </c>
      <c r="CN29">
        <v>-0.0029994700778643</v>
      </c>
      <c r="CO29">
        <v>290</v>
      </c>
      <c r="CP29">
        <v>1511.62</v>
      </c>
      <c r="CQ29">
        <v>735</v>
      </c>
      <c r="CR29">
        <v>5158.76</v>
      </c>
      <c r="CS29">
        <v>1513.98</v>
      </c>
      <c r="CT29">
        <v>-2.36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6</v>
      </c>
      <c r="DM29">
        <v>0.5</v>
      </c>
      <c r="DN29" t="s">
        <v>440</v>
      </c>
      <c r="DO29">
        <v>2</v>
      </c>
      <c r="DP29" t="b">
        <v>1</v>
      </c>
      <c r="DQ29">
        <v>1761679293.6</v>
      </c>
      <c r="DR29">
        <v>403.653</v>
      </c>
      <c r="DS29">
        <v>420.00825</v>
      </c>
      <c r="DT29">
        <v>5.895009375</v>
      </c>
      <c r="DU29">
        <v>1.928805625</v>
      </c>
      <c r="DV29">
        <v>400.80125</v>
      </c>
      <c r="DW29">
        <v>6.03112625</v>
      </c>
      <c r="DX29">
        <v>500.01425</v>
      </c>
      <c r="DY29">
        <v>90.8558375</v>
      </c>
      <c r="DZ29">
        <v>0.0207431125</v>
      </c>
      <c r="EA29">
        <v>17.952375</v>
      </c>
      <c r="EB29">
        <v>17.92584375</v>
      </c>
      <c r="EC29">
        <v>999.9</v>
      </c>
      <c r="ED29">
        <v>0</v>
      </c>
      <c r="EE29">
        <v>0</v>
      </c>
      <c r="EF29">
        <v>10000.078125</v>
      </c>
      <c r="EG29">
        <v>0</v>
      </c>
      <c r="EH29">
        <v>1280.62875</v>
      </c>
      <c r="EI29">
        <v>-16.35528125</v>
      </c>
      <c r="EJ29">
        <v>406.04675</v>
      </c>
      <c r="EK29">
        <v>420.82</v>
      </c>
      <c r="EL29">
        <v>3.966204375</v>
      </c>
      <c r="EM29">
        <v>420.00825</v>
      </c>
      <c r="EN29">
        <v>1.928805625</v>
      </c>
      <c r="EO29">
        <v>0.5355961875</v>
      </c>
      <c r="EP29">
        <v>0.1752433125</v>
      </c>
      <c r="EQ29">
        <v>-1.8586425</v>
      </c>
      <c r="ER29">
        <v>-16.10230625</v>
      </c>
      <c r="ES29">
        <v>1499.998125</v>
      </c>
      <c r="ET29">
        <v>0.972993</v>
      </c>
      <c r="EU29">
        <v>0.02700696875</v>
      </c>
      <c r="EV29">
        <v>0</v>
      </c>
      <c r="EW29">
        <v>1404.636875</v>
      </c>
      <c r="EX29">
        <v>5.00059</v>
      </c>
      <c r="EY29">
        <v>20743.4375</v>
      </c>
      <c r="EZ29">
        <v>12982.325</v>
      </c>
      <c r="FA29">
        <v>38.0816875</v>
      </c>
      <c r="FB29">
        <v>39.375</v>
      </c>
      <c r="FC29">
        <v>38.23425</v>
      </c>
      <c r="FD29">
        <v>38.437</v>
      </c>
      <c r="FE29">
        <v>38.6405</v>
      </c>
      <c r="FF29">
        <v>1454.62</v>
      </c>
      <c r="FG29">
        <v>40.378125</v>
      </c>
      <c r="FH29">
        <v>0</v>
      </c>
      <c r="FI29">
        <v>133</v>
      </c>
      <c r="FJ29">
        <v>0</v>
      </c>
      <c r="FK29">
        <v>1404.43692307692</v>
      </c>
      <c r="FL29">
        <v>-13.0393162582634</v>
      </c>
      <c r="FM29">
        <v>-214.516239401455</v>
      </c>
      <c r="FN29">
        <v>20739.2538461538</v>
      </c>
      <c r="FO29">
        <v>15</v>
      </c>
      <c r="FP29">
        <v>0</v>
      </c>
      <c r="FQ29" t="s">
        <v>441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-16.350985</v>
      </c>
      <c r="GD29">
        <v>-0.0265939849623951</v>
      </c>
      <c r="GE29">
        <v>0.0383881267451274</v>
      </c>
      <c r="GF29">
        <v>1</v>
      </c>
      <c r="GG29">
        <v>1405.46823529412</v>
      </c>
      <c r="GH29">
        <v>-12.6878533293504</v>
      </c>
      <c r="GI29">
        <v>1.25739803840695</v>
      </c>
      <c r="GJ29">
        <v>-1</v>
      </c>
      <c r="GK29">
        <v>3.969488</v>
      </c>
      <c r="GL29">
        <v>-0.0766276691729299</v>
      </c>
      <c r="GM29">
        <v>0.0085599799065185</v>
      </c>
      <c r="GN29">
        <v>1</v>
      </c>
      <c r="GO29">
        <v>2</v>
      </c>
      <c r="GP29">
        <v>2</v>
      </c>
      <c r="GQ29" t="s">
        <v>442</v>
      </c>
      <c r="GR29">
        <v>3.12781</v>
      </c>
      <c r="GS29">
        <v>2.69883</v>
      </c>
      <c r="GT29">
        <v>0.0870956</v>
      </c>
      <c r="GU29">
        <v>0.0904018</v>
      </c>
      <c r="GV29">
        <v>0.0354278</v>
      </c>
      <c r="GW29">
        <v>0.0133098</v>
      </c>
      <c r="GX29">
        <v>34392.1</v>
      </c>
      <c r="GY29">
        <v>36748.2</v>
      </c>
      <c r="GZ29">
        <v>34081</v>
      </c>
      <c r="HA29">
        <v>36575.8</v>
      </c>
      <c r="HB29">
        <v>46422.8</v>
      </c>
      <c r="HC29">
        <v>51770.8</v>
      </c>
      <c r="HD29">
        <v>53097.3</v>
      </c>
      <c r="HE29">
        <v>58362.4</v>
      </c>
      <c r="HF29">
        <v>1.9653</v>
      </c>
      <c r="HG29">
        <v>2.342</v>
      </c>
      <c r="HH29">
        <v>-0.00676885</v>
      </c>
      <c r="HI29">
        <v>0</v>
      </c>
      <c r="HJ29">
        <v>18.0999</v>
      </c>
      <c r="HK29">
        <v>999.9</v>
      </c>
      <c r="HL29">
        <v>23.52</v>
      </c>
      <c r="HM29">
        <v>28.782</v>
      </c>
      <c r="HN29">
        <v>10.281</v>
      </c>
      <c r="HO29">
        <v>55.7462</v>
      </c>
      <c r="HP29">
        <v>32.8005</v>
      </c>
      <c r="HQ29">
        <v>2</v>
      </c>
      <c r="HR29">
        <v>0.00140498</v>
      </c>
      <c r="HS29">
        <v>5.23287</v>
      </c>
      <c r="HT29">
        <v>20.0584</v>
      </c>
      <c r="HU29">
        <v>5.19917</v>
      </c>
      <c r="HV29">
        <v>12.0041</v>
      </c>
      <c r="HW29">
        <v>4.9757</v>
      </c>
      <c r="HX29">
        <v>3.294</v>
      </c>
      <c r="HY29">
        <v>9999</v>
      </c>
      <c r="HZ29">
        <v>9999</v>
      </c>
      <c r="IA29">
        <v>9999</v>
      </c>
      <c r="IB29">
        <v>999.9</v>
      </c>
      <c r="IC29">
        <v>1.86323</v>
      </c>
      <c r="ID29">
        <v>1.8681</v>
      </c>
      <c r="IE29">
        <v>1.86783</v>
      </c>
      <c r="IF29">
        <v>1.86899</v>
      </c>
      <c r="IG29">
        <v>1.86984</v>
      </c>
      <c r="IH29">
        <v>1.86588</v>
      </c>
      <c r="II29">
        <v>1.86695</v>
      </c>
      <c r="IJ29">
        <v>1.86843</v>
      </c>
      <c r="IK29">
        <v>5</v>
      </c>
      <c r="IL29">
        <v>0</v>
      </c>
      <c r="IM29">
        <v>0</v>
      </c>
      <c r="IN29">
        <v>0</v>
      </c>
      <c r="IO29" t="s">
        <v>443</v>
      </c>
      <c r="IP29" t="s">
        <v>444</v>
      </c>
      <c r="IQ29" t="s">
        <v>445</v>
      </c>
      <c r="IR29" t="s">
        <v>445</v>
      </c>
      <c r="IS29" t="s">
        <v>445</v>
      </c>
      <c r="IT29" t="s">
        <v>445</v>
      </c>
      <c r="IU29">
        <v>0</v>
      </c>
      <c r="IV29">
        <v>100</v>
      </c>
      <c r="IW29">
        <v>100</v>
      </c>
      <c r="IX29">
        <v>2.852</v>
      </c>
      <c r="IY29">
        <v>-0.136</v>
      </c>
      <c r="IZ29">
        <v>1.24656194001752</v>
      </c>
      <c r="JA29">
        <v>0.00408463137630218</v>
      </c>
      <c r="JB29">
        <v>-2.23906557180379e-07</v>
      </c>
      <c r="JC29">
        <v>6.23399102760906e-11</v>
      </c>
      <c r="JD29">
        <v>-0.0873394905990972</v>
      </c>
      <c r="JE29">
        <v>-0.0233348201324191</v>
      </c>
      <c r="JF29">
        <v>0.00274696999164489</v>
      </c>
      <c r="JG29">
        <v>-3.62864435074646e-05</v>
      </c>
      <c r="JH29">
        <v>5</v>
      </c>
      <c r="JI29">
        <v>2263</v>
      </c>
      <c r="JJ29">
        <v>1</v>
      </c>
      <c r="JK29">
        <v>24</v>
      </c>
      <c r="JL29">
        <v>29361321.7</v>
      </c>
      <c r="JM29">
        <v>29361321.7</v>
      </c>
      <c r="JN29">
        <v>1.24268</v>
      </c>
      <c r="JO29">
        <v>2.60376</v>
      </c>
      <c r="JP29">
        <v>2.19849</v>
      </c>
      <c r="JQ29">
        <v>2.63428</v>
      </c>
      <c r="JR29">
        <v>2.44507</v>
      </c>
      <c r="JS29">
        <v>2.30835</v>
      </c>
      <c r="JT29">
        <v>32.7313</v>
      </c>
      <c r="JU29">
        <v>24.1751</v>
      </c>
      <c r="JV29">
        <v>18</v>
      </c>
      <c r="JW29">
        <v>502.155</v>
      </c>
      <c r="JX29">
        <v>788.333</v>
      </c>
      <c r="JY29">
        <v>11.0855</v>
      </c>
      <c r="JZ29">
        <v>27.208</v>
      </c>
      <c r="KA29">
        <v>30.0001</v>
      </c>
      <c r="KB29">
        <v>27.1153</v>
      </c>
      <c r="KC29">
        <v>27.0373</v>
      </c>
      <c r="KD29">
        <v>24.9091</v>
      </c>
      <c r="KE29">
        <v>64.6001</v>
      </c>
      <c r="KF29">
        <v>0</v>
      </c>
      <c r="KG29">
        <v>11.103</v>
      </c>
      <c r="KH29">
        <v>420</v>
      </c>
      <c r="KI29">
        <v>2.00799</v>
      </c>
      <c r="KJ29">
        <v>96.5686</v>
      </c>
      <c r="KK29">
        <v>94.6183</v>
      </c>
    </row>
    <row r="30" spans="1:297">
      <c r="A30">
        <v>14</v>
      </c>
      <c r="B30">
        <v>1761679372.1</v>
      </c>
      <c r="C30">
        <v>2023</v>
      </c>
      <c r="D30" t="s">
        <v>486</v>
      </c>
      <c r="E30" t="s">
        <v>487</v>
      </c>
      <c r="F30">
        <v>5</v>
      </c>
      <c r="G30" t="s">
        <v>477</v>
      </c>
      <c r="H30" t="s">
        <v>436</v>
      </c>
      <c r="I30">
        <v>1761679363.6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420.919989225108</v>
      </c>
      <c r="AK30">
        <v>406.516272727273</v>
      </c>
      <c r="AL30">
        <v>0.000673452263611632</v>
      </c>
      <c r="AM30">
        <v>64.151971606377</v>
      </c>
      <c r="AN30">
        <f>(AP30 - AO30 + DY30*1E3/(8.314*(EA30+273.15)) * AR30/DX30 * AQ30) * DX30/(100*DL30) * 1000/(1000 - AP30)</f>
        <v>0</v>
      </c>
      <c r="AO30">
        <v>2.16057616718585</v>
      </c>
      <c r="AP30">
        <v>6.03512993006993</v>
      </c>
      <c r="AQ30">
        <v>0.000214708011833269</v>
      </c>
      <c r="AR30">
        <v>109.009391636412</v>
      </c>
      <c r="AS30">
        <v>0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448</v>
      </c>
      <c r="AY30" t="s">
        <v>448</v>
      </c>
      <c r="AZ30">
        <v>0</v>
      </c>
      <c r="BA30">
        <v>0</v>
      </c>
      <c r="BB30">
        <f>1-AZ30/BA30</f>
        <v>0</v>
      </c>
      <c r="BC30">
        <v>0</v>
      </c>
      <c r="BD30" t="s">
        <v>448</v>
      </c>
      <c r="BE30" t="s">
        <v>448</v>
      </c>
      <c r="BF30">
        <v>0</v>
      </c>
      <c r="BG30">
        <v>0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448</v>
      </c>
      <c r="BQ30">
        <v>0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BZ30">
        <v>14</v>
      </c>
      <c r="CA30">
        <v>290</v>
      </c>
      <c r="CB30">
        <v>1514.57</v>
      </c>
      <c r="CC30">
        <v>125</v>
      </c>
      <c r="CD30">
        <v>5161.83</v>
      </c>
      <c r="CE30">
        <v>1514.02</v>
      </c>
      <c r="CF30">
        <v>0.55</v>
      </c>
      <c r="CG30">
        <v>300</v>
      </c>
      <c r="CH30">
        <v>23.7</v>
      </c>
      <c r="CI30">
        <v>1572.34367018039</v>
      </c>
      <c r="CJ30">
        <v>2.07366681993526</v>
      </c>
      <c r="CK30">
        <v>-30.1070700047331</v>
      </c>
      <c r="CL30">
        <v>0.97173000805916</v>
      </c>
      <c r="CM30">
        <v>0.971658303579696</v>
      </c>
      <c r="CN30">
        <v>-0.0029994700778643</v>
      </c>
      <c r="CO30">
        <v>290</v>
      </c>
      <c r="CP30">
        <v>1511.62</v>
      </c>
      <c r="CQ30">
        <v>735</v>
      </c>
      <c r="CR30">
        <v>5158.76</v>
      </c>
      <c r="CS30">
        <v>1513.98</v>
      </c>
      <c r="CT30">
        <v>-2.36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6</v>
      </c>
      <c r="DM30">
        <v>0.5</v>
      </c>
      <c r="DN30" t="s">
        <v>440</v>
      </c>
      <c r="DO30">
        <v>2</v>
      </c>
      <c r="DP30" t="b">
        <v>1</v>
      </c>
      <c r="DQ30">
        <v>1761679363.6</v>
      </c>
      <c r="DR30">
        <v>404.0920625</v>
      </c>
      <c r="DS30">
        <v>419.987375</v>
      </c>
      <c r="DT30">
        <v>6.01296875</v>
      </c>
      <c r="DU30">
        <v>2.15001625</v>
      </c>
      <c r="DV30">
        <v>401.2385625</v>
      </c>
      <c r="DW30">
        <v>6.14837</v>
      </c>
      <c r="DX30">
        <v>500.004875</v>
      </c>
      <c r="DY30">
        <v>90.8504875</v>
      </c>
      <c r="DZ30">
        <v>0.018968275</v>
      </c>
      <c r="EA30">
        <v>18.26329375</v>
      </c>
      <c r="EB30">
        <v>18.0191875</v>
      </c>
      <c r="EC30">
        <v>999.9</v>
      </c>
      <c r="ED30">
        <v>0</v>
      </c>
      <c r="EE30">
        <v>0</v>
      </c>
      <c r="EF30">
        <v>9998.9</v>
      </c>
      <c r="EG30">
        <v>0</v>
      </c>
      <c r="EH30">
        <v>1280.868125</v>
      </c>
      <c r="EI30">
        <v>-15.89535625</v>
      </c>
      <c r="EJ30">
        <v>406.536625</v>
      </c>
      <c r="EK30">
        <v>420.892125</v>
      </c>
      <c r="EL30">
        <v>3.862953125</v>
      </c>
      <c r="EM30">
        <v>419.987375</v>
      </c>
      <c r="EN30">
        <v>2.15001625</v>
      </c>
      <c r="EO30">
        <v>0.54628125</v>
      </c>
      <c r="EP30">
        <v>0.19533</v>
      </c>
      <c r="EQ30">
        <v>-1.59057875</v>
      </c>
      <c r="ER30">
        <v>-14.79353125</v>
      </c>
      <c r="ES30">
        <v>1200.005</v>
      </c>
      <c r="ET30">
        <v>0.9669919375</v>
      </c>
      <c r="EU30">
        <v>0.03300833125</v>
      </c>
      <c r="EV30">
        <v>0</v>
      </c>
      <c r="EW30">
        <v>1379.985</v>
      </c>
      <c r="EX30">
        <v>5.00059</v>
      </c>
      <c r="EY30">
        <v>16252.9375</v>
      </c>
      <c r="EZ30">
        <v>10358.74375</v>
      </c>
      <c r="FA30">
        <v>37.601375</v>
      </c>
      <c r="FB30">
        <v>39.277125</v>
      </c>
      <c r="FC30">
        <v>38.019375</v>
      </c>
      <c r="FD30">
        <v>38.3159375</v>
      </c>
      <c r="FE30">
        <v>38.3395625</v>
      </c>
      <c r="FF30">
        <v>1155.560625</v>
      </c>
      <c r="FG30">
        <v>39.444375</v>
      </c>
      <c r="FH30">
        <v>0</v>
      </c>
      <c r="FI30">
        <v>67</v>
      </c>
      <c r="FJ30">
        <v>0</v>
      </c>
      <c r="FK30">
        <v>1379.61576923077</v>
      </c>
      <c r="FL30">
        <v>-24.6670085600604</v>
      </c>
      <c r="FM30">
        <v>-297.353846460105</v>
      </c>
      <c r="FN30">
        <v>16249.1846153846</v>
      </c>
      <c r="FO30">
        <v>15</v>
      </c>
      <c r="FP30">
        <v>0</v>
      </c>
      <c r="FQ30" t="s">
        <v>441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-15.8893285714286</v>
      </c>
      <c r="GD30">
        <v>-0.387381818181789</v>
      </c>
      <c r="GE30">
        <v>0.0519241217717614</v>
      </c>
      <c r="GF30">
        <v>1</v>
      </c>
      <c r="GG30">
        <v>1380.87058823529</v>
      </c>
      <c r="GH30">
        <v>-25.1165775501365</v>
      </c>
      <c r="GI30">
        <v>2.47237911282001</v>
      </c>
      <c r="GJ30">
        <v>-1</v>
      </c>
      <c r="GK30">
        <v>3.86541571428571</v>
      </c>
      <c r="GL30">
        <v>-0.0265059740259661</v>
      </c>
      <c r="GM30">
        <v>0.00592692851590543</v>
      </c>
      <c r="GN30">
        <v>1</v>
      </c>
      <c r="GO30">
        <v>2</v>
      </c>
      <c r="GP30">
        <v>2</v>
      </c>
      <c r="GQ30" t="s">
        <v>442</v>
      </c>
      <c r="GR30">
        <v>3.12777</v>
      </c>
      <c r="GS30">
        <v>2.69699</v>
      </c>
      <c r="GT30">
        <v>0.0871653</v>
      </c>
      <c r="GU30">
        <v>0.0903925</v>
      </c>
      <c r="GV30">
        <v>0.0360434</v>
      </c>
      <c r="GW30">
        <v>0.0146462</v>
      </c>
      <c r="GX30">
        <v>34390.7</v>
      </c>
      <c r="GY30">
        <v>36750</v>
      </c>
      <c r="GZ30">
        <v>34082</v>
      </c>
      <c r="HA30">
        <v>36576.9</v>
      </c>
      <c r="HB30">
        <v>46393.7</v>
      </c>
      <c r="HC30">
        <v>51702.4</v>
      </c>
      <c r="HD30">
        <v>53098.1</v>
      </c>
      <c r="HE30">
        <v>58364.3</v>
      </c>
      <c r="HF30">
        <v>1.96507</v>
      </c>
      <c r="HG30">
        <v>2.34258</v>
      </c>
      <c r="HH30">
        <v>-0.00864267</v>
      </c>
      <c r="HI30">
        <v>0</v>
      </c>
      <c r="HJ30">
        <v>18.2744</v>
      </c>
      <c r="HK30">
        <v>999.9</v>
      </c>
      <c r="HL30">
        <v>23.489</v>
      </c>
      <c r="HM30">
        <v>28.822</v>
      </c>
      <c r="HN30">
        <v>10.2917</v>
      </c>
      <c r="HO30">
        <v>55.2263</v>
      </c>
      <c r="HP30">
        <v>32.4679</v>
      </c>
      <c r="HQ30">
        <v>2</v>
      </c>
      <c r="HR30">
        <v>-0.00261179</v>
      </c>
      <c r="HS30">
        <v>6.07277</v>
      </c>
      <c r="HT30">
        <v>20.0229</v>
      </c>
      <c r="HU30">
        <v>5.20142</v>
      </c>
      <c r="HV30">
        <v>12.0065</v>
      </c>
      <c r="HW30">
        <v>4.97565</v>
      </c>
      <c r="HX30">
        <v>3.294</v>
      </c>
      <c r="HY30">
        <v>9999</v>
      </c>
      <c r="HZ30">
        <v>9999</v>
      </c>
      <c r="IA30">
        <v>9999</v>
      </c>
      <c r="IB30">
        <v>999.9</v>
      </c>
      <c r="IC30">
        <v>1.8632</v>
      </c>
      <c r="ID30">
        <v>1.86811</v>
      </c>
      <c r="IE30">
        <v>1.86783</v>
      </c>
      <c r="IF30">
        <v>1.86904</v>
      </c>
      <c r="IG30">
        <v>1.86983</v>
      </c>
      <c r="IH30">
        <v>1.86586</v>
      </c>
      <c r="II30">
        <v>1.86691</v>
      </c>
      <c r="IJ30">
        <v>1.86841</v>
      </c>
      <c r="IK30">
        <v>5</v>
      </c>
      <c r="IL30">
        <v>0</v>
      </c>
      <c r="IM30">
        <v>0</v>
      </c>
      <c r="IN30">
        <v>0</v>
      </c>
      <c r="IO30" t="s">
        <v>443</v>
      </c>
      <c r="IP30" t="s">
        <v>444</v>
      </c>
      <c r="IQ30" t="s">
        <v>445</v>
      </c>
      <c r="IR30" t="s">
        <v>445</v>
      </c>
      <c r="IS30" t="s">
        <v>445</v>
      </c>
      <c r="IT30" t="s">
        <v>445</v>
      </c>
      <c r="IU30">
        <v>0</v>
      </c>
      <c r="IV30">
        <v>100</v>
      </c>
      <c r="IW30">
        <v>100</v>
      </c>
      <c r="IX30">
        <v>2.854</v>
      </c>
      <c r="IY30">
        <v>-0.1352</v>
      </c>
      <c r="IZ30">
        <v>1.24656194001752</v>
      </c>
      <c r="JA30">
        <v>0.00408463137630218</v>
      </c>
      <c r="JB30">
        <v>-2.23906557180379e-07</v>
      </c>
      <c r="JC30">
        <v>6.23399102760906e-11</v>
      </c>
      <c r="JD30">
        <v>-0.0873394905990972</v>
      </c>
      <c r="JE30">
        <v>-0.0233348201324191</v>
      </c>
      <c r="JF30">
        <v>0.00274696999164489</v>
      </c>
      <c r="JG30">
        <v>-3.62864435074646e-05</v>
      </c>
      <c r="JH30">
        <v>5</v>
      </c>
      <c r="JI30">
        <v>2263</v>
      </c>
      <c r="JJ30">
        <v>1</v>
      </c>
      <c r="JK30">
        <v>24</v>
      </c>
      <c r="JL30">
        <v>29361322.9</v>
      </c>
      <c r="JM30">
        <v>29361322.9</v>
      </c>
      <c r="JN30">
        <v>1.2439</v>
      </c>
      <c r="JO30">
        <v>2.60864</v>
      </c>
      <c r="JP30">
        <v>2.19849</v>
      </c>
      <c r="JQ30">
        <v>2.63428</v>
      </c>
      <c r="JR30">
        <v>2.44507</v>
      </c>
      <c r="JS30">
        <v>2.33765</v>
      </c>
      <c r="JT30">
        <v>32.7535</v>
      </c>
      <c r="JU30">
        <v>24.1313</v>
      </c>
      <c r="JV30">
        <v>18</v>
      </c>
      <c r="JW30">
        <v>501.947</v>
      </c>
      <c r="JX30">
        <v>788.837</v>
      </c>
      <c r="JY30">
        <v>12.26</v>
      </c>
      <c r="JZ30">
        <v>27.1682</v>
      </c>
      <c r="KA30">
        <v>30.0014</v>
      </c>
      <c r="KB30">
        <v>27.1085</v>
      </c>
      <c r="KC30">
        <v>27.035</v>
      </c>
      <c r="KD30">
        <v>24.9147</v>
      </c>
      <c r="KE30">
        <v>62.3148</v>
      </c>
      <c r="KF30">
        <v>0</v>
      </c>
      <c r="KG30">
        <v>11.7056</v>
      </c>
      <c r="KH30">
        <v>420</v>
      </c>
      <c r="KI30">
        <v>2.2395</v>
      </c>
      <c r="KJ30">
        <v>96.5705</v>
      </c>
      <c r="KK30">
        <v>94.6214</v>
      </c>
    </row>
    <row r="31" spans="1:297">
      <c r="A31">
        <v>15</v>
      </c>
      <c r="B31">
        <v>1761679433.1</v>
      </c>
      <c r="C31">
        <v>2084</v>
      </c>
      <c r="D31" t="s">
        <v>488</v>
      </c>
      <c r="E31" t="s">
        <v>489</v>
      </c>
      <c r="F31">
        <v>5</v>
      </c>
      <c r="G31" t="s">
        <v>477</v>
      </c>
      <c r="H31" t="s">
        <v>436</v>
      </c>
      <c r="I31">
        <v>1761679424.6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420.993594873565</v>
      </c>
      <c r="AK31">
        <v>407.044109090909</v>
      </c>
      <c r="AL31">
        <v>0.000969078546356137</v>
      </c>
      <c r="AM31">
        <v>64.151971606377</v>
      </c>
      <c r="AN31">
        <f>(AP31 - AO31 + DY31*1E3/(8.314*(EA31+273.15)) * AR31/DX31 * AQ31) * DX31/(100*DL31) * 1000/(1000 - AP31)</f>
        <v>0</v>
      </c>
      <c r="AO31">
        <v>2.33065689474804</v>
      </c>
      <c r="AP31">
        <v>6.0872306993007</v>
      </c>
      <c r="AQ31">
        <v>2.36001006574822e-05</v>
      </c>
      <c r="AR31">
        <v>109.009391636412</v>
      </c>
      <c r="AS31">
        <v>0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474</v>
      </c>
      <c r="AY31">
        <v>5116.02</v>
      </c>
      <c r="AZ31">
        <v>799.704</v>
      </c>
      <c r="BA31">
        <v>1665.67347245608</v>
      </c>
      <c r="BB31">
        <f>1-AZ31/BA31</f>
        <v>0</v>
      </c>
      <c r="BC31">
        <v>-0.625329738090946</v>
      </c>
      <c r="BD31" t="s">
        <v>490</v>
      </c>
      <c r="BE31">
        <v>5162.56</v>
      </c>
      <c r="BF31">
        <v>1313.78038461538</v>
      </c>
      <c r="BG31">
        <v>1581.31300003925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491</v>
      </c>
      <c r="BQ31">
        <v>771.07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BZ31">
        <v>16</v>
      </c>
      <c r="CA31">
        <v>290</v>
      </c>
      <c r="CB31">
        <v>1525.2</v>
      </c>
      <c r="CC31">
        <v>255</v>
      </c>
      <c r="CD31">
        <v>5162.56</v>
      </c>
      <c r="CE31">
        <v>1524.78</v>
      </c>
      <c r="CF31">
        <v>0.42</v>
      </c>
      <c r="CG31">
        <v>300</v>
      </c>
      <c r="CH31">
        <v>23.8</v>
      </c>
      <c r="CI31">
        <v>1581.31300003925</v>
      </c>
      <c r="CJ31">
        <v>1.57800424700999</v>
      </c>
      <c r="CK31">
        <v>-29.1853358365345</v>
      </c>
      <c r="CL31">
        <v>0.726415552792739</v>
      </c>
      <c r="CM31">
        <v>0.98294977028103</v>
      </c>
      <c r="CN31">
        <v>-0.00350827363737486</v>
      </c>
      <c r="CO31">
        <v>290</v>
      </c>
      <c r="CP31">
        <v>1522.46</v>
      </c>
      <c r="CQ31">
        <v>845</v>
      </c>
      <c r="CR31">
        <v>5160.7</v>
      </c>
      <c r="CS31">
        <v>1524.76</v>
      </c>
      <c r="CT31">
        <v>-2.3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6</v>
      </c>
      <c r="DM31">
        <v>0.5</v>
      </c>
      <c r="DN31" t="s">
        <v>440</v>
      </c>
      <c r="DO31">
        <v>2</v>
      </c>
      <c r="DP31" t="b">
        <v>1</v>
      </c>
      <c r="DQ31">
        <v>1761679424.6</v>
      </c>
      <c r="DR31">
        <v>404.524625</v>
      </c>
      <c r="DS31">
        <v>419.9845625</v>
      </c>
      <c r="DT31">
        <v>6.080554375</v>
      </c>
      <c r="DU31">
        <v>2.329758125</v>
      </c>
      <c r="DV31">
        <v>401.6695</v>
      </c>
      <c r="DW31">
        <v>6.215524375</v>
      </c>
      <c r="DX31">
        <v>499.99</v>
      </c>
      <c r="DY31">
        <v>90.84454375</v>
      </c>
      <c r="DZ31">
        <v>0.01905555625</v>
      </c>
      <c r="EA31">
        <v>18.3365375</v>
      </c>
      <c r="EB31">
        <v>17.903425</v>
      </c>
      <c r="EC31">
        <v>999.9</v>
      </c>
      <c r="ED31">
        <v>0</v>
      </c>
      <c r="EE31">
        <v>0</v>
      </c>
      <c r="EF31">
        <v>9997.419375</v>
      </c>
      <c r="EG31">
        <v>0</v>
      </c>
      <c r="EH31">
        <v>1281.005625</v>
      </c>
      <c r="EI31">
        <v>-15.460075</v>
      </c>
      <c r="EJ31">
        <v>406.9993125</v>
      </c>
      <c r="EK31">
        <v>420.9655</v>
      </c>
      <c r="EL31">
        <v>3.7507975</v>
      </c>
      <c r="EM31">
        <v>419.9845625</v>
      </c>
      <c r="EN31">
        <v>2.329758125</v>
      </c>
      <c r="EO31">
        <v>0.5523853125</v>
      </c>
      <c r="EP31">
        <v>0.21164575</v>
      </c>
      <c r="EQ31">
        <v>-1.4394725</v>
      </c>
      <c r="ER31">
        <v>-13.816</v>
      </c>
      <c r="ES31">
        <v>900.003</v>
      </c>
      <c r="ET31">
        <v>0.9559994375</v>
      </c>
      <c r="EU31">
        <v>0.044000525</v>
      </c>
      <c r="EV31">
        <v>0</v>
      </c>
      <c r="EW31">
        <v>1313.845625</v>
      </c>
      <c r="EX31">
        <v>5.00059</v>
      </c>
      <c r="EY31">
        <v>11552.2</v>
      </c>
      <c r="EZ31">
        <v>7732.834375</v>
      </c>
      <c r="FA31">
        <v>37.06225</v>
      </c>
      <c r="FB31">
        <v>39.117125</v>
      </c>
      <c r="FC31">
        <v>37.7303125</v>
      </c>
      <c r="FD31">
        <v>38.187</v>
      </c>
      <c r="FE31">
        <v>37.9880625</v>
      </c>
      <c r="FF31">
        <v>855.62125</v>
      </c>
      <c r="FG31">
        <v>39.376875</v>
      </c>
      <c r="FH31">
        <v>0</v>
      </c>
      <c r="FI31">
        <v>128.200000047684</v>
      </c>
      <c r="FJ31">
        <v>0</v>
      </c>
      <c r="FK31">
        <v>1313.78038461538</v>
      </c>
      <c r="FL31">
        <v>-3.510769229978</v>
      </c>
      <c r="FM31">
        <v>-47.3880341157937</v>
      </c>
      <c r="FN31">
        <v>11551.1730769231</v>
      </c>
      <c r="FO31">
        <v>15</v>
      </c>
      <c r="FP31">
        <v>0</v>
      </c>
      <c r="FQ31" t="s">
        <v>441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-15.4772428571429</v>
      </c>
      <c r="GD31">
        <v>0.241449350649335</v>
      </c>
      <c r="GE31">
        <v>0.0401415658155288</v>
      </c>
      <c r="GF31">
        <v>1</v>
      </c>
      <c r="GG31">
        <v>1314.02941176471</v>
      </c>
      <c r="GH31">
        <v>-3.10985485595483</v>
      </c>
      <c r="GI31">
        <v>0.357309728687232</v>
      </c>
      <c r="GJ31">
        <v>-1</v>
      </c>
      <c r="GK31">
        <v>3.74700952380952</v>
      </c>
      <c r="GL31">
        <v>0.0614758441558422</v>
      </c>
      <c r="GM31">
        <v>0.00648951130025211</v>
      </c>
      <c r="GN31">
        <v>1</v>
      </c>
      <c r="GO31">
        <v>2</v>
      </c>
      <c r="GP31">
        <v>2</v>
      </c>
      <c r="GQ31" t="s">
        <v>442</v>
      </c>
      <c r="GR31">
        <v>3.1279</v>
      </c>
      <c r="GS31">
        <v>2.69687</v>
      </c>
      <c r="GT31">
        <v>0.0872507</v>
      </c>
      <c r="GU31">
        <v>0.090389</v>
      </c>
      <c r="GV31">
        <v>0.0362833</v>
      </c>
      <c r="GW31">
        <v>0.0156398</v>
      </c>
      <c r="GX31">
        <v>34389.6</v>
      </c>
      <c r="GY31">
        <v>36753.6</v>
      </c>
      <c r="GZ31">
        <v>34083.9</v>
      </c>
      <c r="HA31">
        <v>36580.1</v>
      </c>
      <c r="HB31">
        <v>46384.4</v>
      </c>
      <c r="HC31">
        <v>51654.7</v>
      </c>
      <c r="HD31">
        <v>53100.6</v>
      </c>
      <c r="HE31">
        <v>58369.3</v>
      </c>
      <c r="HF31">
        <v>1.96545</v>
      </c>
      <c r="HG31">
        <v>2.34325</v>
      </c>
      <c r="HH31">
        <v>-0.0299327</v>
      </c>
      <c r="HI31">
        <v>0</v>
      </c>
      <c r="HJ31">
        <v>18.4139</v>
      </c>
      <c r="HK31">
        <v>999.9</v>
      </c>
      <c r="HL31">
        <v>23.465</v>
      </c>
      <c r="HM31">
        <v>28.852</v>
      </c>
      <c r="HN31">
        <v>10.2992</v>
      </c>
      <c r="HO31">
        <v>53.7463</v>
      </c>
      <c r="HP31">
        <v>32.3878</v>
      </c>
      <c r="HQ31">
        <v>2</v>
      </c>
      <c r="HR31">
        <v>-0.00895325</v>
      </c>
      <c r="HS31">
        <v>4.26385</v>
      </c>
      <c r="HT31">
        <v>20.0901</v>
      </c>
      <c r="HU31">
        <v>5.19932</v>
      </c>
      <c r="HV31">
        <v>12.004</v>
      </c>
      <c r="HW31">
        <v>4.97565</v>
      </c>
      <c r="HX31">
        <v>3.294</v>
      </c>
      <c r="HY31">
        <v>9999</v>
      </c>
      <c r="HZ31">
        <v>9999</v>
      </c>
      <c r="IA31">
        <v>9999</v>
      </c>
      <c r="IB31">
        <v>999.9</v>
      </c>
      <c r="IC31">
        <v>1.86324</v>
      </c>
      <c r="ID31">
        <v>1.86811</v>
      </c>
      <c r="IE31">
        <v>1.86784</v>
      </c>
      <c r="IF31">
        <v>1.86902</v>
      </c>
      <c r="IG31">
        <v>1.86981</v>
      </c>
      <c r="IH31">
        <v>1.86586</v>
      </c>
      <c r="II31">
        <v>1.867</v>
      </c>
      <c r="IJ31">
        <v>1.86843</v>
      </c>
      <c r="IK31">
        <v>5</v>
      </c>
      <c r="IL31">
        <v>0</v>
      </c>
      <c r="IM31">
        <v>0</v>
      </c>
      <c r="IN31">
        <v>0</v>
      </c>
      <c r="IO31" t="s">
        <v>443</v>
      </c>
      <c r="IP31" t="s">
        <v>444</v>
      </c>
      <c r="IQ31" t="s">
        <v>445</v>
      </c>
      <c r="IR31" t="s">
        <v>445</v>
      </c>
      <c r="IS31" t="s">
        <v>445</v>
      </c>
      <c r="IT31" t="s">
        <v>445</v>
      </c>
      <c r="IU31">
        <v>0</v>
      </c>
      <c r="IV31">
        <v>100</v>
      </c>
      <c r="IW31">
        <v>100</v>
      </c>
      <c r="IX31">
        <v>2.856</v>
      </c>
      <c r="IY31">
        <v>-0.1349</v>
      </c>
      <c r="IZ31">
        <v>1.24656194001752</v>
      </c>
      <c r="JA31">
        <v>0.00408463137630218</v>
      </c>
      <c r="JB31">
        <v>-2.23906557180379e-07</v>
      </c>
      <c r="JC31">
        <v>6.23399102760906e-11</v>
      </c>
      <c r="JD31">
        <v>-0.0873394905990972</v>
      </c>
      <c r="JE31">
        <v>-0.0233348201324191</v>
      </c>
      <c r="JF31">
        <v>0.00274696999164489</v>
      </c>
      <c r="JG31">
        <v>-3.62864435074646e-05</v>
      </c>
      <c r="JH31">
        <v>5</v>
      </c>
      <c r="JI31">
        <v>2263</v>
      </c>
      <c r="JJ31">
        <v>1</v>
      </c>
      <c r="JK31">
        <v>24</v>
      </c>
      <c r="JL31">
        <v>29361323.9</v>
      </c>
      <c r="JM31">
        <v>29361323.9</v>
      </c>
      <c r="JN31">
        <v>1.2439</v>
      </c>
      <c r="JO31">
        <v>2.60132</v>
      </c>
      <c r="JP31">
        <v>2.19849</v>
      </c>
      <c r="JQ31">
        <v>2.63428</v>
      </c>
      <c r="JR31">
        <v>2.44507</v>
      </c>
      <c r="JS31">
        <v>2.33398</v>
      </c>
      <c r="JT31">
        <v>32.7535</v>
      </c>
      <c r="JU31">
        <v>24.1926</v>
      </c>
      <c r="JV31">
        <v>18</v>
      </c>
      <c r="JW31">
        <v>502.035</v>
      </c>
      <c r="JX31">
        <v>789.316</v>
      </c>
      <c r="JY31">
        <v>12.3767</v>
      </c>
      <c r="JZ31">
        <v>27.1252</v>
      </c>
      <c r="KA31">
        <v>30</v>
      </c>
      <c r="KB31">
        <v>27.091</v>
      </c>
      <c r="KC31">
        <v>27.0246</v>
      </c>
      <c r="KD31">
        <v>24.9169</v>
      </c>
      <c r="KE31">
        <v>60.8921</v>
      </c>
      <c r="KF31">
        <v>0</v>
      </c>
      <c r="KG31">
        <v>12.4082</v>
      </c>
      <c r="KH31">
        <v>420</v>
      </c>
      <c r="KI31">
        <v>2.36697</v>
      </c>
      <c r="KJ31">
        <v>96.5754</v>
      </c>
      <c r="KK31">
        <v>94.6296</v>
      </c>
    </row>
    <row r="32" spans="1:297">
      <c r="A32">
        <v>16</v>
      </c>
      <c r="B32">
        <v>1761679503.1</v>
      </c>
      <c r="C32">
        <v>2154</v>
      </c>
      <c r="D32" t="s">
        <v>492</v>
      </c>
      <c r="E32" t="s">
        <v>493</v>
      </c>
      <c r="F32">
        <v>5</v>
      </c>
      <c r="G32" t="s">
        <v>477</v>
      </c>
      <c r="H32" t="s">
        <v>436</v>
      </c>
      <c r="I32">
        <v>1761679494.6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421.042869701773</v>
      </c>
      <c r="AK32">
        <v>408.0106</v>
      </c>
      <c r="AL32">
        <v>-0.00043534024574608</v>
      </c>
      <c r="AM32">
        <v>64.151971606377</v>
      </c>
      <c r="AN32">
        <f>(AP32 - AO32 + DY32*1E3/(8.314*(EA32+273.15)) * AR32/DX32 * AQ32) * DX32/(100*DL32) * 1000/(1000 - AP32)</f>
        <v>0</v>
      </c>
      <c r="AO32">
        <v>2.49103277112806</v>
      </c>
      <c r="AP32">
        <v>6.15311979020979</v>
      </c>
      <c r="AQ32">
        <v>0.00014997564782848</v>
      </c>
      <c r="AR32">
        <v>109.009391636412</v>
      </c>
      <c r="AS32">
        <v>0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448</v>
      </c>
      <c r="AY32" t="s">
        <v>448</v>
      </c>
      <c r="AZ32">
        <v>0</v>
      </c>
      <c r="BA32">
        <v>0</v>
      </c>
      <c r="BB32">
        <f>1-AZ32/BA32</f>
        <v>0</v>
      </c>
      <c r="BC32">
        <v>0</v>
      </c>
      <c r="BD32" t="s">
        <v>448</v>
      </c>
      <c r="BE32" t="s">
        <v>448</v>
      </c>
      <c r="BF32">
        <v>0</v>
      </c>
      <c r="BG32">
        <v>0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448</v>
      </c>
      <c r="BQ32">
        <v>0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BZ32">
        <v>16</v>
      </c>
      <c r="CA32">
        <v>290</v>
      </c>
      <c r="CB32">
        <v>1525.2</v>
      </c>
      <c r="CC32">
        <v>255</v>
      </c>
      <c r="CD32">
        <v>5162.56</v>
      </c>
      <c r="CE32">
        <v>1524.78</v>
      </c>
      <c r="CF32">
        <v>0.42</v>
      </c>
      <c r="CG32">
        <v>300</v>
      </c>
      <c r="CH32">
        <v>23.8</v>
      </c>
      <c r="CI32">
        <v>1581.31300003925</v>
      </c>
      <c r="CJ32">
        <v>1.57800424700999</v>
      </c>
      <c r="CK32">
        <v>-29.1853358365345</v>
      </c>
      <c r="CL32">
        <v>0.726415552792739</v>
      </c>
      <c r="CM32">
        <v>0.98294977028103</v>
      </c>
      <c r="CN32">
        <v>-0.00350827363737486</v>
      </c>
      <c r="CO32">
        <v>290</v>
      </c>
      <c r="CP32">
        <v>1522.46</v>
      </c>
      <c r="CQ32">
        <v>845</v>
      </c>
      <c r="CR32">
        <v>5160.7</v>
      </c>
      <c r="CS32">
        <v>1524.76</v>
      </c>
      <c r="CT32">
        <v>-2.3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6</v>
      </c>
      <c r="DM32">
        <v>0.5</v>
      </c>
      <c r="DN32" t="s">
        <v>440</v>
      </c>
      <c r="DO32">
        <v>2</v>
      </c>
      <c r="DP32" t="b">
        <v>1</v>
      </c>
      <c r="DQ32">
        <v>1761679494.6</v>
      </c>
      <c r="DR32">
        <v>405.5165625</v>
      </c>
      <c r="DS32">
        <v>419.98825</v>
      </c>
      <c r="DT32">
        <v>6.13668875</v>
      </c>
      <c r="DU32">
        <v>2.4845625</v>
      </c>
      <c r="DV32">
        <v>402.657375</v>
      </c>
      <c r="DW32">
        <v>6.27128125</v>
      </c>
      <c r="DX32">
        <v>500.0109375</v>
      </c>
      <c r="DY32">
        <v>90.8515875</v>
      </c>
      <c r="DZ32">
        <v>0.01904725625</v>
      </c>
      <c r="EA32">
        <v>18.60356875</v>
      </c>
      <c r="EB32">
        <v>17.9126375</v>
      </c>
      <c r="EC32">
        <v>999.9</v>
      </c>
      <c r="ED32">
        <v>0</v>
      </c>
      <c r="EE32">
        <v>0</v>
      </c>
      <c r="EF32">
        <v>9998.945625</v>
      </c>
      <c r="EG32">
        <v>0</v>
      </c>
      <c r="EH32">
        <v>1281.13625</v>
      </c>
      <c r="EI32">
        <v>-14.47185625</v>
      </c>
      <c r="EJ32">
        <v>408.0203125</v>
      </c>
      <c r="EK32">
        <v>421.03425</v>
      </c>
      <c r="EL32">
        <v>3.652128125</v>
      </c>
      <c r="EM32">
        <v>419.98825</v>
      </c>
      <c r="EN32">
        <v>2.4845625</v>
      </c>
      <c r="EO32">
        <v>0.557528</v>
      </c>
      <c r="EP32">
        <v>0.2257264375</v>
      </c>
      <c r="EQ32">
        <v>-1.31334875</v>
      </c>
      <c r="ER32">
        <v>-13.02545</v>
      </c>
      <c r="ES32">
        <v>599.9838125</v>
      </c>
      <c r="ET32">
        <v>0.9330013125</v>
      </c>
      <c r="EU32">
        <v>0.0669986625</v>
      </c>
      <c r="EV32">
        <v>0</v>
      </c>
      <c r="EW32">
        <v>1228.308125</v>
      </c>
      <c r="EX32">
        <v>5.00059</v>
      </c>
      <c r="EY32">
        <v>7145.57125</v>
      </c>
      <c r="EZ32">
        <v>5105.368125</v>
      </c>
      <c r="FA32">
        <v>36.4255625</v>
      </c>
      <c r="FB32">
        <v>38.8749375</v>
      </c>
      <c r="FC32">
        <v>37.351375</v>
      </c>
      <c r="FD32">
        <v>37.9724375</v>
      </c>
      <c r="FE32">
        <v>37.5349375</v>
      </c>
      <c r="FF32">
        <v>555.12125</v>
      </c>
      <c r="FG32">
        <v>39.860625</v>
      </c>
      <c r="FH32">
        <v>0</v>
      </c>
      <c r="FI32">
        <v>67</v>
      </c>
      <c r="FJ32">
        <v>0</v>
      </c>
      <c r="FK32">
        <v>1228.27307692308</v>
      </c>
      <c r="FL32">
        <v>-4.8779487305425</v>
      </c>
      <c r="FM32">
        <v>-45.8427350740949</v>
      </c>
      <c r="FN32">
        <v>7145.24230769231</v>
      </c>
      <c r="FO32">
        <v>15</v>
      </c>
      <c r="FP32">
        <v>0</v>
      </c>
      <c r="FQ32" t="s">
        <v>441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-14.46524</v>
      </c>
      <c r="GD32">
        <v>-0.256439097744346</v>
      </c>
      <c r="GE32">
        <v>0.0408993325128908</v>
      </c>
      <c r="GF32">
        <v>1</v>
      </c>
      <c r="GG32">
        <v>1228.56529411765</v>
      </c>
      <c r="GH32">
        <v>-5.3188693738878</v>
      </c>
      <c r="GI32">
        <v>0.551091085105758</v>
      </c>
      <c r="GJ32">
        <v>-1</v>
      </c>
      <c r="GK32">
        <v>3.6539425</v>
      </c>
      <c r="GL32">
        <v>-0.0599679699248098</v>
      </c>
      <c r="GM32">
        <v>0.00739832810505184</v>
      </c>
      <c r="GN32">
        <v>1</v>
      </c>
      <c r="GO32">
        <v>2</v>
      </c>
      <c r="GP32">
        <v>2</v>
      </c>
      <c r="GQ32" t="s">
        <v>442</v>
      </c>
      <c r="GR32">
        <v>3.12792</v>
      </c>
      <c r="GS32">
        <v>2.69683</v>
      </c>
      <c r="GT32">
        <v>0.0874136</v>
      </c>
      <c r="GU32">
        <v>0.0904048</v>
      </c>
      <c r="GV32">
        <v>0.0366296</v>
      </c>
      <c r="GW32">
        <v>0.0168023</v>
      </c>
      <c r="GX32">
        <v>34387.2</v>
      </c>
      <c r="GY32">
        <v>36756.9</v>
      </c>
      <c r="GZ32">
        <v>34087.2</v>
      </c>
      <c r="HA32">
        <v>36583.7</v>
      </c>
      <c r="HB32">
        <v>46371.8</v>
      </c>
      <c r="HC32">
        <v>51598.4</v>
      </c>
      <c r="HD32">
        <v>53105.3</v>
      </c>
      <c r="HE32">
        <v>58374.6</v>
      </c>
      <c r="HF32">
        <v>1.96595</v>
      </c>
      <c r="HG32">
        <v>2.3447</v>
      </c>
      <c r="HH32">
        <v>-0.0377335</v>
      </c>
      <c r="HI32">
        <v>0</v>
      </c>
      <c r="HJ32">
        <v>18.5938</v>
      </c>
      <c r="HK32">
        <v>999.9</v>
      </c>
      <c r="HL32">
        <v>23.44</v>
      </c>
      <c r="HM32">
        <v>28.883</v>
      </c>
      <c r="HN32">
        <v>10.3055</v>
      </c>
      <c r="HO32">
        <v>54.2163</v>
      </c>
      <c r="HP32">
        <v>32.3478</v>
      </c>
      <c r="HQ32">
        <v>2</v>
      </c>
      <c r="HR32">
        <v>-0.016997</v>
      </c>
      <c r="HS32">
        <v>3.43017</v>
      </c>
      <c r="HT32">
        <v>20.1105</v>
      </c>
      <c r="HU32">
        <v>5.19917</v>
      </c>
      <c r="HV32">
        <v>12.004</v>
      </c>
      <c r="HW32">
        <v>4.97565</v>
      </c>
      <c r="HX32">
        <v>3.29398</v>
      </c>
      <c r="HY32">
        <v>9999</v>
      </c>
      <c r="HZ32">
        <v>9999</v>
      </c>
      <c r="IA32">
        <v>9999</v>
      </c>
      <c r="IB32">
        <v>999.9</v>
      </c>
      <c r="IC32">
        <v>1.86324</v>
      </c>
      <c r="ID32">
        <v>1.86813</v>
      </c>
      <c r="IE32">
        <v>1.86783</v>
      </c>
      <c r="IF32">
        <v>1.86904</v>
      </c>
      <c r="IG32">
        <v>1.86983</v>
      </c>
      <c r="IH32">
        <v>1.86588</v>
      </c>
      <c r="II32">
        <v>1.86696</v>
      </c>
      <c r="IJ32">
        <v>1.86843</v>
      </c>
      <c r="IK32">
        <v>5</v>
      </c>
      <c r="IL32">
        <v>0</v>
      </c>
      <c r="IM32">
        <v>0</v>
      </c>
      <c r="IN32">
        <v>0</v>
      </c>
      <c r="IO32" t="s">
        <v>443</v>
      </c>
      <c r="IP32" t="s">
        <v>444</v>
      </c>
      <c r="IQ32" t="s">
        <v>445</v>
      </c>
      <c r="IR32" t="s">
        <v>445</v>
      </c>
      <c r="IS32" t="s">
        <v>445</v>
      </c>
      <c r="IT32" t="s">
        <v>445</v>
      </c>
      <c r="IU32">
        <v>0</v>
      </c>
      <c r="IV32">
        <v>100</v>
      </c>
      <c r="IW32">
        <v>100</v>
      </c>
      <c r="IX32">
        <v>2.859</v>
      </c>
      <c r="IY32">
        <v>-0.1345</v>
      </c>
      <c r="IZ32">
        <v>1.24656194001752</v>
      </c>
      <c r="JA32">
        <v>0.00408463137630218</v>
      </c>
      <c r="JB32">
        <v>-2.23906557180379e-07</v>
      </c>
      <c r="JC32">
        <v>6.23399102760906e-11</v>
      </c>
      <c r="JD32">
        <v>-0.0873394905990972</v>
      </c>
      <c r="JE32">
        <v>-0.0233348201324191</v>
      </c>
      <c r="JF32">
        <v>0.00274696999164489</v>
      </c>
      <c r="JG32">
        <v>-3.62864435074646e-05</v>
      </c>
      <c r="JH32">
        <v>5</v>
      </c>
      <c r="JI32">
        <v>2263</v>
      </c>
      <c r="JJ32">
        <v>1</v>
      </c>
      <c r="JK32">
        <v>24</v>
      </c>
      <c r="JL32">
        <v>29361325.1</v>
      </c>
      <c r="JM32">
        <v>29361325.1</v>
      </c>
      <c r="JN32">
        <v>1.2439</v>
      </c>
      <c r="JO32">
        <v>2.60254</v>
      </c>
      <c r="JP32">
        <v>2.19849</v>
      </c>
      <c r="JQ32">
        <v>2.63428</v>
      </c>
      <c r="JR32">
        <v>2.44507</v>
      </c>
      <c r="JS32">
        <v>2.33765</v>
      </c>
      <c r="JT32">
        <v>32.7535</v>
      </c>
      <c r="JU32">
        <v>24.2013</v>
      </c>
      <c r="JV32">
        <v>18</v>
      </c>
      <c r="JW32">
        <v>502.122</v>
      </c>
      <c r="JX32">
        <v>790.367</v>
      </c>
      <c r="JY32">
        <v>13.7339</v>
      </c>
      <c r="JZ32">
        <v>27.07</v>
      </c>
      <c r="KA32">
        <v>30</v>
      </c>
      <c r="KB32">
        <v>27.0643</v>
      </c>
      <c r="KC32">
        <v>27.0037</v>
      </c>
      <c r="KD32">
        <v>24.9143</v>
      </c>
      <c r="KE32">
        <v>58.9145</v>
      </c>
      <c r="KF32">
        <v>0</v>
      </c>
      <c r="KG32">
        <v>13.7427</v>
      </c>
      <c r="KH32">
        <v>420</v>
      </c>
      <c r="KI32">
        <v>2.5865</v>
      </c>
      <c r="KJ32">
        <v>96.5843</v>
      </c>
      <c r="KK32">
        <v>94.6384</v>
      </c>
    </row>
    <row r="33" spans="1:297">
      <c r="A33">
        <v>17</v>
      </c>
      <c r="B33">
        <v>1761679567.1</v>
      </c>
      <c r="C33">
        <v>2218</v>
      </c>
      <c r="D33" t="s">
        <v>494</v>
      </c>
      <c r="E33" t="s">
        <v>495</v>
      </c>
      <c r="F33">
        <v>5</v>
      </c>
      <c r="G33" t="s">
        <v>477</v>
      </c>
      <c r="H33" t="s">
        <v>436</v>
      </c>
      <c r="I33">
        <v>1761679559.1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421.142595999542</v>
      </c>
      <c r="AK33">
        <v>410.437775757576</v>
      </c>
      <c r="AL33">
        <v>0.000834412022917737</v>
      </c>
      <c r="AM33">
        <v>64.151971606377</v>
      </c>
      <c r="AN33">
        <f>(AP33 - AO33 + DY33*1E3/(8.314*(EA33+273.15)) * AR33/DX33 * AQ33) * DX33/(100*DL33) * 1000/(1000 - AP33)</f>
        <v>0</v>
      </c>
      <c r="AO33">
        <v>2.69787825660667</v>
      </c>
      <c r="AP33">
        <v>6.25296657342658</v>
      </c>
      <c r="AQ33">
        <v>6.39180255823668e-05</v>
      </c>
      <c r="AR33">
        <v>109.009391636412</v>
      </c>
      <c r="AS33">
        <v>0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474</v>
      </c>
      <c r="AY33">
        <v>5116.02</v>
      </c>
      <c r="AZ33">
        <v>799.704</v>
      </c>
      <c r="BA33">
        <v>1665.67347245608</v>
      </c>
      <c r="BB33">
        <f>1-AZ33/BA33</f>
        <v>0</v>
      </c>
      <c r="BC33">
        <v>-0.625329738090946</v>
      </c>
      <c r="BD33" t="s">
        <v>496</v>
      </c>
      <c r="BE33">
        <v>5156.78</v>
      </c>
      <c r="BF33">
        <v>1006.0716</v>
      </c>
      <c r="BG33">
        <v>1677.04619788752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497</v>
      </c>
      <c r="BQ33">
        <v>737.53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BZ33">
        <v>18</v>
      </c>
      <c r="CA33">
        <v>290</v>
      </c>
      <c r="CB33">
        <v>1610.01</v>
      </c>
      <c r="CC33">
        <v>295</v>
      </c>
      <c r="CD33">
        <v>5156.78</v>
      </c>
      <c r="CE33">
        <v>1610.17</v>
      </c>
      <c r="CF33">
        <v>-0.16</v>
      </c>
      <c r="CG33">
        <v>300</v>
      </c>
      <c r="CH33">
        <v>23.8</v>
      </c>
      <c r="CI33">
        <v>1677.04619788752</v>
      </c>
      <c r="CJ33">
        <v>1.31957566313247</v>
      </c>
      <c r="CK33">
        <v>-34.4878282996833</v>
      </c>
      <c r="CL33">
        <v>0.595436421822499</v>
      </c>
      <c r="CM33">
        <v>0.991722724826923</v>
      </c>
      <c r="CN33">
        <v>-0.0040101319243604</v>
      </c>
      <c r="CO33">
        <v>290</v>
      </c>
      <c r="CP33">
        <v>1609.42</v>
      </c>
      <c r="CQ33">
        <v>765</v>
      </c>
      <c r="CR33">
        <v>5155.42</v>
      </c>
      <c r="CS33">
        <v>1610.15</v>
      </c>
      <c r="CT33">
        <v>-0.73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6</v>
      </c>
      <c r="DM33">
        <v>0.5</v>
      </c>
      <c r="DN33" t="s">
        <v>440</v>
      </c>
      <c r="DO33">
        <v>2</v>
      </c>
      <c r="DP33" t="b">
        <v>1</v>
      </c>
      <c r="DQ33">
        <v>1761679559.1</v>
      </c>
      <c r="DR33">
        <v>407.835333333333</v>
      </c>
      <c r="DS33">
        <v>420.004933333333</v>
      </c>
      <c r="DT33">
        <v>6.24045866666667</v>
      </c>
      <c r="DU33">
        <v>2.692574</v>
      </c>
      <c r="DV33">
        <v>404.9672</v>
      </c>
      <c r="DW33">
        <v>6.37432533333333</v>
      </c>
      <c r="DX33">
        <v>499.993066666667</v>
      </c>
      <c r="DY33">
        <v>90.8547866666667</v>
      </c>
      <c r="DZ33">
        <v>0.0193300133333333</v>
      </c>
      <c r="EA33">
        <v>18.8531333333333</v>
      </c>
      <c r="EB33">
        <v>17.9741733333333</v>
      </c>
      <c r="EC33">
        <v>999.9</v>
      </c>
      <c r="ED33">
        <v>0</v>
      </c>
      <c r="EE33">
        <v>0</v>
      </c>
      <c r="EF33">
        <v>10000.41</v>
      </c>
      <c r="EG33">
        <v>0</v>
      </c>
      <c r="EH33">
        <v>1281.304</v>
      </c>
      <c r="EI33">
        <v>-12.1696066666667</v>
      </c>
      <c r="EJ33">
        <v>410.396333333333</v>
      </c>
      <c r="EK33">
        <v>421.138866666667</v>
      </c>
      <c r="EL33">
        <v>3.547884</v>
      </c>
      <c r="EM33">
        <v>420.004933333333</v>
      </c>
      <c r="EN33">
        <v>2.692574</v>
      </c>
      <c r="EO33">
        <v>0.566975733333333</v>
      </c>
      <c r="EP33">
        <v>0.244633466666667</v>
      </c>
      <c r="EQ33">
        <v>-1.08428933333333</v>
      </c>
      <c r="ER33">
        <v>-12.0299733333333</v>
      </c>
      <c r="ES33">
        <v>300.003733333333</v>
      </c>
      <c r="ET33">
        <v>0.899932</v>
      </c>
      <c r="EU33">
        <v>0.100068</v>
      </c>
      <c r="EV33">
        <v>0</v>
      </c>
      <c r="EW33">
        <v>1005.806</v>
      </c>
      <c r="EX33">
        <v>5.00059</v>
      </c>
      <c r="EY33">
        <v>2904.05933333333</v>
      </c>
      <c r="EZ33">
        <v>2506.17066666667</v>
      </c>
      <c r="FA33">
        <v>35.6622666666667</v>
      </c>
      <c r="FB33">
        <v>38.5746</v>
      </c>
      <c r="FC33">
        <v>36.8831333333333</v>
      </c>
      <c r="FD33">
        <v>37.7248</v>
      </c>
      <c r="FE33">
        <v>36.9914</v>
      </c>
      <c r="FF33">
        <v>265.483333333333</v>
      </c>
      <c r="FG33">
        <v>29.52</v>
      </c>
      <c r="FH33">
        <v>0</v>
      </c>
      <c r="FI33">
        <v>131.200000047684</v>
      </c>
      <c r="FJ33">
        <v>0</v>
      </c>
      <c r="FK33">
        <v>1006.0716</v>
      </c>
      <c r="FL33">
        <v>22.2638461243028</v>
      </c>
      <c r="FM33">
        <v>56.0761537260249</v>
      </c>
      <c r="FN33">
        <v>2904.7932</v>
      </c>
      <c r="FO33">
        <v>15</v>
      </c>
      <c r="FP33">
        <v>0</v>
      </c>
      <c r="FQ33" t="s">
        <v>441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-12.1936523809524</v>
      </c>
      <c r="GD33">
        <v>0.363670129870117</v>
      </c>
      <c r="GE33">
        <v>0.0482951305742951</v>
      </c>
      <c r="GF33">
        <v>1</v>
      </c>
      <c r="GG33">
        <v>1004.35147058824</v>
      </c>
      <c r="GH33">
        <v>22.8759358415679</v>
      </c>
      <c r="GI33">
        <v>2.25010474573564</v>
      </c>
      <c r="GJ33">
        <v>-1</v>
      </c>
      <c r="GK33">
        <v>3.54522761904762</v>
      </c>
      <c r="GL33">
        <v>0.0361036363636491</v>
      </c>
      <c r="GM33">
        <v>0.00459698131257986</v>
      </c>
      <c r="GN33">
        <v>1</v>
      </c>
      <c r="GO33">
        <v>2</v>
      </c>
      <c r="GP33">
        <v>2</v>
      </c>
      <c r="GQ33" t="s">
        <v>442</v>
      </c>
      <c r="GR33">
        <v>3.12794</v>
      </c>
      <c r="GS33">
        <v>2.6973</v>
      </c>
      <c r="GT33">
        <v>0.0878215</v>
      </c>
      <c r="GU33">
        <v>0.0904143</v>
      </c>
      <c r="GV33">
        <v>0.0371093</v>
      </c>
      <c r="GW33">
        <v>0.0179022</v>
      </c>
      <c r="GX33">
        <v>34374.6</v>
      </c>
      <c r="GY33">
        <v>36760.4</v>
      </c>
      <c r="GZ33">
        <v>34089.7</v>
      </c>
      <c r="HA33">
        <v>36587.2</v>
      </c>
      <c r="HB33">
        <v>46351.3</v>
      </c>
      <c r="HC33">
        <v>51545.6</v>
      </c>
      <c r="HD33">
        <v>53108.3</v>
      </c>
      <c r="HE33">
        <v>58380.2</v>
      </c>
      <c r="HF33">
        <v>1.96633</v>
      </c>
      <c r="HG33">
        <v>2.34567</v>
      </c>
      <c r="HH33">
        <v>-0.0467338</v>
      </c>
      <c r="HI33">
        <v>0</v>
      </c>
      <c r="HJ33">
        <v>18.802</v>
      </c>
      <c r="HK33">
        <v>999.9</v>
      </c>
      <c r="HL33">
        <v>23.416</v>
      </c>
      <c r="HM33">
        <v>28.923</v>
      </c>
      <c r="HN33">
        <v>10.3197</v>
      </c>
      <c r="HO33">
        <v>54.0563</v>
      </c>
      <c r="HP33">
        <v>32.3678</v>
      </c>
      <c r="HQ33">
        <v>2</v>
      </c>
      <c r="HR33">
        <v>-0.0222485</v>
      </c>
      <c r="HS33">
        <v>3.20923</v>
      </c>
      <c r="HT33">
        <v>20.117</v>
      </c>
      <c r="HU33">
        <v>5.19887</v>
      </c>
      <c r="HV33">
        <v>12.004</v>
      </c>
      <c r="HW33">
        <v>4.97545</v>
      </c>
      <c r="HX33">
        <v>3.29393</v>
      </c>
      <c r="HY33">
        <v>9999</v>
      </c>
      <c r="HZ33">
        <v>9999</v>
      </c>
      <c r="IA33">
        <v>9999</v>
      </c>
      <c r="IB33">
        <v>999.9</v>
      </c>
      <c r="IC33">
        <v>1.86322</v>
      </c>
      <c r="ID33">
        <v>1.86813</v>
      </c>
      <c r="IE33">
        <v>1.86784</v>
      </c>
      <c r="IF33">
        <v>1.86905</v>
      </c>
      <c r="IG33">
        <v>1.86983</v>
      </c>
      <c r="IH33">
        <v>1.86586</v>
      </c>
      <c r="II33">
        <v>1.86699</v>
      </c>
      <c r="IJ33">
        <v>1.86844</v>
      </c>
      <c r="IK33">
        <v>5</v>
      </c>
      <c r="IL33">
        <v>0</v>
      </c>
      <c r="IM33">
        <v>0</v>
      </c>
      <c r="IN33">
        <v>0</v>
      </c>
      <c r="IO33" t="s">
        <v>443</v>
      </c>
      <c r="IP33" t="s">
        <v>444</v>
      </c>
      <c r="IQ33" t="s">
        <v>445</v>
      </c>
      <c r="IR33" t="s">
        <v>445</v>
      </c>
      <c r="IS33" t="s">
        <v>445</v>
      </c>
      <c r="IT33" t="s">
        <v>445</v>
      </c>
      <c r="IU33">
        <v>0</v>
      </c>
      <c r="IV33">
        <v>100</v>
      </c>
      <c r="IW33">
        <v>100</v>
      </c>
      <c r="IX33">
        <v>2.868</v>
      </c>
      <c r="IY33">
        <v>-0.1338</v>
      </c>
      <c r="IZ33">
        <v>1.24656194001752</v>
      </c>
      <c r="JA33">
        <v>0.00408463137630218</v>
      </c>
      <c r="JB33">
        <v>-2.23906557180379e-07</v>
      </c>
      <c r="JC33">
        <v>6.23399102760906e-11</v>
      </c>
      <c r="JD33">
        <v>-0.0873394905990972</v>
      </c>
      <c r="JE33">
        <v>-0.0233348201324191</v>
      </c>
      <c r="JF33">
        <v>0.00274696999164489</v>
      </c>
      <c r="JG33">
        <v>-3.62864435074646e-05</v>
      </c>
      <c r="JH33">
        <v>5</v>
      </c>
      <c r="JI33">
        <v>2263</v>
      </c>
      <c r="JJ33">
        <v>1</v>
      </c>
      <c r="JK33">
        <v>24</v>
      </c>
      <c r="JL33">
        <v>29361326.1</v>
      </c>
      <c r="JM33">
        <v>29361326.1</v>
      </c>
      <c r="JN33">
        <v>1.2439</v>
      </c>
      <c r="JO33">
        <v>2.60254</v>
      </c>
      <c r="JP33">
        <v>2.19849</v>
      </c>
      <c r="JQ33">
        <v>2.63306</v>
      </c>
      <c r="JR33">
        <v>2.44507</v>
      </c>
      <c r="JS33">
        <v>2.33032</v>
      </c>
      <c r="JT33">
        <v>32.7313</v>
      </c>
      <c r="JU33">
        <v>24.2013</v>
      </c>
      <c r="JV33">
        <v>18</v>
      </c>
      <c r="JW33">
        <v>502.075</v>
      </c>
      <c r="JX33">
        <v>790.892</v>
      </c>
      <c r="JY33">
        <v>14.4926</v>
      </c>
      <c r="JZ33">
        <v>27.0123</v>
      </c>
      <c r="KA33">
        <v>30.0002</v>
      </c>
      <c r="KB33">
        <v>27.0319</v>
      </c>
      <c r="KC33">
        <v>26.9773</v>
      </c>
      <c r="KD33">
        <v>24.919</v>
      </c>
      <c r="KE33">
        <v>57.1283</v>
      </c>
      <c r="KF33">
        <v>0</v>
      </c>
      <c r="KG33">
        <v>13.4567</v>
      </c>
      <c r="KH33">
        <v>420</v>
      </c>
      <c r="KI33">
        <v>2.79285</v>
      </c>
      <c r="KJ33">
        <v>96.5904</v>
      </c>
      <c r="KK33">
        <v>94.6474</v>
      </c>
    </row>
    <row r="34" spans="1:297">
      <c r="A34">
        <v>18</v>
      </c>
      <c r="B34">
        <v>1761679647.1</v>
      </c>
      <c r="C34">
        <v>2298</v>
      </c>
      <c r="D34" t="s">
        <v>498</v>
      </c>
      <c r="E34" t="s">
        <v>499</v>
      </c>
      <c r="F34">
        <v>5</v>
      </c>
      <c r="G34" t="s">
        <v>477</v>
      </c>
      <c r="H34" t="s">
        <v>436</v>
      </c>
      <c r="I34">
        <v>1761679638.6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421.184542135112</v>
      </c>
      <c r="AK34">
        <v>413.985933333333</v>
      </c>
      <c r="AL34">
        <v>-0.00169103646747788</v>
      </c>
      <c r="AM34">
        <v>64.151971606377</v>
      </c>
      <c r="AN34">
        <f>(AP34 - AO34 + DY34*1E3/(8.314*(EA34+273.15)) * AR34/DX34 * AQ34) * DX34/(100*DL34) * 1000/(1000 - AP34)</f>
        <v>0</v>
      </c>
      <c r="AO34">
        <v>2.86714682414913</v>
      </c>
      <c r="AP34">
        <v>6.31688202797203</v>
      </c>
      <c r="AQ34">
        <v>-1.91839019138829e-05</v>
      </c>
      <c r="AR34">
        <v>109.009391636412</v>
      </c>
      <c r="AS34">
        <v>0</v>
      </c>
      <c r="AT34">
        <v>0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448</v>
      </c>
      <c r="AY34" t="s">
        <v>448</v>
      </c>
      <c r="AZ34">
        <v>0</v>
      </c>
      <c r="BA34">
        <v>0</v>
      </c>
      <c r="BB34">
        <f>1-AZ34/BA34</f>
        <v>0</v>
      </c>
      <c r="BC34">
        <v>0</v>
      </c>
      <c r="BD34" t="s">
        <v>448</v>
      </c>
      <c r="BE34" t="s">
        <v>448</v>
      </c>
      <c r="BF34">
        <v>0</v>
      </c>
      <c r="BG34">
        <v>0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448</v>
      </c>
      <c r="BQ34">
        <v>0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BZ34">
        <v>18</v>
      </c>
      <c r="CA34">
        <v>290</v>
      </c>
      <c r="CB34">
        <v>1610.01</v>
      </c>
      <c r="CC34">
        <v>295</v>
      </c>
      <c r="CD34">
        <v>5156.78</v>
      </c>
      <c r="CE34">
        <v>1610.17</v>
      </c>
      <c r="CF34">
        <v>-0.16</v>
      </c>
      <c r="CG34">
        <v>300</v>
      </c>
      <c r="CH34">
        <v>23.8</v>
      </c>
      <c r="CI34">
        <v>1677.04619788752</v>
      </c>
      <c r="CJ34">
        <v>1.31957566313247</v>
      </c>
      <c r="CK34">
        <v>-34.4878282996833</v>
      </c>
      <c r="CL34">
        <v>0.595436421822499</v>
      </c>
      <c r="CM34">
        <v>0.991722724826923</v>
      </c>
      <c r="CN34">
        <v>-0.0040101319243604</v>
      </c>
      <c r="CO34">
        <v>290</v>
      </c>
      <c r="CP34">
        <v>1609.42</v>
      </c>
      <c r="CQ34">
        <v>765</v>
      </c>
      <c r="CR34">
        <v>5155.42</v>
      </c>
      <c r="CS34">
        <v>1610.15</v>
      </c>
      <c r="CT34">
        <v>-0.73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6</v>
      </c>
      <c r="DM34">
        <v>0.5</v>
      </c>
      <c r="DN34" t="s">
        <v>440</v>
      </c>
      <c r="DO34">
        <v>2</v>
      </c>
      <c r="DP34" t="b">
        <v>1</v>
      </c>
      <c r="DQ34">
        <v>1761679638.6</v>
      </c>
      <c r="DR34">
        <v>411.4085625</v>
      </c>
      <c r="DS34">
        <v>419.981125</v>
      </c>
      <c r="DT34">
        <v>6.3191</v>
      </c>
      <c r="DU34">
        <v>2.862800625</v>
      </c>
      <c r="DV34">
        <v>408.5265</v>
      </c>
      <c r="DW34">
        <v>6.452388125</v>
      </c>
      <c r="DX34">
        <v>499.9353125</v>
      </c>
      <c r="DY34">
        <v>90.87151875</v>
      </c>
      <c r="DZ34">
        <v>0.0193400625</v>
      </c>
      <c r="EA34">
        <v>19.00104375</v>
      </c>
      <c r="EB34">
        <v>18.0949125</v>
      </c>
      <c r="EC34">
        <v>999.9</v>
      </c>
      <c r="ED34">
        <v>0</v>
      </c>
      <c r="EE34">
        <v>0</v>
      </c>
      <c r="EF34">
        <v>9982.346875</v>
      </c>
      <c r="EG34">
        <v>0</v>
      </c>
      <c r="EH34">
        <v>1281.45625</v>
      </c>
      <c r="EI34">
        <v>-8.5726575</v>
      </c>
      <c r="EJ34">
        <v>414.0248125</v>
      </c>
      <c r="EK34">
        <v>421.1869375</v>
      </c>
      <c r="EL34">
        <v>3.4563</v>
      </c>
      <c r="EM34">
        <v>419.981125</v>
      </c>
      <c r="EN34">
        <v>2.862800625</v>
      </c>
      <c r="EO34">
        <v>0.57422625</v>
      </c>
      <c r="EP34">
        <v>0.2601470625</v>
      </c>
      <c r="EQ34">
        <v>-0.9107670625</v>
      </c>
      <c r="ER34">
        <v>-11.263275</v>
      </c>
      <c r="ES34">
        <v>150.0203125</v>
      </c>
      <c r="ET34">
        <v>0.8999924375</v>
      </c>
      <c r="EU34">
        <v>0.10000761875</v>
      </c>
      <c r="EV34">
        <v>0</v>
      </c>
      <c r="EW34">
        <v>826.354125</v>
      </c>
      <c r="EX34">
        <v>5.00059</v>
      </c>
      <c r="EY34">
        <v>1197.140625</v>
      </c>
      <c r="EZ34">
        <v>1232.023125</v>
      </c>
      <c r="FA34">
        <v>34.89425</v>
      </c>
      <c r="FB34">
        <v>38.1405</v>
      </c>
      <c r="FC34">
        <v>36.28875</v>
      </c>
      <c r="FD34">
        <v>37.35925</v>
      </c>
      <c r="FE34">
        <v>36.3825625</v>
      </c>
      <c r="FF34">
        <v>130.516875</v>
      </c>
      <c r="FG34">
        <v>14.5</v>
      </c>
      <c r="FH34">
        <v>0</v>
      </c>
      <c r="FI34">
        <v>77.2000000476837</v>
      </c>
      <c r="FJ34">
        <v>0</v>
      </c>
      <c r="FK34">
        <v>826.65112</v>
      </c>
      <c r="FL34">
        <v>16.0254615016699</v>
      </c>
      <c r="FM34">
        <v>21.3069229770052</v>
      </c>
      <c r="FN34">
        <v>1197.4144</v>
      </c>
      <c r="FO34">
        <v>15</v>
      </c>
      <c r="FP34">
        <v>0</v>
      </c>
      <c r="FQ34" t="s">
        <v>441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-8.59865476190476</v>
      </c>
      <c r="GD34">
        <v>0.359131168831147</v>
      </c>
      <c r="GE34">
        <v>0.0586216088566607</v>
      </c>
      <c r="GF34">
        <v>1</v>
      </c>
      <c r="GG34">
        <v>825.511117647059</v>
      </c>
      <c r="GH34">
        <v>15.079847212263</v>
      </c>
      <c r="GI34">
        <v>1.49439241567989</v>
      </c>
      <c r="GJ34">
        <v>-1</v>
      </c>
      <c r="GK34">
        <v>3.4594980952381</v>
      </c>
      <c r="GL34">
        <v>-0.0657342857142829</v>
      </c>
      <c r="GM34">
        <v>0.00815312246293968</v>
      </c>
      <c r="GN34">
        <v>1</v>
      </c>
      <c r="GO34">
        <v>2</v>
      </c>
      <c r="GP34">
        <v>2</v>
      </c>
      <c r="GQ34" t="s">
        <v>442</v>
      </c>
      <c r="GR34">
        <v>3.12819</v>
      </c>
      <c r="GS34">
        <v>2.69758</v>
      </c>
      <c r="GT34">
        <v>0.0884352</v>
      </c>
      <c r="GU34">
        <v>0.0904381</v>
      </c>
      <c r="GV34">
        <v>0.0374391</v>
      </c>
      <c r="GW34">
        <v>0.0189371</v>
      </c>
      <c r="GX34">
        <v>34354.8</v>
      </c>
      <c r="GY34">
        <v>36764.9</v>
      </c>
      <c r="GZ34">
        <v>34092.6</v>
      </c>
      <c r="HA34">
        <v>36592.2</v>
      </c>
      <c r="HB34">
        <v>46338.8</v>
      </c>
      <c r="HC34">
        <v>51497.8</v>
      </c>
      <c r="HD34">
        <v>53112</v>
      </c>
      <c r="HE34">
        <v>58387.3</v>
      </c>
      <c r="HF34">
        <v>1.9672</v>
      </c>
      <c r="HG34">
        <v>2.34697</v>
      </c>
      <c r="HH34">
        <v>-0.0565462</v>
      </c>
      <c r="HI34">
        <v>0</v>
      </c>
      <c r="HJ34">
        <v>19.0291</v>
      </c>
      <c r="HK34">
        <v>999.9</v>
      </c>
      <c r="HL34">
        <v>23.392</v>
      </c>
      <c r="HM34">
        <v>28.953</v>
      </c>
      <c r="HN34">
        <v>10.3245</v>
      </c>
      <c r="HO34">
        <v>54.8463</v>
      </c>
      <c r="HP34">
        <v>32.4519</v>
      </c>
      <c r="HQ34">
        <v>2</v>
      </c>
      <c r="HR34">
        <v>-0.0205564</v>
      </c>
      <c r="HS34">
        <v>4.79968</v>
      </c>
      <c r="HT34">
        <v>20.0807</v>
      </c>
      <c r="HU34">
        <v>5.20172</v>
      </c>
      <c r="HV34">
        <v>12.004</v>
      </c>
      <c r="HW34">
        <v>4.9758</v>
      </c>
      <c r="HX34">
        <v>3.294</v>
      </c>
      <c r="HY34">
        <v>9999</v>
      </c>
      <c r="HZ34">
        <v>9999</v>
      </c>
      <c r="IA34">
        <v>9999</v>
      </c>
      <c r="IB34">
        <v>999.9</v>
      </c>
      <c r="IC34">
        <v>1.86319</v>
      </c>
      <c r="ID34">
        <v>1.86812</v>
      </c>
      <c r="IE34">
        <v>1.86784</v>
      </c>
      <c r="IF34">
        <v>1.86905</v>
      </c>
      <c r="IG34">
        <v>1.86983</v>
      </c>
      <c r="IH34">
        <v>1.8659</v>
      </c>
      <c r="II34">
        <v>1.86699</v>
      </c>
      <c r="IJ34">
        <v>1.86844</v>
      </c>
      <c r="IK34">
        <v>5</v>
      </c>
      <c r="IL34">
        <v>0</v>
      </c>
      <c r="IM34">
        <v>0</v>
      </c>
      <c r="IN34">
        <v>0</v>
      </c>
      <c r="IO34" t="s">
        <v>443</v>
      </c>
      <c r="IP34" t="s">
        <v>444</v>
      </c>
      <c r="IQ34" t="s">
        <v>445</v>
      </c>
      <c r="IR34" t="s">
        <v>445</v>
      </c>
      <c r="IS34" t="s">
        <v>445</v>
      </c>
      <c r="IT34" t="s">
        <v>445</v>
      </c>
      <c r="IU34">
        <v>0</v>
      </c>
      <c r="IV34">
        <v>100</v>
      </c>
      <c r="IW34">
        <v>100</v>
      </c>
      <c r="IX34">
        <v>2.882</v>
      </c>
      <c r="IY34">
        <v>-0.1333</v>
      </c>
      <c r="IZ34">
        <v>1.24656194001752</v>
      </c>
      <c r="JA34">
        <v>0.00408463137630218</v>
      </c>
      <c r="JB34">
        <v>-2.23906557180379e-07</v>
      </c>
      <c r="JC34">
        <v>6.23399102760906e-11</v>
      </c>
      <c r="JD34">
        <v>-0.0873394905990972</v>
      </c>
      <c r="JE34">
        <v>-0.0233348201324191</v>
      </c>
      <c r="JF34">
        <v>0.00274696999164489</v>
      </c>
      <c r="JG34">
        <v>-3.62864435074646e-05</v>
      </c>
      <c r="JH34">
        <v>5</v>
      </c>
      <c r="JI34">
        <v>2263</v>
      </c>
      <c r="JJ34">
        <v>1</v>
      </c>
      <c r="JK34">
        <v>24</v>
      </c>
      <c r="JL34">
        <v>29361327.5</v>
      </c>
      <c r="JM34">
        <v>29361327.5</v>
      </c>
      <c r="JN34">
        <v>1.2439</v>
      </c>
      <c r="JO34">
        <v>2.61353</v>
      </c>
      <c r="JP34">
        <v>2.19849</v>
      </c>
      <c r="JQ34">
        <v>2.63306</v>
      </c>
      <c r="JR34">
        <v>2.44507</v>
      </c>
      <c r="JS34">
        <v>2.30469</v>
      </c>
      <c r="JT34">
        <v>32.7313</v>
      </c>
      <c r="JU34">
        <v>24.1751</v>
      </c>
      <c r="JV34">
        <v>18</v>
      </c>
      <c r="JW34">
        <v>502.23</v>
      </c>
      <c r="JX34">
        <v>791.526</v>
      </c>
      <c r="JY34">
        <v>13.5497</v>
      </c>
      <c r="JZ34">
        <v>26.9437</v>
      </c>
      <c r="KA34">
        <v>30</v>
      </c>
      <c r="KB34">
        <v>26.9857</v>
      </c>
      <c r="KC34">
        <v>26.9373</v>
      </c>
      <c r="KD34">
        <v>24.9243</v>
      </c>
      <c r="KE34">
        <v>55.6962</v>
      </c>
      <c r="KF34">
        <v>0</v>
      </c>
      <c r="KG34">
        <v>13.5093</v>
      </c>
      <c r="KH34">
        <v>420</v>
      </c>
      <c r="KI34">
        <v>2.9441</v>
      </c>
      <c r="KJ34">
        <v>96.5978</v>
      </c>
      <c r="KK34">
        <v>94.6596</v>
      </c>
    </row>
    <row r="35" spans="1:297">
      <c r="A35">
        <v>19</v>
      </c>
      <c r="B35">
        <v>1761679736.1</v>
      </c>
      <c r="C35">
        <v>2387</v>
      </c>
      <c r="D35" t="s">
        <v>500</v>
      </c>
      <c r="E35" t="s">
        <v>501</v>
      </c>
      <c r="F35">
        <v>5</v>
      </c>
      <c r="G35" t="s">
        <v>477</v>
      </c>
      <c r="H35" t="s">
        <v>436</v>
      </c>
      <c r="I35">
        <v>1761679727.6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421.249797082689</v>
      </c>
      <c r="AK35">
        <v>418.848618181818</v>
      </c>
      <c r="AL35">
        <v>0.000894697848209899</v>
      </c>
      <c r="AM35">
        <v>64.151971606377</v>
      </c>
      <c r="AN35">
        <f>(AP35 - AO35 + DY35*1E3/(8.314*(EA35+273.15)) * AR35/DX35 * AQ35) * DX35/(100*DL35) * 1000/(1000 - AP35)</f>
        <v>0</v>
      </c>
      <c r="AO35">
        <v>2.98418123231636</v>
      </c>
      <c r="AP35">
        <v>6.31687902097902</v>
      </c>
      <c r="AQ35">
        <v>-2.61537355893277e-05</v>
      </c>
      <c r="AR35">
        <v>109.009391636412</v>
      </c>
      <c r="AS35">
        <v>0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474</v>
      </c>
      <c r="AY35">
        <v>5116.02</v>
      </c>
      <c r="AZ35">
        <v>799.704</v>
      </c>
      <c r="BA35">
        <v>1665.67347245608</v>
      </c>
      <c r="BB35">
        <f>1-AZ35/BA35</f>
        <v>0</v>
      </c>
      <c r="BC35">
        <v>-0.625329738090946</v>
      </c>
      <c r="BD35" t="s">
        <v>502</v>
      </c>
      <c r="BE35">
        <v>5133.55</v>
      </c>
      <c r="BF35">
        <v>761.46192</v>
      </c>
      <c r="BG35">
        <v>1887.99045091817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503</v>
      </c>
      <c r="BQ35">
        <v>715.13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BZ35">
        <v>20</v>
      </c>
      <c r="CA35">
        <v>290</v>
      </c>
      <c r="CB35">
        <v>1802.98</v>
      </c>
      <c r="CC35">
        <v>275</v>
      </c>
      <c r="CD35">
        <v>5133.55</v>
      </c>
      <c r="CE35">
        <v>1804.04</v>
      </c>
      <c r="CF35">
        <v>-1.06</v>
      </c>
      <c r="CG35">
        <v>300</v>
      </c>
      <c r="CH35">
        <v>23.9</v>
      </c>
      <c r="CI35">
        <v>1887.99045091817</v>
      </c>
      <c r="CJ35">
        <v>1.5839061218291</v>
      </c>
      <c r="CK35">
        <v>-43.0961065040845</v>
      </c>
      <c r="CL35">
        <v>0.705702334902084</v>
      </c>
      <c r="CM35">
        <v>0.992547936290452</v>
      </c>
      <c r="CN35">
        <v>-0.00420301334816463</v>
      </c>
      <c r="CO35">
        <v>290</v>
      </c>
      <c r="CP35">
        <v>1805.17</v>
      </c>
      <c r="CQ35">
        <v>825</v>
      </c>
      <c r="CR35">
        <v>5131.88</v>
      </c>
      <c r="CS35">
        <v>1804.01</v>
      </c>
      <c r="CT35">
        <v>1.16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6</v>
      </c>
      <c r="DM35">
        <v>0.5</v>
      </c>
      <c r="DN35" t="s">
        <v>440</v>
      </c>
      <c r="DO35">
        <v>2</v>
      </c>
      <c r="DP35" t="b">
        <v>1</v>
      </c>
      <c r="DQ35">
        <v>1761679727.6</v>
      </c>
      <c r="DR35">
        <v>416.1561875</v>
      </c>
      <c r="DS35">
        <v>419.96825</v>
      </c>
      <c r="DT35">
        <v>6.32419125</v>
      </c>
      <c r="DU35">
        <v>2.98456875</v>
      </c>
      <c r="DV35">
        <v>413.2554375</v>
      </c>
      <c r="DW35">
        <v>6.45744</v>
      </c>
      <c r="DX35">
        <v>500.0150625</v>
      </c>
      <c r="DY35">
        <v>90.87088125</v>
      </c>
      <c r="DZ35">
        <v>0.01927399375</v>
      </c>
      <c r="EA35">
        <v>18.99633125</v>
      </c>
      <c r="EB35">
        <v>18.0469</v>
      </c>
      <c r="EC35">
        <v>999.9</v>
      </c>
      <c r="ED35">
        <v>0</v>
      </c>
      <c r="EE35">
        <v>0</v>
      </c>
      <c r="EF35">
        <v>9990.15125</v>
      </c>
      <c r="EG35">
        <v>0</v>
      </c>
      <c r="EH35">
        <v>1281.560625</v>
      </c>
      <c r="EI35">
        <v>-3.81210625</v>
      </c>
      <c r="EJ35">
        <v>418.8048125</v>
      </c>
      <c r="EK35">
        <v>421.2255</v>
      </c>
      <c r="EL35">
        <v>3.3396225</v>
      </c>
      <c r="EM35">
        <v>419.96825</v>
      </c>
      <c r="EN35">
        <v>2.98456875</v>
      </c>
      <c r="EO35">
        <v>0.5746846875</v>
      </c>
      <c r="EP35">
        <v>0.2712105</v>
      </c>
      <c r="EQ35">
        <v>-0.899862</v>
      </c>
      <c r="ER35">
        <v>-10.7409875</v>
      </c>
      <c r="ES35">
        <v>49.99930625</v>
      </c>
      <c r="ET35">
        <v>0.9001688125</v>
      </c>
      <c r="EU35">
        <v>0.09983136875</v>
      </c>
      <c r="EV35">
        <v>0</v>
      </c>
      <c r="EW35">
        <v>761.3504375</v>
      </c>
      <c r="EX35">
        <v>5.00059</v>
      </c>
      <c r="EY35">
        <v>366.387875</v>
      </c>
      <c r="EZ35">
        <v>382.3096875</v>
      </c>
      <c r="FA35">
        <v>34.746</v>
      </c>
      <c r="FB35">
        <v>39.538875</v>
      </c>
      <c r="FC35">
        <v>36.7263125</v>
      </c>
      <c r="FD35">
        <v>38.8551875</v>
      </c>
      <c r="FE35">
        <v>36.7731875</v>
      </c>
      <c r="FF35">
        <v>40.50625</v>
      </c>
      <c r="FG35">
        <v>4.49375</v>
      </c>
      <c r="FH35">
        <v>0</v>
      </c>
      <c r="FI35">
        <v>166</v>
      </c>
      <c r="FJ35">
        <v>0</v>
      </c>
      <c r="FK35">
        <v>761.46192</v>
      </c>
      <c r="FL35">
        <v>4.59507693560597</v>
      </c>
      <c r="FM35">
        <v>5.27600001497129</v>
      </c>
      <c r="FN35">
        <v>366.34876</v>
      </c>
      <c r="FO35">
        <v>15</v>
      </c>
      <c r="FP35">
        <v>0</v>
      </c>
      <c r="FQ35" t="s">
        <v>441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-3.843859</v>
      </c>
      <c r="GD35">
        <v>0.41735368421053</v>
      </c>
      <c r="GE35">
        <v>0.0549577324768772</v>
      </c>
      <c r="GF35">
        <v>1</v>
      </c>
      <c r="GG35">
        <v>761.138441176471</v>
      </c>
      <c r="GH35">
        <v>4.42073338690514</v>
      </c>
      <c r="GI35">
        <v>0.468842202927246</v>
      </c>
      <c r="GJ35">
        <v>-1</v>
      </c>
      <c r="GK35">
        <v>3.342585</v>
      </c>
      <c r="GL35">
        <v>-0.0534460150375896</v>
      </c>
      <c r="GM35">
        <v>0.00522432435823043</v>
      </c>
      <c r="GN35">
        <v>1</v>
      </c>
      <c r="GO35">
        <v>2</v>
      </c>
      <c r="GP35">
        <v>2</v>
      </c>
      <c r="GQ35" t="s">
        <v>442</v>
      </c>
      <c r="GR35">
        <v>3.12817</v>
      </c>
      <c r="GS35">
        <v>2.6969</v>
      </c>
      <c r="GT35">
        <v>0.0892473</v>
      </c>
      <c r="GU35">
        <v>0.0904501</v>
      </c>
      <c r="GV35">
        <v>0.0374378</v>
      </c>
      <c r="GW35">
        <v>0.0196018</v>
      </c>
      <c r="GX35">
        <v>34328.2</v>
      </c>
      <c r="GY35">
        <v>36769.4</v>
      </c>
      <c r="GZ35">
        <v>34096.2</v>
      </c>
      <c r="HA35">
        <v>36596.9</v>
      </c>
      <c r="HB35">
        <v>46343</v>
      </c>
      <c r="HC35">
        <v>51469.3</v>
      </c>
      <c r="HD35">
        <v>53116.5</v>
      </c>
      <c r="HE35">
        <v>58394.5</v>
      </c>
      <c r="HF35">
        <v>1.96773</v>
      </c>
      <c r="HG35">
        <v>2.34788</v>
      </c>
      <c r="HH35">
        <v>-0.0654534</v>
      </c>
      <c r="HI35">
        <v>0</v>
      </c>
      <c r="HJ35">
        <v>19.1496</v>
      </c>
      <c r="HK35">
        <v>999.9</v>
      </c>
      <c r="HL35">
        <v>23.343</v>
      </c>
      <c r="HM35">
        <v>28.983</v>
      </c>
      <c r="HN35">
        <v>10.3206</v>
      </c>
      <c r="HO35">
        <v>54.4663</v>
      </c>
      <c r="HP35">
        <v>32.3037</v>
      </c>
      <c r="HQ35">
        <v>2</v>
      </c>
      <c r="HR35">
        <v>-0.0272612</v>
      </c>
      <c r="HS35">
        <v>4.44305</v>
      </c>
      <c r="HT35">
        <v>20.094</v>
      </c>
      <c r="HU35">
        <v>5.19992</v>
      </c>
      <c r="HV35">
        <v>12.004</v>
      </c>
      <c r="HW35">
        <v>4.97565</v>
      </c>
      <c r="HX35">
        <v>3.294</v>
      </c>
      <c r="HY35">
        <v>9999</v>
      </c>
      <c r="HZ35">
        <v>9999</v>
      </c>
      <c r="IA35">
        <v>9999</v>
      </c>
      <c r="IB35">
        <v>999.9</v>
      </c>
      <c r="IC35">
        <v>1.86322</v>
      </c>
      <c r="ID35">
        <v>1.86812</v>
      </c>
      <c r="IE35">
        <v>1.86785</v>
      </c>
      <c r="IF35">
        <v>1.86904</v>
      </c>
      <c r="IG35">
        <v>1.86981</v>
      </c>
      <c r="IH35">
        <v>1.86586</v>
      </c>
      <c r="II35">
        <v>1.86701</v>
      </c>
      <c r="IJ35">
        <v>1.86843</v>
      </c>
      <c r="IK35">
        <v>5</v>
      </c>
      <c r="IL35">
        <v>0</v>
      </c>
      <c r="IM35">
        <v>0</v>
      </c>
      <c r="IN35">
        <v>0</v>
      </c>
      <c r="IO35" t="s">
        <v>443</v>
      </c>
      <c r="IP35" t="s">
        <v>444</v>
      </c>
      <c r="IQ35" t="s">
        <v>445</v>
      </c>
      <c r="IR35" t="s">
        <v>445</v>
      </c>
      <c r="IS35" t="s">
        <v>445</v>
      </c>
      <c r="IT35" t="s">
        <v>445</v>
      </c>
      <c r="IU35">
        <v>0</v>
      </c>
      <c r="IV35">
        <v>100</v>
      </c>
      <c r="IW35">
        <v>100</v>
      </c>
      <c r="IX35">
        <v>2.901</v>
      </c>
      <c r="IY35">
        <v>-0.1333</v>
      </c>
      <c r="IZ35">
        <v>1.24656194001752</v>
      </c>
      <c r="JA35">
        <v>0.00408463137630218</v>
      </c>
      <c r="JB35">
        <v>-2.23906557180379e-07</v>
      </c>
      <c r="JC35">
        <v>6.23399102760906e-11</v>
      </c>
      <c r="JD35">
        <v>-0.0873394905990972</v>
      </c>
      <c r="JE35">
        <v>-0.0233348201324191</v>
      </c>
      <c r="JF35">
        <v>0.00274696999164489</v>
      </c>
      <c r="JG35">
        <v>-3.62864435074646e-05</v>
      </c>
      <c r="JH35">
        <v>5</v>
      </c>
      <c r="JI35">
        <v>2263</v>
      </c>
      <c r="JJ35">
        <v>1</v>
      </c>
      <c r="JK35">
        <v>24</v>
      </c>
      <c r="JL35">
        <v>29361328.9</v>
      </c>
      <c r="JM35">
        <v>29361328.9</v>
      </c>
      <c r="JN35">
        <v>1.2439</v>
      </c>
      <c r="JO35">
        <v>2.61108</v>
      </c>
      <c r="JP35">
        <v>2.19849</v>
      </c>
      <c r="JQ35">
        <v>2.63306</v>
      </c>
      <c r="JR35">
        <v>2.44507</v>
      </c>
      <c r="JS35">
        <v>2.33643</v>
      </c>
      <c r="JT35">
        <v>32.7313</v>
      </c>
      <c r="JU35">
        <v>24.1926</v>
      </c>
      <c r="JV35">
        <v>18</v>
      </c>
      <c r="JW35">
        <v>502.122</v>
      </c>
      <c r="JX35">
        <v>791.69</v>
      </c>
      <c r="JY35">
        <v>13.6664</v>
      </c>
      <c r="JZ35">
        <v>26.884</v>
      </c>
      <c r="KA35">
        <v>30</v>
      </c>
      <c r="KB35">
        <v>26.9357</v>
      </c>
      <c r="KC35">
        <v>26.891</v>
      </c>
      <c r="KD35">
        <v>24.9278</v>
      </c>
      <c r="KE35">
        <v>54.5513</v>
      </c>
      <c r="KF35">
        <v>0</v>
      </c>
      <c r="KG35">
        <v>13.629</v>
      </c>
      <c r="KH35">
        <v>420</v>
      </c>
      <c r="KI35">
        <v>3.06565</v>
      </c>
      <c r="KJ35">
        <v>96.6067</v>
      </c>
      <c r="KK35">
        <v>94.6714</v>
      </c>
    </row>
    <row r="36" spans="1:297">
      <c r="A36">
        <v>20</v>
      </c>
      <c r="B36">
        <v>1761679854.1</v>
      </c>
      <c r="C36">
        <v>2505</v>
      </c>
      <c r="D36" t="s">
        <v>504</v>
      </c>
      <c r="E36" t="s">
        <v>505</v>
      </c>
      <c r="F36">
        <v>5</v>
      </c>
      <c r="G36" t="s">
        <v>477</v>
      </c>
      <c r="H36" t="s">
        <v>436</v>
      </c>
      <c r="I36">
        <v>1761679845.6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421.325275213823</v>
      </c>
      <c r="AK36">
        <v>421.762945454545</v>
      </c>
      <c r="AL36">
        <v>-0.000717573419082205</v>
      </c>
      <c r="AM36">
        <v>64.151971606377</v>
      </c>
      <c r="AN36">
        <f>(AP36 - AO36 + DY36*1E3/(8.314*(EA36+273.15)) * AR36/DX36 * AQ36) * DX36/(100*DL36) * 1000/(1000 - AP36)</f>
        <v>0</v>
      </c>
      <c r="AO36">
        <v>3.16577405096861</v>
      </c>
      <c r="AP36">
        <v>6.33127979020979</v>
      </c>
      <c r="AQ36">
        <v>1.40598162324003e-06</v>
      </c>
      <c r="AR36">
        <v>109.009391636412</v>
      </c>
      <c r="AS36">
        <v>0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506</v>
      </c>
      <c r="AY36">
        <v>5129.11</v>
      </c>
      <c r="AZ36">
        <v>704.08</v>
      </c>
      <c r="BA36">
        <v>2090.12122212042</v>
      </c>
      <c r="BB36">
        <f>1-AZ36/BA36</f>
        <v>0</v>
      </c>
      <c r="BC36">
        <v>-0.360696171002171</v>
      </c>
      <c r="BD36" t="s">
        <v>448</v>
      </c>
      <c r="BE36" t="s">
        <v>448</v>
      </c>
      <c r="BF36">
        <v>0</v>
      </c>
      <c r="BG36">
        <v>0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448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BZ36">
        <v>22</v>
      </c>
      <c r="CA36">
        <v>290</v>
      </c>
      <c r="CB36">
        <v>1994.12</v>
      </c>
      <c r="CC36">
        <v>295</v>
      </c>
      <c r="CD36">
        <v>5129.11</v>
      </c>
      <c r="CE36">
        <v>1995.29</v>
      </c>
      <c r="CF36">
        <v>-1.17</v>
      </c>
      <c r="CG36">
        <v>300</v>
      </c>
      <c r="CH36">
        <v>23.8</v>
      </c>
      <c r="CI36">
        <v>2090.12122212042</v>
      </c>
      <c r="CJ36">
        <v>1.88595061686723</v>
      </c>
      <c r="CK36">
        <v>-48.6387749781018</v>
      </c>
      <c r="CL36">
        <v>0.838313794923689</v>
      </c>
      <c r="CM36">
        <v>0.991750861659002</v>
      </c>
      <c r="CN36">
        <v>-0.00423761357063404</v>
      </c>
      <c r="CO36">
        <v>290</v>
      </c>
      <c r="CP36">
        <v>1994.96</v>
      </c>
      <c r="CQ36">
        <v>655</v>
      </c>
      <c r="CR36">
        <v>5128.51</v>
      </c>
      <c r="CS36">
        <v>1995.28</v>
      </c>
      <c r="CT36">
        <v>-0.32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6</v>
      </c>
      <c r="DM36">
        <v>0.5</v>
      </c>
      <c r="DN36" t="s">
        <v>440</v>
      </c>
      <c r="DO36">
        <v>2</v>
      </c>
      <c r="DP36" t="b">
        <v>1</v>
      </c>
      <c r="DQ36">
        <v>1761679845.6</v>
      </c>
      <c r="DR36">
        <v>419.080125</v>
      </c>
      <c r="DS36">
        <v>419.987375</v>
      </c>
      <c r="DT36">
        <v>6.331555625</v>
      </c>
      <c r="DU36">
        <v>3.163026875</v>
      </c>
      <c r="DV36">
        <v>416.168125</v>
      </c>
      <c r="DW36">
        <v>6.464749375</v>
      </c>
      <c r="DX36">
        <v>499.9809375</v>
      </c>
      <c r="DY36">
        <v>90.876225</v>
      </c>
      <c r="DZ36">
        <v>0.0190422375</v>
      </c>
      <c r="EA36">
        <v>18.989825</v>
      </c>
      <c r="EB36">
        <v>18.02428125</v>
      </c>
      <c r="EC36">
        <v>999.9</v>
      </c>
      <c r="ED36">
        <v>0</v>
      </c>
      <c r="EE36">
        <v>0</v>
      </c>
      <c r="EF36">
        <v>9996.36875</v>
      </c>
      <c r="EG36">
        <v>0</v>
      </c>
      <c r="EH36">
        <v>1281.691875</v>
      </c>
      <c r="EI36">
        <v>-0.907287625</v>
      </c>
      <c r="EJ36">
        <v>421.7504375</v>
      </c>
      <c r="EK36">
        <v>421.3200625</v>
      </c>
      <c r="EL36">
        <v>3.168530625</v>
      </c>
      <c r="EM36">
        <v>419.987375</v>
      </c>
      <c r="EN36">
        <v>3.163026875</v>
      </c>
      <c r="EO36">
        <v>0.575387875</v>
      </c>
      <c r="EP36">
        <v>0.287443875</v>
      </c>
      <c r="EQ36">
        <v>-0.883148625</v>
      </c>
      <c r="ER36">
        <v>-10.008055</v>
      </c>
      <c r="ES36">
        <v>0.00500059</v>
      </c>
      <c r="ET36">
        <v>0</v>
      </c>
      <c r="EU36">
        <v>0</v>
      </c>
      <c r="EV36">
        <v>0</v>
      </c>
      <c r="EW36">
        <v>703.54375</v>
      </c>
      <c r="EX36">
        <v>0.00500059</v>
      </c>
      <c r="EY36">
        <v>26.1875</v>
      </c>
      <c r="EZ36">
        <v>-0.24375</v>
      </c>
      <c r="FA36">
        <v>35.2655</v>
      </c>
      <c r="FB36">
        <v>41.5075625</v>
      </c>
      <c r="FC36">
        <v>37.695</v>
      </c>
      <c r="FD36">
        <v>41.234125</v>
      </c>
      <c r="FE36">
        <v>37.37875</v>
      </c>
      <c r="FF36">
        <v>0</v>
      </c>
      <c r="FG36">
        <v>0</v>
      </c>
      <c r="FH36">
        <v>0</v>
      </c>
      <c r="FI36">
        <v>114.799999952316</v>
      </c>
      <c r="FJ36">
        <v>0</v>
      </c>
      <c r="FK36">
        <v>704.08</v>
      </c>
      <c r="FL36">
        <v>10.0384615597381</v>
      </c>
      <c r="FM36">
        <v>-30.230769621315</v>
      </c>
      <c r="FN36">
        <v>27.46</v>
      </c>
      <c r="FO36">
        <v>15</v>
      </c>
      <c r="FP36">
        <v>0</v>
      </c>
      <c r="FQ36" t="s">
        <v>441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-0.92977019047619</v>
      </c>
      <c r="GD36">
        <v>0.443246415584415</v>
      </c>
      <c r="GE36">
        <v>0.0486147121525779</v>
      </c>
      <c r="GF36">
        <v>1</v>
      </c>
      <c r="GG36">
        <v>704.864705882353</v>
      </c>
      <c r="GH36">
        <v>-6.72268901563071</v>
      </c>
      <c r="GI36">
        <v>5.28415402283319</v>
      </c>
      <c r="GJ36">
        <v>-1</v>
      </c>
      <c r="GK36">
        <v>3.17336238095238</v>
      </c>
      <c r="GL36">
        <v>-0.0803664935064875</v>
      </c>
      <c r="GM36">
        <v>0.00947852304385922</v>
      </c>
      <c r="GN36">
        <v>1</v>
      </c>
      <c r="GO36">
        <v>2</v>
      </c>
      <c r="GP36">
        <v>2</v>
      </c>
      <c r="GQ36" t="s">
        <v>442</v>
      </c>
      <c r="GR36">
        <v>3.12809</v>
      </c>
      <c r="GS36">
        <v>2.6972</v>
      </c>
      <c r="GT36">
        <v>0.0897393</v>
      </c>
      <c r="GU36">
        <v>0.0904684</v>
      </c>
      <c r="GV36">
        <v>0.037511</v>
      </c>
      <c r="GW36">
        <v>0.0206246</v>
      </c>
      <c r="GX36">
        <v>34312.9</v>
      </c>
      <c r="GY36">
        <v>36773.8</v>
      </c>
      <c r="GZ36">
        <v>34099.1</v>
      </c>
      <c r="HA36">
        <v>36601.6</v>
      </c>
      <c r="HB36">
        <v>46342.9</v>
      </c>
      <c r="HC36">
        <v>51421.6</v>
      </c>
      <c r="HD36">
        <v>53120.1</v>
      </c>
      <c r="HE36">
        <v>58401.3</v>
      </c>
      <c r="HF36">
        <v>1.96837</v>
      </c>
      <c r="HG36">
        <v>2.34895</v>
      </c>
      <c r="HH36">
        <v>-0.0699088</v>
      </c>
      <c r="HI36">
        <v>0</v>
      </c>
      <c r="HJ36">
        <v>19.1989</v>
      </c>
      <c r="HK36">
        <v>999.9</v>
      </c>
      <c r="HL36">
        <v>23.312</v>
      </c>
      <c r="HM36">
        <v>29.024</v>
      </c>
      <c r="HN36">
        <v>10.331</v>
      </c>
      <c r="HO36">
        <v>54.2463</v>
      </c>
      <c r="HP36">
        <v>32.3878</v>
      </c>
      <c r="HQ36">
        <v>2</v>
      </c>
      <c r="HR36">
        <v>-0.0327947</v>
      </c>
      <c r="HS36">
        <v>4.46459</v>
      </c>
      <c r="HT36">
        <v>20.0946</v>
      </c>
      <c r="HU36">
        <v>5.20022</v>
      </c>
      <c r="HV36">
        <v>12.004</v>
      </c>
      <c r="HW36">
        <v>4.9757</v>
      </c>
      <c r="HX36">
        <v>3.294</v>
      </c>
      <c r="HY36">
        <v>9999</v>
      </c>
      <c r="HZ36">
        <v>9999</v>
      </c>
      <c r="IA36">
        <v>9999</v>
      </c>
      <c r="IB36">
        <v>999.9</v>
      </c>
      <c r="IC36">
        <v>1.8632</v>
      </c>
      <c r="ID36">
        <v>1.86812</v>
      </c>
      <c r="IE36">
        <v>1.86785</v>
      </c>
      <c r="IF36">
        <v>1.86904</v>
      </c>
      <c r="IG36">
        <v>1.86982</v>
      </c>
      <c r="IH36">
        <v>1.86589</v>
      </c>
      <c r="II36">
        <v>1.86693</v>
      </c>
      <c r="IJ36">
        <v>1.86843</v>
      </c>
      <c r="IK36">
        <v>5</v>
      </c>
      <c r="IL36">
        <v>0</v>
      </c>
      <c r="IM36">
        <v>0</v>
      </c>
      <c r="IN36">
        <v>0</v>
      </c>
      <c r="IO36" t="s">
        <v>443</v>
      </c>
      <c r="IP36" t="s">
        <v>444</v>
      </c>
      <c r="IQ36" t="s">
        <v>445</v>
      </c>
      <c r="IR36" t="s">
        <v>445</v>
      </c>
      <c r="IS36" t="s">
        <v>445</v>
      </c>
      <c r="IT36" t="s">
        <v>445</v>
      </c>
      <c r="IU36">
        <v>0</v>
      </c>
      <c r="IV36">
        <v>100</v>
      </c>
      <c r="IW36">
        <v>100</v>
      </c>
      <c r="IX36">
        <v>2.912</v>
      </c>
      <c r="IY36">
        <v>-0.1332</v>
      </c>
      <c r="IZ36">
        <v>1.24656194001752</v>
      </c>
      <c r="JA36">
        <v>0.00408463137630218</v>
      </c>
      <c r="JB36">
        <v>-2.23906557180379e-07</v>
      </c>
      <c r="JC36">
        <v>6.23399102760906e-11</v>
      </c>
      <c r="JD36">
        <v>-0.0873394905990972</v>
      </c>
      <c r="JE36">
        <v>-0.0233348201324191</v>
      </c>
      <c r="JF36">
        <v>0.00274696999164489</v>
      </c>
      <c r="JG36">
        <v>-3.62864435074646e-05</v>
      </c>
      <c r="JH36">
        <v>5</v>
      </c>
      <c r="JI36">
        <v>2263</v>
      </c>
      <c r="JJ36">
        <v>1</v>
      </c>
      <c r="JK36">
        <v>24</v>
      </c>
      <c r="JL36">
        <v>29361330.9</v>
      </c>
      <c r="JM36">
        <v>29361330.9</v>
      </c>
      <c r="JN36">
        <v>1.24512</v>
      </c>
      <c r="JO36">
        <v>2.60498</v>
      </c>
      <c r="JP36">
        <v>2.19849</v>
      </c>
      <c r="JQ36">
        <v>2.63184</v>
      </c>
      <c r="JR36">
        <v>2.44507</v>
      </c>
      <c r="JS36">
        <v>2.35229</v>
      </c>
      <c r="JT36">
        <v>32.7313</v>
      </c>
      <c r="JU36">
        <v>24.2013</v>
      </c>
      <c r="JV36">
        <v>18</v>
      </c>
      <c r="JW36">
        <v>502</v>
      </c>
      <c r="JX36">
        <v>791.825</v>
      </c>
      <c r="JY36">
        <v>13.507</v>
      </c>
      <c r="JZ36">
        <v>26.8216</v>
      </c>
      <c r="KA36">
        <v>30.0001</v>
      </c>
      <c r="KB36">
        <v>26.8752</v>
      </c>
      <c r="KC36">
        <v>26.8314</v>
      </c>
      <c r="KD36">
        <v>24.9347</v>
      </c>
      <c r="KE36">
        <v>53.1318</v>
      </c>
      <c r="KF36">
        <v>0</v>
      </c>
      <c r="KG36">
        <v>13.476</v>
      </c>
      <c r="KH36">
        <v>420</v>
      </c>
      <c r="KI36">
        <v>3.22729</v>
      </c>
      <c r="KJ36">
        <v>96.614</v>
      </c>
      <c r="KK36">
        <v>94.6828</v>
      </c>
    </row>
    <row r="37" spans="1:297">
      <c r="A37">
        <v>21</v>
      </c>
      <c r="B37">
        <v>1761680806</v>
      </c>
      <c r="C37">
        <v>3456.90000009537</v>
      </c>
      <c r="D37" t="s">
        <v>507</v>
      </c>
      <c r="E37" t="s">
        <v>508</v>
      </c>
      <c r="F37">
        <v>5</v>
      </c>
      <c r="G37" t="s">
        <v>509</v>
      </c>
      <c r="H37" t="s">
        <v>436</v>
      </c>
      <c r="I37">
        <v>1761680797.5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420.401326873463</v>
      </c>
      <c r="AK37">
        <v>406.433866666667</v>
      </c>
      <c r="AL37">
        <v>7.89398789816697e-05</v>
      </c>
      <c r="AM37">
        <v>64.1950215103695</v>
      </c>
      <c r="AN37">
        <f>(AP37 - AO37 + DY37*1E3/(8.314*(EA37+273.15)) * AR37/DX37 * AQ37) * DX37/(100*DL37) * 1000/(1000 - AP37)</f>
        <v>0</v>
      </c>
      <c r="AO37">
        <v>0.903843360171944</v>
      </c>
      <c r="AP37">
        <v>5.83385356643357</v>
      </c>
      <c r="AQ37">
        <v>8.89352955341296e-06</v>
      </c>
      <c r="AR37">
        <v>109.045402830868</v>
      </c>
      <c r="AS37">
        <v>0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506</v>
      </c>
      <c r="AY37">
        <v>5129.11</v>
      </c>
      <c r="AZ37">
        <v>704.08</v>
      </c>
      <c r="BA37">
        <v>2090.12122212042</v>
      </c>
      <c r="BB37">
        <f>1-AZ37/BA37</f>
        <v>0</v>
      </c>
      <c r="BC37">
        <v>-0.360696171002171</v>
      </c>
      <c r="BD37" t="s">
        <v>510</v>
      </c>
      <c r="BE37">
        <v>5140.12</v>
      </c>
      <c r="BF37">
        <v>1723.0168</v>
      </c>
      <c r="BG37">
        <v>1884.37555591767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511</v>
      </c>
      <c r="BQ37">
        <v>867.8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BZ37">
        <v>23</v>
      </c>
      <c r="CA37">
        <v>290</v>
      </c>
      <c r="CB37">
        <v>1813</v>
      </c>
      <c r="CC37">
        <v>135</v>
      </c>
      <c r="CD37">
        <v>5140.12</v>
      </c>
      <c r="CE37">
        <v>1811.02</v>
      </c>
      <c r="CF37">
        <v>1.98</v>
      </c>
      <c r="CG37">
        <v>300</v>
      </c>
      <c r="CH37">
        <v>23.6</v>
      </c>
      <c r="CI37">
        <v>1884.37555591767</v>
      </c>
      <c r="CJ37">
        <v>2.87288569634636</v>
      </c>
      <c r="CK37">
        <v>-37.706901165021</v>
      </c>
      <c r="CL37">
        <v>1.36063210090187</v>
      </c>
      <c r="CM37">
        <v>0.964824045539003</v>
      </c>
      <c r="CN37">
        <v>-0.00256539733036708</v>
      </c>
      <c r="CO37">
        <v>290</v>
      </c>
      <c r="CP37">
        <v>1808.92</v>
      </c>
      <c r="CQ37">
        <v>645</v>
      </c>
      <c r="CR37">
        <v>5138.1</v>
      </c>
      <c r="CS37">
        <v>1810.99</v>
      </c>
      <c r="CT37">
        <v>-2.07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6</v>
      </c>
      <c r="DM37">
        <v>0.5</v>
      </c>
      <c r="DN37" t="s">
        <v>440</v>
      </c>
      <c r="DO37">
        <v>2</v>
      </c>
      <c r="DP37" t="b">
        <v>1</v>
      </c>
      <c r="DQ37">
        <v>1761680797.5</v>
      </c>
      <c r="DR37">
        <v>404.00075</v>
      </c>
      <c r="DS37">
        <v>419.9960625</v>
      </c>
      <c r="DT37">
        <v>5.82208</v>
      </c>
      <c r="DU37">
        <v>0.8945475</v>
      </c>
      <c r="DV37">
        <v>401.1476875</v>
      </c>
      <c r="DW37">
        <v>5.9586075</v>
      </c>
      <c r="DX37">
        <v>500.221875</v>
      </c>
      <c r="DY37">
        <v>90.88985625</v>
      </c>
      <c r="DZ37">
        <v>0.02098083125</v>
      </c>
      <c r="EA37">
        <v>17.550275</v>
      </c>
      <c r="EB37">
        <v>17.94066875</v>
      </c>
      <c r="EC37">
        <v>999.9</v>
      </c>
      <c r="ED37">
        <v>0</v>
      </c>
      <c r="EE37">
        <v>0</v>
      </c>
      <c r="EF37">
        <v>10001.63375</v>
      </c>
      <c r="EG37">
        <v>0</v>
      </c>
      <c r="EH37">
        <v>1293.196875</v>
      </c>
      <c r="EI37">
        <v>-15.995175</v>
      </c>
      <c r="EJ37">
        <v>406.3666875</v>
      </c>
      <c r="EK37">
        <v>420.3720625</v>
      </c>
      <c r="EL37">
        <v>4.927533125</v>
      </c>
      <c r="EM37">
        <v>419.9960625</v>
      </c>
      <c r="EN37">
        <v>0.8945475</v>
      </c>
      <c r="EO37">
        <v>0.529168125</v>
      </c>
      <c r="EP37">
        <v>0.08130531875</v>
      </c>
      <c r="EQ37">
        <v>-2.0222175</v>
      </c>
      <c r="ER37">
        <v>-24.94823125</v>
      </c>
      <c r="ES37">
        <v>2000.025</v>
      </c>
      <c r="ET37">
        <v>0.97999525</v>
      </c>
      <c r="EU37">
        <v>0.02000459375</v>
      </c>
      <c r="EV37">
        <v>0</v>
      </c>
      <c r="EW37">
        <v>1723.326875</v>
      </c>
      <c r="EX37">
        <v>5.00059</v>
      </c>
      <c r="EY37">
        <v>33871.83125</v>
      </c>
      <c r="EZ37">
        <v>17360.5</v>
      </c>
      <c r="FA37">
        <v>37.625</v>
      </c>
      <c r="FB37">
        <v>38.375</v>
      </c>
      <c r="FC37">
        <v>37.375</v>
      </c>
      <c r="FD37">
        <v>37.625</v>
      </c>
      <c r="FE37">
        <v>38.0935</v>
      </c>
      <c r="FF37">
        <v>1955.115</v>
      </c>
      <c r="FG37">
        <v>39.91</v>
      </c>
      <c r="FH37">
        <v>0</v>
      </c>
      <c r="FI37">
        <v>950.799999952316</v>
      </c>
      <c r="FJ37">
        <v>0</v>
      </c>
      <c r="FK37">
        <v>1723.0168</v>
      </c>
      <c r="FL37">
        <v>-17.3369230968998</v>
      </c>
      <c r="FM37">
        <v>-341.738462043886</v>
      </c>
      <c r="FN37">
        <v>33864.58</v>
      </c>
      <c r="FO37">
        <v>15</v>
      </c>
      <c r="FP37">
        <v>0</v>
      </c>
      <c r="FQ37" t="s">
        <v>441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-16.0019809523809</v>
      </c>
      <c r="GD37">
        <v>0.0975818181818136</v>
      </c>
      <c r="GE37">
        <v>0.0244950844252012</v>
      </c>
      <c r="GF37">
        <v>1</v>
      </c>
      <c r="GG37">
        <v>1724.25058823529</v>
      </c>
      <c r="GH37">
        <v>-16.1231474423737</v>
      </c>
      <c r="GI37">
        <v>1.60172322860039</v>
      </c>
      <c r="GJ37">
        <v>-1</v>
      </c>
      <c r="GK37">
        <v>4.93208476190476</v>
      </c>
      <c r="GL37">
        <v>-0.0777280519480612</v>
      </c>
      <c r="GM37">
        <v>0.00960488348956263</v>
      </c>
      <c r="GN37">
        <v>1</v>
      </c>
      <c r="GO37">
        <v>2</v>
      </c>
      <c r="GP37">
        <v>2</v>
      </c>
      <c r="GQ37" t="s">
        <v>442</v>
      </c>
      <c r="GR37">
        <v>3.12725</v>
      </c>
      <c r="GS37">
        <v>2.69904</v>
      </c>
      <c r="GT37">
        <v>0.0872359</v>
      </c>
      <c r="GU37">
        <v>0.0904606</v>
      </c>
      <c r="GV37">
        <v>0.0350612</v>
      </c>
      <c r="GW37">
        <v>0.00643406</v>
      </c>
      <c r="GX37">
        <v>34398.9</v>
      </c>
      <c r="GY37">
        <v>36767.3</v>
      </c>
      <c r="GZ37">
        <v>34092.2</v>
      </c>
      <c r="HA37">
        <v>36596.5</v>
      </c>
      <c r="HB37">
        <v>46453.9</v>
      </c>
      <c r="HC37">
        <v>52161.7</v>
      </c>
      <c r="HD37">
        <v>53112</v>
      </c>
      <c r="HE37">
        <v>58394.8</v>
      </c>
      <c r="HF37">
        <v>1.9681</v>
      </c>
      <c r="HG37">
        <v>2.33582</v>
      </c>
      <c r="HH37">
        <v>0.0147596</v>
      </c>
      <c r="HI37">
        <v>0</v>
      </c>
      <c r="HJ37">
        <v>17.7225</v>
      </c>
      <c r="HK37">
        <v>999.9</v>
      </c>
      <c r="HL37">
        <v>22.506</v>
      </c>
      <c r="HM37">
        <v>29.306</v>
      </c>
      <c r="HN37">
        <v>10.1364</v>
      </c>
      <c r="HO37">
        <v>56.3366</v>
      </c>
      <c r="HP37">
        <v>32.8285</v>
      </c>
      <c r="HQ37">
        <v>2</v>
      </c>
      <c r="HR37">
        <v>-0.00577998</v>
      </c>
      <c r="HS37">
        <v>7.42962</v>
      </c>
      <c r="HT37">
        <v>19.9799</v>
      </c>
      <c r="HU37">
        <v>5.20097</v>
      </c>
      <c r="HV37">
        <v>12.008</v>
      </c>
      <c r="HW37">
        <v>4.97575</v>
      </c>
      <c r="HX37">
        <v>3.294</v>
      </c>
      <c r="HY37">
        <v>9999</v>
      </c>
      <c r="HZ37">
        <v>9999</v>
      </c>
      <c r="IA37">
        <v>9999</v>
      </c>
      <c r="IB37">
        <v>999.9</v>
      </c>
      <c r="IC37">
        <v>1.8632</v>
      </c>
      <c r="ID37">
        <v>1.86813</v>
      </c>
      <c r="IE37">
        <v>1.86784</v>
      </c>
      <c r="IF37">
        <v>1.86905</v>
      </c>
      <c r="IG37">
        <v>1.86981</v>
      </c>
      <c r="IH37">
        <v>1.86588</v>
      </c>
      <c r="II37">
        <v>1.86692</v>
      </c>
      <c r="IJ37">
        <v>1.86842</v>
      </c>
      <c r="IK37">
        <v>5</v>
      </c>
      <c r="IL37">
        <v>0</v>
      </c>
      <c r="IM37">
        <v>0</v>
      </c>
      <c r="IN37">
        <v>0</v>
      </c>
      <c r="IO37" t="s">
        <v>443</v>
      </c>
      <c r="IP37" t="s">
        <v>444</v>
      </c>
      <c r="IQ37" t="s">
        <v>445</v>
      </c>
      <c r="IR37" t="s">
        <v>445</v>
      </c>
      <c r="IS37" t="s">
        <v>445</v>
      </c>
      <c r="IT37" t="s">
        <v>445</v>
      </c>
      <c r="IU37">
        <v>0</v>
      </c>
      <c r="IV37">
        <v>100</v>
      </c>
      <c r="IW37">
        <v>100</v>
      </c>
      <c r="IX37">
        <v>2.854</v>
      </c>
      <c r="IY37">
        <v>-0.1365</v>
      </c>
      <c r="IZ37">
        <v>1.24656194001752</v>
      </c>
      <c r="JA37">
        <v>0.00408463137630218</v>
      </c>
      <c r="JB37">
        <v>-2.23906557180379e-07</v>
      </c>
      <c r="JC37">
        <v>6.23399102760906e-11</v>
      </c>
      <c r="JD37">
        <v>-0.0873394905990972</v>
      </c>
      <c r="JE37">
        <v>-0.0233348201324191</v>
      </c>
      <c r="JF37">
        <v>0.00274696999164489</v>
      </c>
      <c r="JG37">
        <v>-3.62864435074646e-05</v>
      </c>
      <c r="JH37">
        <v>5</v>
      </c>
      <c r="JI37">
        <v>2263</v>
      </c>
      <c r="JJ37">
        <v>1</v>
      </c>
      <c r="JK37">
        <v>24</v>
      </c>
      <c r="JL37">
        <v>29361346.8</v>
      </c>
      <c r="JM37">
        <v>29361346.8</v>
      </c>
      <c r="JN37">
        <v>1.2439</v>
      </c>
      <c r="JO37">
        <v>2.61353</v>
      </c>
      <c r="JP37">
        <v>2.19849</v>
      </c>
      <c r="JQ37">
        <v>2.63184</v>
      </c>
      <c r="JR37">
        <v>2.44507</v>
      </c>
      <c r="JS37">
        <v>2.30225</v>
      </c>
      <c r="JT37">
        <v>32.976</v>
      </c>
      <c r="JU37">
        <v>24.1225</v>
      </c>
      <c r="JV37">
        <v>18</v>
      </c>
      <c r="JW37">
        <v>502.431</v>
      </c>
      <c r="JX37">
        <v>780.034</v>
      </c>
      <c r="JY37">
        <v>8.86798</v>
      </c>
      <c r="JZ37">
        <v>27.0596</v>
      </c>
      <c r="KA37">
        <v>30.0001</v>
      </c>
      <c r="KB37">
        <v>26.9429</v>
      </c>
      <c r="KC37">
        <v>26.8597</v>
      </c>
      <c r="KD37">
        <v>24.9126</v>
      </c>
      <c r="KE37">
        <v>75.2387</v>
      </c>
      <c r="KF37">
        <v>0</v>
      </c>
      <c r="KG37">
        <v>8.8666</v>
      </c>
      <c r="KH37">
        <v>420</v>
      </c>
      <c r="KI37">
        <v>0.931866</v>
      </c>
      <c r="KJ37">
        <v>96.5973</v>
      </c>
      <c r="KK37">
        <v>94.6712</v>
      </c>
    </row>
    <row r="38" spans="1:297">
      <c r="A38">
        <v>22</v>
      </c>
      <c r="B38">
        <v>1761680884</v>
      </c>
      <c r="C38">
        <v>3534.90000009537</v>
      </c>
      <c r="D38" t="s">
        <v>512</v>
      </c>
      <c r="E38" t="s">
        <v>513</v>
      </c>
      <c r="F38">
        <v>5</v>
      </c>
      <c r="G38" t="s">
        <v>509</v>
      </c>
      <c r="H38" t="s">
        <v>436</v>
      </c>
      <c r="I38">
        <v>1761680875.5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420.386774438966</v>
      </c>
      <c r="AK38">
        <v>406.694587878788</v>
      </c>
      <c r="AL38">
        <v>-0.000451584554515326</v>
      </c>
      <c r="AM38">
        <v>64.1950215103695</v>
      </c>
      <c r="AN38">
        <f>(AP38 - AO38 + DY38*1E3/(8.314*(EA38+273.15)) * AR38/DX38 * AQ38) * DX38/(100*DL38) * 1000/(1000 - AP38)</f>
        <v>0</v>
      </c>
      <c r="AO38">
        <v>0.968573128859126</v>
      </c>
      <c r="AP38">
        <v>5.86571027972029</v>
      </c>
      <c r="AQ38">
        <v>-0.000104472654238703</v>
      </c>
      <c r="AR38">
        <v>109.045402830868</v>
      </c>
      <c r="AS38">
        <v>0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448</v>
      </c>
      <c r="AY38" t="s">
        <v>448</v>
      </c>
      <c r="AZ38">
        <v>0</v>
      </c>
      <c r="BA38">
        <v>0</v>
      </c>
      <c r="BB38">
        <f>1-AZ38/BA38</f>
        <v>0</v>
      </c>
      <c r="BC38">
        <v>0</v>
      </c>
      <c r="BD38" t="s">
        <v>448</v>
      </c>
      <c r="BE38" t="s">
        <v>448</v>
      </c>
      <c r="BF38">
        <v>0</v>
      </c>
      <c r="BG38">
        <v>0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448</v>
      </c>
      <c r="BQ38">
        <v>0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BZ38">
        <v>23</v>
      </c>
      <c r="CA38">
        <v>290</v>
      </c>
      <c r="CB38">
        <v>1813</v>
      </c>
      <c r="CC38">
        <v>135</v>
      </c>
      <c r="CD38">
        <v>5140.12</v>
      </c>
      <c r="CE38">
        <v>1811.02</v>
      </c>
      <c r="CF38">
        <v>1.98</v>
      </c>
      <c r="CG38">
        <v>300</v>
      </c>
      <c r="CH38">
        <v>23.6</v>
      </c>
      <c r="CI38">
        <v>1884.37555591767</v>
      </c>
      <c r="CJ38">
        <v>2.87288569634636</v>
      </c>
      <c r="CK38">
        <v>-37.706901165021</v>
      </c>
      <c r="CL38">
        <v>1.36063210090187</v>
      </c>
      <c r="CM38">
        <v>0.964824045539003</v>
      </c>
      <c r="CN38">
        <v>-0.00256539733036708</v>
      </c>
      <c r="CO38">
        <v>290</v>
      </c>
      <c r="CP38">
        <v>1808.92</v>
      </c>
      <c r="CQ38">
        <v>645</v>
      </c>
      <c r="CR38">
        <v>5138.1</v>
      </c>
      <c r="CS38">
        <v>1810.99</v>
      </c>
      <c r="CT38">
        <v>-2.07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6</v>
      </c>
      <c r="DM38">
        <v>0.5</v>
      </c>
      <c r="DN38" t="s">
        <v>440</v>
      </c>
      <c r="DO38">
        <v>2</v>
      </c>
      <c r="DP38" t="b">
        <v>1</v>
      </c>
      <c r="DQ38">
        <v>1761680875.5</v>
      </c>
      <c r="DR38">
        <v>404.320875</v>
      </c>
      <c r="DS38">
        <v>420.007125</v>
      </c>
      <c r="DT38">
        <v>5.873318125</v>
      </c>
      <c r="DU38">
        <v>0.9684694375</v>
      </c>
      <c r="DV38">
        <v>401.4665625</v>
      </c>
      <c r="DW38">
        <v>6.0095575</v>
      </c>
      <c r="DX38">
        <v>499.9555625</v>
      </c>
      <c r="DY38">
        <v>90.8893875</v>
      </c>
      <c r="DZ38">
        <v>0.02081908125</v>
      </c>
      <c r="EA38">
        <v>17.76435625</v>
      </c>
      <c r="EB38">
        <v>18.09444375</v>
      </c>
      <c r="EC38">
        <v>999.9</v>
      </c>
      <c r="ED38">
        <v>0</v>
      </c>
      <c r="EE38">
        <v>0</v>
      </c>
      <c r="EF38">
        <v>9995.781875</v>
      </c>
      <c r="EG38">
        <v>0</v>
      </c>
      <c r="EH38">
        <v>1293.299375</v>
      </c>
      <c r="EI38">
        <v>-15.68630625</v>
      </c>
      <c r="EJ38">
        <v>406.709625</v>
      </c>
      <c r="EK38">
        <v>420.414375</v>
      </c>
      <c r="EL38">
        <v>4.9048475</v>
      </c>
      <c r="EM38">
        <v>420.007125</v>
      </c>
      <c r="EN38">
        <v>0.9684694375</v>
      </c>
      <c r="EO38">
        <v>0.5338221875</v>
      </c>
      <c r="EP38">
        <v>0.0880235875</v>
      </c>
      <c r="EQ38">
        <v>-1.90360125</v>
      </c>
      <c r="ER38">
        <v>-24.06524375</v>
      </c>
      <c r="ES38">
        <v>1800.046875</v>
      </c>
      <c r="ET38">
        <v>0.97800025</v>
      </c>
      <c r="EU38">
        <v>0.021999875</v>
      </c>
      <c r="EV38">
        <v>0</v>
      </c>
      <c r="EW38">
        <v>1696.34</v>
      </c>
      <c r="EX38">
        <v>5.00059</v>
      </c>
      <c r="EY38">
        <v>29972.775</v>
      </c>
      <c r="EZ38">
        <v>15611.08125</v>
      </c>
      <c r="FA38">
        <v>37.45275</v>
      </c>
      <c r="FB38">
        <v>38.32775</v>
      </c>
      <c r="FC38">
        <v>37.312</v>
      </c>
      <c r="FD38">
        <v>37.562</v>
      </c>
      <c r="FE38">
        <v>37.9960625</v>
      </c>
      <c r="FF38">
        <v>1755.556875</v>
      </c>
      <c r="FG38">
        <v>39.49</v>
      </c>
      <c r="FH38">
        <v>0</v>
      </c>
      <c r="FI38">
        <v>75.4000000953674</v>
      </c>
      <c r="FJ38">
        <v>0</v>
      </c>
      <c r="FK38">
        <v>1695.94692307692</v>
      </c>
      <c r="FL38">
        <v>-16.8321367572719</v>
      </c>
      <c r="FM38">
        <v>-308.704273679544</v>
      </c>
      <c r="FN38">
        <v>29965.9923076923</v>
      </c>
      <c r="FO38">
        <v>15</v>
      </c>
      <c r="FP38">
        <v>0</v>
      </c>
      <c r="FQ38" t="s">
        <v>441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-15.6563857142857</v>
      </c>
      <c r="GD38">
        <v>-0.364270129870167</v>
      </c>
      <c r="GE38">
        <v>0.0523932046276659</v>
      </c>
      <c r="GF38">
        <v>1</v>
      </c>
      <c r="GG38">
        <v>1697.49294117647</v>
      </c>
      <c r="GH38">
        <v>-19.4462948786365</v>
      </c>
      <c r="GI38">
        <v>1.93540773848481</v>
      </c>
      <c r="GJ38">
        <v>-1</v>
      </c>
      <c r="GK38">
        <v>4.90432238095238</v>
      </c>
      <c r="GL38">
        <v>0.00247714285714903</v>
      </c>
      <c r="GM38">
        <v>0.00331235767674404</v>
      </c>
      <c r="GN38">
        <v>1</v>
      </c>
      <c r="GO38">
        <v>2</v>
      </c>
      <c r="GP38">
        <v>2</v>
      </c>
      <c r="GQ38" t="s">
        <v>442</v>
      </c>
      <c r="GR38">
        <v>3.12771</v>
      </c>
      <c r="GS38">
        <v>2.69892</v>
      </c>
      <c r="GT38">
        <v>0.0872789</v>
      </c>
      <c r="GU38">
        <v>0.0904626</v>
      </c>
      <c r="GV38">
        <v>0.0352145</v>
      </c>
      <c r="GW38">
        <v>0.006864</v>
      </c>
      <c r="GX38">
        <v>34395.2</v>
      </c>
      <c r="GY38">
        <v>36765.1</v>
      </c>
      <c r="GZ38">
        <v>34089.9</v>
      </c>
      <c r="HA38">
        <v>36594.2</v>
      </c>
      <c r="HB38">
        <v>46443.8</v>
      </c>
      <c r="HC38">
        <v>52136.2</v>
      </c>
      <c r="HD38">
        <v>53108.8</v>
      </c>
      <c r="HE38">
        <v>58391.3</v>
      </c>
      <c r="HF38">
        <v>1.96843</v>
      </c>
      <c r="HG38">
        <v>2.34102</v>
      </c>
      <c r="HH38">
        <v>0.020355</v>
      </c>
      <c r="HI38">
        <v>0</v>
      </c>
      <c r="HJ38">
        <v>17.7693</v>
      </c>
      <c r="HK38">
        <v>999.9</v>
      </c>
      <c r="HL38">
        <v>22.433</v>
      </c>
      <c r="HM38">
        <v>29.336</v>
      </c>
      <c r="HN38">
        <v>10.1204</v>
      </c>
      <c r="HO38">
        <v>56.0966</v>
      </c>
      <c r="HP38">
        <v>32.9768</v>
      </c>
      <c r="HQ38">
        <v>2</v>
      </c>
      <c r="HR38">
        <v>0.00198679</v>
      </c>
      <c r="HS38">
        <v>9.28105</v>
      </c>
      <c r="HT38">
        <v>19.8831</v>
      </c>
      <c r="HU38">
        <v>5.20381</v>
      </c>
      <c r="HV38">
        <v>12.0099</v>
      </c>
      <c r="HW38">
        <v>4.97575</v>
      </c>
      <c r="HX38">
        <v>3.29398</v>
      </c>
      <c r="HY38">
        <v>9999</v>
      </c>
      <c r="HZ38">
        <v>9999</v>
      </c>
      <c r="IA38">
        <v>9999</v>
      </c>
      <c r="IB38">
        <v>999.9</v>
      </c>
      <c r="IC38">
        <v>1.86315</v>
      </c>
      <c r="ID38">
        <v>1.86812</v>
      </c>
      <c r="IE38">
        <v>1.86783</v>
      </c>
      <c r="IF38">
        <v>1.86903</v>
      </c>
      <c r="IG38">
        <v>1.86981</v>
      </c>
      <c r="IH38">
        <v>1.86585</v>
      </c>
      <c r="II38">
        <v>1.86692</v>
      </c>
      <c r="IJ38">
        <v>1.86842</v>
      </c>
      <c r="IK38">
        <v>5</v>
      </c>
      <c r="IL38">
        <v>0</v>
      </c>
      <c r="IM38">
        <v>0</v>
      </c>
      <c r="IN38">
        <v>0</v>
      </c>
      <c r="IO38" t="s">
        <v>443</v>
      </c>
      <c r="IP38" t="s">
        <v>444</v>
      </c>
      <c r="IQ38" t="s">
        <v>445</v>
      </c>
      <c r="IR38" t="s">
        <v>445</v>
      </c>
      <c r="IS38" t="s">
        <v>445</v>
      </c>
      <c r="IT38" t="s">
        <v>445</v>
      </c>
      <c r="IU38">
        <v>0</v>
      </c>
      <c r="IV38">
        <v>100</v>
      </c>
      <c r="IW38">
        <v>100</v>
      </c>
      <c r="IX38">
        <v>2.854</v>
      </c>
      <c r="IY38">
        <v>-0.1363</v>
      </c>
      <c r="IZ38">
        <v>1.24656194001752</v>
      </c>
      <c r="JA38">
        <v>0.00408463137630218</v>
      </c>
      <c r="JB38">
        <v>-2.23906557180379e-07</v>
      </c>
      <c r="JC38">
        <v>6.23399102760906e-11</v>
      </c>
      <c r="JD38">
        <v>-0.0873394905990972</v>
      </c>
      <c r="JE38">
        <v>-0.0233348201324191</v>
      </c>
      <c r="JF38">
        <v>0.00274696999164489</v>
      </c>
      <c r="JG38">
        <v>-3.62864435074646e-05</v>
      </c>
      <c r="JH38">
        <v>5</v>
      </c>
      <c r="JI38">
        <v>2263</v>
      </c>
      <c r="JJ38">
        <v>1</v>
      </c>
      <c r="JK38">
        <v>24</v>
      </c>
      <c r="JL38">
        <v>29361348.1</v>
      </c>
      <c r="JM38">
        <v>29361348.1</v>
      </c>
      <c r="JN38">
        <v>1.2439</v>
      </c>
      <c r="JO38">
        <v>2.60742</v>
      </c>
      <c r="JP38">
        <v>2.19849</v>
      </c>
      <c r="JQ38">
        <v>2.63184</v>
      </c>
      <c r="JR38">
        <v>2.44507</v>
      </c>
      <c r="JS38">
        <v>2.38037</v>
      </c>
      <c r="JT38">
        <v>32.9537</v>
      </c>
      <c r="JU38">
        <v>24.0875</v>
      </c>
      <c r="JV38">
        <v>18</v>
      </c>
      <c r="JW38">
        <v>502.541</v>
      </c>
      <c r="JX38">
        <v>784.692</v>
      </c>
      <c r="JY38">
        <v>9.55075</v>
      </c>
      <c r="JZ38">
        <v>27.0321</v>
      </c>
      <c r="KA38">
        <v>30.0019</v>
      </c>
      <c r="KB38">
        <v>26.9316</v>
      </c>
      <c r="KC38">
        <v>26.8488</v>
      </c>
      <c r="KD38">
        <v>24.9113</v>
      </c>
      <c r="KE38">
        <v>74.3142</v>
      </c>
      <c r="KF38">
        <v>0</v>
      </c>
      <c r="KG38">
        <v>9.40916</v>
      </c>
      <c r="KH38">
        <v>420</v>
      </c>
      <c r="KI38">
        <v>1.0153</v>
      </c>
      <c r="KJ38">
        <v>96.5913</v>
      </c>
      <c r="KK38">
        <v>94.6656</v>
      </c>
    </row>
    <row r="39" spans="1:297">
      <c r="A39">
        <v>23</v>
      </c>
      <c r="B39">
        <v>1761680948</v>
      </c>
      <c r="C39">
        <v>3598.90000009537</v>
      </c>
      <c r="D39" t="s">
        <v>514</v>
      </c>
      <c r="E39" t="s">
        <v>515</v>
      </c>
      <c r="F39">
        <v>5</v>
      </c>
      <c r="G39" t="s">
        <v>509</v>
      </c>
      <c r="H39" t="s">
        <v>436</v>
      </c>
      <c r="I39">
        <v>1761680940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420.451774739672</v>
      </c>
      <c r="AK39">
        <v>407.099921212121</v>
      </c>
      <c r="AL39">
        <v>-0.000526948950810849</v>
      </c>
      <c r="AM39">
        <v>64.1950215103695</v>
      </c>
      <c r="AN39">
        <f>(AP39 - AO39 + DY39*1E3/(8.314*(EA39+273.15)) * AR39/DX39 * AQ39) * DX39/(100*DL39) * 1000/(1000 - AP39)</f>
        <v>0</v>
      </c>
      <c r="AO39">
        <v>1.09006226974019</v>
      </c>
      <c r="AP39">
        <v>5.8675948951049</v>
      </c>
      <c r="AQ39">
        <v>5.04454598578478e-05</v>
      </c>
      <c r="AR39">
        <v>109.045402830868</v>
      </c>
      <c r="AS39">
        <v>0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506</v>
      </c>
      <c r="AY39">
        <v>5129.11</v>
      </c>
      <c r="AZ39">
        <v>704.08</v>
      </c>
      <c r="BA39">
        <v>2090.12122212042</v>
      </c>
      <c r="BB39">
        <f>1-AZ39/BA39</f>
        <v>0</v>
      </c>
      <c r="BC39">
        <v>-0.360696171002171</v>
      </c>
      <c r="BD39" t="s">
        <v>516</v>
      </c>
      <c r="BE39">
        <v>5142.71</v>
      </c>
      <c r="BF39">
        <v>1653.93346153846</v>
      </c>
      <c r="BG39">
        <v>1855.9702889999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517</v>
      </c>
      <c r="BQ39">
        <v>857.27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BZ39">
        <v>25</v>
      </c>
      <c r="CA39">
        <v>290</v>
      </c>
      <c r="CB39">
        <v>1788.02</v>
      </c>
      <c r="CC39">
        <v>145</v>
      </c>
      <c r="CD39">
        <v>5142.71</v>
      </c>
      <c r="CE39">
        <v>1786.44</v>
      </c>
      <c r="CF39">
        <v>1.58</v>
      </c>
      <c r="CG39">
        <v>300</v>
      </c>
      <c r="CH39">
        <v>23.7</v>
      </c>
      <c r="CI39">
        <v>1855.9702889999</v>
      </c>
      <c r="CJ39">
        <v>1.89270165150208</v>
      </c>
      <c r="CK39">
        <v>-35.7560111838066</v>
      </c>
      <c r="CL39">
        <v>0.883725372106498</v>
      </c>
      <c r="CM39">
        <v>0.983183746685829</v>
      </c>
      <c r="CN39">
        <v>-0.00298842024471635</v>
      </c>
      <c r="CO39">
        <v>290</v>
      </c>
      <c r="CP39">
        <v>1784.33</v>
      </c>
      <c r="CQ39">
        <v>705</v>
      </c>
      <c r="CR39">
        <v>5140.3</v>
      </c>
      <c r="CS39">
        <v>1786.41</v>
      </c>
      <c r="CT39">
        <v>-2.08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6</v>
      </c>
      <c r="DM39">
        <v>0.5</v>
      </c>
      <c r="DN39" t="s">
        <v>440</v>
      </c>
      <c r="DO39">
        <v>2</v>
      </c>
      <c r="DP39" t="b">
        <v>1</v>
      </c>
      <c r="DQ39">
        <v>1761680940</v>
      </c>
      <c r="DR39">
        <v>404.7372</v>
      </c>
      <c r="DS39">
        <v>420.0006</v>
      </c>
      <c r="DT39">
        <v>5.858266</v>
      </c>
      <c r="DU39">
        <v>1.090198</v>
      </c>
      <c r="DV39">
        <v>401.881266666667</v>
      </c>
      <c r="DW39">
        <v>5.994592</v>
      </c>
      <c r="DX39">
        <v>500.0392</v>
      </c>
      <c r="DY39">
        <v>90.8928066666667</v>
      </c>
      <c r="DZ39">
        <v>0.0194253733333333</v>
      </c>
      <c r="EA39">
        <v>17.8059733333333</v>
      </c>
      <c r="EB39">
        <v>17.8037933333333</v>
      </c>
      <c r="EC39">
        <v>999.9</v>
      </c>
      <c r="ED39">
        <v>0</v>
      </c>
      <c r="EE39">
        <v>0</v>
      </c>
      <c r="EF39">
        <v>9996.748</v>
      </c>
      <c r="EG39">
        <v>0</v>
      </c>
      <c r="EH39">
        <v>1293.29066666667</v>
      </c>
      <c r="EI39">
        <v>-15.2633533333333</v>
      </c>
      <c r="EJ39">
        <v>407.122266666667</v>
      </c>
      <c r="EK39">
        <v>420.459066666667</v>
      </c>
      <c r="EL39">
        <v>4.76806533333333</v>
      </c>
      <c r="EM39">
        <v>420.0006</v>
      </c>
      <c r="EN39">
        <v>1.090198</v>
      </c>
      <c r="EO39">
        <v>0.532474266666667</v>
      </c>
      <c r="EP39">
        <v>0.09909126</v>
      </c>
      <c r="EQ39">
        <v>-1.93786133333333</v>
      </c>
      <c r="ER39">
        <v>-22.73594</v>
      </c>
      <c r="ES39">
        <v>1499.98666666667</v>
      </c>
      <c r="ET39">
        <v>0.972993</v>
      </c>
      <c r="EU39">
        <v>0.027007</v>
      </c>
      <c r="EV39">
        <v>0</v>
      </c>
      <c r="EW39">
        <v>1653.944</v>
      </c>
      <c r="EX39">
        <v>5.00059</v>
      </c>
      <c r="EY39">
        <v>24288.14</v>
      </c>
      <c r="EZ39">
        <v>12982.2466666667</v>
      </c>
      <c r="FA39">
        <v>37.1374</v>
      </c>
      <c r="FB39">
        <v>38.3078666666667</v>
      </c>
      <c r="FC39">
        <v>37.187</v>
      </c>
      <c r="FD39">
        <v>37.5</v>
      </c>
      <c r="FE39">
        <v>37.812</v>
      </c>
      <c r="FF39">
        <v>1454.60666666667</v>
      </c>
      <c r="FG39">
        <v>40.3746666666667</v>
      </c>
      <c r="FH39">
        <v>0</v>
      </c>
      <c r="FI39">
        <v>139</v>
      </c>
      <c r="FJ39">
        <v>0</v>
      </c>
      <c r="FK39">
        <v>1653.93346153846</v>
      </c>
      <c r="FL39">
        <v>-16.054358978493</v>
      </c>
      <c r="FM39">
        <v>-246.868376272019</v>
      </c>
      <c r="FN39">
        <v>24287.0653846154</v>
      </c>
      <c r="FO39">
        <v>15</v>
      </c>
      <c r="FP39">
        <v>0</v>
      </c>
      <c r="FQ39" t="s">
        <v>441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-15.2702095238095</v>
      </c>
      <c r="GD39">
        <v>0.0541402597402336</v>
      </c>
      <c r="GE39">
        <v>0.0166427706244769</v>
      </c>
      <c r="GF39">
        <v>1</v>
      </c>
      <c r="GG39">
        <v>1655.07617647059</v>
      </c>
      <c r="GH39">
        <v>-16.0887700566855</v>
      </c>
      <c r="GI39">
        <v>1.60540633431848</v>
      </c>
      <c r="GJ39">
        <v>-1</v>
      </c>
      <c r="GK39">
        <v>4.76200380952381</v>
      </c>
      <c r="GL39">
        <v>0.0950968831168746</v>
      </c>
      <c r="GM39">
        <v>0.00964523048982311</v>
      </c>
      <c r="GN39">
        <v>1</v>
      </c>
      <c r="GO39">
        <v>2</v>
      </c>
      <c r="GP39">
        <v>2</v>
      </c>
      <c r="GQ39" t="s">
        <v>442</v>
      </c>
      <c r="GR39">
        <v>3.12776</v>
      </c>
      <c r="GS39">
        <v>2.6974</v>
      </c>
      <c r="GT39">
        <v>0.0873553</v>
      </c>
      <c r="GU39">
        <v>0.0904574</v>
      </c>
      <c r="GV39">
        <v>0.0352397</v>
      </c>
      <c r="GW39">
        <v>0.00773936</v>
      </c>
      <c r="GX39">
        <v>34396.6</v>
      </c>
      <c r="GY39">
        <v>36770.2</v>
      </c>
      <c r="GZ39">
        <v>34094</v>
      </c>
      <c r="HA39">
        <v>36598.9</v>
      </c>
      <c r="HB39">
        <v>46447.8</v>
      </c>
      <c r="HC39">
        <v>52096.8</v>
      </c>
      <c r="HD39">
        <v>53114.7</v>
      </c>
      <c r="HE39">
        <v>58398.7</v>
      </c>
      <c r="HF39">
        <v>1.96907</v>
      </c>
      <c r="HG39">
        <v>2.34172</v>
      </c>
      <c r="HH39">
        <v>0.00213087</v>
      </c>
      <c r="HI39">
        <v>0</v>
      </c>
      <c r="HJ39">
        <v>17.8164</v>
      </c>
      <c r="HK39">
        <v>999.9</v>
      </c>
      <c r="HL39">
        <v>22.384</v>
      </c>
      <c r="HM39">
        <v>29.346</v>
      </c>
      <c r="HN39">
        <v>10.1041</v>
      </c>
      <c r="HO39">
        <v>55.2766</v>
      </c>
      <c r="HP39">
        <v>32.6042</v>
      </c>
      <c r="HQ39">
        <v>2</v>
      </c>
      <c r="HR39">
        <v>-0.020531</v>
      </c>
      <c r="HS39">
        <v>4.72026</v>
      </c>
      <c r="HT39">
        <v>20.0757</v>
      </c>
      <c r="HU39">
        <v>5.20142</v>
      </c>
      <c r="HV39">
        <v>12.004</v>
      </c>
      <c r="HW39">
        <v>4.97565</v>
      </c>
      <c r="HX39">
        <v>3.29395</v>
      </c>
      <c r="HY39">
        <v>9999</v>
      </c>
      <c r="HZ39">
        <v>9999</v>
      </c>
      <c r="IA39">
        <v>9999</v>
      </c>
      <c r="IB39">
        <v>999.9</v>
      </c>
      <c r="IC39">
        <v>1.86322</v>
      </c>
      <c r="ID39">
        <v>1.86813</v>
      </c>
      <c r="IE39">
        <v>1.86785</v>
      </c>
      <c r="IF39">
        <v>1.86905</v>
      </c>
      <c r="IG39">
        <v>1.86982</v>
      </c>
      <c r="IH39">
        <v>1.8659</v>
      </c>
      <c r="II39">
        <v>1.86693</v>
      </c>
      <c r="IJ39">
        <v>1.86844</v>
      </c>
      <c r="IK39">
        <v>5</v>
      </c>
      <c r="IL39">
        <v>0</v>
      </c>
      <c r="IM39">
        <v>0</v>
      </c>
      <c r="IN39">
        <v>0</v>
      </c>
      <c r="IO39" t="s">
        <v>443</v>
      </c>
      <c r="IP39" t="s">
        <v>444</v>
      </c>
      <c r="IQ39" t="s">
        <v>445</v>
      </c>
      <c r="IR39" t="s">
        <v>445</v>
      </c>
      <c r="IS39" t="s">
        <v>445</v>
      </c>
      <c r="IT39" t="s">
        <v>445</v>
      </c>
      <c r="IU39">
        <v>0</v>
      </c>
      <c r="IV39">
        <v>100</v>
      </c>
      <c r="IW39">
        <v>100</v>
      </c>
      <c r="IX39">
        <v>2.856</v>
      </c>
      <c r="IY39">
        <v>-0.1363</v>
      </c>
      <c r="IZ39">
        <v>1.24656194001752</v>
      </c>
      <c r="JA39">
        <v>0.00408463137630218</v>
      </c>
      <c r="JB39">
        <v>-2.23906557180379e-07</v>
      </c>
      <c r="JC39">
        <v>6.23399102760906e-11</v>
      </c>
      <c r="JD39">
        <v>-0.0873394905990972</v>
      </c>
      <c r="JE39">
        <v>-0.0233348201324191</v>
      </c>
      <c r="JF39">
        <v>0.00274696999164489</v>
      </c>
      <c r="JG39">
        <v>-3.62864435074646e-05</v>
      </c>
      <c r="JH39">
        <v>5</v>
      </c>
      <c r="JI39">
        <v>2263</v>
      </c>
      <c r="JJ39">
        <v>1</v>
      </c>
      <c r="JK39">
        <v>24</v>
      </c>
      <c r="JL39">
        <v>29361349.1</v>
      </c>
      <c r="JM39">
        <v>29361349.1</v>
      </c>
      <c r="JN39">
        <v>1.2439</v>
      </c>
      <c r="JO39">
        <v>2.60864</v>
      </c>
      <c r="JP39">
        <v>2.19849</v>
      </c>
      <c r="JQ39">
        <v>2.63306</v>
      </c>
      <c r="JR39">
        <v>2.44507</v>
      </c>
      <c r="JS39">
        <v>2.35107</v>
      </c>
      <c r="JT39">
        <v>32.976</v>
      </c>
      <c r="JU39">
        <v>24.1751</v>
      </c>
      <c r="JV39">
        <v>18</v>
      </c>
      <c r="JW39">
        <v>502.805</v>
      </c>
      <c r="JX39">
        <v>785.142</v>
      </c>
      <c r="JY39">
        <v>11.2605</v>
      </c>
      <c r="JZ39">
        <v>26.9992</v>
      </c>
      <c r="KA39">
        <v>30.0001</v>
      </c>
      <c r="KB39">
        <v>26.9138</v>
      </c>
      <c r="KC39">
        <v>26.835</v>
      </c>
      <c r="KD39">
        <v>24.9156</v>
      </c>
      <c r="KE39">
        <v>72.5702</v>
      </c>
      <c r="KF39">
        <v>0</v>
      </c>
      <c r="KG39">
        <v>11.272</v>
      </c>
      <c r="KH39">
        <v>420</v>
      </c>
      <c r="KI39">
        <v>1.17644</v>
      </c>
      <c r="KJ39">
        <v>96.6023</v>
      </c>
      <c r="KK39">
        <v>94.6775</v>
      </c>
    </row>
    <row r="40" spans="1:297">
      <c r="A40">
        <v>24</v>
      </c>
      <c r="B40">
        <v>1761681021</v>
      </c>
      <c r="C40">
        <v>3671.90000009537</v>
      </c>
      <c r="D40" t="s">
        <v>518</v>
      </c>
      <c r="E40" t="s">
        <v>519</v>
      </c>
      <c r="F40">
        <v>5</v>
      </c>
      <c r="G40" t="s">
        <v>509</v>
      </c>
      <c r="H40" t="s">
        <v>436</v>
      </c>
      <c r="I40">
        <v>1761681013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420.55276425651</v>
      </c>
      <c r="AK40">
        <v>407.762878787879</v>
      </c>
      <c r="AL40">
        <v>-0.0012353554796306</v>
      </c>
      <c r="AM40">
        <v>64.1950215103695</v>
      </c>
      <c r="AN40">
        <f>(AP40 - AO40 + DY40*1E3/(8.314*(EA40+273.15)) * AR40/DX40 * AQ40) * DX40/(100*DL40) * 1000/(1000 - AP40)</f>
        <v>0</v>
      </c>
      <c r="AO40">
        <v>1.29641594520418</v>
      </c>
      <c r="AP40">
        <v>6.00815405594406</v>
      </c>
      <c r="AQ40">
        <v>0.000106681768084852</v>
      </c>
      <c r="AR40">
        <v>109.045402830868</v>
      </c>
      <c r="AS40">
        <v>0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448</v>
      </c>
      <c r="AY40" t="s">
        <v>448</v>
      </c>
      <c r="AZ40">
        <v>0</v>
      </c>
      <c r="BA40">
        <v>0</v>
      </c>
      <c r="BB40">
        <f>1-AZ40/BA40</f>
        <v>0</v>
      </c>
      <c r="BC40">
        <v>0</v>
      </c>
      <c r="BD40" t="s">
        <v>448</v>
      </c>
      <c r="BE40" t="s">
        <v>448</v>
      </c>
      <c r="BF40">
        <v>0</v>
      </c>
      <c r="BG40">
        <v>0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448</v>
      </c>
      <c r="BQ40">
        <v>0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BZ40">
        <v>25</v>
      </c>
      <c r="CA40">
        <v>290</v>
      </c>
      <c r="CB40">
        <v>1788.02</v>
      </c>
      <c r="CC40">
        <v>145</v>
      </c>
      <c r="CD40">
        <v>5142.71</v>
      </c>
      <c r="CE40">
        <v>1786.44</v>
      </c>
      <c r="CF40">
        <v>1.58</v>
      </c>
      <c r="CG40">
        <v>300</v>
      </c>
      <c r="CH40">
        <v>23.7</v>
      </c>
      <c r="CI40">
        <v>1855.9702889999</v>
      </c>
      <c r="CJ40">
        <v>1.89270165150208</v>
      </c>
      <c r="CK40">
        <v>-35.7560111838066</v>
      </c>
      <c r="CL40">
        <v>0.883725372106498</v>
      </c>
      <c r="CM40">
        <v>0.983183746685829</v>
      </c>
      <c r="CN40">
        <v>-0.00298842024471635</v>
      </c>
      <c r="CO40">
        <v>290</v>
      </c>
      <c r="CP40">
        <v>1784.33</v>
      </c>
      <c r="CQ40">
        <v>705</v>
      </c>
      <c r="CR40">
        <v>5140.3</v>
      </c>
      <c r="CS40">
        <v>1786.41</v>
      </c>
      <c r="CT40">
        <v>-2.08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6</v>
      </c>
      <c r="DM40">
        <v>0.5</v>
      </c>
      <c r="DN40" t="s">
        <v>440</v>
      </c>
      <c r="DO40">
        <v>2</v>
      </c>
      <c r="DP40" t="b">
        <v>1</v>
      </c>
      <c r="DQ40">
        <v>1761681013</v>
      </c>
      <c r="DR40">
        <v>405.331733333333</v>
      </c>
      <c r="DS40">
        <v>420.0116</v>
      </c>
      <c r="DT40">
        <v>5.998406</v>
      </c>
      <c r="DU40">
        <v>1.29405866666667</v>
      </c>
      <c r="DV40">
        <v>402.473466666667</v>
      </c>
      <c r="DW40">
        <v>6.13389933333333</v>
      </c>
      <c r="DX40">
        <v>499.798</v>
      </c>
      <c r="DY40">
        <v>90.8976466666667</v>
      </c>
      <c r="DZ40">
        <v>0.01942248</v>
      </c>
      <c r="EA40">
        <v>18.2131933333333</v>
      </c>
      <c r="EB40">
        <v>18.0559533333333</v>
      </c>
      <c r="EC40">
        <v>999.9</v>
      </c>
      <c r="ED40">
        <v>0</v>
      </c>
      <c r="EE40">
        <v>0</v>
      </c>
      <c r="EF40">
        <v>9954.41666666667</v>
      </c>
      <c r="EG40">
        <v>0</v>
      </c>
      <c r="EH40">
        <v>1293.36133333333</v>
      </c>
      <c r="EI40">
        <v>-14.6798933333333</v>
      </c>
      <c r="EJ40">
        <v>407.777866666667</v>
      </c>
      <c r="EK40">
        <v>420.5558</v>
      </c>
      <c r="EL40">
        <v>4.70434733333333</v>
      </c>
      <c r="EM40">
        <v>420.0116</v>
      </c>
      <c r="EN40">
        <v>1.29405866666667</v>
      </c>
      <c r="EO40">
        <v>0.545241</v>
      </c>
      <c r="EP40">
        <v>0.117626733333333</v>
      </c>
      <c r="EQ40">
        <v>-1.61645333333333</v>
      </c>
      <c r="ER40">
        <v>-20.7825</v>
      </c>
      <c r="ES40">
        <v>1199.99466666667</v>
      </c>
      <c r="ET40">
        <v>0.9669952</v>
      </c>
      <c r="EU40">
        <v>0.0330048733333333</v>
      </c>
      <c r="EV40">
        <v>0</v>
      </c>
      <c r="EW40">
        <v>1607.69266666667</v>
      </c>
      <c r="EX40">
        <v>5.00059</v>
      </c>
      <c r="EY40">
        <v>18823.64</v>
      </c>
      <c r="EZ40">
        <v>10358.6733333333</v>
      </c>
      <c r="FA40">
        <v>36.6872</v>
      </c>
      <c r="FB40">
        <v>38.1291333333333</v>
      </c>
      <c r="FC40">
        <v>36.979</v>
      </c>
      <c r="FD40">
        <v>37.3874</v>
      </c>
      <c r="FE40">
        <v>37.5248</v>
      </c>
      <c r="FF40">
        <v>1155.55466666667</v>
      </c>
      <c r="FG40">
        <v>39.44</v>
      </c>
      <c r="FH40">
        <v>0</v>
      </c>
      <c r="FI40">
        <v>70.2000000476837</v>
      </c>
      <c r="FJ40">
        <v>0</v>
      </c>
      <c r="FK40">
        <v>1607.57769230769</v>
      </c>
      <c r="FL40">
        <v>-11.5651281871263</v>
      </c>
      <c r="FM40">
        <v>-167.271794549295</v>
      </c>
      <c r="FN40">
        <v>18822.3192307692</v>
      </c>
      <c r="FO40">
        <v>15</v>
      </c>
      <c r="FP40">
        <v>0</v>
      </c>
      <c r="FQ40" t="s">
        <v>441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-14.6482619047619</v>
      </c>
      <c r="GD40">
        <v>-0.441623376623401</v>
      </c>
      <c r="GE40">
        <v>0.0583483176089976</v>
      </c>
      <c r="GF40">
        <v>1</v>
      </c>
      <c r="GG40">
        <v>1608.42235294118</v>
      </c>
      <c r="GH40">
        <v>-13.9740259772727</v>
      </c>
      <c r="GI40">
        <v>1.38955993631401</v>
      </c>
      <c r="GJ40">
        <v>-1</v>
      </c>
      <c r="GK40">
        <v>4.70265190476191</v>
      </c>
      <c r="GL40">
        <v>0.0264755844155914</v>
      </c>
      <c r="GM40">
        <v>0.00674368955044894</v>
      </c>
      <c r="GN40">
        <v>1</v>
      </c>
      <c r="GO40">
        <v>2</v>
      </c>
      <c r="GP40">
        <v>2</v>
      </c>
      <c r="GQ40" t="s">
        <v>442</v>
      </c>
      <c r="GR40">
        <v>3.12739</v>
      </c>
      <c r="GS40">
        <v>2.69832</v>
      </c>
      <c r="GT40">
        <v>0.0874689</v>
      </c>
      <c r="GU40">
        <v>0.0904777</v>
      </c>
      <c r="GV40">
        <v>0.0359476</v>
      </c>
      <c r="GW40">
        <v>0.00921946</v>
      </c>
      <c r="GX40">
        <v>34393.2</v>
      </c>
      <c r="GY40">
        <v>36771.4</v>
      </c>
      <c r="GZ40">
        <v>34094.6</v>
      </c>
      <c r="HA40">
        <v>36600.5</v>
      </c>
      <c r="HB40">
        <v>46413.6</v>
      </c>
      <c r="HC40">
        <v>52021.6</v>
      </c>
      <c r="HD40">
        <v>53114.7</v>
      </c>
      <c r="HE40">
        <v>58401.3</v>
      </c>
      <c r="HF40">
        <v>1.96845</v>
      </c>
      <c r="HG40">
        <v>2.34325</v>
      </c>
      <c r="HH40">
        <v>0.00624359</v>
      </c>
      <c r="HI40">
        <v>0</v>
      </c>
      <c r="HJ40">
        <v>18.0071</v>
      </c>
      <c r="HK40">
        <v>999.9</v>
      </c>
      <c r="HL40">
        <v>22.305</v>
      </c>
      <c r="HM40">
        <v>29.346</v>
      </c>
      <c r="HN40">
        <v>10.0687</v>
      </c>
      <c r="HO40">
        <v>55.8666</v>
      </c>
      <c r="HP40">
        <v>32.8646</v>
      </c>
      <c r="HQ40">
        <v>2</v>
      </c>
      <c r="HR40">
        <v>-0.011936</v>
      </c>
      <c r="HS40">
        <v>6.77737</v>
      </c>
      <c r="HT40">
        <v>20.0011</v>
      </c>
      <c r="HU40">
        <v>5.19977</v>
      </c>
      <c r="HV40">
        <v>12.0041</v>
      </c>
      <c r="HW40">
        <v>4.97585</v>
      </c>
      <c r="HX40">
        <v>3.294</v>
      </c>
      <c r="HY40">
        <v>9999</v>
      </c>
      <c r="HZ40">
        <v>9999</v>
      </c>
      <c r="IA40">
        <v>9999</v>
      </c>
      <c r="IB40">
        <v>999.9</v>
      </c>
      <c r="IC40">
        <v>1.86319</v>
      </c>
      <c r="ID40">
        <v>1.86813</v>
      </c>
      <c r="IE40">
        <v>1.86784</v>
      </c>
      <c r="IF40">
        <v>1.86903</v>
      </c>
      <c r="IG40">
        <v>1.86981</v>
      </c>
      <c r="IH40">
        <v>1.86586</v>
      </c>
      <c r="II40">
        <v>1.86695</v>
      </c>
      <c r="IJ40">
        <v>1.86844</v>
      </c>
      <c r="IK40">
        <v>5</v>
      </c>
      <c r="IL40">
        <v>0</v>
      </c>
      <c r="IM40">
        <v>0</v>
      </c>
      <c r="IN40">
        <v>0</v>
      </c>
      <c r="IO40" t="s">
        <v>443</v>
      </c>
      <c r="IP40" t="s">
        <v>444</v>
      </c>
      <c r="IQ40" t="s">
        <v>445</v>
      </c>
      <c r="IR40" t="s">
        <v>445</v>
      </c>
      <c r="IS40" t="s">
        <v>445</v>
      </c>
      <c r="IT40" t="s">
        <v>445</v>
      </c>
      <c r="IU40">
        <v>0</v>
      </c>
      <c r="IV40">
        <v>100</v>
      </c>
      <c r="IW40">
        <v>100</v>
      </c>
      <c r="IX40">
        <v>2.858</v>
      </c>
      <c r="IY40">
        <v>-0.1354</v>
      </c>
      <c r="IZ40">
        <v>1.24656194001752</v>
      </c>
      <c r="JA40">
        <v>0.00408463137630218</v>
      </c>
      <c r="JB40">
        <v>-2.23906557180379e-07</v>
      </c>
      <c r="JC40">
        <v>6.23399102760906e-11</v>
      </c>
      <c r="JD40">
        <v>-0.0873394905990972</v>
      </c>
      <c r="JE40">
        <v>-0.0233348201324191</v>
      </c>
      <c r="JF40">
        <v>0.00274696999164489</v>
      </c>
      <c r="JG40">
        <v>-3.62864435074646e-05</v>
      </c>
      <c r="JH40">
        <v>5</v>
      </c>
      <c r="JI40">
        <v>2263</v>
      </c>
      <c r="JJ40">
        <v>1</v>
      </c>
      <c r="JK40">
        <v>24</v>
      </c>
      <c r="JL40">
        <v>29361350.4</v>
      </c>
      <c r="JM40">
        <v>29361350.4</v>
      </c>
      <c r="JN40">
        <v>1.2439</v>
      </c>
      <c r="JO40">
        <v>2.61353</v>
      </c>
      <c r="JP40">
        <v>2.19849</v>
      </c>
      <c r="JQ40">
        <v>2.63306</v>
      </c>
      <c r="JR40">
        <v>2.44507</v>
      </c>
      <c r="JS40">
        <v>2.31812</v>
      </c>
      <c r="JT40">
        <v>32.9537</v>
      </c>
      <c r="JU40">
        <v>24.14</v>
      </c>
      <c r="JV40">
        <v>18</v>
      </c>
      <c r="JW40">
        <v>502.117</v>
      </c>
      <c r="JX40">
        <v>786.184</v>
      </c>
      <c r="JY40">
        <v>12.1159</v>
      </c>
      <c r="JZ40">
        <v>26.9401</v>
      </c>
      <c r="KA40">
        <v>30.0042</v>
      </c>
      <c r="KB40">
        <v>26.8827</v>
      </c>
      <c r="KC40">
        <v>26.8091</v>
      </c>
      <c r="KD40">
        <v>24.9132</v>
      </c>
      <c r="KE40">
        <v>70.2579</v>
      </c>
      <c r="KF40">
        <v>0</v>
      </c>
      <c r="KG40">
        <v>11.9676</v>
      </c>
      <c r="KH40">
        <v>420</v>
      </c>
      <c r="KI40">
        <v>1.3795</v>
      </c>
      <c r="KJ40">
        <v>96.603</v>
      </c>
      <c r="KK40">
        <v>94.6817</v>
      </c>
    </row>
    <row r="41" spans="1:297">
      <c r="A41">
        <v>25</v>
      </c>
      <c r="B41">
        <v>1761681082</v>
      </c>
      <c r="C41">
        <v>3732.90000009537</v>
      </c>
      <c r="D41" t="s">
        <v>520</v>
      </c>
      <c r="E41" t="s">
        <v>521</v>
      </c>
      <c r="F41">
        <v>5</v>
      </c>
      <c r="G41" t="s">
        <v>509</v>
      </c>
      <c r="H41" t="s">
        <v>436</v>
      </c>
      <c r="I41">
        <v>1761681073.5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420.653673048576</v>
      </c>
      <c r="AK41">
        <v>408.581533333333</v>
      </c>
      <c r="AL41">
        <v>-0.000675080412198297</v>
      </c>
      <c r="AM41">
        <v>64.1950215103695</v>
      </c>
      <c r="AN41">
        <f>(AP41 - AO41 + DY41*1E3/(8.314*(EA41+273.15)) * AR41/DX41 * AQ41) * DX41/(100*DL41) * 1000/(1000 - AP41)</f>
        <v>0</v>
      </c>
      <c r="AO41">
        <v>1.4881459842817</v>
      </c>
      <c r="AP41">
        <v>6.06172377622378</v>
      </c>
      <c r="AQ41">
        <v>6.42261612404831e-05</v>
      </c>
      <c r="AR41">
        <v>109.045402830868</v>
      </c>
      <c r="AS41">
        <v>0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506</v>
      </c>
      <c r="AY41">
        <v>5129.11</v>
      </c>
      <c r="AZ41">
        <v>704.08</v>
      </c>
      <c r="BA41">
        <v>2090.12122212042</v>
      </c>
      <c r="BB41">
        <f>1-AZ41/BA41</f>
        <v>0</v>
      </c>
      <c r="BC41">
        <v>-0.360696171002171</v>
      </c>
      <c r="BD41" t="s">
        <v>522</v>
      </c>
      <c r="BE41">
        <v>5143.12</v>
      </c>
      <c r="BF41">
        <v>1537.66384615385</v>
      </c>
      <c r="BG41">
        <v>1856.64469296791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523</v>
      </c>
      <c r="BQ41">
        <v>828.73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BZ41">
        <v>27</v>
      </c>
      <c r="CA41">
        <v>290</v>
      </c>
      <c r="CB41">
        <v>1782.95</v>
      </c>
      <c r="CC41">
        <v>235</v>
      </c>
      <c r="CD41">
        <v>5143.12</v>
      </c>
      <c r="CE41">
        <v>1782.24</v>
      </c>
      <c r="CF41">
        <v>0.71</v>
      </c>
      <c r="CG41">
        <v>300</v>
      </c>
      <c r="CH41">
        <v>23.8</v>
      </c>
      <c r="CI41">
        <v>1856.64469296791</v>
      </c>
      <c r="CJ41">
        <v>1.81103641842409</v>
      </c>
      <c r="CK41">
        <v>-38.268529329828</v>
      </c>
      <c r="CL41">
        <v>0.830518259786027</v>
      </c>
      <c r="CM41">
        <v>0.986983839395663</v>
      </c>
      <c r="CN41">
        <v>-0.00349507185761958</v>
      </c>
      <c r="CO41">
        <v>290</v>
      </c>
      <c r="CP41">
        <v>1779.05</v>
      </c>
      <c r="CQ41">
        <v>655</v>
      </c>
      <c r="CR41">
        <v>5142.03</v>
      </c>
      <c r="CS41">
        <v>1782.22</v>
      </c>
      <c r="CT41">
        <v>-3.17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6</v>
      </c>
      <c r="DM41">
        <v>0.5</v>
      </c>
      <c r="DN41" t="s">
        <v>440</v>
      </c>
      <c r="DO41">
        <v>2</v>
      </c>
      <c r="DP41" t="b">
        <v>1</v>
      </c>
      <c r="DQ41">
        <v>1761681073.5</v>
      </c>
      <c r="DR41">
        <v>406.1174375</v>
      </c>
      <c r="DS41">
        <v>420.0144375</v>
      </c>
      <c r="DT41">
        <v>6.04698375</v>
      </c>
      <c r="DU41">
        <v>1.486893125</v>
      </c>
      <c r="DV41">
        <v>403.25625</v>
      </c>
      <c r="DW41">
        <v>6.18217</v>
      </c>
      <c r="DX41">
        <v>499.9878125</v>
      </c>
      <c r="DY41">
        <v>90.8907125</v>
      </c>
      <c r="DZ41">
        <v>0.01842184375</v>
      </c>
      <c r="EA41">
        <v>18.3078625</v>
      </c>
      <c r="EB41">
        <v>17.88333125</v>
      </c>
      <c r="EC41">
        <v>999.9</v>
      </c>
      <c r="ED41">
        <v>0</v>
      </c>
      <c r="EE41">
        <v>0</v>
      </c>
      <c r="EF41">
        <v>9992.58</v>
      </c>
      <c r="EG41">
        <v>0</v>
      </c>
      <c r="EH41">
        <v>1293.283125</v>
      </c>
      <c r="EI41">
        <v>-13.89691875</v>
      </c>
      <c r="EJ41">
        <v>408.5881875</v>
      </c>
      <c r="EK41">
        <v>420.639875</v>
      </c>
      <c r="EL41">
        <v>4.560090625</v>
      </c>
      <c r="EM41">
        <v>420.0144375</v>
      </c>
      <c r="EN41">
        <v>1.486893125</v>
      </c>
      <c r="EO41">
        <v>0.5496145</v>
      </c>
      <c r="EP41">
        <v>0.135144625</v>
      </c>
      <c r="EQ41">
        <v>-1.507873125</v>
      </c>
      <c r="ER41">
        <v>-19.17460625</v>
      </c>
      <c r="ES41">
        <v>899.94875</v>
      </c>
      <c r="ET41">
        <v>0.9559970625</v>
      </c>
      <c r="EU41">
        <v>0.04400295625</v>
      </c>
      <c r="EV41">
        <v>0</v>
      </c>
      <c r="EW41">
        <v>1537.74125</v>
      </c>
      <c r="EX41">
        <v>5.00059</v>
      </c>
      <c r="EY41">
        <v>13434.08125</v>
      </c>
      <c r="EZ41">
        <v>7732.359375</v>
      </c>
      <c r="FA41">
        <v>36.18325</v>
      </c>
      <c r="FB41">
        <v>38.0194375</v>
      </c>
      <c r="FC41">
        <v>36.73025</v>
      </c>
      <c r="FD41">
        <v>37.2850625</v>
      </c>
      <c r="FE41">
        <v>37.2145</v>
      </c>
      <c r="FF41">
        <v>855.5675</v>
      </c>
      <c r="FG41">
        <v>39.378125</v>
      </c>
      <c r="FH41">
        <v>0</v>
      </c>
      <c r="FI41">
        <v>131.400000095367</v>
      </c>
      <c r="FJ41">
        <v>0</v>
      </c>
      <c r="FK41">
        <v>1537.66384615385</v>
      </c>
      <c r="FL41">
        <v>-7.51179487756285</v>
      </c>
      <c r="FM41">
        <v>-72.3487180089362</v>
      </c>
      <c r="FN41">
        <v>13432.8923076923</v>
      </c>
      <c r="FO41">
        <v>15</v>
      </c>
      <c r="FP41">
        <v>0</v>
      </c>
      <c r="FQ41" t="s">
        <v>441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-13.9023</v>
      </c>
      <c r="GD41">
        <v>0.0976962406015031</v>
      </c>
      <c r="GE41">
        <v>0.0218487757094077</v>
      </c>
      <c r="GF41">
        <v>1</v>
      </c>
      <c r="GG41">
        <v>1538.06294117647</v>
      </c>
      <c r="GH41">
        <v>-7.29931245374738</v>
      </c>
      <c r="GI41">
        <v>0.74577843031829</v>
      </c>
      <c r="GJ41">
        <v>-1</v>
      </c>
      <c r="GK41">
        <v>4.5577675</v>
      </c>
      <c r="GL41">
        <v>0.0877123308270712</v>
      </c>
      <c r="GM41">
        <v>0.00908280456412008</v>
      </c>
      <c r="GN41">
        <v>1</v>
      </c>
      <c r="GO41">
        <v>2</v>
      </c>
      <c r="GP41">
        <v>2</v>
      </c>
      <c r="GQ41" t="s">
        <v>442</v>
      </c>
      <c r="GR41">
        <v>3.12779</v>
      </c>
      <c r="GS41">
        <v>2.69655</v>
      </c>
      <c r="GT41">
        <v>0.087597</v>
      </c>
      <c r="GU41">
        <v>0.0904869</v>
      </c>
      <c r="GV41">
        <v>0.0362059</v>
      </c>
      <c r="GW41">
        <v>0.0103269</v>
      </c>
      <c r="GX41">
        <v>34394</v>
      </c>
      <c r="GY41">
        <v>36777.8</v>
      </c>
      <c r="GZ41">
        <v>34099.8</v>
      </c>
      <c r="HA41">
        <v>36606.9</v>
      </c>
      <c r="HB41">
        <v>46407.5</v>
      </c>
      <c r="HC41">
        <v>51971.8</v>
      </c>
      <c r="HD41">
        <v>53121.9</v>
      </c>
      <c r="HE41">
        <v>58410.4</v>
      </c>
      <c r="HF41">
        <v>1.97005</v>
      </c>
      <c r="HG41">
        <v>2.34458</v>
      </c>
      <c r="HH41">
        <v>-0.0133216</v>
      </c>
      <c r="HI41">
        <v>0</v>
      </c>
      <c r="HJ41">
        <v>18.1564</v>
      </c>
      <c r="HK41">
        <v>999.9</v>
      </c>
      <c r="HL41">
        <v>22.256</v>
      </c>
      <c r="HM41">
        <v>29.356</v>
      </c>
      <c r="HN41">
        <v>10.0523</v>
      </c>
      <c r="HO41">
        <v>54.5366</v>
      </c>
      <c r="HP41">
        <v>32.4439</v>
      </c>
      <c r="HQ41">
        <v>2</v>
      </c>
      <c r="HR41">
        <v>-0.0338465</v>
      </c>
      <c r="HS41">
        <v>3.92474</v>
      </c>
      <c r="HT41">
        <v>20.1001</v>
      </c>
      <c r="HU41">
        <v>5.19932</v>
      </c>
      <c r="HV41">
        <v>12.004</v>
      </c>
      <c r="HW41">
        <v>4.9759</v>
      </c>
      <c r="HX41">
        <v>3.294</v>
      </c>
      <c r="HY41">
        <v>9999</v>
      </c>
      <c r="HZ41">
        <v>9999</v>
      </c>
      <c r="IA41">
        <v>9999</v>
      </c>
      <c r="IB41">
        <v>999.9</v>
      </c>
      <c r="IC41">
        <v>1.86319</v>
      </c>
      <c r="ID41">
        <v>1.86813</v>
      </c>
      <c r="IE41">
        <v>1.86785</v>
      </c>
      <c r="IF41">
        <v>1.86905</v>
      </c>
      <c r="IG41">
        <v>1.86981</v>
      </c>
      <c r="IH41">
        <v>1.86587</v>
      </c>
      <c r="II41">
        <v>1.86699</v>
      </c>
      <c r="IJ41">
        <v>1.86841</v>
      </c>
      <c r="IK41">
        <v>5</v>
      </c>
      <c r="IL41">
        <v>0</v>
      </c>
      <c r="IM41">
        <v>0</v>
      </c>
      <c r="IN41">
        <v>0</v>
      </c>
      <c r="IO41" t="s">
        <v>443</v>
      </c>
      <c r="IP41" t="s">
        <v>444</v>
      </c>
      <c r="IQ41" t="s">
        <v>445</v>
      </c>
      <c r="IR41" t="s">
        <v>445</v>
      </c>
      <c r="IS41" t="s">
        <v>445</v>
      </c>
      <c r="IT41" t="s">
        <v>445</v>
      </c>
      <c r="IU41">
        <v>0</v>
      </c>
      <c r="IV41">
        <v>100</v>
      </c>
      <c r="IW41">
        <v>100</v>
      </c>
      <c r="IX41">
        <v>2.861</v>
      </c>
      <c r="IY41">
        <v>-0.1351</v>
      </c>
      <c r="IZ41">
        <v>1.24656194001752</v>
      </c>
      <c r="JA41">
        <v>0.00408463137630218</v>
      </c>
      <c r="JB41">
        <v>-2.23906557180379e-07</v>
      </c>
      <c r="JC41">
        <v>6.23399102760906e-11</v>
      </c>
      <c r="JD41">
        <v>-0.0873394905990972</v>
      </c>
      <c r="JE41">
        <v>-0.0233348201324191</v>
      </c>
      <c r="JF41">
        <v>0.00274696999164489</v>
      </c>
      <c r="JG41">
        <v>-3.62864435074646e-05</v>
      </c>
      <c r="JH41">
        <v>5</v>
      </c>
      <c r="JI41">
        <v>2263</v>
      </c>
      <c r="JJ41">
        <v>1</v>
      </c>
      <c r="JK41">
        <v>24</v>
      </c>
      <c r="JL41">
        <v>29361351.4</v>
      </c>
      <c r="JM41">
        <v>29361351.4</v>
      </c>
      <c r="JN41">
        <v>1.2439</v>
      </c>
      <c r="JO41">
        <v>2.60864</v>
      </c>
      <c r="JP41">
        <v>2.19849</v>
      </c>
      <c r="JQ41">
        <v>2.63306</v>
      </c>
      <c r="JR41">
        <v>2.44629</v>
      </c>
      <c r="JS41">
        <v>2.34863</v>
      </c>
      <c r="JT41">
        <v>32.9537</v>
      </c>
      <c r="JU41">
        <v>24.1926</v>
      </c>
      <c r="JV41">
        <v>18</v>
      </c>
      <c r="JW41">
        <v>502.82</v>
      </c>
      <c r="JX41">
        <v>786.961</v>
      </c>
      <c r="JY41">
        <v>13.0365</v>
      </c>
      <c r="JZ41">
        <v>26.8763</v>
      </c>
      <c r="KA41">
        <v>30.0001</v>
      </c>
      <c r="KB41">
        <v>26.845</v>
      </c>
      <c r="KC41">
        <v>26.7778</v>
      </c>
      <c r="KD41">
        <v>24.9131</v>
      </c>
      <c r="KE41">
        <v>68.5317</v>
      </c>
      <c r="KF41">
        <v>0</v>
      </c>
      <c r="KG41">
        <v>13.0613</v>
      </c>
      <c r="KH41">
        <v>420</v>
      </c>
      <c r="KI41">
        <v>1.54277</v>
      </c>
      <c r="KJ41">
        <v>96.6167</v>
      </c>
      <c r="KK41">
        <v>94.6973</v>
      </c>
    </row>
    <row r="42" spans="1:297">
      <c r="A42">
        <v>26</v>
      </c>
      <c r="B42">
        <v>1761681152</v>
      </c>
      <c r="C42">
        <v>3802.90000009537</v>
      </c>
      <c r="D42" t="s">
        <v>524</v>
      </c>
      <c r="E42" t="s">
        <v>525</v>
      </c>
      <c r="F42">
        <v>5</v>
      </c>
      <c r="G42" t="s">
        <v>509</v>
      </c>
      <c r="H42" t="s">
        <v>436</v>
      </c>
      <c r="I42">
        <v>1761681143.5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420.699750451102</v>
      </c>
      <c r="AK42">
        <v>410.06003030303</v>
      </c>
      <c r="AL42">
        <v>0.000284635590239827</v>
      </c>
      <c r="AM42">
        <v>64.1950215103695</v>
      </c>
      <c r="AN42">
        <f>(AP42 - AO42 + DY42*1E3/(8.314*(EA42+273.15)) * AR42/DX42 * AQ42) * DX42/(100*DL42) * 1000/(1000 - AP42)</f>
        <v>0</v>
      </c>
      <c r="AO42">
        <v>1.70883383583136</v>
      </c>
      <c r="AP42">
        <v>6.14791517482518</v>
      </c>
      <c r="AQ42">
        <v>0.000202018724242059</v>
      </c>
      <c r="AR42">
        <v>109.045402830868</v>
      </c>
      <c r="AS42">
        <v>0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448</v>
      </c>
      <c r="AY42" t="s">
        <v>448</v>
      </c>
      <c r="AZ42">
        <v>0</v>
      </c>
      <c r="BA42">
        <v>0</v>
      </c>
      <c r="BB42">
        <f>1-AZ42/BA42</f>
        <v>0</v>
      </c>
      <c r="BC42">
        <v>0</v>
      </c>
      <c r="BD42" t="s">
        <v>448</v>
      </c>
      <c r="BE42" t="s">
        <v>448</v>
      </c>
      <c r="BF42">
        <v>0</v>
      </c>
      <c r="BG42">
        <v>0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448</v>
      </c>
      <c r="BQ42">
        <v>0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BZ42">
        <v>27</v>
      </c>
      <c r="CA42">
        <v>290</v>
      </c>
      <c r="CB42">
        <v>1782.95</v>
      </c>
      <c r="CC42">
        <v>235</v>
      </c>
      <c r="CD42">
        <v>5143.12</v>
      </c>
      <c r="CE42">
        <v>1782.24</v>
      </c>
      <c r="CF42">
        <v>0.71</v>
      </c>
      <c r="CG42">
        <v>300</v>
      </c>
      <c r="CH42">
        <v>23.8</v>
      </c>
      <c r="CI42">
        <v>1856.64469296791</v>
      </c>
      <c r="CJ42">
        <v>1.81103641842409</v>
      </c>
      <c r="CK42">
        <v>-38.268529329828</v>
      </c>
      <c r="CL42">
        <v>0.830518259786027</v>
      </c>
      <c r="CM42">
        <v>0.986983839395663</v>
      </c>
      <c r="CN42">
        <v>-0.00349507185761958</v>
      </c>
      <c r="CO42">
        <v>290</v>
      </c>
      <c r="CP42">
        <v>1779.05</v>
      </c>
      <c r="CQ42">
        <v>655</v>
      </c>
      <c r="CR42">
        <v>5142.03</v>
      </c>
      <c r="CS42">
        <v>1782.22</v>
      </c>
      <c r="CT42">
        <v>-3.17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6</v>
      </c>
      <c r="DM42">
        <v>0.5</v>
      </c>
      <c r="DN42" t="s">
        <v>440</v>
      </c>
      <c r="DO42">
        <v>2</v>
      </c>
      <c r="DP42" t="b">
        <v>1</v>
      </c>
      <c r="DQ42">
        <v>1761681143.5</v>
      </c>
      <c r="DR42">
        <v>407.5369375</v>
      </c>
      <c r="DS42">
        <v>419.99425</v>
      </c>
      <c r="DT42">
        <v>6.125490625</v>
      </c>
      <c r="DU42">
        <v>1.69513</v>
      </c>
      <c r="DV42">
        <v>404.6699375</v>
      </c>
      <c r="DW42">
        <v>6.26015875</v>
      </c>
      <c r="DX42">
        <v>500.0333125</v>
      </c>
      <c r="DY42">
        <v>90.89181875</v>
      </c>
      <c r="DZ42">
        <v>0.01838115625</v>
      </c>
      <c r="EA42">
        <v>18.5842375</v>
      </c>
      <c r="EB42">
        <v>17.94219375</v>
      </c>
      <c r="EC42">
        <v>999.9</v>
      </c>
      <c r="ED42">
        <v>0</v>
      </c>
      <c r="EE42">
        <v>0</v>
      </c>
      <c r="EF42">
        <v>9993.516875</v>
      </c>
      <c r="EG42">
        <v>0</v>
      </c>
      <c r="EH42">
        <v>1293.41125</v>
      </c>
      <c r="EI42">
        <v>-12.457275</v>
      </c>
      <c r="EJ42">
        <v>410.04875</v>
      </c>
      <c r="EK42">
        <v>420.707375</v>
      </c>
      <c r="EL42">
        <v>4.430361875</v>
      </c>
      <c r="EM42">
        <v>419.99425</v>
      </c>
      <c r="EN42">
        <v>1.69513</v>
      </c>
      <c r="EO42">
        <v>0.556757</v>
      </c>
      <c r="EP42">
        <v>0.15407325</v>
      </c>
      <c r="EQ42">
        <v>-1.33220375</v>
      </c>
      <c r="ER42">
        <v>-17.6353875</v>
      </c>
      <c r="ES42">
        <v>600.0466875</v>
      </c>
      <c r="ET42">
        <v>0.9330145625</v>
      </c>
      <c r="EU42">
        <v>0.0669857125</v>
      </c>
      <c r="EV42">
        <v>0</v>
      </c>
      <c r="EW42">
        <v>1424.1925</v>
      </c>
      <c r="EX42">
        <v>5.00059</v>
      </c>
      <c r="EY42">
        <v>8254.428125</v>
      </c>
      <c r="EZ42">
        <v>5105.92875</v>
      </c>
      <c r="FA42">
        <v>36.7888125</v>
      </c>
      <c r="FB42">
        <v>39.85525</v>
      </c>
      <c r="FC42">
        <v>37.788875</v>
      </c>
      <c r="FD42">
        <v>39.3981875</v>
      </c>
      <c r="FE42">
        <v>38.2068125</v>
      </c>
      <c r="FF42">
        <v>555.186875</v>
      </c>
      <c r="FG42">
        <v>39.86</v>
      </c>
      <c r="FH42">
        <v>0</v>
      </c>
      <c r="FI42">
        <v>67</v>
      </c>
      <c r="FJ42">
        <v>0</v>
      </c>
      <c r="FK42">
        <v>1424.09730769231</v>
      </c>
      <c r="FL42">
        <v>-10.06803419597</v>
      </c>
      <c r="FM42">
        <v>-44.5459831326011</v>
      </c>
      <c r="FN42">
        <v>8253.13730769231</v>
      </c>
      <c r="FO42">
        <v>15</v>
      </c>
      <c r="FP42">
        <v>0</v>
      </c>
      <c r="FQ42" t="s">
        <v>441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-12.4377952380952</v>
      </c>
      <c r="GD42">
        <v>-0.240732467532481</v>
      </c>
      <c r="GE42">
        <v>0.0385312795159179</v>
      </c>
      <c r="GF42">
        <v>1</v>
      </c>
      <c r="GG42">
        <v>1424.82352941176</v>
      </c>
      <c r="GH42">
        <v>-10.5191749389776</v>
      </c>
      <c r="GI42">
        <v>1.04250231302591</v>
      </c>
      <c r="GJ42">
        <v>-1</v>
      </c>
      <c r="GK42">
        <v>4.43129047619048</v>
      </c>
      <c r="GL42">
        <v>-0.0211020779220814</v>
      </c>
      <c r="GM42">
        <v>0.00558350075898833</v>
      </c>
      <c r="GN42">
        <v>1</v>
      </c>
      <c r="GO42">
        <v>2</v>
      </c>
      <c r="GP42">
        <v>2</v>
      </c>
      <c r="GQ42" t="s">
        <v>442</v>
      </c>
      <c r="GR42">
        <v>3.1278</v>
      </c>
      <c r="GS42">
        <v>2.69657</v>
      </c>
      <c r="GT42">
        <v>0.0878478</v>
      </c>
      <c r="GU42">
        <v>0.0904956</v>
      </c>
      <c r="GV42">
        <v>0.0366485</v>
      </c>
      <c r="GW42">
        <v>0.0118157</v>
      </c>
      <c r="GX42">
        <v>34389.2</v>
      </c>
      <c r="GY42">
        <v>36782.8</v>
      </c>
      <c r="GZ42">
        <v>34104</v>
      </c>
      <c r="HA42">
        <v>36611.7</v>
      </c>
      <c r="HB42">
        <v>46391.1</v>
      </c>
      <c r="HC42">
        <v>51900.3</v>
      </c>
      <c r="HD42">
        <v>53127.4</v>
      </c>
      <c r="HE42">
        <v>58417.8</v>
      </c>
      <c r="HF42">
        <v>1.97025</v>
      </c>
      <c r="HG42">
        <v>2.3463</v>
      </c>
      <c r="HH42">
        <v>-0.0222474</v>
      </c>
      <c r="HI42">
        <v>0</v>
      </c>
      <c r="HJ42">
        <v>18.3604</v>
      </c>
      <c r="HK42">
        <v>999.9</v>
      </c>
      <c r="HL42">
        <v>22.152</v>
      </c>
      <c r="HM42">
        <v>29.376</v>
      </c>
      <c r="HN42">
        <v>10.0171</v>
      </c>
      <c r="HO42">
        <v>54.5566</v>
      </c>
      <c r="HP42">
        <v>32.4038</v>
      </c>
      <c r="HQ42">
        <v>2</v>
      </c>
      <c r="HR42">
        <v>-0.041842</v>
      </c>
      <c r="HS42">
        <v>3.52698</v>
      </c>
      <c r="HT42">
        <v>20.1102</v>
      </c>
      <c r="HU42">
        <v>5.19917</v>
      </c>
      <c r="HV42">
        <v>12.004</v>
      </c>
      <c r="HW42">
        <v>4.97565</v>
      </c>
      <c r="HX42">
        <v>3.294</v>
      </c>
      <c r="HY42">
        <v>9999</v>
      </c>
      <c r="HZ42">
        <v>9999</v>
      </c>
      <c r="IA42">
        <v>9999</v>
      </c>
      <c r="IB42">
        <v>999.9</v>
      </c>
      <c r="IC42">
        <v>1.86325</v>
      </c>
      <c r="ID42">
        <v>1.86813</v>
      </c>
      <c r="IE42">
        <v>1.86788</v>
      </c>
      <c r="IF42">
        <v>1.86905</v>
      </c>
      <c r="IG42">
        <v>1.86983</v>
      </c>
      <c r="IH42">
        <v>1.86588</v>
      </c>
      <c r="II42">
        <v>1.86703</v>
      </c>
      <c r="IJ42">
        <v>1.86844</v>
      </c>
      <c r="IK42">
        <v>5</v>
      </c>
      <c r="IL42">
        <v>0</v>
      </c>
      <c r="IM42">
        <v>0</v>
      </c>
      <c r="IN42">
        <v>0</v>
      </c>
      <c r="IO42" t="s">
        <v>443</v>
      </c>
      <c r="IP42" t="s">
        <v>444</v>
      </c>
      <c r="IQ42" t="s">
        <v>445</v>
      </c>
      <c r="IR42" t="s">
        <v>445</v>
      </c>
      <c r="IS42" t="s">
        <v>445</v>
      </c>
      <c r="IT42" t="s">
        <v>445</v>
      </c>
      <c r="IU42">
        <v>0</v>
      </c>
      <c r="IV42">
        <v>100</v>
      </c>
      <c r="IW42">
        <v>100</v>
      </c>
      <c r="IX42">
        <v>2.867</v>
      </c>
      <c r="IY42">
        <v>-0.1345</v>
      </c>
      <c r="IZ42">
        <v>1.24656194001752</v>
      </c>
      <c r="JA42">
        <v>0.00408463137630218</v>
      </c>
      <c r="JB42">
        <v>-2.23906557180379e-07</v>
      </c>
      <c r="JC42">
        <v>6.23399102760906e-11</v>
      </c>
      <c r="JD42">
        <v>-0.0873394905990972</v>
      </c>
      <c r="JE42">
        <v>-0.0233348201324191</v>
      </c>
      <c r="JF42">
        <v>0.00274696999164489</v>
      </c>
      <c r="JG42">
        <v>-3.62864435074646e-05</v>
      </c>
      <c r="JH42">
        <v>5</v>
      </c>
      <c r="JI42">
        <v>2263</v>
      </c>
      <c r="JJ42">
        <v>1</v>
      </c>
      <c r="JK42">
        <v>24</v>
      </c>
      <c r="JL42">
        <v>29361352.5</v>
      </c>
      <c r="JM42">
        <v>29361352.5</v>
      </c>
      <c r="JN42">
        <v>1.2439</v>
      </c>
      <c r="JO42">
        <v>2.61841</v>
      </c>
      <c r="JP42">
        <v>2.19849</v>
      </c>
      <c r="JQ42">
        <v>2.63184</v>
      </c>
      <c r="JR42">
        <v>2.44629</v>
      </c>
      <c r="JS42">
        <v>2.31445</v>
      </c>
      <c r="JT42">
        <v>32.9537</v>
      </c>
      <c r="JU42">
        <v>24.1926</v>
      </c>
      <c r="JV42">
        <v>18</v>
      </c>
      <c r="JW42">
        <v>502.483</v>
      </c>
      <c r="JX42">
        <v>787.906</v>
      </c>
      <c r="JY42">
        <v>13.9552</v>
      </c>
      <c r="JZ42">
        <v>26.7969</v>
      </c>
      <c r="KA42">
        <v>30</v>
      </c>
      <c r="KB42">
        <v>26.7933</v>
      </c>
      <c r="KC42">
        <v>26.7324</v>
      </c>
      <c r="KD42">
        <v>24.9151</v>
      </c>
      <c r="KE42">
        <v>65.63</v>
      </c>
      <c r="KF42">
        <v>0</v>
      </c>
      <c r="KG42">
        <v>13.9458</v>
      </c>
      <c r="KH42">
        <v>420</v>
      </c>
      <c r="KI42">
        <v>1.7889</v>
      </c>
      <c r="KJ42">
        <v>96.6274</v>
      </c>
      <c r="KK42">
        <v>94.7094</v>
      </c>
    </row>
    <row r="43" spans="1:297">
      <c r="A43">
        <v>27</v>
      </c>
      <c r="B43">
        <v>1761681223</v>
      </c>
      <c r="C43">
        <v>3873.90000009537</v>
      </c>
      <c r="D43" t="s">
        <v>526</v>
      </c>
      <c r="E43" t="s">
        <v>527</v>
      </c>
      <c r="F43">
        <v>5</v>
      </c>
      <c r="G43" t="s">
        <v>509</v>
      </c>
      <c r="H43" t="s">
        <v>436</v>
      </c>
      <c r="I43">
        <v>1761681214.5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420.857079975084</v>
      </c>
      <c r="AK43">
        <v>412.86166060606</v>
      </c>
      <c r="AL43">
        <v>-0.00107986267108787</v>
      </c>
      <c r="AM43">
        <v>64.1950215103695</v>
      </c>
      <c r="AN43">
        <f>(AP43 - AO43 + DY43*1E3/(8.314*(EA43+273.15)) * AR43/DX43 * AQ43) * DX43/(100*DL43) * 1000/(1000 - AP43)</f>
        <v>0</v>
      </c>
      <c r="AO43">
        <v>1.97106135572384</v>
      </c>
      <c r="AP43">
        <v>6.23713664335665</v>
      </c>
      <c r="AQ43">
        <v>6.06885985724435e-05</v>
      </c>
      <c r="AR43">
        <v>109.045402830868</v>
      </c>
      <c r="AS43">
        <v>0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506</v>
      </c>
      <c r="AY43">
        <v>5129.11</v>
      </c>
      <c r="AZ43">
        <v>704.08</v>
      </c>
      <c r="BA43">
        <v>2090.12122212042</v>
      </c>
      <c r="BB43">
        <f>1-AZ43/BA43</f>
        <v>0</v>
      </c>
      <c r="BC43">
        <v>-0.360696171002171</v>
      </c>
      <c r="BD43" t="s">
        <v>528</v>
      </c>
      <c r="BE43">
        <v>5132.19</v>
      </c>
      <c r="BF43">
        <v>1186.944</v>
      </c>
      <c r="BG43">
        <v>1862.00953488712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529</v>
      </c>
      <c r="BQ43">
        <v>799.53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BZ43">
        <v>29</v>
      </c>
      <c r="CA43">
        <v>290</v>
      </c>
      <c r="CB43">
        <v>1788.71</v>
      </c>
      <c r="CC43">
        <v>285</v>
      </c>
      <c r="CD43">
        <v>5132.19</v>
      </c>
      <c r="CE43">
        <v>1788.66</v>
      </c>
      <c r="CF43">
        <v>0.05</v>
      </c>
      <c r="CG43">
        <v>300</v>
      </c>
      <c r="CH43">
        <v>23.8</v>
      </c>
      <c r="CI43">
        <v>1862.00953488712</v>
      </c>
      <c r="CJ43">
        <v>1.56343910460297</v>
      </c>
      <c r="CK43">
        <v>-37.6451968921699</v>
      </c>
      <c r="CL43">
        <v>0.702088117468281</v>
      </c>
      <c r="CM43">
        <v>0.990354762509091</v>
      </c>
      <c r="CN43">
        <v>-0.00399158175750835</v>
      </c>
      <c r="CO43">
        <v>290</v>
      </c>
      <c r="CP43">
        <v>1786.99</v>
      </c>
      <c r="CQ43">
        <v>735</v>
      </c>
      <c r="CR43">
        <v>5130.89</v>
      </c>
      <c r="CS43">
        <v>1788.64</v>
      </c>
      <c r="CT43">
        <v>-1.65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6</v>
      </c>
      <c r="DM43">
        <v>0.5</v>
      </c>
      <c r="DN43" t="s">
        <v>440</v>
      </c>
      <c r="DO43">
        <v>2</v>
      </c>
      <c r="DP43" t="b">
        <v>1</v>
      </c>
      <c r="DQ43">
        <v>1761681214.5</v>
      </c>
      <c r="DR43">
        <v>410.27475</v>
      </c>
      <c r="DS43">
        <v>420.0095625</v>
      </c>
      <c r="DT43">
        <v>6.2228625</v>
      </c>
      <c r="DU43">
        <v>1.96353625</v>
      </c>
      <c r="DV43">
        <v>407.39725</v>
      </c>
      <c r="DW43">
        <v>6.35685625</v>
      </c>
      <c r="DX43">
        <v>500.019375</v>
      </c>
      <c r="DY43">
        <v>90.8944</v>
      </c>
      <c r="DZ43">
        <v>0.01806370625</v>
      </c>
      <c r="EA43">
        <v>18.84018125</v>
      </c>
      <c r="EB43">
        <v>17.95743125</v>
      </c>
      <c r="EC43">
        <v>999.9</v>
      </c>
      <c r="ED43">
        <v>0</v>
      </c>
      <c r="EE43">
        <v>0</v>
      </c>
      <c r="EF43">
        <v>9991.875</v>
      </c>
      <c r="EG43">
        <v>0</v>
      </c>
      <c r="EH43">
        <v>1293.4125</v>
      </c>
      <c r="EI43">
        <v>-9.734834375</v>
      </c>
      <c r="EJ43">
        <v>412.843875</v>
      </c>
      <c r="EK43">
        <v>420.8359375</v>
      </c>
      <c r="EL43">
        <v>4.259325</v>
      </c>
      <c r="EM43">
        <v>420.0095625</v>
      </c>
      <c r="EN43">
        <v>1.96353625</v>
      </c>
      <c r="EO43">
        <v>0.565623375</v>
      </c>
      <c r="EP43">
        <v>0.1784745625</v>
      </c>
      <c r="EQ43">
        <v>-1.1168675</v>
      </c>
      <c r="ER43">
        <v>-15.88284375</v>
      </c>
      <c r="ES43">
        <v>299.99775</v>
      </c>
      <c r="ET43">
        <v>0.900001375</v>
      </c>
      <c r="EU43">
        <v>0.09999859375</v>
      </c>
      <c r="EV43">
        <v>0</v>
      </c>
      <c r="EW43">
        <v>1186.94375</v>
      </c>
      <c r="EX43">
        <v>5.00059</v>
      </c>
      <c r="EY43">
        <v>3425.28625</v>
      </c>
      <c r="EZ43">
        <v>2506.171875</v>
      </c>
      <c r="FA43">
        <v>37.0935</v>
      </c>
      <c r="FB43">
        <v>41.0623125</v>
      </c>
      <c r="FC43">
        <v>38.527125</v>
      </c>
      <c r="FD43">
        <v>41.1130625</v>
      </c>
      <c r="FE43">
        <v>38.804375</v>
      </c>
      <c r="FF43">
        <v>265.498125</v>
      </c>
      <c r="FG43">
        <v>29.496875</v>
      </c>
      <c r="FH43">
        <v>0</v>
      </c>
      <c r="FI43">
        <v>138.400000095367</v>
      </c>
      <c r="FJ43">
        <v>0</v>
      </c>
      <c r="FK43">
        <v>1186.944</v>
      </c>
      <c r="FL43">
        <v>0.485384616487702</v>
      </c>
      <c r="FM43">
        <v>3.35153845822889</v>
      </c>
      <c r="FN43">
        <v>3425.5464</v>
      </c>
      <c r="FO43">
        <v>15</v>
      </c>
      <c r="FP43">
        <v>0</v>
      </c>
      <c r="FQ43" t="s">
        <v>441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-9.7502225</v>
      </c>
      <c r="GD43">
        <v>0.424310526315784</v>
      </c>
      <c r="GE43">
        <v>0.0554950704004418</v>
      </c>
      <c r="GF43">
        <v>1</v>
      </c>
      <c r="GG43">
        <v>1186.91588235294</v>
      </c>
      <c r="GH43">
        <v>0.213292587337415</v>
      </c>
      <c r="GI43">
        <v>0.230231566894003</v>
      </c>
      <c r="GJ43">
        <v>-1</v>
      </c>
      <c r="GK43">
        <v>4.2587285</v>
      </c>
      <c r="GL43">
        <v>0.0142678195488727</v>
      </c>
      <c r="GM43">
        <v>0.00441499181765957</v>
      </c>
      <c r="GN43">
        <v>1</v>
      </c>
      <c r="GO43">
        <v>2</v>
      </c>
      <c r="GP43">
        <v>2</v>
      </c>
      <c r="GQ43" t="s">
        <v>442</v>
      </c>
      <c r="GR43">
        <v>3.12816</v>
      </c>
      <c r="GS43">
        <v>2.69579</v>
      </c>
      <c r="GT43">
        <v>0.0883241</v>
      </c>
      <c r="GU43">
        <v>0.0905183</v>
      </c>
      <c r="GV43">
        <v>0.0370873</v>
      </c>
      <c r="GW43">
        <v>0.0135855</v>
      </c>
      <c r="GX43">
        <v>34375.3</v>
      </c>
      <c r="GY43">
        <v>36788.1</v>
      </c>
      <c r="GZ43">
        <v>34107.6</v>
      </c>
      <c r="HA43">
        <v>36617.4</v>
      </c>
      <c r="HB43">
        <v>46373.7</v>
      </c>
      <c r="HC43">
        <v>51815.2</v>
      </c>
      <c r="HD43">
        <v>53131.6</v>
      </c>
      <c r="HE43">
        <v>58426.5</v>
      </c>
      <c r="HF43">
        <v>1.9714</v>
      </c>
      <c r="HG43">
        <v>2.34757</v>
      </c>
      <c r="HH43">
        <v>-0.0335425</v>
      </c>
      <c r="HI43">
        <v>0</v>
      </c>
      <c r="HJ43">
        <v>18.5709</v>
      </c>
      <c r="HK43">
        <v>999.9</v>
      </c>
      <c r="HL43">
        <v>22.055</v>
      </c>
      <c r="HM43">
        <v>29.406</v>
      </c>
      <c r="HN43">
        <v>9.99112</v>
      </c>
      <c r="HO43">
        <v>54.1466</v>
      </c>
      <c r="HP43">
        <v>32.3157</v>
      </c>
      <c r="HQ43">
        <v>2</v>
      </c>
      <c r="HR43">
        <v>-0.0488313</v>
      </c>
      <c r="HS43">
        <v>3.30364</v>
      </c>
      <c r="HT43">
        <v>20.1169</v>
      </c>
      <c r="HU43">
        <v>5.19872</v>
      </c>
      <c r="HV43">
        <v>12.004</v>
      </c>
      <c r="HW43">
        <v>4.97565</v>
      </c>
      <c r="HX43">
        <v>3.294</v>
      </c>
      <c r="HY43">
        <v>9999</v>
      </c>
      <c r="HZ43">
        <v>9999</v>
      </c>
      <c r="IA43">
        <v>9999</v>
      </c>
      <c r="IB43">
        <v>999.9</v>
      </c>
      <c r="IC43">
        <v>1.86324</v>
      </c>
      <c r="ID43">
        <v>1.8681</v>
      </c>
      <c r="IE43">
        <v>1.86784</v>
      </c>
      <c r="IF43">
        <v>1.86904</v>
      </c>
      <c r="IG43">
        <v>1.86981</v>
      </c>
      <c r="IH43">
        <v>1.86587</v>
      </c>
      <c r="II43">
        <v>1.86693</v>
      </c>
      <c r="IJ43">
        <v>1.8684</v>
      </c>
      <c r="IK43">
        <v>5</v>
      </c>
      <c r="IL43">
        <v>0</v>
      </c>
      <c r="IM43">
        <v>0</v>
      </c>
      <c r="IN43">
        <v>0</v>
      </c>
      <c r="IO43" t="s">
        <v>443</v>
      </c>
      <c r="IP43" t="s">
        <v>444</v>
      </c>
      <c r="IQ43" t="s">
        <v>445</v>
      </c>
      <c r="IR43" t="s">
        <v>445</v>
      </c>
      <c r="IS43" t="s">
        <v>445</v>
      </c>
      <c r="IT43" t="s">
        <v>445</v>
      </c>
      <c r="IU43">
        <v>0</v>
      </c>
      <c r="IV43">
        <v>100</v>
      </c>
      <c r="IW43">
        <v>100</v>
      </c>
      <c r="IX43">
        <v>2.877</v>
      </c>
      <c r="IY43">
        <v>-0.1339</v>
      </c>
      <c r="IZ43">
        <v>1.24656194001752</v>
      </c>
      <c r="JA43">
        <v>0.00408463137630218</v>
      </c>
      <c r="JB43">
        <v>-2.23906557180379e-07</v>
      </c>
      <c r="JC43">
        <v>6.23399102760906e-11</v>
      </c>
      <c r="JD43">
        <v>-0.0873394905990972</v>
      </c>
      <c r="JE43">
        <v>-0.0233348201324191</v>
      </c>
      <c r="JF43">
        <v>0.00274696999164489</v>
      </c>
      <c r="JG43">
        <v>-3.62864435074646e-05</v>
      </c>
      <c r="JH43">
        <v>5</v>
      </c>
      <c r="JI43">
        <v>2263</v>
      </c>
      <c r="JJ43">
        <v>1</v>
      </c>
      <c r="JK43">
        <v>24</v>
      </c>
      <c r="JL43">
        <v>29361353.7</v>
      </c>
      <c r="JM43">
        <v>29361353.7</v>
      </c>
      <c r="JN43">
        <v>1.2439</v>
      </c>
      <c r="JO43">
        <v>2.62085</v>
      </c>
      <c r="JP43">
        <v>2.19849</v>
      </c>
      <c r="JQ43">
        <v>2.63306</v>
      </c>
      <c r="JR43">
        <v>2.44507</v>
      </c>
      <c r="JS43">
        <v>2.31201</v>
      </c>
      <c r="JT43">
        <v>32.9315</v>
      </c>
      <c r="JU43">
        <v>24.1926</v>
      </c>
      <c r="JV43">
        <v>18</v>
      </c>
      <c r="JW43">
        <v>502.705</v>
      </c>
      <c r="JX43">
        <v>788.333</v>
      </c>
      <c r="JY43">
        <v>14.5489</v>
      </c>
      <c r="JZ43">
        <v>26.7143</v>
      </c>
      <c r="KA43">
        <v>30.0003</v>
      </c>
      <c r="KB43">
        <v>26.7349</v>
      </c>
      <c r="KC43">
        <v>26.6804</v>
      </c>
      <c r="KD43">
        <v>24.9172</v>
      </c>
      <c r="KE43">
        <v>62.7051</v>
      </c>
      <c r="KF43">
        <v>0</v>
      </c>
      <c r="KG43">
        <v>14.5278</v>
      </c>
      <c r="KH43">
        <v>420</v>
      </c>
      <c r="KI43">
        <v>2.07799</v>
      </c>
      <c r="KJ43">
        <v>96.6361</v>
      </c>
      <c r="KK43">
        <v>94.7237</v>
      </c>
    </row>
    <row r="44" spans="1:297">
      <c r="A44">
        <v>28</v>
      </c>
      <c r="B44">
        <v>1761681321</v>
      </c>
      <c r="C44">
        <v>3971.90000009537</v>
      </c>
      <c r="D44" t="s">
        <v>530</v>
      </c>
      <c r="E44" t="s">
        <v>531</v>
      </c>
      <c r="F44">
        <v>5</v>
      </c>
      <c r="G44" t="s">
        <v>509</v>
      </c>
      <c r="H44" t="s">
        <v>436</v>
      </c>
      <c r="I44">
        <v>1761681312.5</v>
      </c>
      <c r="J44">
        <f>(K44)/1000</f>
        <v>0</v>
      </c>
      <c r="K44">
        <f>IF(DP44, AN44, AH44)</f>
        <v>0</v>
      </c>
      <c r="L44">
        <f>IF(DP44, AI44, AG44)</f>
        <v>0</v>
      </c>
      <c r="M44">
        <f>DR44 - IF(AU44&gt;1, L44*DL44*100.0/(AW44), 0)</f>
        <v>0</v>
      </c>
      <c r="N44">
        <f>((T44-J44/2)*M44-L44)/(T44+J44/2)</f>
        <v>0</v>
      </c>
      <c r="O44">
        <f>N44*(DY44+DZ44)/1000.0</f>
        <v>0</v>
      </c>
      <c r="P44">
        <f>(DR44 - IF(AU44&gt;1, L44*DL44*100.0/(AW44), 0))*(DY44+DZ44)/1000.0</f>
        <v>0</v>
      </c>
      <c r="Q44">
        <f>2.0/((1/S44-1/R44)+SIGN(S44)*SQRT((1/S44-1/R44)*(1/S44-1/R44) + 4*DM44/((DM44+1)*(DM44+1))*(2*1/S44*1/R44-1/R44*1/R44)))</f>
        <v>0</v>
      </c>
      <c r="R44">
        <f>IF(LEFT(DN44,1)&lt;&gt;"0",IF(LEFT(DN44,1)="1",3.0,DO44),$D$5+$E$5*(EF44*DY44/($K$5*1000))+$F$5*(EF44*DY44/($K$5*1000))*MAX(MIN(DL44,$J$5),$I$5)*MAX(MIN(DL44,$J$5),$I$5)+$G$5*MAX(MIN(DL44,$J$5),$I$5)*(EF44*DY44/($K$5*1000))+$H$5*(EF44*DY44/($K$5*1000))*(EF44*DY44/($K$5*1000)))</f>
        <v>0</v>
      </c>
      <c r="S44">
        <f>J44*(1000-(1000*0.61365*exp(17.502*W44/(240.97+W44))/(DY44+DZ44)+DT44)/2)/(1000*0.61365*exp(17.502*W44/(240.97+W44))/(DY44+DZ44)-DT44)</f>
        <v>0</v>
      </c>
      <c r="T44">
        <f>1/((DM44+1)/(Q44/1.6)+1/(R44/1.37)) + DM44/((DM44+1)/(Q44/1.6) + DM44/(R44/1.37))</f>
        <v>0</v>
      </c>
      <c r="U44">
        <f>(DH44*DK44)</f>
        <v>0</v>
      </c>
      <c r="V44">
        <f>(EA44+(U44+2*0.95*5.67E-8*(((EA44+$B$7)+273)^4-(EA44+273)^4)-44100*J44)/(1.84*29.3*R44+8*0.95*5.67E-8*(EA44+273)^3))</f>
        <v>0</v>
      </c>
      <c r="W44">
        <f>($C$7*EB44+$D$7*EC44+$E$7*V44)</f>
        <v>0</v>
      </c>
      <c r="X44">
        <f>0.61365*exp(17.502*W44/(240.97+W44))</f>
        <v>0</v>
      </c>
      <c r="Y44">
        <f>(Z44/AA44*100)</f>
        <v>0</v>
      </c>
      <c r="Z44">
        <f>DT44*(DY44+DZ44)/1000</f>
        <v>0</v>
      </c>
      <c r="AA44">
        <f>0.61365*exp(17.502*EA44/(240.97+EA44))</f>
        <v>0</v>
      </c>
      <c r="AB44">
        <f>(X44-DT44*(DY44+DZ44)/1000)</f>
        <v>0</v>
      </c>
      <c r="AC44">
        <f>(-J44*44100)</f>
        <v>0</v>
      </c>
      <c r="AD44">
        <f>2*29.3*R44*0.92*(EA44-W44)</f>
        <v>0</v>
      </c>
      <c r="AE44">
        <f>2*0.95*5.67E-8*(((EA44+$B$7)+273)^4-(W44+273)^4)</f>
        <v>0</v>
      </c>
      <c r="AF44">
        <f>U44+AE44+AC44+AD44</f>
        <v>0</v>
      </c>
      <c r="AG44">
        <f>DX44*AU44*(DS44-DR44*(1000-AU44*DU44)/(1000-AU44*DT44))/(100*DL44)</f>
        <v>0</v>
      </c>
      <c r="AH44">
        <f>1000*DX44*AU44*(DT44-DU44)/(100*DL44*(1000-AU44*DT44))</f>
        <v>0</v>
      </c>
      <c r="AI44">
        <f>(AJ44 - AK44 - DY44*1E3/(8.314*(EA44+273.15)) * AM44/DX44 * AL44) * DX44/(100*DL44) * (1000 - DU44)/1000</f>
        <v>0</v>
      </c>
      <c r="AJ44">
        <v>420.98384797215</v>
      </c>
      <c r="AK44">
        <v>416.008084848485</v>
      </c>
      <c r="AL44">
        <v>0.000224821223751179</v>
      </c>
      <c r="AM44">
        <v>64.1950215103695</v>
      </c>
      <c r="AN44">
        <f>(AP44 - AO44 + DY44*1E3/(8.314*(EA44+273.15)) * AR44/DX44 * AQ44) * DX44/(100*DL44) * 1000/(1000 - AP44)</f>
        <v>0</v>
      </c>
      <c r="AO44">
        <v>2.32477902058677</v>
      </c>
      <c r="AP44">
        <v>6.34206195804196</v>
      </c>
      <c r="AQ44">
        <v>-1.54151312452119e-05</v>
      </c>
      <c r="AR44">
        <v>109.045402830868</v>
      </c>
      <c r="AS44">
        <v>0</v>
      </c>
      <c r="AT44">
        <v>0</v>
      </c>
      <c r="AU44">
        <f>IF(AS44*$H$13&gt;=AW44,1.0,(AW44/(AW44-AS44*$H$13)))</f>
        <v>0</v>
      </c>
      <c r="AV44">
        <f>(AU44-1)*100</f>
        <v>0</v>
      </c>
      <c r="AW44">
        <f>MAX(0,($B$13+$C$13*EF44)/(1+$D$13*EF44)*DY44/(EA44+273)*$E$13)</f>
        <v>0</v>
      </c>
      <c r="AX44" t="s">
        <v>506</v>
      </c>
      <c r="AY44">
        <v>5129.11</v>
      </c>
      <c r="AZ44">
        <v>704.08</v>
      </c>
      <c r="BA44">
        <v>2090.12122212042</v>
      </c>
      <c r="BB44">
        <f>1-AZ44/BA44</f>
        <v>0</v>
      </c>
      <c r="BC44">
        <v>-0.360696171002171</v>
      </c>
      <c r="BD44" t="s">
        <v>532</v>
      </c>
      <c r="BE44">
        <v>5119.26</v>
      </c>
      <c r="BF44">
        <v>968.7236</v>
      </c>
      <c r="BG44">
        <v>1887.78519310828</v>
      </c>
      <c r="BH44">
        <f>1-BF44/BG44</f>
        <v>0</v>
      </c>
      <c r="BI44">
        <v>0.5</v>
      </c>
      <c r="BJ44">
        <f>DI44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533</v>
      </c>
      <c r="BQ44">
        <v>770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BZ44">
        <v>31</v>
      </c>
      <c r="CA44">
        <v>290</v>
      </c>
      <c r="CB44">
        <v>1808.21</v>
      </c>
      <c r="CC44">
        <v>285</v>
      </c>
      <c r="CD44">
        <v>5119.26</v>
      </c>
      <c r="CE44">
        <v>1808.89</v>
      </c>
      <c r="CF44">
        <v>-0.68</v>
      </c>
      <c r="CG44">
        <v>300</v>
      </c>
      <c r="CH44">
        <v>23.9</v>
      </c>
      <c r="CI44">
        <v>1887.78519310828</v>
      </c>
      <c r="CJ44">
        <v>1.493950943042</v>
      </c>
      <c r="CK44">
        <v>-40.3901336950631</v>
      </c>
      <c r="CL44">
        <v>0.665963456537111</v>
      </c>
      <c r="CM44">
        <v>0.992445341369336</v>
      </c>
      <c r="CN44">
        <v>-0.00410691145717463</v>
      </c>
      <c r="CO44">
        <v>290</v>
      </c>
      <c r="CP44">
        <v>1805.93</v>
      </c>
      <c r="CQ44">
        <v>745</v>
      </c>
      <c r="CR44">
        <v>5117.91</v>
      </c>
      <c r="CS44">
        <v>1808.87</v>
      </c>
      <c r="CT44">
        <v>-2.94</v>
      </c>
      <c r="DH44">
        <f>$B$11*EG44+$C$11*EH44+$F$11*ES44*(1-EV44)</f>
        <v>0</v>
      </c>
      <c r="DI44">
        <f>DH44*DJ44</f>
        <v>0</v>
      </c>
      <c r="DJ44">
        <f>($B$11*$D$9+$C$11*$D$9+$F$11*((FF44+EX44)/MAX(FF44+EX44+FG44, 0.1)*$I$9+FG44/MAX(FF44+EX44+FG44, 0.1)*$J$9))/($B$11+$C$11+$F$11)</f>
        <v>0</v>
      </c>
      <c r="DK44">
        <f>($B$11*$K$9+$C$11*$K$9+$F$11*((FF44+EX44)/MAX(FF44+EX44+FG44, 0.1)*$P$9+FG44/MAX(FF44+EX44+FG44, 0.1)*$Q$9))/($B$11+$C$11+$F$11)</f>
        <v>0</v>
      </c>
      <c r="DL44">
        <v>6</v>
      </c>
      <c r="DM44">
        <v>0.5</v>
      </c>
      <c r="DN44" t="s">
        <v>440</v>
      </c>
      <c r="DO44">
        <v>2</v>
      </c>
      <c r="DP44" t="b">
        <v>1</v>
      </c>
      <c r="DQ44">
        <v>1761681312.5</v>
      </c>
      <c r="DR44">
        <v>413.3356875</v>
      </c>
      <c r="DS44">
        <v>419.9921875</v>
      </c>
      <c r="DT44">
        <v>6.3442325</v>
      </c>
      <c r="DU44">
        <v>2.317089375</v>
      </c>
      <c r="DV44">
        <v>410.4461875</v>
      </c>
      <c r="DW44">
        <v>6.477329375</v>
      </c>
      <c r="DX44">
        <v>499.87275</v>
      </c>
      <c r="DY44">
        <v>90.8934</v>
      </c>
      <c r="DZ44">
        <v>0.01945074375</v>
      </c>
      <c r="EA44">
        <v>19.08186875</v>
      </c>
      <c r="EB44">
        <v>18.11610625</v>
      </c>
      <c r="EC44">
        <v>999.9</v>
      </c>
      <c r="ED44">
        <v>0</v>
      </c>
      <c r="EE44">
        <v>0</v>
      </c>
      <c r="EF44">
        <v>9972.65625</v>
      </c>
      <c r="EG44">
        <v>0</v>
      </c>
      <c r="EH44">
        <v>1293.156875</v>
      </c>
      <c r="EI44">
        <v>-6.6564575</v>
      </c>
      <c r="EJ44">
        <v>415.9746875</v>
      </c>
      <c r="EK44">
        <v>420.9675625</v>
      </c>
      <c r="EL44">
        <v>4.027144375</v>
      </c>
      <c r="EM44">
        <v>419.9921875</v>
      </c>
      <c r="EN44">
        <v>2.317089375</v>
      </c>
      <c r="EO44">
        <v>0.5766489375</v>
      </c>
      <c r="EP44">
        <v>0.2106080625</v>
      </c>
      <c r="EQ44">
        <v>-0.853225625</v>
      </c>
      <c r="ER44">
        <v>-13.8762125</v>
      </c>
      <c r="ES44">
        <v>149.9644375</v>
      </c>
      <c r="ET44">
        <v>0.90000075</v>
      </c>
      <c r="EU44">
        <v>0.09999934375</v>
      </c>
      <c r="EV44">
        <v>0</v>
      </c>
      <c r="EW44">
        <v>968.6023125</v>
      </c>
      <c r="EX44">
        <v>5.00059</v>
      </c>
      <c r="EY44">
        <v>1411.105</v>
      </c>
      <c r="EZ44">
        <v>1231.551875</v>
      </c>
      <c r="FA44">
        <v>36.7263125</v>
      </c>
      <c r="FB44">
        <v>40.1443125</v>
      </c>
      <c r="FC44">
        <v>38.1443125</v>
      </c>
      <c r="FD44">
        <v>40.074</v>
      </c>
      <c r="FE44">
        <v>38.253625</v>
      </c>
      <c r="FF44">
        <v>130.466875</v>
      </c>
      <c r="FG44">
        <v>14.5</v>
      </c>
      <c r="FH44">
        <v>0</v>
      </c>
      <c r="FI44">
        <v>95.2000000476837</v>
      </c>
      <c r="FJ44">
        <v>0</v>
      </c>
      <c r="FK44">
        <v>968.7236</v>
      </c>
      <c r="FL44">
        <v>7.20838459598959</v>
      </c>
      <c r="FM44">
        <v>10.8930768601226</v>
      </c>
      <c r="FN44">
        <v>1411.5912</v>
      </c>
      <c r="FO44">
        <v>15</v>
      </c>
      <c r="FP44">
        <v>0</v>
      </c>
      <c r="FQ44" t="s">
        <v>441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-6.6774395</v>
      </c>
      <c r="GD44">
        <v>0.415178796992471</v>
      </c>
      <c r="GE44">
        <v>0.0637129320840754</v>
      </c>
      <c r="GF44">
        <v>1</v>
      </c>
      <c r="GG44">
        <v>968.32</v>
      </c>
      <c r="GH44">
        <v>5.64516425024843</v>
      </c>
      <c r="GI44">
        <v>0.592063987003002</v>
      </c>
      <c r="GJ44">
        <v>-1</v>
      </c>
      <c r="GK44">
        <v>4.0317925</v>
      </c>
      <c r="GL44">
        <v>-0.0939324812030133</v>
      </c>
      <c r="GM44">
        <v>0.0100444287418448</v>
      </c>
      <c r="GN44">
        <v>1</v>
      </c>
      <c r="GO44">
        <v>2</v>
      </c>
      <c r="GP44">
        <v>2</v>
      </c>
      <c r="GQ44" t="s">
        <v>442</v>
      </c>
      <c r="GR44">
        <v>3.12798</v>
      </c>
      <c r="GS44">
        <v>2.69777</v>
      </c>
      <c r="GT44">
        <v>0.0888494</v>
      </c>
      <c r="GU44">
        <v>0.0905225</v>
      </c>
      <c r="GV44">
        <v>0.0375974</v>
      </c>
      <c r="GW44">
        <v>0.0157179</v>
      </c>
      <c r="GX44">
        <v>34359.8</v>
      </c>
      <c r="GY44">
        <v>36794.5</v>
      </c>
      <c r="GZ44">
        <v>34111.3</v>
      </c>
      <c r="HA44">
        <v>36623.4</v>
      </c>
      <c r="HB44">
        <v>46352.9</v>
      </c>
      <c r="HC44">
        <v>51711</v>
      </c>
      <c r="HD44">
        <v>53135.8</v>
      </c>
      <c r="HE44">
        <v>58435.2</v>
      </c>
      <c r="HF44">
        <v>1.9721</v>
      </c>
      <c r="HG44">
        <v>2.3501</v>
      </c>
      <c r="HH44">
        <v>-0.0443235</v>
      </c>
      <c r="HI44">
        <v>0</v>
      </c>
      <c r="HJ44">
        <v>18.8485</v>
      </c>
      <c r="HK44">
        <v>999.9</v>
      </c>
      <c r="HL44">
        <v>21.927</v>
      </c>
      <c r="HM44">
        <v>29.406</v>
      </c>
      <c r="HN44">
        <v>9.93308</v>
      </c>
      <c r="HO44">
        <v>55.3566</v>
      </c>
      <c r="HP44">
        <v>32.6803</v>
      </c>
      <c r="HQ44">
        <v>2</v>
      </c>
      <c r="HR44">
        <v>-0.0481758</v>
      </c>
      <c r="HS44">
        <v>5.34114</v>
      </c>
      <c r="HT44">
        <v>20.064</v>
      </c>
      <c r="HU44">
        <v>5.20052</v>
      </c>
      <c r="HV44">
        <v>12.0043</v>
      </c>
      <c r="HW44">
        <v>4.97565</v>
      </c>
      <c r="HX44">
        <v>3.294</v>
      </c>
      <c r="HY44">
        <v>9999</v>
      </c>
      <c r="HZ44">
        <v>9999</v>
      </c>
      <c r="IA44">
        <v>9999</v>
      </c>
      <c r="IB44">
        <v>999.9</v>
      </c>
      <c r="IC44">
        <v>1.86325</v>
      </c>
      <c r="ID44">
        <v>1.86813</v>
      </c>
      <c r="IE44">
        <v>1.86784</v>
      </c>
      <c r="IF44">
        <v>1.86905</v>
      </c>
      <c r="IG44">
        <v>1.86981</v>
      </c>
      <c r="IH44">
        <v>1.86585</v>
      </c>
      <c r="II44">
        <v>1.86696</v>
      </c>
      <c r="IJ44">
        <v>1.86843</v>
      </c>
      <c r="IK44">
        <v>5</v>
      </c>
      <c r="IL44">
        <v>0</v>
      </c>
      <c r="IM44">
        <v>0</v>
      </c>
      <c r="IN44">
        <v>0</v>
      </c>
      <c r="IO44" t="s">
        <v>443</v>
      </c>
      <c r="IP44" t="s">
        <v>444</v>
      </c>
      <c r="IQ44" t="s">
        <v>445</v>
      </c>
      <c r="IR44" t="s">
        <v>445</v>
      </c>
      <c r="IS44" t="s">
        <v>445</v>
      </c>
      <c r="IT44" t="s">
        <v>445</v>
      </c>
      <c r="IU44">
        <v>0</v>
      </c>
      <c r="IV44">
        <v>100</v>
      </c>
      <c r="IW44">
        <v>100</v>
      </c>
      <c r="IX44">
        <v>2.889</v>
      </c>
      <c r="IY44">
        <v>-0.1331</v>
      </c>
      <c r="IZ44">
        <v>1.24656194001752</v>
      </c>
      <c r="JA44">
        <v>0.00408463137630218</v>
      </c>
      <c r="JB44">
        <v>-2.23906557180379e-07</v>
      </c>
      <c r="JC44">
        <v>6.23399102760906e-11</v>
      </c>
      <c r="JD44">
        <v>-0.0873394905990972</v>
      </c>
      <c r="JE44">
        <v>-0.0233348201324191</v>
      </c>
      <c r="JF44">
        <v>0.00274696999164489</v>
      </c>
      <c r="JG44">
        <v>-3.62864435074646e-05</v>
      </c>
      <c r="JH44">
        <v>5</v>
      </c>
      <c r="JI44">
        <v>2263</v>
      </c>
      <c r="JJ44">
        <v>1</v>
      </c>
      <c r="JK44">
        <v>24</v>
      </c>
      <c r="JL44">
        <v>29361355.4</v>
      </c>
      <c r="JM44">
        <v>29361355.4</v>
      </c>
      <c r="JN44">
        <v>1.2439</v>
      </c>
      <c r="JO44">
        <v>2.61475</v>
      </c>
      <c r="JP44">
        <v>2.19849</v>
      </c>
      <c r="JQ44">
        <v>2.63184</v>
      </c>
      <c r="JR44">
        <v>2.44507</v>
      </c>
      <c r="JS44">
        <v>2.31079</v>
      </c>
      <c r="JT44">
        <v>32.9537</v>
      </c>
      <c r="JU44">
        <v>24.1751</v>
      </c>
      <c r="JV44">
        <v>18</v>
      </c>
      <c r="JW44">
        <v>502.411</v>
      </c>
      <c r="JX44">
        <v>789.573</v>
      </c>
      <c r="JY44">
        <v>13.3286</v>
      </c>
      <c r="JZ44">
        <v>26.6088</v>
      </c>
      <c r="KA44">
        <v>30.0003</v>
      </c>
      <c r="KB44">
        <v>26.6522</v>
      </c>
      <c r="KC44">
        <v>26.6043</v>
      </c>
      <c r="KD44">
        <v>24.9219</v>
      </c>
      <c r="KE44">
        <v>58.9511</v>
      </c>
      <c r="KF44">
        <v>0</v>
      </c>
      <c r="KG44">
        <v>13.2916</v>
      </c>
      <c r="KH44">
        <v>420</v>
      </c>
      <c r="KI44">
        <v>2.41466</v>
      </c>
      <c r="KJ44">
        <v>96.6448</v>
      </c>
      <c r="KK44">
        <v>94.7384</v>
      </c>
    </row>
    <row r="45" spans="1:297">
      <c r="A45">
        <v>29</v>
      </c>
      <c r="B45">
        <v>1761681451</v>
      </c>
      <c r="C45">
        <v>4101.90000009537</v>
      </c>
      <c r="D45" t="s">
        <v>534</v>
      </c>
      <c r="E45" t="s">
        <v>535</v>
      </c>
      <c r="F45">
        <v>5</v>
      </c>
      <c r="G45" t="s">
        <v>509</v>
      </c>
      <c r="H45" t="s">
        <v>436</v>
      </c>
      <c r="I45">
        <v>1761681442.5</v>
      </c>
      <c r="J45">
        <f>(K45)/1000</f>
        <v>0</v>
      </c>
      <c r="K45">
        <f>IF(DP45, AN45, AH45)</f>
        <v>0</v>
      </c>
      <c r="L45">
        <f>IF(DP45, AI45, AG45)</f>
        <v>0</v>
      </c>
      <c r="M45">
        <f>DR45 - IF(AU45&gt;1, L45*DL45*100.0/(AW45), 0)</f>
        <v>0</v>
      </c>
      <c r="N45">
        <f>((T45-J45/2)*M45-L45)/(T45+J45/2)</f>
        <v>0</v>
      </c>
      <c r="O45">
        <f>N45*(DY45+DZ45)/1000.0</f>
        <v>0</v>
      </c>
      <c r="P45">
        <f>(DR45 - IF(AU45&gt;1, L45*DL45*100.0/(AW45), 0))*(DY45+DZ45)/1000.0</f>
        <v>0</v>
      </c>
      <c r="Q45">
        <f>2.0/((1/S45-1/R45)+SIGN(S45)*SQRT((1/S45-1/R45)*(1/S45-1/R45) + 4*DM45/((DM45+1)*(DM45+1))*(2*1/S45*1/R45-1/R45*1/R45)))</f>
        <v>0</v>
      </c>
      <c r="R45">
        <f>IF(LEFT(DN45,1)&lt;&gt;"0",IF(LEFT(DN45,1)="1",3.0,DO45),$D$5+$E$5*(EF45*DY45/($K$5*1000))+$F$5*(EF45*DY45/($K$5*1000))*MAX(MIN(DL45,$J$5),$I$5)*MAX(MIN(DL45,$J$5),$I$5)+$G$5*MAX(MIN(DL45,$J$5),$I$5)*(EF45*DY45/($K$5*1000))+$H$5*(EF45*DY45/($K$5*1000))*(EF45*DY45/($K$5*1000)))</f>
        <v>0</v>
      </c>
      <c r="S45">
        <f>J45*(1000-(1000*0.61365*exp(17.502*W45/(240.97+W45))/(DY45+DZ45)+DT45)/2)/(1000*0.61365*exp(17.502*W45/(240.97+W45))/(DY45+DZ45)-DT45)</f>
        <v>0</v>
      </c>
      <c r="T45">
        <f>1/((DM45+1)/(Q45/1.6)+1/(R45/1.37)) + DM45/((DM45+1)/(Q45/1.6) + DM45/(R45/1.37))</f>
        <v>0</v>
      </c>
      <c r="U45">
        <f>(DH45*DK45)</f>
        <v>0</v>
      </c>
      <c r="V45">
        <f>(EA45+(U45+2*0.95*5.67E-8*(((EA45+$B$7)+273)^4-(EA45+273)^4)-44100*J45)/(1.84*29.3*R45+8*0.95*5.67E-8*(EA45+273)^3))</f>
        <v>0</v>
      </c>
      <c r="W45">
        <f>($C$7*EB45+$D$7*EC45+$E$7*V45)</f>
        <v>0</v>
      </c>
      <c r="X45">
        <f>0.61365*exp(17.502*W45/(240.97+W45))</f>
        <v>0</v>
      </c>
      <c r="Y45">
        <f>(Z45/AA45*100)</f>
        <v>0</v>
      </c>
      <c r="Z45">
        <f>DT45*(DY45+DZ45)/1000</f>
        <v>0</v>
      </c>
      <c r="AA45">
        <f>0.61365*exp(17.502*EA45/(240.97+EA45))</f>
        <v>0</v>
      </c>
      <c r="AB45">
        <f>(X45-DT45*(DY45+DZ45)/1000)</f>
        <v>0</v>
      </c>
      <c r="AC45">
        <f>(-J45*44100)</f>
        <v>0</v>
      </c>
      <c r="AD45">
        <f>2*29.3*R45*0.92*(EA45-W45)</f>
        <v>0</v>
      </c>
      <c r="AE45">
        <f>2*0.95*5.67E-8*(((EA45+$B$7)+273)^4-(W45+273)^4)</f>
        <v>0</v>
      </c>
      <c r="AF45">
        <f>U45+AE45+AC45+AD45</f>
        <v>0</v>
      </c>
      <c r="AG45">
        <f>DX45*AU45*(DS45-DR45*(1000-AU45*DU45)/(1000-AU45*DT45))/(100*DL45)</f>
        <v>0</v>
      </c>
      <c r="AH45">
        <f>1000*DX45*AU45*(DT45-DU45)/(100*DL45*(1000-AU45*DT45))</f>
        <v>0</v>
      </c>
      <c r="AI45">
        <f>(AJ45 - AK45 - DY45*1E3/(8.314*(EA45+273.15)) * AM45/DX45 * AL45) * DX45/(100*DL45) * (1000 - DU45)/1000</f>
        <v>0</v>
      </c>
      <c r="AJ45">
        <v>421.10003413011</v>
      </c>
      <c r="AK45">
        <v>419.898175757576</v>
      </c>
      <c r="AL45">
        <v>-0.000210716932102087</v>
      </c>
      <c r="AM45">
        <v>64.1950215103695</v>
      </c>
      <c r="AN45">
        <f>(AP45 - AO45 + DY45*1E3/(8.314*(EA45+273.15)) * AR45/DX45 * AQ45) * DX45/(100*DL45) * 1000/(1000 - AP45)</f>
        <v>0</v>
      </c>
      <c r="AO45">
        <v>2.70113332877882</v>
      </c>
      <c r="AP45">
        <v>6.31170594405595</v>
      </c>
      <c r="AQ45">
        <v>-3.15220994173557e-05</v>
      </c>
      <c r="AR45">
        <v>109.045402830868</v>
      </c>
      <c r="AS45">
        <v>0</v>
      </c>
      <c r="AT45">
        <v>0</v>
      </c>
      <c r="AU45">
        <f>IF(AS45*$H$13&gt;=AW45,1.0,(AW45/(AW45-AS45*$H$13)))</f>
        <v>0</v>
      </c>
      <c r="AV45">
        <f>(AU45-1)*100</f>
        <v>0</v>
      </c>
      <c r="AW45">
        <f>MAX(0,($B$13+$C$13*EF45)/(1+$D$13*EF45)*DY45/(EA45+273)*$E$13)</f>
        <v>0</v>
      </c>
      <c r="AX45" t="s">
        <v>506</v>
      </c>
      <c r="AY45">
        <v>5129.11</v>
      </c>
      <c r="AZ45">
        <v>704.08</v>
      </c>
      <c r="BA45">
        <v>2090.12122212042</v>
      </c>
      <c r="BB45">
        <f>1-AZ45/BA45</f>
        <v>0</v>
      </c>
      <c r="BC45">
        <v>-0.360696171002171</v>
      </c>
      <c r="BD45" t="s">
        <v>536</v>
      </c>
      <c r="BE45">
        <v>5112.67</v>
      </c>
      <c r="BF45">
        <v>813.601807692308</v>
      </c>
      <c r="BG45">
        <v>1927.1903947701</v>
      </c>
      <c r="BH45">
        <f>1-BF45/BG45</f>
        <v>0</v>
      </c>
      <c r="BI45">
        <v>0.5</v>
      </c>
      <c r="BJ45">
        <f>DI45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537</v>
      </c>
      <c r="BQ45">
        <v>758.07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BZ45">
        <v>33</v>
      </c>
      <c r="CA45">
        <v>290</v>
      </c>
      <c r="CB45">
        <v>1846.91</v>
      </c>
      <c r="CC45">
        <v>285</v>
      </c>
      <c r="CD45">
        <v>5112.67</v>
      </c>
      <c r="CE45">
        <v>1847.57</v>
      </c>
      <c r="CF45">
        <v>-0.66</v>
      </c>
      <c r="CG45">
        <v>300</v>
      </c>
      <c r="CH45">
        <v>23.9</v>
      </c>
      <c r="CI45">
        <v>1927.1903947701</v>
      </c>
      <c r="CJ45">
        <v>1.3756520927153</v>
      </c>
      <c r="CK45">
        <v>-40.7073691153089</v>
      </c>
      <c r="CL45">
        <v>0.610449503807701</v>
      </c>
      <c r="CM45">
        <v>0.993742722547826</v>
      </c>
      <c r="CN45">
        <v>-0.00418535038932147</v>
      </c>
      <c r="CO45">
        <v>290</v>
      </c>
      <c r="CP45">
        <v>1845.41</v>
      </c>
      <c r="CQ45">
        <v>625</v>
      </c>
      <c r="CR45">
        <v>5112.38</v>
      </c>
      <c r="CS45">
        <v>1847.57</v>
      </c>
      <c r="CT45">
        <v>-2.16</v>
      </c>
      <c r="DH45">
        <f>$B$11*EG45+$C$11*EH45+$F$11*ES45*(1-EV45)</f>
        <v>0</v>
      </c>
      <c r="DI45">
        <f>DH45*DJ45</f>
        <v>0</v>
      </c>
      <c r="DJ45">
        <f>($B$11*$D$9+$C$11*$D$9+$F$11*((FF45+EX45)/MAX(FF45+EX45+FG45, 0.1)*$I$9+FG45/MAX(FF45+EX45+FG45, 0.1)*$J$9))/($B$11+$C$11+$F$11)</f>
        <v>0</v>
      </c>
      <c r="DK45">
        <f>($B$11*$K$9+$C$11*$K$9+$F$11*((FF45+EX45)/MAX(FF45+EX45+FG45, 0.1)*$P$9+FG45/MAX(FF45+EX45+FG45, 0.1)*$Q$9))/($B$11+$C$11+$F$11)</f>
        <v>0</v>
      </c>
      <c r="DL45">
        <v>6</v>
      </c>
      <c r="DM45">
        <v>0.5</v>
      </c>
      <c r="DN45" t="s">
        <v>440</v>
      </c>
      <c r="DO45">
        <v>2</v>
      </c>
      <c r="DP45" t="b">
        <v>1</v>
      </c>
      <c r="DQ45">
        <v>1761681442.5</v>
      </c>
      <c r="DR45">
        <v>417.239125</v>
      </c>
      <c r="DS45">
        <v>419.9725625</v>
      </c>
      <c r="DT45">
        <v>6.317269375</v>
      </c>
      <c r="DU45">
        <v>2.694565</v>
      </c>
      <c r="DV45">
        <v>414.3341875</v>
      </c>
      <c r="DW45">
        <v>6.450569375</v>
      </c>
      <c r="DX45">
        <v>499.906625</v>
      </c>
      <c r="DY45">
        <v>90.88413125</v>
      </c>
      <c r="DZ45">
        <v>0.018382525</v>
      </c>
      <c r="EA45">
        <v>18.9813875</v>
      </c>
      <c r="EB45">
        <v>18.00725</v>
      </c>
      <c r="EC45">
        <v>999.9</v>
      </c>
      <c r="ED45">
        <v>0</v>
      </c>
      <c r="EE45">
        <v>0</v>
      </c>
      <c r="EF45">
        <v>9978.395</v>
      </c>
      <c r="EG45">
        <v>0</v>
      </c>
      <c r="EH45">
        <v>1293.5025</v>
      </c>
      <c r="EI45">
        <v>-2.733516875</v>
      </c>
      <c r="EJ45">
        <v>419.8915625</v>
      </c>
      <c r="EK45">
        <v>421.1071875</v>
      </c>
      <c r="EL45">
        <v>3.6227025</v>
      </c>
      <c r="EM45">
        <v>419.9725625</v>
      </c>
      <c r="EN45">
        <v>2.694565</v>
      </c>
      <c r="EO45">
        <v>0.5741395625</v>
      </c>
      <c r="EP45">
        <v>0.2448934375</v>
      </c>
      <c r="EQ45">
        <v>-0.912833125</v>
      </c>
      <c r="ER45">
        <v>-12.0168125</v>
      </c>
      <c r="ES45">
        <v>49.968375</v>
      </c>
      <c r="ET45">
        <v>0.8998655</v>
      </c>
      <c r="EU45">
        <v>0.10013448125</v>
      </c>
      <c r="EV45">
        <v>0</v>
      </c>
      <c r="EW45">
        <v>813.5878125</v>
      </c>
      <c r="EX45">
        <v>5.00059</v>
      </c>
      <c r="EY45">
        <v>393.19025</v>
      </c>
      <c r="EZ45">
        <v>382.0119375</v>
      </c>
      <c r="FA45">
        <v>34.9685</v>
      </c>
      <c r="FB45">
        <v>38.070125</v>
      </c>
      <c r="FC45">
        <v>36.41775</v>
      </c>
      <c r="FD45">
        <v>37.5661875</v>
      </c>
      <c r="FE45">
        <v>36.5623125</v>
      </c>
      <c r="FF45">
        <v>40.46625</v>
      </c>
      <c r="FG45">
        <v>4.5</v>
      </c>
      <c r="FH45">
        <v>0</v>
      </c>
      <c r="FI45">
        <v>127</v>
      </c>
      <c r="FJ45">
        <v>0</v>
      </c>
      <c r="FK45">
        <v>813.601807692308</v>
      </c>
      <c r="FL45">
        <v>0.714632482286748</v>
      </c>
      <c r="FM45">
        <v>-4.67189740806068</v>
      </c>
      <c r="FN45">
        <v>393.351192307692</v>
      </c>
      <c r="FO45">
        <v>15</v>
      </c>
      <c r="FP45">
        <v>0</v>
      </c>
      <c r="FQ45" t="s">
        <v>441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-2.7574480952381</v>
      </c>
      <c r="GD45">
        <v>0.414632727272727</v>
      </c>
      <c r="GE45">
        <v>0.0580872373179258</v>
      </c>
      <c r="GF45">
        <v>1</v>
      </c>
      <c r="GG45">
        <v>813.571147058824</v>
      </c>
      <c r="GH45">
        <v>0.474025973708527</v>
      </c>
      <c r="GI45">
        <v>0.218889863838758</v>
      </c>
      <c r="GJ45">
        <v>-1</v>
      </c>
      <c r="GK45">
        <v>3.62860047619048</v>
      </c>
      <c r="GL45">
        <v>-0.155532467532464</v>
      </c>
      <c r="GM45">
        <v>0.0163890818698043</v>
      </c>
      <c r="GN45">
        <v>0</v>
      </c>
      <c r="GO45">
        <v>1</v>
      </c>
      <c r="GP45">
        <v>2</v>
      </c>
      <c r="GQ45" t="s">
        <v>461</v>
      </c>
      <c r="GR45">
        <v>3.12811</v>
      </c>
      <c r="GS45">
        <v>2.69671</v>
      </c>
      <c r="GT45">
        <v>0.0895198</v>
      </c>
      <c r="GU45">
        <v>0.0905526</v>
      </c>
      <c r="GV45">
        <v>0.0374585</v>
      </c>
      <c r="GW45">
        <v>0.0180602</v>
      </c>
      <c r="GX45">
        <v>34340</v>
      </c>
      <c r="GY45">
        <v>36801.2</v>
      </c>
      <c r="GZ45">
        <v>34116.1</v>
      </c>
      <c r="HA45">
        <v>36630.6</v>
      </c>
      <c r="HB45">
        <v>46365.3</v>
      </c>
      <c r="HC45">
        <v>51597.3</v>
      </c>
      <c r="HD45">
        <v>53141.9</v>
      </c>
      <c r="HE45">
        <v>58445.8</v>
      </c>
      <c r="HF45">
        <v>1.9727</v>
      </c>
      <c r="HG45">
        <v>2.35195</v>
      </c>
      <c r="HH45">
        <v>-0.0570193</v>
      </c>
      <c r="HI45">
        <v>0</v>
      </c>
      <c r="HJ45">
        <v>18.9599</v>
      </c>
      <c r="HK45">
        <v>999.9</v>
      </c>
      <c r="HL45">
        <v>21.701</v>
      </c>
      <c r="HM45">
        <v>29.437</v>
      </c>
      <c r="HN45">
        <v>9.84673</v>
      </c>
      <c r="HO45">
        <v>54.7766</v>
      </c>
      <c r="HP45">
        <v>32.504</v>
      </c>
      <c r="HQ45">
        <v>2</v>
      </c>
      <c r="HR45">
        <v>-0.0569487</v>
      </c>
      <c r="HS45">
        <v>4.88157</v>
      </c>
      <c r="HT45">
        <v>20.0801</v>
      </c>
      <c r="HU45">
        <v>5.19917</v>
      </c>
      <c r="HV45">
        <v>12.004</v>
      </c>
      <c r="HW45">
        <v>4.97575</v>
      </c>
      <c r="HX45">
        <v>3.29395</v>
      </c>
      <c r="HY45">
        <v>9999</v>
      </c>
      <c r="HZ45">
        <v>9999</v>
      </c>
      <c r="IA45">
        <v>9999</v>
      </c>
      <c r="IB45">
        <v>999.9</v>
      </c>
      <c r="IC45">
        <v>1.86324</v>
      </c>
      <c r="ID45">
        <v>1.86811</v>
      </c>
      <c r="IE45">
        <v>1.86784</v>
      </c>
      <c r="IF45">
        <v>1.86903</v>
      </c>
      <c r="IG45">
        <v>1.86982</v>
      </c>
      <c r="IH45">
        <v>1.86587</v>
      </c>
      <c r="II45">
        <v>1.86697</v>
      </c>
      <c r="IJ45">
        <v>1.86844</v>
      </c>
      <c r="IK45">
        <v>5</v>
      </c>
      <c r="IL45">
        <v>0</v>
      </c>
      <c r="IM45">
        <v>0</v>
      </c>
      <c r="IN45">
        <v>0</v>
      </c>
      <c r="IO45" t="s">
        <v>443</v>
      </c>
      <c r="IP45" t="s">
        <v>444</v>
      </c>
      <c r="IQ45" t="s">
        <v>445</v>
      </c>
      <c r="IR45" t="s">
        <v>445</v>
      </c>
      <c r="IS45" t="s">
        <v>445</v>
      </c>
      <c r="IT45" t="s">
        <v>445</v>
      </c>
      <c r="IU45">
        <v>0</v>
      </c>
      <c r="IV45">
        <v>100</v>
      </c>
      <c r="IW45">
        <v>100</v>
      </c>
      <c r="IX45">
        <v>2.905</v>
      </c>
      <c r="IY45">
        <v>-0.1333</v>
      </c>
      <c r="IZ45">
        <v>1.24656194001752</v>
      </c>
      <c r="JA45">
        <v>0.00408463137630218</v>
      </c>
      <c r="JB45">
        <v>-2.23906557180379e-07</v>
      </c>
      <c r="JC45">
        <v>6.23399102760906e-11</v>
      </c>
      <c r="JD45">
        <v>-0.0873394905990972</v>
      </c>
      <c r="JE45">
        <v>-0.0233348201324191</v>
      </c>
      <c r="JF45">
        <v>0.00274696999164489</v>
      </c>
      <c r="JG45">
        <v>-3.62864435074646e-05</v>
      </c>
      <c r="JH45">
        <v>5</v>
      </c>
      <c r="JI45">
        <v>2263</v>
      </c>
      <c r="JJ45">
        <v>1</v>
      </c>
      <c r="JK45">
        <v>24</v>
      </c>
      <c r="JL45">
        <v>29361357.5</v>
      </c>
      <c r="JM45">
        <v>29361357.5</v>
      </c>
      <c r="JN45">
        <v>1.24512</v>
      </c>
      <c r="JO45">
        <v>2.61597</v>
      </c>
      <c r="JP45">
        <v>2.19849</v>
      </c>
      <c r="JQ45">
        <v>2.63062</v>
      </c>
      <c r="JR45">
        <v>2.44507</v>
      </c>
      <c r="JS45">
        <v>2.31567</v>
      </c>
      <c r="JT45">
        <v>32.9315</v>
      </c>
      <c r="JU45">
        <v>24.1838</v>
      </c>
      <c r="JV45">
        <v>18</v>
      </c>
      <c r="JW45">
        <v>501.962</v>
      </c>
      <c r="JX45">
        <v>789.976</v>
      </c>
      <c r="JY45">
        <v>13.3187</v>
      </c>
      <c r="JZ45">
        <v>26.515</v>
      </c>
      <c r="KA45">
        <v>30.0012</v>
      </c>
      <c r="KB45">
        <v>26.5597</v>
      </c>
      <c r="KC45">
        <v>26.5142</v>
      </c>
      <c r="KD45">
        <v>24.9351</v>
      </c>
      <c r="KE45">
        <v>54.8546</v>
      </c>
      <c r="KF45">
        <v>0</v>
      </c>
      <c r="KG45">
        <v>13.297</v>
      </c>
      <c r="KH45">
        <v>420</v>
      </c>
      <c r="KI45">
        <v>2.79341</v>
      </c>
      <c r="KJ45">
        <v>96.6569</v>
      </c>
      <c r="KK45">
        <v>94.7562</v>
      </c>
    </row>
    <row r="46" spans="1:297">
      <c r="A46">
        <v>30</v>
      </c>
      <c r="B46">
        <v>1761681581</v>
      </c>
      <c r="C46">
        <v>4231.90000009537</v>
      </c>
      <c r="D46" t="s">
        <v>538</v>
      </c>
      <c r="E46" t="s">
        <v>539</v>
      </c>
      <c r="F46">
        <v>5</v>
      </c>
      <c r="G46" t="s">
        <v>509</v>
      </c>
      <c r="H46" t="s">
        <v>436</v>
      </c>
      <c r="I46">
        <v>1761681572.5</v>
      </c>
      <c r="J46">
        <f>(K46)/1000</f>
        <v>0</v>
      </c>
      <c r="K46">
        <f>IF(DP46, AN46, AH46)</f>
        <v>0</v>
      </c>
      <c r="L46">
        <f>IF(DP46, AI46, AG46)</f>
        <v>0</v>
      </c>
      <c r="M46">
        <f>DR46 - IF(AU46&gt;1, L46*DL46*100.0/(AW46), 0)</f>
        <v>0</v>
      </c>
      <c r="N46">
        <f>((T46-J46/2)*M46-L46)/(T46+J46/2)</f>
        <v>0</v>
      </c>
      <c r="O46">
        <f>N46*(DY46+DZ46)/1000.0</f>
        <v>0</v>
      </c>
      <c r="P46">
        <f>(DR46 - IF(AU46&gt;1, L46*DL46*100.0/(AW46), 0))*(DY46+DZ46)/1000.0</f>
        <v>0</v>
      </c>
      <c r="Q46">
        <f>2.0/((1/S46-1/R46)+SIGN(S46)*SQRT((1/S46-1/R46)*(1/S46-1/R46) + 4*DM46/((DM46+1)*(DM46+1))*(2*1/S46*1/R46-1/R46*1/R46)))</f>
        <v>0</v>
      </c>
      <c r="R46">
        <f>IF(LEFT(DN46,1)&lt;&gt;"0",IF(LEFT(DN46,1)="1",3.0,DO46),$D$5+$E$5*(EF46*DY46/($K$5*1000))+$F$5*(EF46*DY46/($K$5*1000))*MAX(MIN(DL46,$J$5),$I$5)*MAX(MIN(DL46,$J$5),$I$5)+$G$5*MAX(MIN(DL46,$J$5),$I$5)*(EF46*DY46/($K$5*1000))+$H$5*(EF46*DY46/($K$5*1000))*(EF46*DY46/($K$5*1000)))</f>
        <v>0</v>
      </c>
      <c r="S46">
        <f>J46*(1000-(1000*0.61365*exp(17.502*W46/(240.97+W46))/(DY46+DZ46)+DT46)/2)/(1000*0.61365*exp(17.502*W46/(240.97+W46))/(DY46+DZ46)-DT46)</f>
        <v>0</v>
      </c>
      <c r="T46">
        <f>1/((DM46+1)/(Q46/1.6)+1/(R46/1.37)) + DM46/((DM46+1)/(Q46/1.6) + DM46/(R46/1.37))</f>
        <v>0</v>
      </c>
      <c r="U46">
        <f>(DH46*DK46)</f>
        <v>0</v>
      </c>
      <c r="V46">
        <f>(EA46+(U46+2*0.95*5.67E-8*(((EA46+$B$7)+273)^4-(EA46+273)^4)-44100*J46)/(1.84*29.3*R46+8*0.95*5.67E-8*(EA46+273)^3))</f>
        <v>0</v>
      </c>
      <c r="W46">
        <f>($C$7*EB46+$D$7*EC46+$E$7*V46)</f>
        <v>0</v>
      </c>
      <c r="X46">
        <f>0.61365*exp(17.502*W46/(240.97+W46))</f>
        <v>0</v>
      </c>
      <c r="Y46">
        <f>(Z46/AA46*100)</f>
        <v>0</v>
      </c>
      <c r="Z46">
        <f>DT46*(DY46+DZ46)/1000</f>
        <v>0</v>
      </c>
      <c r="AA46">
        <f>0.61365*exp(17.502*EA46/(240.97+EA46))</f>
        <v>0</v>
      </c>
      <c r="AB46">
        <f>(X46-DT46*(DY46+DZ46)/1000)</f>
        <v>0</v>
      </c>
      <c r="AC46">
        <f>(-J46*44100)</f>
        <v>0</v>
      </c>
      <c r="AD46">
        <f>2*29.3*R46*0.92*(EA46-W46)</f>
        <v>0</v>
      </c>
      <c r="AE46">
        <f>2*0.95*5.67E-8*(((EA46+$B$7)+273)^4-(W46+273)^4)</f>
        <v>0</v>
      </c>
      <c r="AF46">
        <f>U46+AE46+AC46+AD46</f>
        <v>0</v>
      </c>
      <c r="AG46">
        <f>DX46*AU46*(DS46-DR46*(1000-AU46*DU46)/(1000-AU46*DT46))/(100*DL46)</f>
        <v>0</v>
      </c>
      <c r="AH46">
        <f>1000*DX46*AU46*(DT46-DU46)/(100*DL46*(1000-AU46*DT46))</f>
        <v>0</v>
      </c>
      <c r="AI46">
        <f>(AJ46 - AK46 - DY46*1E3/(8.314*(EA46+273.15)) * AM46/DX46 * AL46) * DX46/(100*DL46) * (1000 - DU46)/1000</f>
        <v>0</v>
      </c>
      <c r="AJ46">
        <v>421.29809414409</v>
      </c>
      <c r="AK46">
        <v>422.430636363637</v>
      </c>
      <c r="AL46">
        <v>0.00037788351250601</v>
      </c>
      <c r="AM46">
        <v>64.1950215103695</v>
      </c>
      <c r="AN46">
        <f>(AP46 - AO46 + DY46*1E3/(8.314*(EA46+273.15)) * AR46/DX46 * AQ46) * DX46/(100*DL46) * 1000/(1000 - AP46)</f>
        <v>0</v>
      </c>
      <c r="AO46">
        <v>3.1079372627801</v>
      </c>
      <c r="AP46">
        <v>6.31176853146853</v>
      </c>
      <c r="AQ46">
        <v>-1.11137525798943e-05</v>
      </c>
      <c r="AR46">
        <v>109.045402830868</v>
      </c>
      <c r="AS46">
        <v>0</v>
      </c>
      <c r="AT46">
        <v>0</v>
      </c>
      <c r="AU46">
        <f>IF(AS46*$H$13&gt;=AW46,1.0,(AW46/(AW46-AS46*$H$13)))</f>
        <v>0</v>
      </c>
      <c r="AV46">
        <f>(AU46-1)*100</f>
        <v>0</v>
      </c>
      <c r="AW46">
        <f>MAX(0,($B$13+$C$13*EF46)/(1+$D$13*EF46)*DY46/(EA46+273)*$E$13)</f>
        <v>0</v>
      </c>
      <c r="AX46" t="s">
        <v>540</v>
      </c>
      <c r="AY46">
        <v>5107.41</v>
      </c>
      <c r="AZ46">
        <v>719.256</v>
      </c>
      <c r="BA46">
        <v>1996.26391154014</v>
      </c>
      <c r="BB46">
        <f>1-AZ46/BA46</f>
        <v>0</v>
      </c>
      <c r="BC46">
        <v>-0.942338719303804</v>
      </c>
      <c r="BD46" t="s">
        <v>448</v>
      </c>
      <c r="BE46" t="s">
        <v>448</v>
      </c>
      <c r="BF46">
        <v>0</v>
      </c>
      <c r="BG46">
        <v>0</v>
      </c>
      <c r="BH46">
        <f>1-BF46/BG46</f>
        <v>0</v>
      </c>
      <c r="BI46">
        <v>0.5</v>
      </c>
      <c r="BJ46">
        <f>DI46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448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BZ46">
        <v>35</v>
      </c>
      <c r="CA46">
        <v>290</v>
      </c>
      <c r="CB46">
        <v>1911.3</v>
      </c>
      <c r="CC46">
        <v>285</v>
      </c>
      <c r="CD46">
        <v>5107.41</v>
      </c>
      <c r="CE46">
        <v>1911.89</v>
      </c>
      <c r="CF46">
        <v>-0.59</v>
      </c>
      <c r="CG46">
        <v>300</v>
      </c>
      <c r="CH46">
        <v>23.8</v>
      </c>
      <c r="CI46">
        <v>1996.26391154014</v>
      </c>
      <c r="CJ46">
        <v>1.47478718072937</v>
      </c>
      <c r="CK46">
        <v>-43.0924247580788</v>
      </c>
      <c r="CL46">
        <v>0.652779755800095</v>
      </c>
      <c r="CM46">
        <v>0.993615777691813</v>
      </c>
      <c r="CN46">
        <v>-0.00421959377085651</v>
      </c>
      <c r="CO46">
        <v>290</v>
      </c>
      <c r="CP46">
        <v>1909.56</v>
      </c>
      <c r="CQ46">
        <v>705</v>
      </c>
      <c r="CR46">
        <v>5106.37</v>
      </c>
      <c r="CS46">
        <v>1911.87</v>
      </c>
      <c r="CT46">
        <v>-2.31</v>
      </c>
      <c r="DH46">
        <f>$B$11*EG46+$C$11*EH46+$F$11*ES46*(1-EV46)</f>
        <v>0</v>
      </c>
      <c r="DI46">
        <f>DH46*DJ46</f>
        <v>0</v>
      </c>
      <c r="DJ46">
        <f>($B$11*$D$9+$C$11*$D$9+$F$11*((FF46+EX46)/MAX(FF46+EX46+FG46, 0.1)*$I$9+FG46/MAX(FF46+EX46+FG46, 0.1)*$J$9))/($B$11+$C$11+$F$11)</f>
        <v>0</v>
      </c>
      <c r="DK46">
        <f>($B$11*$K$9+$C$11*$K$9+$F$11*((FF46+EX46)/MAX(FF46+EX46+FG46, 0.1)*$P$9+FG46/MAX(FF46+EX46+FG46, 0.1)*$Q$9))/($B$11+$C$11+$F$11)</f>
        <v>0</v>
      </c>
      <c r="DL46">
        <v>6</v>
      </c>
      <c r="DM46">
        <v>0.5</v>
      </c>
      <c r="DN46" t="s">
        <v>440</v>
      </c>
      <c r="DO46">
        <v>2</v>
      </c>
      <c r="DP46" t="b">
        <v>1</v>
      </c>
      <c r="DQ46">
        <v>1761681572.5</v>
      </c>
      <c r="DR46">
        <v>419.702875</v>
      </c>
      <c r="DS46">
        <v>420.0074375</v>
      </c>
      <c r="DT46">
        <v>6.31474375</v>
      </c>
      <c r="DU46">
        <v>3.10150125</v>
      </c>
      <c r="DV46">
        <v>416.78825</v>
      </c>
      <c r="DW46">
        <v>6.44806125</v>
      </c>
      <c r="DX46">
        <v>499.9851875</v>
      </c>
      <c r="DY46">
        <v>90.89158125</v>
      </c>
      <c r="DZ46">
        <v>0.01849778125</v>
      </c>
      <c r="EA46">
        <v>18.9354875</v>
      </c>
      <c r="EB46">
        <v>18.01113125</v>
      </c>
      <c r="EC46">
        <v>999.9</v>
      </c>
      <c r="ED46">
        <v>0</v>
      </c>
      <c r="EE46">
        <v>0</v>
      </c>
      <c r="EF46">
        <v>10005.465625</v>
      </c>
      <c r="EG46">
        <v>0</v>
      </c>
      <c r="EH46">
        <v>1293.491875</v>
      </c>
      <c r="EI46">
        <v>-0.3044033125</v>
      </c>
      <c r="EJ46">
        <v>422.370125</v>
      </c>
      <c r="EK46">
        <v>421.3139375</v>
      </c>
      <c r="EL46">
        <v>3.21324125</v>
      </c>
      <c r="EM46">
        <v>420.0074375</v>
      </c>
      <c r="EN46">
        <v>3.10150125</v>
      </c>
      <c r="EO46">
        <v>0.5739568125</v>
      </c>
      <c r="EP46">
        <v>0.28190025</v>
      </c>
      <c r="EQ46">
        <v>-0.917176875</v>
      </c>
      <c r="ER46">
        <v>-10.25419375</v>
      </c>
      <c r="ES46">
        <v>0.00500059</v>
      </c>
      <c r="ET46">
        <v>0</v>
      </c>
      <c r="EU46">
        <v>0</v>
      </c>
      <c r="EV46">
        <v>0</v>
      </c>
      <c r="EW46">
        <v>719.28125</v>
      </c>
      <c r="EX46">
        <v>0.00500059</v>
      </c>
      <c r="EY46">
        <v>23.50625</v>
      </c>
      <c r="EZ46">
        <v>-1.23125</v>
      </c>
      <c r="FA46">
        <v>35.25</v>
      </c>
      <c r="FB46">
        <v>40.4685625</v>
      </c>
      <c r="FC46">
        <v>37.4293125</v>
      </c>
      <c r="FD46">
        <v>40.351375</v>
      </c>
      <c r="FE46">
        <v>37.2381875</v>
      </c>
      <c r="FF46">
        <v>0</v>
      </c>
      <c r="FG46">
        <v>0</v>
      </c>
      <c r="FH46">
        <v>0</v>
      </c>
      <c r="FI46">
        <v>127.5</v>
      </c>
      <c r="FJ46">
        <v>0</v>
      </c>
      <c r="FK46">
        <v>719.256</v>
      </c>
      <c r="FL46">
        <v>-2.85384613261409</v>
      </c>
      <c r="FM46">
        <v>18.8615388780421</v>
      </c>
      <c r="FN46">
        <v>23.408</v>
      </c>
      <c r="FO46">
        <v>15</v>
      </c>
      <c r="FP46">
        <v>0</v>
      </c>
      <c r="FQ46" t="s">
        <v>441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-0.31508485</v>
      </c>
      <c r="GD46">
        <v>0.404765097744361</v>
      </c>
      <c r="GE46">
        <v>0.0523527521323139</v>
      </c>
      <c r="GF46">
        <v>1</v>
      </c>
      <c r="GG46">
        <v>719.491176470588</v>
      </c>
      <c r="GH46">
        <v>-1.51718867335149</v>
      </c>
      <c r="GI46">
        <v>4.68592182198971</v>
      </c>
      <c r="GJ46">
        <v>-1</v>
      </c>
      <c r="GK46">
        <v>3.222955</v>
      </c>
      <c r="GL46">
        <v>-0.178663759398496</v>
      </c>
      <c r="GM46">
        <v>0.0179531664338078</v>
      </c>
      <c r="GN46">
        <v>0</v>
      </c>
      <c r="GO46">
        <v>1</v>
      </c>
      <c r="GP46">
        <v>2</v>
      </c>
      <c r="GQ46" t="s">
        <v>461</v>
      </c>
      <c r="GR46">
        <v>3.12839</v>
      </c>
      <c r="GS46">
        <v>2.696</v>
      </c>
      <c r="GT46">
        <v>0.0899449</v>
      </c>
      <c r="GU46">
        <v>0.090569</v>
      </c>
      <c r="GV46">
        <v>0.0374591</v>
      </c>
      <c r="GW46">
        <v>0.0204036</v>
      </c>
      <c r="GX46">
        <v>34327.5</v>
      </c>
      <c r="GY46">
        <v>36804.8</v>
      </c>
      <c r="GZ46">
        <v>34119.3</v>
      </c>
      <c r="HA46">
        <v>36634.5</v>
      </c>
      <c r="HB46">
        <v>46369</v>
      </c>
      <c r="HC46">
        <v>51479.1</v>
      </c>
      <c r="HD46">
        <v>53145.9</v>
      </c>
      <c r="HE46">
        <v>58451.7</v>
      </c>
      <c r="HF46">
        <v>1.97383</v>
      </c>
      <c r="HG46">
        <v>2.35348</v>
      </c>
      <c r="HH46">
        <v>-0.0600331</v>
      </c>
      <c r="HI46">
        <v>0</v>
      </c>
      <c r="HJ46">
        <v>19.0036</v>
      </c>
      <c r="HK46">
        <v>999.9</v>
      </c>
      <c r="HL46">
        <v>21.524</v>
      </c>
      <c r="HM46">
        <v>29.447</v>
      </c>
      <c r="HN46">
        <v>9.7743</v>
      </c>
      <c r="HO46">
        <v>53.5666</v>
      </c>
      <c r="HP46">
        <v>32.3357</v>
      </c>
      <c r="HQ46">
        <v>2</v>
      </c>
      <c r="HR46">
        <v>-0.0637119</v>
      </c>
      <c r="HS46">
        <v>4.55676</v>
      </c>
      <c r="HT46">
        <v>20.0923</v>
      </c>
      <c r="HU46">
        <v>5.20246</v>
      </c>
      <c r="HV46">
        <v>12.0041</v>
      </c>
      <c r="HW46">
        <v>4.9758</v>
      </c>
      <c r="HX46">
        <v>3.29398</v>
      </c>
      <c r="HY46">
        <v>9999</v>
      </c>
      <c r="HZ46">
        <v>9999</v>
      </c>
      <c r="IA46">
        <v>9999</v>
      </c>
      <c r="IB46">
        <v>999.9</v>
      </c>
      <c r="IC46">
        <v>1.86324</v>
      </c>
      <c r="ID46">
        <v>1.86812</v>
      </c>
      <c r="IE46">
        <v>1.86784</v>
      </c>
      <c r="IF46">
        <v>1.86905</v>
      </c>
      <c r="IG46">
        <v>1.86982</v>
      </c>
      <c r="IH46">
        <v>1.86589</v>
      </c>
      <c r="II46">
        <v>1.86699</v>
      </c>
      <c r="IJ46">
        <v>1.86844</v>
      </c>
      <c r="IK46">
        <v>5</v>
      </c>
      <c r="IL46">
        <v>0</v>
      </c>
      <c r="IM46">
        <v>0</v>
      </c>
      <c r="IN46">
        <v>0</v>
      </c>
      <c r="IO46" t="s">
        <v>443</v>
      </c>
      <c r="IP46" t="s">
        <v>444</v>
      </c>
      <c r="IQ46" t="s">
        <v>445</v>
      </c>
      <c r="IR46" t="s">
        <v>445</v>
      </c>
      <c r="IS46" t="s">
        <v>445</v>
      </c>
      <c r="IT46" t="s">
        <v>445</v>
      </c>
      <c r="IU46">
        <v>0</v>
      </c>
      <c r="IV46">
        <v>100</v>
      </c>
      <c r="IW46">
        <v>100</v>
      </c>
      <c r="IX46">
        <v>2.915</v>
      </c>
      <c r="IY46">
        <v>-0.1334</v>
      </c>
      <c r="IZ46">
        <v>1.24656194001752</v>
      </c>
      <c r="JA46">
        <v>0.00408463137630218</v>
      </c>
      <c r="JB46">
        <v>-2.23906557180379e-07</v>
      </c>
      <c r="JC46">
        <v>6.23399102760906e-11</v>
      </c>
      <c r="JD46">
        <v>-0.0873394905990972</v>
      </c>
      <c r="JE46">
        <v>-0.0233348201324191</v>
      </c>
      <c r="JF46">
        <v>0.00274696999164489</v>
      </c>
      <c r="JG46">
        <v>-3.62864435074646e-05</v>
      </c>
      <c r="JH46">
        <v>5</v>
      </c>
      <c r="JI46">
        <v>2263</v>
      </c>
      <c r="JJ46">
        <v>1</v>
      </c>
      <c r="JK46">
        <v>24</v>
      </c>
      <c r="JL46">
        <v>29361359.7</v>
      </c>
      <c r="JM46">
        <v>29361359.7</v>
      </c>
      <c r="JN46">
        <v>1.24512</v>
      </c>
      <c r="JO46">
        <v>2.61108</v>
      </c>
      <c r="JP46">
        <v>2.19849</v>
      </c>
      <c r="JQ46">
        <v>2.63062</v>
      </c>
      <c r="JR46">
        <v>2.44629</v>
      </c>
      <c r="JS46">
        <v>2.33398</v>
      </c>
      <c r="JT46">
        <v>32.9092</v>
      </c>
      <c r="JU46">
        <v>24.1926</v>
      </c>
      <c r="JV46">
        <v>18</v>
      </c>
      <c r="JW46">
        <v>502.049</v>
      </c>
      <c r="JX46">
        <v>790.338</v>
      </c>
      <c r="JY46">
        <v>13.4157</v>
      </c>
      <c r="JZ46">
        <v>26.4525</v>
      </c>
      <c r="KA46">
        <v>29.9996</v>
      </c>
      <c r="KB46">
        <v>26.4887</v>
      </c>
      <c r="KC46">
        <v>26.4421</v>
      </c>
      <c r="KD46">
        <v>24.9438</v>
      </c>
      <c r="KE46">
        <v>50.1687</v>
      </c>
      <c r="KF46">
        <v>0</v>
      </c>
      <c r="KG46">
        <v>13.4298</v>
      </c>
      <c r="KH46">
        <v>420</v>
      </c>
      <c r="KI46">
        <v>3.1998</v>
      </c>
      <c r="KJ46">
        <v>96.6649</v>
      </c>
      <c r="KK46">
        <v>94.7659</v>
      </c>
    </row>
    <row r="47" spans="1:297">
      <c r="A47">
        <v>31</v>
      </c>
      <c r="B47">
        <v>1761682404.1</v>
      </c>
      <c r="C47">
        <v>5055</v>
      </c>
      <c r="D47" t="s">
        <v>541</v>
      </c>
      <c r="E47" t="s">
        <v>542</v>
      </c>
      <c r="F47">
        <v>5</v>
      </c>
      <c r="G47" t="s">
        <v>543</v>
      </c>
      <c r="H47" t="s">
        <v>436</v>
      </c>
      <c r="I47">
        <v>1761682395.6</v>
      </c>
      <c r="J47">
        <f>(K47)/1000</f>
        <v>0</v>
      </c>
      <c r="K47">
        <f>IF(DP47, AN47, AH47)</f>
        <v>0</v>
      </c>
      <c r="L47">
        <f>IF(DP47, AI47, AG47)</f>
        <v>0</v>
      </c>
      <c r="M47">
        <f>DR47 - IF(AU47&gt;1, L47*DL47*100.0/(AW47), 0)</f>
        <v>0</v>
      </c>
      <c r="N47">
        <f>((T47-J47/2)*M47-L47)/(T47+J47/2)</f>
        <v>0</v>
      </c>
      <c r="O47">
        <f>N47*(DY47+DZ47)/1000.0</f>
        <v>0</v>
      </c>
      <c r="P47">
        <f>(DR47 - IF(AU47&gt;1, L47*DL47*100.0/(AW47), 0))*(DY47+DZ47)/1000.0</f>
        <v>0</v>
      </c>
      <c r="Q47">
        <f>2.0/((1/S47-1/R47)+SIGN(S47)*SQRT((1/S47-1/R47)*(1/S47-1/R47) + 4*DM47/((DM47+1)*(DM47+1))*(2*1/S47*1/R47-1/R47*1/R47)))</f>
        <v>0</v>
      </c>
      <c r="R47">
        <f>IF(LEFT(DN47,1)&lt;&gt;"0",IF(LEFT(DN47,1)="1",3.0,DO47),$D$5+$E$5*(EF47*DY47/($K$5*1000))+$F$5*(EF47*DY47/($K$5*1000))*MAX(MIN(DL47,$J$5),$I$5)*MAX(MIN(DL47,$J$5),$I$5)+$G$5*MAX(MIN(DL47,$J$5),$I$5)*(EF47*DY47/($K$5*1000))+$H$5*(EF47*DY47/($K$5*1000))*(EF47*DY47/($K$5*1000)))</f>
        <v>0</v>
      </c>
      <c r="S47">
        <f>J47*(1000-(1000*0.61365*exp(17.502*W47/(240.97+W47))/(DY47+DZ47)+DT47)/2)/(1000*0.61365*exp(17.502*W47/(240.97+W47))/(DY47+DZ47)-DT47)</f>
        <v>0</v>
      </c>
      <c r="T47">
        <f>1/((DM47+1)/(Q47/1.6)+1/(R47/1.37)) + DM47/((DM47+1)/(Q47/1.6) + DM47/(R47/1.37))</f>
        <v>0</v>
      </c>
      <c r="U47">
        <f>(DH47*DK47)</f>
        <v>0</v>
      </c>
      <c r="V47">
        <f>(EA47+(U47+2*0.95*5.67E-8*(((EA47+$B$7)+273)^4-(EA47+273)^4)-44100*J47)/(1.84*29.3*R47+8*0.95*5.67E-8*(EA47+273)^3))</f>
        <v>0</v>
      </c>
      <c r="W47">
        <f>($C$7*EB47+$D$7*EC47+$E$7*V47)</f>
        <v>0</v>
      </c>
      <c r="X47">
        <f>0.61365*exp(17.502*W47/(240.97+W47))</f>
        <v>0</v>
      </c>
      <c r="Y47">
        <f>(Z47/AA47*100)</f>
        <v>0</v>
      </c>
      <c r="Z47">
        <f>DT47*(DY47+DZ47)/1000</f>
        <v>0</v>
      </c>
      <c r="AA47">
        <f>0.61365*exp(17.502*EA47/(240.97+EA47))</f>
        <v>0</v>
      </c>
      <c r="AB47">
        <f>(X47-DT47*(DY47+DZ47)/1000)</f>
        <v>0</v>
      </c>
      <c r="AC47">
        <f>(-J47*44100)</f>
        <v>0</v>
      </c>
      <c r="AD47">
        <f>2*29.3*R47*0.92*(EA47-W47)</f>
        <v>0</v>
      </c>
      <c r="AE47">
        <f>2*0.95*5.67E-8*(((EA47+$B$7)+273)^4-(W47+273)^4)</f>
        <v>0</v>
      </c>
      <c r="AF47">
        <f>U47+AE47+AC47+AD47</f>
        <v>0</v>
      </c>
      <c r="AG47">
        <f>DX47*AU47*(DS47-DR47*(1000-AU47*DU47)/(1000-AU47*DT47))/(100*DL47)</f>
        <v>0</v>
      </c>
      <c r="AH47">
        <f>1000*DX47*AU47*(DT47-DU47)/(100*DL47*(1000-AU47*DT47))</f>
        <v>0</v>
      </c>
      <c r="AI47">
        <f>(AJ47 - AK47 - DY47*1E3/(8.314*(EA47+273.15)) * AM47/DX47 * AL47) * DX47/(100*DL47) * (1000 - DU47)/1000</f>
        <v>0</v>
      </c>
      <c r="AJ47">
        <v>421.68916278996</v>
      </c>
      <c r="AK47">
        <v>413.989466666667</v>
      </c>
      <c r="AL47">
        <v>-5.152552845664e-05</v>
      </c>
      <c r="AM47">
        <v>64.2078930913761</v>
      </c>
      <c r="AN47">
        <f>(AP47 - AO47 + DY47*1E3/(8.314*(EA47+273.15)) * AR47/DX47 * AQ47) * DX47/(100*DL47) * 1000/(1000 - AP47)</f>
        <v>0</v>
      </c>
      <c r="AO47">
        <v>3.98203237386503</v>
      </c>
      <c r="AP47">
        <v>5.90135895104895</v>
      </c>
      <c r="AQ47">
        <v>-1.52176434824188e-07</v>
      </c>
      <c r="AR47">
        <v>109.012256791894</v>
      </c>
      <c r="AS47">
        <v>0</v>
      </c>
      <c r="AT47">
        <v>0</v>
      </c>
      <c r="AU47">
        <f>IF(AS47*$H$13&gt;=AW47,1.0,(AW47/(AW47-AS47*$H$13)))</f>
        <v>0</v>
      </c>
      <c r="AV47">
        <f>(AU47-1)*100</f>
        <v>0</v>
      </c>
      <c r="AW47">
        <f>MAX(0,($B$13+$C$13*EF47)/(1+$D$13*EF47)*DY47/(EA47+273)*$E$13)</f>
        <v>0</v>
      </c>
      <c r="AX47" t="s">
        <v>540</v>
      </c>
      <c r="AY47">
        <v>5107.41</v>
      </c>
      <c r="AZ47">
        <v>719.256</v>
      </c>
      <c r="BA47">
        <v>1996.26391154014</v>
      </c>
      <c r="BB47">
        <f>1-AZ47/BA47</f>
        <v>0</v>
      </c>
      <c r="BC47">
        <v>-0.942338719303804</v>
      </c>
      <c r="BD47" t="s">
        <v>544</v>
      </c>
      <c r="BE47">
        <v>5141.04</v>
      </c>
      <c r="BF47">
        <v>1794.23115384615</v>
      </c>
      <c r="BG47">
        <v>1905.75358613831</v>
      </c>
      <c r="BH47">
        <f>1-BF47/BG47</f>
        <v>0</v>
      </c>
      <c r="BI47">
        <v>0.5</v>
      </c>
      <c r="BJ47">
        <f>DI47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545</v>
      </c>
      <c r="BQ47">
        <v>857.73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BZ47">
        <v>36</v>
      </c>
      <c r="CA47">
        <v>290</v>
      </c>
      <c r="CB47">
        <v>1853.68</v>
      </c>
      <c r="CC47">
        <v>205</v>
      </c>
      <c r="CD47">
        <v>5141.04</v>
      </c>
      <c r="CE47">
        <v>1852.53</v>
      </c>
      <c r="CF47">
        <v>1.15</v>
      </c>
      <c r="CG47">
        <v>300</v>
      </c>
      <c r="CH47">
        <v>23.6</v>
      </c>
      <c r="CI47">
        <v>1905.75358613831</v>
      </c>
      <c r="CJ47">
        <v>2.57687501405676</v>
      </c>
      <c r="CK47">
        <v>-27.3641361821477</v>
      </c>
      <c r="CL47">
        <v>1.22087075664457</v>
      </c>
      <c r="CM47">
        <v>0.947206713897245</v>
      </c>
      <c r="CN47">
        <v>-0.00256625850945495</v>
      </c>
      <c r="CO47">
        <v>290</v>
      </c>
      <c r="CP47">
        <v>1850.28</v>
      </c>
      <c r="CQ47">
        <v>675</v>
      </c>
      <c r="CR47">
        <v>5139.72</v>
      </c>
      <c r="CS47">
        <v>1852.51</v>
      </c>
      <c r="CT47">
        <v>-2.23</v>
      </c>
      <c r="DH47">
        <f>$B$11*EG47+$C$11*EH47+$F$11*ES47*(1-EV47)</f>
        <v>0</v>
      </c>
      <c r="DI47">
        <f>DH47*DJ47</f>
        <v>0</v>
      </c>
      <c r="DJ47">
        <f>($B$11*$D$9+$C$11*$D$9+$F$11*((FF47+EX47)/MAX(FF47+EX47+FG47, 0.1)*$I$9+FG47/MAX(FF47+EX47+FG47, 0.1)*$J$9))/($B$11+$C$11+$F$11)</f>
        <v>0</v>
      </c>
      <c r="DK47">
        <f>($B$11*$K$9+$C$11*$K$9+$F$11*((FF47+EX47)/MAX(FF47+EX47+FG47, 0.1)*$P$9+FG47/MAX(FF47+EX47+FG47, 0.1)*$Q$9))/($B$11+$C$11+$F$11)</f>
        <v>0</v>
      </c>
      <c r="DL47">
        <v>6</v>
      </c>
      <c r="DM47">
        <v>0.5</v>
      </c>
      <c r="DN47" t="s">
        <v>440</v>
      </c>
      <c r="DO47">
        <v>2</v>
      </c>
      <c r="DP47" t="b">
        <v>1</v>
      </c>
      <c r="DQ47">
        <v>1761682395.6</v>
      </c>
      <c r="DR47">
        <v>411.5693125</v>
      </c>
      <c r="DS47">
        <v>419.995875</v>
      </c>
      <c r="DT47">
        <v>5.901386875</v>
      </c>
      <c r="DU47">
        <v>3.982545</v>
      </c>
      <c r="DV47">
        <v>408.6865</v>
      </c>
      <c r="DW47">
        <v>6.037465</v>
      </c>
      <c r="DX47">
        <v>499.997125</v>
      </c>
      <c r="DY47">
        <v>90.91249375</v>
      </c>
      <c r="DZ47">
        <v>0.02087486875</v>
      </c>
      <c r="EA47">
        <v>17.5349875</v>
      </c>
      <c r="EB47">
        <v>18.009425</v>
      </c>
      <c r="EC47">
        <v>999.9</v>
      </c>
      <c r="ED47">
        <v>0</v>
      </c>
      <c r="EE47">
        <v>0</v>
      </c>
      <c r="EF47">
        <v>9997.490625</v>
      </c>
      <c r="EG47">
        <v>0</v>
      </c>
      <c r="EH47">
        <v>1310.389375</v>
      </c>
      <c r="EI47">
        <v>-8.426733125</v>
      </c>
      <c r="EJ47">
        <v>414.0125</v>
      </c>
      <c r="EK47">
        <v>421.6753125</v>
      </c>
      <c r="EL47">
        <v>1.91884</v>
      </c>
      <c r="EM47">
        <v>419.995875</v>
      </c>
      <c r="EN47">
        <v>3.982545</v>
      </c>
      <c r="EO47">
        <v>0.5365098125</v>
      </c>
      <c r="EP47">
        <v>0.3620631875</v>
      </c>
      <c r="EQ47">
        <v>-1.83552375</v>
      </c>
      <c r="ER47">
        <v>-7.05158375</v>
      </c>
      <c r="ES47">
        <v>2000.001875</v>
      </c>
      <c r="ET47">
        <v>0.9800025625</v>
      </c>
      <c r="EU47">
        <v>0.01999743125</v>
      </c>
      <c r="EV47">
        <v>0</v>
      </c>
      <c r="EW47">
        <v>1794.474375</v>
      </c>
      <c r="EX47">
        <v>5.00059</v>
      </c>
      <c r="EY47">
        <v>35273.35625</v>
      </c>
      <c r="EZ47">
        <v>17360.3625</v>
      </c>
      <c r="FA47">
        <v>37.437</v>
      </c>
      <c r="FB47">
        <v>38.25</v>
      </c>
      <c r="FC47">
        <v>37.1405</v>
      </c>
      <c r="FD47">
        <v>37.437</v>
      </c>
      <c r="FE47">
        <v>37.8710625</v>
      </c>
      <c r="FF47">
        <v>1955.10625</v>
      </c>
      <c r="FG47">
        <v>39.8925</v>
      </c>
      <c r="FH47">
        <v>0</v>
      </c>
      <c r="FI47">
        <v>822</v>
      </c>
      <c r="FJ47">
        <v>0</v>
      </c>
      <c r="FK47">
        <v>1794.23115384615</v>
      </c>
      <c r="FL47">
        <v>-13.6728205205215</v>
      </c>
      <c r="FM47">
        <v>-254.547008713061</v>
      </c>
      <c r="FN47">
        <v>35267.5961538462</v>
      </c>
      <c r="FO47">
        <v>15</v>
      </c>
      <c r="FP47">
        <v>0</v>
      </c>
      <c r="FQ47" t="s">
        <v>441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-8.43092285714286</v>
      </c>
      <c r="GD47">
        <v>0.0626618181818192</v>
      </c>
      <c r="GE47">
        <v>0.0249266743990979</v>
      </c>
      <c r="GF47">
        <v>1</v>
      </c>
      <c r="GG47">
        <v>1795.32264705882</v>
      </c>
      <c r="GH47">
        <v>-13.8699770683881</v>
      </c>
      <c r="GI47">
        <v>1.37185428145636</v>
      </c>
      <c r="GJ47">
        <v>-1</v>
      </c>
      <c r="GK47">
        <v>1.91835142857143</v>
      </c>
      <c r="GL47">
        <v>0.00929220779220872</v>
      </c>
      <c r="GM47">
        <v>0.0010416666394558</v>
      </c>
      <c r="GN47">
        <v>1</v>
      </c>
      <c r="GO47">
        <v>2</v>
      </c>
      <c r="GP47">
        <v>2</v>
      </c>
      <c r="GQ47" t="s">
        <v>442</v>
      </c>
      <c r="GR47">
        <v>3.12839</v>
      </c>
      <c r="GS47">
        <v>2.69913</v>
      </c>
      <c r="GT47">
        <v>0.0885247</v>
      </c>
      <c r="GU47">
        <v>0.0905348</v>
      </c>
      <c r="GV47">
        <v>0.0354122</v>
      </c>
      <c r="GW47">
        <v>0.0252638</v>
      </c>
      <c r="GX47">
        <v>34350.4</v>
      </c>
      <c r="GY47">
        <v>36765.3</v>
      </c>
      <c r="GZ47">
        <v>34092</v>
      </c>
      <c r="HA47">
        <v>36596.8</v>
      </c>
      <c r="HB47">
        <v>46436.9</v>
      </c>
      <c r="HC47">
        <v>51172.7</v>
      </c>
      <c r="HD47">
        <v>53111.7</v>
      </c>
      <c r="HE47">
        <v>58397.1</v>
      </c>
      <c r="HF47">
        <v>1.96415</v>
      </c>
      <c r="HG47">
        <v>2.34595</v>
      </c>
      <c r="HH47">
        <v>5.21541e-05</v>
      </c>
      <c r="HI47">
        <v>0</v>
      </c>
      <c r="HJ47">
        <v>18.0006</v>
      </c>
      <c r="HK47">
        <v>999.9</v>
      </c>
      <c r="HL47">
        <v>20.461</v>
      </c>
      <c r="HM47">
        <v>29.457</v>
      </c>
      <c r="HN47">
        <v>9.2938</v>
      </c>
      <c r="HO47">
        <v>56.2459</v>
      </c>
      <c r="HP47">
        <v>32.7564</v>
      </c>
      <c r="HQ47">
        <v>2</v>
      </c>
      <c r="HR47">
        <v>-0.0014939</v>
      </c>
      <c r="HS47">
        <v>9.28105</v>
      </c>
      <c r="HT47">
        <v>19.893</v>
      </c>
      <c r="HU47">
        <v>5.20441</v>
      </c>
      <c r="HV47">
        <v>12.0099</v>
      </c>
      <c r="HW47">
        <v>4.97575</v>
      </c>
      <c r="HX47">
        <v>3.294</v>
      </c>
      <c r="HY47">
        <v>9999</v>
      </c>
      <c r="HZ47">
        <v>9999</v>
      </c>
      <c r="IA47">
        <v>9999</v>
      </c>
      <c r="IB47">
        <v>999.9</v>
      </c>
      <c r="IC47">
        <v>1.86319</v>
      </c>
      <c r="ID47">
        <v>1.86809</v>
      </c>
      <c r="IE47">
        <v>1.86784</v>
      </c>
      <c r="IF47">
        <v>1.869</v>
      </c>
      <c r="IG47">
        <v>1.86981</v>
      </c>
      <c r="IH47">
        <v>1.86588</v>
      </c>
      <c r="II47">
        <v>1.86697</v>
      </c>
      <c r="IJ47">
        <v>1.86844</v>
      </c>
      <c r="IK47">
        <v>5</v>
      </c>
      <c r="IL47">
        <v>0</v>
      </c>
      <c r="IM47">
        <v>0</v>
      </c>
      <c r="IN47">
        <v>0</v>
      </c>
      <c r="IO47" t="s">
        <v>443</v>
      </c>
      <c r="IP47" t="s">
        <v>444</v>
      </c>
      <c r="IQ47" t="s">
        <v>445</v>
      </c>
      <c r="IR47" t="s">
        <v>445</v>
      </c>
      <c r="IS47" t="s">
        <v>445</v>
      </c>
      <c r="IT47" t="s">
        <v>445</v>
      </c>
      <c r="IU47">
        <v>0</v>
      </c>
      <c r="IV47">
        <v>100</v>
      </c>
      <c r="IW47">
        <v>100</v>
      </c>
      <c r="IX47">
        <v>2.882</v>
      </c>
      <c r="IY47">
        <v>-0.1361</v>
      </c>
      <c r="IZ47">
        <v>1.24656194001752</v>
      </c>
      <c r="JA47">
        <v>0.00408463137630218</v>
      </c>
      <c r="JB47">
        <v>-2.23906557180379e-07</v>
      </c>
      <c r="JC47">
        <v>6.23399102760906e-11</v>
      </c>
      <c r="JD47">
        <v>-0.0873394905990972</v>
      </c>
      <c r="JE47">
        <v>-0.0233348201324191</v>
      </c>
      <c r="JF47">
        <v>0.00274696999164489</v>
      </c>
      <c r="JG47">
        <v>-3.62864435074646e-05</v>
      </c>
      <c r="JH47">
        <v>5</v>
      </c>
      <c r="JI47">
        <v>2263</v>
      </c>
      <c r="JJ47">
        <v>1</v>
      </c>
      <c r="JK47">
        <v>24</v>
      </c>
      <c r="JL47">
        <v>29361373.4</v>
      </c>
      <c r="JM47">
        <v>29361373.4</v>
      </c>
      <c r="JN47">
        <v>1.24756</v>
      </c>
      <c r="JO47">
        <v>2.61353</v>
      </c>
      <c r="JP47">
        <v>2.19849</v>
      </c>
      <c r="JQ47">
        <v>2.63062</v>
      </c>
      <c r="JR47">
        <v>2.44507</v>
      </c>
      <c r="JS47">
        <v>2.35596</v>
      </c>
      <c r="JT47">
        <v>33.0206</v>
      </c>
      <c r="JU47">
        <v>24.0963</v>
      </c>
      <c r="JV47">
        <v>18</v>
      </c>
      <c r="JW47">
        <v>498.945</v>
      </c>
      <c r="JX47">
        <v>787.791</v>
      </c>
      <c r="JY47">
        <v>7.96551</v>
      </c>
      <c r="JZ47">
        <v>27.013</v>
      </c>
      <c r="KA47">
        <v>30.0003</v>
      </c>
      <c r="KB47">
        <v>26.8412</v>
      </c>
      <c r="KC47">
        <v>26.747</v>
      </c>
      <c r="KD47">
        <v>24.9969</v>
      </c>
      <c r="KE47">
        <v>38.5143</v>
      </c>
      <c r="KF47">
        <v>0</v>
      </c>
      <c r="KG47">
        <v>1.68084</v>
      </c>
      <c r="KH47">
        <v>420</v>
      </c>
      <c r="KI47">
        <v>3.92415</v>
      </c>
      <c r="KJ47">
        <v>96.5968</v>
      </c>
      <c r="KK47">
        <v>94.6739</v>
      </c>
    </row>
    <row r="48" spans="1:297">
      <c r="A48">
        <v>32</v>
      </c>
      <c r="B48">
        <v>1761682478.1</v>
      </c>
      <c r="C48">
        <v>5129</v>
      </c>
      <c r="D48" t="s">
        <v>546</v>
      </c>
      <c r="E48" t="s">
        <v>547</v>
      </c>
      <c r="F48">
        <v>5</v>
      </c>
      <c r="G48" t="s">
        <v>543</v>
      </c>
      <c r="H48" t="s">
        <v>436</v>
      </c>
      <c r="I48">
        <v>1761682469.6</v>
      </c>
      <c r="J48">
        <f>(K48)/1000</f>
        <v>0</v>
      </c>
      <c r="K48">
        <f>IF(DP48, AN48, AH48)</f>
        <v>0</v>
      </c>
      <c r="L48">
        <f>IF(DP48, AI48, AG48)</f>
        <v>0</v>
      </c>
      <c r="M48">
        <f>DR48 - IF(AU48&gt;1, L48*DL48*100.0/(AW48), 0)</f>
        <v>0</v>
      </c>
      <c r="N48">
        <f>((T48-J48/2)*M48-L48)/(T48+J48/2)</f>
        <v>0</v>
      </c>
      <c r="O48">
        <f>N48*(DY48+DZ48)/1000.0</f>
        <v>0</v>
      </c>
      <c r="P48">
        <f>(DR48 - IF(AU48&gt;1, L48*DL48*100.0/(AW48), 0))*(DY48+DZ48)/1000.0</f>
        <v>0</v>
      </c>
      <c r="Q48">
        <f>2.0/((1/S48-1/R48)+SIGN(S48)*SQRT((1/S48-1/R48)*(1/S48-1/R48) + 4*DM48/((DM48+1)*(DM48+1))*(2*1/S48*1/R48-1/R48*1/R48)))</f>
        <v>0</v>
      </c>
      <c r="R48">
        <f>IF(LEFT(DN48,1)&lt;&gt;"0",IF(LEFT(DN48,1)="1",3.0,DO48),$D$5+$E$5*(EF48*DY48/($K$5*1000))+$F$5*(EF48*DY48/($K$5*1000))*MAX(MIN(DL48,$J$5),$I$5)*MAX(MIN(DL48,$J$5),$I$5)+$G$5*MAX(MIN(DL48,$J$5),$I$5)*(EF48*DY48/($K$5*1000))+$H$5*(EF48*DY48/($K$5*1000))*(EF48*DY48/($K$5*1000)))</f>
        <v>0</v>
      </c>
      <c r="S48">
        <f>J48*(1000-(1000*0.61365*exp(17.502*W48/(240.97+W48))/(DY48+DZ48)+DT48)/2)/(1000*0.61365*exp(17.502*W48/(240.97+W48))/(DY48+DZ48)-DT48)</f>
        <v>0</v>
      </c>
      <c r="T48">
        <f>1/((DM48+1)/(Q48/1.6)+1/(R48/1.37)) + DM48/((DM48+1)/(Q48/1.6) + DM48/(R48/1.37))</f>
        <v>0</v>
      </c>
      <c r="U48">
        <f>(DH48*DK48)</f>
        <v>0</v>
      </c>
      <c r="V48">
        <f>(EA48+(U48+2*0.95*5.67E-8*(((EA48+$B$7)+273)^4-(EA48+273)^4)-44100*J48)/(1.84*29.3*R48+8*0.95*5.67E-8*(EA48+273)^3))</f>
        <v>0</v>
      </c>
      <c r="W48">
        <f>($C$7*EB48+$D$7*EC48+$E$7*V48)</f>
        <v>0</v>
      </c>
      <c r="X48">
        <f>0.61365*exp(17.502*W48/(240.97+W48))</f>
        <v>0</v>
      </c>
      <c r="Y48">
        <f>(Z48/AA48*100)</f>
        <v>0</v>
      </c>
      <c r="Z48">
        <f>DT48*(DY48+DZ48)/1000</f>
        <v>0</v>
      </c>
      <c r="AA48">
        <f>0.61365*exp(17.502*EA48/(240.97+EA48))</f>
        <v>0</v>
      </c>
      <c r="AB48">
        <f>(X48-DT48*(DY48+DZ48)/1000)</f>
        <v>0</v>
      </c>
      <c r="AC48">
        <f>(-J48*44100)</f>
        <v>0</v>
      </c>
      <c r="AD48">
        <f>2*29.3*R48*0.92*(EA48-W48)</f>
        <v>0</v>
      </c>
      <c r="AE48">
        <f>2*0.95*5.67E-8*(((EA48+$B$7)+273)^4-(W48+273)^4)</f>
        <v>0</v>
      </c>
      <c r="AF48">
        <f>U48+AE48+AC48+AD48</f>
        <v>0</v>
      </c>
      <c r="AG48">
        <f>DX48*AU48*(DS48-DR48*(1000-AU48*DU48)/(1000-AU48*DT48))/(100*DL48)</f>
        <v>0</v>
      </c>
      <c r="AH48">
        <f>1000*DX48*AU48*(DT48-DU48)/(100*DL48*(1000-AU48*DT48))</f>
        <v>0</v>
      </c>
      <c r="AI48">
        <f>(AJ48 - AK48 - DY48*1E3/(8.314*(EA48+273.15)) * AM48/DX48 * AL48) * DX48/(100*DL48) * (1000 - DU48)/1000</f>
        <v>0</v>
      </c>
      <c r="AJ48">
        <v>421.643535809759</v>
      </c>
      <c r="AK48">
        <v>414.180145454545</v>
      </c>
      <c r="AL48">
        <v>-0.0010542113849106</v>
      </c>
      <c r="AM48">
        <v>64.2078930913761</v>
      </c>
      <c r="AN48">
        <f>(AP48 - AO48 + DY48*1E3/(8.314*(EA48+273.15)) * AR48/DX48 * AQ48) * DX48/(100*DL48) * 1000/(1000 - AP48)</f>
        <v>0</v>
      </c>
      <c r="AO48">
        <v>3.8810617454975</v>
      </c>
      <c r="AP48">
        <v>5.83857832167832</v>
      </c>
      <c r="AQ48">
        <v>1.9826447123204e-05</v>
      </c>
      <c r="AR48">
        <v>109.012256791894</v>
      </c>
      <c r="AS48">
        <v>0</v>
      </c>
      <c r="AT48">
        <v>0</v>
      </c>
      <c r="AU48">
        <f>IF(AS48*$H$13&gt;=AW48,1.0,(AW48/(AW48-AS48*$H$13)))</f>
        <v>0</v>
      </c>
      <c r="AV48">
        <f>(AU48-1)*100</f>
        <v>0</v>
      </c>
      <c r="AW48">
        <f>MAX(0,($B$13+$C$13*EF48)/(1+$D$13*EF48)*DY48/(EA48+273)*$E$13)</f>
        <v>0</v>
      </c>
      <c r="AX48" t="s">
        <v>448</v>
      </c>
      <c r="AY48" t="s">
        <v>448</v>
      </c>
      <c r="AZ48">
        <v>0</v>
      </c>
      <c r="BA48">
        <v>0</v>
      </c>
      <c r="BB48">
        <f>1-AZ48/BA48</f>
        <v>0</v>
      </c>
      <c r="BC48">
        <v>0</v>
      </c>
      <c r="BD48" t="s">
        <v>448</v>
      </c>
      <c r="BE48" t="s">
        <v>448</v>
      </c>
      <c r="BF48">
        <v>0</v>
      </c>
      <c r="BG48">
        <v>0</v>
      </c>
      <c r="BH48">
        <f>1-BF48/BG48</f>
        <v>0</v>
      </c>
      <c r="BI48">
        <v>0.5</v>
      </c>
      <c r="BJ48">
        <f>DI48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448</v>
      </c>
      <c r="BQ48">
        <v>0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BZ48">
        <v>36</v>
      </c>
      <c r="CA48">
        <v>290</v>
      </c>
      <c r="CB48">
        <v>1853.68</v>
      </c>
      <c r="CC48">
        <v>205</v>
      </c>
      <c r="CD48">
        <v>5141.04</v>
      </c>
      <c r="CE48">
        <v>1852.53</v>
      </c>
      <c r="CF48">
        <v>1.15</v>
      </c>
      <c r="CG48">
        <v>300</v>
      </c>
      <c r="CH48">
        <v>23.6</v>
      </c>
      <c r="CI48">
        <v>1905.75358613831</v>
      </c>
      <c r="CJ48">
        <v>2.57687501405676</v>
      </c>
      <c r="CK48">
        <v>-27.3641361821477</v>
      </c>
      <c r="CL48">
        <v>1.22087075664457</v>
      </c>
      <c r="CM48">
        <v>0.947206713897245</v>
      </c>
      <c r="CN48">
        <v>-0.00256625850945495</v>
      </c>
      <c r="CO48">
        <v>290</v>
      </c>
      <c r="CP48">
        <v>1850.28</v>
      </c>
      <c r="CQ48">
        <v>675</v>
      </c>
      <c r="CR48">
        <v>5139.72</v>
      </c>
      <c r="CS48">
        <v>1852.51</v>
      </c>
      <c r="CT48">
        <v>-2.23</v>
      </c>
      <c r="DH48">
        <f>$B$11*EG48+$C$11*EH48+$F$11*ES48*(1-EV48)</f>
        <v>0</v>
      </c>
      <c r="DI48">
        <f>DH48*DJ48</f>
        <v>0</v>
      </c>
      <c r="DJ48">
        <f>($B$11*$D$9+$C$11*$D$9+$F$11*((FF48+EX48)/MAX(FF48+EX48+FG48, 0.1)*$I$9+FG48/MAX(FF48+EX48+FG48, 0.1)*$J$9))/($B$11+$C$11+$F$11)</f>
        <v>0</v>
      </c>
      <c r="DK48">
        <f>($B$11*$K$9+$C$11*$K$9+$F$11*((FF48+EX48)/MAX(FF48+EX48+FG48, 0.1)*$P$9+FG48/MAX(FF48+EX48+FG48, 0.1)*$Q$9))/($B$11+$C$11+$F$11)</f>
        <v>0</v>
      </c>
      <c r="DL48">
        <v>6</v>
      </c>
      <c r="DM48">
        <v>0.5</v>
      </c>
      <c r="DN48" t="s">
        <v>440</v>
      </c>
      <c r="DO48">
        <v>2</v>
      </c>
      <c r="DP48" t="b">
        <v>1</v>
      </c>
      <c r="DQ48">
        <v>1761682469.6</v>
      </c>
      <c r="DR48">
        <v>411.79</v>
      </c>
      <c r="DS48">
        <v>420.0103125</v>
      </c>
      <c r="DT48">
        <v>5.83693</v>
      </c>
      <c r="DU48">
        <v>3.881919375</v>
      </c>
      <c r="DV48">
        <v>408.9064375</v>
      </c>
      <c r="DW48">
        <v>5.9733775</v>
      </c>
      <c r="DX48">
        <v>500.001125</v>
      </c>
      <c r="DY48">
        <v>90.915475</v>
      </c>
      <c r="DZ48">
        <v>0.01986245625</v>
      </c>
      <c r="EA48">
        <v>17.54323125</v>
      </c>
      <c r="EB48">
        <v>17.8106125</v>
      </c>
      <c r="EC48">
        <v>999.9</v>
      </c>
      <c r="ED48">
        <v>0</v>
      </c>
      <c r="EE48">
        <v>0</v>
      </c>
      <c r="EF48">
        <v>9995.753125</v>
      </c>
      <c r="EG48">
        <v>0</v>
      </c>
      <c r="EH48">
        <v>1310.3425</v>
      </c>
      <c r="EI48">
        <v>-8.220158125</v>
      </c>
      <c r="EJ48">
        <v>414.2078125</v>
      </c>
      <c r="EK48">
        <v>421.647</v>
      </c>
      <c r="EL48">
        <v>1.955011875</v>
      </c>
      <c r="EM48">
        <v>420.0103125</v>
      </c>
      <c r="EN48">
        <v>3.881919375</v>
      </c>
      <c r="EO48">
        <v>0.530667375</v>
      </c>
      <c r="EP48">
        <v>0.3529265</v>
      </c>
      <c r="EQ48">
        <v>-1.98389625</v>
      </c>
      <c r="ER48">
        <v>-7.38271625</v>
      </c>
      <c r="ES48">
        <v>1800.014375</v>
      </c>
      <c r="ET48">
        <v>0.9779981875</v>
      </c>
      <c r="EU48">
        <v>0.02200190625</v>
      </c>
      <c r="EV48">
        <v>0</v>
      </c>
      <c r="EW48">
        <v>1772.959375</v>
      </c>
      <c r="EX48">
        <v>5.00059</v>
      </c>
      <c r="EY48">
        <v>31328.8375</v>
      </c>
      <c r="EZ48">
        <v>15610.8</v>
      </c>
      <c r="FA48">
        <v>37.30425</v>
      </c>
      <c r="FB48">
        <v>38.25</v>
      </c>
      <c r="FC48">
        <v>37.156</v>
      </c>
      <c r="FD48">
        <v>37.4645625</v>
      </c>
      <c r="FE48">
        <v>37.812</v>
      </c>
      <c r="FF48">
        <v>1755.519375</v>
      </c>
      <c r="FG48">
        <v>39.49375</v>
      </c>
      <c r="FH48">
        <v>0</v>
      </c>
      <c r="FI48">
        <v>71.1999998092651</v>
      </c>
      <c r="FJ48">
        <v>0</v>
      </c>
      <c r="FK48">
        <v>1772.5588</v>
      </c>
      <c r="FL48">
        <v>-20.70307693244</v>
      </c>
      <c r="FM48">
        <v>-350.346154438956</v>
      </c>
      <c r="FN48">
        <v>31320.824</v>
      </c>
      <c r="FO48">
        <v>15</v>
      </c>
      <c r="FP48">
        <v>0</v>
      </c>
      <c r="FQ48" t="s">
        <v>441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-8.18683190476191</v>
      </c>
      <c r="GD48">
        <v>-0.475448571428584</v>
      </c>
      <c r="GE48">
        <v>0.05931964948834</v>
      </c>
      <c r="GF48">
        <v>1</v>
      </c>
      <c r="GG48">
        <v>1773.98941176471</v>
      </c>
      <c r="GH48">
        <v>-19.7448433850804</v>
      </c>
      <c r="GI48">
        <v>1.94915508267869</v>
      </c>
      <c r="GJ48">
        <v>-1</v>
      </c>
      <c r="GK48">
        <v>1.95001047619048</v>
      </c>
      <c r="GL48">
        <v>0.0731509090909144</v>
      </c>
      <c r="GM48">
        <v>0.00979674167222401</v>
      </c>
      <c r="GN48">
        <v>1</v>
      </c>
      <c r="GO48">
        <v>2</v>
      </c>
      <c r="GP48">
        <v>2</v>
      </c>
      <c r="GQ48" t="s">
        <v>442</v>
      </c>
      <c r="GR48">
        <v>3.1283</v>
      </c>
      <c r="GS48">
        <v>2.69797</v>
      </c>
      <c r="GT48">
        <v>0.0885525</v>
      </c>
      <c r="GU48">
        <v>0.09053</v>
      </c>
      <c r="GV48">
        <v>0.0350944</v>
      </c>
      <c r="GW48">
        <v>0.0246976</v>
      </c>
      <c r="GX48">
        <v>34347</v>
      </c>
      <c r="GY48">
        <v>36762.6</v>
      </c>
      <c r="GZ48">
        <v>34089.9</v>
      </c>
      <c r="HA48">
        <v>36594.2</v>
      </c>
      <c r="HB48">
        <v>46449.9</v>
      </c>
      <c r="HC48">
        <v>51198.9</v>
      </c>
      <c r="HD48">
        <v>53109.1</v>
      </c>
      <c r="HE48">
        <v>58393.2</v>
      </c>
      <c r="HF48">
        <v>1.96395</v>
      </c>
      <c r="HG48">
        <v>2.3452</v>
      </c>
      <c r="HH48">
        <v>-0.00334531</v>
      </c>
      <c r="HI48">
        <v>0</v>
      </c>
      <c r="HJ48">
        <v>17.9516</v>
      </c>
      <c r="HK48">
        <v>999.9</v>
      </c>
      <c r="HL48">
        <v>20.413</v>
      </c>
      <c r="HM48">
        <v>29.457</v>
      </c>
      <c r="HN48">
        <v>9.27182</v>
      </c>
      <c r="HO48">
        <v>55.9259</v>
      </c>
      <c r="HP48">
        <v>32.6002</v>
      </c>
      <c r="HQ48">
        <v>2</v>
      </c>
      <c r="HR48">
        <v>-0.0110747</v>
      </c>
      <c r="HS48">
        <v>5.97402</v>
      </c>
      <c r="HT48">
        <v>20.0356</v>
      </c>
      <c r="HU48">
        <v>5.19902</v>
      </c>
      <c r="HV48">
        <v>12.004</v>
      </c>
      <c r="HW48">
        <v>4.9758</v>
      </c>
      <c r="HX48">
        <v>3.294</v>
      </c>
      <c r="HY48">
        <v>9999</v>
      </c>
      <c r="HZ48">
        <v>9999</v>
      </c>
      <c r="IA48">
        <v>9999</v>
      </c>
      <c r="IB48">
        <v>999.9</v>
      </c>
      <c r="IC48">
        <v>1.86321</v>
      </c>
      <c r="ID48">
        <v>1.86813</v>
      </c>
      <c r="IE48">
        <v>1.86787</v>
      </c>
      <c r="IF48">
        <v>1.86904</v>
      </c>
      <c r="IG48">
        <v>1.86981</v>
      </c>
      <c r="IH48">
        <v>1.86588</v>
      </c>
      <c r="II48">
        <v>1.86696</v>
      </c>
      <c r="IJ48">
        <v>1.86841</v>
      </c>
      <c r="IK48">
        <v>5</v>
      </c>
      <c r="IL48">
        <v>0</v>
      </c>
      <c r="IM48">
        <v>0</v>
      </c>
      <c r="IN48">
        <v>0</v>
      </c>
      <c r="IO48" t="s">
        <v>443</v>
      </c>
      <c r="IP48" t="s">
        <v>444</v>
      </c>
      <c r="IQ48" t="s">
        <v>445</v>
      </c>
      <c r="IR48" t="s">
        <v>445</v>
      </c>
      <c r="IS48" t="s">
        <v>445</v>
      </c>
      <c r="IT48" t="s">
        <v>445</v>
      </c>
      <c r="IU48">
        <v>0</v>
      </c>
      <c r="IV48">
        <v>100</v>
      </c>
      <c r="IW48">
        <v>100</v>
      </c>
      <c r="IX48">
        <v>2.883</v>
      </c>
      <c r="IY48">
        <v>-0.1364</v>
      </c>
      <c r="IZ48">
        <v>1.24656194001752</v>
      </c>
      <c r="JA48">
        <v>0.00408463137630218</v>
      </c>
      <c r="JB48">
        <v>-2.23906557180379e-07</v>
      </c>
      <c r="JC48">
        <v>6.23399102760906e-11</v>
      </c>
      <c r="JD48">
        <v>-0.0873394905990972</v>
      </c>
      <c r="JE48">
        <v>-0.0233348201324191</v>
      </c>
      <c r="JF48">
        <v>0.00274696999164489</v>
      </c>
      <c r="JG48">
        <v>-3.62864435074646e-05</v>
      </c>
      <c r="JH48">
        <v>5</v>
      </c>
      <c r="JI48">
        <v>2263</v>
      </c>
      <c r="JJ48">
        <v>1</v>
      </c>
      <c r="JK48">
        <v>24</v>
      </c>
      <c r="JL48">
        <v>29361374.6</v>
      </c>
      <c r="JM48">
        <v>29361374.6</v>
      </c>
      <c r="JN48">
        <v>1.24756</v>
      </c>
      <c r="JO48">
        <v>2.6123</v>
      </c>
      <c r="JP48">
        <v>2.19849</v>
      </c>
      <c r="JQ48">
        <v>2.63062</v>
      </c>
      <c r="JR48">
        <v>2.44507</v>
      </c>
      <c r="JS48">
        <v>2.34741</v>
      </c>
      <c r="JT48">
        <v>33.0206</v>
      </c>
      <c r="JU48">
        <v>24.1575</v>
      </c>
      <c r="JV48">
        <v>18</v>
      </c>
      <c r="JW48">
        <v>499.215</v>
      </c>
      <c r="JX48">
        <v>787.726</v>
      </c>
      <c r="JY48">
        <v>10.0796</v>
      </c>
      <c r="JZ48">
        <v>27.0576</v>
      </c>
      <c r="KA48">
        <v>30.0014</v>
      </c>
      <c r="KB48">
        <v>26.8857</v>
      </c>
      <c r="KC48">
        <v>26.7905</v>
      </c>
      <c r="KD48">
        <v>24.9975</v>
      </c>
      <c r="KE48">
        <v>39.6625</v>
      </c>
      <c r="KF48">
        <v>0</v>
      </c>
      <c r="KG48">
        <v>10.1073</v>
      </c>
      <c r="KH48">
        <v>420</v>
      </c>
      <c r="KI48">
        <v>3.8429</v>
      </c>
      <c r="KJ48">
        <v>96.5915</v>
      </c>
      <c r="KK48">
        <v>94.6674</v>
      </c>
    </row>
    <row r="49" spans="1:297">
      <c r="A49">
        <v>33</v>
      </c>
      <c r="B49">
        <v>1761682539.1</v>
      </c>
      <c r="C49">
        <v>5190</v>
      </c>
      <c r="D49" t="s">
        <v>548</v>
      </c>
      <c r="E49" t="s">
        <v>549</v>
      </c>
      <c r="F49">
        <v>5</v>
      </c>
      <c r="G49" t="s">
        <v>543</v>
      </c>
      <c r="H49" t="s">
        <v>436</v>
      </c>
      <c r="I49">
        <v>1761682530.6</v>
      </c>
      <c r="J49">
        <f>(K49)/1000</f>
        <v>0</v>
      </c>
      <c r="K49">
        <f>IF(DP49, AN49, AH49)</f>
        <v>0</v>
      </c>
      <c r="L49">
        <f>IF(DP49, AI49, AG49)</f>
        <v>0</v>
      </c>
      <c r="M49">
        <f>DR49 - IF(AU49&gt;1, L49*DL49*100.0/(AW49), 0)</f>
        <v>0</v>
      </c>
      <c r="N49">
        <f>((T49-J49/2)*M49-L49)/(T49+J49/2)</f>
        <v>0</v>
      </c>
      <c r="O49">
        <f>N49*(DY49+DZ49)/1000.0</f>
        <v>0</v>
      </c>
      <c r="P49">
        <f>(DR49 - IF(AU49&gt;1, L49*DL49*100.0/(AW49), 0))*(DY49+DZ49)/1000.0</f>
        <v>0</v>
      </c>
      <c r="Q49">
        <f>2.0/((1/S49-1/R49)+SIGN(S49)*SQRT((1/S49-1/R49)*(1/S49-1/R49) + 4*DM49/((DM49+1)*(DM49+1))*(2*1/S49*1/R49-1/R49*1/R49)))</f>
        <v>0</v>
      </c>
      <c r="R49">
        <f>IF(LEFT(DN49,1)&lt;&gt;"0",IF(LEFT(DN49,1)="1",3.0,DO49),$D$5+$E$5*(EF49*DY49/($K$5*1000))+$F$5*(EF49*DY49/($K$5*1000))*MAX(MIN(DL49,$J$5),$I$5)*MAX(MIN(DL49,$J$5),$I$5)+$G$5*MAX(MIN(DL49,$J$5),$I$5)*(EF49*DY49/($K$5*1000))+$H$5*(EF49*DY49/($K$5*1000))*(EF49*DY49/($K$5*1000)))</f>
        <v>0</v>
      </c>
      <c r="S49">
        <f>J49*(1000-(1000*0.61365*exp(17.502*W49/(240.97+W49))/(DY49+DZ49)+DT49)/2)/(1000*0.61365*exp(17.502*W49/(240.97+W49))/(DY49+DZ49)-DT49)</f>
        <v>0</v>
      </c>
      <c r="T49">
        <f>1/((DM49+1)/(Q49/1.6)+1/(R49/1.37)) + DM49/((DM49+1)/(Q49/1.6) + DM49/(R49/1.37))</f>
        <v>0</v>
      </c>
      <c r="U49">
        <f>(DH49*DK49)</f>
        <v>0</v>
      </c>
      <c r="V49">
        <f>(EA49+(U49+2*0.95*5.67E-8*(((EA49+$B$7)+273)^4-(EA49+273)^4)-44100*J49)/(1.84*29.3*R49+8*0.95*5.67E-8*(EA49+273)^3))</f>
        <v>0</v>
      </c>
      <c r="W49">
        <f>($C$7*EB49+$D$7*EC49+$E$7*V49)</f>
        <v>0</v>
      </c>
      <c r="X49">
        <f>0.61365*exp(17.502*W49/(240.97+W49))</f>
        <v>0</v>
      </c>
      <c r="Y49">
        <f>(Z49/AA49*100)</f>
        <v>0</v>
      </c>
      <c r="Z49">
        <f>DT49*(DY49+DZ49)/1000</f>
        <v>0</v>
      </c>
      <c r="AA49">
        <f>0.61365*exp(17.502*EA49/(240.97+EA49))</f>
        <v>0</v>
      </c>
      <c r="AB49">
        <f>(X49-DT49*(DY49+DZ49)/1000)</f>
        <v>0</v>
      </c>
      <c r="AC49">
        <f>(-J49*44100)</f>
        <v>0</v>
      </c>
      <c r="AD49">
        <f>2*29.3*R49*0.92*(EA49-W49)</f>
        <v>0</v>
      </c>
      <c r="AE49">
        <f>2*0.95*5.67E-8*(((EA49+$B$7)+273)^4-(W49+273)^4)</f>
        <v>0</v>
      </c>
      <c r="AF49">
        <f>U49+AE49+AC49+AD49</f>
        <v>0</v>
      </c>
      <c r="AG49">
        <f>DX49*AU49*(DS49-DR49*(1000-AU49*DU49)/(1000-AU49*DT49))/(100*DL49)</f>
        <v>0</v>
      </c>
      <c r="AH49">
        <f>1000*DX49*AU49*(DT49-DU49)/(100*DL49*(1000-AU49*DT49))</f>
        <v>0</v>
      </c>
      <c r="AI49">
        <f>(AJ49 - AK49 - DY49*1E3/(8.314*(EA49+273.15)) * AM49/DX49 * AL49) * DX49/(100*DL49) * (1000 - DU49)/1000</f>
        <v>0</v>
      </c>
      <c r="AJ49">
        <v>421.621731088295</v>
      </c>
      <c r="AK49">
        <v>414.198503030303</v>
      </c>
      <c r="AL49">
        <v>0.000404885172428714</v>
      </c>
      <c r="AM49">
        <v>64.2078930913761</v>
      </c>
      <c r="AN49">
        <f>(AP49 - AO49 + DY49*1E3/(8.314*(EA49+273.15)) * AR49/DX49 * AQ49) * DX49/(100*DL49) * 1000/(1000 - AP49)</f>
        <v>0</v>
      </c>
      <c r="AO49">
        <v>3.88952203742685</v>
      </c>
      <c r="AP49">
        <v>5.83510776223777</v>
      </c>
      <c r="AQ49">
        <v>4.72949953866621e-05</v>
      </c>
      <c r="AR49">
        <v>109.012256791894</v>
      </c>
      <c r="AS49">
        <v>0</v>
      </c>
      <c r="AT49">
        <v>0</v>
      </c>
      <c r="AU49">
        <f>IF(AS49*$H$13&gt;=AW49,1.0,(AW49/(AW49-AS49*$H$13)))</f>
        <v>0</v>
      </c>
      <c r="AV49">
        <f>(AU49-1)*100</f>
        <v>0</v>
      </c>
      <c r="AW49">
        <f>MAX(0,($B$13+$C$13*EF49)/(1+$D$13*EF49)*DY49/(EA49+273)*$E$13)</f>
        <v>0</v>
      </c>
      <c r="AX49" t="s">
        <v>540</v>
      </c>
      <c r="AY49">
        <v>5107.41</v>
      </c>
      <c r="AZ49">
        <v>719.256</v>
      </c>
      <c r="BA49">
        <v>1996.26391154014</v>
      </c>
      <c r="BB49">
        <f>1-AZ49/BA49</f>
        <v>0</v>
      </c>
      <c r="BC49">
        <v>-0.942338719303804</v>
      </c>
      <c r="BD49" t="s">
        <v>550</v>
      </c>
      <c r="BE49">
        <v>5145.03</v>
      </c>
      <c r="BF49">
        <v>1740.4488</v>
      </c>
      <c r="BG49">
        <v>1881.12377701575</v>
      </c>
      <c r="BH49">
        <f>1-BF49/BG49</f>
        <v>0</v>
      </c>
      <c r="BI49">
        <v>0.5</v>
      </c>
      <c r="BJ49">
        <f>DI49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551</v>
      </c>
      <c r="BQ49">
        <v>843.67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BZ49">
        <v>38</v>
      </c>
      <c r="CA49">
        <v>290</v>
      </c>
      <c r="CB49">
        <v>1833.01</v>
      </c>
      <c r="CC49">
        <v>115</v>
      </c>
      <c r="CD49">
        <v>5145.03</v>
      </c>
      <c r="CE49">
        <v>1830.4</v>
      </c>
      <c r="CF49">
        <v>2.61</v>
      </c>
      <c r="CG49">
        <v>300</v>
      </c>
      <c r="CH49">
        <v>23.7</v>
      </c>
      <c r="CI49">
        <v>1881.12377701575</v>
      </c>
      <c r="CJ49">
        <v>1.93068692821676</v>
      </c>
      <c r="CK49">
        <v>-26.0998973271398</v>
      </c>
      <c r="CL49">
        <v>0.901777787137277</v>
      </c>
      <c r="CM49">
        <v>0.967655512403854</v>
      </c>
      <c r="CN49">
        <v>-0.00298933570634039</v>
      </c>
      <c r="CO49">
        <v>290</v>
      </c>
      <c r="CP49">
        <v>1828.1</v>
      </c>
      <c r="CQ49">
        <v>705</v>
      </c>
      <c r="CR49">
        <v>5142.09</v>
      </c>
      <c r="CS49">
        <v>1830.37</v>
      </c>
      <c r="CT49">
        <v>-2.27</v>
      </c>
      <c r="DH49">
        <f>$B$11*EG49+$C$11*EH49+$F$11*ES49*(1-EV49)</f>
        <v>0</v>
      </c>
      <c r="DI49">
        <f>DH49*DJ49</f>
        <v>0</v>
      </c>
      <c r="DJ49">
        <f>($B$11*$D$9+$C$11*$D$9+$F$11*((FF49+EX49)/MAX(FF49+EX49+FG49, 0.1)*$I$9+FG49/MAX(FF49+EX49+FG49, 0.1)*$J$9))/($B$11+$C$11+$F$11)</f>
        <v>0</v>
      </c>
      <c r="DK49">
        <f>($B$11*$K$9+$C$11*$K$9+$F$11*((FF49+EX49)/MAX(FF49+EX49+FG49, 0.1)*$P$9+FG49/MAX(FF49+EX49+FG49, 0.1)*$Q$9))/($B$11+$C$11+$F$11)</f>
        <v>0</v>
      </c>
      <c r="DL49">
        <v>6</v>
      </c>
      <c r="DM49">
        <v>0.5</v>
      </c>
      <c r="DN49" t="s">
        <v>440</v>
      </c>
      <c r="DO49">
        <v>2</v>
      </c>
      <c r="DP49" t="b">
        <v>1</v>
      </c>
      <c r="DQ49">
        <v>1761682530.6</v>
      </c>
      <c r="DR49">
        <v>411.762625</v>
      </c>
      <c r="DS49">
        <v>420.00175</v>
      </c>
      <c r="DT49">
        <v>5.824170625</v>
      </c>
      <c r="DU49">
        <v>3.881615</v>
      </c>
      <c r="DV49">
        <v>408.8790625</v>
      </c>
      <c r="DW49">
        <v>5.960685625</v>
      </c>
      <c r="DX49">
        <v>500.03875</v>
      </c>
      <c r="DY49">
        <v>90.92145</v>
      </c>
      <c r="DZ49">
        <v>0.02010795</v>
      </c>
      <c r="EA49">
        <v>17.799225</v>
      </c>
      <c r="EB49">
        <v>17.9548375</v>
      </c>
      <c r="EC49">
        <v>999.9</v>
      </c>
      <c r="ED49">
        <v>0</v>
      </c>
      <c r="EE49">
        <v>0</v>
      </c>
      <c r="EF49">
        <v>10002.9625</v>
      </c>
      <c r="EG49">
        <v>0</v>
      </c>
      <c r="EH49">
        <v>1310.4275</v>
      </c>
      <c r="EI49">
        <v>-8.239155625</v>
      </c>
      <c r="EJ49">
        <v>414.17475</v>
      </c>
      <c r="EK49">
        <v>421.6385</v>
      </c>
      <c r="EL49">
        <v>1.942555625</v>
      </c>
      <c r="EM49">
        <v>420.00175</v>
      </c>
      <c r="EN49">
        <v>3.881615</v>
      </c>
      <c r="EO49">
        <v>0.5295420625</v>
      </c>
      <c r="EP49">
        <v>0.352922125</v>
      </c>
      <c r="EQ49">
        <v>-2.012646875</v>
      </c>
      <c r="ER49">
        <v>-7.382925</v>
      </c>
      <c r="ES49">
        <v>1499.97875</v>
      </c>
      <c r="ET49">
        <v>0.9730025</v>
      </c>
      <c r="EU49">
        <v>0.0269975</v>
      </c>
      <c r="EV49">
        <v>0</v>
      </c>
      <c r="EW49">
        <v>1740.755</v>
      </c>
      <c r="EX49">
        <v>5.00059</v>
      </c>
      <c r="EY49">
        <v>25559.375</v>
      </c>
      <c r="EZ49">
        <v>12982.1875</v>
      </c>
      <c r="FA49">
        <v>37.003875</v>
      </c>
      <c r="FB49">
        <v>38.25</v>
      </c>
      <c r="FC49">
        <v>37.0659375</v>
      </c>
      <c r="FD49">
        <v>37.437</v>
      </c>
      <c r="FE49">
        <v>37.644375</v>
      </c>
      <c r="FF49">
        <v>1454.61875</v>
      </c>
      <c r="FG49">
        <v>40.36</v>
      </c>
      <c r="FH49">
        <v>0</v>
      </c>
      <c r="FI49">
        <v>132.399999856949</v>
      </c>
      <c r="FJ49">
        <v>0</v>
      </c>
      <c r="FK49">
        <v>1740.4488</v>
      </c>
      <c r="FL49">
        <v>-10.886153873924</v>
      </c>
      <c r="FM49">
        <v>-188.461538785142</v>
      </c>
      <c r="FN49">
        <v>25554.564</v>
      </c>
      <c r="FO49">
        <v>15</v>
      </c>
      <c r="FP49">
        <v>0</v>
      </c>
      <c r="FQ49" t="s">
        <v>441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-8.232244</v>
      </c>
      <c r="GD49">
        <v>-0.082606015037599</v>
      </c>
      <c r="GE49">
        <v>0.038909765406643</v>
      </c>
      <c r="GF49">
        <v>1</v>
      </c>
      <c r="GG49">
        <v>1741.45647058824</v>
      </c>
      <c r="GH49">
        <v>-12.1460656881681</v>
      </c>
      <c r="GI49">
        <v>1.21210774698928</v>
      </c>
      <c r="GJ49">
        <v>-1</v>
      </c>
      <c r="GK49">
        <v>1.9427565</v>
      </c>
      <c r="GL49">
        <v>-0.015807067669172</v>
      </c>
      <c r="GM49">
        <v>0.00556298415870472</v>
      </c>
      <c r="GN49">
        <v>1</v>
      </c>
      <c r="GO49">
        <v>2</v>
      </c>
      <c r="GP49">
        <v>2</v>
      </c>
      <c r="GQ49" t="s">
        <v>442</v>
      </c>
      <c r="GR49">
        <v>3.12828</v>
      </c>
      <c r="GS49">
        <v>2.69794</v>
      </c>
      <c r="GT49">
        <v>0.0885547</v>
      </c>
      <c r="GU49">
        <v>0.0905236</v>
      </c>
      <c r="GV49">
        <v>0.0350955</v>
      </c>
      <c r="GW49">
        <v>0.0248551</v>
      </c>
      <c r="GX49">
        <v>34344.8</v>
      </c>
      <c r="GY49">
        <v>36760.2</v>
      </c>
      <c r="GZ49">
        <v>34087.8</v>
      </c>
      <c r="HA49">
        <v>36591.5</v>
      </c>
      <c r="HB49">
        <v>46447.1</v>
      </c>
      <c r="HC49">
        <v>51187.7</v>
      </c>
      <c r="HD49">
        <v>53105.9</v>
      </c>
      <c r="HE49">
        <v>58389.9</v>
      </c>
      <c r="HF49">
        <v>1.9631</v>
      </c>
      <c r="HG49">
        <v>2.34508</v>
      </c>
      <c r="HH49">
        <v>-0.00353158</v>
      </c>
      <c r="HI49">
        <v>0</v>
      </c>
      <c r="HJ49">
        <v>18.0492</v>
      </c>
      <c r="HK49">
        <v>999.9</v>
      </c>
      <c r="HL49">
        <v>20.388</v>
      </c>
      <c r="HM49">
        <v>29.457</v>
      </c>
      <c r="HN49">
        <v>9.2598</v>
      </c>
      <c r="HO49">
        <v>55.556</v>
      </c>
      <c r="HP49">
        <v>32.5641</v>
      </c>
      <c r="HQ49">
        <v>2</v>
      </c>
      <c r="HR49">
        <v>-0.0097815</v>
      </c>
      <c r="HS49">
        <v>5.66284</v>
      </c>
      <c r="HT49">
        <v>20.0455</v>
      </c>
      <c r="HU49">
        <v>5.20112</v>
      </c>
      <c r="HV49">
        <v>12.004</v>
      </c>
      <c r="HW49">
        <v>4.97575</v>
      </c>
      <c r="HX49">
        <v>3.294</v>
      </c>
      <c r="HY49">
        <v>9999</v>
      </c>
      <c r="HZ49">
        <v>9999</v>
      </c>
      <c r="IA49">
        <v>9999</v>
      </c>
      <c r="IB49">
        <v>999.9</v>
      </c>
      <c r="IC49">
        <v>1.86322</v>
      </c>
      <c r="ID49">
        <v>1.86813</v>
      </c>
      <c r="IE49">
        <v>1.86784</v>
      </c>
      <c r="IF49">
        <v>1.86904</v>
      </c>
      <c r="IG49">
        <v>1.86981</v>
      </c>
      <c r="IH49">
        <v>1.86587</v>
      </c>
      <c r="II49">
        <v>1.86694</v>
      </c>
      <c r="IJ49">
        <v>1.86844</v>
      </c>
      <c r="IK49">
        <v>5</v>
      </c>
      <c r="IL49">
        <v>0</v>
      </c>
      <c r="IM49">
        <v>0</v>
      </c>
      <c r="IN49">
        <v>0</v>
      </c>
      <c r="IO49" t="s">
        <v>443</v>
      </c>
      <c r="IP49" t="s">
        <v>444</v>
      </c>
      <c r="IQ49" t="s">
        <v>445</v>
      </c>
      <c r="IR49" t="s">
        <v>445</v>
      </c>
      <c r="IS49" t="s">
        <v>445</v>
      </c>
      <c r="IT49" t="s">
        <v>445</v>
      </c>
      <c r="IU49">
        <v>0</v>
      </c>
      <c r="IV49">
        <v>100</v>
      </c>
      <c r="IW49">
        <v>100</v>
      </c>
      <c r="IX49">
        <v>2.883</v>
      </c>
      <c r="IY49">
        <v>-0.1364</v>
      </c>
      <c r="IZ49">
        <v>1.24656194001752</v>
      </c>
      <c r="JA49">
        <v>0.00408463137630218</v>
      </c>
      <c r="JB49">
        <v>-2.23906557180379e-07</v>
      </c>
      <c r="JC49">
        <v>6.23399102760906e-11</v>
      </c>
      <c r="JD49">
        <v>-0.0873394905990972</v>
      </c>
      <c r="JE49">
        <v>-0.0233348201324191</v>
      </c>
      <c r="JF49">
        <v>0.00274696999164489</v>
      </c>
      <c r="JG49">
        <v>-3.62864435074646e-05</v>
      </c>
      <c r="JH49">
        <v>5</v>
      </c>
      <c r="JI49">
        <v>2263</v>
      </c>
      <c r="JJ49">
        <v>1</v>
      </c>
      <c r="JK49">
        <v>24</v>
      </c>
      <c r="JL49">
        <v>29361375.7</v>
      </c>
      <c r="JM49">
        <v>29361375.7</v>
      </c>
      <c r="JN49">
        <v>1.24756</v>
      </c>
      <c r="JO49">
        <v>2.6123</v>
      </c>
      <c r="JP49">
        <v>2.19849</v>
      </c>
      <c r="JQ49">
        <v>2.63062</v>
      </c>
      <c r="JR49">
        <v>2.44629</v>
      </c>
      <c r="JS49">
        <v>2.33765</v>
      </c>
      <c r="JT49">
        <v>33.0206</v>
      </c>
      <c r="JU49">
        <v>24.1663</v>
      </c>
      <c r="JV49">
        <v>18</v>
      </c>
      <c r="JW49">
        <v>498.9</v>
      </c>
      <c r="JX49">
        <v>788.034</v>
      </c>
      <c r="JY49">
        <v>10.9944</v>
      </c>
      <c r="JZ49">
        <v>27.0667</v>
      </c>
      <c r="KA49">
        <v>30.0005</v>
      </c>
      <c r="KB49">
        <v>26.9122</v>
      </c>
      <c r="KC49">
        <v>26.8196</v>
      </c>
      <c r="KD49">
        <v>24.9951</v>
      </c>
      <c r="KE49">
        <v>39.0594</v>
      </c>
      <c r="KF49">
        <v>0</v>
      </c>
      <c r="KG49">
        <v>10.9848</v>
      </c>
      <c r="KH49">
        <v>420</v>
      </c>
      <c r="KI49">
        <v>3.97632</v>
      </c>
      <c r="KJ49">
        <v>96.5857</v>
      </c>
      <c r="KK49">
        <v>94.6614</v>
      </c>
    </row>
    <row r="50" spans="1:297">
      <c r="A50">
        <v>34</v>
      </c>
      <c r="B50">
        <v>1761682609.1</v>
      </c>
      <c r="C50">
        <v>5260</v>
      </c>
      <c r="D50" t="s">
        <v>552</v>
      </c>
      <c r="E50" t="s">
        <v>553</v>
      </c>
      <c r="F50">
        <v>5</v>
      </c>
      <c r="G50" t="s">
        <v>543</v>
      </c>
      <c r="H50" t="s">
        <v>436</v>
      </c>
      <c r="I50">
        <v>1761682600.6</v>
      </c>
      <c r="J50">
        <f>(K50)/1000</f>
        <v>0</v>
      </c>
      <c r="K50">
        <f>IF(DP50, AN50, AH50)</f>
        <v>0</v>
      </c>
      <c r="L50">
        <f>IF(DP50, AI50, AG50)</f>
        <v>0</v>
      </c>
      <c r="M50">
        <f>DR50 - IF(AU50&gt;1, L50*DL50*100.0/(AW50), 0)</f>
        <v>0</v>
      </c>
      <c r="N50">
        <f>((T50-J50/2)*M50-L50)/(T50+J50/2)</f>
        <v>0</v>
      </c>
      <c r="O50">
        <f>N50*(DY50+DZ50)/1000.0</f>
        <v>0</v>
      </c>
      <c r="P50">
        <f>(DR50 - IF(AU50&gt;1, L50*DL50*100.0/(AW50), 0))*(DY50+DZ50)/1000.0</f>
        <v>0</v>
      </c>
      <c r="Q50">
        <f>2.0/((1/S50-1/R50)+SIGN(S50)*SQRT((1/S50-1/R50)*(1/S50-1/R50) + 4*DM50/((DM50+1)*(DM50+1))*(2*1/S50*1/R50-1/R50*1/R50)))</f>
        <v>0</v>
      </c>
      <c r="R50">
        <f>IF(LEFT(DN50,1)&lt;&gt;"0",IF(LEFT(DN50,1)="1",3.0,DO50),$D$5+$E$5*(EF50*DY50/($K$5*1000))+$F$5*(EF50*DY50/($K$5*1000))*MAX(MIN(DL50,$J$5),$I$5)*MAX(MIN(DL50,$J$5),$I$5)+$G$5*MAX(MIN(DL50,$J$5),$I$5)*(EF50*DY50/($K$5*1000))+$H$5*(EF50*DY50/($K$5*1000))*(EF50*DY50/($K$5*1000)))</f>
        <v>0</v>
      </c>
      <c r="S50">
        <f>J50*(1000-(1000*0.61365*exp(17.502*W50/(240.97+W50))/(DY50+DZ50)+DT50)/2)/(1000*0.61365*exp(17.502*W50/(240.97+W50))/(DY50+DZ50)-DT50)</f>
        <v>0</v>
      </c>
      <c r="T50">
        <f>1/((DM50+1)/(Q50/1.6)+1/(R50/1.37)) + DM50/((DM50+1)/(Q50/1.6) + DM50/(R50/1.37))</f>
        <v>0</v>
      </c>
      <c r="U50">
        <f>(DH50*DK50)</f>
        <v>0</v>
      </c>
      <c r="V50">
        <f>(EA50+(U50+2*0.95*5.67E-8*(((EA50+$B$7)+273)^4-(EA50+273)^4)-44100*J50)/(1.84*29.3*R50+8*0.95*5.67E-8*(EA50+273)^3))</f>
        <v>0</v>
      </c>
      <c r="W50">
        <f>($C$7*EB50+$D$7*EC50+$E$7*V50)</f>
        <v>0</v>
      </c>
      <c r="X50">
        <f>0.61365*exp(17.502*W50/(240.97+W50))</f>
        <v>0</v>
      </c>
      <c r="Y50">
        <f>(Z50/AA50*100)</f>
        <v>0</v>
      </c>
      <c r="Z50">
        <f>DT50*(DY50+DZ50)/1000</f>
        <v>0</v>
      </c>
      <c r="AA50">
        <f>0.61365*exp(17.502*EA50/(240.97+EA50))</f>
        <v>0</v>
      </c>
      <c r="AB50">
        <f>(X50-DT50*(DY50+DZ50)/1000)</f>
        <v>0</v>
      </c>
      <c r="AC50">
        <f>(-J50*44100)</f>
        <v>0</v>
      </c>
      <c r="AD50">
        <f>2*29.3*R50*0.92*(EA50-W50)</f>
        <v>0</v>
      </c>
      <c r="AE50">
        <f>2*0.95*5.67E-8*(((EA50+$B$7)+273)^4-(W50+273)^4)</f>
        <v>0</v>
      </c>
      <c r="AF50">
        <f>U50+AE50+AC50+AD50</f>
        <v>0</v>
      </c>
      <c r="AG50">
        <f>DX50*AU50*(DS50-DR50*(1000-AU50*DU50)/(1000-AU50*DT50))/(100*DL50)</f>
        <v>0</v>
      </c>
      <c r="AH50">
        <f>1000*DX50*AU50*(DT50-DU50)/(100*DL50*(1000-AU50*DT50))</f>
        <v>0</v>
      </c>
      <c r="AI50">
        <f>(AJ50 - AK50 - DY50*1E3/(8.314*(EA50+273.15)) * AM50/DX50 * AL50) * DX50/(100*DL50) * (1000 - DU50)/1000</f>
        <v>0</v>
      </c>
      <c r="AJ50">
        <v>421.714174417938</v>
      </c>
      <c r="AK50">
        <v>414.550812121212</v>
      </c>
      <c r="AL50">
        <v>-0.000263525416289728</v>
      </c>
      <c r="AM50">
        <v>64.2078930913761</v>
      </c>
      <c r="AN50">
        <f>(AP50 - AO50 + DY50*1E3/(8.314*(EA50+273.15)) * AR50/DX50 * AQ50) * DX50/(100*DL50) * 1000/(1000 - AP50)</f>
        <v>0</v>
      </c>
      <c r="AO50">
        <v>4.02588720975942</v>
      </c>
      <c r="AP50">
        <v>5.95892454545455</v>
      </c>
      <c r="AQ50">
        <v>1.8538575816356e-05</v>
      </c>
      <c r="AR50">
        <v>109.012256791894</v>
      </c>
      <c r="AS50">
        <v>0</v>
      </c>
      <c r="AT50">
        <v>0</v>
      </c>
      <c r="AU50">
        <f>IF(AS50*$H$13&gt;=AW50,1.0,(AW50/(AW50-AS50*$H$13)))</f>
        <v>0</v>
      </c>
      <c r="AV50">
        <f>(AU50-1)*100</f>
        <v>0</v>
      </c>
      <c r="AW50">
        <f>MAX(0,($B$13+$C$13*EF50)/(1+$D$13*EF50)*DY50/(EA50+273)*$E$13)</f>
        <v>0</v>
      </c>
      <c r="AX50" t="s">
        <v>448</v>
      </c>
      <c r="AY50" t="s">
        <v>448</v>
      </c>
      <c r="AZ50">
        <v>0</v>
      </c>
      <c r="BA50">
        <v>0</v>
      </c>
      <c r="BB50">
        <f>1-AZ50/BA50</f>
        <v>0</v>
      </c>
      <c r="BC50">
        <v>0</v>
      </c>
      <c r="BD50" t="s">
        <v>448</v>
      </c>
      <c r="BE50" t="s">
        <v>448</v>
      </c>
      <c r="BF50">
        <v>0</v>
      </c>
      <c r="BG50">
        <v>0</v>
      </c>
      <c r="BH50">
        <f>1-BF50/BG50</f>
        <v>0</v>
      </c>
      <c r="BI50">
        <v>0.5</v>
      </c>
      <c r="BJ50">
        <f>DI50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448</v>
      </c>
      <c r="BQ50">
        <v>0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BZ50">
        <v>38</v>
      </c>
      <c r="CA50">
        <v>290</v>
      </c>
      <c r="CB50">
        <v>1833.01</v>
      </c>
      <c r="CC50">
        <v>115</v>
      </c>
      <c r="CD50">
        <v>5145.03</v>
      </c>
      <c r="CE50">
        <v>1830.4</v>
      </c>
      <c r="CF50">
        <v>2.61</v>
      </c>
      <c r="CG50">
        <v>300</v>
      </c>
      <c r="CH50">
        <v>23.7</v>
      </c>
      <c r="CI50">
        <v>1881.12377701575</v>
      </c>
      <c r="CJ50">
        <v>1.93068692821676</v>
      </c>
      <c r="CK50">
        <v>-26.0998973271398</v>
      </c>
      <c r="CL50">
        <v>0.901777787137277</v>
      </c>
      <c r="CM50">
        <v>0.967655512403854</v>
      </c>
      <c r="CN50">
        <v>-0.00298933570634039</v>
      </c>
      <c r="CO50">
        <v>290</v>
      </c>
      <c r="CP50">
        <v>1828.1</v>
      </c>
      <c r="CQ50">
        <v>705</v>
      </c>
      <c r="CR50">
        <v>5142.09</v>
      </c>
      <c r="CS50">
        <v>1830.37</v>
      </c>
      <c r="CT50">
        <v>-2.27</v>
      </c>
      <c r="DH50">
        <f>$B$11*EG50+$C$11*EH50+$F$11*ES50*(1-EV50)</f>
        <v>0</v>
      </c>
      <c r="DI50">
        <f>DH50*DJ50</f>
        <v>0</v>
      </c>
      <c r="DJ50">
        <f>($B$11*$D$9+$C$11*$D$9+$F$11*((FF50+EX50)/MAX(FF50+EX50+FG50, 0.1)*$I$9+FG50/MAX(FF50+EX50+FG50, 0.1)*$J$9))/($B$11+$C$11+$F$11)</f>
        <v>0</v>
      </c>
      <c r="DK50">
        <f>($B$11*$K$9+$C$11*$K$9+$F$11*((FF50+EX50)/MAX(FF50+EX50+FG50, 0.1)*$P$9+FG50/MAX(FF50+EX50+FG50, 0.1)*$Q$9))/($B$11+$C$11+$F$11)</f>
        <v>0</v>
      </c>
      <c r="DL50">
        <v>6</v>
      </c>
      <c r="DM50">
        <v>0.5</v>
      </c>
      <c r="DN50" t="s">
        <v>440</v>
      </c>
      <c r="DO50">
        <v>2</v>
      </c>
      <c r="DP50" t="b">
        <v>1</v>
      </c>
      <c r="DQ50">
        <v>1761682600.6</v>
      </c>
      <c r="DR50">
        <v>412.096375</v>
      </c>
      <c r="DS50">
        <v>420.0055625</v>
      </c>
      <c r="DT50">
        <v>5.9521475</v>
      </c>
      <c r="DU50">
        <v>4.025944375</v>
      </c>
      <c r="DV50">
        <v>409.2116875</v>
      </c>
      <c r="DW50">
        <v>6.087925</v>
      </c>
      <c r="DX50">
        <v>499.97025</v>
      </c>
      <c r="DY50">
        <v>90.9249125</v>
      </c>
      <c r="DZ50">
        <v>0.02013715625</v>
      </c>
      <c r="EA50">
        <v>18.0264875</v>
      </c>
      <c r="EB50">
        <v>18.0183125</v>
      </c>
      <c r="EC50">
        <v>999.9</v>
      </c>
      <c r="ED50">
        <v>0</v>
      </c>
      <c r="EE50">
        <v>0</v>
      </c>
      <c r="EF50">
        <v>9986.4025</v>
      </c>
      <c r="EG50">
        <v>0</v>
      </c>
      <c r="EH50">
        <v>1310.51375</v>
      </c>
      <c r="EI50">
        <v>-7.909161875</v>
      </c>
      <c r="EJ50">
        <v>414.563875</v>
      </c>
      <c r="EK50">
        <v>421.70325</v>
      </c>
      <c r="EL50">
        <v>1.92620375</v>
      </c>
      <c r="EM50">
        <v>420.0055625</v>
      </c>
      <c r="EN50">
        <v>4.025944375</v>
      </c>
      <c r="EO50">
        <v>0.5411984375</v>
      </c>
      <c r="EP50">
        <v>0.3660586875</v>
      </c>
      <c r="EQ50">
        <v>-1.717485625</v>
      </c>
      <c r="ER50">
        <v>-6.909105</v>
      </c>
      <c r="ES50">
        <v>1199.98875</v>
      </c>
      <c r="ET50">
        <v>0.966999</v>
      </c>
      <c r="EU50">
        <v>0.03300075</v>
      </c>
      <c r="EV50">
        <v>0</v>
      </c>
      <c r="EW50">
        <v>1707.005625</v>
      </c>
      <c r="EX50">
        <v>5.00059</v>
      </c>
      <c r="EY50">
        <v>19982.99375</v>
      </c>
      <c r="EZ50">
        <v>10358.61875</v>
      </c>
      <c r="FA50">
        <v>36.585625</v>
      </c>
      <c r="FB50">
        <v>38.187</v>
      </c>
      <c r="FC50">
        <v>36.9215</v>
      </c>
      <c r="FD50">
        <v>37.375</v>
      </c>
      <c r="FE50">
        <v>37.3905</v>
      </c>
      <c r="FF50">
        <v>1155.54875</v>
      </c>
      <c r="FG50">
        <v>39.438125</v>
      </c>
      <c r="FH50">
        <v>0</v>
      </c>
      <c r="FI50">
        <v>67</v>
      </c>
      <c r="FJ50">
        <v>0</v>
      </c>
      <c r="FK50">
        <v>1706.96115384615</v>
      </c>
      <c r="FL50">
        <v>-7.41777778658762</v>
      </c>
      <c r="FM50">
        <v>-108.533333225317</v>
      </c>
      <c r="FN50">
        <v>19982.1538461538</v>
      </c>
      <c r="FO50">
        <v>15</v>
      </c>
      <c r="FP50">
        <v>0</v>
      </c>
      <c r="FQ50" t="s">
        <v>441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-7.89682523809524</v>
      </c>
      <c r="GD50">
        <v>-0.331729090909098</v>
      </c>
      <c r="GE50">
        <v>0.0402061376052685</v>
      </c>
      <c r="GF50">
        <v>1</v>
      </c>
      <c r="GG50">
        <v>1707.34205882353</v>
      </c>
      <c r="GH50">
        <v>-7.68021390666483</v>
      </c>
      <c r="GI50">
        <v>0.78142697303514</v>
      </c>
      <c r="GJ50">
        <v>-1</v>
      </c>
      <c r="GK50">
        <v>1.92246476190476</v>
      </c>
      <c r="GL50">
        <v>0.0792264935064962</v>
      </c>
      <c r="GM50">
        <v>0.0081835070017733</v>
      </c>
      <c r="GN50">
        <v>1</v>
      </c>
      <c r="GO50">
        <v>2</v>
      </c>
      <c r="GP50">
        <v>2</v>
      </c>
      <c r="GQ50" t="s">
        <v>442</v>
      </c>
      <c r="GR50">
        <v>3.12819</v>
      </c>
      <c r="GS50">
        <v>2.69844</v>
      </c>
      <c r="GT50">
        <v>0.088606</v>
      </c>
      <c r="GU50">
        <v>0.0905344</v>
      </c>
      <c r="GV50">
        <v>0.0356951</v>
      </c>
      <c r="GW50">
        <v>0.0255132</v>
      </c>
      <c r="GX50">
        <v>34343.1</v>
      </c>
      <c r="GY50">
        <v>36760.1</v>
      </c>
      <c r="GZ50">
        <v>34088</v>
      </c>
      <c r="HA50">
        <v>36591.7</v>
      </c>
      <c r="HB50">
        <v>46418.5</v>
      </c>
      <c r="HC50">
        <v>51153</v>
      </c>
      <c r="HD50">
        <v>53106.5</v>
      </c>
      <c r="HE50">
        <v>58389.8</v>
      </c>
      <c r="HF50">
        <v>1.96305</v>
      </c>
      <c r="HG50">
        <v>2.34567</v>
      </c>
      <c r="HH50">
        <v>-0.00841916</v>
      </c>
      <c r="HI50">
        <v>0</v>
      </c>
      <c r="HJ50">
        <v>18.1974</v>
      </c>
      <c r="HK50">
        <v>999.9</v>
      </c>
      <c r="HL50">
        <v>20.364</v>
      </c>
      <c r="HM50">
        <v>29.477</v>
      </c>
      <c r="HN50">
        <v>9.25848</v>
      </c>
      <c r="HO50">
        <v>55.936</v>
      </c>
      <c r="HP50">
        <v>32.6282</v>
      </c>
      <c r="HQ50">
        <v>2</v>
      </c>
      <c r="HR50">
        <v>-0.00704522</v>
      </c>
      <c r="HS50">
        <v>6.44586</v>
      </c>
      <c r="HT50">
        <v>20.0176</v>
      </c>
      <c r="HU50">
        <v>5.20052</v>
      </c>
      <c r="HV50">
        <v>12.0044</v>
      </c>
      <c r="HW50">
        <v>4.97575</v>
      </c>
      <c r="HX50">
        <v>3.294</v>
      </c>
      <c r="HY50">
        <v>9999</v>
      </c>
      <c r="HZ50">
        <v>9999</v>
      </c>
      <c r="IA50">
        <v>9999</v>
      </c>
      <c r="IB50">
        <v>999.9</v>
      </c>
      <c r="IC50">
        <v>1.86318</v>
      </c>
      <c r="ID50">
        <v>1.86813</v>
      </c>
      <c r="IE50">
        <v>1.86784</v>
      </c>
      <c r="IF50">
        <v>1.86902</v>
      </c>
      <c r="IG50">
        <v>1.86981</v>
      </c>
      <c r="IH50">
        <v>1.86585</v>
      </c>
      <c r="II50">
        <v>1.86694</v>
      </c>
      <c r="IJ50">
        <v>1.86843</v>
      </c>
      <c r="IK50">
        <v>5</v>
      </c>
      <c r="IL50">
        <v>0</v>
      </c>
      <c r="IM50">
        <v>0</v>
      </c>
      <c r="IN50">
        <v>0</v>
      </c>
      <c r="IO50" t="s">
        <v>443</v>
      </c>
      <c r="IP50" t="s">
        <v>444</v>
      </c>
      <c r="IQ50" t="s">
        <v>445</v>
      </c>
      <c r="IR50" t="s">
        <v>445</v>
      </c>
      <c r="IS50" t="s">
        <v>445</v>
      </c>
      <c r="IT50" t="s">
        <v>445</v>
      </c>
      <c r="IU50">
        <v>0</v>
      </c>
      <c r="IV50">
        <v>100</v>
      </c>
      <c r="IW50">
        <v>100</v>
      </c>
      <c r="IX50">
        <v>2.885</v>
      </c>
      <c r="IY50">
        <v>-0.1357</v>
      </c>
      <c r="IZ50">
        <v>1.24656194001752</v>
      </c>
      <c r="JA50">
        <v>0.00408463137630218</v>
      </c>
      <c r="JB50">
        <v>-2.23906557180379e-07</v>
      </c>
      <c r="JC50">
        <v>6.23399102760906e-11</v>
      </c>
      <c r="JD50">
        <v>-0.0873394905990972</v>
      </c>
      <c r="JE50">
        <v>-0.0233348201324191</v>
      </c>
      <c r="JF50">
        <v>0.00274696999164489</v>
      </c>
      <c r="JG50">
        <v>-3.62864435074646e-05</v>
      </c>
      <c r="JH50">
        <v>5</v>
      </c>
      <c r="JI50">
        <v>2263</v>
      </c>
      <c r="JJ50">
        <v>1</v>
      </c>
      <c r="JK50">
        <v>24</v>
      </c>
      <c r="JL50">
        <v>29361376.8</v>
      </c>
      <c r="JM50">
        <v>29361376.8</v>
      </c>
      <c r="JN50">
        <v>1.24756</v>
      </c>
      <c r="JO50">
        <v>2.61353</v>
      </c>
      <c r="JP50">
        <v>2.19849</v>
      </c>
      <c r="JQ50">
        <v>2.62939</v>
      </c>
      <c r="JR50">
        <v>2.44507</v>
      </c>
      <c r="JS50">
        <v>2.33521</v>
      </c>
      <c r="JT50">
        <v>33.0206</v>
      </c>
      <c r="JU50">
        <v>24.1488</v>
      </c>
      <c r="JV50">
        <v>18</v>
      </c>
      <c r="JW50">
        <v>498.981</v>
      </c>
      <c r="JX50">
        <v>788.883</v>
      </c>
      <c r="JY50">
        <v>11.3398</v>
      </c>
      <c r="JZ50">
        <v>27.0458</v>
      </c>
      <c r="KA50">
        <v>30.0028</v>
      </c>
      <c r="KB50">
        <v>26.9248</v>
      </c>
      <c r="KC50">
        <v>26.8395</v>
      </c>
      <c r="KD50">
        <v>24.9909</v>
      </c>
      <c r="KE50">
        <v>37.8812</v>
      </c>
      <c r="KF50">
        <v>0</v>
      </c>
      <c r="KG50">
        <v>11.2454</v>
      </c>
      <c r="KH50">
        <v>420</v>
      </c>
      <c r="KI50">
        <v>4.08773</v>
      </c>
      <c r="KJ50">
        <v>96.5866</v>
      </c>
      <c r="KK50">
        <v>94.6616</v>
      </c>
    </row>
    <row r="51" spans="1:297">
      <c r="A51">
        <v>35</v>
      </c>
      <c r="B51">
        <v>1761682670.1</v>
      </c>
      <c r="C51">
        <v>5321</v>
      </c>
      <c r="D51" t="s">
        <v>554</v>
      </c>
      <c r="E51" t="s">
        <v>555</v>
      </c>
      <c r="F51">
        <v>5</v>
      </c>
      <c r="G51" t="s">
        <v>543</v>
      </c>
      <c r="H51" t="s">
        <v>436</v>
      </c>
      <c r="I51">
        <v>1761682661.6</v>
      </c>
      <c r="J51">
        <f>(K51)/1000</f>
        <v>0</v>
      </c>
      <c r="K51">
        <f>IF(DP51, AN51, AH51)</f>
        <v>0</v>
      </c>
      <c r="L51">
        <f>IF(DP51, AI51, AG51)</f>
        <v>0</v>
      </c>
      <c r="M51">
        <f>DR51 - IF(AU51&gt;1, L51*DL51*100.0/(AW51), 0)</f>
        <v>0</v>
      </c>
      <c r="N51">
        <f>((T51-J51/2)*M51-L51)/(T51+J51/2)</f>
        <v>0</v>
      </c>
      <c r="O51">
        <f>N51*(DY51+DZ51)/1000.0</f>
        <v>0</v>
      </c>
      <c r="P51">
        <f>(DR51 - IF(AU51&gt;1, L51*DL51*100.0/(AW51), 0))*(DY51+DZ51)/1000.0</f>
        <v>0</v>
      </c>
      <c r="Q51">
        <f>2.0/((1/S51-1/R51)+SIGN(S51)*SQRT((1/S51-1/R51)*(1/S51-1/R51) + 4*DM51/((DM51+1)*(DM51+1))*(2*1/S51*1/R51-1/R51*1/R51)))</f>
        <v>0</v>
      </c>
      <c r="R51">
        <f>IF(LEFT(DN51,1)&lt;&gt;"0",IF(LEFT(DN51,1)="1",3.0,DO51),$D$5+$E$5*(EF51*DY51/($K$5*1000))+$F$5*(EF51*DY51/($K$5*1000))*MAX(MIN(DL51,$J$5),$I$5)*MAX(MIN(DL51,$J$5),$I$5)+$G$5*MAX(MIN(DL51,$J$5),$I$5)*(EF51*DY51/($K$5*1000))+$H$5*(EF51*DY51/($K$5*1000))*(EF51*DY51/($K$5*1000)))</f>
        <v>0</v>
      </c>
      <c r="S51">
        <f>J51*(1000-(1000*0.61365*exp(17.502*W51/(240.97+W51))/(DY51+DZ51)+DT51)/2)/(1000*0.61365*exp(17.502*W51/(240.97+W51))/(DY51+DZ51)-DT51)</f>
        <v>0</v>
      </c>
      <c r="T51">
        <f>1/((DM51+1)/(Q51/1.6)+1/(R51/1.37)) + DM51/((DM51+1)/(Q51/1.6) + DM51/(R51/1.37))</f>
        <v>0</v>
      </c>
      <c r="U51">
        <f>(DH51*DK51)</f>
        <v>0</v>
      </c>
      <c r="V51">
        <f>(EA51+(U51+2*0.95*5.67E-8*(((EA51+$B$7)+273)^4-(EA51+273)^4)-44100*J51)/(1.84*29.3*R51+8*0.95*5.67E-8*(EA51+273)^3))</f>
        <v>0</v>
      </c>
      <c r="W51">
        <f>($C$7*EB51+$D$7*EC51+$E$7*V51)</f>
        <v>0</v>
      </c>
      <c r="X51">
        <f>0.61365*exp(17.502*W51/(240.97+W51))</f>
        <v>0</v>
      </c>
      <c r="Y51">
        <f>(Z51/AA51*100)</f>
        <v>0</v>
      </c>
      <c r="Z51">
        <f>DT51*(DY51+DZ51)/1000</f>
        <v>0</v>
      </c>
      <c r="AA51">
        <f>0.61365*exp(17.502*EA51/(240.97+EA51))</f>
        <v>0</v>
      </c>
      <c r="AB51">
        <f>(X51-DT51*(DY51+DZ51)/1000)</f>
        <v>0</v>
      </c>
      <c r="AC51">
        <f>(-J51*44100)</f>
        <v>0</v>
      </c>
      <c r="AD51">
        <f>2*29.3*R51*0.92*(EA51-W51)</f>
        <v>0</v>
      </c>
      <c r="AE51">
        <f>2*0.95*5.67E-8*(((EA51+$B$7)+273)^4-(W51+273)^4)</f>
        <v>0</v>
      </c>
      <c r="AF51">
        <f>U51+AE51+AC51+AD51</f>
        <v>0</v>
      </c>
      <c r="AG51">
        <f>DX51*AU51*(DS51-DR51*(1000-AU51*DU51)/(1000-AU51*DT51))/(100*DL51)</f>
        <v>0</v>
      </c>
      <c r="AH51">
        <f>1000*DX51*AU51*(DT51-DU51)/(100*DL51*(1000-AU51*DT51))</f>
        <v>0</v>
      </c>
      <c r="AI51">
        <f>(AJ51 - AK51 - DY51*1E3/(8.314*(EA51+273.15)) * AM51/DX51 * AL51) * DX51/(100*DL51) * (1000 - DU51)/1000</f>
        <v>0</v>
      </c>
      <c r="AJ51">
        <v>421.709607439004</v>
      </c>
      <c r="AK51">
        <v>414.821103030303</v>
      </c>
      <c r="AL51">
        <v>-1.08616784527414e-05</v>
      </c>
      <c r="AM51">
        <v>64.2078930913761</v>
      </c>
      <c r="AN51">
        <f>(AP51 - AO51 + DY51*1E3/(8.314*(EA51+273.15)) * AR51/DX51 * AQ51) * DX51/(100*DL51) * 1000/(1000 - AP51)</f>
        <v>0</v>
      </c>
      <c r="AO51">
        <v>4.08979159879451</v>
      </c>
      <c r="AP51">
        <v>6.00533363636364</v>
      </c>
      <c r="AQ51">
        <v>1.93768270105625e-05</v>
      </c>
      <c r="AR51">
        <v>109.012256791894</v>
      </c>
      <c r="AS51">
        <v>0</v>
      </c>
      <c r="AT51">
        <v>0</v>
      </c>
      <c r="AU51">
        <f>IF(AS51*$H$13&gt;=AW51,1.0,(AW51/(AW51-AS51*$H$13)))</f>
        <v>0</v>
      </c>
      <c r="AV51">
        <f>(AU51-1)*100</f>
        <v>0</v>
      </c>
      <c r="AW51">
        <f>MAX(0,($B$13+$C$13*EF51)/(1+$D$13*EF51)*DY51/(EA51+273)*$E$13)</f>
        <v>0</v>
      </c>
      <c r="AX51" t="s">
        <v>540</v>
      </c>
      <c r="AY51">
        <v>5107.41</v>
      </c>
      <c r="AZ51">
        <v>719.256</v>
      </c>
      <c r="BA51">
        <v>1996.26391154014</v>
      </c>
      <c r="BB51">
        <f>1-AZ51/BA51</f>
        <v>0</v>
      </c>
      <c r="BC51">
        <v>-0.942338719303804</v>
      </c>
      <c r="BD51" t="s">
        <v>556</v>
      </c>
      <c r="BE51">
        <v>5145.73</v>
      </c>
      <c r="BF51">
        <v>1656.575</v>
      </c>
      <c r="BG51">
        <v>1874.11588434007</v>
      </c>
      <c r="BH51">
        <f>1-BF51/BG51</f>
        <v>0</v>
      </c>
      <c r="BI51">
        <v>0.5</v>
      </c>
      <c r="BJ51">
        <f>DI51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557</v>
      </c>
      <c r="BQ51">
        <v>834.47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BZ51">
        <v>40</v>
      </c>
      <c r="CA51">
        <v>290</v>
      </c>
      <c r="CB51">
        <v>1829.05</v>
      </c>
      <c r="CC51">
        <v>225</v>
      </c>
      <c r="CD51">
        <v>5145.73</v>
      </c>
      <c r="CE51">
        <v>1826.7</v>
      </c>
      <c r="CF51">
        <v>2.35</v>
      </c>
      <c r="CG51">
        <v>300</v>
      </c>
      <c r="CH51">
        <v>23.8</v>
      </c>
      <c r="CI51">
        <v>1874.11588434007</v>
      </c>
      <c r="CJ51">
        <v>1.85280939399334</v>
      </c>
      <c r="CK51">
        <v>-24.3974193239926</v>
      </c>
      <c r="CL51">
        <v>0.850101023570696</v>
      </c>
      <c r="CM51">
        <v>0.96712293715052</v>
      </c>
      <c r="CN51">
        <v>-0.00349638887652948</v>
      </c>
      <c r="CO51">
        <v>290</v>
      </c>
      <c r="CP51">
        <v>1824.5</v>
      </c>
      <c r="CQ51">
        <v>635</v>
      </c>
      <c r="CR51">
        <v>5144.75</v>
      </c>
      <c r="CS51">
        <v>1826.69</v>
      </c>
      <c r="CT51">
        <v>-2.19</v>
      </c>
      <c r="DH51">
        <f>$B$11*EG51+$C$11*EH51+$F$11*ES51*(1-EV51)</f>
        <v>0</v>
      </c>
      <c r="DI51">
        <f>DH51*DJ51</f>
        <v>0</v>
      </c>
      <c r="DJ51">
        <f>($B$11*$D$9+$C$11*$D$9+$F$11*((FF51+EX51)/MAX(FF51+EX51+FG51, 0.1)*$I$9+FG51/MAX(FF51+EX51+FG51, 0.1)*$J$9))/($B$11+$C$11+$F$11)</f>
        <v>0</v>
      </c>
      <c r="DK51">
        <f>($B$11*$K$9+$C$11*$K$9+$F$11*((FF51+EX51)/MAX(FF51+EX51+FG51, 0.1)*$P$9+FG51/MAX(FF51+EX51+FG51, 0.1)*$Q$9))/($B$11+$C$11+$F$11)</f>
        <v>0</v>
      </c>
      <c r="DL51">
        <v>6</v>
      </c>
      <c r="DM51">
        <v>0.5</v>
      </c>
      <c r="DN51" t="s">
        <v>440</v>
      </c>
      <c r="DO51">
        <v>2</v>
      </c>
      <c r="DP51" t="b">
        <v>1</v>
      </c>
      <c r="DQ51">
        <v>1761682661.6</v>
      </c>
      <c r="DR51">
        <v>412.3329375</v>
      </c>
      <c r="DS51">
        <v>419.9876875</v>
      </c>
      <c r="DT51">
        <v>5.99651375</v>
      </c>
      <c r="DU51">
        <v>4.0897925</v>
      </c>
      <c r="DV51">
        <v>409.4471875</v>
      </c>
      <c r="DW51">
        <v>6.1320175</v>
      </c>
      <c r="DX51">
        <v>500.046</v>
      </c>
      <c r="DY51">
        <v>90.91968125</v>
      </c>
      <c r="DZ51">
        <v>0.01845095</v>
      </c>
      <c r="EA51">
        <v>18.1119125</v>
      </c>
      <c r="EB51">
        <v>17.8976125</v>
      </c>
      <c r="EC51">
        <v>999.9</v>
      </c>
      <c r="ED51">
        <v>0</v>
      </c>
      <c r="EE51">
        <v>0</v>
      </c>
      <c r="EF51">
        <v>10001.328125</v>
      </c>
      <c r="EG51">
        <v>0</v>
      </c>
      <c r="EH51">
        <v>1310.600625</v>
      </c>
      <c r="EI51">
        <v>-7.65503625</v>
      </c>
      <c r="EJ51">
        <v>414.8203125</v>
      </c>
      <c r="EK51">
        <v>421.7126875</v>
      </c>
      <c r="EL51">
        <v>1.906719375</v>
      </c>
      <c r="EM51">
        <v>419.9876875</v>
      </c>
      <c r="EN51">
        <v>4.0897925</v>
      </c>
      <c r="EO51">
        <v>0.5452008125</v>
      </c>
      <c r="EP51">
        <v>0.371842625</v>
      </c>
      <c r="EQ51">
        <v>-1.617439375</v>
      </c>
      <c r="ER51">
        <v>-6.705281875</v>
      </c>
      <c r="ES51">
        <v>900.0240625</v>
      </c>
      <c r="ET51">
        <v>0.95600225</v>
      </c>
      <c r="EU51">
        <v>0.043997575</v>
      </c>
      <c r="EV51">
        <v>0</v>
      </c>
      <c r="EW51">
        <v>1656.6875</v>
      </c>
      <c r="EX51">
        <v>5.00059</v>
      </c>
      <c r="EY51">
        <v>14465.16875</v>
      </c>
      <c r="EZ51">
        <v>7733.02125</v>
      </c>
      <c r="FA51">
        <v>36.08175</v>
      </c>
      <c r="FB51">
        <v>38.058125</v>
      </c>
      <c r="FC51">
        <v>36.656</v>
      </c>
      <c r="FD51">
        <v>37.308125</v>
      </c>
      <c r="FE51">
        <v>37.0699375</v>
      </c>
      <c r="FF51">
        <v>855.644375</v>
      </c>
      <c r="FG51">
        <v>39.38</v>
      </c>
      <c r="FH51">
        <v>0</v>
      </c>
      <c r="FI51">
        <v>128.200000047684</v>
      </c>
      <c r="FJ51">
        <v>0</v>
      </c>
      <c r="FK51">
        <v>1656.575</v>
      </c>
      <c r="FL51">
        <v>-4.81606837666189</v>
      </c>
      <c r="FM51">
        <v>-57.8324786313203</v>
      </c>
      <c r="FN51">
        <v>14464.0230769231</v>
      </c>
      <c r="FO51">
        <v>15</v>
      </c>
      <c r="FP51">
        <v>0</v>
      </c>
      <c r="FQ51" t="s">
        <v>441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-7.6779280952381</v>
      </c>
      <c r="GD51">
        <v>0.35789064935064</v>
      </c>
      <c r="GE51">
        <v>0.0523632340682484</v>
      </c>
      <c r="GF51">
        <v>1</v>
      </c>
      <c r="GG51">
        <v>1656.96088235294</v>
      </c>
      <c r="GH51">
        <v>-5.26799083032481</v>
      </c>
      <c r="GI51">
        <v>0.554311271903411</v>
      </c>
      <c r="GJ51">
        <v>-1</v>
      </c>
      <c r="GK51">
        <v>1.90187476190476</v>
      </c>
      <c r="GL51">
        <v>0.0830555844155827</v>
      </c>
      <c r="GM51">
        <v>0.00842624449988735</v>
      </c>
      <c r="GN51">
        <v>1</v>
      </c>
      <c r="GO51">
        <v>2</v>
      </c>
      <c r="GP51">
        <v>2</v>
      </c>
      <c r="GQ51" t="s">
        <v>442</v>
      </c>
      <c r="GR51">
        <v>3.1281</v>
      </c>
      <c r="GS51">
        <v>2.69649</v>
      </c>
      <c r="GT51">
        <v>0.0886426</v>
      </c>
      <c r="GU51">
        <v>0.090511</v>
      </c>
      <c r="GV51">
        <v>0.0359311</v>
      </c>
      <c r="GW51">
        <v>0.02586</v>
      </c>
      <c r="GX51">
        <v>34343.6</v>
      </c>
      <c r="GY51">
        <v>36763.8</v>
      </c>
      <c r="GZ51">
        <v>34089.7</v>
      </c>
      <c r="HA51">
        <v>36594.3</v>
      </c>
      <c r="HB51">
        <v>46409.2</v>
      </c>
      <c r="HC51">
        <v>51138.4</v>
      </c>
      <c r="HD51">
        <v>53108.8</v>
      </c>
      <c r="HE51">
        <v>58394</v>
      </c>
      <c r="HF51">
        <v>1.96312</v>
      </c>
      <c r="HG51">
        <v>2.34665</v>
      </c>
      <c r="HH51">
        <v>-0.0217482</v>
      </c>
      <c r="HI51">
        <v>0</v>
      </c>
      <c r="HJ51">
        <v>18.3083</v>
      </c>
      <c r="HK51">
        <v>999.9</v>
      </c>
      <c r="HL51">
        <v>20.339</v>
      </c>
      <c r="HM51">
        <v>29.477</v>
      </c>
      <c r="HN51">
        <v>9.24767</v>
      </c>
      <c r="HO51">
        <v>53.826</v>
      </c>
      <c r="HP51">
        <v>32.1595</v>
      </c>
      <c r="HQ51">
        <v>2</v>
      </c>
      <c r="HR51">
        <v>-0.0185671</v>
      </c>
      <c r="HS51">
        <v>4.60061</v>
      </c>
      <c r="HT51">
        <v>20.0819</v>
      </c>
      <c r="HU51">
        <v>5.19932</v>
      </c>
      <c r="HV51">
        <v>12.004</v>
      </c>
      <c r="HW51">
        <v>4.9757</v>
      </c>
      <c r="HX51">
        <v>3.29395</v>
      </c>
      <c r="HY51">
        <v>9999</v>
      </c>
      <c r="HZ51">
        <v>9999</v>
      </c>
      <c r="IA51">
        <v>9999</v>
      </c>
      <c r="IB51">
        <v>999.9</v>
      </c>
      <c r="IC51">
        <v>1.86321</v>
      </c>
      <c r="ID51">
        <v>1.86813</v>
      </c>
      <c r="IE51">
        <v>1.86783</v>
      </c>
      <c r="IF51">
        <v>1.86905</v>
      </c>
      <c r="IG51">
        <v>1.86981</v>
      </c>
      <c r="IH51">
        <v>1.86589</v>
      </c>
      <c r="II51">
        <v>1.867</v>
      </c>
      <c r="IJ51">
        <v>1.86843</v>
      </c>
      <c r="IK51">
        <v>5</v>
      </c>
      <c r="IL51">
        <v>0</v>
      </c>
      <c r="IM51">
        <v>0</v>
      </c>
      <c r="IN51">
        <v>0</v>
      </c>
      <c r="IO51" t="s">
        <v>443</v>
      </c>
      <c r="IP51" t="s">
        <v>444</v>
      </c>
      <c r="IQ51" t="s">
        <v>445</v>
      </c>
      <c r="IR51" t="s">
        <v>445</v>
      </c>
      <c r="IS51" t="s">
        <v>445</v>
      </c>
      <c r="IT51" t="s">
        <v>445</v>
      </c>
      <c r="IU51">
        <v>0</v>
      </c>
      <c r="IV51">
        <v>100</v>
      </c>
      <c r="IW51">
        <v>100</v>
      </c>
      <c r="IX51">
        <v>2.886</v>
      </c>
      <c r="IY51">
        <v>-0.1354</v>
      </c>
      <c r="IZ51">
        <v>1.24656194001752</v>
      </c>
      <c r="JA51">
        <v>0.00408463137630218</v>
      </c>
      <c r="JB51">
        <v>-2.23906557180379e-07</v>
      </c>
      <c r="JC51">
        <v>6.23399102760906e-11</v>
      </c>
      <c r="JD51">
        <v>-0.0873394905990972</v>
      </c>
      <c r="JE51">
        <v>-0.0233348201324191</v>
      </c>
      <c r="JF51">
        <v>0.00274696999164489</v>
      </c>
      <c r="JG51">
        <v>-3.62864435074646e-05</v>
      </c>
      <c r="JH51">
        <v>5</v>
      </c>
      <c r="JI51">
        <v>2263</v>
      </c>
      <c r="JJ51">
        <v>1</v>
      </c>
      <c r="JK51">
        <v>24</v>
      </c>
      <c r="JL51">
        <v>29361377.8</v>
      </c>
      <c r="JM51">
        <v>29361377.8</v>
      </c>
      <c r="JN51">
        <v>1.24756</v>
      </c>
      <c r="JO51">
        <v>2.61475</v>
      </c>
      <c r="JP51">
        <v>2.19849</v>
      </c>
      <c r="JQ51">
        <v>2.62939</v>
      </c>
      <c r="JR51">
        <v>2.44507</v>
      </c>
      <c r="JS51">
        <v>2.3291</v>
      </c>
      <c r="JT51">
        <v>32.9983</v>
      </c>
      <c r="JU51">
        <v>24.1838</v>
      </c>
      <c r="JV51">
        <v>18</v>
      </c>
      <c r="JW51">
        <v>499.03</v>
      </c>
      <c r="JX51">
        <v>789.891</v>
      </c>
      <c r="JY51">
        <v>12.0542</v>
      </c>
      <c r="JZ51">
        <v>27.014</v>
      </c>
      <c r="KA51">
        <v>30.0002</v>
      </c>
      <c r="KB51">
        <v>26.9248</v>
      </c>
      <c r="KC51">
        <v>26.8462</v>
      </c>
      <c r="KD51">
        <v>24.9969</v>
      </c>
      <c r="KE51">
        <v>37.0275</v>
      </c>
      <c r="KF51">
        <v>0</v>
      </c>
      <c r="KG51">
        <v>12.0648</v>
      </c>
      <c r="KH51">
        <v>420</v>
      </c>
      <c r="KI51">
        <v>4.13492</v>
      </c>
      <c r="KJ51">
        <v>96.591</v>
      </c>
      <c r="KK51">
        <v>94.6682</v>
      </c>
    </row>
    <row r="52" spans="1:297">
      <c r="A52">
        <v>36</v>
      </c>
      <c r="B52">
        <v>1761682740.1</v>
      </c>
      <c r="C52">
        <v>5391</v>
      </c>
      <c r="D52" t="s">
        <v>558</v>
      </c>
      <c r="E52" t="s">
        <v>559</v>
      </c>
      <c r="F52">
        <v>5</v>
      </c>
      <c r="G52" t="s">
        <v>543</v>
      </c>
      <c r="H52" t="s">
        <v>436</v>
      </c>
      <c r="I52">
        <v>1761682731.6</v>
      </c>
      <c r="J52">
        <f>(K52)/1000</f>
        <v>0</v>
      </c>
      <c r="K52">
        <f>IF(DP52, AN52, AH52)</f>
        <v>0</v>
      </c>
      <c r="L52">
        <f>IF(DP52, AI52, AG52)</f>
        <v>0</v>
      </c>
      <c r="M52">
        <f>DR52 - IF(AU52&gt;1, L52*DL52*100.0/(AW52), 0)</f>
        <v>0</v>
      </c>
      <c r="N52">
        <f>((T52-J52/2)*M52-L52)/(T52+J52/2)</f>
        <v>0</v>
      </c>
      <c r="O52">
        <f>N52*(DY52+DZ52)/1000.0</f>
        <v>0</v>
      </c>
      <c r="P52">
        <f>(DR52 - IF(AU52&gt;1, L52*DL52*100.0/(AW52), 0))*(DY52+DZ52)/1000.0</f>
        <v>0</v>
      </c>
      <c r="Q52">
        <f>2.0/((1/S52-1/R52)+SIGN(S52)*SQRT((1/S52-1/R52)*(1/S52-1/R52) + 4*DM52/((DM52+1)*(DM52+1))*(2*1/S52*1/R52-1/R52*1/R52)))</f>
        <v>0</v>
      </c>
      <c r="R52">
        <f>IF(LEFT(DN52,1)&lt;&gt;"0",IF(LEFT(DN52,1)="1",3.0,DO52),$D$5+$E$5*(EF52*DY52/($K$5*1000))+$F$5*(EF52*DY52/($K$5*1000))*MAX(MIN(DL52,$J$5),$I$5)*MAX(MIN(DL52,$J$5),$I$5)+$G$5*MAX(MIN(DL52,$J$5),$I$5)*(EF52*DY52/($K$5*1000))+$H$5*(EF52*DY52/($K$5*1000))*(EF52*DY52/($K$5*1000)))</f>
        <v>0</v>
      </c>
      <c r="S52">
        <f>J52*(1000-(1000*0.61365*exp(17.502*W52/(240.97+W52))/(DY52+DZ52)+DT52)/2)/(1000*0.61365*exp(17.502*W52/(240.97+W52))/(DY52+DZ52)-DT52)</f>
        <v>0</v>
      </c>
      <c r="T52">
        <f>1/((DM52+1)/(Q52/1.6)+1/(R52/1.37)) + DM52/((DM52+1)/(Q52/1.6) + DM52/(R52/1.37))</f>
        <v>0</v>
      </c>
      <c r="U52">
        <f>(DH52*DK52)</f>
        <v>0</v>
      </c>
      <c r="V52">
        <f>(EA52+(U52+2*0.95*5.67E-8*(((EA52+$B$7)+273)^4-(EA52+273)^4)-44100*J52)/(1.84*29.3*R52+8*0.95*5.67E-8*(EA52+273)^3))</f>
        <v>0</v>
      </c>
      <c r="W52">
        <f>($C$7*EB52+$D$7*EC52+$E$7*V52)</f>
        <v>0</v>
      </c>
      <c r="X52">
        <f>0.61365*exp(17.502*W52/(240.97+W52))</f>
        <v>0</v>
      </c>
      <c r="Y52">
        <f>(Z52/AA52*100)</f>
        <v>0</v>
      </c>
      <c r="Z52">
        <f>DT52*(DY52+DZ52)/1000</f>
        <v>0</v>
      </c>
      <c r="AA52">
        <f>0.61365*exp(17.502*EA52/(240.97+EA52))</f>
        <v>0</v>
      </c>
      <c r="AB52">
        <f>(X52-DT52*(DY52+DZ52)/1000)</f>
        <v>0</v>
      </c>
      <c r="AC52">
        <f>(-J52*44100)</f>
        <v>0</v>
      </c>
      <c r="AD52">
        <f>2*29.3*R52*0.92*(EA52-W52)</f>
        <v>0</v>
      </c>
      <c r="AE52">
        <f>2*0.95*5.67E-8*(((EA52+$B$7)+273)^4-(W52+273)^4)</f>
        <v>0</v>
      </c>
      <c r="AF52">
        <f>U52+AE52+AC52+AD52</f>
        <v>0</v>
      </c>
      <c r="AG52">
        <f>DX52*AU52*(DS52-DR52*(1000-AU52*DU52)/(1000-AU52*DT52))/(100*DL52)</f>
        <v>0</v>
      </c>
      <c r="AH52">
        <f>1000*DX52*AU52*(DT52-DU52)/(100*DL52*(1000-AU52*DT52))</f>
        <v>0</v>
      </c>
      <c r="AI52">
        <f>(AJ52 - AK52 - DY52*1E3/(8.314*(EA52+273.15)) * AM52/DX52 * AL52) * DX52/(100*DL52) * (1000 - DU52)/1000</f>
        <v>0</v>
      </c>
      <c r="AJ52">
        <v>421.770269220425</v>
      </c>
      <c r="AK52">
        <v>415.467478787879</v>
      </c>
      <c r="AL52">
        <v>-0.000424553153357008</v>
      </c>
      <c r="AM52">
        <v>64.2078930913761</v>
      </c>
      <c r="AN52">
        <f>(AP52 - AO52 + DY52*1E3/(8.314*(EA52+273.15)) * AR52/DX52 * AQ52) * DX52/(100*DL52) * 1000/(1000 - AP52)</f>
        <v>0</v>
      </c>
      <c r="AO52">
        <v>4.16677061903171</v>
      </c>
      <c r="AP52">
        <v>6.07858636363637</v>
      </c>
      <c r="AQ52">
        <v>1.55944444365479e-05</v>
      </c>
      <c r="AR52">
        <v>109.012256791894</v>
      </c>
      <c r="AS52">
        <v>0</v>
      </c>
      <c r="AT52">
        <v>0</v>
      </c>
      <c r="AU52">
        <f>IF(AS52*$H$13&gt;=AW52,1.0,(AW52/(AW52-AS52*$H$13)))</f>
        <v>0</v>
      </c>
      <c r="AV52">
        <f>(AU52-1)*100</f>
        <v>0</v>
      </c>
      <c r="AW52">
        <f>MAX(0,($B$13+$C$13*EF52)/(1+$D$13*EF52)*DY52/(EA52+273)*$E$13)</f>
        <v>0</v>
      </c>
      <c r="AX52" t="s">
        <v>448</v>
      </c>
      <c r="AY52" t="s">
        <v>448</v>
      </c>
      <c r="AZ52">
        <v>0</v>
      </c>
      <c r="BA52">
        <v>0</v>
      </c>
      <c r="BB52">
        <f>1-AZ52/BA52</f>
        <v>0</v>
      </c>
      <c r="BC52">
        <v>0</v>
      </c>
      <c r="BD52" t="s">
        <v>448</v>
      </c>
      <c r="BE52" t="s">
        <v>448</v>
      </c>
      <c r="BF52">
        <v>0</v>
      </c>
      <c r="BG52">
        <v>0</v>
      </c>
      <c r="BH52">
        <f>1-BF52/BG52</f>
        <v>0</v>
      </c>
      <c r="BI52">
        <v>0.5</v>
      </c>
      <c r="BJ52">
        <f>DI52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448</v>
      </c>
      <c r="BQ52">
        <v>0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BZ52">
        <v>40</v>
      </c>
      <c r="CA52">
        <v>290</v>
      </c>
      <c r="CB52">
        <v>1829.05</v>
      </c>
      <c r="CC52">
        <v>225</v>
      </c>
      <c r="CD52">
        <v>5145.73</v>
      </c>
      <c r="CE52">
        <v>1826.7</v>
      </c>
      <c r="CF52">
        <v>2.35</v>
      </c>
      <c r="CG52">
        <v>300</v>
      </c>
      <c r="CH52">
        <v>23.8</v>
      </c>
      <c r="CI52">
        <v>1874.11588434007</v>
      </c>
      <c r="CJ52">
        <v>1.85280939399334</v>
      </c>
      <c r="CK52">
        <v>-24.3974193239926</v>
      </c>
      <c r="CL52">
        <v>0.850101023570696</v>
      </c>
      <c r="CM52">
        <v>0.96712293715052</v>
      </c>
      <c r="CN52">
        <v>-0.00349638887652948</v>
      </c>
      <c r="CO52">
        <v>290</v>
      </c>
      <c r="CP52">
        <v>1824.5</v>
      </c>
      <c r="CQ52">
        <v>635</v>
      </c>
      <c r="CR52">
        <v>5144.75</v>
      </c>
      <c r="CS52">
        <v>1826.69</v>
      </c>
      <c r="CT52">
        <v>-2.19</v>
      </c>
      <c r="DH52">
        <f>$B$11*EG52+$C$11*EH52+$F$11*ES52*(1-EV52)</f>
        <v>0</v>
      </c>
      <c r="DI52">
        <f>DH52*DJ52</f>
        <v>0</v>
      </c>
      <c r="DJ52">
        <f>($B$11*$D$9+$C$11*$D$9+$F$11*((FF52+EX52)/MAX(FF52+EX52+FG52, 0.1)*$I$9+FG52/MAX(FF52+EX52+FG52, 0.1)*$J$9))/($B$11+$C$11+$F$11)</f>
        <v>0</v>
      </c>
      <c r="DK52">
        <f>($B$11*$K$9+$C$11*$K$9+$F$11*((FF52+EX52)/MAX(FF52+EX52+FG52, 0.1)*$P$9+FG52/MAX(FF52+EX52+FG52, 0.1)*$Q$9))/($B$11+$C$11+$F$11)</f>
        <v>0</v>
      </c>
      <c r="DL52">
        <v>6</v>
      </c>
      <c r="DM52">
        <v>0.5</v>
      </c>
      <c r="DN52" t="s">
        <v>440</v>
      </c>
      <c r="DO52">
        <v>2</v>
      </c>
      <c r="DP52" t="b">
        <v>1</v>
      </c>
      <c r="DQ52">
        <v>1761682731.6</v>
      </c>
      <c r="DR52">
        <v>412.960125</v>
      </c>
      <c r="DS52">
        <v>420.011</v>
      </c>
      <c r="DT52">
        <v>6.069050625</v>
      </c>
      <c r="DU52">
        <v>4.1659525</v>
      </c>
      <c r="DV52">
        <v>410.072</v>
      </c>
      <c r="DW52">
        <v>6.204093125</v>
      </c>
      <c r="DX52">
        <v>499.996375</v>
      </c>
      <c r="DY52">
        <v>90.91890625</v>
      </c>
      <c r="DZ52">
        <v>0.01858208125</v>
      </c>
      <c r="EA52">
        <v>18.28899375</v>
      </c>
      <c r="EB52">
        <v>17.923675</v>
      </c>
      <c r="EC52">
        <v>999.9</v>
      </c>
      <c r="ED52">
        <v>0</v>
      </c>
      <c r="EE52">
        <v>0</v>
      </c>
      <c r="EF52">
        <v>9993.865</v>
      </c>
      <c r="EG52">
        <v>0</v>
      </c>
      <c r="EH52">
        <v>1310.691875</v>
      </c>
      <c r="EI52">
        <v>-7.050850625</v>
      </c>
      <c r="EJ52">
        <v>415.481875</v>
      </c>
      <c r="EK52">
        <v>421.76825</v>
      </c>
      <c r="EL52">
        <v>1.903098125</v>
      </c>
      <c r="EM52">
        <v>420.011</v>
      </c>
      <c r="EN52">
        <v>4.1659525</v>
      </c>
      <c r="EO52">
        <v>0.55179125</v>
      </c>
      <c r="EP52">
        <v>0.3787638125</v>
      </c>
      <c r="EQ52">
        <v>-1.45410875</v>
      </c>
      <c r="ER52">
        <v>-6.46505875</v>
      </c>
      <c r="ES52">
        <v>599.983625</v>
      </c>
      <c r="ET52">
        <v>0.9330034375</v>
      </c>
      <c r="EU52">
        <v>0.066996675</v>
      </c>
      <c r="EV52">
        <v>0</v>
      </c>
      <c r="EW52">
        <v>1569.079375</v>
      </c>
      <c r="EX52">
        <v>5.00059</v>
      </c>
      <c r="EY52">
        <v>9066.725</v>
      </c>
      <c r="EZ52">
        <v>5105.37125</v>
      </c>
      <c r="FA52">
        <v>36.1795</v>
      </c>
      <c r="FB52">
        <v>39.26925</v>
      </c>
      <c r="FC52">
        <v>37.2263125</v>
      </c>
      <c r="FD52">
        <v>38.56225</v>
      </c>
      <c r="FE52">
        <v>37.570125</v>
      </c>
      <c r="FF52">
        <v>555.120625</v>
      </c>
      <c r="FG52">
        <v>39.86125</v>
      </c>
      <c r="FH52">
        <v>0</v>
      </c>
      <c r="FI52">
        <v>66.5999999046326</v>
      </c>
      <c r="FJ52">
        <v>0</v>
      </c>
      <c r="FK52">
        <v>1569.03461538462</v>
      </c>
      <c r="FL52">
        <v>-4.71316239198153</v>
      </c>
      <c r="FM52">
        <v>-12.3829059486962</v>
      </c>
      <c r="FN52">
        <v>9066.87846153846</v>
      </c>
      <c r="FO52">
        <v>15</v>
      </c>
      <c r="FP52">
        <v>0</v>
      </c>
      <c r="FQ52" t="s">
        <v>441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-7.03177238095238</v>
      </c>
      <c r="GD52">
        <v>-0.2316974025974</v>
      </c>
      <c r="GE52">
        <v>0.036128539161584</v>
      </c>
      <c r="GF52">
        <v>1</v>
      </c>
      <c r="GG52">
        <v>1569.39882352941</v>
      </c>
      <c r="GH52">
        <v>-4.90328495023335</v>
      </c>
      <c r="GI52">
        <v>0.52690977409288</v>
      </c>
      <c r="GJ52">
        <v>-1</v>
      </c>
      <c r="GK52">
        <v>1.89874285714286</v>
      </c>
      <c r="GL52">
        <v>0.0740898701298751</v>
      </c>
      <c r="GM52">
        <v>0.00751893048553176</v>
      </c>
      <c r="GN52">
        <v>1</v>
      </c>
      <c r="GO52">
        <v>2</v>
      </c>
      <c r="GP52">
        <v>2</v>
      </c>
      <c r="GQ52" t="s">
        <v>442</v>
      </c>
      <c r="GR52">
        <v>3.12845</v>
      </c>
      <c r="GS52">
        <v>2.69664</v>
      </c>
      <c r="GT52">
        <v>0.0887501</v>
      </c>
      <c r="GU52">
        <v>0.0905132</v>
      </c>
      <c r="GV52">
        <v>0.0362927</v>
      </c>
      <c r="GW52">
        <v>0.0262819</v>
      </c>
      <c r="GX52">
        <v>34342.1</v>
      </c>
      <c r="GY52">
        <v>36766.6</v>
      </c>
      <c r="GZ52">
        <v>34091.9</v>
      </c>
      <c r="HA52">
        <v>36596.9</v>
      </c>
      <c r="HB52">
        <v>46394.2</v>
      </c>
      <c r="HC52">
        <v>51120.2</v>
      </c>
      <c r="HD52">
        <v>53111.6</v>
      </c>
      <c r="HE52">
        <v>58398.3</v>
      </c>
      <c r="HF52">
        <v>1.96385</v>
      </c>
      <c r="HG52">
        <v>2.34715</v>
      </c>
      <c r="HH52">
        <v>-0.0301003</v>
      </c>
      <c r="HI52">
        <v>0</v>
      </c>
      <c r="HJ52">
        <v>18.4587</v>
      </c>
      <c r="HK52">
        <v>999.9</v>
      </c>
      <c r="HL52">
        <v>20.284</v>
      </c>
      <c r="HM52">
        <v>29.487</v>
      </c>
      <c r="HN52">
        <v>9.22854</v>
      </c>
      <c r="HO52">
        <v>54.116</v>
      </c>
      <c r="HP52">
        <v>32.1234</v>
      </c>
      <c r="HQ52">
        <v>2</v>
      </c>
      <c r="HR52">
        <v>-0.0236255</v>
      </c>
      <c r="HS52">
        <v>4.22458</v>
      </c>
      <c r="HT52">
        <v>20.0955</v>
      </c>
      <c r="HU52">
        <v>5.19932</v>
      </c>
      <c r="HV52">
        <v>12.004</v>
      </c>
      <c r="HW52">
        <v>4.97575</v>
      </c>
      <c r="HX52">
        <v>3.294</v>
      </c>
      <c r="HY52">
        <v>9999</v>
      </c>
      <c r="HZ52">
        <v>9999</v>
      </c>
      <c r="IA52">
        <v>9999</v>
      </c>
      <c r="IB52">
        <v>999.9</v>
      </c>
      <c r="IC52">
        <v>1.86322</v>
      </c>
      <c r="ID52">
        <v>1.86813</v>
      </c>
      <c r="IE52">
        <v>1.86783</v>
      </c>
      <c r="IF52">
        <v>1.86904</v>
      </c>
      <c r="IG52">
        <v>1.86982</v>
      </c>
      <c r="IH52">
        <v>1.86588</v>
      </c>
      <c r="II52">
        <v>1.86702</v>
      </c>
      <c r="IJ52">
        <v>1.86844</v>
      </c>
      <c r="IK52">
        <v>5</v>
      </c>
      <c r="IL52">
        <v>0</v>
      </c>
      <c r="IM52">
        <v>0</v>
      </c>
      <c r="IN52">
        <v>0</v>
      </c>
      <c r="IO52" t="s">
        <v>443</v>
      </c>
      <c r="IP52" t="s">
        <v>444</v>
      </c>
      <c r="IQ52" t="s">
        <v>445</v>
      </c>
      <c r="IR52" t="s">
        <v>445</v>
      </c>
      <c r="IS52" t="s">
        <v>445</v>
      </c>
      <c r="IT52" t="s">
        <v>445</v>
      </c>
      <c r="IU52">
        <v>0</v>
      </c>
      <c r="IV52">
        <v>100</v>
      </c>
      <c r="IW52">
        <v>100</v>
      </c>
      <c r="IX52">
        <v>2.889</v>
      </c>
      <c r="IY52">
        <v>-0.135</v>
      </c>
      <c r="IZ52">
        <v>1.24656194001752</v>
      </c>
      <c r="JA52">
        <v>0.00408463137630218</v>
      </c>
      <c r="JB52">
        <v>-2.23906557180379e-07</v>
      </c>
      <c r="JC52">
        <v>6.23399102760906e-11</v>
      </c>
      <c r="JD52">
        <v>-0.0873394905990972</v>
      </c>
      <c r="JE52">
        <v>-0.0233348201324191</v>
      </c>
      <c r="JF52">
        <v>0.00274696999164489</v>
      </c>
      <c r="JG52">
        <v>-3.62864435074646e-05</v>
      </c>
      <c r="JH52">
        <v>5</v>
      </c>
      <c r="JI52">
        <v>2263</v>
      </c>
      <c r="JJ52">
        <v>1</v>
      </c>
      <c r="JK52">
        <v>24</v>
      </c>
      <c r="JL52">
        <v>29361379</v>
      </c>
      <c r="JM52">
        <v>29361379</v>
      </c>
      <c r="JN52">
        <v>1.24756</v>
      </c>
      <c r="JO52">
        <v>2.61475</v>
      </c>
      <c r="JP52">
        <v>2.19849</v>
      </c>
      <c r="JQ52">
        <v>2.63062</v>
      </c>
      <c r="JR52">
        <v>2.44507</v>
      </c>
      <c r="JS52">
        <v>2.36206</v>
      </c>
      <c r="JT52">
        <v>32.9983</v>
      </c>
      <c r="JU52">
        <v>24.1926</v>
      </c>
      <c r="JV52">
        <v>18</v>
      </c>
      <c r="JW52">
        <v>499.397</v>
      </c>
      <c r="JX52">
        <v>790.292</v>
      </c>
      <c r="JY52">
        <v>12.7623</v>
      </c>
      <c r="JZ52">
        <v>26.969</v>
      </c>
      <c r="KA52">
        <v>30</v>
      </c>
      <c r="KB52">
        <v>26.9132</v>
      </c>
      <c r="KC52">
        <v>26.8417</v>
      </c>
      <c r="KD52">
        <v>24.9925</v>
      </c>
      <c r="KE52">
        <v>36.1829</v>
      </c>
      <c r="KF52">
        <v>0</v>
      </c>
      <c r="KG52">
        <v>12.7705</v>
      </c>
      <c r="KH52">
        <v>420</v>
      </c>
      <c r="KI52">
        <v>4.19601</v>
      </c>
      <c r="KJ52">
        <v>96.5966</v>
      </c>
      <c r="KK52">
        <v>94.6752</v>
      </c>
    </row>
    <row r="53" spans="1:297">
      <c r="A53">
        <v>37</v>
      </c>
      <c r="B53">
        <v>1761682805.1</v>
      </c>
      <c r="C53">
        <v>5456</v>
      </c>
      <c r="D53" t="s">
        <v>560</v>
      </c>
      <c r="E53" t="s">
        <v>561</v>
      </c>
      <c r="F53">
        <v>5</v>
      </c>
      <c r="G53" t="s">
        <v>543</v>
      </c>
      <c r="H53" t="s">
        <v>436</v>
      </c>
      <c r="I53">
        <v>1761682796.6</v>
      </c>
      <c r="J53">
        <f>(K53)/1000</f>
        <v>0</v>
      </c>
      <c r="K53">
        <f>IF(DP53, AN53, AH53)</f>
        <v>0</v>
      </c>
      <c r="L53">
        <f>IF(DP53, AI53, AG53)</f>
        <v>0</v>
      </c>
      <c r="M53">
        <f>DR53 - IF(AU53&gt;1, L53*DL53*100.0/(AW53), 0)</f>
        <v>0</v>
      </c>
      <c r="N53">
        <f>((T53-J53/2)*M53-L53)/(T53+J53/2)</f>
        <v>0</v>
      </c>
      <c r="O53">
        <f>N53*(DY53+DZ53)/1000.0</f>
        <v>0</v>
      </c>
      <c r="P53">
        <f>(DR53 - IF(AU53&gt;1, L53*DL53*100.0/(AW53), 0))*(DY53+DZ53)/1000.0</f>
        <v>0</v>
      </c>
      <c r="Q53">
        <f>2.0/((1/S53-1/R53)+SIGN(S53)*SQRT((1/S53-1/R53)*(1/S53-1/R53) + 4*DM53/((DM53+1)*(DM53+1))*(2*1/S53*1/R53-1/R53*1/R53)))</f>
        <v>0</v>
      </c>
      <c r="R53">
        <f>IF(LEFT(DN53,1)&lt;&gt;"0",IF(LEFT(DN53,1)="1",3.0,DO53),$D$5+$E$5*(EF53*DY53/($K$5*1000))+$F$5*(EF53*DY53/($K$5*1000))*MAX(MIN(DL53,$J$5),$I$5)*MAX(MIN(DL53,$J$5),$I$5)+$G$5*MAX(MIN(DL53,$J$5),$I$5)*(EF53*DY53/($K$5*1000))+$H$5*(EF53*DY53/($K$5*1000))*(EF53*DY53/($K$5*1000)))</f>
        <v>0</v>
      </c>
      <c r="S53">
        <f>J53*(1000-(1000*0.61365*exp(17.502*W53/(240.97+W53))/(DY53+DZ53)+DT53)/2)/(1000*0.61365*exp(17.502*W53/(240.97+W53))/(DY53+DZ53)-DT53)</f>
        <v>0</v>
      </c>
      <c r="T53">
        <f>1/((DM53+1)/(Q53/1.6)+1/(R53/1.37)) + DM53/((DM53+1)/(Q53/1.6) + DM53/(R53/1.37))</f>
        <v>0</v>
      </c>
      <c r="U53">
        <f>(DH53*DK53)</f>
        <v>0</v>
      </c>
      <c r="V53">
        <f>(EA53+(U53+2*0.95*5.67E-8*(((EA53+$B$7)+273)^4-(EA53+273)^4)-44100*J53)/(1.84*29.3*R53+8*0.95*5.67E-8*(EA53+273)^3))</f>
        <v>0</v>
      </c>
      <c r="W53">
        <f>($C$7*EB53+$D$7*EC53+$E$7*V53)</f>
        <v>0</v>
      </c>
      <c r="X53">
        <f>0.61365*exp(17.502*W53/(240.97+W53))</f>
        <v>0</v>
      </c>
      <c r="Y53">
        <f>(Z53/AA53*100)</f>
        <v>0</v>
      </c>
      <c r="Z53">
        <f>DT53*(DY53+DZ53)/1000</f>
        <v>0</v>
      </c>
      <c r="AA53">
        <f>0.61365*exp(17.502*EA53/(240.97+EA53))</f>
        <v>0</v>
      </c>
      <c r="AB53">
        <f>(X53-DT53*(DY53+DZ53)/1000)</f>
        <v>0</v>
      </c>
      <c r="AC53">
        <f>(-J53*44100)</f>
        <v>0</v>
      </c>
      <c r="AD53">
        <f>2*29.3*R53*0.92*(EA53-W53)</f>
        <v>0</v>
      </c>
      <c r="AE53">
        <f>2*0.95*5.67E-8*(((EA53+$B$7)+273)^4-(W53+273)^4)</f>
        <v>0</v>
      </c>
      <c r="AF53">
        <f>U53+AE53+AC53+AD53</f>
        <v>0</v>
      </c>
      <c r="AG53">
        <f>DX53*AU53*(DS53-DR53*(1000-AU53*DU53)/(1000-AU53*DT53))/(100*DL53)</f>
        <v>0</v>
      </c>
      <c r="AH53">
        <f>1000*DX53*AU53*(DT53-DU53)/(100*DL53*(1000-AU53*DT53))</f>
        <v>0</v>
      </c>
      <c r="AI53">
        <f>(AJ53 - AK53 - DY53*1E3/(8.314*(EA53+273.15)) * AM53/DX53 * AL53) * DX53/(100*DL53) * (1000 - DU53)/1000</f>
        <v>0</v>
      </c>
      <c r="AJ53">
        <v>421.772868105918</v>
      </c>
      <c r="AK53">
        <v>416.694945454545</v>
      </c>
      <c r="AL53">
        <v>0.000727752412945354</v>
      </c>
      <c r="AM53">
        <v>64.2078930913761</v>
      </c>
      <c r="AN53">
        <f>(AP53 - AO53 + DY53*1E3/(8.314*(EA53+273.15)) * AR53/DX53 * AQ53) * DX53/(100*DL53) * 1000/(1000 - AP53)</f>
        <v>0</v>
      </c>
      <c r="AO53">
        <v>4.23086877448914</v>
      </c>
      <c r="AP53">
        <v>6.13572881118882</v>
      </c>
      <c r="AQ53">
        <v>2.12949024647326e-05</v>
      </c>
      <c r="AR53">
        <v>109.012256791894</v>
      </c>
      <c r="AS53">
        <v>0</v>
      </c>
      <c r="AT53">
        <v>0</v>
      </c>
      <c r="AU53">
        <f>IF(AS53*$H$13&gt;=AW53,1.0,(AW53/(AW53-AS53*$H$13)))</f>
        <v>0</v>
      </c>
      <c r="AV53">
        <f>(AU53-1)*100</f>
        <v>0</v>
      </c>
      <c r="AW53">
        <f>MAX(0,($B$13+$C$13*EF53)/(1+$D$13*EF53)*DY53/(EA53+273)*$E$13)</f>
        <v>0</v>
      </c>
      <c r="AX53" t="s">
        <v>540</v>
      </c>
      <c r="AY53">
        <v>5107.41</v>
      </c>
      <c r="AZ53">
        <v>719.256</v>
      </c>
      <c r="BA53">
        <v>1996.26391154014</v>
      </c>
      <c r="BB53">
        <f>1-AZ53/BA53</f>
        <v>0</v>
      </c>
      <c r="BC53">
        <v>-0.942338719303804</v>
      </c>
      <c r="BD53" t="s">
        <v>562</v>
      </c>
      <c r="BE53">
        <v>5135.16</v>
      </c>
      <c r="BF53">
        <v>1363.0416</v>
      </c>
      <c r="BG53">
        <v>1881.11192148546</v>
      </c>
      <c r="BH53">
        <f>1-BF53/BG53</f>
        <v>0</v>
      </c>
      <c r="BI53">
        <v>0.5</v>
      </c>
      <c r="BJ53">
        <f>DI53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563</v>
      </c>
      <c r="BQ53">
        <v>798.8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BZ53">
        <v>42</v>
      </c>
      <c r="CA53">
        <v>290</v>
      </c>
      <c r="CB53">
        <v>1828.99</v>
      </c>
      <c r="CC53">
        <v>255</v>
      </c>
      <c r="CD53">
        <v>5135.16</v>
      </c>
      <c r="CE53">
        <v>1828.34</v>
      </c>
      <c r="CF53">
        <v>0.65</v>
      </c>
      <c r="CG53">
        <v>300</v>
      </c>
      <c r="CH53">
        <v>23.8</v>
      </c>
      <c r="CI53">
        <v>1881.11192148546</v>
      </c>
      <c r="CJ53">
        <v>1.48058599662735</v>
      </c>
      <c r="CK53">
        <v>-27.1008889632456</v>
      </c>
      <c r="CL53">
        <v>0.665233706684313</v>
      </c>
      <c r="CM53">
        <v>0.983408959966536</v>
      </c>
      <c r="CN53">
        <v>-0.00399347252502781</v>
      </c>
      <c r="CO53">
        <v>290</v>
      </c>
      <c r="CP53">
        <v>1825.22</v>
      </c>
      <c r="CQ53">
        <v>695</v>
      </c>
      <c r="CR53">
        <v>5133.86</v>
      </c>
      <c r="CS53">
        <v>1828.32</v>
      </c>
      <c r="CT53">
        <v>-3.1</v>
      </c>
      <c r="DH53">
        <f>$B$11*EG53+$C$11*EH53+$F$11*ES53*(1-EV53)</f>
        <v>0</v>
      </c>
      <c r="DI53">
        <f>DH53*DJ53</f>
        <v>0</v>
      </c>
      <c r="DJ53">
        <f>($B$11*$D$9+$C$11*$D$9+$F$11*((FF53+EX53)/MAX(FF53+EX53+FG53, 0.1)*$I$9+FG53/MAX(FF53+EX53+FG53, 0.1)*$J$9))/($B$11+$C$11+$F$11)</f>
        <v>0</v>
      </c>
      <c r="DK53">
        <f>($B$11*$K$9+$C$11*$K$9+$F$11*((FF53+EX53)/MAX(FF53+EX53+FG53, 0.1)*$P$9+FG53/MAX(FF53+EX53+FG53, 0.1)*$Q$9))/($B$11+$C$11+$F$11)</f>
        <v>0</v>
      </c>
      <c r="DL53">
        <v>6</v>
      </c>
      <c r="DM53">
        <v>0.5</v>
      </c>
      <c r="DN53" t="s">
        <v>440</v>
      </c>
      <c r="DO53">
        <v>2</v>
      </c>
      <c r="DP53" t="b">
        <v>1</v>
      </c>
      <c r="DQ53">
        <v>1761682796.6</v>
      </c>
      <c r="DR53">
        <v>414.100875</v>
      </c>
      <c r="DS53">
        <v>420.0025</v>
      </c>
      <c r="DT53">
        <v>6.11954375</v>
      </c>
      <c r="DU53">
        <v>4.223961875</v>
      </c>
      <c r="DV53">
        <v>411.2083125</v>
      </c>
      <c r="DW53">
        <v>6.254251875</v>
      </c>
      <c r="DX53">
        <v>499.9910625</v>
      </c>
      <c r="DY53">
        <v>90.91279375</v>
      </c>
      <c r="DZ53">
        <v>0.01824000625</v>
      </c>
      <c r="EA53">
        <v>18.49099375</v>
      </c>
      <c r="EB53">
        <v>17.9553875</v>
      </c>
      <c r="EC53">
        <v>999.9</v>
      </c>
      <c r="ED53">
        <v>0</v>
      </c>
      <c r="EE53">
        <v>0</v>
      </c>
      <c r="EF53">
        <v>9999.8</v>
      </c>
      <c r="EG53">
        <v>0</v>
      </c>
      <c r="EH53">
        <v>1310.70625</v>
      </c>
      <c r="EI53">
        <v>-5.901529375</v>
      </c>
      <c r="EJ53">
        <v>416.65075</v>
      </c>
      <c r="EK53">
        <v>421.784</v>
      </c>
      <c r="EL53">
        <v>1.8955825</v>
      </c>
      <c r="EM53">
        <v>420.0025</v>
      </c>
      <c r="EN53">
        <v>4.223961875</v>
      </c>
      <c r="EO53">
        <v>0.556344875</v>
      </c>
      <c r="EP53">
        <v>0.384012125</v>
      </c>
      <c r="EQ53">
        <v>-1.3422725</v>
      </c>
      <c r="ER53">
        <v>-6.28549875</v>
      </c>
      <c r="ES53">
        <v>299.98175</v>
      </c>
      <c r="ET53">
        <v>0.899993</v>
      </c>
      <c r="EU53">
        <v>0.100007</v>
      </c>
      <c r="EV53">
        <v>0</v>
      </c>
      <c r="EW53">
        <v>1363.171875</v>
      </c>
      <c r="EX53">
        <v>5.00059</v>
      </c>
      <c r="EY53">
        <v>3910.24375</v>
      </c>
      <c r="EZ53">
        <v>2506.029375</v>
      </c>
      <c r="FA53">
        <v>36.476375</v>
      </c>
      <c r="FB53">
        <v>40.691125</v>
      </c>
      <c r="FC53">
        <v>37.9996875</v>
      </c>
      <c r="FD53">
        <v>40.320125</v>
      </c>
      <c r="FE53">
        <v>38.18725</v>
      </c>
      <c r="FF53">
        <v>265.48</v>
      </c>
      <c r="FG53">
        <v>29.5</v>
      </c>
      <c r="FH53">
        <v>0</v>
      </c>
      <c r="FI53">
        <v>132</v>
      </c>
      <c r="FJ53">
        <v>0</v>
      </c>
      <c r="FK53">
        <v>1363.0416</v>
      </c>
      <c r="FL53">
        <v>-5.70615384308016</v>
      </c>
      <c r="FM53">
        <v>-10.9676923403007</v>
      </c>
      <c r="FN53">
        <v>3910.1388</v>
      </c>
      <c r="FO53">
        <v>15</v>
      </c>
      <c r="FP53">
        <v>0</v>
      </c>
      <c r="FQ53" t="s">
        <v>441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-5.9256335</v>
      </c>
      <c r="GD53">
        <v>0.468643759398494</v>
      </c>
      <c r="GE53">
        <v>0.056676395463632</v>
      </c>
      <c r="GF53">
        <v>1</v>
      </c>
      <c r="GG53">
        <v>1363.50117647059</v>
      </c>
      <c r="GH53">
        <v>-5.95019098813445</v>
      </c>
      <c r="GI53">
        <v>0.620686359680488</v>
      </c>
      <c r="GJ53">
        <v>-1</v>
      </c>
      <c r="GK53">
        <v>1.8914075</v>
      </c>
      <c r="GL53">
        <v>0.06975383458647</v>
      </c>
      <c r="GM53">
        <v>0.00781430219213464</v>
      </c>
      <c r="GN53">
        <v>1</v>
      </c>
      <c r="GO53">
        <v>2</v>
      </c>
      <c r="GP53">
        <v>2</v>
      </c>
      <c r="GQ53" t="s">
        <v>442</v>
      </c>
      <c r="GR53">
        <v>3.1285</v>
      </c>
      <c r="GS53">
        <v>2.69625</v>
      </c>
      <c r="GT53">
        <v>0.0889487</v>
      </c>
      <c r="GU53">
        <v>0.0905178</v>
      </c>
      <c r="GV53">
        <v>0.0365755</v>
      </c>
      <c r="GW53">
        <v>0.0266618</v>
      </c>
      <c r="GX53">
        <v>34336.9</v>
      </c>
      <c r="GY53">
        <v>36769.9</v>
      </c>
      <c r="GZ53">
        <v>34094</v>
      </c>
      <c r="HA53">
        <v>36600.1</v>
      </c>
      <c r="HB53">
        <v>46382.8</v>
      </c>
      <c r="HC53">
        <v>51104.1</v>
      </c>
      <c r="HD53">
        <v>53114.1</v>
      </c>
      <c r="HE53">
        <v>58402.7</v>
      </c>
      <c r="HF53">
        <v>1.96432</v>
      </c>
      <c r="HG53">
        <v>2.34785</v>
      </c>
      <c r="HH53">
        <v>-0.036452</v>
      </c>
      <c r="HI53">
        <v>0</v>
      </c>
      <c r="HJ53">
        <v>18.6058</v>
      </c>
      <c r="HK53">
        <v>999.9</v>
      </c>
      <c r="HL53">
        <v>20.284</v>
      </c>
      <c r="HM53">
        <v>29.487</v>
      </c>
      <c r="HN53">
        <v>9.2291</v>
      </c>
      <c r="HO53">
        <v>54.366</v>
      </c>
      <c r="HP53">
        <v>32.0873</v>
      </c>
      <c r="HQ53">
        <v>2</v>
      </c>
      <c r="HR53">
        <v>-0.0289304</v>
      </c>
      <c r="HS53">
        <v>3.82248</v>
      </c>
      <c r="HT53">
        <v>20.1068</v>
      </c>
      <c r="HU53">
        <v>5.20007</v>
      </c>
      <c r="HV53">
        <v>12.004</v>
      </c>
      <c r="HW53">
        <v>4.9758</v>
      </c>
      <c r="HX53">
        <v>3.29398</v>
      </c>
      <c r="HY53">
        <v>9999</v>
      </c>
      <c r="HZ53">
        <v>9999</v>
      </c>
      <c r="IA53">
        <v>9999</v>
      </c>
      <c r="IB53">
        <v>999.9</v>
      </c>
      <c r="IC53">
        <v>1.86322</v>
      </c>
      <c r="ID53">
        <v>1.86812</v>
      </c>
      <c r="IE53">
        <v>1.86787</v>
      </c>
      <c r="IF53">
        <v>1.86905</v>
      </c>
      <c r="IG53">
        <v>1.86981</v>
      </c>
      <c r="IH53">
        <v>1.86592</v>
      </c>
      <c r="II53">
        <v>1.86701</v>
      </c>
      <c r="IJ53">
        <v>1.86843</v>
      </c>
      <c r="IK53">
        <v>5</v>
      </c>
      <c r="IL53">
        <v>0</v>
      </c>
      <c r="IM53">
        <v>0</v>
      </c>
      <c r="IN53">
        <v>0</v>
      </c>
      <c r="IO53" t="s">
        <v>443</v>
      </c>
      <c r="IP53" t="s">
        <v>444</v>
      </c>
      <c r="IQ53" t="s">
        <v>445</v>
      </c>
      <c r="IR53" t="s">
        <v>445</v>
      </c>
      <c r="IS53" t="s">
        <v>445</v>
      </c>
      <c r="IT53" t="s">
        <v>445</v>
      </c>
      <c r="IU53">
        <v>0</v>
      </c>
      <c r="IV53">
        <v>100</v>
      </c>
      <c r="IW53">
        <v>100</v>
      </c>
      <c r="IX53">
        <v>2.893</v>
      </c>
      <c r="IY53">
        <v>-0.1346</v>
      </c>
      <c r="IZ53">
        <v>1.24656194001752</v>
      </c>
      <c r="JA53">
        <v>0.00408463137630218</v>
      </c>
      <c r="JB53">
        <v>-2.23906557180379e-07</v>
      </c>
      <c r="JC53">
        <v>6.23399102760906e-11</v>
      </c>
      <c r="JD53">
        <v>-0.0873394905990972</v>
      </c>
      <c r="JE53">
        <v>-0.0233348201324191</v>
      </c>
      <c r="JF53">
        <v>0.00274696999164489</v>
      </c>
      <c r="JG53">
        <v>-3.62864435074646e-05</v>
      </c>
      <c r="JH53">
        <v>5</v>
      </c>
      <c r="JI53">
        <v>2263</v>
      </c>
      <c r="JJ53">
        <v>1</v>
      </c>
      <c r="JK53">
        <v>24</v>
      </c>
      <c r="JL53">
        <v>29361380.1</v>
      </c>
      <c r="JM53">
        <v>29361380.1</v>
      </c>
      <c r="JN53">
        <v>1.24756</v>
      </c>
      <c r="JO53">
        <v>2.60986</v>
      </c>
      <c r="JP53">
        <v>2.19849</v>
      </c>
      <c r="JQ53">
        <v>2.62939</v>
      </c>
      <c r="JR53">
        <v>2.44507</v>
      </c>
      <c r="JS53">
        <v>2.34009</v>
      </c>
      <c r="JT53">
        <v>33.0206</v>
      </c>
      <c r="JU53">
        <v>24.2013</v>
      </c>
      <c r="JV53">
        <v>18</v>
      </c>
      <c r="JW53">
        <v>499.508</v>
      </c>
      <c r="JX53">
        <v>790.724</v>
      </c>
      <c r="JY53">
        <v>13.6267</v>
      </c>
      <c r="JZ53">
        <v>26.9211</v>
      </c>
      <c r="KA53">
        <v>30.0003</v>
      </c>
      <c r="KB53">
        <v>26.8912</v>
      </c>
      <c r="KC53">
        <v>26.8265</v>
      </c>
      <c r="KD53">
        <v>24.9892</v>
      </c>
      <c r="KE53">
        <v>35.3133</v>
      </c>
      <c r="KF53">
        <v>0</v>
      </c>
      <c r="KG53">
        <v>13.6084</v>
      </c>
      <c r="KH53">
        <v>420</v>
      </c>
      <c r="KI53">
        <v>4.28168</v>
      </c>
      <c r="KJ53">
        <v>96.6017</v>
      </c>
      <c r="KK53">
        <v>94.6828</v>
      </c>
    </row>
    <row r="54" spans="1:297">
      <c r="A54">
        <v>38</v>
      </c>
      <c r="B54">
        <v>1761682875.1</v>
      </c>
      <c r="C54">
        <v>5526</v>
      </c>
      <c r="D54" t="s">
        <v>564</v>
      </c>
      <c r="E54" t="s">
        <v>565</v>
      </c>
      <c r="F54">
        <v>5</v>
      </c>
      <c r="G54" t="s">
        <v>543</v>
      </c>
      <c r="H54" t="s">
        <v>436</v>
      </c>
      <c r="I54">
        <v>1761682866.6</v>
      </c>
      <c r="J54">
        <f>(K54)/1000</f>
        <v>0</v>
      </c>
      <c r="K54">
        <f>IF(DP54, AN54, AH54)</f>
        <v>0</v>
      </c>
      <c r="L54">
        <f>IF(DP54, AI54, AG54)</f>
        <v>0</v>
      </c>
      <c r="M54">
        <f>DR54 - IF(AU54&gt;1, L54*DL54*100.0/(AW54), 0)</f>
        <v>0</v>
      </c>
      <c r="N54">
        <f>((T54-J54/2)*M54-L54)/(T54+J54/2)</f>
        <v>0</v>
      </c>
      <c r="O54">
        <f>N54*(DY54+DZ54)/1000.0</f>
        <v>0</v>
      </c>
      <c r="P54">
        <f>(DR54 - IF(AU54&gt;1, L54*DL54*100.0/(AW54), 0))*(DY54+DZ54)/1000.0</f>
        <v>0</v>
      </c>
      <c r="Q54">
        <f>2.0/((1/S54-1/R54)+SIGN(S54)*SQRT((1/S54-1/R54)*(1/S54-1/R54) + 4*DM54/((DM54+1)*(DM54+1))*(2*1/S54*1/R54-1/R54*1/R54)))</f>
        <v>0</v>
      </c>
      <c r="R54">
        <f>IF(LEFT(DN54,1)&lt;&gt;"0",IF(LEFT(DN54,1)="1",3.0,DO54),$D$5+$E$5*(EF54*DY54/($K$5*1000))+$F$5*(EF54*DY54/($K$5*1000))*MAX(MIN(DL54,$J$5),$I$5)*MAX(MIN(DL54,$J$5),$I$5)+$G$5*MAX(MIN(DL54,$J$5),$I$5)*(EF54*DY54/($K$5*1000))+$H$5*(EF54*DY54/($K$5*1000))*(EF54*DY54/($K$5*1000)))</f>
        <v>0</v>
      </c>
      <c r="S54">
        <f>J54*(1000-(1000*0.61365*exp(17.502*W54/(240.97+W54))/(DY54+DZ54)+DT54)/2)/(1000*0.61365*exp(17.502*W54/(240.97+W54))/(DY54+DZ54)-DT54)</f>
        <v>0</v>
      </c>
      <c r="T54">
        <f>1/((DM54+1)/(Q54/1.6)+1/(R54/1.37)) + DM54/((DM54+1)/(Q54/1.6) + DM54/(R54/1.37))</f>
        <v>0</v>
      </c>
      <c r="U54">
        <f>(DH54*DK54)</f>
        <v>0</v>
      </c>
      <c r="V54">
        <f>(EA54+(U54+2*0.95*5.67E-8*(((EA54+$B$7)+273)^4-(EA54+273)^4)-44100*J54)/(1.84*29.3*R54+8*0.95*5.67E-8*(EA54+273)^3))</f>
        <v>0</v>
      </c>
      <c r="W54">
        <f>($C$7*EB54+$D$7*EC54+$E$7*V54)</f>
        <v>0</v>
      </c>
      <c r="X54">
        <f>0.61365*exp(17.502*W54/(240.97+W54))</f>
        <v>0</v>
      </c>
      <c r="Y54">
        <f>(Z54/AA54*100)</f>
        <v>0</v>
      </c>
      <c r="Z54">
        <f>DT54*(DY54+DZ54)/1000</f>
        <v>0</v>
      </c>
      <c r="AA54">
        <f>0.61365*exp(17.502*EA54/(240.97+EA54))</f>
        <v>0</v>
      </c>
      <c r="AB54">
        <f>(X54-DT54*(DY54+DZ54)/1000)</f>
        <v>0</v>
      </c>
      <c r="AC54">
        <f>(-J54*44100)</f>
        <v>0</v>
      </c>
      <c r="AD54">
        <f>2*29.3*R54*0.92*(EA54-W54)</f>
        <v>0</v>
      </c>
      <c r="AE54">
        <f>2*0.95*5.67E-8*(((EA54+$B$7)+273)^4-(W54+273)^4)</f>
        <v>0</v>
      </c>
      <c r="AF54">
        <f>U54+AE54+AC54+AD54</f>
        <v>0</v>
      </c>
      <c r="AG54">
        <f>DX54*AU54*(DS54-DR54*(1000-AU54*DU54)/(1000-AU54*DT54))/(100*DL54)</f>
        <v>0</v>
      </c>
      <c r="AH54">
        <f>1000*DX54*AU54*(DT54-DU54)/(100*DL54*(1000-AU54*DT54))</f>
        <v>0</v>
      </c>
      <c r="AI54">
        <f>(AJ54 - AK54 - DY54*1E3/(8.314*(EA54+273.15)) * AM54/DX54 * AL54) * DX54/(100*DL54) * (1000 - DU54)/1000</f>
        <v>0</v>
      </c>
      <c r="AJ54">
        <v>421.809063975677</v>
      </c>
      <c r="AK54">
        <v>418.271836363636</v>
      </c>
      <c r="AL54">
        <v>0.000492484644222418</v>
      </c>
      <c r="AM54">
        <v>64.2078930913761</v>
      </c>
      <c r="AN54">
        <f>(AP54 - AO54 + DY54*1E3/(8.314*(EA54+273.15)) * AR54/DX54 * AQ54) * DX54/(100*DL54) * 1000/(1000 - AP54)</f>
        <v>0</v>
      </c>
      <c r="AO54">
        <v>4.31921811773</v>
      </c>
      <c r="AP54">
        <v>6.22455671328671</v>
      </c>
      <c r="AQ54">
        <v>0.000158036691489273</v>
      </c>
      <c r="AR54">
        <v>109.012256791894</v>
      </c>
      <c r="AS54">
        <v>0</v>
      </c>
      <c r="AT54">
        <v>0</v>
      </c>
      <c r="AU54">
        <f>IF(AS54*$H$13&gt;=AW54,1.0,(AW54/(AW54-AS54*$H$13)))</f>
        <v>0</v>
      </c>
      <c r="AV54">
        <f>(AU54-1)*100</f>
        <v>0</v>
      </c>
      <c r="AW54">
        <f>MAX(0,($B$13+$C$13*EF54)/(1+$D$13*EF54)*DY54/(EA54+273)*$E$13)</f>
        <v>0</v>
      </c>
      <c r="AX54" t="s">
        <v>448</v>
      </c>
      <c r="AY54" t="s">
        <v>448</v>
      </c>
      <c r="AZ54">
        <v>0</v>
      </c>
      <c r="BA54">
        <v>0</v>
      </c>
      <c r="BB54">
        <f>1-AZ54/BA54</f>
        <v>0</v>
      </c>
      <c r="BC54">
        <v>0</v>
      </c>
      <c r="BD54" t="s">
        <v>448</v>
      </c>
      <c r="BE54" t="s">
        <v>448</v>
      </c>
      <c r="BF54">
        <v>0</v>
      </c>
      <c r="BG54">
        <v>0</v>
      </c>
      <c r="BH54">
        <f>1-BF54/BG54</f>
        <v>0</v>
      </c>
      <c r="BI54">
        <v>0.5</v>
      </c>
      <c r="BJ54">
        <f>DI54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448</v>
      </c>
      <c r="BQ54">
        <v>0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BZ54">
        <v>42</v>
      </c>
      <c r="CA54">
        <v>290</v>
      </c>
      <c r="CB54">
        <v>1828.99</v>
      </c>
      <c r="CC54">
        <v>255</v>
      </c>
      <c r="CD54">
        <v>5135.16</v>
      </c>
      <c r="CE54">
        <v>1828.34</v>
      </c>
      <c r="CF54">
        <v>0.65</v>
      </c>
      <c r="CG54">
        <v>300</v>
      </c>
      <c r="CH54">
        <v>23.8</v>
      </c>
      <c r="CI54">
        <v>1881.11192148546</v>
      </c>
      <c r="CJ54">
        <v>1.48058599662735</v>
      </c>
      <c r="CK54">
        <v>-27.1008889632456</v>
      </c>
      <c r="CL54">
        <v>0.665233706684313</v>
      </c>
      <c r="CM54">
        <v>0.983408959966536</v>
      </c>
      <c r="CN54">
        <v>-0.00399347252502781</v>
      </c>
      <c r="CO54">
        <v>290</v>
      </c>
      <c r="CP54">
        <v>1825.22</v>
      </c>
      <c r="CQ54">
        <v>695</v>
      </c>
      <c r="CR54">
        <v>5133.86</v>
      </c>
      <c r="CS54">
        <v>1828.32</v>
      </c>
      <c r="CT54">
        <v>-3.1</v>
      </c>
      <c r="DH54">
        <f>$B$11*EG54+$C$11*EH54+$F$11*ES54*(1-EV54)</f>
        <v>0</v>
      </c>
      <c r="DI54">
        <f>DH54*DJ54</f>
        <v>0</v>
      </c>
      <c r="DJ54">
        <f>($B$11*$D$9+$C$11*$D$9+$F$11*((FF54+EX54)/MAX(FF54+EX54+FG54, 0.1)*$I$9+FG54/MAX(FF54+EX54+FG54, 0.1)*$J$9))/($B$11+$C$11+$F$11)</f>
        <v>0</v>
      </c>
      <c r="DK54">
        <f>($B$11*$K$9+$C$11*$K$9+$F$11*((FF54+EX54)/MAX(FF54+EX54+FG54, 0.1)*$P$9+FG54/MAX(FF54+EX54+FG54, 0.1)*$Q$9))/($B$11+$C$11+$F$11)</f>
        <v>0</v>
      </c>
      <c r="DL54">
        <v>6</v>
      </c>
      <c r="DM54">
        <v>0.5</v>
      </c>
      <c r="DN54" t="s">
        <v>440</v>
      </c>
      <c r="DO54">
        <v>2</v>
      </c>
      <c r="DP54" t="b">
        <v>1</v>
      </c>
      <c r="DQ54">
        <v>1761682866.6</v>
      </c>
      <c r="DR54">
        <v>415.64175</v>
      </c>
      <c r="DS54">
        <v>420.0135</v>
      </c>
      <c r="DT54">
        <v>6.2080325</v>
      </c>
      <c r="DU54">
        <v>4.309821875</v>
      </c>
      <c r="DV54">
        <v>412.7429375</v>
      </c>
      <c r="DW54">
        <v>6.342130625</v>
      </c>
      <c r="DX54">
        <v>499.9558125</v>
      </c>
      <c r="DY54">
        <v>90.91740625</v>
      </c>
      <c r="DZ54">
        <v>0.0186553625</v>
      </c>
      <c r="EA54">
        <v>18.6904625</v>
      </c>
      <c r="EB54">
        <v>18.05435</v>
      </c>
      <c r="EC54">
        <v>999.9</v>
      </c>
      <c r="ED54">
        <v>0</v>
      </c>
      <c r="EE54">
        <v>0</v>
      </c>
      <c r="EF54">
        <v>9987.65625</v>
      </c>
      <c r="EG54">
        <v>0</v>
      </c>
      <c r="EH54">
        <v>1310.71625</v>
      </c>
      <c r="EI54">
        <v>-4.37178125</v>
      </c>
      <c r="EJ54">
        <v>418.23825</v>
      </c>
      <c r="EK54">
        <v>421.8315625</v>
      </c>
      <c r="EL54">
        <v>1.89821</v>
      </c>
      <c r="EM54">
        <v>420.0135</v>
      </c>
      <c r="EN54">
        <v>4.309821875</v>
      </c>
      <c r="EO54">
        <v>0.564418125</v>
      </c>
      <c r="EP54">
        <v>0.3918378125</v>
      </c>
      <c r="EQ54">
        <v>-1.145961875</v>
      </c>
      <c r="ER54">
        <v>-6.021775625</v>
      </c>
      <c r="ES54">
        <v>150.0245</v>
      </c>
      <c r="ET54">
        <v>0.899978375</v>
      </c>
      <c r="EU54">
        <v>0.10002165</v>
      </c>
      <c r="EV54">
        <v>0</v>
      </c>
      <c r="EW54">
        <v>1123.699375</v>
      </c>
      <c r="EX54">
        <v>5.00059</v>
      </c>
      <c r="EY54">
        <v>1626.221875</v>
      </c>
      <c r="EZ54">
        <v>1232.054375</v>
      </c>
      <c r="FA54">
        <v>36.812</v>
      </c>
      <c r="FB54">
        <v>41.741875</v>
      </c>
      <c r="FC54">
        <v>38.6364375</v>
      </c>
      <c r="FD54">
        <v>41.7341875</v>
      </c>
      <c r="FE54">
        <v>38.7066875</v>
      </c>
      <c r="FF54">
        <v>130.51875</v>
      </c>
      <c r="FG54">
        <v>14.506875</v>
      </c>
      <c r="FH54">
        <v>0</v>
      </c>
      <c r="FI54">
        <v>66.8000001907349</v>
      </c>
      <c r="FJ54">
        <v>0</v>
      </c>
      <c r="FK54">
        <v>1123.60961538462</v>
      </c>
      <c r="FL54">
        <v>-1.70700855754584</v>
      </c>
      <c r="FM54">
        <v>0.564786233965787</v>
      </c>
      <c r="FN54">
        <v>1625.68615384615</v>
      </c>
      <c r="FO54">
        <v>15</v>
      </c>
      <c r="FP54">
        <v>0</v>
      </c>
      <c r="FQ54" t="s">
        <v>441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-4.3936765</v>
      </c>
      <c r="GD54">
        <v>0.498234135338347</v>
      </c>
      <c r="GE54">
        <v>0.0561659781607158</v>
      </c>
      <c r="GF54">
        <v>1</v>
      </c>
      <c r="GG54">
        <v>1123.82088235294</v>
      </c>
      <c r="GH54">
        <v>-3.0705882408182</v>
      </c>
      <c r="GI54">
        <v>0.46722816977337</v>
      </c>
      <c r="GJ54">
        <v>-1</v>
      </c>
      <c r="GK54">
        <v>1.9001615</v>
      </c>
      <c r="GL54">
        <v>-0.0419192481202998</v>
      </c>
      <c r="GM54">
        <v>0.00694907351738346</v>
      </c>
      <c r="GN54">
        <v>1</v>
      </c>
      <c r="GO54">
        <v>2</v>
      </c>
      <c r="GP54">
        <v>2</v>
      </c>
      <c r="GQ54" t="s">
        <v>442</v>
      </c>
      <c r="GR54">
        <v>3.12828</v>
      </c>
      <c r="GS54">
        <v>2.69709</v>
      </c>
      <c r="GT54">
        <v>0.0892112</v>
      </c>
      <c r="GU54">
        <v>0.0905184</v>
      </c>
      <c r="GV54">
        <v>0.0370147</v>
      </c>
      <c r="GW54">
        <v>0.0271256</v>
      </c>
      <c r="GX54">
        <v>34329.9</v>
      </c>
      <c r="GY54">
        <v>36774.1</v>
      </c>
      <c r="GZ54">
        <v>34096.5</v>
      </c>
      <c r="HA54">
        <v>36604</v>
      </c>
      <c r="HB54">
        <v>46364.2</v>
      </c>
      <c r="HC54">
        <v>51085</v>
      </c>
      <c r="HD54">
        <v>53117.1</v>
      </c>
      <c r="HE54">
        <v>58408.5</v>
      </c>
      <c r="HF54">
        <v>1.96467</v>
      </c>
      <c r="HG54">
        <v>2.34923</v>
      </c>
      <c r="HH54">
        <v>-0.0428595</v>
      </c>
      <c r="HI54">
        <v>0</v>
      </c>
      <c r="HJ54">
        <v>18.7799</v>
      </c>
      <c r="HK54">
        <v>999.9</v>
      </c>
      <c r="HL54">
        <v>20.26</v>
      </c>
      <c r="HM54">
        <v>29.507</v>
      </c>
      <c r="HN54">
        <v>9.22968</v>
      </c>
      <c r="HO54">
        <v>54.986</v>
      </c>
      <c r="HP54">
        <v>32.1995</v>
      </c>
      <c r="HQ54">
        <v>2</v>
      </c>
      <c r="HR54">
        <v>-0.0285823</v>
      </c>
      <c r="HS54">
        <v>4.78219</v>
      </c>
      <c r="HT54">
        <v>20.0836</v>
      </c>
      <c r="HU54">
        <v>5.19917</v>
      </c>
      <c r="HV54">
        <v>12.004</v>
      </c>
      <c r="HW54">
        <v>4.9758</v>
      </c>
      <c r="HX54">
        <v>3.29395</v>
      </c>
      <c r="HY54">
        <v>9999</v>
      </c>
      <c r="HZ54">
        <v>9999</v>
      </c>
      <c r="IA54">
        <v>9999</v>
      </c>
      <c r="IB54">
        <v>999.9</v>
      </c>
      <c r="IC54">
        <v>1.86322</v>
      </c>
      <c r="ID54">
        <v>1.86813</v>
      </c>
      <c r="IE54">
        <v>1.86784</v>
      </c>
      <c r="IF54">
        <v>1.86904</v>
      </c>
      <c r="IG54">
        <v>1.86981</v>
      </c>
      <c r="IH54">
        <v>1.86595</v>
      </c>
      <c r="II54">
        <v>1.86702</v>
      </c>
      <c r="IJ54">
        <v>1.86844</v>
      </c>
      <c r="IK54">
        <v>5</v>
      </c>
      <c r="IL54">
        <v>0</v>
      </c>
      <c r="IM54">
        <v>0</v>
      </c>
      <c r="IN54">
        <v>0</v>
      </c>
      <c r="IO54" t="s">
        <v>443</v>
      </c>
      <c r="IP54" t="s">
        <v>444</v>
      </c>
      <c r="IQ54" t="s">
        <v>445</v>
      </c>
      <c r="IR54" t="s">
        <v>445</v>
      </c>
      <c r="IS54" t="s">
        <v>445</v>
      </c>
      <c r="IT54" t="s">
        <v>445</v>
      </c>
      <c r="IU54">
        <v>0</v>
      </c>
      <c r="IV54">
        <v>100</v>
      </c>
      <c r="IW54">
        <v>100</v>
      </c>
      <c r="IX54">
        <v>2.899</v>
      </c>
      <c r="IY54">
        <v>-0.134</v>
      </c>
      <c r="IZ54">
        <v>1.24656194001752</v>
      </c>
      <c r="JA54">
        <v>0.00408463137630218</v>
      </c>
      <c r="JB54">
        <v>-2.23906557180379e-07</v>
      </c>
      <c r="JC54">
        <v>6.23399102760906e-11</v>
      </c>
      <c r="JD54">
        <v>-0.0873394905990972</v>
      </c>
      <c r="JE54">
        <v>-0.0233348201324191</v>
      </c>
      <c r="JF54">
        <v>0.00274696999164489</v>
      </c>
      <c r="JG54">
        <v>-3.62864435074646e-05</v>
      </c>
      <c r="JH54">
        <v>5</v>
      </c>
      <c r="JI54">
        <v>2263</v>
      </c>
      <c r="JJ54">
        <v>1</v>
      </c>
      <c r="JK54">
        <v>24</v>
      </c>
      <c r="JL54">
        <v>29361381.3</v>
      </c>
      <c r="JM54">
        <v>29361381.3</v>
      </c>
      <c r="JN54">
        <v>1.24756</v>
      </c>
      <c r="JO54">
        <v>2.61108</v>
      </c>
      <c r="JP54">
        <v>2.19849</v>
      </c>
      <c r="JQ54">
        <v>2.62939</v>
      </c>
      <c r="JR54">
        <v>2.44507</v>
      </c>
      <c r="JS54">
        <v>2.35229</v>
      </c>
      <c r="JT54">
        <v>33.0206</v>
      </c>
      <c r="JU54">
        <v>24.1926</v>
      </c>
      <c r="JV54">
        <v>18</v>
      </c>
      <c r="JW54">
        <v>499.458</v>
      </c>
      <c r="JX54">
        <v>791.643</v>
      </c>
      <c r="JY54">
        <v>13.1652</v>
      </c>
      <c r="JZ54">
        <v>26.8642</v>
      </c>
      <c r="KA54">
        <v>30.0002</v>
      </c>
      <c r="KB54">
        <v>26.8602</v>
      </c>
      <c r="KC54">
        <v>26.8015</v>
      </c>
      <c r="KD54">
        <v>24.9876</v>
      </c>
      <c r="KE54">
        <v>34.4839</v>
      </c>
      <c r="KF54">
        <v>0</v>
      </c>
      <c r="KG54">
        <v>13.1089</v>
      </c>
      <c r="KH54">
        <v>420</v>
      </c>
      <c r="KI54">
        <v>4.35432</v>
      </c>
      <c r="KJ54">
        <v>96.6077</v>
      </c>
      <c r="KK54">
        <v>94.6925</v>
      </c>
    </row>
    <row r="55" spans="1:297">
      <c r="A55">
        <v>39</v>
      </c>
      <c r="B55">
        <v>1761682960.1</v>
      </c>
      <c r="C55">
        <v>5611</v>
      </c>
      <c r="D55" t="s">
        <v>566</v>
      </c>
      <c r="E55" t="s">
        <v>567</v>
      </c>
      <c r="F55">
        <v>5</v>
      </c>
      <c r="G55" t="s">
        <v>543</v>
      </c>
      <c r="H55" t="s">
        <v>436</v>
      </c>
      <c r="I55">
        <v>1761682951.6</v>
      </c>
      <c r="J55">
        <f>(K55)/1000</f>
        <v>0</v>
      </c>
      <c r="K55">
        <f>IF(DP55, AN55, AH55)</f>
        <v>0</v>
      </c>
      <c r="L55">
        <f>IF(DP55, AI55, AG55)</f>
        <v>0</v>
      </c>
      <c r="M55">
        <f>DR55 - IF(AU55&gt;1, L55*DL55*100.0/(AW55), 0)</f>
        <v>0</v>
      </c>
      <c r="N55">
        <f>((T55-J55/2)*M55-L55)/(T55+J55/2)</f>
        <v>0</v>
      </c>
      <c r="O55">
        <f>N55*(DY55+DZ55)/1000.0</f>
        <v>0</v>
      </c>
      <c r="P55">
        <f>(DR55 - IF(AU55&gt;1, L55*DL55*100.0/(AW55), 0))*(DY55+DZ55)/1000.0</f>
        <v>0</v>
      </c>
      <c r="Q55">
        <f>2.0/((1/S55-1/R55)+SIGN(S55)*SQRT((1/S55-1/R55)*(1/S55-1/R55) + 4*DM55/((DM55+1)*(DM55+1))*(2*1/S55*1/R55-1/R55*1/R55)))</f>
        <v>0</v>
      </c>
      <c r="R55">
        <f>IF(LEFT(DN55,1)&lt;&gt;"0",IF(LEFT(DN55,1)="1",3.0,DO55),$D$5+$E$5*(EF55*DY55/($K$5*1000))+$F$5*(EF55*DY55/($K$5*1000))*MAX(MIN(DL55,$J$5),$I$5)*MAX(MIN(DL55,$J$5),$I$5)+$G$5*MAX(MIN(DL55,$J$5),$I$5)*(EF55*DY55/($K$5*1000))+$H$5*(EF55*DY55/($K$5*1000))*(EF55*DY55/($K$5*1000)))</f>
        <v>0</v>
      </c>
      <c r="S55">
        <f>J55*(1000-(1000*0.61365*exp(17.502*W55/(240.97+W55))/(DY55+DZ55)+DT55)/2)/(1000*0.61365*exp(17.502*W55/(240.97+W55))/(DY55+DZ55)-DT55)</f>
        <v>0</v>
      </c>
      <c r="T55">
        <f>1/((DM55+1)/(Q55/1.6)+1/(R55/1.37)) + DM55/((DM55+1)/(Q55/1.6) + DM55/(R55/1.37))</f>
        <v>0</v>
      </c>
      <c r="U55">
        <f>(DH55*DK55)</f>
        <v>0</v>
      </c>
      <c r="V55">
        <f>(EA55+(U55+2*0.95*5.67E-8*(((EA55+$B$7)+273)^4-(EA55+273)^4)-44100*J55)/(1.84*29.3*R55+8*0.95*5.67E-8*(EA55+273)^3))</f>
        <v>0</v>
      </c>
      <c r="W55">
        <f>($C$7*EB55+$D$7*EC55+$E$7*V55)</f>
        <v>0</v>
      </c>
      <c r="X55">
        <f>0.61365*exp(17.502*W55/(240.97+W55))</f>
        <v>0</v>
      </c>
      <c r="Y55">
        <f>(Z55/AA55*100)</f>
        <v>0</v>
      </c>
      <c r="Z55">
        <f>DT55*(DY55+DZ55)/1000</f>
        <v>0</v>
      </c>
      <c r="AA55">
        <f>0.61365*exp(17.502*EA55/(240.97+EA55))</f>
        <v>0</v>
      </c>
      <c r="AB55">
        <f>(X55-DT55*(DY55+DZ55)/1000)</f>
        <v>0</v>
      </c>
      <c r="AC55">
        <f>(-J55*44100)</f>
        <v>0</v>
      </c>
      <c r="AD55">
        <f>2*29.3*R55*0.92*(EA55-W55)</f>
        <v>0</v>
      </c>
      <c r="AE55">
        <f>2*0.95*5.67E-8*(((EA55+$B$7)+273)^4-(W55+273)^4)</f>
        <v>0</v>
      </c>
      <c r="AF55">
        <f>U55+AE55+AC55+AD55</f>
        <v>0</v>
      </c>
      <c r="AG55">
        <f>DX55*AU55*(DS55-DR55*(1000-AU55*DU55)/(1000-AU55*DT55))/(100*DL55)</f>
        <v>0</v>
      </c>
      <c r="AH55">
        <f>1000*DX55*AU55*(DT55-DU55)/(100*DL55*(1000-AU55*DT55))</f>
        <v>0</v>
      </c>
      <c r="AI55">
        <f>(AJ55 - AK55 - DY55*1E3/(8.314*(EA55+273.15)) * AM55/DX55 * AL55) * DX55/(100*DL55) * (1000 - DU55)/1000</f>
        <v>0</v>
      </c>
      <c r="AJ55">
        <v>421.840360784408</v>
      </c>
      <c r="AK55">
        <v>420.727351515151</v>
      </c>
      <c r="AL55">
        <v>0.00277078290224433</v>
      </c>
      <c r="AM55">
        <v>64.2078930913761</v>
      </c>
      <c r="AN55">
        <f>(AP55 - AO55 + DY55*1E3/(8.314*(EA55+273.15)) * AR55/DX55 * AQ55) * DX55/(100*DL55) * 1000/(1000 - AP55)</f>
        <v>0</v>
      </c>
      <c r="AO55">
        <v>4.32743901442976</v>
      </c>
      <c r="AP55">
        <v>6.24999097902099</v>
      </c>
      <c r="AQ55">
        <v>4.39072178068494e-06</v>
      </c>
      <c r="AR55">
        <v>109.012256791894</v>
      </c>
      <c r="AS55">
        <v>0</v>
      </c>
      <c r="AT55">
        <v>0</v>
      </c>
      <c r="AU55">
        <f>IF(AS55*$H$13&gt;=AW55,1.0,(AW55/(AW55-AS55*$H$13)))</f>
        <v>0</v>
      </c>
      <c r="AV55">
        <f>(AU55-1)*100</f>
        <v>0</v>
      </c>
      <c r="AW55">
        <f>MAX(0,($B$13+$C$13*EF55)/(1+$D$13*EF55)*DY55/(EA55+273)*$E$13)</f>
        <v>0</v>
      </c>
      <c r="AX55" t="s">
        <v>540</v>
      </c>
      <c r="AY55">
        <v>5107.41</v>
      </c>
      <c r="AZ55">
        <v>719.256</v>
      </c>
      <c r="BA55">
        <v>1996.26391154014</v>
      </c>
      <c r="BB55">
        <f>1-AZ55/BA55</f>
        <v>0</v>
      </c>
      <c r="BC55">
        <v>-0.942338719303804</v>
      </c>
      <c r="BD55" t="s">
        <v>568</v>
      </c>
      <c r="BE55">
        <v>5112.18</v>
      </c>
      <c r="BF55">
        <v>853.699961538462</v>
      </c>
      <c r="BG55">
        <v>1893.28606498207</v>
      </c>
      <c r="BH55">
        <f>1-BF55/BG55</f>
        <v>0</v>
      </c>
      <c r="BI55">
        <v>0.5</v>
      </c>
      <c r="BJ55">
        <f>DI55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569</v>
      </c>
      <c r="BQ55">
        <v>743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BZ55">
        <v>44</v>
      </c>
      <c r="CA55">
        <v>290</v>
      </c>
      <c r="CB55">
        <v>1841.31</v>
      </c>
      <c r="CC55">
        <v>285</v>
      </c>
      <c r="CD55">
        <v>5112.18</v>
      </c>
      <c r="CE55">
        <v>1841.95</v>
      </c>
      <c r="CF55">
        <v>-0.64</v>
      </c>
      <c r="CG55">
        <v>300</v>
      </c>
      <c r="CH55">
        <v>23.9</v>
      </c>
      <c r="CI55">
        <v>1893.28606498207</v>
      </c>
      <c r="CJ55">
        <v>1.24548351535809</v>
      </c>
      <c r="CK55">
        <v>-26.2444230754885</v>
      </c>
      <c r="CL55">
        <v>0.552629872050865</v>
      </c>
      <c r="CM55">
        <v>0.987737075901534</v>
      </c>
      <c r="CN55">
        <v>-0.00418493370411568</v>
      </c>
      <c r="CO55">
        <v>290</v>
      </c>
      <c r="CP55">
        <v>1839.02</v>
      </c>
      <c r="CQ55">
        <v>655</v>
      </c>
      <c r="CR55">
        <v>5111.52</v>
      </c>
      <c r="CS55">
        <v>1841.94</v>
      </c>
      <c r="CT55">
        <v>-2.92</v>
      </c>
      <c r="DH55">
        <f>$B$11*EG55+$C$11*EH55+$F$11*ES55*(1-EV55)</f>
        <v>0</v>
      </c>
      <c r="DI55">
        <f>DH55*DJ55</f>
        <v>0</v>
      </c>
      <c r="DJ55">
        <f>($B$11*$D$9+$C$11*$D$9+$F$11*((FF55+EX55)/MAX(FF55+EX55+FG55, 0.1)*$I$9+FG55/MAX(FF55+EX55+FG55, 0.1)*$J$9))/($B$11+$C$11+$F$11)</f>
        <v>0</v>
      </c>
      <c r="DK55">
        <f>($B$11*$K$9+$C$11*$K$9+$F$11*((FF55+EX55)/MAX(FF55+EX55+FG55, 0.1)*$P$9+FG55/MAX(FF55+EX55+FG55, 0.1)*$Q$9))/($B$11+$C$11+$F$11)</f>
        <v>0</v>
      </c>
      <c r="DL55">
        <v>6</v>
      </c>
      <c r="DM55">
        <v>0.5</v>
      </c>
      <c r="DN55" t="s">
        <v>440</v>
      </c>
      <c r="DO55">
        <v>2</v>
      </c>
      <c r="DP55" t="b">
        <v>1</v>
      </c>
      <c r="DQ55">
        <v>1761682951.6</v>
      </c>
      <c r="DR55">
        <v>418.031125</v>
      </c>
      <c r="DS55">
        <v>420.016</v>
      </c>
      <c r="DT55">
        <v>6.248714375</v>
      </c>
      <c r="DU55">
        <v>4.326978125</v>
      </c>
      <c r="DV55">
        <v>415.1230625</v>
      </c>
      <c r="DW55">
        <v>6.382521875</v>
      </c>
      <c r="DX55">
        <v>500.0010625</v>
      </c>
      <c r="DY55">
        <v>90.9172</v>
      </c>
      <c r="DZ55">
        <v>0.01972254375</v>
      </c>
      <c r="EA55">
        <v>18.68183125</v>
      </c>
      <c r="EB55">
        <v>18.02486875</v>
      </c>
      <c r="EC55">
        <v>999.9</v>
      </c>
      <c r="ED55">
        <v>0</v>
      </c>
      <c r="EE55">
        <v>0</v>
      </c>
      <c r="EF55">
        <v>10001.01875</v>
      </c>
      <c r="EG55">
        <v>0</v>
      </c>
      <c r="EH55">
        <v>1310.7575</v>
      </c>
      <c r="EI55">
        <v>-1.98505125</v>
      </c>
      <c r="EJ55">
        <v>420.659625</v>
      </c>
      <c r="EK55">
        <v>421.8414375</v>
      </c>
      <c r="EL55">
        <v>1.921736875</v>
      </c>
      <c r="EM55">
        <v>420.016</v>
      </c>
      <c r="EN55">
        <v>4.326978125</v>
      </c>
      <c r="EO55">
        <v>0.5681158125</v>
      </c>
      <c r="EP55">
        <v>0.39339675</v>
      </c>
      <c r="EQ55">
        <v>-1.056861875</v>
      </c>
      <c r="ER55">
        <v>-5.96974875</v>
      </c>
      <c r="ES55">
        <v>49.9946625</v>
      </c>
      <c r="ET55">
        <v>0.899909875</v>
      </c>
      <c r="EU55">
        <v>0.10009014375</v>
      </c>
      <c r="EV55">
        <v>0</v>
      </c>
      <c r="EW55">
        <v>853.7595</v>
      </c>
      <c r="EX55">
        <v>5.00059</v>
      </c>
      <c r="EY55">
        <v>414.164125</v>
      </c>
      <c r="EZ55">
        <v>382.2401875</v>
      </c>
      <c r="FA55">
        <v>35.9763125</v>
      </c>
      <c r="FB55">
        <v>39.796625</v>
      </c>
      <c r="FC55">
        <v>37.5935</v>
      </c>
      <c r="FD55">
        <v>39.46075</v>
      </c>
      <c r="FE55">
        <v>37.54275</v>
      </c>
      <c r="FF55">
        <v>40.490625</v>
      </c>
      <c r="FG55">
        <v>4.5</v>
      </c>
      <c r="FH55">
        <v>0</v>
      </c>
      <c r="FI55">
        <v>152</v>
      </c>
      <c r="FJ55">
        <v>0</v>
      </c>
      <c r="FK55">
        <v>853.699961538462</v>
      </c>
      <c r="FL55">
        <v>-2.9194188167884</v>
      </c>
      <c r="FM55">
        <v>-3.88594873207306</v>
      </c>
      <c r="FN55">
        <v>413.965461538462</v>
      </c>
      <c r="FO55">
        <v>15</v>
      </c>
      <c r="FP55">
        <v>0</v>
      </c>
      <c r="FQ55" t="s">
        <v>441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-2.00931523809524</v>
      </c>
      <c r="GD55">
        <v>0.481600519480516</v>
      </c>
      <c r="GE55">
        <v>0.0601806894055249</v>
      </c>
      <c r="GF55">
        <v>1</v>
      </c>
      <c r="GG55">
        <v>853.831147058824</v>
      </c>
      <c r="GH55">
        <v>-1.36997709364127</v>
      </c>
      <c r="GI55">
        <v>0.275935961491595</v>
      </c>
      <c r="GJ55">
        <v>-1</v>
      </c>
      <c r="GK55">
        <v>1.92073</v>
      </c>
      <c r="GL55">
        <v>0.0145387012987034</v>
      </c>
      <c r="GM55">
        <v>0.0016330602298402</v>
      </c>
      <c r="GN55">
        <v>1</v>
      </c>
      <c r="GO55">
        <v>2</v>
      </c>
      <c r="GP55">
        <v>2</v>
      </c>
      <c r="GQ55" t="s">
        <v>442</v>
      </c>
      <c r="GR55">
        <v>3.12836</v>
      </c>
      <c r="GS55">
        <v>2.69781</v>
      </c>
      <c r="GT55">
        <v>0.0896193</v>
      </c>
      <c r="GU55">
        <v>0.0905328</v>
      </c>
      <c r="GV55">
        <v>0.0371453</v>
      </c>
      <c r="GW55">
        <v>0.0271693</v>
      </c>
      <c r="GX55">
        <v>34317.7</v>
      </c>
      <c r="GY55">
        <v>36777.8</v>
      </c>
      <c r="GZ55">
        <v>34099.3</v>
      </c>
      <c r="HA55">
        <v>36607.9</v>
      </c>
      <c r="HB55">
        <v>46361.3</v>
      </c>
      <c r="HC55">
        <v>51088.1</v>
      </c>
      <c r="HD55">
        <v>53120.8</v>
      </c>
      <c r="HE55">
        <v>58414.5</v>
      </c>
      <c r="HF55">
        <v>1.96565</v>
      </c>
      <c r="HG55">
        <v>2.3498</v>
      </c>
      <c r="HH55">
        <v>-0.0527315</v>
      </c>
      <c r="HI55">
        <v>0</v>
      </c>
      <c r="HJ55">
        <v>18.8816</v>
      </c>
      <c r="HK55">
        <v>999.9</v>
      </c>
      <c r="HL55">
        <v>20.236</v>
      </c>
      <c r="HM55">
        <v>29.517</v>
      </c>
      <c r="HN55">
        <v>9.22371</v>
      </c>
      <c r="HO55">
        <v>55.576</v>
      </c>
      <c r="HP55">
        <v>32.4199</v>
      </c>
      <c r="HQ55">
        <v>2</v>
      </c>
      <c r="HR55">
        <v>-0.0321189</v>
      </c>
      <c r="HS55">
        <v>5.11612</v>
      </c>
      <c r="HT55">
        <v>20.0738</v>
      </c>
      <c r="HU55">
        <v>5.20037</v>
      </c>
      <c r="HV55">
        <v>12.004</v>
      </c>
      <c r="HW55">
        <v>4.9758</v>
      </c>
      <c r="HX55">
        <v>3.294</v>
      </c>
      <c r="HY55">
        <v>9999</v>
      </c>
      <c r="HZ55">
        <v>9999</v>
      </c>
      <c r="IA55">
        <v>9999</v>
      </c>
      <c r="IB55">
        <v>999.9</v>
      </c>
      <c r="IC55">
        <v>1.86318</v>
      </c>
      <c r="ID55">
        <v>1.86812</v>
      </c>
      <c r="IE55">
        <v>1.86783</v>
      </c>
      <c r="IF55">
        <v>1.86901</v>
      </c>
      <c r="IG55">
        <v>1.86981</v>
      </c>
      <c r="IH55">
        <v>1.8659</v>
      </c>
      <c r="II55">
        <v>1.86697</v>
      </c>
      <c r="IJ55">
        <v>1.86844</v>
      </c>
      <c r="IK55">
        <v>5</v>
      </c>
      <c r="IL55">
        <v>0</v>
      </c>
      <c r="IM55">
        <v>0</v>
      </c>
      <c r="IN55">
        <v>0</v>
      </c>
      <c r="IO55" t="s">
        <v>443</v>
      </c>
      <c r="IP55" t="s">
        <v>444</v>
      </c>
      <c r="IQ55" t="s">
        <v>445</v>
      </c>
      <c r="IR55" t="s">
        <v>445</v>
      </c>
      <c r="IS55" t="s">
        <v>445</v>
      </c>
      <c r="IT55" t="s">
        <v>445</v>
      </c>
      <c r="IU55">
        <v>0</v>
      </c>
      <c r="IV55">
        <v>100</v>
      </c>
      <c r="IW55">
        <v>100</v>
      </c>
      <c r="IX55">
        <v>2.908</v>
      </c>
      <c r="IY55">
        <v>-0.1338</v>
      </c>
      <c r="IZ55">
        <v>1.24656194001752</v>
      </c>
      <c r="JA55">
        <v>0.00408463137630218</v>
      </c>
      <c r="JB55">
        <v>-2.23906557180379e-07</v>
      </c>
      <c r="JC55">
        <v>6.23399102760906e-11</v>
      </c>
      <c r="JD55">
        <v>-0.0873394905990972</v>
      </c>
      <c r="JE55">
        <v>-0.0233348201324191</v>
      </c>
      <c r="JF55">
        <v>0.00274696999164489</v>
      </c>
      <c r="JG55">
        <v>-3.62864435074646e-05</v>
      </c>
      <c r="JH55">
        <v>5</v>
      </c>
      <c r="JI55">
        <v>2263</v>
      </c>
      <c r="JJ55">
        <v>1</v>
      </c>
      <c r="JK55">
        <v>24</v>
      </c>
      <c r="JL55">
        <v>29361382.7</v>
      </c>
      <c r="JM55">
        <v>29361382.7</v>
      </c>
      <c r="JN55">
        <v>1.24634</v>
      </c>
      <c r="JO55">
        <v>2.62207</v>
      </c>
      <c r="JP55">
        <v>2.19849</v>
      </c>
      <c r="JQ55">
        <v>2.62939</v>
      </c>
      <c r="JR55">
        <v>2.44507</v>
      </c>
      <c r="JS55">
        <v>2.30469</v>
      </c>
      <c r="JT55">
        <v>33.0429</v>
      </c>
      <c r="JU55">
        <v>24.1751</v>
      </c>
      <c r="JV55">
        <v>18</v>
      </c>
      <c r="JW55">
        <v>499.727</v>
      </c>
      <c r="JX55">
        <v>791.656</v>
      </c>
      <c r="JY55">
        <v>12.651</v>
      </c>
      <c r="JZ55">
        <v>26.8064</v>
      </c>
      <c r="KA55">
        <v>30.0001</v>
      </c>
      <c r="KB55">
        <v>26.8197</v>
      </c>
      <c r="KC55">
        <v>26.7656</v>
      </c>
      <c r="KD55">
        <v>24.985</v>
      </c>
      <c r="KE55">
        <v>34.4839</v>
      </c>
      <c r="KF55">
        <v>0</v>
      </c>
      <c r="KG55">
        <v>12.6307</v>
      </c>
      <c r="KH55">
        <v>420</v>
      </c>
      <c r="KI55">
        <v>4.35449</v>
      </c>
      <c r="KJ55">
        <v>96.615</v>
      </c>
      <c r="KK55">
        <v>94.7023</v>
      </c>
    </row>
    <row r="56" spans="1:297">
      <c r="A56">
        <v>40</v>
      </c>
      <c r="B56">
        <v>1761683061.1</v>
      </c>
      <c r="C56">
        <v>5712</v>
      </c>
      <c r="D56" t="s">
        <v>570</v>
      </c>
      <c r="E56" t="s">
        <v>571</v>
      </c>
      <c r="F56">
        <v>5</v>
      </c>
      <c r="G56" t="s">
        <v>543</v>
      </c>
      <c r="H56" t="s">
        <v>436</v>
      </c>
      <c r="I56">
        <v>1761683053.1</v>
      </c>
      <c r="J56">
        <f>(K56)/1000</f>
        <v>0</v>
      </c>
      <c r="K56">
        <f>IF(DP56, AN56, AH56)</f>
        <v>0</v>
      </c>
      <c r="L56">
        <f>IF(DP56, AI56, AG56)</f>
        <v>0</v>
      </c>
      <c r="M56">
        <f>DR56 - IF(AU56&gt;1, L56*DL56*100.0/(AW56), 0)</f>
        <v>0</v>
      </c>
      <c r="N56">
        <f>((T56-J56/2)*M56-L56)/(T56+J56/2)</f>
        <v>0</v>
      </c>
      <c r="O56">
        <f>N56*(DY56+DZ56)/1000.0</f>
        <v>0</v>
      </c>
      <c r="P56">
        <f>(DR56 - IF(AU56&gt;1, L56*DL56*100.0/(AW56), 0))*(DY56+DZ56)/1000.0</f>
        <v>0</v>
      </c>
      <c r="Q56">
        <f>2.0/((1/S56-1/R56)+SIGN(S56)*SQRT((1/S56-1/R56)*(1/S56-1/R56) + 4*DM56/((DM56+1)*(DM56+1))*(2*1/S56*1/R56-1/R56*1/R56)))</f>
        <v>0</v>
      </c>
      <c r="R56">
        <f>IF(LEFT(DN56,1)&lt;&gt;"0",IF(LEFT(DN56,1)="1",3.0,DO56),$D$5+$E$5*(EF56*DY56/($K$5*1000))+$F$5*(EF56*DY56/($K$5*1000))*MAX(MIN(DL56,$J$5),$I$5)*MAX(MIN(DL56,$J$5),$I$5)+$G$5*MAX(MIN(DL56,$J$5),$I$5)*(EF56*DY56/($K$5*1000))+$H$5*(EF56*DY56/($K$5*1000))*(EF56*DY56/($K$5*1000)))</f>
        <v>0</v>
      </c>
      <c r="S56">
        <f>J56*(1000-(1000*0.61365*exp(17.502*W56/(240.97+W56))/(DY56+DZ56)+DT56)/2)/(1000*0.61365*exp(17.502*W56/(240.97+W56))/(DY56+DZ56)-DT56)</f>
        <v>0</v>
      </c>
      <c r="T56">
        <f>1/((DM56+1)/(Q56/1.6)+1/(R56/1.37)) + DM56/((DM56+1)/(Q56/1.6) + DM56/(R56/1.37))</f>
        <v>0</v>
      </c>
      <c r="U56">
        <f>(DH56*DK56)</f>
        <v>0</v>
      </c>
      <c r="V56">
        <f>(EA56+(U56+2*0.95*5.67E-8*(((EA56+$B$7)+273)^4-(EA56+273)^4)-44100*J56)/(1.84*29.3*R56+8*0.95*5.67E-8*(EA56+273)^3))</f>
        <v>0</v>
      </c>
      <c r="W56">
        <f>($C$7*EB56+$D$7*EC56+$E$7*V56)</f>
        <v>0</v>
      </c>
      <c r="X56">
        <f>0.61365*exp(17.502*W56/(240.97+W56))</f>
        <v>0</v>
      </c>
      <c r="Y56">
        <f>(Z56/AA56*100)</f>
        <v>0</v>
      </c>
      <c r="Z56">
        <f>DT56*(DY56+DZ56)/1000</f>
        <v>0</v>
      </c>
      <c r="AA56">
        <f>0.61365*exp(17.502*EA56/(240.97+EA56))</f>
        <v>0</v>
      </c>
      <c r="AB56">
        <f>(X56-DT56*(DY56+DZ56)/1000)</f>
        <v>0</v>
      </c>
      <c r="AC56">
        <f>(-J56*44100)</f>
        <v>0</v>
      </c>
      <c r="AD56">
        <f>2*29.3*R56*0.92*(EA56-W56)</f>
        <v>0</v>
      </c>
      <c r="AE56">
        <f>2*0.95*5.67E-8*(((EA56+$B$7)+273)^4-(W56+273)^4)</f>
        <v>0</v>
      </c>
      <c r="AF56">
        <f>U56+AE56+AC56+AD56</f>
        <v>0</v>
      </c>
      <c r="AG56">
        <f>DX56*AU56*(DS56-DR56*(1000-AU56*DU56)/(1000-AU56*DT56))/(100*DL56)</f>
        <v>0</v>
      </c>
      <c r="AH56">
        <f>1000*DX56*AU56*(DT56-DU56)/(100*DL56*(1000-AU56*DT56))</f>
        <v>0</v>
      </c>
      <c r="AI56">
        <f>(AJ56 - AK56 - DY56*1E3/(8.314*(EA56+273.15)) * AM56/DX56 * AL56) * DX56/(100*DL56) * (1000 - DU56)/1000</f>
        <v>0</v>
      </c>
      <c r="AJ56">
        <v>421.843325870311</v>
      </c>
      <c r="AK56">
        <v>422.800036363636</v>
      </c>
      <c r="AL56">
        <v>0.00103388010611846</v>
      </c>
      <c r="AM56">
        <v>64.2078930913761</v>
      </c>
      <c r="AN56">
        <f>(AP56 - AO56 + DY56*1E3/(8.314*(EA56+273.15)) * AR56/DX56 * AQ56) * DX56/(100*DL56) * 1000/(1000 - AP56)</f>
        <v>0</v>
      </c>
      <c r="AO56">
        <v>4.33713585028094</v>
      </c>
      <c r="AP56">
        <v>6.28393692307693</v>
      </c>
      <c r="AQ56">
        <v>1.54976141827997e-05</v>
      </c>
      <c r="AR56">
        <v>109.012256791894</v>
      </c>
      <c r="AS56">
        <v>0</v>
      </c>
      <c r="AT56">
        <v>0</v>
      </c>
      <c r="AU56">
        <f>IF(AS56*$H$13&gt;=AW56,1.0,(AW56/(AW56-AS56*$H$13)))</f>
        <v>0</v>
      </c>
      <c r="AV56">
        <f>(AU56-1)*100</f>
        <v>0</v>
      </c>
      <c r="AW56">
        <f>MAX(0,($B$13+$C$13*EF56)/(1+$D$13*EF56)*DY56/(EA56+273)*$E$13)</f>
        <v>0</v>
      </c>
      <c r="AX56" t="s">
        <v>572</v>
      </c>
      <c r="AY56">
        <v>5110.91</v>
      </c>
      <c r="AZ56">
        <v>714.823076923077</v>
      </c>
      <c r="BA56">
        <v>1930.46444768955</v>
      </c>
      <c r="BB56">
        <f>1-AZ56/BA56</f>
        <v>0</v>
      </c>
      <c r="BC56">
        <v>-0.797918103269906</v>
      </c>
      <c r="BD56" t="s">
        <v>448</v>
      </c>
      <c r="BE56" t="s">
        <v>448</v>
      </c>
      <c r="BF56">
        <v>0</v>
      </c>
      <c r="BG56">
        <v>0</v>
      </c>
      <c r="BH56">
        <f>1-BF56/BG56</f>
        <v>0</v>
      </c>
      <c r="BI56">
        <v>0.5</v>
      </c>
      <c r="BJ56">
        <f>DI56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448</v>
      </c>
      <c r="BQ56">
        <v>0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BZ56">
        <v>46</v>
      </c>
      <c r="CA56">
        <v>290</v>
      </c>
      <c r="CB56">
        <v>1874.82</v>
      </c>
      <c r="CC56">
        <v>255</v>
      </c>
      <c r="CD56">
        <v>5110.91</v>
      </c>
      <c r="CE56">
        <v>1875.11</v>
      </c>
      <c r="CF56">
        <v>-0.29</v>
      </c>
      <c r="CG56">
        <v>300</v>
      </c>
      <c r="CH56">
        <v>23.8</v>
      </c>
      <c r="CI56">
        <v>1930.46444768955</v>
      </c>
      <c r="CJ56">
        <v>1.218072244677</v>
      </c>
      <c r="CK56">
        <v>-28.2896462476435</v>
      </c>
      <c r="CL56">
        <v>0.53950882995466</v>
      </c>
      <c r="CM56">
        <v>0.989919088304231</v>
      </c>
      <c r="CN56">
        <v>-0.00422155216907675</v>
      </c>
      <c r="CO56">
        <v>290</v>
      </c>
      <c r="CP56">
        <v>1871.97</v>
      </c>
      <c r="CQ56">
        <v>625</v>
      </c>
      <c r="CR56">
        <v>5110.37</v>
      </c>
      <c r="CS56">
        <v>1875.11</v>
      </c>
      <c r="CT56">
        <v>-3.14</v>
      </c>
      <c r="DH56">
        <f>$B$11*EG56+$C$11*EH56+$F$11*ES56*(1-EV56)</f>
        <v>0</v>
      </c>
      <c r="DI56">
        <f>DH56*DJ56</f>
        <v>0</v>
      </c>
      <c r="DJ56">
        <f>($B$11*$D$9+$C$11*$D$9+$F$11*((FF56+EX56)/MAX(FF56+EX56+FG56, 0.1)*$I$9+FG56/MAX(FF56+EX56+FG56, 0.1)*$J$9))/($B$11+$C$11+$F$11)</f>
        <v>0</v>
      </c>
      <c r="DK56">
        <f>($B$11*$K$9+$C$11*$K$9+$F$11*((FF56+EX56)/MAX(FF56+EX56+FG56, 0.1)*$P$9+FG56/MAX(FF56+EX56+FG56, 0.1)*$Q$9))/($B$11+$C$11+$F$11)</f>
        <v>0</v>
      </c>
      <c r="DL56">
        <v>6</v>
      </c>
      <c r="DM56">
        <v>0.5</v>
      </c>
      <c r="DN56" t="s">
        <v>440</v>
      </c>
      <c r="DO56">
        <v>2</v>
      </c>
      <c r="DP56" t="b">
        <v>1</v>
      </c>
      <c r="DQ56">
        <v>1761683053.1</v>
      </c>
      <c r="DR56">
        <v>420.083533333333</v>
      </c>
      <c r="DS56">
        <v>420.001466666667</v>
      </c>
      <c r="DT56">
        <v>6.28146533333333</v>
      </c>
      <c r="DU56">
        <v>4.33664266666667</v>
      </c>
      <c r="DV56">
        <v>417.1674</v>
      </c>
      <c r="DW56">
        <v>6.415032</v>
      </c>
      <c r="DX56">
        <v>499.993066666667</v>
      </c>
      <c r="DY56">
        <v>90.9123533333333</v>
      </c>
      <c r="DZ56">
        <v>0.0182259933333333</v>
      </c>
      <c r="EA56">
        <v>18.6698933333333</v>
      </c>
      <c r="EB56">
        <v>17.9951533333333</v>
      </c>
      <c r="EC56">
        <v>999.9</v>
      </c>
      <c r="ED56">
        <v>0</v>
      </c>
      <c r="EE56">
        <v>0</v>
      </c>
      <c r="EF56">
        <v>9994.91666666667</v>
      </c>
      <c r="EG56">
        <v>0</v>
      </c>
      <c r="EH56">
        <v>1310.706</v>
      </c>
      <c r="EI56">
        <v>0.0819274466666667</v>
      </c>
      <c r="EJ56">
        <v>422.738933333333</v>
      </c>
      <c r="EK56">
        <v>421.830866666667</v>
      </c>
      <c r="EL56">
        <v>1.94482266666667</v>
      </c>
      <c r="EM56">
        <v>420.001466666667</v>
      </c>
      <c r="EN56">
        <v>4.33664266666667</v>
      </c>
      <c r="EO56">
        <v>0.571062533333333</v>
      </c>
      <c r="EP56">
        <v>0.394254266666667</v>
      </c>
      <c r="EQ56">
        <v>-0.986232533333333</v>
      </c>
      <c r="ER56">
        <v>-5.94123</v>
      </c>
      <c r="ES56">
        <v>0.00500059</v>
      </c>
      <c r="ET56">
        <v>0</v>
      </c>
      <c r="EU56">
        <v>0</v>
      </c>
      <c r="EV56">
        <v>0</v>
      </c>
      <c r="EW56">
        <v>714</v>
      </c>
      <c r="EX56">
        <v>0.00500059</v>
      </c>
      <c r="EY56">
        <v>20.92</v>
      </c>
      <c r="EZ56">
        <v>-1.67333333333333</v>
      </c>
      <c r="FA56">
        <v>34.6832</v>
      </c>
      <c r="FB56">
        <v>38.2372</v>
      </c>
      <c r="FC56">
        <v>36.2830666666667</v>
      </c>
      <c r="FD56">
        <v>37.5706</v>
      </c>
      <c r="FE56">
        <v>36.1288666666667</v>
      </c>
      <c r="FF56">
        <v>0</v>
      </c>
      <c r="FG56">
        <v>0</v>
      </c>
      <c r="FH56">
        <v>0</v>
      </c>
      <c r="FI56">
        <v>98.2999999523163</v>
      </c>
      <c r="FJ56">
        <v>0</v>
      </c>
      <c r="FK56">
        <v>714.823076923077</v>
      </c>
      <c r="FL56">
        <v>13.1760683378715</v>
      </c>
      <c r="FM56">
        <v>-5.35384663605462</v>
      </c>
      <c r="FN56">
        <v>22.6</v>
      </c>
      <c r="FO56">
        <v>15</v>
      </c>
      <c r="FP56">
        <v>0</v>
      </c>
      <c r="FQ56" t="s">
        <v>441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0.053100548</v>
      </c>
      <c r="GD56">
        <v>0.450480255338346</v>
      </c>
      <c r="GE56">
        <v>0.0483227359999059</v>
      </c>
      <c r="GF56">
        <v>1</v>
      </c>
      <c r="GG56">
        <v>714.970588235294</v>
      </c>
      <c r="GH56">
        <v>0.415584339108591</v>
      </c>
      <c r="GI56">
        <v>5.87044087991418</v>
      </c>
      <c r="GJ56">
        <v>-1</v>
      </c>
      <c r="GK56">
        <v>1.943778</v>
      </c>
      <c r="GL56">
        <v>0.0173007518796989</v>
      </c>
      <c r="GM56">
        <v>0.00168704356790217</v>
      </c>
      <c r="GN56">
        <v>1</v>
      </c>
      <c r="GO56">
        <v>2</v>
      </c>
      <c r="GP56">
        <v>2</v>
      </c>
      <c r="GQ56" t="s">
        <v>442</v>
      </c>
      <c r="GR56">
        <v>3.12856</v>
      </c>
      <c r="GS56">
        <v>2.6964</v>
      </c>
      <c r="GT56">
        <v>0.0899658</v>
      </c>
      <c r="GU56">
        <v>0.0905422</v>
      </c>
      <c r="GV56">
        <v>0.0373088</v>
      </c>
      <c r="GW56">
        <v>0.0272225</v>
      </c>
      <c r="GX56">
        <v>34308.1</v>
      </c>
      <c r="GY56">
        <v>36781.6</v>
      </c>
      <c r="GZ56">
        <v>34102.5</v>
      </c>
      <c r="HA56">
        <v>36611.8</v>
      </c>
      <c r="HB56">
        <v>46357.3</v>
      </c>
      <c r="HC56">
        <v>51090.4</v>
      </c>
      <c r="HD56">
        <v>53125.1</v>
      </c>
      <c r="HE56">
        <v>58420.1</v>
      </c>
      <c r="HF56">
        <v>1.96623</v>
      </c>
      <c r="HG56">
        <v>2.35045</v>
      </c>
      <c r="HH56">
        <v>-0.0576861</v>
      </c>
      <c r="HI56">
        <v>0</v>
      </c>
      <c r="HJ56">
        <v>18.9471</v>
      </c>
      <c r="HK56">
        <v>999.9</v>
      </c>
      <c r="HL56">
        <v>20.236</v>
      </c>
      <c r="HM56">
        <v>29.527</v>
      </c>
      <c r="HN56">
        <v>9.22821</v>
      </c>
      <c r="HO56">
        <v>54.266</v>
      </c>
      <c r="HP56">
        <v>32.0833</v>
      </c>
      <c r="HQ56">
        <v>2</v>
      </c>
      <c r="HR56">
        <v>-0.0377439</v>
      </c>
      <c r="HS56">
        <v>4.72383</v>
      </c>
      <c r="HT56">
        <v>20.0868</v>
      </c>
      <c r="HU56">
        <v>5.20127</v>
      </c>
      <c r="HV56">
        <v>12.0047</v>
      </c>
      <c r="HW56">
        <v>4.97575</v>
      </c>
      <c r="HX56">
        <v>3.29398</v>
      </c>
      <c r="HY56">
        <v>9999</v>
      </c>
      <c r="HZ56">
        <v>9999</v>
      </c>
      <c r="IA56">
        <v>9999</v>
      </c>
      <c r="IB56">
        <v>999.9</v>
      </c>
      <c r="IC56">
        <v>1.8632</v>
      </c>
      <c r="ID56">
        <v>1.86812</v>
      </c>
      <c r="IE56">
        <v>1.86783</v>
      </c>
      <c r="IF56">
        <v>1.86902</v>
      </c>
      <c r="IG56">
        <v>1.86981</v>
      </c>
      <c r="IH56">
        <v>1.86591</v>
      </c>
      <c r="II56">
        <v>1.867</v>
      </c>
      <c r="IJ56">
        <v>1.86843</v>
      </c>
      <c r="IK56">
        <v>5</v>
      </c>
      <c r="IL56">
        <v>0</v>
      </c>
      <c r="IM56">
        <v>0</v>
      </c>
      <c r="IN56">
        <v>0</v>
      </c>
      <c r="IO56" t="s">
        <v>443</v>
      </c>
      <c r="IP56" t="s">
        <v>444</v>
      </c>
      <c r="IQ56" t="s">
        <v>445</v>
      </c>
      <c r="IR56" t="s">
        <v>445</v>
      </c>
      <c r="IS56" t="s">
        <v>445</v>
      </c>
      <c r="IT56" t="s">
        <v>445</v>
      </c>
      <c r="IU56">
        <v>0</v>
      </c>
      <c r="IV56">
        <v>100</v>
      </c>
      <c r="IW56">
        <v>100</v>
      </c>
      <c r="IX56">
        <v>2.916</v>
      </c>
      <c r="IY56">
        <v>-0.1335</v>
      </c>
      <c r="IZ56">
        <v>1.24656194001752</v>
      </c>
      <c r="JA56">
        <v>0.00408463137630218</v>
      </c>
      <c r="JB56">
        <v>-2.23906557180379e-07</v>
      </c>
      <c r="JC56">
        <v>6.23399102760906e-11</v>
      </c>
      <c r="JD56">
        <v>-0.0873394905990972</v>
      </c>
      <c r="JE56">
        <v>-0.0233348201324191</v>
      </c>
      <c r="JF56">
        <v>0.00274696999164489</v>
      </c>
      <c r="JG56">
        <v>-3.62864435074646e-05</v>
      </c>
      <c r="JH56">
        <v>5</v>
      </c>
      <c r="JI56">
        <v>2263</v>
      </c>
      <c r="JJ56">
        <v>1</v>
      </c>
      <c r="JK56">
        <v>24</v>
      </c>
      <c r="JL56">
        <v>29361384.4</v>
      </c>
      <c r="JM56">
        <v>29361384.4</v>
      </c>
      <c r="JN56">
        <v>1.24756</v>
      </c>
      <c r="JO56">
        <v>2.61353</v>
      </c>
      <c r="JP56">
        <v>2.19849</v>
      </c>
      <c r="JQ56">
        <v>2.62939</v>
      </c>
      <c r="JR56">
        <v>2.44507</v>
      </c>
      <c r="JS56">
        <v>2.35474</v>
      </c>
      <c r="JT56">
        <v>33.0652</v>
      </c>
      <c r="JU56">
        <v>24.1926</v>
      </c>
      <c r="JV56">
        <v>18</v>
      </c>
      <c r="JW56">
        <v>499.708</v>
      </c>
      <c r="JX56">
        <v>791.659</v>
      </c>
      <c r="JY56">
        <v>12.9247</v>
      </c>
      <c r="JZ56">
        <v>26.7588</v>
      </c>
      <c r="KA56">
        <v>30</v>
      </c>
      <c r="KB56">
        <v>26.7762</v>
      </c>
      <c r="KC56">
        <v>26.7244</v>
      </c>
      <c r="KD56">
        <v>24.9858</v>
      </c>
      <c r="KE56">
        <v>34.4839</v>
      </c>
      <c r="KF56">
        <v>0</v>
      </c>
      <c r="KG56">
        <v>12.9221</v>
      </c>
      <c r="KH56">
        <v>420</v>
      </c>
      <c r="KI56">
        <v>4.35306</v>
      </c>
      <c r="KJ56">
        <v>96.6232</v>
      </c>
      <c r="KK56">
        <v>94.7118</v>
      </c>
    </row>
    <row r="57" spans="1:297">
      <c r="A57">
        <v>41</v>
      </c>
      <c r="B57">
        <v>1761683877</v>
      </c>
      <c r="C57">
        <v>6527.90000009537</v>
      </c>
      <c r="D57" t="s">
        <v>573</v>
      </c>
      <c r="E57" t="s">
        <v>574</v>
      </c>
      <c r="F57">
        <v>5</v>
      </c>
      <c r="G57" t="s">
        <v>575</v>
      </c>
      <c r="H57" t="s">
        <v>436</v>
      </c>
      <c r="I57">
        <v>1761683868.5</v>
      </c>
      <c r="J57">
        <f>(K57)/1000</f>
        <v>0</v>
      </c>
      <c r="K57">
        <f>IF(DP57, AN57, AH57)</f>
        <v>0</v>
      </c>
      <c r="L57">
        <f>IF(DP57, AI57, AG57)</f>
        <v>0</v>
      </c>
      <c r="M57">
        <f>DR57 - IF(AU57&gt;1, L57*DL57*100.0/(AW57), 0)</f>
        <v>0</v>
      </c>
      <c r="N57">
        <f>((T57-J57/2)*M57-L57)/(T57+J57/2)</f>
        <v>0</v>
      </c>
      <c r="O57">
        <f>N57*(DY57+DZ57)/1000.0</f>
        <v>0</v>
      </c>
      <c r="P57">
        <f>(DR57 - IF(AU57&gt;1, L57*DL57*100.0/(AW57), 0))*(DY57+DZ57)/1000.0</f>
        <v>0</v>
      </c>
      <c r="Q57">
        <f>2.0/((1/S57-1/R57)+SIGN(S57)*SQRT((1/S57-1/R57)*(1/S57-1/R57) + 4*DM57/((DM57+1)*(DM57+1))*(2*1/S57*1/R57-1/R57*1/R57)))</f>
        <v>0</v>
      </c>
      <c r="R57">
        <f>IF(LEFT(DN57,1)&lt;&gt;"0",IF(LEFT(DN57,1)="1",3.0,DO57),$D$5+$E$5*(EF57*DY57/($K$5*1000))+$F$5*(EF57*DY57/($K$5*1000))*MAX(MIN(DL57,$J$5),$I$5)*MAX(MIN(DL57,$J$5),$I$5)+$G$5*MAX(MIN(DL57,$J$5),$I$5)*(EF57*DY57/($K$5*1000))+$H$5*(EF57*DY57/($K$5*1000))*(EF57*DY57/($K$5*1000)))</f>
        <v>0</v>
      </c>
      <c r="S57">
        <f>J57*(1000-(1000*0.61365*exp(17.502*W57/(240.97+W57))/(DY57+DZ57)+DT57)/2)/(1000*0.61365*exp(17.502*W57/(240.97+W57))/(DY57+DZ57)-DT57)</f>
        <v>0</v>
      </c>
      <c r="T57">
        <f>1/((DM57+1)/(Q57/1.6)+1/(R57/1.37)) + DM57/((DM57+1)/(Q57/1.6) + DM57/(R57/1.37))</f>
        <v>0</v>
      </c>
      <c r="U57">
        <f>(DH57*DK57)</f>
        <v>0</v>
      </c>
      <c r="V57">
        <f>(EA57+(U57+2*0.95*5.67E-8*(((EA57+$B$7)+273)^4-(EA57+273)^4)-44100*J57)/(1.84*29.3*R57+8*0.95*5.67E-8*(EA57+273)^3))</f>
        <v>0</v>
      </c>
      <c r="W57">
        <f>($C$7*EB57+$D$7*EC57+$E$7*V57)</f>
        <v>0</v>
      </c>
      <c r="X57">
        <f>0.61365*exp(17.502*W57/(240.97+W57))</f>
        <v>0</v>
      </c>
      <c r="Y57">
        <f>(Z57/AA57*100)</f>
        <v>0</v>
      </c>
      <c r="Z57">
        <f>DT57*(DY57+DZ57)/1000</f>
        <v>0</v>
      </c>
      <c r="AA57">
        <f>0.61365*exp(17.502*EA57/(240.97+EA57))</f>
        <v>0</v>
      </c>
      <c r="AB57">
        <f>(X57-DT57*(DY57+DZ57)/1000)</f>
        <v>0</v>
      </c>
      <c r="AC57">
        <f>(-J57*44100)</f>
        <v>0</v>
      </c>
      <c r="AD57">
        <f>2*29.3*R57*0.92*(EA57-W57)</f>
        <v>0</v>
      </c>
      <c r="AE57">
        <f>2*0.95*5.67E-8*(((EA57+$B$7)+273)^4-(W57+273)^4)</f>
        <v>0</v>
      </c>
      <c r="AF57">
        <f>U57+AE57+AC57+AD57</f>
        <v>0</v>
      </c>
      <c r="AG57">
        <f>DX57*AU57*(DS57-DR57*(1000-AU57*DU57)/(1000-AU57*DT57))/(100*DL57)</f>
        <v>0</v>
      </c>
      <c r="AH57">
        <f>1000*DX57*AU57*(DT57-DU57)/(100*DL57*(1000-AU57*DT57))</f>
        <v>0</v>
      </c>
      <c r="AI57">
        <f>(AJ57 - AK57 - DY57*1E3/(8.314*(EA57+273.15)) * AM57/DX57 * AL57) * DX57/(100*DL57) * (1000 - DU57)/1000</f>
        <v>0</v>
      </c>
      <c r="AJ57">
        <v>422.13464645392</v>
      </c>
      <c r="AK57">
        <v>417.408139393939</v>
      </c>
      <c r="AL57">
        <v>0.000197016558656442</v>
      </c>
      <c r="AM57">
        <v>64.2372859999495</v>
      </c>
      <c r="AN57">
        <f>(AP57 - AO57 + DY57*1E3/(8.314*(EA57+273.15)) * AR57/DX57 * AQ57) * DX57/(100*DL57) * 1000/(1000 - AP57)</f>
        <v>0</v>
      </c>
      <c r="AO57">
        <v>5.05901661521372</v>
      </c>
      <c r="AP57">
        <v>6.24164958041958</v>
      </c>
      <c r="AQ57">
        <v>2.9136329796273e-06</v>
      </c>
      <c r="AR57">
        <v>108.956490973995</v>
      </c>
      <c r="AS57">
        <v>0</v>
      </c>
      <c r="AT57">
        <v>0</v>
      </c>
      <c r="AU57">
        <f>IF(AS57*$H$13&gt;=AW57,1.0,(AW57/(AW57-AS57*$H$13)))</f>
        <v>0</v>
      </c>
      <c r="AV57">
        <f>(AU57-1)*100</f>
        <v>0</v>
      </c>
      <c r="AW57">
        <f>MAX(0,($B$13+$C$13*EF57)/(1+$D$13*EF57)*DY57/(EA57+273)*$E$13)</f>
        <v>0</v>
      </c>
      <c r="AX57" t="s">
        <v>572</v>
      </c>
      <c r="AY57">
        <v>5110.91</v>
      </c>
      <c r="AZ57">
        <v>714.823076923077</v>
      </c>
      <c r="BA57">
        <v>1930.46444768955</v>
      </c>
      <c r="BB57">
        <f>1-AZ57/BA57</f>
        <v>0</v>
      </c>
      <c r="BC57">
        <v>-0.797918103269906</v>
      </c>
      <c r="BD57" t="s">
        <v>576</v>
      </c>
      <c r="BE57">
        <v>5141.21</v>
      </c>
      <c r="BF57">
        <v>1479.35153846154</v>
      </c>
      <c r="BG57">
        <v>1543.59595739967</v>
      </c>
      <c r="BH57">
        <f>1-BF57/BG57</f>
        <v>0</v>
      </c>
      <c r="BI57">
        <v>0.5</v>
      </c>
      <c r="BJ57">
        <f>DI57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577</v>
      </c>
      <c r="BQ57">
        <v>876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BZ57">
        <v>47</v>
      </c>
      <c r="CA57">
        <v>290</v>
      </c>
      <c r="CB57">
        <v>1509.5</v>
      </c>
      <c r="CC57">
        <v>105</v>
      </c>
      <c r="CD57">
        <v>5141.21</v>
      </c>
      <c r="CE57">
        <v>1507.76</v>
      </c>
      <c r="CF57">
        <v>1.74</v>
      </c>
      <c r="CG57">
        <v>300</v>
      </c>
      <c r="CH57">
        <v>23.6</v>
      </c>
      <c r="CI57">
        <v>1543.59595739967</v>
      </c>
      <c r="CJ57">
        <v>2.59198814894756</v>
      </c>
      <c r="CK57">
        <v>-18.4232446948116</v>
      </c>
      <c r="CL57">
        <v>1.22774217592826</v>
      </c>
      <c r="CM57">
        <v>0.889404045394491</v>
      </c>
      <c r="CN57">
        <v>-0.00256555595105673</v>
      </c>
      <c r="CO57">
        <v>290</v>
      </c>
      <c r="CP57">
        <v>1505.79</v>
      </c>
      <c r="CQ57">
        <v>625</v>
      </c>
      <c r="CR57">
        <v>5138.84</v>
      </c>
      <c r="CS57">
        <v>1507.74</v>
      </c>
      <c r="CT57">
        <v>-1.95</v>
      </c>
      <c r="DH57">
        <f>$B$11*EG57+$C$11*EH57+$F$11*ES57*(1-EV57)</f>
        <v>0</v>
      </c>
      <c r="DI57">
        <f>DH57*DJ57</f>
        <v>0</v>
      </c>
      <c r="DJ57">
        <f>($B$11*$D$9+$C$11*$D$9+$F$11*((FF57+EX57)/MAX(FF57+EX57+FG57, 0.1)*$I$9+FG57/MAX(FF57+EX57+FG57, 0.1)*$J$9))/($B$11+$C$11+$F$11)</f>
        <v>0</v>
      </c>
      <c r="DK57">
        <f>($B$11*$K$9+$C$11*$K$9+$F$11*((FF57+EX57)/MAX(FF57+EX57+FG57, 0.1)*$P$9+FG57/MAX(FF57+EX57+FG57, 0.1)*$Q$9))/($B$11+$C$11+$F$11)</f>
        <v>0</v>
      </c>
      <c r="DL57">
        <v>6</v>
      </c>
      <c r="DM57">
        <v>0.5</v>
      </c>
      <c r="DN57" t="s">
        <v>440</v>
      </c>
      <c r="DO57">
        <v>2</v>
      </c>
      <c r="DP57" t="b">
        <v>1</v>
      </c>
      <c r="DQ57">
        <v>1761683868.5</v>
      </c>
      <c r="DR57">
        <v>414.7983125</v>
      </c>
      <c r="DS57">
        <v>419.998125</v>
      </c>
      <c r="DT57">
        <v>6.23815125</v>
      </c>
      <c r="DU57">
        <v>5.05829875</v>
      </c>
      <c r="DV57">
        <v>411.9028125</v>
      </c>
      <c r="DW57">
        <v>6.372035</v>
      </c>
      <c r="DX57">
        <v>499.9929375</v>
      </c>
      <c r="DY57">
        <v>90.9341375</v>
      </c>
      <c r="DZ57">
        <v>0.02025861875</v>
      </c>
      <c r="EA57">
        <v>18.49881875</v>
      </c>
      <c r="EB57">
        <v>18.004675</v>
      </c>
      <c r="EC57">
        <v>999.9</v>
      </c>
      <c r="ED57">
        <v>0</v>
      </c>
      <c r="EE57">
        <v>0</v>
      </c>
      <c r="EF57">
        <v>9999.21625</v>
      </c>
      <c r="EG57">
        <v>0</v>
      </c>
      <c r="EH57">
        <v>1335.07875</v>
      </c>
      <c r="EI57">
        <v>-5.199975</v>
      </c>
      <c r="EJ57">
        <v>417.4019375</v>
      </c>
      <c r="EK57">
        <v>422.1334375</v>
      </c>
      <c r="EL57">
        <v>1.179853125</v>
      </c>
      <c r="EM57">
        <v>419.998125</v>
      </c>
      <c r="EN57">
        <v>5.05829875</v>
      </c>
      <c r="EO57">
        <v>0.567260875</v>
      </c>
      <c r="EP57">
        <v>0.459972</v>
      </c>
      <c r="EQ57">
        <v>-1.077410625</v>
      </c>
      <c r="ER57">
        <v>-3.904486875</v>
      </c>
      <c r="ES57">
        <v>1999.946875</v>
      </c>
      <c r="ET57">
        <v>0.9800056875</v>
      </c>
      <c r="EU57">
        <v>0.01999460625</v>
      </c>
      <c r="EV57">
        <v>0</v>
      </c>
      <c r="EW57">
        <v>1479.549375</v>
      </c>
      <c r="EX57">
        <v>5.00059</v>
      </c>
      <c r="EY57">
        <v>29361.8</v>
      </c>
      <c r="EZ57">
        <v>17359.9</v>
      </c>
      <c r="FA57">
        <v>37.562</v>
      </c>
      <c r="FB57">
        <v>38.375</v>
      </c>
      <c r="FC57">
        <v>37.312</v>
      </c>
      <c r="FD57">
        <v>37.5</v>
      </c>
      <c r="FE57">
        <v>38.02325</v>
      </c>
      <c r="FF57">
        <v>1955.055</v>
      </c>
      <c r="FG57">
        <v>39.891875</v>
      </c>
      <c r="FH57">
        <v>0</v>
      </c>
      <c r="FI57">
        <v>814.899999856949</v>
      </c>
      <c r="FJ57">
        <v>0</v>
      </c>
      <c r="FK57">
        <v>1479.35153846154</v>
      </c>
      <c r="FL57">
        <v>-9.14598291036105</v>
      </c>
      <c r="FM57">
        <v>-179.104273742519</v>
      </c>
      <c r="FN57">
        <v>29358.5538461538</v>
      </c>
      <c r="FO57">
        <v>15</v>
      </c>
      <c r="FP57">
        <v>0</v>
      </c>
      <c r="FQ57" t="s">
        <v>441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-5.200364</v>
      </c>
      <c r="GD57">
        <v>-0.0952745864661706</v>
      </c>
      <c r="GE57">
        <v>0.0278461314009683</v>
      </c>
      <c r="GF57">
        <v>1</v>
      </c>
      <c r="GG57">
        <v>1479.87882352941</v>
      </c>
      <c r="GH57">
        <v>-9.024904511678</v>
      </c>
      <c r="GI57">
        <v>0.907798775014052</v>
      </c>
      <c r="GJ57">
        <v>-1</v>
      </c>
      <c r="GK57">
        <v>1.179733</v>
      </c>
      <c r="GL57">
        <v>0.0143855639097748</v>
      </c>
      <c r="GM57">
        <v>0.00186222205979845</v>
      </c>
      <c r="GN57">
        <v>1</v>
      </c>
      <c r="GO57">
        <v>2</v>
      </c>
      <c r="GP57">
        <v>2</v>
      </c>
      <c r="GQ57" t="s">
        <v>442</v>
      </c>
      <c r="GR57">
        <v>3.12861</v>
      </c>
      <c r="GS57">
        <v>2.69822</v>
      </c>
      <c r="GT57">
        <v>0.0890772</v>
      </c>
      <c r="GU57">
        <v>0.0905378</v>
      </c>
      <c r="GV57">
        <v>0.0371009</v>
      </c>
      <c r="GW57">
        <v>0.031069</v>
      </c>
      <c r="GX57">
        <v>34329.3</v>
      </c>
      <c r="GY57">
        <v>36767.3</v>
      </c>
      <c r="GZ57">
        <v>34091.5</v>
      </c>
      <c r="HA57">
        <v>36598.6</v>
      </c>
      <c r="HB57">
        <v>46354.1</v>
      </c>
      <c r="HC57">
        <v>50870.3</v>
      </c>
      <c r="HD57">
        <v>53110.7</v>
      </c>
      <c r="HE57">
        <v>58401.5</v>
      </c>
      <c r="HF57">
        <v>1.96583</v>
      </c>
      <c r="HG57">
        <v>2.34088</v>
      </c>
      <c r="HH57">
        <v>-0.0413954</v>
      </c>
      <c r="HI57">
        <v>0</v>
      </c>
      <c r="HJ57">
        <v>18.6906</v>
      </c>
      <c r="HK57">
        <v>999.9</v>
      </c>
      <c r="HL57">
        <v>20.211</v>
      </c>
      <c r="HM57">
        <v>29.729</v>
      </c>
      <c r="HN57">
        <v>9.32329</v>
      </c>
      <c r="HO57">
        <v>56.0663</v>
      </c>
      <c r="HP57">
        <v>32.2436</v>
      </c>
      <c r="HQ57">
        <v>2</v>
      </c>
      <c r="HR57">
        <v>-0.0102236</v>
      </c>
      <c r="HS57">
        <v>7.21299</v>
      </c>
      <c r="HT57">
        <v>19.9848</v>
      </c>
      <c r="HU57">
        <v>5.19902</v>
      </c>
      <c r="HV57">
        <v>12.0049</v>
      </c>
      <c r="HW57">
        <v>4.97575</v>
      </c>
      <c r="HX57">
        <v>3.29393</v>
      </c>
      <c r="HY57">
        <v>9999</v>
      </c>
      <c r="HZ57">
        <v>9999</v>
      </c>
      <c r="IA57">
        <v>9999</v>
      </c>
      <c r="IB57">
        <v>999.9</v>
      </c>
      <c r="IC57">
        <v>1.86324</v>
      </c>
      <c r="ID57">
        <v>1.86813</v>
      </c>
      <c r="IE57">
        <v>1.86784</v>
      </c>
      <c r="IF57">
        <v>1.86905</v>
      </c>
      <c r="IG57">
        <v>1.86982</v>
      </c>
      <c r="IH57">
        <v>1.8659</v>
      </c>
      <c r="II57">
        <v>1.86695</v>
      </c>
      <c r="IJ57">
        <v>1.86843</v>
      </c>
      <c r="IK57">
        <v>5</v>
      </c>
      <c r="IL57">
        <v>0</v>
      </c>
      <c r="IM57">
        <v>0</v>
      </c>
      <c r="IN57">
        <v>0</v>
      </c>
      <c r="IO57" t="s">
        <v>443</v>
      </c>
      <c r="IP57" t="s">
        <v>444</v>
      </c>
      <c r="IQ57" t="s">
        <v>445</v>
      </c>
      <c r="IR57" t="s">
        <v>445</v>
      </c>
      <c r="IS57" t="s">
        <v>445</v>
      </c>
      <c r="IT57" t="s">
        <v>445</v>
      </c>
      <c r="IU57">
        <v>0</v>
      </c>
      <c r="IV57">
        <v>100</v>
      </c>
      <c r="IW57">
        <v>100</v>
      </c>
      <c r="IX57">
        <v>2.896</v>
      </c>
      <c r="IY57">
        <v>-0.1338</v>
      </c>
      <c r="IZ57">
        <v>1.24656194001752</v>
      </c>
      <c r="JA57">
        <v>0.00408463137630218</v>
      </c>
      <c r="JB57">
        <v>-2.23906557180379e-07</v>
      </c>
      <c r="JC57">
        <v>6.23399102760906e-11</v>
      </c>
      <c r="JD57">
        <v>-0.0873394905990972</v>
      </c>
      <c r="JE57">
        <v>-0.0233348201324191</v>
      </c>
      <c r="JF57">
        <v>0.00274696999164489</v>
      </c>
      <c r="JG57">
        <v>-3.62864435074646e-05</v>
      </c>
      <c r="JH57">
        <v>5</v>
      </c>
      <c r="JI57">
        <v>2263</v>
      </c>
      <c r="JJ57">
        <v>1</v>
      </c>
      <c r="JK57">
        <v>24</v>
      </c>
      <c r="JL57">
        <v>29361397.9</v>
      </c>
      <c r="JM57">
        <v>29361397.9</v>
      </c>
      <c r="JN57">
        <v>1.24878</v>
      </c>
      <c r="JO57">
        <v>2.61475</v>
      </c>
      <c r="JP57">
        <v>2.19849</v>
      </c>
      <c r="JQ57">
        <v>2.62817</v>
      </c>
      <c r="JR57">
        <v>2.44507</v>
      </c>
      <c r="JS57">
        <v>2.35962</v>
      </c>
      <c r="JT57">
        <v>33.3335</v>
      </c>
      <c r="JU57">
        <v>24.1313</v>
      </c>
      <c r="JV57">
        <v>18</v>
      </c>
      <c r="JW57">
        <v>500.562</v>
      </c>
      <c r="JX57">
        <v>784.223</v>
      </c>
      <c r="JY57">
        <v>9.98936</v>
      </c>
      <c r="JZ57">
        <v>26.9869</v>
      </c>
      <c r="KA57">
        <v>30.0001</v>
      </c>
      <c r="KB57">
        <v>26.9</v>
      </c>
      <c r="KC57">
        <v>26.8261</v>
      </c>
      <c r="KD57">
        <v>25.0138</v>
      </c>
      <c r="KE57">
        <v>27.2614</v>
      </c>
      <c r="KF57">
        <v>0</v>
      </c>
      <c r="KG57">
        <v>9.97722</v>
      </c>
      <c r="KH57">
        <v>420</v>
      </c>
      <c r="KI57">
        <v>4.98878</v>
      </c>
      <c r="KJ57">
        <v>96.5951</v>
      </c>
      <c r="KK57">
        <v>94.6801</v>
      </c>
    </row>
    <row r="58" spans="1:297">
      <c r="A58">
        <v>42</v>
      </c>
      <c r="B58">
        <v>1761683947</v>
      </c>
      <c r="C58">
        <v>6597.90000009537</v>
      </c>
      <c r="D58" t="s">
        <v>578</v>
      </c>
      <c r="E58" t="s">
        <v>579</v>
      </c>
      <c r="F58">
        <v>5</v>
      </c>
      <c r="G58" t="s">
        <v>575</v>
      </c>
      <c r="H58" t="s">
        <v>436</v>
      </c>
      <c r="I58">
        <v>1761683938.5</v>
      </c>
      <c r="J58">
        <f>(K58)/1000</f>
        <v>0</v>
      </c>
      <c r="K58">
        <f>IF(DP58, AN58, AH58)</f>
        <v>0</v>
      </c>
      <c r="L58">
        <f>IF(DP58, AI58, AG58)</f>
        <v>0</v>
      </c>
      <c r="M58">
        <f>DR58 - IF(AU58&gt;1, L58*DL58*100.0/(AW58), 0)</f>
        <v>0</v>
      </c>
      <c r="N58">
        <f>((T58-J58/2)*M58-L58)/(T58+J58/2)</f>
        <v>0</v>
      </c>
      <c r="O58">
        <f>N58*(DY58+DZ58)/1000.0</f>
        <v>0</v>
      </c>
      <c r="P58">
        <f>(DR58 - IF(AU58&gt;1, L58*DL58*100.0/(AW58), 0))*(DY58+DZ58)/1000.0</f>
        <v>0</v>
      </c>
      <c r="Q58">
        <f>2.0/((1/S58-1/R58)+SIGN(S58)*SQRT((1/S58-1/R58)*(1/S58-1/R58) + 4*DM58/((DM58+1)*(DM58+1))*(2*1/S58*1/R58-1/R58*1/R58)))</f>
        <v>0</v>
      </c>
      <c r="R58">
        <f>IF(LEFT(DN58,1)&lt;&gt;"0",IF(LEFT(DN58,1)="1",3.0,DO58),$D$5+$E$5*(EF58*DY58/($K$5*1000))+$F$5*(EF58*DY58/($K$5*1000))*MAX(MIN(DL58,$J$5),$I$5)*MAX(MIN(DL58,$J$5),$I$5)+$G$5*MAX(MIN(DL58,$J$5),$I$5)*(EF58*DY58/($K$5*1000))+$H$5*(EF58*DY58/($K$5*1000))*(EF58*DY58/($K$5*1000)))</f>
        <v>0</v>
      </c>
      <c r="S58">
        <f>J58*(1000-(1000*0.61365*exp(17.502*W58/(240.97+W58))/(DY58+DZ58)+DT58)/2)/(1000*0.61365*exp(17.502*W58/(240.97+W58))/(DY58+DZ58)-DT58)</f>
        <v>0</v>
      </c>
      <c r="T58">
        <f>1/((DM58+1)/(Q58/1.6)+1/(R58/1.37)) + DM58/((DM58+1)/(Q58/1.6) + DM58/(R58/1.37))</f>
        <v>0</v>
      </c>
      <c r="U58">
        <f>(DH58*DK58)</f>
        <v>0</v>
      </c>
      <c r="V58">
        <f>(EA58+(U58+2*0.95*5.67E-8*(((EA58+$B$7)+273)^4-(EA58+273)^4)-44100*J58)/(1.84*29.3*R58+8*0.95*5.67E-8*(EA58+273)^3))</f>
        <v>0</v>
      </c>
      <c r="W58">
        <f>($C$7*EB58+$D$7*EC58+$E$7*V58)</f>
        <v>0</v>
      </c>
      <c r="X58">
        <f>0.61365*exp(17.502*W58/(240.97+W58))</f>
        <v>0</v>
      </c>
      <c r="Y58">
        <f>(Z58/AA58*100)</f>
        <v>0</v>
      </c>
      <c r="Z58">
        <f>DT58*(DY58+DZ58)/1000</f>
        <v>0</v>
      </c>
      <c r="AA58">
        <f>0.61365*exp(17.502*EA58/(240.97+EA58))</f>
        <v>0</v>
      </c>
      <c r="AB58">
        <f>(X58-DT58*(DY58+DZ58)/1000)</f>
        <v>0</v>
      </c>
      <c r="AC58">
        <f>(-J58*44100)</f>
        <v>0</v>
      </c>
      <c r="AD58">
        <f>2*29.3*R58*0.92*(EA58-W58)</f>
        <v>0</v>
      </c>
      <c r="AE58">
        <f>2*0.95*5.67E-8*(((EA58+$B$7)+273)^4-(W58+273)^4)</f>
        <v>0</v>
      </c>
      <c r="AF58">
        <f>U58+AE58+AC58+AD58</f>
        <v>0</v>
      </c>
      <c r="AG58">
        <f>DX58*AU58*(DS58-DR58*(1000-AU58*DU58)/(1000-AU58*DT58))/(100*DL58)</f>
        <v>0</v>
      </c>
      <c r="AH58">
        <f>1000*DX58*AU58*(DT58-DU58)/(100*DL58*(1000-AU58*DT58))</f>
        <v>0</v>
      </c>
      <c r="AI58">
        <f>(AJ58 - AK58 - DY58*1E3/(8.314*(EA58+273.15)) * AM58/DX58 * AL58) * DX58/(100*DL58) * (1000 - DU58)/1000</f>
        <v>0</v>
      </c>
      <c r="AJ58">
        <v>422.118959433686</v>
      </c>
      <c r="AK58">
        <v>417.517757575757</v>
      </c>
      <c r="AL58">
        <v>-0.000497704411728748</v>
      </c>
      <c r="AM58">
        <v>64.2372859999495</v>
      </c>
      <c r="AN58">
        <f>(AP58 - AO58 + DY58*1E3/(8.314*(EA58+273.15)) * AR58/DX58 * AQ58) * DX58/(100*DL58) * 1000/(1000 - AP58)</f>
        <v>0</v>
      </c>
      <c r="AO58">
        <v>4.97816785366566</v>
      </c>
      <c r="AP58">
        <v>6.21288643356644</v>
      </c>
      <c r="AQ58">
        <v>5.31309639708027e-05</v>
      </c>
      <c r="AR58">
        <v>108.956490973995</v>
      </c>
      <c r="AS58">
        <v>0</v>
      </c>
      <c r="AT58">
        <v>0</v>
      </c>
      <c r="AU58">
        <f>IF(AS58*$H$13&gt;=AW58,1.0,(AW58/(AW58-AS58*$H$13)))</f>
        <v>0</v>
      </c>
      <c r="AV58">
        <f>(AU58-1)*100</f>
        <v>0</v>
      </c>
      <c r="AW58">
        <f>MAX(0,($B$13+$C$13*EF58)/(1+$D$13*EF58)*DY58/(EA58+273)*$E$13)</f>
        <v>0</v>
      </c>
      <c r="AX58" t="s">
        <v>448</v>
      </c>
      <c r="AY58" t="s">
        <v>448</v>
      </c>
      <c r="AZ58">
        <v>0</v>
      </c>
      <c r="BA58">
        <v>0</v>
      </c>
      <c r="BB58">
        <f>1-AZ58/BA58</f>
        <v>0</v>
      </c>
      <c r="BC58">
        <v>0</v>
      </c>
      <c r="BD58" t="s">
        <v>448</v>
      </c>
      <c r="BE58" t="s">
        <v>448</v>
      </c>
      <c r="BF58">
        <v>0</v>
      </c>
      <c r="BG58">
        <v>0</v>
      </c>
      <c r="BH58">
        <f>1-BF58/BG58</f>
        <v>0</v>
      </c>
      <c r="BI58">
        <v>0.5</v>
      </c>
      <c r="BJ58">
        <f>DI58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448</v>
      </c>
      <c r="BQ58">
        <v>0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BZ58">
        <v>47</v>
      </c>
      <c r="CA58">
        <v>290</v>
      </c>
      <c r="CB58">
        <v>1509.5</v>
      </c>
      <c r="CC58">
        <v>105</v>
      </c>
      <c r="CD58">
        <v>5141.21</v>
      </c>
      <c r="CE58">
        <v>1507.76</v>
      </c>
      <c r="CF58">
        <v>1.74</v>
      </c>
      <c r="CG58">
        <v>300</v>
      </c>
      <c r="CH58">
        <v>23.6</v>
      </c>
      <c r="CI58">
        <v>1543.59595739967</v>
      </c>
      <c r="CJ58">
        <v>2.59198814894756</v>
      </c>
      <c r="CK58">
        <v>-18.4232446948116</v>
      </c>
      <c r="CL58">
        <v>1.22774217592826</v>
      </c>
      <c r="CM58">
        <v>0.889404045394491</v>
      </c>
      <c r="CN58">
        <v>-0.00256555595105673</v>
      </c>
      <c r="CO58">
        <v>290</v>
      </c>
      <c r="CP58">
        <v>1505.79</v>
      </c>
      <c r="CQ58">
        <v>625</v>
      </c>
      <c r="CR58">
        <v>5138.84</v>
      </c>
      <c r="CS58">
        <v>1507.74</v>
      </c>
      <c r="CT58">
        <v>-1.95</v>
      </c>
      <c r="DH58">
        <f>$B$11*EG58+$C$11*EH58+$F$11*ES58*(1-EV58)</f>
        <v>0</v>
      </c>
      <c r="DI58">
        <f>DH58*DJ58</f>
        <v>0</v>
      </c>
      <c r="DJ58">
        <f>($B$11*$D$9+$C$11*$D$9+$F$11*((FF58+EX58)/MAX(FF58+EX58+FG58, 0.1)*$I$9+FG58/MAX(FF58+EX58+FG58, 0.1)*$J$9))/($B$11+$C$11+$F$11)</f>
        <v>0</v>
      </c>
      <c r="DK58">
        <f>($B$11*$K$9+$C$11*$K$9+$F$11*((FF58+EX58)/MAX(FF58+EX58+FG58, 0.1)*$P$9+FG58/MAX(FF58+EX58+FG58, 0.1)*$Q$9))/($B$11+$C$11+$F$11)</f>
        <v>0</v>
      </c>
      <c r="DL58">
        <v>6</v>
      </c>
      <c r="DM58">
        <v>0.5</v>
      </c>
      <c r="DN58" t="s">
        <v>440</v>
      </c>
      <c r="DO58">
        <v>2</v>
      </c>
      <c r="DP58" t="b">
        <v>1</v>
      </c>
      <c r="DQ58">
        <v>1761683938.5</v>
      </c>
      <c r="DR58">
        <v>414.9555</v>
      </c>
      <c r="DS58">
        <v>420.0190625</v>
      </c>
      <c r="DT58">
        <v>6.207605</v>
      </c>
      <c r="DU58">
        <v>4.978320625</v>
      </c>
      <c r="DV58">
        <v>412.0595</v>
      </c>
      <c r="DW58">
        <v>6.34170625</v>
      </c>
      <c r="DX58">
        <v>499.99475</v>
      </c>
      <c r="DY58">
        <v>90.93145</v>
      </c>
      <c r="DZ58">
        <v>0.02041960625</v>
      </c>
      <c r="EA58">
        <v>18.500175</v>
      </c>
      <c r="EB58">
        <v>17.98379375</v>
      </c>
      <c r="EC58">
        <v>999.9</v>
      </c>
      <c r="ED58">
        <v>0</v>
      </c>
      <c r="EE58">
        <v>0</v>
      </c>
      <c r="EF58">
        <v>10001.3625</v>
      </c>
      <c r="EG58">
        <v>0</v>
      </c>
      <c r="EH58">
        <v>1335.106875</v>
      </c>
      <c r="EI58">
        <v>-5.0635925</v>
      </c>
      <c r="EJ58">
        <v>417.5473125</v>
      </c>
      <c r="EK58">
        <v>422.1204375</v>
      </c>
      <c r="EL58">
        <v>1.229284375</v>
      </c>
      <c r="EM58">
        <v>420.0190625</v>
      </c>
      <c r="EN58">
        <v>4.978320625</v>
      </c>
      <c r="EO58">
        <v>0.5644665625</v>
      </c>
      <c r="EP58">
        <v>0.452686</v>
      </c>
      <c r="EQ58">
        <v>-1.14477625</v>
      </c>
      <c r="ER58">
        <v>-4.11706375</v>
      </c>
      <c r="ES58">
        <v>1799.996875</v>
      </c>
      <c r="ET58">
        <v>0.977996</v>
      </c>
      <c r="EU58">
        <v>0.02200388125</v>
      </c>
      <c r="EV58">
        <v>0</v>
      </c>
      <c r="EW58">
        <v>1471.38375</v>
      </c>
      <c r="EX58">
        <v>5.00059</v>
      </c>
      <c r="EY58">
        <v>26251.7375</v>
      </c>
      <c r="EZ58">
        <v>15610.6125</v>
      </c>
      <c r="FA58">
        <v>37.417625</v>
      </c>
      <c r="FB58">
        <v>38.375</v>
      </c>
      <c r="FC58">
        <v>37.281</v>
      </c>
      <c r="FD58">
        <v>37.5</v>
      </c>
      <c r="FE58">
        <v>37.9566875</v>
      </c>
      <c r="FF58">
        <v>1755.496875</v>
      </c>
      <c r="FG58">
        <v>39.5</v>
      </c>
      <c r="FH58">
        <v>0</v>
      </c>
      <c r="FI58">
        <v>67</v>
      </c>
      <c r="FJ58">
        <v>0</v>
      </c>
      <c r="FK58">
        <v>1471.22807692308</v>
      </c>
      <c r="FL58">
        <v>-8.44000000965211</v>
      </c>
      <c r="FM58">
        <v>-147.685470249665</v>
      </c>
      <c r="FN58">
        <v>26249.7</v>
      </c>
      <c r="FO58">
        <v>15</v>
      </c>
      <c r="FP58">
        <v>0</v>
      </c>
      <c r="FQ58" t="s">
        <v>441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-5.05326476190476</v>
      </c>
      <c r="GD58">
        <v>-0.106323896103898</v>
      </c>
      <c r="GE58">
        <v>0.0222423636160598</v>
      </c>
      <c r="GF58">
        <v>1</v>
      </c>
      <c r="GG58">
        <v>1471.85558823529</v>
      </c>
      <c r="GH58">
        <v>-8.77570665189391</v>
      </c>
      <c r="GI58">
        <v>0.887677707731123</v>
      </c>
      <c r="GJ58">
        <v>-1</v>
      </c>
      <c r="GK58">
        <v>1.2276419047619</v>
      </c>
      <c r="GL58">
        <v>0.0324576623376625</v>
      </c>
      <c r="GM58">
        <v>0.00347432983472404</v>
      </c>
      <c r="GN58">
        <v>1</v>
      </c>
      <c r="GO58">
        <v>2</v>
      </c>
      <c r="GP58">
        <v>2</v>
      </c>
      <c r="GQ58" t="s">
        <v>442</v>
      </c>
      <c r="GR58">
        <v>3.12855</v>
      </c>
      <c r="GS58">
        <v>2.69867</v>
      </c>
      <c r="GT58">
        <v>0.0890938</v>
      </c>
      <c r="GU58">
        <v>0.0905386</v>
      </c>
      <c r="GV58">
        <v>0.0369579</v>
      </c>
      <c r="GW58">
        <v>0.0306489</v>
      </c>
      <c r="GX58">
        <v>34328.3</v>
      </c>
      <c r="GY58">
        <v>36767.2</v>
      </c>
      <c r="GZ58">
        <v>34091.2</v>
      </c>
      <c r="HA58">
        <v>36598.5</v>
      </c>
      <c r="HB58">
        <v>46360.7</v>
      </c>
      <c r="HC58">
        <v>50892.5</v>
      </c>
      <c r="HD58">
        <v>53110.4</v>
      </c>
      <c r="HE58">
        <v>58401.6</v>
      </c>
      <c r="HF58">
        <v>1.96588</v>
      </c>
      <c r="HG58">
        <v>2.34642</v>
      </c>
      <c r="HH58">
        <v>-0.0407994</v>
      </c>
      <c r="HI58">
        <v>0</v>
      </c>
      <c r="HJ58">
        <v>18.6967</v>
      </c>
      <c r="HK58">
        <v>999.9</v>
      </c>
      <c r="HL58">
        <v>20.26</v>
      </c>
      <c r="HM58">
        <v>29.739</v>
      </c>
      <c r="HN58">
        <v>9.35089</v>
      </c>
      <c r="HO58">
        <v>56.0263</v>
      </c>
      <c r="HP58">
        <v>32.6282</v>
      </c>
      <c r="HQ58">
        <v>2</v>
      </c>
      <c r="HR58">
        <v>-0.0134654</v>
      </c>
      <c r="HS58">
        <v>6.87014</v>
      </c>
      <c r="HT58">
        <v>19.9982</v>
      </c>
      <c r="HU58">
        <v>5.20172</v>
      </c>
      <c r="HV58">
        <v>12.0052</v>
      </c>
      <c r="HW58">
        <v>4.9757</v>
      </c>
      <c r="HX58">
        <v>3.29395</v>
      </c>
      <c r="HY58">
        <v>9999</v>
      </c>
      <c r="HZ58">
        <v>9999</v>
      </c>
      <c r="IA58">
        <v>9999</v>
      </c>
      <c r="IB58">
        <v>999.9</v>
      </c>
      <c r="IC58">
        <v>1.86325</v>
      </c>
      <c r="ID58">
        <v>1.86813</v>
      </c>
      <c r="IE58">
        <v>1.86784</v>
      </c>
      <c r="IF58">
        <v>1.86904</v>
      </c>
      <c r="IG58">
        <v>1.86986</v>
      </c>
      <c r="IH58">
        <v>1.86599</v>
      </c>
      <c r="II58">
        <v>1.86699</v>
      </c>
      <c r="IJ58">
        <v>1.86844</v>
      </c>
      <c r="IK58">
        <v>5</v>
      </c>
      <c r="IL58">
        <v>0</v>
      </c>
      <c r="IM58">
        <v>0</v>
      </c>
      <c r="IN58">
        <v>0</v>
      </c>
      <c r="IO58" t="s">
        <v>443</v>
      </c>
      <c r="IP58" t="s">
        <v>444</v>
      </c>
      <c r="IQ58" t="s">
        <v>445</v>
      </c>
      <c r="IR58" t="s">
        <v>445</v>
      </c>
      <c r="IS58" t="s">
        <v>445</v>
      </c>
      <c r="IT58" t="s">
        <v>445</v>
      </c>
      <c r="IU58">
        <v>0</v>
      </c>
      <c r="IV58">
        <v>100</v>
      </c>
      <c r="IW58">
        <v>100</v>
      </c>
      <c r="IX58">
        <v>2.896</v>
      </c>
      <c r="IY58">
        <v>-0.134</v>
      </c>
      <c r="IZ58">
        <v>1.24656194001752</v>
      </c>
      <c r="JA58">
        <v>0.00408463137630218</v>
      </c>
      <c r="JB58">
        <v>-2.23906557180379e-07</v>
      </c>
      <c r="JC58">
        <v>6.23399102760906e-11</v>
      </c>
      <c r="JD58">
        <v>-0.0873394905990972</v>
      </c>
      <c r="JE58">
        <v>-0.0233348201324191</v>
      </c>
      <c r="JF58">
        <v>0.00274696999164489</v>
      </c>
      <c r="JG58">
        <v>-3.62864435074646e-05</v>
      </c>
      <c r="JH58">
        <v>5</v>
      </c>
      <c r="JI58">
        <v>2263</v>
      </c>
      <c r="JJ58">
        <v>1</v>
      </c>
      <c r="JK58">
        <v>24</v>
      </c>
      <c r="JL58">
        <v>29361399.1</v>
      </c>
      <c r="JM58">
        <v>29361399.1</v>
      </c>
      <c r="JN58">
        <v>1.24878</v>
      </c>
      <c r="JO58">
        <v>2.61597</v>
      </c>
      <c r="JP58">
        <v>2.19849</v>
      </c>
      <c r="JQ58">
        <v>2.62939</v>
      </c>
      <c r="JR58">
        <v>2.44507</v>
      </c>
      <c r="JS58">
        <v>2.35107</v>
      </c>
      <c r="JT58">
        <v>33.3335</v>
      </c>
      <c r="JU58">
        <v>24.1225</v>
      </c>
      <c r="JV58">
        <v>18</v>
      </c>
      <c r="JW58">
        <v>500.615</v>
      </c>
      <c r="JX58">
        <v>789.42</v>
      </c>
      <c r="JY58">
        <v>10.5748</v>
      </c>
      <c r="JZ58">
        <v>26.9864</v>
      </c>
      <c r="KA58">
        <v>30.0003</v>
      </c>
      <c r="KB58">
        <v>26.9022</v>
      </c>
      <c r="KC58">
        <v>26.8283</v>
      </c>
      <c r="KD58">
        <v>25.0139</v>
      </c>
      <c r="KE58">
        <v>28.1115</v>
      </c>
      <c r="KF58">
        <v>0</v>
      </c>
      <c r="KG58">
        <v>10.2797</v>
      </c>
      <c r="KH58">
        <v>420</v>
      </c>
      <c r="KI58">
        <v>4.92809</v>
      </c>
      <c r="KJ58">
        <v>96.5944</v>
      </c>
      <c r="KK58">
        <v>94.6801</v>
      </c>
    </row>
    <row r="59" spans="1:297">
      <c r="A59">
        <v>43</v>
      </c>
      <c r="B59">
        <v>1761684008</v>
      </c>
      <c r="C59">
        <v>6658.90000009537</v>
      </c>
      <c r="D59" t="s">
        <v>580</v>
      </c>
      <c r="E59" t="s">
        <v>581</v>
      </c>
      <c r="F59">
        <v>5</v>
      </c>
      <c r="G59" t="s">
        <v>575</v>
      </c>
      <c r="H59" t="s">
        <v>436</v>
      </c>
      <c r="I59">
        <v>1761683999.5</v>
      </c>
      <c r="J59">
        <f>(K59)/1000</f>
        <v>0</v>
      </c>
      <c r="K59">
        <f>IF(DP59, AN59, AH59)</f>
        <v>0</v>
      </c>
      <c r="L59">
        <f>IF(DP59, AI59, AG59)</f>
        <v>0</v>
      </c>
      <c r="M59">
        <f>DR59 - IF(AU59&gt;1, L59*DL59*100.0/(AW59), 0)</f>
        <v>0</v>
      </c>
      <c r="N59">
        <f>((T59-J59/2)*M59-L59)/(T59+J59/2)</f>
        <v>0</v>
      </c>
      <c r="O59">
        <f>N59*(DY59+DZ59)/1000.0</f>
        <v>0</v>
      </c>
      <c r="P59">
        <f>(DR59 - IF(AU59&gt;1, L59*DL59*100.0/(AW59), 0))*(DY59+DZ59)/1000.0</f>
        <v>0</v>
      </c>
      <c r="Q59">
        <f>2.0/((1/S59-1/R59)+SIGN(S59)*SQRT((1/S59-1/R59)*(1/S59-1/R59) + 4*DM59/((DM59+1)*(DM59+1))*(2*1/S59*1/R59-1/R59*1/R59)))</f>
        <v>0</v>
      </c>
      <c r="R59">
        <f>IF(LEFT(DN59,1)&lt;&gt;"0",IF(LEFT(DN59,1)="1",3.0,DO59),$D$5+$E$5*(EF59*DY59/($K$5*1000))+$F$5*(EF59*DY59/($K$5*1000))*MAX(MIN(DL59,$J$5),$I$5)*MAX(MIN(DL59,$J$5),$I$5)+$G$5*MAX(MIN(DL59,$J$5),$I$5)*(EF59*DY59/($K$5*1000))+$H$5*(EF59*DY59/($K$5*1000))*(EF59*DY59/($K$5*1000)))</f>
        <v>0</v>
      </c>
      <c r="S59">
        <f>J59*(1000-(1000*0.61365*exp(17.502*W59/(240.97+W59))/(DY59+DZ59)+DT59)/2)/(1000*0.61365*exp(17.502*W59/(240.97+W59))/(DY59+DZ59)-DT59)</f>
        <v>0</v>
      </c>
      <c r="T59">
        <f>1/((DM59+1)/(Q59/1.6)+1/(R59/1.37)) + DM59/((DM59+1)/(Q59/1.6) + DM59/(R59/1.37))</f>
        <v>0</v>
      </c>
      <c r="U59">
        <f>(DH59*DK59)</f>
        <v>0</v>
      </c>
      <c r="V59">
        <f>(EA59+(U59+2*0.95*5.67E-8*(((EA59+$B$7)+273)^4-(EA59+273)^4)-44100*J59)/(1.84*29.3*R59+8*0.95*5.67E-8*(EA59+273)^3))</f>
        <v>0</v>
      </c>
      <c r="W59">
        <f>($C$7*EB59+$D$7*EC59+$E$7*V59)</f>
        <v>0</v>
      </c>
      <c r="X59">
        <f>0.61365*exp(17.502*W59/(240.97+W59))</f>
        <v>0</v>
      </c>
      <c r="Y59">
        <f>(Z59/AA59*100)</f>
        <v>0</v>
      </c>
      <c r="Z59">
        <f>DT59*(DY59+DZ59)/1000</f>
        <v>0</v>
      </c>
      <c r="AA59">
        <f>0.61365*exp(17.502*EA59/(240.97+EA59))</f>
        <v>0</v>
      </c>
      <c r="AB59">
        <f>(X59-DT59*(DY59+DZ59)/1000)</f>
        <v>0</v>
      </c>
      <c r="AC59">
        <f>(-J59*44100)</f>
        <v>0</v>
      </c>
      <c r="AD59">
        <f>2*29.3*R59*0.92*(EA59-W59)</f>
        <v>0</v>
      </c>
      <c r="AE59">
        <f>2*0.95*5.67E-8*(((EA59+$B$7)+273)^4-(W59+273)^4)</f>
        <v>0</v>
      </c>
      <c r="AF59">
        <f>U59+AE59+AC59+AD59</f>
        <v>0</v>
      </c>
      <c r="AG59">
        <f>DX59*AU59*(DS59-DR59*(1000-AU59*DU59)/(1000-AU59*DT59))/(100*DL59)</f>
        <v>0</v>
      </c>
      <c r="AH59">
        <f>1000*DX59*AU59*(DT59-DU59)/(100*DL59*(1000-AU59*DT59))</f>
        <v>0</v>
      </c>
      <c r="AI59">
        <f>(AJ59 - AK59 - DY59*1E3/(8.314*(EA59+273.15)) * AM59/DX59 * AL59) * DX59/(100*DL59) * (1000 - DU59)/1000</f>
        <v>0</v>
      </c>
      <c r="AJ59">
        <v>422.097247095775</v>
      </c>
      <c r="AK59">
        <v>417.471121212121</v>
      </c>
      <c r="AL59">
        <v>-0.000161485473834546</v>
      </c>
      <c r="AM59">
        <v>64.2372859999495</v>
      </c>
      <c r="AN59">
        <f>(AP59 - AO59 + DY59*1E3/(8.314*(EA59+273.15)) * AR59/DX59 * AQ59) * DX59/(100*DL59) * 1000/(1000 - AP59)</f>
        <v>0</v>
      </c>
      <c r="AO59">
        <v>4.96698908217221</v>
      </c>
      <c r="AP59">
        <v>6.21449146853147</v>
      </c>
      <c r="AQ59">
        <v>2.87789190775842e-05</v>
      </c>
      <c r="AR59">
        <v>108.956490973995</v>
      </c>
      <c r="AS59">
        <v>0</v>
      </c>
      <c r="AT59">
        <v>0</v>
      </c>
      <c r="AU59">
        <f>IF(AS59*$H$13&gt;=AW59,1.0,(AW59/(AW59-AS59*$H$13)))</f>
        <v>0</v>
      </c>
      <c r="AV59">
        <f>(AU59-1)*100</f>
        <v>0</v>
      </c>
      <c r="AW59">
        <f>MAX(0,($B$13+$C$13*EF59)/(1+$D$13*EF59)*DY59/(EA59+273)*$E$13)</f>
        <v>0</v>
      </c>
      <c r="AX59" t="s">
        <v>572</v>
      </c>
      <c r="AY59">
        <v>5110.91</v>
      </c>
      <c r="AZ59">
        <v>714.823076923077</v>
      </c>
      <c r="BA59">
        <v>1930.46444768955</v>
      </c>
      <c r="BB59">
        <f>1-AZ59/BA59</f>
        <v>0</v>
      </c>
      <c r="BC59">
        <v>-0.797918103269906</v>
      </c>
      <c r="BD59" t="s">
        <v>582</v>
      </c>
      <c r="BE59">
        <v>5144.03</v>
      </c>
      <c r="BF59">
        <v>1456.73615384615</v>
      </c>
      <c r="BG59">
        <v>1528.61939142317</v>
      </c>
      <c r="BH59">
        <f>1-BF59/BG59</f>
        <v>0</v>
      </c>
      <c r="BI59">
        <v>0.5</v>
      </c>
      <c r="BJ59">
        <f>DI59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583</v>
      </c>
      <c r="BQ59">
        <v>875.07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BZ59">
        <v>49</v>
      </c>
      <c r="CA59">
        <v>290</v>
      </c>
      <c r="CB59">
        <v>1503.08</v>
      </c>
      <c r="CC59">
        <v>105</v>
      </c>
      <c r="CD59">
        <v>5144.03</v>
      </c>
      <c r="CE59">
        <v>1500.59</v>
      </c>
      <c r="CF59">
        <v>2.49</v>
      </c>
      <c r="CG59">
        <v>300</v>
      </c>
      <c r="CH59">
        <v>23.7</v>
      </c>
      <c r="CI59">
        <v>1528.61939142317</v>
      </c>
      <c r="CJ59">
        <v>1.69765380606849</v>
      </c>
      <c r="CK59">
        <v>-14.4207086567732</v>
      </c>
      <c r="CL59">
        <v>0.792743880615378</v>
      </c>
      <c r="CM59">
        <v>0.921985602052309</v>
      </c>
      <c r="CN59">
        <v>-0.00298861357063405</v>
      </c>
      <c r="CO59">
        <v>290</v>
      </c>
      <c r="CP59">
        <v>1497.9</v>
      </c>
      <c r="CQ59">
        <v>655</v>
      </c>
      <c r="CR59">
        <v>5141.15</v>
      </c>
      <c r="CS59">
        <v>1500.57</v>
      </c>
      <c r="CT59">
        <v>-2.67</v>
      </c>
      <c r="DH59">
        <f>$B$11*EG59+$C$11*EH59+$F$11*ES59*(1-EV59)</f>
        <v>0</v>
      </c>
      <c r="DI59">
        <f>DH59*DJ59</f>
        <v>0</v>
      </c>
      <c r="DJ59">
        <f>($B$11*$D$9+$C$11*$D$9+$F$11*((FF59+EX59)/MAX(FF59+EX59+FG59, 0.1)*$I$9+FG59/MAX(FF59+EX59+FG59, 0.1)*$J$9))/($B$11+$C$11+$F$11)</f>
        <v>0</v>
      </c>
      <c r="DK59">
        <f>($B$11*$K$9+$C$11*$K$9+$F$11*((FF59+EX59)/MAX(FF59+EX59+FG59, 0.1)*$P$9+FG59/MAX(FF59+EX59+FG59, 0.1)*$Q$9))/($B$11+$C$11+$F$11)</f>
        <v>0</v>
      </c>
      <c r="DL59">
        <v>6</v>
      </c>
      <c r="DM59">
        <v>0.5</v>
      </c>
      <c r="DN59" t="s">
        <v>440</v>
      </c>
      <c r="DO59">
        <v>2</v>
      </c>
      <c r="DP59" t="b">
        <v>1</v>
      </c>
      <c r="DQ59">
        <v>1761683999.5</v>
      </c>
      <c r="DR59">
        <v>414.885625</v>
      </c>
      <c r="DS59">
        <v>419.9939375</v>
      </c>
      <c r="DT59">
        <v>6.2090375</v>
      </c>
      <c r="DU59">
        <v>4.96694125</v>
      </c>
      <c r="DV59">
        <v>411.989875</v>
      </c>
      <c r="DW59">
        <v>6.343126875</v>
      </c>
      <c r="DX59">
        <v>500.0220625</v>
      </c>
      <c r="DY59">
        <v>90.9263125</v>
      </c>
      <c r="DZ59">
        <v>0.01966614375</v>
      </c>
      <c r="EA59">
        <v>18.44993125</v>
      </c>
      <c r="EB59">
        <v>17.8970875</v>
      </c>
      <c r="EC59">
        <v>999.9</v>
      </c>
      <c r="ED59">
        <v>0</v>
      </c>
      <c r="EE59">
        <v>0</v>
      </c>
      <c r="EF59">
        <v>10004.06125</v>
      </c>
      <c r="EG59">
        <v>0</v>
      </c>
      <c r="EH59">
        <v>1335.15625</v>
      </c>
      <c r="EI59">
        <v>-5.10827625</v>
      </c>
      <c r="EJ59">
        <v>417.4779375</v>
      </c>
      <c r="EK59">
        <v>422.0905</v>
      </c>
      <c r="EL59">
        <v>1.242095</v>
      </c>
      <c r="EM59">
        <v>419.9939375</v>
      </c>
      <c r="EN59">
        <v>4.96694125</v>
      </c>
      <c r="EO59">
        <v>0.564564875</v>
      </c>
      <c r="EP59">
        <v>0.4516258125</v>
      </c>
      <c r="EQ59">
        <v>-1.1424025</v>
      </c>
      <c r="ER59">
        <v>-4.148250625</v>
      </c>
      <c r="ES59">
        <v>1499.985</v>
      </c>
      <c r="ET59">
        <v>0.9730034375</v>
      </c>
      <c r="EU59">
        <v>0.026996725</v>
      </c>
      <c r="EV59">
        <v>0</v>
      </c>
      <c r="EW59">
        <v>1456.828125</v>
      </c>
      <c r="EX59">
        <v>5.00059</v>
      </c>
      <c r="EY59">
        <v>21602.13125</v>
      </c>
      <c r="EZ59">
        <v>12982.24375</v>
      </c>
      <c r="FA59">
        <v>37.1053125</v>
      </c>
      <c r="FB59">
        <v>38.375</v>
      </c>
      <c r="FC59">
        <v>37.187</v>
      </c>
      <c r="FD59">
        <v>37.4881875</v>
      </c>
      <c r="FE59">
        <v>37.808125</v>
      </c>
      <c r="FF59">
        <v>1454.6275</v>
      </c>
      <c r="FG59">
        <v>40.3575</v>
      </c>
      <c r="FH59">
        <v>0</v>
      </c>
      <c r="FI59">
        <v>128.199999809265</v>
      </c>
      <c r="FJ59">
        <v>0</v>
      </c>
      <c r="FK59">
        <v>1456.73615384615</v>
      </c>
      <c r="FL59">
        <v>-6.72410255800694</v>
      </c>
      <c r="FM59">
        <v>-118.892307842263</v>
      </c>
      <c r="FN59">
        <v>21600.6538461538</v>
      </c>
      <c r="FO59">
        <v>15</v>
      </c>
      <c r="FP59">
        <v>0</v>
      </c>
      <c r="FQ59" t="s">
        <v>441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-5.10446</v>
      </c>
      <c r="GD59">
        <v>-0.132211127819553</v>
      </c>
      <c r="GE59">
        <v>0.029050600338031</v>
      </c>
      <c r="GF59">
        <v>1</v>
      </c>
      <c r="GG59">
        <v>1457.18</v>
      </c>
      <c r="GH59">
        <v>-7.42979373584966</v>
      </c>
      <c r="GI59">
        <v>0.763205315063505</v>
      </c>
      <c r="GJ59">
        <v>-1</v>
      </c>
      <c r="GK59">
        <v>1.2408695</v>
      </c>
      <c r="GL59">
        <v>0.0277024060150356</v>
      </c>
      <c r="GM59">
        <v>0.00281296369510879</v>
      </c>
      <c r="GN59">
        <v>1</v>
      </c>
      <c r="GO59">
        <v>2</v>
      </c>
      <c r="GP59">
        <v>2</v>
      </c>
      <c r="GQ59" t="s">
        <v>442</v>
      </c>
      <c r="GR59">
        <v>3.12858</v>
      </c>
      <c r="GS59">
        <v>2.6977</v>
      </c>
      <c r="GT59">
        <v>0.0890785</v>
      </c>
      <c r="GU59">
        <v>0.0905235</v>
      </c>
      <c r="GV59">
        <v>0.0369644</v>
      </c>
      <c r="GW59">
        <v>0.0305901</v>
      </c>
      <c r="GX59">
        <v>34329.7</v>
      </c>
      <c r="GY59">
        <v>36768.4</v>
      </c>
      <c r="GZ59">
        <v>34091.9</v>
      </c>
      <c r="HA59">
        <v>36599.1</v>
      </c>
      <c r="HB59">
        <v>46361.6</v>
      </c>
      <c r="HC59">
        <v>50896.5</v>
      </c>
      <c r="HD59">
        <v>53111.8</v>
      </c>
      <c r="HE59">
        <v>58402.6</v>
      </c>
      <c r="HF59">
        <v>1.96615</v>
      </c>
      <c r="HG59">
        <v>2.34608</v>
      </c>
      <c r="HH59">
        <v>-0.048399</v>
      </c>
      <c r="HI59">
        <v>0</v>
      </c>
      <c r="HJ59">
        <v>18.7076</v>
      </c>
      <c r="HK59">
        <v>999.9</v>
      </c>
      <c r="HL59">
        <v>20.236</v>
      </c>
      <c r="HM59">
        <v>29.759</v>
      </c>
      <c r="HN59">
        <v>9.35131</v>
      </c>
      <c r="HO59">
        <v>55.8363</v>
      </c>
      <c r="HP59">
        <v>32.512</v>
      </c>
      <c r="HQ59">
        <v>2</v>
      </c>
      <c r="HR59">
        <v>-0.0164482</v>
      </c>
      <c r="HS59">
        <v>5.876</v>
      </c>
      <c r="HT59">
        <v>20.0399</v>
      </c>
      <c r="HU59">
        <v>5.20202</v>
      </c>
      <c r="HV59">
        <v>12.004</v>
      </c>
      <c r="HW59">
        <v>4.9758</v>
      </c>
      <c r="HX59">
        <v>3.29398</v>
      </c>
      <c r="HY59">
        <v>9999</v>
      </c>
      <c r="HZ59">
        <v>9999</v>
      </c>
      <c r="IA59">
        <v>9999</v>
      </c>
      <c r="IB59">
        <v>999.9</v>
      </c>
      <c r="IC59">
        <v>1.86323</v>
      </c>
      <c r="ID59">
        <v>1.86813</v>
      </c>
      <c r="IE59">
        <v>1.86783</v>
      </c>
      <c r="IF59">
        <v>1.86905</v>
      </c>
      <c r="IG59">
        <v>1.86982</v>
      </c>
      <c r="IH59">
        <v>1.86594</v>
      </c>
      <c r="II59">
        <v>1.86701</v>
      </c>
      <c r="IJ59">
        <v>1.86843</v>
      </c>
      <c r="IK59">
        <v>5</v>
      </c>
      <c r="IL59">
        <v>0</v>
      </c>
      <c r="IM59">
        <v>0</v>
      </c>
      <c r="IN59">
        <v>0</v>
      </c>
      <c r="IO59" t="s">
        <v>443</v>
      </c>
      <c r="IP59" t="s">
        <v>444</v>
      </c>
      <c r="IQ59" t="s">
        <v>445</v>
      </c>
      <c r="IR59" t="s">
        <v>445</v>
      </c>
      <c r="IS59" t="s">
        <v>445</v>
      </c>
      <c r="IT59" t="s">
        <v>445</v>
      </c>
      <c r="IU59">
        <v>0</v>
      </c>
      <c r="IV59">
        <v>100</v>
      </c>
      <c r="IW59">
        <v>100</v>
      </c>
      <c r="IX59">
        <v>2.896</v>
      </c>
      <c r="IY59">
        <v>-0.134</v>
      </c>
      <c r="IZ59">
        <v>1.24656194001752</v>
      </c>
      <c r="JA59">
        <v>0.00408463137630218</v>
      </c>
      <c r="JB59">
        <v>-2.23906557180379e-07</v>
      </c>
      <c r="JC59">
        <v>6.23399102760906e-11</v>
      </c>
      <c r="JD59">
        <v>-0.0873394905990972</v>
      </c>
      <c r="JE59">
        <v>-0.0233348201324191</v>
      </c>
      <c r="JF59">
        <v>0.00274696999164489</v>
      </c>
      <c r="JG59">
        <v>-3.62864435074646e-05</v>
      </c>
      <c r="JH59">
        <v>5</v>
      </c>
      <c r="JI59">
        <v>2263</v>
      </c>
      <c r="JJ59">
        <v>1</v>
      </c>
      <c r="JK59">
        <v>24</v>
      </c>
      <c r="JL59">
        <v>29361400.1</v>
      </c>
      <c r="JM59">
        <v>29361400.1</v>
      </c>
      <c r="JN59">
        <v>1.24878</v>
      </c>
      <c r="JO59">
        <v>2.61597</v>
      </c>
      <c r="JP59">
        <v>2.19849</v>
      </c>
      <c r="JQ59">
        <v>2.62817</v>
      </c>
      <c r="JR59">
        <v>2.44507</v>
      </c>
      <c r="JS59">
        <v>2.35352</v>
      </c>
      <c r="JT59">
        <v>33.3559</v>
      </c>
      <c r="JU59">
        <v>24.1575</v>
      </c>
      <c r="JV59">
        <v>18</v>
      </c>
      <c r="JW59">
        <v>500.814</v>
      </c>
      <c r="JX59">
        <v>789.126</v>
      </c>
      <c r="JY59">
        <v>10.8365</v>
      </c>
      <c r="JZ59">
        <v>26.9818</v>
      </c>
      <c r="KA59">
        <v>29.9999</v>
      </c>
      <c r="KB59">
        <v>26.9045</v>
      </c>
      <c r="KC59">
        <v>26.8305</v>
      </c>
      <c r="KD59">
        <v>25.0152</v>
      </c>
      <c r="KE59">
        <v>28.3826</v>
      </c>
      <c r="KF59">
        <v>0</v>
      </c>
      <c r="KG59">
        <v>10.8805</v>
      </c>
      <c r="KH59">
        <v>420</v>
      </c>
      <c r="KI59">
        <v>4.92359</v>
      </c>
      <c r="KJ59">
        <v>96.5967</v>
      </c>
      <c r="KK59">
        <v>94.6817</v>
      </c>
    </row>
    <row r="60" spans="1:297">
      <c r="A60">
        <v>44</v>
      </c>
      <c r="B60">
        <v>1761684078</v>
      </c>
      <c r="C60">
        <v>6728.90000009537</v>
      </c>
      <c r="D60" t="s">
        <v>584</v>
      </c>
      <c r="E60" t="s">
        <v>585</v>
      </c>
      <c r="F60">
        <v>5</v>
      </c>
      <c r="G60" t="s">
        <v>575</v>
      </c>
      <c r="H60" t="s">
        <v>436</v>
      </c>
      <c r="I60">
        <v>1761684069.5</v>
      </c>
      <c r="J60">
        <f>(K60)/1000</f>
        <v>0</v>
      </c>
      <c r="K60">
        <f>IF(DP60, AN60, AH60)</f>
        <v>0</v>
      </c>
      <c r="L60">
        <f>IF(DP60, AI60, AG60)</f>
        <v>0</v>
      </c>
      <c r="M60">
        <f>DR60 - IF(AU60&gt;1, L60*DL60*100.0/(AW60), 0)</f>
        <v>0</v>
      </c>
      <c r="N60">
        <f>((T60-J60/2)*M60-L60)/(T60+J60/2)</f>
        <v>0</v>
      </c>
      <c r="O60">
        <f>N60*(DY60+DZ60)/1000.0</f>
        <v>0</v>
      </c>
      <c r="P60">
        <f>(DR60 - IF(AU60&gt;1, L60*DL60*100.0/(AW60), 0))*(DY60+DZ60)/1000.0</f>
        <v>0</v>
      </c>
      <c r="Q60">
        <f>2.0/((1/S60-1/R60)+SIGN(S60)*SQRT((1/S60-1/R60)*(1/S60-1/R60) + 4*DM60/((DM60+1)*(DM60+1))*(2*1/S60*1/R60-1/R60*1/R60)))</f>
        <v>0</v>
      </c>
      <c r="R60">
        <f>IF(LEFT(DN60,1)&lt;&gt;"0",IF(LEFT(DN60,1)="1",3.0,DO60),$D$5+$E$5*(EF60*DY60/($K$5*1000))+$F$5*(EF60*DY60/($K$5*1000))*MAX(MIN(DL60,$J$5),$I$5)*MAX(MIN(DL60,$J$5),$I$5)+$G$5*MAX(MIN(DL60,$J$5),$I$5)*(EF60*DY60/($K$5*1000))+$H$5*(EF60*DY60/($K$5*1000))*(EF60*DY60/($K$5*1000)))</f>
        <v>0</v>
      </c>
      <c r="S60">
        <f>J60*(1000-(1000*0.61365*exp(17.502*W60/(240.97+W60))/(DY60+DZ60)+DT60)/2)/(1000*0.61365*exp(17.502*W60/(240.97+W60))/(DY60+DZ60)-DT60)</f>
        <v>0</v>
      </c>
      <c r="T60">
        <f>1/((DM60+1)/(Q60/1.6)+1/(R60/1.37)) + DM60/((DM60+1)/(Q60/1.6) + DM60/(R60/1.37))</f>
        <v>0</v>
      </c>
      <c r="U60">
        <f>(DH60*DK60)</f>
        <v>0</v>
      </c>
      <c r="V60">
        <f>(EA60+(U60+2*0.95*5.67E-8*(((EA60+$B$7)+273)^4-(EA60+273)^4)-44100*J60)/(1.84*29.3*R60+8*0.95*5.67E-8*(EA60+273)^3))</f>
        <v>0</v>
      </c>
      <c r="W60">
        <f>($C$7*EB60+$D$7*EC60+$E$7*V60)</f>
        <v>0</v>
      </c>
      <c r="X60">
        <f>0.61365*exp(17.502*W60/(240.97+W60))</f>
        <v>0</v>
      </c>
      <c r="Y60">
        <f>(Z60/AA60*100)</f>
        <v>0</v>
      </c>
      <c r="Z60">
        <f>DT60*(DY60+DZ60)/1000</f>
        <v>0</v>
      </c>
      <c r="AA60">
        <f>0.61365*exp(17.502*EA60/(240.97+EA60))</f>
        <v>0</v>
      </c>
      <c r="AB60">
        <f>(X60-DT60*(DY60+DZ60)/1000)</f>
        <v>0</v>
      </c>
      <c r="AC60">
        <f>(-J60*44100)</f>
        <v>0</v>
      </c>
      <c r="AD60">
        <f>2*29.3*R60*0.92*(EA60-W60)</f>
        <v>0</v>
      </c>
      <c r="AE60">
        <f>2*0.95*5.67E-8*(((EA60+$B$7)+273)^4-(W60+273)^4)</f>
        <v>0</v>
      </c>
      <c r="AF60">
        <f>U60+AE60+AC60+AD60</f>
        <v>0</v>
      </c>
      <c r="AG60">
        <f>DX60*AU60*(DS60-DR60*(1000-AU60*DU60)/(1000-AU60*DT60))/(100*DL60)</f>
        <v>0</v>
      </c>
      <c r="AH60">
        <f>1000*DX60*AU60*(DT60-DU60)/(100*DL60*(1000-AU60*DT60))</f>
        <v>0</v>
      </c>
      <c r="AI60">
        <f>(AJ60 - AK60 - DY60*1E3/(8.314*(EA60+273.15)) * AM60/DX60 * AL60) * DX60/(100*DL60) * (1000 - DU60)/1000</f>
        <v>0</v>
      </c>
      <c r="AJ60">
        <v>422.133692661789</v>
      </c>
      <c r="AK60">
        <v>417.634260606061</v>
      </c>
      <c r="AL60">
        <v>-0.000276619518114363</v>
      </c>
      <c r="AM60">
        <v>64.2372859999495</v>
      </c>
      <c r="AN60">
        <f>(AP60 - AO60 + DY60*1E3/(8.314*(EA60+273.15)) * AR60/DX60 * AQ60) * DX60/(100*DL60) * 1000/(1000 - AP60)</f>
        <v>0</v>
      </c>
      <c r="AO60">
        <v>4.93903470508181</v>
      </c>
      <c r="AP60">
        <v>6.21824608391609</v>
      </c>
      <c r="AQ60">
        <v>5.40411516224404e-06</v>
      </c>
      <c r="AR60">
        <v>108.956490973995</v>
      </c>
      <c r="AS60">
        <v>0</v>
      </c>
      <c r="AT60">
        <v>0</v>
      </c>
      <c r="AU60">
        <f>IF(AS60*$H$13&gt;=AW60,1.0,(AW60/(AW60-AS60*$H$13)))</f>
        <v>0</v>
      </c>
      <c r="AV60">
        <f>(AU60-1)*100</f>
        <v>0</v>
      </c>
      <c r="AW60">
        <f>MAX(0,($B$13+$C$13*EF60)/(1+$D$13*EF60)*DY60/(EA60+273)*$E$13)</f>
        <v>0</v>
      </c>
      <c r="AX60" t="s">
        <v>448</v>
      </c>
      <c r="AY60" t="s">
        <v>448</v>
      </c>
      <c r="AZ60">
        <v>0</v>
      </c>
      <c r="BA60">
        <v>0</v>
      </c>
      <c r="BB60">
        <f>1-AZ60/BA60</f>
        <v>0</v>
      </c>
      <c r="BC60">
        <v>0</v>
      </c>
      <c r="BD60" t="s">
        <v>448</v>
      </c>
      <c r="BE60" t="s">
        <v>448</v>
      </c>
      <c r="BF60">
        <v>0</v>
      </c>
      <c r="BG60">
        <v>0</v>
      </c>
      <c r="BH60">
        <f>1-BF60/BG60</f>
        <v>0</v>
      </c>
      <c r="BI60">
        <v>0.5</v>
      </c>
      <c r="BJ60">
        <f>DI60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448</v>
      </c>
      <c r="BQ60">
        <v>0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BZ60">
        <v>49</v>
      </c>
      <c r="CA60">
        <v>290</v>
      </c>
      <c r="CB60">
        <v>1503.08</v>
      </c>
      <c r="CC60">
        <v>105</v>
      </c>
      <c r="CD60">
        <v>5144.03</v>
      </c>
      <c r="CE60">
        <v>1500.59</v>
      </c>
      <c r="CF60">
        <v>2.49</v>
      </c>
      <c r="CG60">
        <v>300</v>
      </c>
      <c r="CH60">
        <v>23.7</v>
      </c>
      <c r="CI60">
        <v>1528.61939142317</v>
      </c>
      <c r="CJ60">
        <v>1.69765380606849</v>
      </c>
      <c r="CK60">
        <v>-14.4207086567732</v>
      </c>
      <c r="CL60">
        <v>0.792743880615378</v>
      </c>
      <c r="CM60">
        <v>0.921985602052309</v>
      </c>
      <c r="CN60">
        <v>-0.00298861357063405</v>
      </c>
      <c r="CO60">
        <v>290</v>
      </c>
      <c r="CP60">
        <v>1497.9</v>
      </c>
      <c r="CQ60">
        <v>655</v>
      </c>
      <c r="CR60">
        <v>5141.15</v>
      </c>
      <c r="CS60">
        <v>1500.57</v>
      </c>
      <c r="CT60">
        <v>-2.67</v>
      </c>
      <c r="DH60">
        <f>$B$11*EG60+$C$11*EH60+$F$11*ES60*(1-EV60)</f>
        <v>0</v>
      </c>
      <c r="DI60">
        <f>DH60*DJ60</f>
        <v>0</v>
      </c>
      <c r="DJ60">
        <f>($B$11*$D$9+$C$11*$D$9+$F$11*((FF60+EX60)/MAX(FF60+EX60+FG60, 0.1)*$I$9+FG60/MAX(FF60+EX60+FG60, 0.1)*$J$9))/($B$11+$C$11+$F$11)</f>
        <v>0</v>
      </c>
      <c r="DK60">
        <f>($B$11*$K$9+$C$11*$K$9+$F$11*((FF60+EX60)/MAX(FF60+EX60+FG60, 0.1)*$P$9+FG60/MAX(FF60+EX60+FG60, 0.1)*$Q$9))/($B$11+$C$11+$F$11)</f>
        <v>0</v>
      </c>
      <c r="DL60">
        <v>6</v>
      </c>
      <c r="DM60">
        <v>0.5</v>
      </c>
      <c r="DN60" t="s">
        <v>440</v>
      </c>
      <c r="DO60">
        <v>2</v>
      </c>
      <c r="DP60" t="b">
        <v>1</v>
      </c>
      <c r="DQ60">
        <v>1761684069.5</v>
      </c>
      <c r="DR60">
        <v>415.04825</v>
      </c>
      <c r="DS60">
        <v>420.0091875</v>
      </c>
      <c r="DT60">
        <v>6.21638875</v>
      </c>
      <c r="DU60">
        <v>4.939349375</v>
      </c>
      <c r="DV60">
        <v>412.1518125</v>
      </c>
      <c r="DW60">
        <v>6.3504275</v>
      </c>
      <c r="DX60">
        <v>499.98725</v>
      </c>
      <c r="DY60">
        <v>90.9216875</v>
      </c>
      <c r="DZ60">
        <v>0.0199362875</v>
      </c>
      <c r="EA60">
        <v>18.52635625</v>
      </c>
      <c r="EB60">
        <v>17.971525</v>
      </c>
      <c r="EC60">
        <v>999.9</v>
      </c>
      <c r="ED60">
        <v>0</v>
      </c>
      <c r="EE60">
        <v>0</v>
      </c>
      <c r="EF60">
        <v>9999.615625</v>
      </c>
      <c r="EG60">
        <v>0</v>
      </c>
      <c r="EH60">
        <v>1335.295625</v>
      </c>
      <c r="EI60">
        <v>-4.961066875</v>
      </c>
      <c r="EJ60">
        <v>417.644375</v>
      </c>
      <c r="EK60">
        <v>422.094125</v>
      </c>
      <c r="EL60">
        <v>1.27703875</v>
      </c>
      <c r="EM60">
        <v>420.0091875</v>
      </c>
      <c r="EN60">
        <v>4.939349375</v>
      </c>
      <c r="EO60">
        <v>0.565204625</v>
      </c>
      <c r="EP60">
        <v>0.4490939375</v>
      </c>
      <c r="EQ60">
        <v>-1.126955</v>
      </c>
      <c r="ER60">
        <v>-4.222980625</v>
      </c>
      <c r="ES60">
        <v>1199.965625</v>
      </c>
      <c r="ET60">
        <v>0.9670049375</v>
      </c>
      <c r="EU60">
        <v>0.0329948375</v>
      </c>
      <c r="EV60">
        <v>0</v>
      </c>
      <c r="EW60">
        <v>1442.228125</v>
      </c>
      <c r="EX60">
        <v>5.00059</v>
      </c>
      <c r="EY60">
        <v>17052.79375</v>
      </c>
      <c r="EZ60">
        <v>10358.44375</v>
      </c>
      <c r="FA60">
        <v>36.68325</v>
      </c>
      <c r="FB60">
        <v>38.300375</v>
      </c>
      <c r="FC60">
        <v>37.02325</v>
      </c>
      <c r="FD60">
        <v>37.42925</v>
      </c>
      <c r="FE60">
        <v>37.527125</v>
      </c>
      <c r="FF60">
        <v>1155.535625</v>
      </c>
      <c r="FG60">
        <v>39.43</v>
      </c>
      <c r="FH60">
        <v>0</v>
      </c>
      <c r="FI60">
        <v>67</v>
      </c>
      <c r="FJ60">
        <v>0</v>
      </c>
      <c r="FK60">
        <v>1442.18961538462</v>
      </c>
      <c r="FL60">
        <v>-4.95897436559471</v>
      </c>
      <c r="FM60">
        <v>-63.0119656941425</v>
      </c>
      <c r="FN60">
        <v>17052.1115384615</v>
      </c>
      <c r="FO60">
        <v>15</v>
      </c>
      <c r="FP60">
        <v>0</v>
      </c>
      <c r="FQ60" t="s">
        <v>441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-4.9503405</v>
      </c>
      <c r="GD60">
        <v>-0.337307819548881</v>
      </c>
      <c r="GE60">
        <v>0.0387803537213109</v>
      </c>
      <c r="GF60">
        <v>1</v>
      </c>
      <c r="GG60">
        <v>1442.48441176471</v>
      </c>
      <c r="GH60">
        <v>-3.94423223841179</v>
      </c>
      <c r="GI60">
        <v>0.440007962337525</v>
      </c>
      <c r="GJ60">
        <v>-1</v>
      </c>
      <c r="GK60">
        <v>1.2772445</v>
      </c>
      <c r="GL60">
        <v>0.0012843609022581</v>
      </c>
      <c r="GM60">
        <v>0.00140472230351768</v>
      </c>
      <c r="GN60">
        <v>1</v>
      </c>
      <c r="GO60">
        <v>2</v>
      </c>
      <c r="GP60">
        <v>2</v>
      </c>
      <c r="GQ60" t="s">
        <v>442</v>
      </c>
      <c r="GR60">
        <v>3.12872</v>
      </c>
      <c r="GS60">
        <v>2.69806</v>
      </c>
      <c r="GT60">
        <v>0.0891017</v>
      </c>
      <c r="GU60">
        <v>0.0905229</v>
      </c>
      <c r="GV60">
        <v>0.0369766</v>
      </c>
      <c r="GW60">
        <v>0.0304382</v>
      </c>
      <c r="GX60">
        <v>34328.1</v>
      </c>
      <c r="GY60">
        <v>36768.8</v>
      </c>
      <c r="GZ60">
        <v>34091.2</v>
      </c>
      <c r="HA60">
        <v>36599.5</v>
      </c>
      <c r="HB60">
        <v>46360.2</v>
      </c>
      <c r="HC60">
        <v>50904.9</v>
      </c>
      <c r="HD60">
        <v>53110.8</v>
      </c>
      <c r="HE60">
        <v>58402.9</v>
      </c>
      <c r="HF60">
        <v>1.9663</v>
      </c>
      <c r="HG60">
        <v>2.3462</v>
      </c>
      <c r="HH60">
        <v>-0.0452399</v>
      </c>
      <c r="HI60">
        <v>0</v>
      </c>
      <c r="HJ60">
        <v>18.7553</v>
      </c>
      <c r="HK60">
        <v>999.9</v>
      </c>
      <c r="HL60">
        <v>20.236</v>
      </c>
      <c r="HM60">
        <v>29.769</v>
      </c>
      <c r="HN60">
        <v>9.35744</v>
      </c>
      <c r="HO60">
        <v>55.5863</v>
      </c>
      <c r="HP60">
        <v>32.4399</v>
      </c>
      <c r="HQ60">
        <v>2</v>
      </c>
      <c r="HR60">
        <v>-0.0182241</v>
      </c>
      <c r="HS60">
        <v>5.51449</v>
      </c>
      <c r="HT60">
        <v>20.0528</v>
      </c>
      <c r="HU60">
        <v>5.19932</v>
      </c>
      <c r="HV60">
        <v>12.004</v>
      </c>
      <c r="HW60">
        <v>4.97575</v>
      </c>
      <c r="HX60">
        <v>3.294</v>
      </c>
      <c r="HY60">
        <v>9999</v>
      </c>
      <c r="HZ60">
        <v>9999</v>
      </c>
      <c r="IA60">
        <v>9999</v>
      </c>
      <c r="IB60">
        <v>999.9</v>
      </c>
      <c r="IC60">
        <v>1.86323</v>
      </c>
      <c r="ID60">
        <v>1.86813</v>
      </c>
      <c r="IE60">
        <v>1.86789</v>
      </c>
      <c r="IF60">
        <v>1.86905</v>
      </c>
      <c r="IG60">
        <v>1.86983</v>
      </c>
      <c r="IH60">
        <v>1.86595</v>
      </c>
      <c r="II60">
        <v>1.86702</v>
      </c>
      <c r="IJ60">
        <v>1.86844</v>
      </c>
      <c r="IK60">
        <v>5</v>
      </c>
      <c r="IL60">
        <v>0</v>
      </c>
      <c r="IM60">
        <v>0</v>
      </c>
      <c r="IN60">
        <v>0</v>
      </c>
      <c r="IO60" t="s">
        <v>443</v>
      </c>
      <c r="IP60" t="s">
        <v>444</v>
      </c>
      <c r="IQ60" t="s">
        <v>445</v>
      </c>
      <c r="IR60" t="s">
        <v>445</v>
      </c>
      <c r="IS60" t="s">
        <v>445</v>
      </c>
      <c r="IT60" t="s">
        <v>445</v>
      </c>
      <c r="IU60">
        <v>0</v>
      </c>
      <c r="IV60">
        <v>100</v>
      </c>
      <c r="IW60">
        <v>100</v>
      </c>
      <c r="IX60">
        <v>2.897</v>
      </c>
      <c r="IY60">
        <v>-0.134</v>
      </c>
      <c r="IZ60">
        <v>1.24656194001752</v>
      </c>
      <c r="JA60">
        <v>0.00408463137630218</v>
      </c>
      <c r="JB60">
        <v>-2.23906557180379e-07</v>
      </c>
      <c r="JC60">
        <v>6.23399102760906e-11</v>
      </c>
      <c r="JD60">
        <v>-0.0873394905990972</v>
      </c>
      <c r="JE60">
        <v>-0.0233348201324191</v>
      </c>
      <c r="JF60">
        <v>0.00274696999164489</v>
      </c>
      <c r="JG60">
        <v>-3.62864435074646e-05</v>
      </c>
      <c r="JH60">
        <v>5</v>
      </c>
      <c r="JI60">
        <v>2263</v>
      </c>
      <c r="JJ60">
        <v>1</v>
      </c>
      <c r="JK60">
        <v>24</v>
      </c>
      <c r="JL60">
        <v>29361401.3</v>
      </c>
      <c r="JM60">
        <v>29361401.3</v>
      </c>
      <c r="JN60">
        <v>1.24878</v>
      </c>
      <c r="JO60">
        <v>2.61841</v>
      </c>
      <c r="JP60">
        <v>2.19849</v>
      </c>
      <c r="JQ60">
        <v>2.62817</v>
      </c>
      <c r="JR60">
        <v>2.44507</v>
      </c>
      <c r="JS60">
        <v>2.33521</v>
      </c>
      <c r="JT60">
        <v>33.3335</v>
      </c>
      <c r="JU60">
        <v>24.1663</v>
      </c>
      <c r="JV60">
        <v>18</v>
      </c>
      <c r="JW60">
        <v>500.892</v>
      </c>
      <c r="JX60">
        <v>789.243</v>
      </c>
      <c r="JY60">
        <v>11.6753</v>
      </c>
      <c r="JZ60">
        <v>26.9707</v>
      </c>
      <c r="KA60">
        <v>30.0004</v>
      </c>
      <c r="KB60">
        <v>26.9022</v>
      </c>
      <c r="KC60">
        <v>26.8305</v>
      </c>
      <c r="KD60">
        <v>25.0145</v>
      </c>
      <c r="KE60">
        <v>28.6649</v>
      </c>
      <c r="KF60">
        <v>0</v>
      </c>
      <c r="KG60">
        <v>11.6643</v>
      </c>
      <c r="KH60">
        <v>420</v>
      </c>
      <c r="KI60">
        <v>4.89482</v>
      </c>
      <c r="KJ60">
        <v>96.5949</v>
      </c>
      <c r="KK60">
        <v>94.6824</v>
      </c>
    </row>
    <row r="61" spans="1:297">
      <c r="A61">
        <v>45</v>
      </c>
      <c r="B61">
        <v>1761684139</v>
      </c>
      <c r="C61">
        <v>6789.90000009537</v>
      </c>
      <c r="D61" t="s">
        <v>586</v>
      </c>
      <c r="E61" t="s">
        <v>587</v>
      </c>
      <c r="F61">
        <v>5</v>
      </c>
      <c r="G61" t="s">
        <v>575</v>
      </c>
      <c r="H61" t="s">
        <v>436</v>
      </c>
      <c r="I61">
        <v>1761684130.5</v>
      </c>
      <c r="J61">
        <f>(K61)/1000</f>
        <v>0</v>
      </c>
      <c r="K61">
        <f>IF(DP61, AN61, AH61)</f>
        <v>0</v>
      </c>
      <c r="L61">
        <f>IF(DP61, AI61, AG61)</f>
        <v>0</v>
      </c>
      <c r="M61">
        <f>DR61 - IF(AU61&gt;1, L61*DL61*100.0/(AW61), 0)</f>
        <v>0</v>
      </c>
      <c r="N61">
        <f>((T61-J61/2)*M61-L61)/(T61+J61/2)</f>
        <v>0</v>
      </c>
      <c r="O61">
        <f>N61*(DY61+DZ61)/1000.0</f>
        <v>0</v>
      </c>
      <c r="P61">
        <f>(DR61 - IF(AU61&gt;1, L61*DL61*100.0/(AW61), 0))*(DY61+DZ61)/1000.0</f>
        <v>0</v>
      </c>
      <c r="Q61">
        <f>2.0/((1/S61-1/R61)+SIGN(S61)*SQRT((1/S61-1/R61)*(1/S61-1/R61) + 4*DM61/((DM61+1)*(DM61+1))*(2*1/S61*1/R61-1/R61*1/R61)))</f>
        <v>0</v>
      </c>
      <c r="R61">
        <f>IF(LEFT(DN61,1)&lt;&gt;"0",IF(LEFT(DN61,1)="1",3.0,DO61),$D$5+$E$5*(EF61*DY61/($K$5*1000))+$F$5*(EF61*DY61/($K$5*1000))*MAX(MIN(DL61,$J$5),$I$5)*MAX(MIN(DL61,$J$5),$I$5)+$G$5*MAX(MIN(DL61,$J$5),$I$5)*(EF61*DY61/($K$5*1000))+$H$5*(EF61*DY61/($K$5*1000))*(EF61*DY61/($K$5*1000)))</f>
        <v>0</v>
      </c>
      <c r="S61">
        <f>J61*(1000-(1000*0.61365*exp(17.502*W61/(240.97+W61))/(DY61+DZ61)+DT61)/2)/(1000*0.61365*exp(17.502*W61/(240.97+W61))/(DY61+DZ61)-DT61)</f>
        <v>0</v>
      </c>
      <c r="T61">
        <f>1/((DM61+1)/(Q61/1.6)+1/(R61/1.37)) + DM61/((DM61+1)/(Q61/1.6) + DM61/(R61/1.37))</f>
        <v>0</v>
      </c>
      <c r="U61">
        <f>(DH61*DK61)</f>
        <v>0</v>
      </c>
      <c r="V61">
        <f>(EA61+(U61+2*0.95*5.67E-8*(((EA61+$B$7)+273)^4-(EA61+273)^4)-44100*J61)/(1.84*29.3*R61+8*0.95*5.67E-8*(EA61+273)^3))</f>
        <v>0</v>
      </c>
      <c r="W61">
        <f>($C$7*EB61+$D$7*EC61+$E$7*V61)</f>
        <v>0</v>
      </c>
      <c r="X61">
        <f>0.61365*exp(17.502*W61/(240.97+W61))</f>
        <v>0</v>
      </c>
      <c r="Y61">
        <f>(Z61/AA61*100)</f>
        <v>0</v>
      </c>
      <c r="Z61">
        <f>DT61*(DY61+DZ61)/1000</f>
        <v>0</v>
      </c>
      <c r="AA61">
        <f>0.61365*exp(17.502*EA61/(240.97+EA61))</f>
        <v>0</v>
      </c>
      <c r="AB61">
        <f>(X61-DT61*(DY61+DZ61)/1000)</f>
        <v>0</v>
      </c>
      <c r="AC61">
        <f>(-J61*44100)</f>
        <v>0</v>
      </c>
      <c r="AD61">
        <f>2*29.3*R61*0.92*(EA61-W61)</f>
        <v>0</v>
      </c>
      <c r="AE61">
        <f>2*0.95*5.67E-8*(((EA61+$B$7)+273)^4-(W61+273)^4)</f>
        <v>0</v>
      </c>
      <c r="AF61">
        <f>U61+AE61+AC61+AD61</f>
        <v>0</v>
      </c>
      <c r="AG61">
        <f>DX61*AU61*(DS61-DR61*(1000-AU61*DU61)/(1000-AU61*DT61))/(100*DL61)</f>
        <v>0</v>
      </c>
      <c r="AH61">
        <f>1000*DX61*AU61*(DT61-DU61)/(100*DL61*(1000-AU61*DT61))</f>
        <v>0</v>
      </c>
      <c r="AI61">
        <f>(AJ61 - AK61 - DY61*1E3/(8.314*(EA61+273.15)) * AM61/DX61 * AL61) * DX61/(100*DL61) * (1000 - DU61)/1000</f>
        <v>0</v>
      </c>
      <c r="AJ61">
        <v>422.060584165737</v>
      </c>
      <c r="AK61">
        <v>417.632090909091</v>
      </c>
      <c r="AL61">
        <v>-0.000195461587660137</v>
      </c>
      <c r="AM61">
        <v>64.2372859999495</v>
      </c>
      <c r="AN61">
        <f>(AP61 - AO61 + DY61*1E3/(8.314*(EA61+273.15)) * AR61/DX61 * AQ61) * DX61/(100*DL61) * 1000/(1000 - AP61)</f>
        <v>0</v>
      </c>
      <c r="AO61">
        <v>4.93696475442059</v>
      </c>
      <c r="AP61">
        <v>6.21449384615385</v>
      </c>
      <c r="AQ61">
        <v>1.25786102629671e-05</v>
      </c>
      <c r="AR61">
        <v>108.956490973995</v>
      </c>
      <c r="AS61">
        <v>0</v>
      </c>
      <c r="AT61">
        <v>0</v>
      </c>
      <c r="AU61">
        <f>IF(AS61*$H$13&gt;=AW61,1.0,(AW61/(AW61-AS61*$H$13)))</f>
        <v>0</v>
      </c>
      <c r="AV61">
        <f>(AU61-1)*100</f>
        <v>0</v>
      </c>
      <c r="AW61">
        <f>MAX(0,($B$13+$C$13*EF61)/(1+$D$13*EF61)*DY61/(EA61+273)*$E$13)</f>
        <v>0</v>
      </c>
      <c r="AX61" t="s">
        <v>572</v>
      </c>
      <c r="AY61">
        <v>5110.91</v>
      </c>
      <c r="AZ61">
        <v>714.823076923077</v>
      </c>
      <c r="BA61">
        <v>1930.46444768955</v>
      </c>
      <c r="BB61">
        <f>1-AZ61/BA61</f>
        <v>0</v>
      </c>
      <c r="BC61">
        <v>-0.797918103269906</v>
      </c>
      <c r="BD61" t="s">
        <v>588</v>
      </c>
      <c r="BE61">
        <v>5145.06</v>
      </c>
      <c r="BF61">
        <v>1415.98269230769</v>
      </c>
      <c r="BG61">
        <v>1535.18190711345</v>
      </c>
      <c r="BH61">
        <f>1-BF61/BG61</f>
        <v>0</v>
      </c>
      <c r="BI61">
        <v>0.5</v>
      </c>
      <c r="BJ61">
        <f>DI61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589</v>
      </c>
      <c r="BQ61">
        <v>876.67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BZ61">
        <v>51</v>
      </c>
      <c r="CA61">
        <v>290</v>
      </c>
      <c r="CB61">
        <v>1505.92</v>
      </c>
      <c r="CC61">
        <v>185</v>
      </c>
      <c r="CD61">
        <v>5145.06</v>
      </c>
      <c r="CE61">
        <v>1504.63</v>
      </c>
      <c r="CF61">
        <v>1.29</v>
      </c>
      <c r="CG61">
        <v>300</v>
      </c>
      <c r="CH61">
        <v>23.8</v>
      </c>
      <c r="CI61">
        <v>1535.18190711345</v>
      </c>
      <c r="CJ61">
        <v>1.61355384669982</v>
      </c>
      <c r="CK61">
        <v>-15.720833486588</v>
      </c>
      <c r="CL61">
        <v>0.740160608270179</v>
      </c>
      <c r="CM61">
        <v>0.941560427633806</v>
      </c>
      <c r="CN61">
        <v>-0.00349554927697442</v>
      </c>
      <c r="CO61">
        <v>290</v>
      </c>
      <c r="CP61">
        <v>1502.56</v>
      </c>
      <c r="CQ61">
        <v>615</v>
      </c>
      <c r="CR61">
        <v>5143.8</v>
      </c>
      <c r="CS61">
        <v>1504.62</v>
      </c>
      <c r="CT61">
        <v>-2.06</v>
      </c>
      <c r="DH61">
        <f>$B$11*EG61+$C$11*EH61+$F$11*ES61*(1-EV61)</f>
        <v>0</v>
      </c>
      <c r="DI61">
        <f>DH61*DJ61</f>
        <v>0</v>
      </c>
      <c r="DJ61">
        <f>($B$11*$D$9+$C$11*$D$9+$F$11*((FF61+EX61)/MAX(FF61+EX61+FG61, 0.1)*$I$9+FG61/MAX(FF61+EX61+FG61, 0.1)*$J$9))/($B$11+$C$11+$F$11)</f>
        <v>0</v>
      </c>
      <c r="DK61">
        <f>($B$11*$K$9+$C$11*$K$9+$F$11*((FF61+EX61)/MAX(FF61+EX61+FG61, 0.1)*$P$9+FG61/MAX(FF61+EX61+FG61, 0.1)*$Q$9))/($B$11+$C$11+$F$11)</f>
        <v>0</v>
      </c>
      <c r="DL61">
        <v>6</v>
      </c>
      <c r="DM61">
        <v>0.5</v>
      </c>
      <c r="DN61" t="s">
        <v>440</v>
      </c>
      <c r="DO61">
        <v>2</v>
      </c>
      <c r="DP61" t="b">
        <v>1</v>
      </c>
      <c r="DQ61">
        <v>1761684130.5</v>
      </c>
      <c r="DR61">
        <v>415.055</v>
      </c>
      <c r="DS61">
        <v>420.0069375</v>
      </c>
      <c r="DT61">
        <v>6.208949375</v>
      </c>
      <c r="DU61">
        <v>4.937103125</v>
      </c>
      <c r="DV61">
        <v>412.1585</v>
      </c>
      <c r="DW61">
        <v>6.34304125</v>
      </c>
      <c r="DX61">
        <v>500.016</v>
      </c>
      <c r="DY61">
        <v>90.92815</v>
      </c>
      <c r="DZ61">
        <v>0.019892475</v>
      </c>
      <c r="EA61">
        <v>18.49839375</v>
      </c>
      <c r="EB61">
        <v>17.91740625</v>
      </c>
      <c r="EC61">
        <v>999.9</v>
      </c>
      <c r="ED61">
        <v>0</v>
      </c>
      <c r="EE61">
        <v>0</v>
      </c>
      <c r="EF61">
        <v>9998.278125</v>
      </c>
      <c r="EG61">
        <v>0</v>
      </c>
      <c r="EH61">
        <v>1335.37125</v>
      </c>
      <c r="EI61">
        <v>-4.95198</v>
      </c>
      <c r="EJ61">
        <v>417.6479375</v>
      </c>
      <c r="EK61">
        <v>422.09075</v>
      </c>
      <c r="EL61">
        <v>1.271845625</v>
      </c>
      <c r="EM61">
        <v>420.0069375</v>
      </c>
      <c r="EN61">
        <v>4.937103125</v>
      </c>
      <c r="EO61">
        <v>0.564568375</v>
      </c>
      <c r="EP61">
        <v>0.448921625</v>
      </c>
      <c r="EQ61">
        <v>-1.14232</v>
      </c>
      <c r="ER61">
        <v>-4.228085625</v>
      </c>
      <c r="ES61">
        <v>900.0120625</v>
      </c>
      <c r="ET61">
        <v>0.95601</v>
      </c>
      <c r="EU61">
        <v>0.0439898625</v>
      </c>
      <c r="EV61">
        <v>0</v>
      </c>
      <c r="EW61">
        <v>1415.97625</v>
      </c>
      <c r="EX61">
        <v>5.00059</v>
      </c>
      <c r="EY61">
        <v>12497.825</v>
      </c>
      <c r="EZ61">
        <v>7732.934375</v>
      </c>
      <c r="FA61">
        <v>36.1755</v>
      </c>
      <c r="FB61">
        <v>38.16375</v>
      </c>
      <c r="FC61">
        <v>36.781</v>
      </c>
      <c r="FD61">
        <v>37.312</v>
      </c>
      <c r="FE61">
        <v>37.187125</v>
      </c>
      <c r="FF61">
        <v>855.64</v>
      </c>
      <c r="FG61">
        <v>39.37</v>
      </c>
      <c r="FH61">
        <v>0</v>
      </c>
      <c r="FI61">
        <v>128.199999809265</v>
      </c>
      <c r="FJ61">
        <v>0</v>
      </c>
      <c r="FK61">
        <v>1415.98269230769</v>
      </c>
      <c r="FL61">
        <v>-2.45162393529123</v>
      </c>
      <c r="FM61">
        <v>-35.4358974791954</v>
      </c>
      <c r="FN61">
        <v>12497.1192307692</v>
      </c>
      <c r="FO61">
        <v>15</v>
      </c>
      <c r="FP61">
        <v>0</v>
      </c>
      <c r="FQ61" t="s">
        <v>441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-4.94055761904762</v>
      </c>
      <c r="GD61">
        <v>-0.0566353246753307</v>
      </c>
      <c r="GE61">
        <v>0.0270018877478985</v>
      </c>
      <c r="GF61">
        <v>1</v>
      </c>
      <c r="GG61">
        <v>1416.095</v>
      </c>
      <c r="GH61">
        <v>-1.60687547680966</v>
      </c>
      <c r="GI61">
        <v>0.27171838795514</v>
      </c>
      <c r="GJ61">
        <v>-1</v>
      </c>
      <c r="GK61">
        <v>1.26946666666667</v>
      </c>
      <c r="GL61">
        <v>0.0421199999999999</v>
      </c>
      <c r="GM61">
        <v>0.00428091260111821</v>
      </c>
      <c r="GN61">
        <v>1</v>
      </c>
      <c r="GO61">
        <v>2</v>
      </c>
      <c r="GP61">
        <v>2</v>
      </c>
      <c r="GQ61" t="s">
        <v>442</v>
      </c>
      <c r="GR61">
        <v>3.12854</v>
      </c>
      <c r="GS61">
        <v>2.69808</v>
      </c>
      <c r="GT61">
        <v>0.0891045</v>
      </c>
      <c r="GU61">
        <v>0.0905402</v>
      </c>
      <c r="GV61">
        <v>0.0369607</v>
      </c>
      <c r="GW61">
        <v>0.0304209</v>
      </c>
      <c r="GX61">
        <v>34329.4</v>
      </c>
      <c r="GY61">
        <v>36769.3</v>
      </c>
      <c r="GZ61">
        <v>34092.5</v>
      </c>
      <c r="HA61">
        <v>36600.5</v>
      </c>
      <c r="HB61">
        <v>46362.9</v>
      </c>
      <c r="HC61">
        <v>50907</v>
      </c>
      <c r="HD61">
        <v>53112.8</v>
      </c>
      <c r="HE61">
        <v>58404.2</v>
      </c>
      <c r="HF61">
        <v>1.9661</v>
      </c>
      <c r="HG61">
        <v>2.34685</v>
      </c>
      <c r="HH61">
        <v>-0.0524744</v>
      </c>
      <c r="HI61">
        <v>0</v>
      </c>
      <c r="HJ61">
        <v>18.8032</v>
      </c>
      <c r="HK61">
        <v>999.9</v>
      </c>
      <c r="HL61">
        <v>20.211</v>
      </c>
      <c r="HM61">
        <v>29.769</v>
      </c>
      <c r="HN61">
        <v>9.34472</v>
      </c>
      <c r="HO61">
        <v>55.7563</v>
      </c>
      <c r="HP61">
        <v>32.3998</v>
      </c>
      <c r="HQ61">
        <v>2</v>
      </c>
      <c r="HR61">
        <v>-0.0206098</v>
      </c>
      <c r="HS61">
        <v>5.25644</v>
      </c>
      <c r="HT61">
        <v>20.0639</v>
      </c>
      <c r="HU61">
        <v>5.19917</v>
      </c>
      <c r="HV61">
        <v>12.004</v>
      </c>
      <c r="HW61">
        <v>4.97565</v>
      </c>
      <c r="HX61">
        <v>3.294</v>
      </c>
      <c r="HY61">
        <v>9999</v>
      </c>
      <c r="HZ61">
        <v>9999</v>
      </c>
      <c r="IA61">
        <v>9999</v>
      </c>
      <c r="IB61">
        <v>999.9</v>
      </c>
      <c r="IC61">
        <v>1.86325</v>
      </c>
      <c r="ID61">
        <v>1.86813</v>
      </c>
      <c r="IE61">
        <v>1.86786</v>
      </c>
      <c r="IF61">
        <v>1.86904</v>
      </c>
      <c r="IG61">
        <v>1.86982</v>
      </c>
      <c r="IH61">
        <v>1.86595</v>
      </c>
      <c r="II61">
        <v>1.86703</v>
      </c>
      <c r="IJ61">
        <v>1.86843</v>
      </c>
      <c r="IK61">
        <v>5</v>
      </c>
      <c r="IL61">
        <v>0</v>
      </c>
      <c r="IM61">
        <v>0</v>
      </c>
      <c r="IN61">
        <v>0</v>
      </c>
      <c r="IO61" t="s">
        <v>443</v>
      </c>
      <c r="IP61" t="s">
        <v>444</v>
      </c>
      <c r="IQ61" t="s">
        <v>445</v>
      </c>
      <c r="IR61" t="s">
        <v>445</v>
      </c>
      <c r="IS61" t="s">
        <v>445</v>
      </c>
      <c r="IT61" t="s">
        <v>445</v>
      </c>
      <c r="IU61">
        <v>0</v>
      </c>
      <c r="IV61">
        <v>100</v>
      </c>
      <c r="IW61">
        <v>100</v>
      </c>
      <c r="IX61">
        <v>2.897</v>
      </c>
      <c r="IY61">
        <v>-0.1341</v>
      </c>
      <c r="IZ61">
        <v>1.24656194001752</v>
      </c>
      <c r="JA61">
        <v>0.00408463137630218</v>
      </c>
      <c r="JB61">
        <v>-2.23906557180379e-07</v>
      </c>
      <c r="JC61">
        <v>6.23399102760906e-11</v>
      </c>
      <c r="JD61">
        <v>-0.0873394905990972</v>
      </c>
      <c r="JE61">
        <v>-0.0233348201324191</v>
      </c>
      <c r="JF61">
        <v>0.00274696999164489</v>
      </c>
      <c r="JG61">
        <v>-3.62864435074646e-05</v>
      </c>
      <c r="JH61">
        <v>5</v>
      </c>
      <c r="JI61">
        <v>2263</v>
      </c>
      <c r="JJ61">
        <v>1</v>
      </c>
      <c r="JK61">
        <v>24</v>
      </c>
      <c r="JL61">
        <v>29361402.3</v>
      </c>
      <c r="JM61">
        <v>29361402.3</v>
      </c>
      <c r="JN61">
        <v>1.24878</v>
      </c>
      <c r="JO61">
        <v>2.61597</v>
      </c>
      <c r="JP61">
        <v>2.19849</v>
      </c>
      <c r="JQ61">
        <v>2.62817</v>
      </c>
      <c r="JR61">
        <v>2.44507</v>
      </c>
      <c r="JS61">
        <v>2.33887</v>
      </c>
      <c r="JT61">
        <v>33.3335</v>
      </c>
      <c r="JU61">
        <v>24.1751</v>
      </c>
      <c r="JV61">
        <v>18</v>
      </c>
      <c r="JW61">
        <v>500.701</v>
      </c>
      <c r="JX61">
        <v>789.784</v>
      </c>
      <c r="JY61">
        <v>11.7191</v>
      </c>
      <c r="JZ61">
        <v>26.9545</v>
      </c>
      <c r="KA61">
        <v>30</v>
      </c>
      <c r="KB61">
        <v>26.8955</v>
      </c>
      <c r="KC61">
        <v>26.8261</v>
      </c>
      <c r="KD61">
        <v>25.0136</v>
      </c>
      <c r="KE61">
        <v>28.6649</v>
      </c>
      <c r="KF61">
        <v>0</v>
      </c>
      <c r="KG61">
        <v>11.7381</v>
      </c>
      <c r="KH61">
        <v>420</v>
      </c>
      <c r="KI61">
        <v>4.89579</v>
      </c>
      <c r="KJ61">
        <v>96.5986</v>
      </c>
      <c r="KK61">
        <v>94.6847</v>
      </c>
    </row>
    <row r="62" spans="1:297">
      <c r="A62">
        <v>46</v>
      </c>
      <c r="B62">
        <v>1761684209</v>
      </c>
      <c r="C62">
        <v>6859.90000009537</v>
      </c>
      <c r="D62" t="s">
        <v>590</v>
      </c>
      <c r="E62" t="s">
        <v>591</v>
      </c>
      <c r="F62">
        <v>5</v>
      </c>
      <c r="G62" t="s">
        <v>575</v>
      </c>
      <c r="H62" t="s">
        <v>436</v>
      </c>
      <c r="I62">
        <v>1761684200.5</v>
      </c>
      <c r="J62">
        <f>(K62)/1000</f>
        <v>0</v>
      </c>
      <c r="K62">
        <f>IF(DP62, AN62, AH62)</f>
        <v>0</v>
      </c>
      <c r="L62">
        <f>IF(DP62, AI62, AG62)</f>
        <v>0</v>
      </c>
      <c r="M62">
        <f>DR62 - IF(AU62&gt;1, L62*DL62*100.0/(AW62), 0)</f>
        <v>0</v>
      </c>
      <c r="N62">
        <f>((T62-J62/2)*M62-L62)/(T62+J62/2)</f>
        <v>0</v>
      </c>
      <c r="O62">
        <f>N62*(DY62+DZ62)/1000.0</f>
        <v>0</v>
      </c>
      <c r="P62">
        <f>(DR62 - IF(AU62&gt;1, L62*DL62*100.0/(AW62), 0))*(DY62+DZ62)/1000.0</f>
        <v>0</v>
      </c>
      <c r="Q62">
        <f>2.0/((1/S62-1/R62)+SIGN(S62)*SQRT((1/S62-1/R62)*(1/S62-1/R62) + 4*DM62/((DM62+1)*(DM62+1))*(2*1/S62*1/R62-1/R62*1/R62)))</f>
        <v>0</v>
      </c>
      <c r="R62">
        <f>IF(LEFT(DN62,1)&lt;&gt;"0",IF(LEFT(DN62,1)="1",3.0,DO62),$D$5+$E$5*(EF62*DY62/($K$5*1000))+$F$5*(EF62*DY62/($K$5*1000))*MAX(MIN(DL62,$J$5),$I$5)*MAX(MIN(DL62,$J$5),$I$5)+$G$5*MAX(MIN(DL62,$J$5),$I$5)*(EF62*DY62/($K$5*1000))+$H$5*(EF62*DY62/($K$5*1000))*(EF62*DY62/($K$5*1000)))</f>
        <v>0</v>
      </c>
      <c r="S62">
        <f>J62*(1000-(1000*0.61365*exp(17.502*W62/(240.97+W62))/(DY62+DZ62)+DT62)/2)/(1000*0.61365*exp(17.502*W62/(240.97+W62))/(DY62+DZ62)-DT62)</f>
        <v>0</v>
      </c>
      <c r="T62">
        <f>1/((DM62+1)/(Q62/1.6)+1/(R62/1.37)) + DM62/((DM62+1)/(Q62/1.6) + DM62/(R62/1.37))</f>
        <v>0</v>
      </c>
      <c r="U62">
        <f>(DH62*DK62)</f>
        <v>0</v>
      </c>
      <c r="V62">
        <f>(EA62+(U62+2*0.95*5.67E-8*(((EA62+$B$7)+273)^4-(EA62+273)^4)-44100*J62)/(1.84*29.3*R62+8*0.95*5.67E-8*(EA62+273)^3))</f>
        <v>0</v>
      </c>
      <c r="W62">
        <f>($C$7*EB62+$D$7*EC62+$E$7*V62)</f>
        <v>0</v>
      </c>
      <c r="X62">
        <f>0.61365*exp(17.502*W62/(240.97+W62))</f>
        <v>0</v>
      </c>
      <c r="Y62">
        <f>(Z62/AA62*100)</f>
        <v>0</v>
      </c>
      <c r="Z62">
        <f>DT62*(DY62+DZ62)/1000</f>
        <v>0</v>
      </c>
      <c r="AA62">
        <f>0.61365*exp(17.502*EA62/(240.97+EA62))</f>
        <v>0</v>
      </c>
      <c r="AB62">
        <f>(X62-DT62*(DY62+DZ62)/1000)</f>
        <v>0</v>
      </c>
      <c r="AC62">
        <f>(-J62*44100)</f>
        <v>0</v>
      </c>
      <c r="AD62">
        <f>2*29.3*R62*0.92*(EA62-W62)</f>
        <v>0</v>
      </c>
      <c r="AE62">
        <f>2*0.95*5.67E-8*(((EA62+$B$7)+273)^4-(W62+273)^4)</f>
        <v>0</v>
      </c>
      <c r="AF62">
        <f>U62+AE62+AC62+AD62</f>
        <v>0</v>
      </c>
      <c r="AG62">
        <f>DX62*AU62*(DS62-DR62*(1000-AU62*DU62)/(1000-AU62*DT62))/(100*DL62)</f>
        <v>0</v>
      </c>
      <c r="AH62">
        <f>1000*DX62*AU62*(DT62-DU62)/(100*DL62*(1000-AU62*DT62))</f>
        <v>0</v>
      </c>
      <c r="AI62">
        <f>(AJ62 - AK62 - DY62*1E3/(8.314*(EA62+273.15)) * AM62/DX62 * AL62) * DX62/(100*DL62) * (1000 - DU62)/1000</f>
        <v>0</v>
      </c>
      <c r="AJ62">
        <v>422.069890666424</v>
      </c>
      <c r="AK62">
        <v>417.930957575757</v>
      </c>
      <c r="AL62">
        <v>-0.000470467966694558</v>
      </c>
      <c r="AM62">
        <v>64.2372859999495</v>
      </c>
      <c r="AN62">
        <f>(AP62 - AO62 + DY62*1E3/(8.314*(EA62+273.15)) * AR62/DX62 * AQ62) * DX62/(100*DL62) * 1000/(1000 - AP62)</f>
        <v>0</v>
      </c>
      <c r="AO62">
        <v>4.91913251598412</v>
      </c>
      <c r="AP62">
        <v>6.21177356643357</v>
      </c>
      <c r="AQ62">
        <v>5.74654257321934e-06</v>
      </c>
      <c r="AR62">
        <v>108.956490973995</v>
      </c>
      <c r="AS62">
        <v>0</v>
      </c>
      <c r="AT62">
        <v>0</v>
      </c>
      <c r="AU62">
        <f>IF(AS62*$H$13&gt;=AW62,1.0,(AW62/(AW62-AS62*$H$13)))</f>
        <v>0</v>
      </c>
      <c r="AV62">
        <f>(AU62-1)*100</f>
        <v>0</v>
      </c>
      <c r="AW62">
        <f>MAX(0,($B$13+$C$13*EF62)/(1+$D$13*EF62)*DY62/(EA62+273)*$E$13)</f>
        <v>0</v>
      </c>
      <c r="AX62" t="s">
        <v>448</v>
      </c>
      <c r="AY62" t="s">
        <v>448</v>
      </c>
      <c r="AZ62">
        <v>0</v>
      </c>
      <c r="BA62">
        <v>0</v>
      </c>
      <c r="BB62">
        <f>1-AZ62/BA62</f>
        <v>0</v>
      </c>
      <c r="BC62">
        <v>0</v>
      </c>
      <c r="BD62" t="s">
        <v>448</v>
      </c>
      <c r="BE62" t="s">
        <v>448</v>
      </c>
      <c r="BF62">
        <v>0</v>
      </c>
      <c r="BG62">
        <v>0</v>
      </c>
      <c r="BH62">
        <f>1-BF62/BG62</f>
        <v>0</v>
      </c>
      <c r="BI62">
        <v>0.5</v>
      </c>
      <c r="BJ62">
        <f>DI62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448</v>
      </c>
      <c r="BQ62">
        <v>0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BZ62">
        <v>51</v>
      </c>
      <c r="CA62">
        <v>290</v>
      </c>
      <c r="CB62">
        <v>1505.92</v>
      </c>
      <c r="CC62">
        <v>185</v>
      </c>
      <c r="CD62">
        <v>5145.06</v>
      </c>
      <c r="CE62">
        <v>1504.63</v>
      </c>
      <c r="CF62">
        <v>1.29</v>
      </c>
      <c r="CG62">
        <v>300</v>
      </c>
      <c r="CH62">
        <v>23.8</v>
      </c>
      <c r="CI62">
        <v>1535.18190711345</v>
      </c>
      <c r="CJ62">
        <v>1.61355384669982</v>
      </c>
      <c r="CK62">
        <v>-15.720833486588</v>
      </c>
      <c r="CL62">
        <v>0.740160608270179</v>
      </c>
      <c r="CM62">
        <v>0.941560427633806</v>
      </c>
      <c r="CN62">
        <v>-0.00349554927697442</v>
      </c>
      <c r="CO62">
        <v>290</v>
      </c>
      <c r="CP62">
        <v>1502.56</v>
      </c>
      <c r="CQ62">
        <v>615</v>
      </c>
      <c r="CR62">
        <v>5143.8</v>
      </c>
      <c r="CS62">
        <v>1504.62</v>
      </c>
      <c r="CT62">
        <v>-2.06</v>
      </c>
      <c r="DH62">
        <f>$B$11*EG62+$C$11*EH62+$F$11*ES62*(1-EV62)</f>
        <v>0</v>
      </c>
      <c r="DI62">
        <f>DH62*DJ62</f>
        <v>0</v>
      </c>
      <c r="DJ62">
        <f>($B$11*$D$9+$C$11*$D$9+$F$11*((FF62+EX62)/MAX(FF62+EX62+FG62, 0.1)*$I$9+FG62/MAX(FF62+EX62+FG62, 0.1)*$J$9))/($B$11+$C$11+$F$11)</f>
        <v>0</v>
      </c>
      <c r="DK62">
        <f>($B$11*$K$9+$C$11*$K$9+$F$11*((FF62+EX62)/MAX(FF62+EX62+FG62, 0.1)*$P$9+FG62/MAX(FF62+EX62+FG62, 0.1)*$Q$9))/($B$11+$C$11+$F$11)</f>
        <v>0</v>
      </c>
      <c r="DL62">
        <v>6</v>
      </c>
      <c r="DM62">
        <v>0.5</v>
      </c>
      <c r="DN62" t="s">
        <v>440</v>
      </c>
      <c r="DO62">
        <v>2</v>
      </c>
      <c r="DP62" t="b">
        <v>1</v>
      </c>
      <c r="DQ62">
        <v>1761684200.5</v>
      </c>
      <c r="DR62">
        <v>415.34475</v>
      </c>
      <c r="DS62">
        <v>420.002625</v>
      </c>
      <c r="DT62">
        <v>6.20841</v>
      </c>
      <c r="DU62">
        <v>4.91945</v>
      </c>
      <c r="DV62">
        <v>412.4471875</v>
      </c>
      <c r="DW62">
        <v>6.342506875</v>
      </c>
      <c r="DX62">
        <v>500.02025</v>
      </c>
      <c r="DY62">
        <v>90.9262625</v>
      </c>
      <c r="DZ62">
        <v>0.01995419375</v>
      </c>
      <c r="EA62">
        <v>18.5393625</v>
      </c>
      <c r="EB62">
        <v>17.94783125</v>
      </c>
      <c r="EC62">
        <v>999.9</v>
      </c>
      <c r="ED62">
        <v>0</v>
      </c>
      <c r="EE62">
        <v>0</v>
      </c>
      <c r="EF62">
        <v>10003.1125</v>
      </c>
      <c r="EG62">
        <v>0</v>
      </c>
      <c r="EH62">
        <v>1335.484375</v>
      </c>
      <c r="EI62">
        <v>-4.6578675</v>
      </c>
      <c r="EJ62">
        <v>417.9395</v>
      </c>
      <c r="EK62">
        <v>422.0789375</v>
      </c>
      <c r="EL62">
        <v>1.28896</v>
      </c>
      <c r="EM62">
        <v>420.002625</v>
      </c>
      <c r="EN62">
        <v>4.91945</v>
      </c>
      <c r="EO62">
        <v>0.5645074375</v>
      </c>
      <c r="EP62">
        <v>0.4473073125</v>
      </c>
      <c r="EQ62">
        <v>-1.14378625</v>
      </c>
      <c r="ER62">
        <v>-4.275953125</v>
      </c>
      <c r="ES62">
        <v>600.0351875</v>
      </c>
      <c r="ET62">
        <v>0.9329956875</v>
      </c>
      <c r="EU62">
        <v>0.0670042125</v>
      </c>
      <c r="EV62">
        <v>0</v>
      </c>
      <c r="EW62">
        <v>1368.725625</v>
      </c>
      <c r="EX62">
        <v>5.00059</v>
      </c>
      <c r="EY62">
        <v>7989.72875</v>
      </c>
      <c r="EZ62">
        <v>5105.801875</v>
      </c>
      <c r="FA62">
        <v>35.5895625</v>
      </c>
      <c r="FB62">
        <v>37.996</v>
      </c>
      <c r="FC62">
        <v>36.444875</v>
      </c>
      <c r="FD62">
        <v>37.1560625</v>
      </c>
      <c r="FE62">
        <v>36.777125</v>
      </c>
      <c r="FF62">
        <v>555.164375</v>
      </c>
      <c r="FG62">
        <v>39.871875</v>
      </c>
      <c r="FH62">
        <v>0</v>
      </c>
      <c r="FI62">
        <v>67</v>
      </c>
      <c r="FJ62">
        <v>0</v>
      </c>
      <c r="FK62">
        <v>1368.7008</v>
      </c>
      <c r="FL62">
        <v>1.28769231225714</v>
      </c>
      <c r="FM62">
        <v>6.23692301518999</v>
      </c>
      <c r="FN62">
        <v>7989.5412</v>
      </c>
      <c r="FO62">
        <v>15</v>
      </c>
      <c r="FP62">
        <v>0</v>
      </c>
      <c r="FQ62" t="s">
        <v>441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-4.64257380952381</v>
      </c>
      <c r="GD62">
        <v>-0.121708051948052</v>
      </c>
      <c r="GE62">
        <v>0.0440840104342121</v>
      </c>
      <c r="GF62">
        <v>1</v>
      </c>
      <c r="GG62">
        <v>1368.53941176471</v>
      </c>
      <c r="GH62">
        <v>2.0375859463359</v>
      </c>
      <c r="GI62">
        <v>0.298889524903228</v>
      </c>
      <c r="GJ62">
        <v>-1</v>
      </c>
      <c r="GK62">
        <v>1.2872019047619</v>
      </c>
      <c r="GL62">
        <v>0.0295168831168836</v>
      </c>
      <c r="GM62">
        <v>0.00298980907026584</v>
      </c>
      <c r="GN62">
        <v>1</v>
      </c>
      <c r="GO62">
        <v>2</v>
      </c>
      <c r="GP62">
        <v>2</v>
      </c>
      <c r="GQ62" t="s">
        <v>442</v>
      </c>
      <c r="GR62">
        <v>3.12843</v>
      </c>
      <c r="GS62">
        <v>2.69799</v>
      </c>
      <c r="GT62">
        <v>0.0891643</v>
      </c>
      <c r="GU62">
        <v>0.0905418</v>
      </c>
      <c r="GV62">
        <v>0.0369533</v>
      </c>
      <c r="GW62">
        <v>0.0303328</v>
      </c>
      <c r="GX62">
        <v>34328.2</v>
      </c>
      <c r="GY62">
        <v>36771</v>
      </c>
      <c r="GZ62">
        <v>34093.4</v>
      </c>
      <c r="HA62">
        <v>36602.1</v>
      </c>
      <c r="HB62">
        <v>46364.1</v>
      </c>
      <c r="HC62">
        <v>50914.1</v>
      </c>
      <c r="HD62">
        <v>53113.8</v>
      </c>
      <c r="HE62">
        <v>58406.9</v>
      </c>
      <c r="HF62">
        <v>1.96598</v>
      </c>
      <c r="HG62">
        <v>2.3469</v>
      </c>
      <c r="HH62">
        <v>-0.0534281</v>
      </c>
      <c r="HI62">
        <v>0</v>
      </c>
      <c r="HJ62">
        <v>18.8586</v>
      </c>
      <c r="HK62">
        <v>999.9</v>
      </c>
      <c r="HL62">
        <v>20.187</v>
      </c>
      <c r="HM62">
        <v>29.789</v>
      </c>
      <c r="HN62">
        <v>9.34458</v>
      </c>
      <c r="HO62">
        <v>55.5964</v>
      </c>
      <c r="HP62">
        <v>32.476</v>
      </c>
      <c r="HQ62">
        <v>2</v>
      </c>
      <c r="HR62">
        <v>-0.0235976</v>
      </c>
      <c r="HS62">
        <v>4.9695</v>
      </c>
      <c r="HT62">
        <v>20.0761</v>
      </c>
      <c r="HU62">
        <v>5.19947</v>
      </c>
      <c r="HV62">
        <v>12.004</v>
      </c>
      <c r="HW62">
        <v>4.9756</v>
      </c>
      <c r="HX62">
        <v>3.294</v>
      </c>
      <c r="HY62">
        <v>9999</v>
      </c>
      <c r="HZ62">
        <v>9999</v>
      </c>
      <c r="IA62">
        <v>9999</v>
      </c>
      <c r="IB62">
        <v>999.9</v>
      </c>
      <c r="IC62">
        <v>1.86325</v>
      </c>
      <c r="ID62">
        <v>1.86813</v>
      </c>
      <c r="IE62">
        <v>1.86786</v>
      </c>
      <c r="IF62">
        <v>1.86904</v>
      </c>
      <c r="IG62">
        <v>1.86983</v>
      </c>
      <c r="IH62">
        <v>1.86597</v>
      </c>
      <c r="II62">
        <v>1.86706</v>
      </c>
      <c r="IJ62">
        <v>1.86842</v>
      </c>
      <c r="IK62">
        <v>5</v>
      </c>
      <c r="IL62">
        <v>0</v>
      </c>
      <c r="IM62">
        <v>0</v>
      </c>
      <c r="IN62">
        <v>0</v>
      </c>
      <c r="IO62" t="s">
        <v>443</v>
      </c>
      <c r="IP62" t="s">
        <v>444</v>
      </c>
      <c r="IQ62" t="s">
        <v>445</v>
      </c>
      <c r="IR62" t="s">
        <v>445</v>
      </c>
      <c r="IS62" t="s">
        <v>445</v>
      </c>
      <c r="IT62" t="s">
        <v>445</v>
      </c>
      <c r="IU62">
        <v>0</v>
      </c>
      <c r="IV62">
        <v>100</v>
      </c>
      <c r="IW62">
        <v>100</v>
      </c>
      <c r="IX62">
        <v>2.898</v>
      </c>
      <c r="IY62">
        <v>-0.1341</v>
      </c>
      <c r="IZ62">
        <v>1.24656194001752</v>
      </c>
      <c r="JA62">
        <v>0.00408463137630218</v>
      </c>
      <c r="JB62">
        <v>-2.23906557180379e-07</v>
      </c>
      <c r="JC62">
        <v>6.23399102760906e-11</v>
      </c>
      <c r="JD62">
        <v>-0.0873394905990972</v>
      </c>
      <c r="JE62">
        <v>-0.0233348201324191</v>
      </c>
      <c r="JF62">
        <v>0.00274696999164489</v>
      </c>
      <c r="JG62">
        <v>-3.62864435074646e-05</v>
      </c>
      <c r="JH62">
        <v>5</v>
      </c>
      <c r="JI62">
        <v>2263</v>
      </c>
      <c r="JJ62">
        <v>1</v>
      </c>
      <c r="JK62">
        <v>24</v>
      </c>
      <c r="JL62">
        <v>29361403.5</v>
      </c>
      <c r="JM62">
        <v>29361403.5</v>
      </c>
      <c r="JN62">
        <v>1.24878</v>
      </c>
      <c r="JO62">
        <v>2.6123</v>
      </c>
      <c r="JP62">
        <v>2.19849</v>
      </c>
      <c r="JQ62">
        <v>2.62817</v>
      </c>
      <c r="JR62">
        <v>2.44507</v>
      </c>
      <c r="JS62">
        <v>2.33398</v>
      </c>
      <c r="JT62">
        <v>33.3111</v>
      </c>
      <c r="JU62">
        <v>24.1751</v>
      </c>
      <c r="JV62">
        <v>18</v>
      </c>
      <c r="JW62">
        <v>500.517</v>
      </c>
      <c r="JX62">
        <v>789.708</v>
      </c>
      <c r="JY62">
        <v>12.2794</v>
      </c>
      <c r="JZ62">
        <v>26.9316</v>
      </c>
      <c r="KA62">
        <v>30.0001</v>
      </c>
      <c r="KB62">
        <v>26.8842</v>
      </c>
      <c r="KC62">
        <v>26.8176</v>
      </c>
      <c r="KD62">
        <v>25.0135</v>
      </c>
      <c r="KE62">
        <v>28.9372</v>
      </c>
      <c r="KF62">
        <v>0</v>
      </c>
      <c r="KG62">
        <v>12.2921</v>
      </c>
      <c r="KH62">
        <v>420</v>
      </c>
      <c r="KI62">
        <v>4.88185</v>
      </c>
      <c r="KJ62">
        <v>96.6006</v>
      </c>
      <c r="KK62">
        <v>94.689</v>
      </c>
    </row>
    <row r="63" spans="1:297">
      <c r="A63">
        <v>47</v>
      </c>
      <c r="B63">
        <v>1761684270</v>
      </c>
      <c r="C63">
        <v>6920.90000009537</v>
      </c>
      <c r="D63" t="s">
        <v>592</v>
      </c>
      <c r="E63" t="s">
        <v>593</v>
      </c>
      <c r="F63">
        <v>5</v>
      </c>
      <c r="G63" t="s">
        <v>575</v>
      </c>
      <c r="H63" t="s">
        <v>436</v>
      </c>
      <c r="I63">
        <v>1761684261.5</v>
      </c>
      <c r="J63">
        <f>(K63)/1000</f>
        <v>0</v>
      </c>
      <c r="K63">
        <f>IF(DP63, AN63, AH63)</f>
        <v>0</v>
      </c>
      <c r="L63">
        <f>IF(DP63, AI63, AG63)</f>
        <v>0</v>
      </c>
      <c r="M63">
        <f>DR63 - IF(AU63&gt;1, L63*DL63*100.0/(AW63), 0)</f>
        <v>0</v>
      </c>
      <c r="N63">
        <f>((T63-J63/2)*M63-L63)/(T63+J63/2)</f>
        <v>0</v>
      </c>
      <c r="O63">
        <f>N63*(DY63+DZ63)/1000.0</f>
        <v>0</v>
      </c>
      <c r="P63">
        <f>(DR63 - IF(AU63&gt;1, L63*DL63*100.0/(AW63), 0))*(DY63+DZ63)/1000.0</f>
        <v>0</v>
      </c>
      <c r="Q63">
        <f>2.0/((1/S63-1/R63)+SIGN(S63)*SQRT((1/S63-1/R63)*(1/S63-1/R63) + 4*DM63/((DM63+1)*(DM63+1))*(2*1/S63*1/R63-1/R63*1/R63)))</f>
        <v>0</v>
      </c>
      <c r="R63">
        <f>IF(LEFT(DN63,1)&lt;&gt;"0",IF(LEFT(DN63,1)="1",3.0,DO63),$D$5+$E$5*(EF63*DY63/($K$5*1000))+$F$5*(EF63*DY63/($K$5*1000))*MAX(MIN(DL63,$J$5),$I$5)*MAX(MIN(DL63,$J$5),$I$5)+$G$5*MAX(MIN(DL63,$J$5),$I$5)*(EF63*DY63/($K$5*1000))+$H$5*(EF63*DY63/($K$5*1000))*(EF63*DY63/($K$5*1000)))</f>
        <v>0</v>
      </c>
      <c r="S63">
        <f>J63*(1000-(1000*0.61365*exp(17.502*W63/(240.97+W63))/(DY63+DZ63)+DT63)/2)/(1000*0.61365*exp(17.502*W63/(240.97+W63))/(DY63+DZ63)-DT63)</f>
        <v>0</v>
      </c>
      <c r="T63">
        <f>1/((DM63+1)/(Q63/1.6)+1/(R63/1.37)) + DM63/((DM63+1)/(Q63/1.6) + DM63/(R63/1.37))</f>
        <v>0</v>
      </c>
      <c r="U63">
        <f>(DH63*DK63)</f>
        <v>0</v>
      </c>
      <c r="V63">
        <f>(EA63+(U63+2*0.95*5.67E-8*(((EA63+$B$7)+273)^4-(EA63+273)^4)-44100*J63)/(1.84*29.3*R63+8*0.95*5.67E-8*(EA63+273)^3))</f>
        <v>0</v>
      </c>
      <c r="W63">
        <f>($C$7*EB63+$D$7*EC63+$E$7*V63)</f>
        <v>0</v>
      </c>
      <c r="X63">
        <f>0.61365*exp(17.502*W63/(240.97+W63))</f>
        <v>0</v>
      </c>
      <c r="Y63">
        <f>(Z63/AA63*100)</f>
        <v>0</v>
      </c>
      <c r="Z63">
        <f>DT63*(DY63+DZ63)/1000</f>
        <v>0</v>
      </c>
      <c r="AA63">
        <f>0.61365*exp(17.502*EA63/(240.97+EA63))</f>
        <v>0</v>
      </c>
      <c r="AB63">
        <f>(X63-DT63*(DY63+DZ63)/1000)</f>
        <v>0</v>
      </c>
      <c r="AC63">
        <f>(-J63*44100)</f>
        <v>0</v>
      </c>
      <c r="AD63">
        <f>2*29.3*R63*0.92*(EA63-W63)</f>
        <v>0</v>
      </c>
      <c r="AE63">
        <f>2*0.95*5.67E-8*(((EA63+$B$7)+273)^4-(W63+273)^4)</f>
        <v>0</v>
      </c>
      <c r="AF63">
        <f>U63+AE63+AC63+AD63</f>
        <v>0</v>
      </c>
      <c r="AG63">
        <f>DX63*AU63*(DS63-DR63*(1000-AU63*DU63)/(1000-AU63*DT63))/(100*DL63)</f>
        <v>0</v>
      </c>
      <c r="AH63">
        <f>1000*DX63*AU63*(DT63-DU63)/(100*DL63*(1000-AU63*DT63))</f>
        <v>0</v>
      </c>
      <c r="AI63">
        <f>(AJ63 - AK63 - DY63*1E3/(8.314*(EA63+273.15)) * AM63/DX63 * AL63) * DX63/(100*DL63) * (1000 - DU63)/1000</f>
        <v>0</v>
      </c>
      <c r="AJ63">
        <v>422.092317547796</v>
      </c>
      <c r="AK63">
        <v>418.189272727273</v>
      </c>
      <c r="AL63">
        <v>-0.000222815806789961</v>
      </c>
      <c r="AM63">
        <v>64.2372859999495</v>
      </c>
      <c r="AN63">
        <f>(AP63 - AO63 + DY63*1E3/(8.314*(EA63+273.15)) * AR63/DX63 * AQ63) * DX63/(100*DL63) * 1000/(1000 - AP63)</f>
        <v>0</v>
      </c>
      <c r="AO63">
        <v>4.9140619131511</v>
      </c>
      <c r="AP63">
        <v>6.20557041958042</v>
      </c>
      <c r="AQ63">
        <v>3.70647737196492e-06</v>
      </c>
      <c r="AR63">
        <v>108.956490973995</v>
      </c>
      <c r="AS63">
        <v>0</v>
      </c>
      <c r="AT63">
        <v>0</v>
      </c>
      <c r="AU63">
        <f>IF(AS63*$H$13&gt;=AW63,1.0,(AW63/(AW63-AS63*$H$13)))</f>
        <v>0</v>
      </c>
      <c r="AV63">
        <f>(AU63-1)*100</f>
        <v>0</v>
      </c>
      <c r="AW63">
        <f>MAX(0,($B$13+$C$13*EF63)/(1+$D$13*EF63)*DY63/(EA63+273)*$E$13)</f>
        <v>0</v>
      </c>
      <c r="AX63" t="s">
        <v>572</v>
      </c>
      <c r="AY63">
        <v>5110.91</v>
      </c>
      <c r="AZ63">
        <v>714.823076923077</v>
      </c>
      <c r="BA63">
        <v>1930.46444768955</v>
      </c>
      <c r="BB63">
        <f>1-AZ63/BA63</f>
        <v>0</v>
      </c>
      <c r="BC63">
        <v>-0.797918103269906</v>
      </c>
      <c r="BD63" t="s">
        <v>594</v>
      </c>
      <c r="BE63">
        <v>5135.72</v>
      </c>
      <c r="BF63">
        <v>1224.3036</v>
      </c>
      <c r="BG63">
        <v>1542.10646033256</v>
      </c>
      <c r="BH63">
        <f>1-BF63/BG63</f>
        <v>0</v>
      </c>
      <c r="BI63">
        <v>0.5</v>
      </c>
      <c r="BJ63">
        <f>DI63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595</v>
      </c>
      <c r="BQ63">
        <v>860.13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BZ63">
        <v>53</v>
      </c>
      <c r="CA63">
        <v>290</v>
      </c>
      <c r="CB63">
        <v>1516.8</v>
      </c>
      <c r="CC63">
        <v>235</v>
      </c>
      <c r="CD63">
        <v>5135.72</v>
      </c>
      <c r="CE63">
        <v>1515.76</v>
      </c>
      <c r="CF63">
        <v>1.04</v>
      </c>
      <c r="CG63">
        <v>300</v>
      </c>
      <c r="CH63">
        <v>23.8</v>
      </c>
      <c r="CI63">
        <v>1542.10646033256</v>
      </c>
      <c r="CJ63">
        <v>1.71050354902386</v>
      </c>
      <c r="CK63">
        <v>-13.5307815493735</v>
      </c>
      <c r="CL63">
        <v>0.768597349418863</v>
      </c>
      <c r="CM63">
        <v>0.917139870993036</v>
      </c>
      <c r="CN63">
        <v>-0.00399364649610678</v>
      </c>
      <c r="CO63">
        <v>290</v>
      </c>
      <c r="CP63">
        <v>1513.56</v>
      </c>
      <c r="CQ63">
        <v>615</v>
      </c>
      <c r="CR63">
        <v>5135.02</v>
      </c>
      <c r="CS63">
        <v>1515.76</v>
      </c>
      <c r="CT63">
        <v>-2.2</v>
      </c>
      <c r="DH63">
        <f>$B$11*EG63+$C$11*EH63+$F$11*ES63*(1-EV63)</f>
        <v>0</v>
      </c>
      <c r="DI63">
        <f>DH63*DJ63</f>
        <v>0</v>
      </c>
      <c r="DJ63">
        <f>($B$11*$D$9+$C$11*$D$9+$F$11*((FF63+EX63)/MAX(FF63+EX63+FG63, 0.1)*$I$9+FG63/MAX(FF63+EX63+FG63, 0.1)*$J$9))/($B$11+$C$11+$F$11)</f>
        <v>0</v>
      </c>
      <c r="DK63">
        <f>($B$11*$K$9+$C$11*$K$9+$F$11*((FF63+EX63)/MAX(FF63+EX63+FG63, 0.1)*$P$9+FG63/MAX(FF63+EX63+FG63, 0.1)*$Q$9))/($B$11+$C$11+$F$11)</f>
        <v>0</v>
      </c>
      <c r="DL63">
        <v>6</v>
      </c>
      <c r="DM63">
        <v>0.5</v>
      </c>
      <c r="DN63" t="s">
        <v>440</v>
      </c>
      <c r="DO63">
        <v>2</v>
      </c>
      <c r="DP63" t="b">
        <v>1</v>
      </c>
      <c r="DQ63">
        <v>1761684261.5</v>
      </c>
      <c r="DR63">
        <v>415.58625</v>
      </c>
      <c r="DS63">
        <v>420.003125</v>
      </c>
      <c r="DT63">
        <v>6.202863125</v>
      </c>
      <c r="DU63">
        <v>4.914644375</v>
      </c>
      <c r="DV63">
        <v>412.6875625</v>
      </c>
      <c r="DW63">
        <v>6.336996875</v>
      </c>
      <c r="DX63">
        <v>500.058</v>
      </c>
      <c r="DY63">
        <v>90.9327375</v>
      </c>
      <c r="DZ63">
        <v>0.01862944375</v>
      </c>
      <c r="EA63">
        <v>18.55479375</v>
      </c>
      <c r="EB63">
        <v>17.9530875</v>
      </c>
      <c r="EC63">
        <v>999.9</v>
      </c>
      <c r="ED63">
        <v>0</v>
      </c>
      <c r="EE63">
        <v>0</v>
      </c>
      <c r="EF63">
        <v>10009.1375</v>
      </c>
      <c r="EG63">
        <v>0</v>
      </c>
      <c r="EH63">
        <v>1335.55375</v>
      </c>
      <c r="EI63">
        <v>-4.41701625</v>
      </c>
      <c r="EJ63">
        <v>418.180125</v>
      </c>
      <c r="EK63">
        <v>422.0775625</v>
      </c>
      <c r="EL63">
        <v>1.288218125</v>
      </c>
      <c r="EM63">
        <v>420.003125</v>
      </c>
      <c r="EN63">
        <v>4.914644375</v>
      </c>
      <c r="EO63">
        <v>0.5640433125</v>
      </c>
      <c r="EP63">
        <v>0.446902125</v>
      </c>
      <c r="EQ63">
        <v>-1.155005625</v>
      </c>
      <c r="ER63">
        <v>-4.287986875</v>
      </c>
      <c r="ES63">
        <v>299.997875</v>
      </c>
      <c r="ET63">
        <v>0.9000548125</v>
      </c>
      <c r="EU63">
        <v>0.09994495</v>
      </c>
      <c r="EV63">
        <v>0</v>
      </c>
      <c r="EW63">
        <v>1224.306875</v>
      </c>
      <c r="EX63">
        <v>5.00059</v>
      </c>
      <c r="EY63">
        <v>3559.558125</v>
      </c>
      <c r="EZ63">
        <v>2506.215</v>
      </c>
      <c r="FA63">
        <v>35.8395625</v>
      </c>
      <c r="FB63">
        <v>39.702875</v>
      </c>
      <c r="FC63">
        <v>37.2926875</v>
      </c>
      <c r="FD63">
        <v>38.9373125</v>
      </c>
      <c r="FE63">
        <v>37.5270625</v>
      </c>
      <c r="FF63">
        <v>265.5125</v>
      </c>
      <c r="FG63">
        <v>29.480625</v>
      </c>
      <c r="FH63">
        <v>0</v>
      </c>
      <c r="FI63">
        <v>128.199999809265</v>
      </c>
      <c r="FJ63">
        <v>0</v>
      </c>
      <c r="FK63">
        <v>1224.3036</v>
      </c>
      <c r="FL63">
        <v>0.571538459129346</v>
      </c>
      <c r="FM63">
        <v>8.27846155048927</v>
      </c>
      <c r="FN63">
        <v>3559.6924</v>
      </c>
      <c r="FO63">
        <v>15</v>
      </c>
      <c r="FP63">
        <v>0</v>
      </c>
      <c r="FQ63" t="s">
        <v>441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-4.42555238095238</v>
      </c>
      <c r="GD63">
        <v>0.0769114285714346</v>
      </c>
      <c r="GE63">
        <v>0.0425505974335274</v>
      </c>
      <c r="GF63">
        <v>1</v>
      </c>
      <c r="GG63">
        <v>1224.28147058824</v>
      </c>
      <c r="GH63">
        <v>0.535523295799138</v>
      </c>
      <c r="GI63">
        <v>0.17324128622415</v>
      </c>
      <c r="GJ63">
        <v>-1</v>
      </c>
      <c r="GK63">
        <v>1.28692523809524</v>
      </c>
      <c r="GL63">
        <v>0.0296228571428557</v>
      </c>
      <c r="GM63">
        <v>0.00303875384710752</v>
      </c>
      <c r="GN63">
        <v>1</v>
      </c>
      <c r="GO63">
        <v>2</v>
      </c>
      <c r="GP63">
        <v>2</v>
      </c>
      <c r="GQ63" t="s">
        <v>442</v>
      </c>
      <c r="GR63">
        <v>3.1284</v>
      </c>
      <c r="GS63">
        <v>2.69619</v>
      </c>
      <c r="GT63">
        <v>0.0892075</v>
      </c>
      <c r="GU63">
        <v>0.0905508</v>
      </c>
      <c r="GV63">
        <v>0.0369186</v>
      </c>
      <c r="GW63">
        <v>0.0303096</v>
      </c>
      <c r="GX63">
        <v>34327.7</v>
      </c>
      <c r="GY63">
        <v>36771.7</v>
      </c>
      <c r="GZ63">
        <v>34094.4</v>
      </c>
      <c r="HA63">
        <v>36603.1</v>
      </c>
      <c r="HB63">
        <v>46366.9</v>
      </c>
      <c r="HC63">
        <v>50916.5</v>
      </c>
      <c r="HD63">
        <v>53114.9</v>
      </c>
      <c r="HE63">
        <v>58408.2</v>
      </c>
      <c r="HF63">
        <v>1.96602</v>
      </c>
      <c r="HG63">
        <v>2.3476</v>
      </c>
      <c r="HH63">
        <v>-0.0561029</v>
      </c>
      <c r="HI63">
        <v>0</v>
      </c>
      <c r="HJ63">
        <v>18.9028</v>
      </c>
      <c r="HK63">
        <v>999.9</v>
      </c>
      <c r="HL63">
        <v>20.187</v>
      </c>
      <c r="HM63">
        <v>29.789</v>
      </c>
      <c r="HN63">
        <v>9.34589</v>
      </c>
      <c r="HO63">
        <v>54.4464</v>
      </c>
      <c r="HP63">
        <v>32.1635</v>
      </c>
      <c r="HQ63">
        <v>2</v>
      </c>
      <c r="HR63">
        <v>-0.0267505</v>
      </c>
      <c r="HS63">
        <v>4.69417</v>
      </c>
      <c r="HT63">
        <v>20.0863</v>
      </c>
      <c r="HU63">
        <v>5.20022</v>
      </c>
      <c r="HV63">
        <v>12.004</v>
      </c>
      <c r="HW63">
        <v>4.9757</v>
      </c>
      <c r="HX63">
        <v>3.29393</v>
      </c>
      <c r="HY63">
        <v>9999</v>
      </c>
      <c r="HZ63">
        <v>9999</v>
      </c>
      <c r="IA63">
        <v>9999</v>
      </c>
      <c r="IB63">
        <v>999.9</v>
      </c>
      <c r="IC63">
        <v>1.86324</v>
      </c>
      <c r="ID63">
        <v>1.86811</v>
      </c>
      <c r="IE63">
        <v>1.86784</v>
      </c>
      <c r="IF63">
        <v>1.86905</v>
      </c>
      <c r="IG63">
        <v>1.86982</v>
      </c>
      <c r="IH63">
        <v>1.86594</v>
      </c>
      <c r="II63">
        <v>1.86701</v>
      </c>
      <c r="IJ63">
        <v>1.86843</v>
      </c>
      <c r="IK63">
        <v>5</v>
      </c>
      <c r="IL63">
        <v>0</v>
      </c>
      <c r="IM63">
        <v>0</v>
      </c>
      <c r="IN63">
        <v>0</v>
      </c>
      <c r="IO63" t="s">
        <v>443</v>
      </c>
      <c r="IP63" t="s">
        <v>444</v>
      </c>
      <c r="IQ63" t="s">
        <v>445</v>
      </c>
      <c r="IR63" t="s">
        <v>445</v>
      </c>
      <c r="IS63" t="s">
        <v>445</v>
      </c>
      <c r="IT63" t="s">
        <v>445</v>
      </c>
      <c r="IU63">
        <v>0</v>
      </c>
      <c r="IV63">
        <v>100</v>
      </c>
      <c r="IW63">
        <v>100</v>
      </c>
      <c r="IX63">
        <v>2.898</v>
      </c>
      <c r="IY63">
        <v>-0.1341</v>
      </c>
      <c r="IZ63">
        <v>1.24656194001752</v>
      </c>
      <c r="JA63">
        <v>0.00408463137630218</v>
      </c>
      <c r="JB63">
        <v>-2.23906557180379e-07</v>
      </c>
      <c r="JC63">
        <v>6.23399102760906e-11</v>
      </c>
      <c r="JD63">
        <v>-0.0873394905990972</v>
      </c>
      <c r="JE63">
        <v>-0.0233348201324191</v>
      </c>
      <c r="JF63">
        <v>0.00274696999164489</v>
      </c>
      <c r="JG63">
        <v>-3.62864435074646e-05</v>
      </c>
      <c r="JH63">
        <v>5</v>
      </c>
      <c r="JI63">
        <v>2263</v>
      </c>
      <c r="JJ63">
        <v>1</v>
      </c>
      <c r="JK63">
        <v>24</v>
      </c>
      <c r="JL63">
        <v>29361404.5</v>
      </c>
      <c r="JM63">
        <v>29361404.5</v>
      </c>
      <c r="JN63">
        <v>1.24756</v>
      </c>
      <c r="JO63">
        <v>2.61597</v>
      </c>
      <c r="JP63">
        <v>2.19849</v>
      </c>
      <c r="JQ63">
        <v>2.62817</v>
      </c>
      <c r="JR63">
        <v>2.44507</v>
      </c>
      <c r="JS63">
        <v>2.33765</v>
      </c>
      <c r="JT63">
        <v>33.2887</v>
      </c>
      <c r="JU63">
        <v>24.1926</v>
      </c>
      <c r="JV63">
        <v>18</v>
      </c>
      <c r="JW63">
        <v>500.437</v>
      </c>
      <c r="JX63">
        <v>790.223</v>
      </c>
      <c r="JY63">
        <v>12.6927</v>
      </c>
      <c r="JZ63">
        <v>26.908</v>
      </c>
      <c r="KA63">
        <v>30</v>
      </c>
      <c r="KB63">
        <v>26.8716</v>
      </c>
      <c r="KC63">
        <v>26.8082</v>
      </c>
      <c r="KD63">
        <v>25.0094</v>
      </c>
      <c r="KE63">
        <v>28.9372</v>
      </c>
      <c r="KF63">
        <v>0</v>
      </c>
      <c r="KG63">
        <v>12.699</v>
      </c>
      <c r="KH63">
        <v>420</v>
      </c>
      <c r="KI63">
        <v>4.88083</v>
      </c>
      <c r="KJ63">
        <v>96.603</v>
      </c>
      <c r="KK63">
        <v>94.6913</v>
      </c>
    </row>
    <row r="64" spans="1:297">
      <c r="A64">
        <v>48</v>
      </c>
      <c r="B64">
        <v>1761684340</v>
      </c>
      <c r="C64">
        <v>6990.90000009537</v>
      </c>
      <c r="D64" t="s">
        <v>596</v>
      </c>
      <c r="E64" t="s">
        <v>597</v>
      </c>
      <c r="F64">
        <v>5</v>
      </c>
      <c r="G64" t="s">
        <v>575</v>
      </c>
      <c r="H64" t="s">
        <v>436</v>
      </c>
      <c r="I64">
        <v>1761684331.5</v>
      </c>
      <c r="J64">
        <f>(K64)/1000</f>
        <v>0</v>
      </c>
      <c r="K64">
        <f>IF(DP64, AN64, AH64)</f>
        <v>0</v>
      </c>
      <c r="L64">
        <f>IF(DP64, AI64, AG64)</f>
        <v>0</v>
      </c>
      <c r="M64">
        <f>DR64 - IF(AU64&gt;1, L64*DL64*100.0/(AW64), 0)</f>
        <v>0</v>
      </c>
      <c r="N64">
        <f>((T64-J64/2)*M64-L64)/(T64+J64/2)</f>
        <v>0</v>
      </c>
      <c r="O64">
        <f>N64*(DY64+DZ64)/1000.0</f>
        <v>0</v>
      </c>
      <c r="P64">
        <f>(DR64 - IF(AU64&gt;1, L64*DL64*100.0/(AW64), 0))*(DY64+DZ64)/1000.0</f>
        <v>0</v>
      </c>
      <c r="Q64">
        <f>2.0/((1/S64-1/R64)+SIGN(S64)*SQRT((1/S64-1/R64)*(1/S64-1/R64) + 4*DM64/((DM64+1)*(DM64+1))*(2*1/S64*1/R64-1/R64*1/R64)))</f>
        <v>0</v>
      </c>
      <c r="R64">
        <f>IF(LEFT(DN64,1)&lt;&gt;"0",IF(LEFT(DN64,1)="1",3.0,DO64),$D$5+$E$5*(EF64*DY64/($K$5*1000))+$F$5*(EF64*DY64/($K$5*1000))*MAX(MIN(DL64,$J$5),$I$5)*MAX(MIN(DL64,$J$5),$I$5)+$G$5*MAX(MIN(DL64,$J$5),$I$5)*(EF64*DY64/($K$5*1000))+$H$5*(EF64*DY64/($K$5*1000))*(EF64*DY64/($K$5*1000)))</f>
        <v>0</v>
      </c>
      <c r="S64">
        <f>J64*(1000-(1000*0.61365*exp(17.502*W64/(240.97+W64))/(DY64+DZ64)+DT64)/2)/(1000*0.61365*exp(17.502*W64/(240.97+W64))/(DY64+DZ64)-DT64)</f>
        <v>0</v>
      </c>
      <c r="T64">
        <f>1/((DM64+1)/(Q64/1.6)+1/(R64/1.37)) + DM64/((DM64+1)/(Q64/1.6) + DM64/(R64/1.37))</f>
        <v>0</v>
      </c>
      <c r="U64">
        <f>(DH64*DK64)</f>
        <v>0</v>
      </c>
      <c r="V64">
        <f>(EA64+(U64+2*0.95*5.67E-8*(((EA64+$B$7)+273)^4-(EA64+273)^4)-44100*J64)/(1.84*29.3*R64+8*0.95*5.67E-8*(EA64+273)^3))</f>
        <v>0</v>
      </c>
      <c r="W64">
        <f>($C$7*EB64+$D$7*EC64+$E$7*V64)</f>
        <v>0</v>
      </c>
      <c r="X64">
        <f>0.61365*exp(17.502*W64/(240.97+W64))</f>
        <v>0</v>
      </c>
      <c r="Y64">
        <f>(Z64/AA64*100)</f>
        <v>0</v>
      </c>
      <c r="Z64">
        <f>DT64*(DY64+DZ64)/1000</f>
        <v>0</v>
      </c>
      <c r="AA64">
        <f>0.61365*exp(17.502*EA64/(240.97+EA64))</f>
        <v>0</v>
      </c>
      <c r="AB64">
        <f>(X64-DT64*(DY64+DZ64)/1000)</f>
        <v>0</v>
      </c>
      <c r="AC64">
        <f>(-J64*44100)</f>
        <v>0</v>
      </c>
      <c r="AD64">
        <f>2*29.3*R64*0.92*(EA64-W64)</f>
        <v>0</v>
      </c>
      <c r="AE64">
        <f>2*0.95*5.67E-8*(((EA64+$B$7)+273)^4-(W64+273)^4)</f>
        <v>0</v>
      </c>
      <c r="AF64">
        <f>U64+AE64+AC64+AD64</f>
        <v>0</v>
      </c>
      <c r="AG64">
        <f>DX64*AU64*(DS64-DR64*(1000-AU64*DU64)/(1000-AU64*DT64))/(100*DL64)</f>
        <v>0</v>
      </c>
      <c r="AH64">
        <f>1000*DX64*AU64*(DT64-DU64)/(100*DL64*(1000-AU64*DT64))</f>
        <v>0</v>
      </c>
      <c r="AI64">
        <f>(AJ64 - AK64 - DY64*1E3/(8.314*(EA64+273.15)) * AM64/DX64 * AL64) * DX64/(100*DL64) * (1000 - DU64)/1000</f>
        <v>0</v>
      </c>
      <c r="AJ64">
        <v>422.073596407552</v>
      </c>
      <c r="AK64">
        <v>418.948872727273</v>
      </c>
      <c r="AL64">
        <v>0.00109484129701022</v>
      </c>
      <c r="AM64">
        <v>64.2372859999495</v>
      </c>
      <c r="AN64">
        <f>(AP64 - AO64 + DY64*1E3/(8.314*(EA64+273.15)) * AR64/DX64 * AQ64) * DX64/(100*DL64) * 1000/(1000 - AP64)</f>
        <v>0</v>
      </c>
      <c r="AO64">
        <v>4.90824656742979</v>
      </c>
      <c r="AP64">
        <v>6.21528265734266</v>
      </c>
      <c r="AQ64">
        <v>2.55758655266602e-06</v>
      </c>
      <c r="AR64">
        <v>108.956490973995</v>
      </c>
      <c r="AS64">
        <v>0</v>
      </c>
      <c r="AT64">
        <v>0</v>
      </c>
      <c r="AU64">
        <f>IF(AS64*$H$13&gt;=AW64,1.0,(AW64/(AW64-AS64*$H$13)))</f>
        <v>0</v>
      </c>
      <c r="AV64">
        <f>(AU64-1)*100</f>
        <v>0</v>
      </c>
      <c r="AW64">
        <f>MAX(0,($B$13+$C$13*EF64)/(1+$D$13*EF64)*DY64/(EA64+273)*$E$13)</f>
        <v>0</v>
      </c>
      <c r="AX64" t="s">
        <v>448</v>
      </c>
      <c r="AY64" t="s">
        <v>448</v>
      </c>
      <c r="AZ64">
        <v>0</v>
      </c>
      <c r="BA64">
        <v>0</v>
      </c>
      <c r="BB64">
        <f>1-AZ64/BA64</f>
        <v>0</v>
      </c>
      <c r="BC64">
        <v>0</v>
      </c>
      <c r="BD64" t="s">
        <v>448</v>
      </c>
      <c r="BE64" t="s">
        <v>448</v>
      </c>
      <c r="BF64">
        <v>0</v>
      </c>
      <c r="BG64">
        <v>0</v>
      </c>
      <c r="BH64">
        <f>1-BF64/BG64</f>
        <v>0</v>
      </c>
      <c r="BI64">
        <v>0.5</v>
      </c>
      <c r="BJ64">
        <f>DI64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448</v>
      </c>
      <c r="BQ64">
        <v>0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BZ64">
        <v>53</v>
      </c>
      <c r="CA64">
        <v>290</v>
      </c>
      <c r="CB64">
        <v>1516.8</v>
      </c>
      <c r="CC64">
        <v>235</v>
      </c>
      <c r="CD64">
        <v>5135.72</v>
      </c>
      <c r="CE64">
        <v>1515.76</v>
      </c>
      <c r="CF64">
        <v>1.04</v>
      </c>
      <c r="CG64">
        <v>300</v>
      </c>
      <c r="CH64">
        <v>23.8</v>
      </c>
      <c r="CI64">
        <v>1542.10646033256</v>
      </c>
      <c r="CJ64">
        <v>1.71050354902386</v>
      </c>
      <c r="CK64">
        <v>-13.5307815493735</v>
      </c>
      <c r="CL64">
        <v>0.768597349418863</v>
      </c>
      <c r="CM64">
        <v>0.917139870993036</v>
      </c>
      <c r="CN64">
        <v>-0.00399364649610678</v>
      </c>
      <c r="CO64">
        <v>290</v>
      </c>
      <c r="CP64">
        <v>1513.56</v>
      </c>
      <c r="CQ64">
        <v>615</v>
      </c>
      <c r="CR64">
        <v>5135.02</v>
      </c>
      <c r="CS64">
        <v>1515.76</v>
      </c>
      <c r="CT64">
        <v>-2.2</v>
      </c>
      <c r="DH64">
        <f>$B$11*EG64+$C$11*EH64+$F$11*ES64*(1-EV64)</f>
        <v>0</v>
      </c>
      <c r="DI64">
        <f>DH64*DJ64</f>
        <v>0</v>
      </c>
      <c r="DJ64">
        <f>($B$11*$D$9+$C$11*$D$9+$F$11*((FF64+EX64)/MAX(FF64+EX64+FG64, 0.1)*$I$9+FG64/MAX(FF64+EX64+FG64, 0.1)*$J$9))/($B$11+$C$11+$F$11)</f>
        <v>0</v>
      </c>
      <c r="DK64">
        <f>($B$11*$K$9+$C$11*$K$9+$F$11*((FF64+EX64)/MAX(FF64+EX64+FG64, 0.1)*$P$9+FG64/MAX(FF64+EX64+FG64, 0.1)*$Q$9))/($B$11+$C$11+$F$11)</f>
        <v>0</v>
      </c>
      <c r="DL64">
        <v>6</v>
      </c>
      <c r="DM64">
        <v>0.5</v>
      </c>
      <c r="DN64" t="s">
        <v>440</v>
      </c>
      <c r="DO64">
        <v>2</v>
      </c>
      <c r="DP64" t="b">
        <v>1</v>
      </c>
      <c r="DQ64">
        <v>1761684331.5</v>
      </c>
      <c r="DR64">
        <v>416.305875</v>
      </c>
      <c r="DS64">
        <v>420.011875</v>
      </c>
      <c r="DT64">
        <v>6.212774375</v>
      </c>
      <c r="DU64">
        <v>4.90848625</v>
      </c>
      <c r="DV64">
        <v>413.4045</v>
      </c>
      <c r="DW64">
        <v>6.346839375</v>
      </c>
      <c r="DX64">
        <v>499.9188125</v>
      </c>
      <c r="DY64">
        <v>90.936875</v>
      </c>
      <c r="DZ64">
        <v>0.019584725</v>
      </c>
      <c r="EA64">
        <v>18.6085875</v>
      </c>
      <c r="EB64">
        <v>17.98904375</v>
      </c>
      <c r="EC64">
        <v>999.9</v>
      </c>
      <c r="ED64">
        <v>0</v>
      </c>
      <c r="EE64">
        <v>0</v>
      </c>
      <c r="EF64">
        <v>9982.2625</v>
      </c>
      <c r="EG64">
        <v>0</v>
      </c>
      <c r="EH64">
        <v>1335.583125</v>
      </c>
      <c r="EI64">
        <v>-3.7061675</v>
      </c>
      <c r="EJ64">
        <v>418.908375</v>
      </c>
      <c r="EK64">
        <v>422.0836875</v>
      </c>
      <c r="EL64">
        <v>1.30428875</v>
      </c>
      <c r="EM64">
        <v>420.011875</v>
      </c>
      <c r="EN64">
        <v>4.90848625</v>
      </c>
      <c r="EO64">
        <v>0.5649701875</v>
      </c>
      <c r="EP64">
        <v>0.4463623125</v>
      </c>
      <c r="EQ64">
        <v>-1.13261125</v>
      </c>
      <c r="ER64">
        <v>-4.30403875</v>
      </c>
      <c r="ES64">
        <v>149.9236875</v>
      </c>
      <c r="ET64">
        <v>0.899967875</v>
      </c>
      <c r="EU64">
        <v>0.1000321375</v>
      </c>
      <c r="EV64">
        <v>0</v>
      </c>
      <c r="EW64">
        <v>1027.080625</v>
      </c>
      <c r="EX64">
        <v>5.00059</v>
      </c>
      <c r="EY64">
        <v>1510.72375</v>
      </c>
      <c r="EZ64">
        <v>1231.19375</v>
      </c>
      <c r="FA64">
        <v>36.23425</v>
      </c>
      <c r="FB64">
        <v>41.058375</v>
      </c>
      <c r="FC64">
        <v>38.01925</v>
      </c>
      <c r="FD64">
        <v>40.6755</v>
      </c>
      <c r="FE64">
        <v>38.1286875</v>
      </c>
      <c r="FF64">
        <v>130.425625</v>
      </c>
      <c r="FG64">
        <v>14.4975</v>
      </c>
      <c r="FH64">
        <v>0</v>
      </c>
      <c r="FI64">
        <v>67</v>
      </c>
      <c r="FJ64">
        <v>0</v>
      </c>
      <c r="FK64">
        <v>1027.1688</v>
      </c>
      <c r="FL64">
        <v>-0.429999973311178</v>
      </c>
      <c r="FM64">
        <v>-0.666922954872162</v>
      </c>
      <c r="FN64">
        <v>1511.4896</v>
      </c>
      <c r="FO64">
        <v>15</v>
      </c>
      <c r="FP64">
        <v>0</v>
      </c>
      <c r="FQ64" t="s">
        <v>441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-3.7189775</v>
      </c>
      <c r="GD64">
        <v>0.314639548872184</v>
      </c>
      <c r="GE64">
        <v>0.0377680294528322</v>
      </c>
      <c r="GF64">
        <v>1</v>
      </c>
      <c r="GG64">
        <v>1027.22676470588</v>
      </c>
      <c r="GH64">
        <v>-1.11611916463217</v>
      </c>
      <c r="GI64">
        <v>0.250114333717212</v>
      </c>
      <c r="GJ64">
        <v>-1</v>
      </c>
      <c r="GK64">
        <v>1.303462</v>
      </c>
      <c r="GL64">
        <v>0.0149990977443587</v>
      </c>
      <c r="GM64">
        <v>0.00149890826937474</v>
      </c>
      <c r="GN64">
        <v>1</v>
      </c>
      <c r="GO64">
        <v>2</v>
      </c>
      <c r="GP64">
        <v>2</v>
      </c>
      <c r="GQ64" t="s">
        <v>442</v>
      </c>
      <c r="GR64">
        <v>3.12859</v>
      </c>
      <c r="GS64">
        <v>2.69776</v>
      </c>
      <c r="GT64">
        <v>0.0893383</v>
      </c>
      <c r="GU64">
        <v>0.0905535</v>
      </c>
      <c r="GV64">
        <v>0.036978</v>
      </c>
      <c r="GW64">
        <v>0.0302762</v>
      </c>
      <c r="GX64">
        <v>34324.1</v>
      </c>
      <c r="GY64">
        <v>36773.8</v>
      </c>
      <c r="GZ64">
        <v>34095.6</v>
      </c>
      <c r="HA64">
        <v>36605.1</v>
      </c>
      <c r="HB64">
        <v>46365.2</v>
      </c>
      <c r="HC64">
        <v>50921.1</v>
      </c>
      <c r="HD64">
        <v>53116.2</v>
      </c>
      <c r="HE64">
        <v>58411.4</v>
      </c>
      <c r="HF64">
        <v>1.96695</v>
      </c>
      <c r="HG64">
        <v>2.34795</v>
      </c>
      <c r="HH64">
        <v>-0.0578389</v>
      </c>
      <c r="HI64">
        <v>0</v>
      </c>
      <c r="HJ64">
        <v>18.9588</v>
      </c>
      <c r="HK64">
        <v>999.9</v>
      </c>
      <c r="HL64">
        <v>20.132</v>
      </c>
      <c r="HM64">
        <v>29.789</v>
      </c>
      <c r="HN64">
        <v>9.31899</v>
      </c>
      <c r="HO64">
        <v>55.5464</v>
      </c>
      <c r="HP64">
        <v>32.3878</v>
      </c>
      <c r="HQ64">
        <v>2</v>
      </c>
      <c r="HR64">
        <v>-0.0283181</v>
      </c>
      <c r="HS64">
        <v>4.91757</v>
      </c>
      <c r="HT64">
        <v>20.081</v>
      </c>
      <c r="HU64">
        <v>5.19887</v>
      </c>
      <c r="HV64">
        <v>12.004</v>
      </c>
      <c r="HW64">
        <v>4.9758</v>
      </c>
      <c r="HX64">
        <v>3.294</v>
      </c>
      <c r="HY64">
        <v>9999</v>
      </c>
      <c r="HZ64">
        <v>9999</v>
      </c>
      <c r="IA64">
        <v>9999</v>
      </c>
      <c r="IB64">
        <v>999.9</v>
      </c>
      <c r="IC64">
        <v>1.86325</v>
      </c>
      <c r="ID64">
        <v>1.86813</v>
      </c>
      <c r="IE64">
        <v>1.86785</v>
      </c>
      <c r="IF64">
        <v>1.86905</v>
      </c>
      <c r="IG64">
        <v>1.86982</v>
      </c>
      <c r="IH64">
        <v>1.86592</v>
      </c>
      <c r="II64">
        <v>1.86699</v>
      </c>
      <c r="IJ64">
        <v>1.86844</v>
      </c>
      <c r="IK64">
        <v>5</v>
      </c>
      <c r="IL64">
        <v>0</v>
      </c>
      <c r="IM64">
        <v>0</v>
      </c>
      <c r="IN64">
        <v>0</v>
      </c>
      <c r="IO64" t="s">
        <v>443</v>
      </c>
      <c r="IP64" t="s">
        <v>444</v>
      </c>
      <c r="IQ64" t="s">
        <v>445</v>
      </c>
      <c r="IR64" t="s">
        <v>445</v>
      </c>
      <c r="IS64" t="s">
        <v>445</v>
      </c>
      <c r="IT64" t="s">
        <v>445</v>
      </c>
      <c r="IU64">
        <v>0</v>
      </c>
      <c r="IV64">
        <v>100</v>
      </c>
      <c r="IW64">
        <v>100</v>
      </c>
      <c r="IX64">
        <v>2.901</v>
      </c>
      <c r="IY64">
        <v>-0.134</v>
      </c>
      <c r="IZ64">
        <v>1.24656194001752</v>
      </c>
      <c r="JA64">
        <v>0.00408463137630218</v>
      </c>
      <c r="JB64">
        <v>-2.23906557180379e-07</v>
      </c>
      <c r="JC64">
        <v>6.23399102760906e-11</v>
      </c>
      <c r="JD64">
        <v>-0.0873394905990972</v>
      </c>
      <c r="JE64">
        <v>-0.0233348201324191</v>
      </c>
      <c r="JF64">
        <v>0.00274696999164489</v>
      </c>
      <c r="JG64">
        <v>-3.62864435074646e-05</v>
      </c>
      <c r="JH64">
        <v>5</v>
      </c>
      <c r="JI64">
        <v>2263</v>
      </c>
      <c r="JJ64">
        <v>1</v>
      </c>
      <c r="JK64">
        <v>24</v>
      </c>
      <c r="JL64">
        <v>29361405.7</v>
      </c>
      <c r="JM64">
        <v>29361405.7</v>
      </c>
      <c r="JN64">
        <v>1.24878</v>
      </c>
      <c r="JO64">
        <v>2.61108</v>
      </c>
      <c r="JP64">
        <v>2.19849</v>
      </c>
      <c r="JQ64">
        <v>2.62817</v>
      </c>
      <c r="JR64">
        <v>2.44507</v>
      </c>
      <c r="JS64">
        <v>2.33154</v>
      </c>
      <c r="JT64">
        <v>33.2887</v>
      </c>
      <c r="JU64">
        <v>24.1926</v>
      </c>
      <c r="JV64">
        <v>18</v>
      </c>
      <c r="JW64">
        <v>500.868</v>
      </c>
      <c r="JX64">
        <v>790.304</v>
      </c>
      <c r="JY64">
        <v>12.6985</v>
      </c>
      <c r="JZ64">
        <v>26.8768</v>
      </c>
      <c r="KA64">
        <v>30</v>
      </c>
      <c r="KB64">
        <v>26.8526</v>
      </c>
      <c r="KC64">
        <v>26.7913</v>
      </c>
      <c r="KD64">
        <v>25.0095</v>
      </c>
      <c r="KE64">
        <v>28.9372</v>
      </c>
      <c r="KF64">
        <v>0</v>
      </c>
      <c r="KG64">
        <v>12.6944</v>
      </c>
      <c r="KH64">
        <v>420</v>
      </c>
      <c r="KI64">
        <v>4.88083</v>
      </c>
      <c r="KJ64">
        <v>96.6057</v>
      </c>
      <c r="KK64">
        <v>94.6964</v>
      </c>
    </row>
    <row r="65" spans="1:297">
      <c r="A65">
        <v>49</v>
      </c>
      <c r="B65">
        <v>1761684445</v>
      </c>
      <c r="C65">
        <v>7095.90000009537</v>
      </c>
      <c r="D65" t="s">
        <v>598</v>
      </c>
      <c r="E65" t="s">
        <v>599</v>
      </c>
      <c r="F65">
        <v>5</v>
      </c>
      <c r="G65" t="s">
        <v>575</v>
      </c>
      <c r="H65" t="s">
        <v>436</v>
      </c>
      <c r="I65">
        <v>1761684436.5</v>
      </c>
      <c r="J65">
        <f>(K65)/1000</f>
        <v>0</v>
      </c>
      <c r="K65">
        <f>IF(DP65, AN65, AH65)</f>
        <v>0</v>
      </c>
      <c r="L65">
        <f>IF(DP65, AI65, AG65)</f>
        <v>0</v>
      </c>
      <c r="M65">
        <f>DR65 - IF(AU65&gt;1, L65*DL65*100.0/(AW65), 0)</f>
        <v>0</v>
      </c>
      <c r="N65">
        <f>((T65-J65/2)*M65-L65)/(T65+J65/2)</f>
        <v>0</v>
      </c>
      <c r="O65">
        <f>N65*(DY65+DZ65)/1000.0</f>
        <v>0</v>
      </c>
      <c r="P65">
        <f>(DR65 - IF(AU65&gt;1, L65*DL65*100.0/(AW65), 0))*(DY65+DZ65)/1000.0</f>
        <v>0</v>
      </c>
      <c r="Q65">
        <f>2.0/((1/S65-1/R65)+SIGN(S65)*SQRT((1/S65-1/R65)*(1/S65-1/R65) + 4*DM65/((DM65+1)*(DM65+1))*(2*1/S65*1/R65-1/R65*1/R65)))</f>
        <v>0</v>
      </c>
      <c r="R65">
        <f>IF(LEFT(DN65,1)&lt;&gt;"0",IF(LEFT(DN65,1)="1",3.0,DO65),$D$5+$E$5*(EF65*DY65/($K$5*1000))+$F$5*(EF65*DY65/($K$5*1000))*MAX(MIN(DL65,$J$5),$I$5)*MAX(MIN(DL65,$J$5),$I$5)+$G$5*MAX(MIN(DL65,$J$5),$I$5)*(EF65*DY65/($K$5*1000))+$H$5*(EF65*DY65/($K$5*1000))*(EF65*DY65/($K$5*1000)))</f>
        <v>0</v>
      </c>
      <c r="S65">
        <f>J65*(1000-(1000*0.61365*exp(17.502*W65/(240.97+W65))/(DY65+DZ65)+DT65)/2)/(1000*0.61365*exp(17.502*W65/(240.97+W65))/(DY65+DZ65)-DT65)</f>
        <v>0</v>
      </c>
      <c r="T65">
        <f>1/((DM65+1)/(Q65/1.6)+1/(R65/1.37)) + DM65/((DM65+1)/(Q65/1.6) + DM65/(R65/1.37))</f>
        <v>0</v>
      </c>
      <c r="U65">
        <f>(DH65*DK65)</f>
        <v>0</v>
      </c>
      <c r="V65">
        <f>(EA65+(U65+2*0.95*5.67E-8*(((EA65+$B$7)+273)^4-(EA65+273)^4)-44100*J65)/(1.84*29.3*R65+8*0.95*5.67E-8*(EA65+273)^3))</f>
        <v>0</v>
      </c>
      <c r="W65">
        <f>($C$7*EB65+$D$7*EC65+$E$7*V65)</f>
        <v>0</v>
      </c>
      <c r="X65">
        <f>0.61365*exp(17.502*W65/(240.97+W65))</f>
        <v>0</v>
      </c>
      <c r="Y65">
        <f>(Z65/AA65*100)</f>
        <v>0</v>
      </c>
      <c r="Z65">
        <f>DT65*(DY65+DZ65)/1000</f>
        <v>0</v>
      </c>
      <c r="AA65">
        <f>0.61365*exp(17.502*EA65/(240.97+EA65))</f>
        <v>0</v>
      </c>
      <c r="AB65">
        <f>(X65-DT65*(DY65+DZ65)/1000)</f>
        <v>0</v>
      </c>
      <c r="AC65">
        <f>(-J65*44100)</f>
        <v>0</v>
      </c>
      <c r="AD65">
        <f>2*29.3*R65*0.92*(EA65-W65)</f>
        <v>0</v>
      </c>
      <c r="AE65">
        <f>2*0.95*5.67E-8*(((EA65+$B$7)+273)^4-(W65+273)^4)</f>
        <v>0</v>
      </c>
      <c r="AF65">
        <f>U65+AE65+AC65+AD65</f>
        <v>0</v>
      </c>
      <c r="AG65">
        <f>DX65*AU65*(DS65-DR65*(1000-AU65*DU65)/(1000-AU65*DT65))/(100*DL65)</f>
        <v>0</v>
      </c>
      <c r="AH65">
        <f>1000*DX65*AU65*(DT65-DU65)/(100*DL65*(1000-AU65*DT65))</f>
        <v>0</v>
      </c>
      <c r="AI65">
        <f>(AJ65 - AK65 - DY65*1E3/(8.314*(EA65+273.15)) * AM65/DX65 * AL65) * DX65/(100*DL65) * (1000 - DU65)/1000</f>
        <v>0</v>
      </c>
      <c r="AJ65">
        <v>422.06300076769</v>
      </c>
      <c r="AK65">
        <v>420.973175757576</v>
      </c>
      <c r="AL65">
        <v>0.0214782066040361</v>
      </c>
      <c r="AM65">
        <v>64.2372859999495</v>
      </c>
      <c r="AN65">
        <f>(AP65 - AO65 + DY65*1E3/(8.314*(EA65+273.15)) * AR65/DX65 * AQ65) * DX65/(100*DL65) * 1000/(1000 - AP65)</f>
        <v>0</v>
      </c>
      <c r="AO65">
        <v>4.89592579229558</v>
      </c>
      <c r="AP65">
        <v>6.23275916083916</v>
      </c>
      <c r="AQ65">
        <v>2.17192418680871e-06</v>
      </c>
      <c r="AR65">
        <v>108.956490973995</v>
      </c>
      <c r="AS65">
        <v>0</v>
      </c>
      <c r="AT65">
        <v>0</v>
      </c>
      <c r="AU65">
        <f>IF(AS65*$H$13&gt;=AW65,1.0,(AW65/(AW65-AS65*$H$13)))</f>
        <v>0</v>
      </c>
      <c r="AV65">
        <f>(AU65-1)*100</f>
        <v>0</v>
      </c>
      <c r="AW65">
        <f>MAX(0,($B$13+$C$13*EF65)/(1+$D$13*EF65)*DY65/(EA65+273)*$E$13)</f>
        <v>0</v>
      </c>
      <c r="AX65" t="s">
        <v>572</v>
      </c>
      <c r="AY65">
        <v>5110.91</v>
      </c>
      <c r="AZ65">
        <v>714.823076923077</v>
      </c>
      <c r="BA65">
        <v>1930.46444768955</v>
      </c>
      <c r="BB65">
        <f>1-AZ65/BA65</f>
        <v>0</v>
      </c>
      <c r="BC65">
        <v>-0.797918103269906</v>
      </c>
      <c r="BD65" t="s">
        <v>600</v>
      </c>
      <c r="BE65">
        <v>5110.96</v>
      </c>
      <c r="BF65">
        <v>886.476423076923</v>
      </c>
      <c r="BG65">
        <v>1573.48949885244</v>
      </c>
      <c r="BH65">
        <f>1-BF65/BG65</f>
        <v>0</v>
      </c>
      <c r="BI65">
        <v>0.5</v>
      </c>
      <c r="BJ65">
        <f>DI65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601</v>
      </c>
      <c r="BQ65">
        <v>812.8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BZ65">
        <v>55</v>
      </c>
      <c r="CA65">
        <v>290</v>
      </c>
      <c r="CB65">
        <v>1547.17</v>
      </c>
      <c r="CC65">
        <v>295</v>
      </c>
      <c r="CD65">
        <v>5110.96</v>
      </c>
      <c r="CE65">
        <v>1547.55</v>
      </c>
      <c r="CF65">
        <v>-0.38</v>
      </c>
      <c r="CG65">
        <v>300</v>
      </c>
      <c r="CH65">
        <v>23.9</v>
      </c>
      <c r="CI65">
        <v>1573.48949885244</v>
      </c>
      <c r="CJ65">
        <v>1.32540387964815</v>
      </c>
      <c r="CK65">
        <v>-13.2571438874247</v>
      </c>
      <c r="CL65">
        <v>0.587952269650931</v>
      </c>
      <c r="CM65">
        <v>0.947801317450015</v>
      </c>
      <c r="CN65">
        <v>-0.00418396262513905</v>
      </c>
      <c r="CO65">
        <v>290</v>
      </c>
      <c r="CP65">
        <v>1544.95</v>
      </c>
      <c r="CQ65">
        <v>765</v>
      </c>
      <c r="CR65">
        <v>5109.55</v>
      </c>
      <c r="CS65">
        <v>1547.54</v>
      </c>
      <c r="CT65">
        <v>-2.59</v>
      </c>
      <c r="DH65">
        <f>$B$11*EG65+$C$11*EH65+$F$11*ES65*(1-EV65)</f>
        <v>0</v>
      </c>
      <c r="DI65">
        <f>DH65*DJ65</f>
        <v>0</v>
      </c>
      <c r="DJ65">
        <f>($B$11*$D$9+$C$11*$D$9+$F$11*((FF65+EX65)/MAX(FF65+EX65+FG65, 0.1)*$I$9+FG65/MAX(FF65+EX65+FG65, 0.1)*$J$9))/($B$11+$C$11+$F$11)</f>
        <v>0</v>
      </c>
      <c r="DK65">
        <f>($B$11*$K$9+$C$11*$K$9+$F$11*((FF65+EX65)/MAX(FF65+EX65+FG65, 0.1)*$P$9+FG65/MAX(FF65+EX65+FG65, 0.1)*$Q$9))/($B$11+$C$11+$F$11)</f>
        <v>0</v>
      </c>
      <c r="DL65">
        <v>6</v>
      </c>
      <c r="DM65">
        <v>0.5</v>
      </c>
      <c r="DN65" t="s">
        <v>440</v>
      </c>
      <c r="DO65">
        <v>2</v>
      </c>
      <c r="DP65" t="b">
        <v>1</v>
      </c>
      <c r="DQ65">
        <v>1761684436.5</v>
      </c>
      <c r="DR65">
        <v>418.2638125</v>
      </c>
      <c r="DS65">
        <v>419.994625</v>
      </c>
      <c r="DT65">
        <v>6.2305375</v>
      </c>
      <c r="DU65">
        <v>4.8965925</v>
      </c>
      <c r="DV65">
        <v>415.354875</v>
      </c>
      <c r="DW65">
        <v>6.364475</v>
      </c>
      <c r="DX65">
        <v>499.97775</v>
      </c>
      <c r="DY65">
        <v>90.933775</v>
      </c>
      <c r="DZ65">
        <v>0.01976323125</v>
      </c>
      <c r="EA65">
        <v>18.6721875</v>
      </c>
      <c r="EB65">
        <v>18.01946875</v>
      </c>
      <c r="EC65">
        <v>999.9</v>
      </c>
      <c r="ED65">
        <v>0</v>
      </c>
      <c r="EE65">
        <v>0</v>
      </c>
      <c r="EF65">
        <v>9995.070625</v>
      </c>
      <c r="EG65">
        <v>0</v>
      </c>
      <c r="EH65">
        <v>1335.68125</v>
      </c>
      <c r="EI65">
        <v>-1.73088375</v>
      </c>
      <c r="EJ65">
        <v>420.8861875</v>
      </c>
      <c r="EK65">
        <v>422.0615</v>
      </c>
      <c r="EL65">
        <v>1.333943125</v>
      </c>
      <c r="EM65">
        <v>419.994625</v>
      </c>
      <c r="EN65">
        <v>4.8965925</v>
      </c>
      <c r="EO65">
        <v>0.566566375</v>
      </c>
      <c r="EP65">
        <v>0.4452658125</v>
      </c>
      <c r="EQ65">
        <v>-1.0941275</v>
      </c>
      <c r="ER65">
        <v>-4.336701875</v>
      </c>
      <c r="ES65">
        <v>50.0123</v>
      </c>
      <c r="ET65">
        <v>0.89995225</v>
      </c>
      <c r="EU65">
        <v>0.100047775</v>
      </c>
      <c r="EV65">
        <v>0</v>
      </c>
      <c r="EW65">
        <v>886.4475</v>
      </c>
      <c r="EX65">
        <v>5.00059</v>
      </c>
      <c r="EY65">
        <v>441.5564375</v>
      </c>
      <c r="EZ65">
        <v>382.395</v>
      </c>
      <c r="FA65">
        <v>36.1364375</v>
      </c>
      <c r="FB65">
        <v>40.820125</v>
      </c>
      <c r="FC65">
        <v>37.9919375</v>
      </c>
      <c r="FD65">
        <v>40.581875</v>
      </c>
      <c r="FE65">
        <v>37.859125</v>
      </c>
      <c r="FF65">
        <v>40.50875</v>
      </c>
      <c r="FG65">
        <v>4.5</v>
      </c>
      <c r="FH65">
        <v>0</v>
      </c>
      <c r="FI65">
        <v>172</v>
      </c>
      <c r="FJ65">
        <v>0</v>
      </c>
      <c r="FK65">
        <v>886.476423076923</v>
      </c>
      <c r="FL65">
        <v>0.758803420601662</v>
      </c>
      <c r="FM65">
        <v>-4.74519663259149</v>
      </c>
      <c r="FN65">
        <v>441.4355</v>
      </c>
      <c r="FO65">
        <v>15</v>
      </c>
      <c r="FP65">
        <v>0</v>
      </c>
      <c r="FQ65" t="s">
        <v>441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-1.75979285714286</v>
      </c>
      <c r="GD65">
        <v>0.40735090909091</v>
      </c>
      <c r="GE65">
        <v>0.0547194716055365</v>
      </c>
      <c r="GF65">
        <v>1</v>
      </c>
      <c r="GG65">
        <v>886.337911764706</v>
      </c>
      <c r="GH65">
        <v>1.81242169724331</v>
      </c>
      <c r="GI65">
        <v>0.236187284566731</v>
      </c>
      <c r="GJ65">
        <v>-1</v>
      </c>
      <c r="GK65">
        <v>1.33283380952381</v>
      </c>
      <c r="GL65">
        <v>0.019737662337661</v>
      </c>
      <c r="GM65">
        <v>0.00201618091636845</v>
      </c>
      <c r="GN65">
        <v>1</v>
      </c>
      <c r="GO65">
        <v>2</v>
      </c>
      <c r="GP65">
        <v>2</v>
      </c>
      <c r="GQ65" t="s">
        <v>442</v>
      </c>
      <c r="GR65">
        <v>3.12852</v>
      </c>
      <c r="GS65">
        <v>2.69777</v>
      </c>
      <c r="GT65">
        <v>0.089674</v>
      </c>
      <c r="GU65">
        <v>0.0905535</v>
      </c>
      <c r="GV65">
        <v>0.0370587</v>
      </c>
      <c r="GW65">
        <v>0.0302182</v>
      </c>
      <c r="GX65">
        <v>34314</v>
      </c>
      <c r="GY65">
        <v>36776.7</v>
      </c>
      <c r="GZ65">
        <v>34097.8</v>
      </c>
      <c r="HA65">
        <v>36607.8</v>
      </c>
      <c r="HB65">
        <v>46363.9</v>
      </c>
      <c r="HC65">
        <v>50928.3</v>
      </c>
      <c r="HD65">
        <v>53119.1</v>
      </c>
      <c r="HE65">
        <v>58415.9</v>
      </c>
      <c r="HF65">
        <v>1.96705</v>
      </c>
      <c r="HG65">
        <v>2.34833</v>
      </c>
      <c r="HH65">
        <v>-0.0603274</v>
      </c>
      <c r="HI65">
        <v>0</v>
      </c>
      <c r="HJ65">
        <v>19.0237</v>
      </c>
      <c r="HK65">
        <v>999.9</v>
      </c>
      <c r="HL65">
        <v>20.083</v>
      </c>
      <c r="HM65">
        <v>29.829</v>
      </c>
      <c r="HN65">
        <v>9.31777</v>
      </c>
      <c r="HO65">
        <v>55.6364</v>
      </c>
      <c r="HP65">
        <v>32.4639</v>
      </c>
      <c r="HQ65">
        <v>2</v>
      </c>
      <c r="HR65">
        <v>-0.0296468</v>
      </c>
      <c r="HS65">
        <v>5.30332</v>
      </c>
      <c r="HT65">
        <v>20.0685</v>
      </c>
      <c r="HU65">
        <v>5.20022</v>
      </c>
      <c r="HV65">
        <v>12.0041</v>
      </c>
      <c r="HW65">
        <v>4.97575</v>
      </c>
      <c r="HX65">
        <v>3.29398</v>
      </c>
      <c r="HY65">
        <v>9999</v>
      </c>
      <c r="HZ65">
        <v>9999</v>
      </c>
      <c r="IA65">
        <v>9999</v>
      </c>
      <c r="IB65">
        <v>999.9</v>
      </c>
      <c r="IC65">
        <v>1.86324</v>
      </c>
      <c r="ID65">
        <v>1.86813</v>
      </c>
      <c r="IE65">
        <v>1.86783</v>
      </c>
      <c r="IF65">
        <v>1.86903</v>
      </c>
      <c r="IG65">
        <v>1.86982</v>
      </c>
      <c r="IH65">
        <v>1.86592</v>
      </c>
      <c r="II65">
        <v>1.86699</v>
      </c>
      <c r="IJ65">
        <v>1.86843</v>
      </c>
      <c r="IK65">
        <v>5</v>
      </c>
      <c r="IL65">
        <v>0</v>
      </c>
      <c r="IM65">
        <v>0</v>
      </c>
      <c r="IN65">
        <v>0</v>
      </c>
      <c r="IO65" t="s">
        <v>443</v>
      </c>
      <c r="IP65" t="s">
        <v>444</v>
      </c>
      <c r="IQ65" t="s">
        <v>445</v>
      </c>
      <c r="IR65" t="s">
        <v>445</v>
      </c>
      <c r="IS65" t="s">
        <v>445</v>
      </c>
      <c r="IT65" t="s">
        <v>445</v>
      </c>
      <c r="IU65">
        <v>0</v>
      </c>
      <c r="IV65">
        <v>100</v>
      </c>
      <c r="IW65">
        <v>100</v>
      </c>
      <c r="IX65">
        <v>2.909</v>
      </c>
      <c r="IY65">
        <v>-0.1339</v>
      </c>
      <c r="IZ65">
        <v>1.24656194001752</v>
      </c>
      <c r="JA65">
        <v>0.00408463137630218</v>
      </c>
      <c r="JB65">
        <v>-2.23906557180379e-07</v>
      </c>
      <c r="JC65">
        <v>6.23399102760906e-11</v>
      </c>
      <c r="JD65">
        <v>-0.0873394905990972</v>
      </c>
      <c r="JE65">
        <v>-0.0233348201324191</v>
      </c>
      <c r="JF65">
        <v>0.00274696999164489</v>
      </c>
      <c r="JG65">
        <v>-3.62864435074646e-05</v>
      </c>
      <c r="JH65">
        <v>5</v>
      </c>
      <c r="JI65">
        <v>2263</v>
      </c>
      <c r="JJ65">
        <v>1</v>
      </c>
      <c r="JK65">
        <v>24</v>
      </c>
      <c r="JL65">
        <v>29361407.4</v>
      </c>
      <c r="JM65">
        <v>29361407.4</v>
      </c>
      <c r="JN65">
        <v>1.24878</v>
      </c>
      <c r="JO65">
        <v>2.61841</v>
      </c>
      <c r="JP65">
        <v>2.19849</v>
      </c>
      <c r="JQ65">
        <v>2.62817</v>
      </c>
      <c r="JR65">
        <v>2.44507</v>
      </c>
      <c r="JS65">
        <v>2.31812</v>
      </c>
      <c r="JT65">
        <v>33.2663</v>
      </c>
      <c r="JU65">
        <v>24.1838</v>
      </c>
      <c r="JV65">
        <v>18</v>
      </c>
      <c r="JW65">
        <v>500.67</v>
      </c>
      <c r="JX65">
        <v>790.263</v>
      </c>
      <c r="JY65">
        <v>12.5077</v>
      </c>
      <c r="JZ65">
        <v>26.8342</v>
      </c>
      <c r="KA65">
        <v>30.0001</v>
      </c>
      <c r="KB65">
        <v>26.8234</v>
      </c>
      <c r="KC65">
        <v>26.7646</v>
      </c>
      <c r="KD65">
        <v>25.0112</v>
      </c>
      <c r="KE65">
        <v>28.9372</v>
      </c>
      <c r="KF65">
        <v>0</v>
      </c>
      <c r="KG65">
        <v>12.493</v>
      </c>
      <c r="KH65">
        <v>420</v>
      </c>
      <c r="KI65">
        <v>4.88111</v>
      </c>
      <c r="KJ65">
        <v>96.6114</v>
      </c>
      <c r="KK65">
        <v>94.7036</v>
      </c>
    </row>
    <row r="66" spans="1:297">
      <c r="A66">
        <v>50</v>
      </c>
      <c r="B66">
        <v>1761684524</v>
      </c>
      <c r="C66">
        <v>7174.90000009537</v>
      </c>
      <c r="D66" t="s">
        <v>602</v>
      </c>
      <c r="E66" t="s">
        <v>603</v>
      </c>
      <c r="F66">
        <v>5</v>
      </c>
      <c r="G66" t="s">
        <v>575</v>
      </c>
      <c r="H66" t="s">
        <v>436</v>
      </c>
      <c r="I66">
        <v>1761684516</v>
      </c>
      <c r="J66">
        <f>(K66)/1000</f>
        <v>0</v>
      </c>
      <c r="K66">
        <f>IF(DP66, AN66, AH66)</f>
        <v>0</v>
      </c>
      <c r="L66">
        <f>IF(DP66, AI66, AG66)</f>
        <v>0</v>
      </c>
      <c r="M66">
        <f>DR66 - IF(AU66&gt;1, L66*DL66*100.0/(AW66), 0)</f>
        <v>0</v>
      </c>
      <c r="N66">
        <f>((T66-J66/2)*M66-L66)/(T66+J66/2)</f>
        <v>0</v>
      </c>
      <c r="O66">
        <f>N66*(DY66+DZ66)/1000.0</f>
        <v>0</v>
      </c>
      <c r="P66">
        <f>(DR66 - IF(AU66&gt;1, L66*DL66*100.0/(AW66), 0))*(DY66+DZ66)/1000.0</f>
        <v>0</v>
      </c>
      <c r="Q66">
        <f>2.0/((1/S66-1/R66)+SIGN(S66)*SQRT((1/S66-1/R66)*(1/S66-1/R66) + 4*DM66/((DM66+1)*(DM66+1))*(2*1/S66*1/R66-1/R66*1/R66)))</f>
        <v>0</v>
      </c>
      <c r="R66">
        <f>IF(LEFT(DN66,1)&lt;&gt;"0",IF(LEFT(DN66,1)="1",3.0,DO66),$D$5+$E$5*(EF66*DY66/($K$5*1000))+$F$5*(EF66*DY66/($K$5*1000))*MAX(MIN(DL66,$J$5),$I$5)*MAX(MIN(DL66,$J$5),$I$5)+$G$5*MAX(MIN(DL66,$J$5),$I$5)*(EF66*DY66/($K$5*1000))+$H$5*(EF66*DY66/($K$5*1000))*(EF66*DY66/($K$5*1000)))</f>
        <v>0</v>
      </c>
      <c r="S66">
        <f>J66*(1000-(1000*0.61365*exp(17.502*W66/(240.97+W66))/(DY66+DZ66)+DT66)/2)/(1000*0.61365*exp(17.502*W66/(240.97+W66))/(DY66+DZ66)-DT66)</f>
        <v>0</v>
      </c>
      <c r="T66">
        <f>1/((DM66+1)/(Q66/1.6)+1/(R66/1.37)) + DM66/((DM66+1)/(Q66/1.6) + DM66/(R66/1.37))</f>
        <v>0</v>
      </c>
      <c r="U66">
        <f>(DH66*DK66)</f>
        <v>0</v>
      </c>
      <c r="V66">
        <f>(EA66+(U66+2*0.95*5.67E-8*(((EA66+$B$7)+273)^4-(EA66+273)^4)-44100*J66)/(1.84*29.3*R66+8*0.95*5.67E-8*(EA66+273)^3))</f>
        <v>0</v>
      </c>
      <c r="W66">
        <f>($C$7*EB66+$D$7*EC66+$E$7*V66)</f>
        <v>0</v>
      </c>
      <c r="X66">
        <f>0.61365*exp(17.502*W66/(240.97+W66))</f>
        <v>0</v>
      </c>
      <c r="Y66">
        <f>(Z66/AA66*100)</f>
        <v>0</v>
      </c>
      <c r="Z66">
        <f>DT66*(DY66+DZ66)/1000</f>
        <v>0</v>
      </c>
      <c r="AA66">
        <f>0.61365*exp(17.502*EA66/(240.97+EA66))</f>
        <v>0</v>
      </c>
      <c r="AB66">
        <f>(X66-DT66*(DY66+DZ66)/1000)</f>
        <v>0</v>
      </c>
      <c r="AC66">
        <f>(-J66*44100)</f>
        <v>0</v>
      </c>
      <c r="AD66">
        <f>2*29.3*R66*0.92*(EA66-W66)</f>
        <v>0</v>
      </c>
      <c r="AE66">
        <f>2*0.95*5.67E-8*(((EA66+$B$7)+273)^4-(W66+273)^4)</f>
        <v>0</v>
      </c>
      <c r="AF66">
        <f>U66+AE66+AC66+AD66</f>
        <v>0</v>
      </c>
      <c r="AG66">
        <f>DX66*AU66*(DS66-DR66*(1000-AU66*DU66)/(1000-AU66*DT66))/(100*DL66)</f>
        <v>0</v>
      </c>
      <c r="AH66">
        <f>1000*DX66*AU66*(DT66-DU66)/(100*DL66*(1000-AU66*DT66))</f>
        <v>0</v>
      </c>
      <c r="AI66">
        <f>(AJ66 - AK66 - DY66*1E3/(8.314*(EA66+273.15)) * AM66/DX66 * AL66) * DX66/(100*DL66) * (1000 - DU66)/1000</f>
        <v>0</v>
      </c>
      <c r="AJ66">
        <v>422.116492650011</v>
      </c>
      <c r="AK66">
        <v>422.210393939394</v>
      </c>
      <c r="AL66">
        <v>-0.00106705302474224</v>
      </c>
      <c r="AM66">
        <v>64.2372859999495</v>
      </c>
      <c r="AN66">
        <f>(AP66 - AO66 + DY66*1E3/(8.314*(EA66+273.15)) * AR66/DX66 * AQ66) * DX66/(100*DL66) * 1000/(1000 - AP66)</f>
        <v>0</v>
      </c>
      <c r="AO66">
        <v>4.88518678602133</v>
      </c>
      <c r="AP66">
        <v>6.23941972027972</v>
      </c>
      <c r="AQ66">
        <v>6.18925061859051e-07</v>
      </c>
      <c r="AR66">
        <v>108.956490973995</v>
      </c>
      <c r="AS66">
        <v>0</v>
      </c>
      <c r="AT66">
        <v>0</v>
      </c>
      <c r="AU66">
        <f>IF(AS66*$H$13&gt;=AW66,1.0,(AW66/(AW66-AS66*$H$13)))</f>
        <v>0</v>
      </c>
      <c r="AV66">
        <f>(AU66-1)*100</f>
        <v>0</v>
      </c>
      <c r="AW66">
        <f>MAX(0,($B$13+$C$13*EF66)/(1+$D$13*EF66)*DY66/(EA66+273)*$E$13)</f>
        <v>0</v>
      </c>
      <c r="AX66" t="s">
        <v>448</v>
      </c>
      <c r="AY66" t="s">
        <v>448</v>
      </c>
      <c r="AZ66">
        <v>0</v>
      </c>
      <c r="BA66">
        <v>0</v>
      </c>
      <c r="BB66">
        <f>1-AZ66/BA66</f>
        <v>0</v>
      </c>
      <c r="BC66">
        <v>0</v>
      </c>
      <c r="BD66" t="s">
        <v>448</v>
      </c>
      <c r="BE66" t="s">
        <v>448</v>
      </c>
      <c r="BF66">
        <v>0</v>
      </c>
      <c r="BG66">
        <v>0</v>
      </c>
      <c r="BH66">
        <f>1-BF66/BG66</f>
        <v>0</v>
      </c>
      <c r="BI66">
        <v>0.5</v>
      </c>
      <c r="BJ66">
        <f>DI66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448</v>
      </c>
      <c r="BQ66">
        <v>0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BZ66">
        <v>55</v>
      </c>
      <c r="CA66">
        <v>290</v>
      </c>
      <c r="CB66">
        <v>1547.17</v>
      </c>
      <c r="CC66">
        <v>295</v>
      </c>
      <c r="CD66">
        <v>5110.96</v>
      </c>
      <c r="CE66">
        <v>1547.55</v>
      </c>
      <c r="CF66">
        <v>-0.38</v>
      </c>
      <c r="CG66">
        <v>300</v>
      </c>
      <c r="CH66">
        <v>23.9</v>
      </c>
      <c r="CI66">
        <v>1573.48949885244</v>
      </c>
      <c r="CJ66">
        <v>1.32540387964815</v>
      </c>
      <c r="CK66">
        <v>-13.2571438874247</v>
      </c>
      <c r="CL66">
        <v>0.587952269650931</v>
      </c>
      <c r="CM66">
        <v>0.947801317450015</v>
      </c>
      <c r="CN66">
        <v>-0.00418396262513905</v>
      </c>
      <c r="CO66">
        <v>290</v>
      </c>
      <c r="CP66">
        <v>1544.95</v>
      </c>
      <c r="CQ66">
        <v>765</v>
      </c>
      <c r="CR66">
        <v>5109.55</v>
      </c>
      <c r="CS66">
        <v>1547.54</v>
      </c>
      <c r="CT66">
        <v>-2.59</v>
      </c>
      <c r="DH66">
        <f>$B$11*EG66+$C$11*EH66+$F$11*ES66*(1-EV66)</f>
        <v>0</v>
      </c>
      <c r="DI66">
        <f>DH66*DJ66</f>
        <v>0</v>
      </c>
      <c r="DJ66">
        <f>($B$11*$D$9+$C$11*$D$9+$F$11*((FF66+EX66)/MAX(FF66+EX66+FG66, 0.1)*$I$9+FG66/MAX(FF66+EX66+FG66, 0.1)*$J$9))/($B$11+$C$11+$F$11)</f>
        <v>0</v>
      </c>
      <c r="DK66">
        <f>($B$11*$K$9+$C$11*$K$9+$F$11*((FF66+EX66)/MAX(FF66+EX66+FG66, 0.1)*$P$9+FG66/MAX(FF66+EX66+FG66, 0.1)*$Q$9))/($B$11+$C$11+$F$11)</f>
        <v>0</v>
      </c>
      <c r="DL66">
        <v>6</v>
      </c>
      <c r="DM66">
        <v>0.5</v>
      </c>
      <c r="DN66" t="s">
        <v>440</v>
      </c>
      <c r="DO66">
        <v>2</v>
      </c>
      <c r="DP66" t="b">
        <v>1</v>
      </c>
      <c r="DQ66">
        <v>1761684516</v>
      </c>
      <c r="DR66">
        <v>419.527933333333</v>
      </c>
      <c r="DS66">
        <v>420.009466666667</v>
      </c>
      <c r="DT66">
        <v>6.23892266666667</v>
      </c>
      <c r="DU66">
        <v>4.88489133333333</v>
      </c>
      <c r="DV66">
        <v>416.613866666667</v>
      </c>
      <c r="DW66">
        <v>6.3728</v>
      </c>
      <c r="DX66">
        <v>500.040133333333</v>
      </c>
      <c r="DY66">
        <v>90.9377266666667</v>
      </c>
      <c r="DZ66">
        <v>0.0199327266666667</v>
      </c>
      <c r="EA66">
        <v>18.6282266666667</v>
      </c>
      <c r="EB66">
        <v>17.98922</v>
      </c>
      <c r="EC66">
        <v>999.9</v>
      </c>
      <c r="ED66">
        <v>0</v>
      </c>
      <c r="EE66">
        <v>0</v>
      </c>
      <c r="EF66">
        <v>10003.7013333333</v>
      </c>
      <c r="EG66">
        <v>0</v>
      </c>
      <c r="EH66">
        <v>1335.68533333333</v>
      </c>
      <c r="EI66">
        <v>-0.481795266666667</v>
      </c>
      <c r="EJ66">
        <v>422.161533333333</v>
      </c>
      <c r="EK66">
        <v>422.0714</v>
      </c>
      <c r="EL66">
        <v>1.35402866666667</v>
      </c>
      <c r="EM66">
        <v>420.009466666667</v>
      </c>
      <c r="EN66">
        <v>4.88489133333333</v>
      </c>
      <c r="EO66">
        <v>0.5673534</v>
      </c>
      <c r="EP66">
        <v>0.444220933333333</v>
      </c>
      <c r="EQ66">
        <v>-1.07518733333333</v>
      </c>
      <c r="ER66">
        <v>-4.367884</v>
      </c>
      <c r="ES66">
        <v>0.00500059</v>
      </c>
      <c r="ET66">
        <v>0</v>
      </c>
      <c r="EU66">
        <v>0</v>
      </c>
      <c r="EV66">
        <v>0</v>
      </c>
      <c r="EW66">
        <v>810.146666666667</v>
      </c>
      <c r="EX66">
        <v>0.00500059</v>
      </c>
      <c r="EY66">
        <v>29.6</v>
      </c>
      <c r="EZ66">
        <v>-1.18666666666667</v>
      </c>
      <c r="FA66">
        <v>35.1580666666667</v>
      </c>
      <c r="FB66">
        <v>38.9706</v>
      </c>
      <c r="FC66">
        <v>36.8206666666667</v>
      </c>
      <c r="FD66">
        <v>38.2748</v>
      </c>
      <c r="FE66">
        <v>36.6122</v>
      </c>
      <c r="FF66">
        <v>0</v>
      </c>
      <c r="FG66">
        <v>0</v>
      </c>
      <c r="FH66">
        <v>0</v>
      </c>
      <c r="FI66">
        <v>75.7999999523163</v>
      </c>
      <c r="FJ66">
        <v>0</v>
      </c>
      <c r="FK66">
        <v>810.232</v>
      </c>
      <c r="FL66">
        <v>21.4230771786823</v>
      </c>
      <c r="FM66">
        <v>-17.8384613576255</v>
      </c>
      <c r="FN66">
        <v>31.264</v>
      </c>
      <c r="FO66">
        <v>15</v>
      </c>
      <c r="FP66">
        <v>0</v>
      </c>
      <c r="FQ66" t="s">
        <v>441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-0.513503285714286</v>
      </c>
      <c r="GD66">
        <v>0.491933064935064</v>
      </c>
      <c r="GE66">
        <v>0.0595403316233889</v>
      </c>
      <c r="GF66">
        <v>1</v>
      </c>
      <c r="GG66">
        <v>809.329411764706</v>
      </c>
      <c r="GH66">
        <v>11.868602101948</v>
      </c>
      <c r="GI66">
        <v>5.9559426285984</v>
      </c>
      <c r="GJ66">
        <v>-1</v>
      </c>
      <c r="GK66">
        <v>1.35306047619048</v>
      </c>
      <c r="GL66">
        <v>0.0174841558441552</v>
      </c>
      <c r="GM66">
        <v>0.00183486466658204</v>
      </c>
      <c r="GN66">
        <v>1</v>
      </c>
      <c r="GO66">
        <v>2</v>
      </c>
      <c r="GP66">
        <v>2</v>
      </c>
      <c r="GQ66" t="s">
        <v>442</v>
      </c>
      <c r="GR66">
        <v>3.12858</v>
      </c>
      <c r="GS66">
        <v>2.69773</v>
      </c>
      <c r="GT66">
        <v>0.0898912</v>
      </c>
      <c r="GU66">
        <v>0.0905608</v>
      </c>
      <c r="GV66">
        <v>0.0370957</v>
      </c>
      <c r="GW66">
        <v>0.0301544</v>
      </c>
      <c r="GX66">
        <v>34306.4</v>
      </c>
      <c r="GY66">
        <v>36778.2</v>
      </c>
      <c r="GZ66">
        <v>34098.3</v>
      </c>
      <c r="HA66">
        <v>36609.4</v>
      </c>
      <c r="HB66">
        <v>46362.9</v>
      </c>
      <c r="HC66">
        <v>50933.7</v>
      </c>
      <c r="HD66">
        <v>53119.9</v>
      </c>
      <c r="HE66">
        <v>58418.1</v>
      </c>
      <c r="HF66">
        <v>1.96763</v>
      </c>
      <c r="HG66">
        <v>2.3486</v>
      </c>
      <c r="HH66">
        <v>-0.0640079</v>
      </c>
      <c r="HI66">
        <v>0</v>
      </c>
      <c r="HJ66">
        <v>19.0549</v>
      </c>
      <c r="HK66">
        <v>999.9</v>
      </c>
      <c r="HL66">
        <v>20.059</v>
      </c>
      <c r="HM66">
        <v>29.829</v>
      </c>
      <c r="HN66">
        <v>9.30605</v>
      </c>
      <c r="HO66">
        <v>55.6564</v>
      </c>
      <c r="HP66">
        <v>32.4159</v>
      </c>
      <c r="HQ66">
        <v>2</v>
      </c>
      <c r="HR66">
        <v>-0.0312246</v>
      </c>
      <c r="HS66">
        <v>5.26181</v>
      </c>
      <c r="HT66">
        <v>20.0717</v>
      </c>
      <c r="HU66">
        <v>5.19977</v>
      </c>
      <c r="HV66">
        <v>12.004</v>
      </c>
      <c r="HW66">
        <v>4.9758</v>
      </c>
      <c r="HX66">
        <v>3.29398</v>
      </c>
      <c r="HY66">
        <v>9999</v>
      </c>
      <c r="HZ66">
        <v>9999</v>
      </c>
      <c r="IA66">
        <v>9999</v>
      </c>
      <c r="IB66">
        <v>999.9</v>
      </c>
      <c r="IC66">
        <v>1.86324</v>
      </c>
      <c r="ID66">
        <v>1.86812</v>
      </c>
      <c r="IE66">
        <v>1.86788</v>
      </c>
      <c r="IF66">
        <v>1.86905</v>
      </c>
      <c r="IG66">
        <v>1.86981</v>
      </c>
      <c r="IH66">
        <v>1.8659</v>
      </c>
      <c r="II66">
        <v>1.86702</v>
      </c>
      <c r="IJ66">
        <v>1.86843</v>
      </c>
      <c r="IK66">
        <v>5</v>
      </c>
      <c r="IL66">
        <v>0</v>
      </c>
      <c r="IM66">
        <v>0</v>
      </c>
      <c r="IN66">
        <v>0</v>
      </c>
      <c r="IO66" t="s">
        <v>443</v>
      </c>
      <c r="IP66" t="s">
        <v>444</v>
      </c>
      <c r="IQ66" t="s">
        <v>445</v>
      </c>
      <c r="IR66" t="s">
        <v>445</v>
      </c>
      <c r="IS66" t="s">
        <v>445</v>
      </c>
      <c r="IT66" t="s">
        <v>445</v>
      </c>
      <c r="IU66">
        <v>0</v>
      </c>
      <c r="IV66">
        <v>100</v>
      </c>
      <c r="IW66">
        <v>100</v>
      </c>
      <c r="IX66">
        <v>2.915</v>
      </c>
      <c r="IY66">
        <v>-0.1339</v>
      </c>
      <c r="IZ66">
        <v>1.24656194001752</v>
      </c>
      <c r="JA66">
        <v>0.00408463137630218</v>
      </c>
      <c r="JB66">
        <v>-2.23906557180379e-07</v>
      </c>
      <c r="JC66">
        <v>6.23399102760906e-11</v>
      </c>
      <c r="JD66">
        <v>-0.0873394905990972</v>
      </c>
      <c r="JE66">
        <v>-0.0233348201324191</v>
      </c>
      <c r="JF66">
        <v>0.00274696999164489</v>
      </c>
      <c r="JG66">
        <v>-3.62864435074646e-05</v>
      </c>
      <c r="JH66">
        <v>5</v>
      </c>
      <c r="JI66">
        <v>2263</v>
      </c>
      <c r="JJ66">
        <v>1</v>
      </c>
      <c r="JK66">
        <v>24</v>
      </c>
      <c r="JL66">
        <v>29361408.7</v>
      </c>
      <c r="JM66">
        <v>29361408.7</v>
      </c>
      <c r="JN66">
        <v>1.24878</v>
      </c>
      <c r="JO66">
        <v>2.61475</v>
      </c>
      <c r="JP66">
        <v>2.19849</v>
      </c>
      <c r="JQ66">
        <v>2.62817</v>
      </c>
      <c r="JR66">
        <v>2.44507</v>
      </c>
      <c r="JS66">
        <v>2.36084</v>
      </c>
      <c r="JT66">
        <v>33.2663</v>
      </c>
      <c r="JU66">
        <v>24.1926</v>
      </c>
      <c r="JV66">
        <v>18</v>
      </c>
      <c r="JW66">
        <v>500.875</v>
      </c>
      <c r="JX66">
        <v>790.275</v>
      </c>
      <c r="JY66">
        <v>12.4232</v>
      </c>
      <c r="JZ66">
        <v>26.8156</v>
      </c>
      <c r="KA66">
        <v>30.0004</v>
      </c>
      <c r="KB66">
        <v>26.8046</v>
      </c>
      <c r="KC66">
        <v>26.7478</v>
      </c>
      <c r="KD66">
        <v>25.0117</v>
      </c>
      <c r="KE66">
        <v>28.9372</v>
      </c>
      <c r="KF66">
        <v>0</v>
      </c>
      <c r="KG66">
        <v>12.4252</v>
      </c>
      <c r="KH66">
        <v>420</v>
      </c>
      <c r="KI66">
        <v>4.88111</v>
      </c>
      <c r="KJ66">
        <v>96.6129</v>
      </c>
      <c r="KK66">
        <v>94.7075</v>
      </c>
    </row>
    <row r="67" spans="1:297">
      <c r="A67">
        <v>51</v>
      </c>
      <c r="B67">
        <v>1761686034.1</v>
      </c>
      <c r="C67">
        <v>8685</v>
      </c>
      <c r="D67" t="s">
        <v>604</v>
      </c>
      <c r="E67" t="s">
        <v>605</v>
      </c>
      <c r="F67">
        <v>5</v>
      </c>
      <c r="G67" t="s">
        <v>606</v>
      </c>
      <c r="H67" t="s">
        <v>436</v>
      </c>
      <c r="I67">
        <v>1761686025.6</v>
      </c>
      <c r="J67">
        <f>(K67)/1000</f>
        <v>0</v>
      </c>
      <c r="K67">
        <f>IF(DP67, AN67, AH67)</f>
        <v>0</v>
      </c>
      <c r="L67">
        <f>IF(DP67, AI67, AG67)</f>
        <v>0</v>
      </c>
      <c r="M67">
        <f>DR67 - IF(AU67&gt;1, L67*DL67*100.0/(AW67), 0)</f>
        <v>0</v>
      </c>
      <c r="N67">
        <f>((T67-J67/2)*M67-L67)/(T67+J67/2)</f>
        <v>0</v>
      </c>
      <c r="O67">
        <f>N67*(DY67+DZ67)/1000.0</f>
        <v>0</v>
      </c>
      <c r="P67">
        <f>(DR67 - IF(AU67&gt;1, L67*DL67*100.0/(AW67), 0))*(DY67+DZ67)/1000.0</f>
        <v>0</v>
      </c>
      <c r="Q67">
        <f>2.0/((1/S67-1/R67)+SIGN(S67)*SQRT((1/S67-1/R67)*(1/S67-1/R67) + 4*DM67/((DM67+1)*(DM67+1))*(2*1/S67*1/R67-1/R67*1/R67)))</f>
        <v>0</v>
      </c>
      <c r="R67">
        <f>IF(LEFT(DN67,1)&lt;&gt;"0",IF(LEFT(DN67,1)="1",3.0,DO67),$D$5+$E$5*(EF67*DY67/($K$5*1000))+$F$5*(EF67*DY67/($K$5*1000))*MAX(MIN(DL67,$J$5),$I$5)*MAX(MIN(DL67,$J$5),$I$5)+$G$5*MAX(MIN(DL67,$J$5),$I$5)*(EF67*DY67/($K$5*1000))+$H$5*(EF67*DY67/($K$5*1000))*(EF67*DY67/($K$5*1000)))</f>
        <v>0</v>
      </c>
      <c r="S67">
        <f>J67*(1000-(1000*0.61365*exp(17.502*W67/(240.97+W67))/(DY67+DZ67)+DT67)/2)/(1000*0.61365*exp(17.502*W67/(240.97+W67))/(DY67+DZ67)-DT67)</f>
        <v>0</v>
      </c>
      <c r="T67">
        <f>1/((DM67+1)/(Q67/1.6)+1/(R67/1.37)) + DM67/((DM67+1)/(Q67/1.6) + DM67/(R67/1.37))</f>
        <v>0</v>
      </c>
      <c r="U67">
        <f>(DH67*DK67)</f>
        <v>0</v>
      </c>
      <c r="V67">
        <f>(EA67+(U67+2*0.95*5.67E-8*(((EA67+$B$7)+273)^4-(EA67+273)^4)-44100*J67)/(1.84*29.3*R67+8*0.95*5.67E-8*(EA67+273)^3))</f>
        <v>0</v>
      </c>
      <c r="W67">
        <f>($C$7*EB67+$D$7*EC67+$E$7*V67)</f>
        <v>0</v>
      </c>
      <c r="X67">
        <f>0.61365*exp(17.502*W67/(240.97+W67))</f>
        <v>0</v>
      </c>
      <c r="Y67">
        <f>(Z67/AA67*100)</f>
        <v>0</v>
      </c>
      <c r="Z67">
        <f>DT67*(DY67+DZ67)/1000</f>
        <v>0</v>
      </c>
      <c r="AA67">
        <f>0.61365*exp(17.502*EA67/(240.97+EA67))</f>
        <v>0</v>
      </c>
      <c r="AB67">
        <f>(X67-DT67*(DY67+DZ67)/1000)</f>
        <v>0</v>
      </c>
      <c r="AC67">
        <f>(-J67*44100)</f>
        <v>0</v>
      </c>
      <c r="AD67">
        <f>2*29.3*R67*0.92*(EA67-W67)</f>
        <v>0</v>
      </c>
      <c r="AE67">
        <f>2*0.95*5.67E-8*(((EA67+$B$7)+273)^4-(W67+273)^4)</f>
        <v>0</v>
      </c>
      <c r="AF67">
        <f>U67+AE67+AC67+AD67</f>
        <v>0</v>
      </c>
      <c r="AG67">
        <f>DX67*AU67*(DS67-DR67*(1000-AU67*DU67)/(1000-AU67*DT67))/(100*DL67)</f>
        <v>0</v>
      </c>
      <c r="AH67">
        <f>1000*DX67*AU67*(DT67-DU67)/(100*DL67*(1000-AU67*DT67))</f>
        <v>0</v>
      </c>
      <c r="AI67">
        <f>(AJ67 - AK67 - DY67*1E3/(8.314*(EA67+273.15)) * AM67/DX67 * AL67) * DX67/(100*DL67) * (1000 - DU67)/1000</f>
        <v>0</v>
      </c>
      <c r="AJ67">
        <v>422.451598661171</v>
      </c>
      <c r="AK67">
        <v>414.915824242424</v>
      </c>
      <c r="AL67">
        <v>-0.000380830603974201</v>
      </c>
      <c r="AM67">
        <v>64.2047674928869</v>
      </c>
      <c r="AN67">
        <f>(AP67 - AO67 + DY67*1E3/(8.314*(EA67+273.15)) * AR67/DX67 * AQ67) * DX67/(100*DL67) * 1000/(1000 - AP67)</f>
        <v>0</v>
      </c>
      <c r="AO67">
        <v>5.83240319563427</v>
      </c>
      <c r="AP67">
        <v>8.45282111888112</v>
      </c>
      <c r="AQ67">
        <v>5.30917900319116e-07</v>
      </c>
      <c r="AR67">
        <v>109.01488015841</v>
      </c>
      <c r="AS67">
        <v>0</v>
      </c>
      <c r="AT67">
        <v>0</v>
      </c>
      <c r="AU67">
        <f>IF(AS67*$H$13&gt;=AW67,1.0,(AW67/(AW67-AS67*$H$13)))</f>
        <v>0</v>
      </c>
      <c r="AV67">
        <f>(AU67-1)*100</f>
        <v>0</v>
      </c>
      <c r="AW67">
        <f>MAX(0,($B$13+$C$13*EF67)/(1+$D$13*EF67)*DY67/(EA67+273)*$E$13)</f>
        <v>0</v>
      </c>
      <c r="AX67" t="s">
        <v>572</v>
      </c>
      <c r="AY67">
        <v>5110.91</v>
      </c>
      <c r="AZ67">
        <v>714.823076923077</v>
      </c>
      <c r="BA67">
        <v>1930.46444768955</v>
      </c>
      <c r="BB67">
        <f>1-AZ67/BA67</f>
        <v>0</v>
      </c>
      <c r="BC67">
        <v>-0.797918103269906</v>
      </c>
      <c r="BD67" t="s">
        <v>607</v>
      </c>
      <c r="BE67">
        <v>5130.32</v>
      </c>
      <c r="BF67">
        <v>1480.53038461538</v>
      </c>
      <c r="BG67">
        <v>1581.17621048608</v>
      </c>
      <c r="BH67">
        <f>1-BF67/BG67</f>
        <v>0</v>
      </c>
      <c r="BI67">
        <v>0.5</v>
      </c>
      <c r="BJ67">
        <f>DI67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608</v>
      </c>
      <c r="BQ67">
        <v>827.67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BZ67">
        <v>57</v>
      </c>
      <c r="CA67">
        <v>290</v>
      </c>
      <c r="CB67">
        <v>1538.45</v>
      </c>
      <c r="CC67">
        <v>95</v>
      </c>
      <c r="CD67">
        <v>5130.32</v>
      </c>
      <c r="CE67">
        <v>1536.59</v>
      </c>
      <c r="CF67">
        <v>1.86</v>
      </c>
      <c r="CG67">
        <v>300</v>
      </c>
      <c r="CH67">
        <v>23.6</v>
      </c>
      <c r="CI67">
        <v>1581.17621048608</v>
      </c>
      <c r="CJ67">
        <v>3.00370499797404</v>
      </c>
      <c r="CK67">
        <v>-22.8744355776115</v>
      </c>
      <c r="CL67">
        <v>1.41957307104137</v>
      </c>
      <c r="CM67">
        <v>0.902658863303215</v>
      </c>
      <c r="CN67">
        <v>-0.00256028987764183</v>
      </c>
      <c r="CO67">
        <v>290</v>
      </c>
      <c r="CP67">
        <v>1535.21</v>
      </c>
      <c r="CQ67">
        <v>675</v>
      </c>
      <c r="CR67">
        <v>5126.95</v>
      </c>
      <c r="CS67">
        <v>1536.56</v>
      </c>
      <c r="CT67">
        <v>-1.35</v>
      </c>
      <c r="DH67">
        <f>$B$11*EG67+$C$11*EH67+$F$11*ES67*(1-EV67)</f>
        <v>0</v>
      </c>
      <c r="DI67">
        <f>DH67*DJ67</f>
        <v>0</v>
      </c>
      <c r="DJ67">
        <f>($B$11*$D$9+$C$11*$D$9+$F$11*((FF67+EX67)/MAX(FF67+EX67+FG67, 0.1)*$I$9+FG67/MAX(FF67+EX67+FG67, 0.1)*$J$9))/($B$11+$C$11+$F$11)</f>
        <v>0</v>
      </c>
      <c r="DK67">
        <f>($B$11*$K$9+$C$11*$K$9+$F$11*((FF67+EX67)/MAX(FF67+EX67+FG67, 0.1)*$P$9+FG67/MAX(FF67+EX67+FG67, 0.1)*$Q$9))/($B$11+$C$11+$F$11)</f>
        <v>0</v>
      </c>
      <c r="DL67">
        <v>6</v>
      </c>
      <c r="DM67">
        <v>0.5</v>
      </c>
      <c r="DN67" t="s">
        <v>440</v>
      </c>
      <c r="DO67">
        <v>2</v>
      </c>
      <c r="DP67" t="b">
        <v>1</v>
      </c>
      <c r="DQ67">
        <v>1761686025.6</v>
      </c>
      <c r="DR67">
        <v>411.4210625</v>
      </c>
      <c r="DS67">
        <v>419.98525</v>
      </c>
      <c r="DT67">
        <v>8.452286875</v>
      </c>
      <c r="DU67">
        <v>5.834135</v>
      </c>
      <c r="DV67">
        <v>408.5388125</v>
      </c>
      <c r="DW67">
        <v>8.560838125</v>
      </c>
      <c r="DX67">
        <v>499.9910625</v>
      </c>
      <c r="DY67">
        <v>90.96555</v>
      </c>
      <c r="DZ67">
        <v>0.0232727</v>
      </c>
      <c r="EA67">
        <v>23.54729375</v>
      </c>
      <c r="EB67">
        <v>23.9961875</v>
      </c>
      <c r="EC67">
        <v>999.9</v>
      </c>
      <c r="ED67">
        <v>0</v>
      </c>
      <c r="EE67">
        <v>0</v>
      </c>
      <c r="EF67">
        <v>9996.640625</v>
      </c>
      <c r="EG67">
        <v>0</v>
      </c>
      <c r="EH67">
        <v>1262.740625</v>
      </c>
      <c r="EI67">
        <v>-8.56422875</v>
      </c>
      <c r="EJ67">
        <v>414.9280625</v>
      </c>
      <c r="EK67">
        <v>422.449875</v>
      </c>
      <c r="EL67">
        <v>2.618150625</v>
      </c>
      <c r="EM67">
        <v>419.98525</v>
      </c>
      <c r="EN67">
        <v>5.834135</v>
      </c>
      <c r="EO67">
        <v>0.768866875</v>
      </c>
      <c r="EP67">
        <v>0.53070525</v>
      </c>
      <c r="EQ67">
        <v>3.145140625</v>
      </c>
      <c r="ER67">
        <v>-1.982926875</v>
      </c>
      <c r="ES67">
        <v>1999.983125</v>
      </c>
      <c r="ET67">
        <v>0.9800065</v>
      </c>
      <c r="EU67">
        <v>0.01999395</v>
      </c>
      <c r="EV67">
        <v>0</v>
      </c>
      <c r="EW67">
        <v>1480.73625</v>
      </c>
      <c r="EX67">
        <v>5.00059</v>
      </c>
      <c r="EY67">
        <v>29587.10625</v>
      </c>
      <c r="EZ67">
        <v>17360.2</v>
      </c>
      <c r="FA67">
        <v>40.875</v>
      </c>
      <c r="FB67">
        <v>41.625</v>
      </c>
      <c r="FC67">
        <v>40.562</v>
      </c>
      <c r="FD67">
        <v>40.937</v>
      </c>
      <c r="FE67">
        <v>41.4960625</v>
      </c>
      <c r="FF67">
        <v>1955.093125</v>
      </c>
      <c r="FG67">
        <v>39.89</v>
      </c>
      <c r="FH67">
        <v>0</v>
      </c>
      <c r="FI67">
        <v>1586.10000014305</v>
      </c>
      <c r="FJ67">
        <v>0</v>
      </c>
      <c r="FK67">
        <v>1480.53038461538</v>
      </c>
      <c r="FL67">
        <v>-5.51282049641246</v>
      </c>
      <c r="FM67">
        <v>-79.8632477412237</v>
      </c>
      <c r="FN67">
        <v>29585.9692307692</v>
      </c>
      <c r="FO67">
        <v>15</v>
      </c>
      <c r="FP67">
        <v>0</v>
      </c>
      <c r="FQ67" t="s">
        <v>441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-8.56201476190476</v>
      </c>
      <c r="GD67">
        <v>0.000501038961039101</v>
      </c>
      <c r="GE67">
        <v>0.0170827595125131</v>
      </c>
      <c r="GF67">
        <v>1</v>
      </c>
      <c r="GG67">
        <v>1480.88235294118</v>
      </c>
      <c r="GH67">
        <v>-4.45928188527228</v>
      </c>
      <c r="GI67">
        <v>0.522983853217897</v>
      </c>
      <c r="GJ67">
        <v>-1</v>
      </c>
      <c r="GK67">
        <v>2.61640428571429</v>
      </c>
      <c r="GL67">
        <v>0.0288662337662349</v>
      </c>
      <c r="GM67">
        <v>0.00296387386697208</v>
      </c>
      <c r="GN67">
        <v>1</v>
      </c>
      <c r="GO67">
        <v>2</v>
      </c>
      <c r="GP67">
        <v>2</v>
      </c>
      <c r="GQ67" t="s">
        <v>442</v>
      </c>
      <c r="GR67">
        <v>3.12792</v>
      </c>
      <c r="GS67">
        <v>2.70199</v>
      </c>
      <c r="GT67">
        <v>0.0878699</v>
      </c>
      <c r="GU67">
        <v>0.0898823</v>
      </c>
      <c r="GV67">
        <v>0.0470561</v>
      </c>
      <c r="GW67">
        <v>0.0347479</v>
      </c>
      <c r="GX67">
        <v>34180.5</v>
      </c>
      <c r="GY67">
        <v>36525.2</v>
      </c>
      <c r="GZ67">
        <v>33915.7</v>
      </c>
      <c r="HA67">
        <v>36348.7</v>
      </c>
      <c r="HB67">
        <v>45671</v>
      </c>
      <c r="HC67">
        <v>50348.9</v>
      </c>
      <c r="HD67">
        <v>52889.2</v>
      </c>
      <c r="HE67">
        <v>58037.1</v>
      </c>
      <c r="HF67">
        <v>1.92765</v>
      </c>
      <c r="HG67">
        <v>2.29775</v>
      </c>
      <c r="HH67">
        <v>0.0425614</v>
      </c>
      <c r="HI67">
        <v>0</v>
      </c>
      <c r="HJ67">
        <v>23.3</v>
      </c>
      <c r="HK67">
        <v>999.9</v>
      </c>
      <c r="HL67">
        <v>20.486</v>
      </c>
      <c r="HM67">
        <v>29.87</v>
      </c>
      <c r="HN67">
        <v>9.52357</v>
      </c>
      <c r="HO67">
        <v>55.2839</v>
      </c>
      <c r="HP67">
        <v>31.6066</v>
      </c>
      <c r="HQ67">
        <v>2</v>
      </c>
      <c r="HR67">
        <v>0.23435</v>
      </c>
      <c r="HS67">
        <v>5.70845</v>
      </c>
      <c r="HT67">
        <v>20.0413</v>
      </c>
      <c r="HU67">
        <v>5.19767</v>
      </c>
      <c r="HV67">
        <v>12.0049</v>
      </c>
      <c r="HW67">
        <v>4.9755</v>
      </c>
      <c r="HX67">
        <v>3.294</v>
      </c>
      <c r="HY67">
        <v>9999</v>
      </c>
      <c r="HZ67">
        <v>9999</v>
      </c>
      <c r="IA67">
        <v>9999</v>
      </c>
      <c r="IB67">
        <v>999.9</v>
      </c>
      <c r="IC67">
        <v>1.86323</v>
      </c>
      <c r="ID67">
        <v>1.8681</v>
      </c>
      <c r="IE67">
        <v>1.86783</v>
      </c>
      <c r="IF67">
        <v>1.86904</v>
      </c>
      <c r="IG67">
        <v>1.86981</v>
      </c>
      <c r="IH67">
        <v>1.86588</v>
      </c>
      <c r="II67">
        <v>1.86695</v>
      </c>
      <c r="IJ67">
        <v>1.86843</v>
      </c>
      <c r="IK67">
        <v>5</v>
      </c>
      <c r="IL67">
        <v>0</v>
      </c>
      <c r="IM67">
        <v>0</v>
      </c>
      <c r="IN67">
        <v>0</v>
      </c>
      <c r="IO67" t="s">
        <v>443</v>
      </c>
      <c r="IP67" t="s">
        <v>444</v>
      </c>
      <c r="IQ67" t="s">
        <v>445</v>
      </c>
      <c r="IR67" t="s">
        <v>445</v>
      </c>
      <c r="IS67" t="s">
        <v>445</v>
      </c>
      <c r="IT67" t="s">
        <v>445</v>
      </c>
      <c r="IU67">
        <v>0</v>
      </c>
      <c r="IV67">
        <v>100</v>
      </c>
      <c r="IW67">
        <v>100</v>
      </c>
      <c r="IX67">
        <v>2.882</v>
      </c>
      <c r="IY67">
        <v>-0.1086</v>
      </c>
      <c r="IZ67">
        <v>1.24656194001752</v>
      </c>
      <c r="JA67">
        <v>0.00408463137630218</v>
      </c>
      <c r="JB67">
        <v>-2.23906557180379e-07</v>
      </c>
      <c r="JC67">
        <v>6.23399102760906e-11</v>
      </c>
      <c r="JD67">
        <v>-0.0873394905990972</v>
      </c>
      <c r="JE67">
        <v>-0.0233348201324191</v>
      </c>
      <c r="JF67">
        <v>0.00274696999164489</v>
      </c>
      <c r="JG67">
        <v>-3.62864435074646e-05</v>
      </c>
      <c r="JH67">
        <v>5</v>
      </c>
      <c r="JI67">
        <v>2263</v>
      </c>
      <c r="JJ67">
        <v>1</v>
      </c>
      <c r="JK67">
        <v>24</v>
      </c>
      <c r="JL67">
        <v>29361433.9</v>
      </c>
      <c r="JM67">
        <v>29361433.9</v>
      </c>
      <c r="JN67">
        <v>1.25122</v>
      </c>
      <c r="JO67">
        <v>2.61475</v>
      </c>
      <c r="JP67">
        <v>2.19849</v>
      </c>
      <c r="JQ67">
        <v>2.62573</v>
      </c>
      <c r="JR67">
        <v>2.44507</v>
      </c>
      <c r="JS67">
        <v>2.32788</v>
      </c>
      <c r="JT67">
        <v>33.1992</v>
      </c>
      <c r="JU67">
        <v>24.1575</v>
      </c>
      <c r="JV67">
        <v>18</v>
      </c>
      <c r="JW67">
        <v>502.522</v>
      </c>
      <c r="JX67">
        <v>787.321</v>
      </c>
      <c r="JY67">
        <v>16.1446</v>
      </c>
      <c r="JZ67">
        <v>30.1629</v>
      </c>
      <c r="KA67">
        <v>30.0006</v>
      </c>
      <c r="KB67">
        <v>29.9941</v>
      </c>
      <c r="KC67">
        <v>29.9013</v>
      </c>
      <c r="KD67">
        <v>25.079</v>
      </c>
      <c r="KE67">
        <v>18.624</v>
      </c>
      <c r="KF67">
        <v>9.47779</v>
      </c>
      <c r="KG67">
        <v>16.13</v>
      </c>
      <c r="KH67">
        <v>420</v>
      </c>
      <c r="KI67">
        <v>5.82968</v>
      </c>
      <c r="KJ67">
        <v>96.155</v>
      </c>
      <c r="KK67">
        <v>94.0679</v>
      </c>
    </row>
    <row r="68" spans="1:297">
      <c r="A68">
        <v>52</v>
      </c>
      <c r="B68">
        <v>1761686104.1</v>
      </c>
      <c r="C68">
        <v>8755</v>
      </c>
      <c r="D68" t="s">
        <v>609</v>
      </c>
      <c r="E68" t="s">
        <v>610</v>
      </c>
      <c r="F68">
        <v>5</v>
      </c>
      <c r="G68" t="s">
        <v>606</v>
      </c>
      <c r="H68" t="s">
        <v>436</v>
      </c>
      <c r="I68">
        <v>1761686095.6</v>
      </c>
      <c r="J68">
        <f>(K68)/1000</f>
        <v>0</v>
      </c>
      <c r="K68">
        <f>IF(DP68, AN68, AH68)</f>
        <v>0</v>
      </c>
      <c r="L68">
        <f>IF(DP68, AI68, AG68)</f>
        <v>0</v>
      </c>
      <c r="M68">
        <f>DR68 - IF(AU68&gt;1, L68*DL68*100.0/(AW68), 0)</f>
        <v>0</v>
      </c>
      <c r="N68">
        <f>((T68-J68/2)*M68-L68)/(T68+J68/2)</f>
        <v>0</v>
      </c>
      <c r="O68">
        <f>N68*(DY68+DZ68)/1000.0</f>
        <v>0</v>
      </c>
      <c r="P68">
        <f>(DR68 - IF(AU68&gt;1, L68*DL68*100.0/(AW68), 0))*(DY68+DZ68)/1000.0</f>
        <v>0</v>
      </c>
      <c r="Q68">
        <f>2.0/((1/S68-1/R68)+SIGN(S68)*SQRT((1/S68-1/R68)*(1/S68-1/R68) + 4*DM68/((DM68+1)*(DM68+1))*(2*1/S68*1/R68-1/R68*1/R68)))</f>
        <v>0</v>
      </c>
      <c r="R68">
        <f>IF(LEFT(DN68,1)&lt;&gt;"0",IF(LEFT(DN68,1)="1",3.0,DO68),$D$5+$E$5*(EF68*DY68/($K$5*1000))+$F$5*(EF68*DY68/($K$5*1000))*MAX(MIN(DL68,$J$5),$I$5)*MAX(MIN(DL68,$J$5),$I$5)+$G$5*MAX(MIN(DL68,$J$5),$I$5)*(EF68*DY68/($K$5*1000))+$H$5*(EF68*DY68/($K$5*1000))*(EF68*DY68/($K$5*1000)))</f>
        <v>0</v>
      </c>
      <c r="S68">
        <f>J68*(1000-(1000*0.61365*exp(17.502*W68/(240.97+W68))/(DY68+DZ68)+DT68)/2)/(1000*0.61365*exp(17.502*W68/(240.97+W68))/(DY68+DZ68)-DT68)</f>
        <v>0</v>
      </c>
      <c r="T68">
        <f>1/((DM68+1)/(Q68/1.6)+1/(R68/1.37)) + DM68/((DM68+1)/(Q68/1.6) + DM68/(R68/1.37))</f>
        <v>0</v>
      </c>
      <c r="U68">
        <f>(DH68*DK68)</f>
        <v>0</v>
      </c>
      <c r="V68">
        <f>(EA68+(U68+2*0.95*5.67E-8*(((EA68+$B$7)+273)^4-(EA68+273)^4)-44100*J68)/(1.84*29.3*R68+8*0.95*5.67E-8*(EA68+273)^3))</f>
        <v>0</v>
      </c>
      <c r="W68">
        <f>($C$7*EB68+$D$7*EC68+$E$7*V68)</f>
        <v>0</v>
      </c>
      <c r="X68">
        <f>0.61365*exp(17.502*W68/(240.97+W68))</f>
        <v>0</v>
      </c>
      <c r="Y68">
        <f>(Z68/AA68*100)</f>
        <v>0</v>
      </c>
      <c r="Z68">
        <f>DT68*(DY68+DZ68)/1000</f>
        <v>0</v>
      </c>
      <c r="AA68">
        <f>0.61365*exp(17.502*EA68/(240.97+EA68))</f>
        <v>0</v>
      </c>
      <c r="AB68">
        <f>(X68-DT68*(DY68+DZ68)/1000)</f>
        <v>0</v>
      </c>
      <c r="AC68">
        <f>(-J68*44100)</f>
        <v>0</v>
      </c>
      <c r="AD68">
        <f>2*29.3*R68*0.92*(EA68-W68)</f>
        <v>0</v>
      </c>
      <c r="AE68">
        <f>2*0.95*5.67E-8*(((EA68+$B$7)+273)^4-(W68+273)^4)</f>
        <v>0</v>
      </c>
      <c r="AF68">
        <f>U68+AE68+AC68+AD68</f>
        <v>0</v>
      </c>
      <c r="AG68">
        <f>DX68*AU68*(DS68-DR68*(1000-AU68*DU68)/(1000-AU68*DT68))/(100*DL68)</f>
        <v>0</v>
      </c>
      <c r="AH68">
        <f>1000*DX68*AU68*(DT68-DU68)/(100*DL68*(1000-AU68*DT68))</f>
        <v>0</v>
      </c>
      <c r="AI68">
        <f>(AJ68 - AK68 - DY68*1E3/(8.314*(EA68+273.15)) * AM68/DX68 * AL68) * DX68/(100*DL68) * (1000 - DU68)/1000</f>
        <v>0</v>
      </c>
      <c r="AJ68">
        <v>422.506038887391</v>
      </c>
      <c r="AK68">
        <v>415.267472727273</v>
      </c>
      <c r="AL68">
        <v>-0.000867139098027717</v>
      </c>
      <c r="AM68">
        <v>64.2047674928869</v>
      </c>
      <c r="AN68">
        <f>(AP68 - AO68 + DY68*1E3/(8.314*(EA68+273.15)) * AR68/DX68 * AQ68) * DX68/(100*DL68) * 1000/(1000 - AP68)</f>
        <v>0</v>
      </c>
      <c r="AO68">
        <v>5.82310598751996</v>
      </c>
      <c r="AP68">
        <v>8.44130181818182</v>
      </c>
      <c r="AQ68">
        <v>9.81652264645684e-05</v>
      </c>
      <c r="AR68">
        <v>109.01488015841</v>
      </c>
      <c r="AS68">
        <v>0</v>
      </c>
      <c r="AT68">
        <v>0</v>
      </c>
      <c r="AU68">
        <f>IF(AS68*$H$13&gt;=AW68,1.0,(AW68/(AW68-AS68*$H$13)))</f>
        <v>0</v>
      </c>
      <c r="AV68">
        <f>(AU68-1)*100</f>
        <v>0</v>
      </c>
      <c r="AW68">
        <f>MAX(0,($B$13+$C$13*EF68)/(1+$D$13*EF68)*DY68/(EA68+273)*$E$13)</f>
        <v>0</v>
      </c>
      <c r="AX68" t="s">
        <v>448</v>
      </c>
      <c r="AY68" t="s">
        <v>448</v>
      </c>
      <c r="AZ68">
        <v>0</v>
      </c>
      <c r="BA68">
        <v>0</v>
      </c>
      <c r="BB68">
        <f>1-AZ68/BA68</f>
        <v>0</v>
      </c>
      <c r="BC68">
        <v>0</v>
      </c>
      <c r="BD68" t="s">
        <v>448</v>
      </c>
      <c r="BE68" t="s">
        <v>448</v>
      </c>
      <c r="BF68">
        <v>0</v>
      </c>
      <c r="BG68">
        <v>0</v>
      </c>
      <c r="BH68">
        <f>1-BF68/BG68</f>
        <v>0</v>
      </c>
      <c r="BI68">
        <v>0.5</v>
      </c>
      <c r="BJ68">
        <f>DI68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448</v>
      </c>
      <c r="BQ68">
        <v>0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BZ68">
        <v>57</v>
      </c>
      <c r="CA68">
        <v>290</v>
      </c>
      <c r="CB68">
        <v>1538.45</v>
      </c>
      <c r="CC68">
        <v>95</v>
      </c>
      <c r="CD68">
        <v>5130.32</v>
      </c>
      <c r="CE68">
        <v>1536.59</v>
      </c>
      <c r="CF68">
        <v>1.86</v>
      </c>
      <c r="CG68">
        <v>300</v>
      </c>
      <c r="CH68">
        <v>23.6</v>
      </c>
      <c r="CI68">
        <v>1581.17621048608</v>
      </c>
      <c r="CJ68">
        <v>3.00370499797404</v>
      </c>
      <c r="CK68">
        <v>-22.8744355776115</v>
      </c>
      <c r="CL68">
        <v>1.41957307104137</v>
      </c>
      <c r="CM68">
        <v>0.902658863303215</v>
      </c>
      <c r="CN68">
        <v>-0.00256028987764183</v>
      </c>
      <c r="CO68">
        <v>290</v>
      </c>
      <c r="CP68">
        <v>1535.21</v>
      </c>
      <c r="CQ68">
        <v>675</v>
      </c>
      <c r="CR68">
        <v>5126.95</v>
      </c>
      <c r="CS68">
        <v>1536.56</v>
      </c>
      <c r="CT68">
        <v>-1.35</v>
      </c>
      <c r="DH68">
        <f>$B$11*EG68+$C$11*EH68+$F$11*ES68*(1-EV68)</f>
        <v>0</v>
      </c>
      <c r="DI68">
        <f>DH68*DJ68</f>
        <v>0</v>
      </c>
      <c r="DJ68">
        <f>($B$11*$D$9+$C$11*$D$9+$F$11*((FF68+EX68)/MAX(FF68+EX68+FG68, 0.1)*$I$9+FG68/MAX(FF68+EX68+FG68, 0.1)*$J$9))/($B$11+$C$11+$F$11)</f>
        <v>0</v>
      </c>
      <c r="DK68">
        <f>($B$11*$K$9+$C$11*$K$9+$F$11*((FF68+EX68)/MAX(FF68+EX68+FG68, 0.1)*$P$9+FG68/MAX(FF68+EX68+FG68, 0.1)*$Q$9))/($B$11+$C$11+$F$11)</f>
        <v>0</v>
      </c>
      <c r="DL68">
        <v>6</v>
      </c>
      <c r="DM68">
        <v>0.5</v>
      </c>
      <c r="DN68" t="s">
        <v>440</v>
      </c>
      <c r="DO68">
        <v>2</v>
      </c>
      <c r="DP68" t="b">
        <v>1</v>
      </c>
      <c r="DQ68">
        <v>1761686095.6</v>
      </c>
      <c r="DR68">
        <v>411.80375</v>
      </c>
      <c r="DS68">
        <v>420.01025</v>
      </c>
      <c r="DT68">
        <v>8.430381875</v>
      </c>
      <c r="DU68">
        <v>5.820408125</v>
      </c>
      <c r="DV68">
        <v>408.92</v>
      </c>
      <c r="DW68">
        <v>8.53927</v>
      </c>
      <c r="DX68">
        <v>500.0143125</v>
      </c>
      <c r="DY68">
        <v>90.96571875</v>
      </c>
      <c r="DZ68">
        <v>0.02203878125</v>
      </c>
      <c r="EA68">
        <v>23.68005</v>
      </c>
      <c r="EB68">
        <v>23.98440625</v>
      </c>
      <c r="EC68">
        <v>999.9</v>
      </c>
      <c r="ED68">
        <v>0</v>
      </c>
      <c r="EE68">
        <v>0</v>
      </c>
      <c r="EF68">
        <v>10002.884375</v>
      </c>
      <c r="EG68">
        <v>0</v>
      </c>
      <c r="EH68">
        <v>1262.57125</v>
      </c>
      <c r="EI68">
        <v>-8.206500625</v>
      </c>
      <c r="EJ68">
        <v>415.30475</v>
      </c>
      <c r="EK68">
        <v>422.469125</v>
      </c>
      <c r="EL68">
        <v>2.6099725</v>
      </c>
      <c r="EM68">
        <v>420.01025</v>
      </c>
      <c r="EN68">
        <v>5.820408125</v>
      </c>
      <c r="EO68">
        <v>0.7668755</v>
      </c>
      <c r="EP68">
        <v>0.529457375</v>
      </c>
      <c r="EQ68">
        <v>3.108501875</v>
      </c>
      <c r="ER68">
        <v>-2.01480875</v>
      </c>
      <c r="ES68">
        <v>1800.019375</v>
      </c>
      <c r="ET68">
        <v>0.977995</v>
      </c>
      <c r="EU68">
        <v>0.02200470625</v>
      </c>
      <c r="EV68">
        <v>0</v>
      </c>
      <c r="EW68">
        <v>1470.714375</v>
      </c>
      <c r="EX68">
        <v>5.00059</v>
      </c>
      <c r="EY68">
        <v>26428.0375</v>
      </c>
      <c r="EZ68">
        <v>15610.8375</v>
      </c>
      <c r="FA68">
        <v>40.812</v>
      </c>
      <c r="FB68">
        <v>41.683125</v>
      </c>
      <c r="FC68">
        <v>40.5659375</v>
      </c>
      <c r="FD68">
        <v>41</v>
      </c>
      <c r="FE68">
        <v>41.4488125</v>
      </c>
      <c r="FF68">
        <v>1755.519375</v>
      </c>
      <c r="FG68">
        <v>39.5</v>
      </c>
      <c r="FH68">
        <v>0</v>
      </c>
      <c r="FI68">
        <v>67</v>
      </c>
      <c r="FJ68">
        <v>0</v>
      </c>
      <c r="FK68">
        <v>1470.63230769231</v>
      </c>
      <c r="FL68">
        <v>-8.3117948567088</v>
      </c>
      <c r="FM68">
        <v>-160.10598264977</v>
      </c>
      <c r="FN68">
        <v>26425.75</v>
      </c>
      <c r="FO68">
        <v>15</v>
      </c>
      <c r="FP68">
        <v>0</v>
      </c>
      <c r="FQ68" t="s">
        <v>441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-8.18292428571429</v>
      </c>
      <c r="GD68">
        <v>-0.481872467532481</v>
      </c>
      <c r="GE68">
        <v>0.0551788206929181</v>
      </c>
      <c r="GF68">
        <v>1</v>
      </c>
      <c r="GG68">
        <v>1471.19382352941</v>
      </c>
      <c r="GH68">
        <v>-7.99159664395543</v>
      </c>
      <c r="GI68">
        <v>0.807057162148865</v>
      </c>
      <c r="GJ68">
        <v>-1</v>
      </c>
      <c r="GK68">
        <v>2.60831857142857</v>
      </c>
      <c r="GL68">
        <v>0.0287096103896152</v>
      </c>
      <c r="GM68">
        <v>0.00455304846670184</v>
      </c>
      <c r="GN68">
        <v>1</v>
      </c>
      <c r="GO68">
        <v>2</v>
      </c>
      <c r="GP68">
        <v>2</v>
      </c>
      <c r="GQ68" t="s">
        <v>442</v>
      </c>
      <c r="GR68">
        <v>3.12809</v>
      </c>
      <c r="GS68">
        <v>2.69975</v>
      </c>
      <c r="GT68">
        <v>0.0879003</v>
      </c>
      <c r="GU68">
        <v>0.0898582</v>
      </c>
      <c r="GV68">
        <v>0.0470041</v>
      </c>
      <c r="GW68">
        <v>0.0347601</v>
      </c>
      <c r="GX68">
        <v>34174.7</v>
      </c>
      <c r="GY68">
        <v>36519.8</v>
      </c>
      <c r="GZ68">
        <v>33911.5</v>
      </c>
      <c r="HA68">
        <v>36342.8</v>
      </c>
      <c r="HB68">
        <v>45668.5</v>
      </c>
      <c r="HC68">
        <v>50340.1</v>
      </c>
      <c r="HD68">
        <v>52883.6</v>
      </c>
      <c r="HE68">
        <v>58028</v>
      </c>
      <c r="HF68">
        <v>1.92705</v>
      </c>
      <c r="HG68">
        <v>2.29667</v>
      </c>
      <c r="HH68">
        <v>0.0410378</v>
      </c>
      <c r="HI68">
        <v>0</v>
      </c>
      <c r="HJ68">
        <v>23.3415</v>
      </c>
      <c r="HK68">
        <v>999.9</v>
      </c>
      <c r="HL68">
        <v>20.339</v>
      </c>
      <c r="HM68">
        <v>29.86</v>
      </c>
      <c r="HN68">
        <v>9.45079</v>
      </c>
      <c r="HO68">
        <v>54.5839</v>
      </c>
      <c r="HP68">
        <v>31.1819</v>
      </c>
      <c r="HQ68">
        <v>2</v>
      </c>
      <c r="HR68">
        <v>0.234916</v>
      </c>
      <c r="HS68">
        <v>4.5788</v>
      </c>
      <c r="HT68">
        <v>20.075</v>
      </c>
      <c r="HU68">
        <v>5.19812</v>
      </c>
      <c r="HV68">
        <v>12.0043</v>
      </c>
      <c r="HW68">
        <v>4.97525</v>
      </c>
      <c r="HX68">
        <v>3.294</v>
      </c>
      <c r="HY68">
        <v>9999</v>
      </c>
      <c r="HZ68">
        <v>9999</v>
      </c>
      <c r="IA68">
        <v>9999</v>
      </c>
      <c r="IB68">
        <v>999.9</v>
      </c>
      <c r="IC68">
        <v>1.86323</v>
      </c>
      <c r="ID68">
        <v>1.86811</v>
      </c>
      <c r="IE68">
        <v>1.86784</v>
      </c>
      <c r="IF68">
        <v>1.86905</v>
      </c>
      <c r="IG68">
        <v>1.86982</v>
      </c>
      <c r="IH68">
        <v>1.86586</v>
      </c>
      <c r="II68">
        <v>1.86697</v>
      </c>
      <c r="IJ68">
        <v>1.86844</v>
      </c>
      <c r="IK68">
        <v>5</v>
      </c>
      <c r="IL68">
        <v>0</v>
      </c>
      <c r="IM68">
        <v>0</v>
      </c>
      <c r="IN68">
        <v>0</v>
      </c>
      <c r="IO68" t="s">
        <v>443</v>
      </c>
      <c r="IP68" t="s">
        <v>444</v>
      </c>
      <c r="IQ68" t="s">
        <v>445</v>
      </c>
      <c r="IR68" t="s">
        <v>445</v>
      </c>
      <c r="IS68" t="s">
        <v>445</v>
      </c>
      <c r="IT68" t="s">
        <v>445</v>
      </c>
      <c r="IU68">
        <v>0</v>
      </c>
      <c r="IV68">
        <v>100</v>
      </c>
      <c r="IW68">
        <v>100</v>
      </c>
      <c r="IX68">
        <v>2.884</v>
      </c>
      <c r="IY68">
        <v>-0.1087</v>
      </c>
      <c r="IZ68">
        <v>1.24656194001752</v>
      </c>
      <c r="JA68">
        <v>0.00408463137630218</v>
      </c>
      <c r="JB68">
        <v>-2.23906557180379e-07</v>
      </c>
      <c r="JC68">
        <v>6.23399102760906e-11</v>
      </c>
      <c r="JD68">
        <v>-0.0873394905990972</v>
      </c>
      <c r="JE68">
        <v>-0.0233348201324191</v>
      </c>
      <c r="JF68">
        <v>0.00274696999164489</v>
      </c>
      <c r="JG68">
        <v>-3.62864435074646e-05</v>
      </c>
      <c r="JH68">
        <v>5</v>
      </c>
      <c r="JI68">
        <v>2263</v>
      </c>
      <c r="JJ68">
        <v>1</v>
      </c>
      <c r="JK68">
        <v>24</v>
      </c>
      <c r="JL68">
        <v>29361435.1</v>
      </c>
      <c r="JM68">
        <v>29361435.1</v>
      </c>
      <c r="JN68">
        <v>1.25122</v>
      </c>
      <c r="JO68">
        <v>2.61353</v>
      </c>
      <c r="JP68">
        <v>2.19849</v>
      </c>
      <c r="JQ68">
        <v>2.62573</v>
      </c>
      <c r="JR68">
        <v>2.44507</v>
      </c>
      <c r="JS68">
        <v>2.34863</v>
      </c>
      <c r="JT68">
        <v>33.1992</v>
      </c>
      <c r="JU68">
        <v>24.1751</v>
      </c>
      <c r="JV68">
        <v>18</v>
      </c>
      <c r="JW68">
        <v>502.835</v>
      </c>
      <c r="JX68">
        <v>787.482</v>
      </c>
      <c r="JY68">
        <v>17.5125</v>
      </c>
      <c r="JZ68">
        <v>30.2413</v>
      </c>
      <c r="KA68">
        <v>30.0009</v>
      </c>
      <c r="KB68">
        <v>30.0778</v>
      </c>
      <c r="KC68">
        <v>29.9867</v>
      </c>
      <c r="KD68">
        <v>25.0759</v>
      </c>
      <c r="KE68">
        <v>17.1357</v>
      </c>
      <c r="KF68">
        <v>9.10549</v>
      </c>
      <c r="KG68">
        <v>17.4957</v>
      </c>
      <c r="KH68">
        <v>420</v>
      </c>
      <c r="KI68">
        <v>5.90946</v>
      </c>
      <c r="KJ68">
        <v>96.1441</v>
      </c>
      <c r="KK68">
        <v>94.0529</v>
      </c>
    </row>
    <row r="69" spans="1:297">
      <c r="A69">
        <v>53</v>
      </c>
      <c r="B69">
        <v>1761686165.1</v>
      </c>
      <c r="C69">
        <v>8816</v>
      </c>
      <c r="D69" t="s">
        <v>611</v>
      </c>
      <c r="E69" t="s">
        <v>612</v>
      </c>
      <c r="F69">
        <v>5</v>
      </c>
      <c r="G69" t="s">
        <v>606</v>
      </c>
      <c r="H69" t="s">
        <v>436</v>
      </c>
      <c r="I69">
        <v>1761686156.6</v>
      </c>
      <c r="J69">
        <f>(K69)/1000</f>
        <v>0</v>
      </c>
      <c r="K69">
        <f>IF(DP69, AN69, AH69)</f>
        <v>0</v>
      </c>
      <c r="L69">
        <f>IF(DP69, AI69, AG69)</f>
        <v>0</v>
      </c>
      <c r="M69">
        <f>DR69 - IF(AU69&gt;1, L69*DL69*100.0/(AW69), 0)</f>
        <v>0</v>
      </c>
      <c r="N69">
        <f>((T69-J69/2)*M69-L69)/(T69+J69/2)</f>
        <v>0</v>
      </c>
      <c r="O69">
        <f>N69*(DY69+DZ69)/1000.0</f>
        <v>0</v>
      </c>
      <c r="P69">
        <f>(DR69 - IF(AU69&gt;1, L69*DL69*100.0/(AW69), 0))*(DY69+DZ69)/1000.0</f>
        <v>0</v>
      </c>
      <c r="Q69">
        <f>2.0/((1/S69-1/R69)+SIGN(S69)*SQRT((1/S69-1/R69)*(1/S69-1/R69) + 4*DM69/((DM69+1)*(DM69+1))*(2*1/S69*1/R69-1/R69*1/R69)))</f>
        <v>0</v>
      </c>
      <c r="R69">
        <f>IF(LEFT(DN69,1)&lt;&gt;"0",IF(LEFT(DN69,1)="1",3.0,DO69),$D$5+$E$5*(EF69*DY69/($K$5*1000))+$F$5*(EF69*DY69/($K$5*1000))*MAX(MIN(DL69,$J$5),$I$5)*MAX(MIN(DL69,$J$5),$I$5)+$G$5*MAX(MIN(DL69,$J$5),$I$5)*(EF69*DY69/($K$5*1000))+$H$5*(EF69*DY69/($K$5*1000))*(EF69*DY69/($K$5*1000)))</f>
        <v>0</v>
      </c>
      <c r="S69">
        <f>J69*(1000-(1000*0.61365*exp(17.502*W69/(240.97+W69))/(DY69+DZ69)+DT69)/2)/(1000*0.61365*exp(17.502*W69/(240.97+W69))/(DY69+DZ69)-DT69)</f>
        <v>0</v>
      </c>
      <c r="T69">
        <f>1/((DM69+1)/(Q69/1.6)+1/(R69/1.37)) + DM69/((DM69+1)/(Q69/1.6) + DM69/(R69/1.37))</f>
        <v>0</v>
      </c>
      <c r="U69">
        <f>(DH69*DK69)</f>
        <v>0</v>
      </c>
      <c r="V69">
        <f>(EA69+(U69+2*0.95*5.67E-8*(((EA69+$B$7)+273)^4-(EA69+273)^4)-44100*J69)/(1.84*29.3*R69+8*0.95*5.67E-8*(EA69+273)^3))</f>
        <v>0</v>
      </c>
      <c r="W69">
        <f>($C$7*EB69+$D$7*EC69+$E$7*V69)</f>
        <v>0</v>
      </c>
      <c r="X69">
        <f>0.61365*exp(17.502*W69/(240.97+W69))</f>
        <v>0</v>
      </c>
      <c r="Y69">
        <f>(Z69/AA69*100)</f>
        <v>0</v>
      </c>
      <c r="Z69">
        <f>DT69*(DY69+DZ69)/1000</f>
        <v>0</v>
      </c>
      <c r="AA69">
        <f>0.61365*exp(17.502*EA69/(240.97+EA69))</f>
        <v>0</v>
      </c>
      <c r="AB69">
        <f>(X69-DT69*(DY69+DZ69)/1000)</f>
        <v>0</v>
      </c>
      <c r="AC69">
        <f>(-J69*44100)</f>
        <v>0</v>
      </c>
      <c r="AD69">
        <f>2*29.3*R69*0.92*(EA69-W69)</f>
        <v>0</v>
      </c>
      <c r="AE69">
        <f>2*0.95*5.67E-8*(((EA69+$B$7)+273)^4-(W69+273)^4)</f>
        <v>0</v>
      </c>
      <c r="AF69">
        <f>U69+AE69+AC69+AD69</f>
        <v>0</v>
      </c>
      <c r="AG69">
        <f>DX69*AU69*(DS69-DR69*(1000-AU69*DU69)/(1000-AU69*DT69))/(100*DL69)</f>
        <v>0</v>
      </c>
      <c r="AH69">
        <f>1000*DX69*AU69*(DT69-DU69)/(100*DL69*(1000-AU69*DT69))</f>
        <v>0</v>
      </c>
      <c r="AI69">
        <f>(AJ69 - AK69 - DY69*1E3/(8.314*(EA69+273.15)) * AM69/DX69 * AL69) * DX69/(100*DL69) * (1000 - DU69)/1000</f>
        <v>0</v>
      </c>
      <c r="AJ69">
        <v>422.530106731708</v>
      </c>
      <c r="AK69">
        <v>415.293478787879</v>
      </c>
      <c r="AL69">
        <v>0.000114367854302391</v>
      </c>
      <c r="AM69">
        <v>64.2047674928869</v>
      </c>
      <c r="AN69">
        <f>(AP69 - AO69 + DY69*1E3/(8.314*(EA69+273.15)) * AR69/DX69 * AQ69) * DX69/(100*DL69) * 1000/(1000 - AP69)</f>
        <v>0</v>
      </c>
      <c r="AO69">
        <v>5.92945411418486</v>
      </c>
      <c r="AP69">
        <v>8.4783634965035</v>
      </c>
      <c r="AQ69">
        <v>3.51017007095103e-05</v>
      </c>
      <c r="AR69">
        <v>109.01488015841</v>
      </c>
      <c r="AS69">
        <v>0</v>
      </c>
      <c r="AT69">
        <v>0</v>
      </c>
      <c r="AU69">
        <f>IF(AS69*$H$13&gt;=AW69,1.0,(AW69/(AW69-AS69*$H$13)))</f>
        <v>0</v>
      </c>
      <c r="AV69">
        <f>(AU69-1)*100</f>
        <v>0</v>
      </c>
      <c r="AW69">
        <f>MAX(0,($B$13+$C$13*EF69)/(1+$D$13*EF69)*DY69/(EA69+273)*$E$13)</f>
        <v>0</v>
      </c>
      <c r="AX69" t="s">
        <v>572</v>
      </c>
      <c r="AY69">
        <v>5110.91</v>
      </c>
      <c r="AZ69">
        <v>714.823076923077</v>
      </c>
      <c r="BA69">
        <v>1930.46444768955</v>
      </c>
      <c r="BB69">
        <f>1-AZ69/BA69</f>
        <v>0</v>
      </c>
      <c r="BC69">
        <v>-0.797918103269906</v>
      </c>
      <c r="BD69" t="s">
        <v>613</v>
      </c>
      <c r="BE69">
        <v>5132.65</v>
      </c>
      <c r="BF69">
        <v>1448.34230769231</v>
      </c>
      <c r="BG69">
        <v>1582.94431536408</v>
      </c>
      <c r="BH69">
        <f>1-BF69/BG69</f>
        <v>0</v>
      </c>
      <c r="BI69">
        <v>0.5</v>
      </c>
      <c r="BJ69">
        <f>DI69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614</v>
      </c>
      <c r="BQ69">
        <v>823.8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BZ69">
        <v>59</v>
      </c>
      <c r="CA69">
        <v>290</v>
      </c>
      <c r="CB69">
        <v>1537.21</v>
      </c>
      <c r="CC69">
        <v>115</v>
      </c>
      <c r="CD69">
        <v>5132.65</v>
      </c>
      <c r="CE69">
        <v>1535.81</v>
      </c>
      <c r="CF69">
        <v>1.4</v>
      </c>
      <c r="CG69">
        <v>300</v>
      </c>
      <c r="CH69">
        <v>23.7</v>
      </c>
      <c r="CI69">
        <v>1582.94431536408</v>
      </c>
      <c r="CJ69">
        <v>2.15081882749139</v>
      </c>
      <c r="CK69">
        <v>-24.1929884328808</v>
      </c>
      <c r="CL69">
        <v>1.00209681306404</v>
      </c>
      <c r="CM69">
        <v>0.954162522270997</v>
      </c>
      <c r="CN69">
        <v>-0.00298240756395995</v>
      </c>
      <c r="CO69">
        <v>290</v>
      </c>
      <c r="CP69">
        <v>1533.87</v>
      </c>
      <c r="CQ69">
        <v>735</v>
      </c>
      <c r="CR69">
        <v>5129.06</v>
      </c>
      <c r="CS69">
        <v>1535.78</v>
      </c>
      <c r="CT69">
        <v>-1.91</v>
      </c>
      <c r="DH69">
        <f>$B$11*EG69+$C$11*EH69+$F$11*ES69*(1-EV69)</f>
        <v>0</v>
      </c>
      <c r="DI69">
        <f>DH69*DJ69</f>
        <v>0</v>
      </c>
      <c r="DJ69">
        <f>($B$11*$D$9+$C$11*$D$9+$F$11*((FF69+EX69)/MAX(FF69+EX69+FG69, 0.1)*$I$9+FG69/MAX(FF69+EX69+FG69, 0.1)*$J$9))/($B$11+$C$11+$F$11)</f>
        <v>0</v>
      </c>
      <c r="DK69">
        <f>($B$11*$K$9+$C$11*$K$9+$F$11*((FF69+EX69)/MAX(FF69+EX69+FG69, 0.1)*$P$9+FG69/MAX(FF69+EX69+FG69, 0.1)*$Q$9))/($B$11+$C$11+$F$11)</f>
        <v>0</v>
      </c>
      <c r="DL69">
        <v>6</v>
      </c>
      <c r="DM69">
        <v>0.5</v>
      </c>
      <c r="DN69" t="s">
        <v>440</v>
      </c>
      <c r="DO69">
        <v>2</v>
      </c>
      <c r="DP69" t="b">
        <v>1</v>
      </c>
      <c r="DQ69">
        <v>1761686156.6</v>
      </c>
      <c r="DR69">
        <v>411.7219375</v>
      </c>
      <c r="DS69">
        <v>420.0051875</v>
      </c>
      <c r="DT69">
        <v>8.470085</v>
      </c>
      <c r="DU69">
        <v>5.929375</v>
      </c>
      <c r="DV69">
        <v>408.838625</v>
      </c>
      <c r="DW69">
        <v>8.57836125</v>
      </c>
      <c r="DX69">
        <v>500.0063125</v>
      </c>
      <c r="DY69">
        <v>90.96239375</v>
      </c>
      <c r="DZ69">
        <v>0.02204971875</v>
      </c>
      <c r="EA69">
        <v>23.693275</v>
      </c>
      <c r="EB69">
        <v>23.78133125</v>
      </c>
      <c r="EC69">
        <v>999.9</v>
      </c>
      <c r="ED69">
        <v>0</v>
      </c>
      <c r="EE69">
        <v>0</v>
      </c>
      <c r="EF69">
        <v>9998.978125</v>
      </c>
      <c r="EG69">
        <v>0</v>
      </c>
      <c r="EH69">
        <v>1262.46125</v>
      </c>
      <c r="EI69">
        <v>-8.28330625</v>
      </c>
      <c r="EJ69">
        <v>415.2390625</v>
      </c>
      <c r="EK69">
        <v>422.510375</v>
      </c>
      <c r="EL69">
        <v>2.540709375</v>
      </c>
      <c r="EM69">
        <v>420.0051875</v>
      </c>
      <c r="EN69">
        <v>5.929375</v>
      </c>
      <c r="EO69">
        <v>0.77045925</v>
      </c>
      <c r="EP69">
        <v>0.53935025</v>
      </c>
      <c r="EQ69">
        <v>3.174375625</v>
      </c>
      <c r="ER69">
        <v>-1.763904375</v>
      </c>
      <c r="ES69">
        <v>1500.019375</v>
      </c>
      <c r="ET69">
        <v>0.973003875</v>
      </c>
      <c r="EU69">
        <v>0.02699625625</v>
      </c>
      <c r="EV69">
        <v>0</v>
      </c>
      <c r="EW69">
        <v>1448.424375</v>
      </c>
      <c r="EX69">
        <v>5.00059</v>
      </c>
      <c r="EY69">
        <v>21635.525</v>
      </c>
      <c r="EZ69">
        <v>12982.55</v>
      </c>
      <c r="FA69">
        <v>40.550375</v>
      </c>
      <c r="FB69">
        <v>41.687</v>
      </c>
      <c r="FC69">
        <v>40.511625</v>
      </c>
      <c r="FD69">
        <v>41</v>
      </c>
      <c r="FE69">
        <v>41.3238125</v>
      </c>
      <c r="FF69">
        <v>1454.661875</v>
      </c>
      <c r="FG69">
        <v>40.3575</v>
      </c>
      <c r="FH69">
        <v>0</v>
      </c>
      <c r="FI69">
        <v>128.200000047684</v>
      </c>
      <c r="FJ69">
        <v>0</v>
      </c>
      <c r="FK69">
        <v>1448.34230769231</v>
      </c>
      <c r="FL69">
        <v>-5.82974358909124</v>
      </c>
      <c r="FM69">
        <v>-82.3726495968878</v>
      </c>
      <c r="FN69">
        <v>21633.9692307692</v>
      </c>
      <c r="FO69">
        <v>15</v>
      </c>
      <c r="FP69">
        <v>0</v>
      </c>
      <c r="FQ69" t="s">
        <v>441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-8.2893225</v>
      </c>
      <c r="GD69">
        <v>0.117405563909789</v>
      </c>
      <c r="GE69">
        <v>0.0394331444187501</v>
      </c>
      <c r="GF69">
        <v>1</v>
      </c>
      <c r="GG69">
        <v>1448.65235294118</v>
      </c>
      <c r="GH69">
        <v>-4.57662337518083</v>
      </c>
      <c r="GI69">
        <v>0.5088167289583</v>
      </c>
      <c r="GJ69">
        <v>-1</v>
      </c>
      <c r="GK69">
        <v>2.5381095</v>
      </c>
      <c r="GL69">
        <v>0.0539490225563899</v>
      </c>
      <c r="GM69">
        <v>0.00538677962701281</v>
      </c>
      <c r="GN69">
        <v>1</v>
      </c>
      <c r="GO69">
        <v>2</v>
      </c>
      <c r="GP69">
        <v>2</v>
      </c>
      <c r="GQ69" t="s">
        <v>442</v>
      </c>
      <c r="GR69">
        <v>3.12814</v>
      </c>
      <c r="GS69">
        <v>2.70023</v>
      </c>
      <c r="GT69">
        <v>0.0878855</v>
      </c>
      <c r="GU69">
        <v>0.0898377</v>
      </c>
      <c r="GV69">
        <v>0.0471518</v>
      </c>
      <c r="GW69">
        <v>0.0352113</v>
      </c>
      <c r="GX69">
        <v>34173.1</v>
      </c>
      <c r="GY69">
        <v>36517.2</v>
      </c>
      <c r="GZ69">
        <v>33909.7</v>
      </c>
      <c r="HA69">
        <v>36339.7</v>
      </c>
      <c r="HB69">
        <v>45659.6</v>
      </c>
      <c r="HC69">
        <v>50312.8</v>
      </c>
      <c r="HD69">
        <v>52881.8</v>
      </c>
      <c r="HE69">
        <v>58023.9</v>
      </c>
      <c r="HF69">
        <v>1.92603</v>
      </c>
      <c r="HG69">
        <v>2.2958</v>
      </c>
      <c r="HH69">
        <v>0.0247769</v>
      </c>
      <c r="HI69">
        <v>0</v>
      </c>
      <c r="HJ69">
        <v>23.3956</v>
      </c>
      <c r="HK69">
        <v>999.9</v>
      </c>
      <c r="HL69">
        <v>20.26</v>
      </c>
      <c r="HM69">
        <v>29.86</v>
      </c>
      <c r="HN69">
        <v>9.41234</v>
      </c>
      <c r="HO69">
        <v>54.1838</v>
      </c>
      <c r="HP69">
        <v>31.1619</v>
      </c>
      <c r="HQ69">
        <v>2</v>
      </c>
      <c r="HR69">
        <v>0.23389</v>
      </c>
      <c r="HS69">
        <v>3.4399</v>
      </c>
      <c r="HT69">
        <v>20.1042</v>
      </c>
      <c r="HU69">
        <v>5.19857</v>
      </c>
      <c r="HV69">
        <v>12.004</v>
      </c>
      <c r="HW69">
        <v>4.97555</v>
      </c>
      <c r="HX69">
        <v>3.294</v>
      </c>
      <c r="HY69">
        <v>9999</v>
      </c>
      <c r="HZ69">
        <v>9999</v>
      </c>
      <c r="IA69">
        <v>9999</v>
      </c>
      <c r="IB69">
        <v>999.9</v>
      </c>
      <c r="IC69">
        <v>1.86324</v>
      </c>
      <c r="ID69">
        <v>1.86813</v>
      </c>
      <c r="IE69">
        <v>1.86784</v>
      </c>
      <c r="IF69">
        <v>1.86905</v>
      </c>
      <c r="IG69">
        <v>1.86981</v>
      </c>
      <c r="IH69">
        <v>1.86586</v>
      </c>
      <c r="II69">
        <v>1.86697</v>
      </c>
      <c r="IJ69">
        <v>1.86844</v>
      </c>
      <c r="IK69">
        <v>5</v>
      </c>
      <c r="IL69">
        <v>0</v>
      </c>
      <c r="IM69">
        <v>0</v>
      </c>
      <c r="IN69">
        <v>0</v>
      </c>
      <c r="IO69" t="s">
        <v>443</v>
      </c>
      <c r="IP69" t="s">
        <v>444</v>
      </c>
      <c r="IQ69" t="s">
        <v>445</v>
      </c>
      <c r="IR69" t="s">
        <v>445</v>
      </c>
      <c r="IS69" t="s">
        <v>445</v>
      </c>
      <c r="IT69" t="s">
        <v>445</v>
      </c>
      <c r="IU69">
        <v>0</v>
      </c>
      <c r="IV69">
        <v>100</v>
      </c>
      <c r="IW69">
        <v>100</v>
      </c>
      <c r="IX69">
        <v>2.883</v>
      </c>
      <c r="IY69">
        <v>-0.1081</v>
      </c>
      <c r="IZ69">
        <v>1.24656194001752</v>
      </c>
      <c r="JA69">
        <v>0.00408463137630218</v>
      </c>
      <c r="JB69">
        <v>-2.23906557180379e-07</v>
      </c>
      <c r="JC69">
        <v>6.23399102760906e-11</v>
      </c>
      <c r="JD69">
        <v>-0.0873394905990972</v>
      </c>
      <c r="JE69">
        <v>-0.0233348201324191</v>
      </c>
      <c r="JF69">
        <v>0.00274696999164489</v>
      </c>
      <c r="JG69">
        <v>-3.62864435074646e-05</v>
      </c>
      <c r="JH69">
        <v>5</v>
      </c>
      <c r="JI69">
        <v>2263</v>
      </c>
      <c r="JJ69">
        <v>1</v>
      </c>
      <c r="JK69">
        <v>24</v>
      </c>
      <c r="JL69">
        <v>29361436.1</v>
      </c>
      <c r="JM69">
        <v>29361436.1</v>
      </c>
      <c r="JN69">
        <v>1.25244</v>
      </c>
      <c r="JO69">
        <v>2.61719</v>
      </c>
      <c r="JP69">
        <v>2.19849</v>
      </c>
      <c r="JQ69">
        <v>2.62573</v>
      </c>
      <c r="JR69">
        <v>2.44629</v>
      </c>
      <c r="JS69">
        <v>2.33643</v>
      </c>
      <c r="JT69">
        <v>33.1992</v>
      </c>
      <c r="JU69">
        <v>24.1926</v>
      </c>
      <c r="JV69">
        <v>18</v>
      </c>
      <c r="JW69">
        <v>502.712</v>
      </c>
      <c r="JX69">
        <v>787.57</v>
      </c>
      <c r="JY69">
        <v>17.9798</v>
      </c>
      <c r="JZ69">
        <v>30.2983</v>
      </c>
      <c r="KA69">
        <v>30.0005</v>
      </c>
      <c r="KB69">
        <v>30.1436</v>
      </c>
      <c r="KC69">
        <v>30.0532</v>
      </c>
      <c r="KD69">
        <v>25.0804</v>
      </c>
      <c r="KE69">
        <v>15.4155</v>
      </c>
      <c r="KF69">
        <v>9.10549</v>
      </c>
      <c r="KG69">
        <v>18.0327</v>
      </c>
      <c r="KH69">
        <v>420</v>
      </c>
      <c r="KI69">
        <v>5.98001</v>
      </c>
      <c r="KJ69">
        <v>96.1401</v>
      </c>
      <c r="KK69">
        <v>94.0457</v>
      </c>
    </row>
    <row r="70" spans="1:297">
      <c r="A70">
        <v>54</v>
      </c>
      <c r="B70">
        <v>1761686235.1</v>
      </c>
      <c r="C70">
        <v>8886</v>
      </c>
      <c r="D70" t="s">
        <v>615</v>
      </c>
      <c r="E70" t="s">
        <v>616</v>
      </c>
      <c r="F70">
        <v>5</v>
      </c>
      <c r="G70" t="s">
        <v>606</v>
      </c>
      <c r="H70" t="s">
        <v>436</v>
      </c>
      <c r="I70">
        <v>1761686226.6</v>
      </c>
      <c r="J70">
        <f>(K70)/1000</f>
        <v>0</v>
      </c>
      <c r="K70">
        <f>IF(DP70, AN70, AH70)</f>
        <v>0</v>
      </c>
      <c r="L70">
        <f>IF(DP70, AI70, AG70)</f>
        <v>0</v>
      </c>
      <c r="M70">
        <f>DR70 - IF(AU70&gt;1, L70*DL70*100.0/(AW70), 0)</f>
        <v>0</v>
      </c>
      <c r="N70">
        <f>((T70-J70/2)*M70-L70)/(T70+J70/2)</f>
        <v>0</v>
      </c>
      <c r="O70">
        <f>N70*(DY70+DZ70)/1000.0</f>
        <v>0</v>
      </c>
      <c r="P70">
        <f>(DR70 - IF(AU70&gt;1, L70*DL70*100.0/(AW70), 0))*(DY70+DZ70)/1000.0</f>
        <v>0</v>
      </c>
      <c r="Q70">
        <f>2.0/((1/S70-1/R70)+SIGN(S70)*SQRT((1/S70-1/R70)*(1/S70-1/R70) + 4*DM70/((DM70+1)*(DM70+1))*(2*1/S70*1/R70-1/R70*1/R70)))</f>
        <v>0</v>
      </c>
      <c r="R70">
        <f>IF(LEFT(DN70,1)&lt;&gt;"0",IF(LEFT(DN70,1)="1",3.0,DO70),$D$5+$E$5*(EF70*DY70/($K$5*1000))+$F$5*(EF70*DY70/($K$5*1000))*MAX(MIN(DL70,$J$5),$I$5)*MAX(MIN(DL70,$J$5),$I$5)+$G$5*MAX(MIN(DL70,$J$5),$I$5)*(EF70*DY70/($K$5*1000))+$H$5*(EF70*DY70/($K$5*1000))*(EF70*DY70/($K$5*1000)))</f>
        <v>0</v>
      </c>
      <c r="S70">
        <f>J70*(1000-(1000*0.61365*exp(17.502*W70/(240.97+W70))/(DY70+DZ70)+DT70)/2)/(1000*0.61365*exp(17.502*W70/(240.97+W70))/(DY70+DZ70)-DT70)</f>
        <v>0</v>
      </c>
      <c r="T70">
        <f>1/((DM70+1)/(Q70/1.6)+1/(R70/1.37)) + DM70/((DM70+1)/(Q70/1.6) + DM70/(R70/1.37))</f>
        <v>0</v>
      </c>
      <c r="U70">
        <f>(DH70*DK70)</f>
        <v>0</v>
      </c>
      <c r="V70">
        <f>(EA70+(U70+2*0.95*5.67E-8*(((EA70+$B$7)+273)^4-(EA70+273)^4)-44100*J70)/(1.84*29.3*R70+8*0.95*5.67E-8*(EA70+273)^3))</f>
        <v>0</v>
      </c>
      <c r="W70">
        <f>($C$7*EB70+$D$7*EC70+$E$7*V70)</f>
        <v>0</v>
      </c>
      <c r="X70">
        <f>0.61365*exp(17.502*W70/(240.97+W70))</f>
        <v>0</v>
      </c>
      <c r="Y70">
        <f>(Z70/AA70*100)</f>
        <v>0</v>
      </c>
      <c r="Z70">
        <f>DT70*(DY70+DZ70)/1000</f>
        <v>0</v>
      </c>
      <c r="AA70">
        <f>0.61365*exp(17.502*EA70/(240.97+EA70))</f>
        <v>0</v>
      </c>
      <c r="AB70">
        <f>(X70-DT70*(DY70+DZ70)/1000)</f>
        <v>0</v>
      </c>
      <c r="AC70">
        <f>(-J70*44100)</f>
        <v>0</v>
      </c>
      <c r="AD70">
        <f>2*29.3*R70*0.92*(EA70-W70)</f>
        <v>0</v>
      </c>
      <c r="AE70">
        <f>2*0.95*5.67E-8*(((EA70+$B$7)+273)^4-(W70+273)^4)</f>
        <v>0</v>
      </c>
      <c r="AF70">
        <f>U70+AE70+AC70+AD70</f>
        <v>0</v>
      </c>
      <c r="AG70">
        <f>DX70*AU70*(DS70-DR70*(1000-AU70*DU70)/(1000-AU70*DT70))/(100*DL70)</f>
        <v>0</v>
      </c>
      <c r="AH70">
        <f>1000*DX70*AU70*(DT70-DU70)/(100*DL70*(1000-AU70*DT70))</f>
        <v>0</v>
      </c>
      <c r="AI70">
        <f>(AJ70 - AK70 - DY70*1E3/(8.314*(EA70+273.15)) * AM70/DX70 * AL70) * DX70/(100*DL70) * (1000 - DU70)/1000</f>
        <v>0</v>
      </c>
      <c r="AJ70">
        <v>422.608264049578</v>
      </c>
      <c r="AK70">
        <v>415.729321212121</v>
      </c>
      <c r="AL70">
        <v>0.000155022058958088</v>
      </c>
      <c r="AM70">
        <v>64.2047674928869</v>
      </c>
      <c r="AN70">
        <f>(AP70 - AO70 + DY70*1E3/(8.314*(EA70+273.15)) * AR70/DX70 * AQ70) * DX70/(100*DL70) * 1000/(1000 - AP70)</f>
        <v>0</v>
      </c>
      <c r="AO70">
        <v>6.09853096700032</v>
      </c>
      <c r="AP70">
        <v>8.59377426573427</v>
      </c>
      <c r="AQ70">
        <v>0.000264939071922529</v>
      </c>
      <c r="AR70">
        <v>109.01488015841</v>
      </c>
      <c r="AS70">
        <v>0</v>
      </c>
      <c r="AT70">
        <v>0</v>
      </c>
      <c r="AU70">
        <f>IF(AS70*$H$13&gt;=AW70,1.0,(AW70/(AW70-AS70*$H$13)))</f>
        <v>0</v>
      </c>
      <c r="AV70">
        <f>(AU70-1)*100</f>
        <v>0</v>
      </c>
      <c r="AW70">
        <f>MAX(0,($B$13+$C$13*EF70)/(1+$D$13*EF70)*DY70/(EA70+273)*$E$13)</f>
        <v>0</v>
      </c>
      <c r="AX70" t="s">
        <v>448</v>
      </c>
      <c r="AY70" t="s">
        <v>448</v>
      </c>
      <c r="AZ70">
        <v>0</v>
      </c>
      <c r="BA70">
        <v>0</v>
      </c>
      <c r="BB70">
        <f>1-AZ70/BA70</f>
        <v>0</v>
      </c>
      <c r="BC70">
        <v>0</v>
      </c>
      <c r="BD70" t="s">
        <v>448</v>
      </c>
      <c r="BE70" t="s">
        <v>448</v>
      </c>
      <c r="BF70">
        <v>0</v>
      </c>
      <c r="BG70">
        <v>0</v>
      </c>
      <c r="BH70">
        <f>1-BF70/BG70</f>
        <v>0</v>
      </c>
      <c r="BI70">
        <v>0.5</v>
      </c>
      <c r="BJ70">
        <f>DI70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448</v>
      </c>
      <c r="BQ70">
        <v>0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BZ70">
        <v>59</v>
      </c>
      <c r="CA70">
        <v>290</v>
      </c>
      <c r="CB70">
        <v>1537.21</v>
      </c>
      <c r="CC70">
        <v>115</v>
      </c>
      <c r="CD70">
        <v>5132.65</v>
      </c>
      <c r="CE70">
        <v>1535.81</v>
      </c>
      <c r="CF70">
        <v>1.4</v>
      </c>
      <c r="CG70">
        <v>300</v>
      </c>
      <c r="CH70">
        <v>23.7</v>
      </c>
      <c r="CI70">
        <v>1582.94431536408</v>
      </c>
      <c r="CJ70">
        <v>2.15081882749139</v>
      </c>
      <c r="CK70">
        <v>-24.1929884328808</v>
      </c>
      <c r="CL70">
        <v>1.00209681306404</v>
      </c>
      <c r="CM70">
        <v>0.954162522270997</v>
      </c>
      <c r="CN70">
        <v>-0.00298240756395995</v>
      </c>
      <c r="CO70">
        <v>290</v>
      </c>
      <c r="CP70">
        <v>1533.87</v>
      </c>
      <c r="CQ70">
        <v>735</v>
      </c>
      <c r="CR70">
        <v>5129.06</v>
      </c>
      <c r="CS70">
        <v>1535.78</v>
      </c>
      <c r="CT70">
        <v>-1.91</v>
      </c>
      <c r="DH70">
        <f>$B$11*EG70+$C$11*EH70+$F$11*ES70*(1-EV70)</f>
        <v>0</v>
      </c>
      <c r="DI70">
        <f>DH70*DJ70</f>
        <v>0</v>
      </c>
      <c r="DJ70">
        <f>($B$11*$D$9+$C$11*$D$9+$F$11*((FF70+EX70)/MAX(FF70+EX70+FG70, 0.1)*$I$9+FG70/MAX(FF70+EX70+FG70, 0.1)*$J$9))/($B$11+$C$11+$F$11)</f>
        <v>0</v>
      </c>
      <c r="DK70">
        <f>($B$11*$K$9+$C$11*$K$9+$F$11*((FF70+EX70)/MAX(FF70+EX70+FG70, 0.1)*$P$9+FG70/MAX(FF70+EX70+FG70, 0.1)*$Q$9))/($B$11+$C$11+$F$11)</f>
        <v>0</v>
      </c>
      <c r="DL70">
        <v>6</v>
      </c>
      <c r="DM70">
        <v>0.5</v>
      </c>
      <c r="DN70" t="s">
        <v>440</v>
      </c>
      <c r="DO70">
        <v>2</v>
      </c>
      <c r="DP70" t="b">
        <v>1</v>
      </c>
      <c r="DQ70">
        <v>1761686226.6</v>
      </c>
      <c r="DR70">
        <v>412.147375</v>
      </c>
      <c r="DS70">
        <v>419.9866875</v>
      </c>
      <c r="DT70">
        <v>8.56843</v>
      </c>
      <c r="DU70">
        <v>6.080488125</v>
      </c>
      <c r="DV70">
        <v>409.262375</v>
      </c>
      <c r="DW70">
        <v>8.67516</v>
      </c>
      <c r="DX70">
        <v>500.0108125</v>
      </c>
      <c r="DY70">
        <v>90.959675</v>
      </c>
      <c r="DZ70">
        <v>0.02198544375</v>
      </c>
      <c r="EA70">
        <v>24.0419125</v>
      </c>
      <c r="EB70">
        <v>23.925575</v>
      </c>
      <c r="EC70">
        <v>999.9</v>
      </c>
      <c r="ED70">
        <v>0</v>
      </c>
      <c r="EE70">
        <v>0</v>
      </c>
      <c r="EF70">
        <v>9998.20625</v>
      </c>
      <c r="EG70">
        <v>0</v>
      </c>
      <c r="EH70">
        <v>1262.436875</v>
      </c>
      <c r="EI70">
        <v>-7.8392225</v>
      </c>
      <c r="EJ70">
        <v>415.7093125</v>
      </c>
      <c r="EK70">
        <v>422.5558125</v>
      </c>
      <c r="EL70">
        <v>2.487943125</v>
      </c>
      <c r="EM70">
        <v>419.9866875</v>
      </c>
      <c r="EN70">
        <v>6.080488125</v>
      </c>
      <c r="EO70">
        <v>0.7793815625</v>
      </c>
      <c r="EP70">
        <v>0.553079125</v>
      </c>
      <c r="EQ70">
        <v>3.3372025</v>
      </c>
      <c r="ER70">
        <v>-1.422469375</v>
      </c>
      <c r="ES70">
        <v>1200.01</v>
      </c>
      <c r="ET70">
        <v>0.96700475</v>
      </c>
      <c r="EU70">
        <v>0.0329954375</v>
      </c>
      <c r="EV70">
        <v>0</v>
      </c>
      <c r="EW70">
        <v>1422.18625</v>
      </c>
      <c r="EX70">
        <v>5.00059</v>
      </c>
      <c r="EY70">
        <v>16949.35625</v>
      </c>
      <c r="EZ70">
        <v>10358.8125</v>
      </c>
      <c r="FA70">
        <v>40.159875</v>
      </c>
      <c r="FB70">
        <v>41.636625</v>
      </c>
      <c r="FC70">
        <v>40.386625</v>
      </c>
      <c r="FD70">
        <v>41</v>
      </c>
      <c r="FE70">
        <v>41.0974375</v>
      </c>
      <c r="FF70">
        <v>1155.58</v>
      </c>
      <c r="FG70">
        <v>39.43</v>
      </c>
      <c r="FH70">
        <v>0</v>
      </c>
      <c r="FI70">
        <v>67</v>
      </c>
      <c r="FJ70">
        <v>0</v>
      </c>
      <c r="FK70">
        <v>1422.16923076923</v>
      </c>
      <c r="FL70">
        <v>-4.64341880536564</v>
      </c>
      <c r="FM70">
        <v>-73.5452989986656</v>
      </c>
      <c r="FN70">
        <v>16948.2923076923</v>
      </c>
      <c r="FO70">
        <v>15</v>
      </c>
      <c r="FP70">
        <v>0</v>
      </c>
      <c r="FQ70" t="s">
        <v>441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-7.832184</v>
      </c>
      <c r="GD70">
        <v>-0.22017654135339</v>
      </c>
      <c r="GE70">
        <v>0.0394353872048952</v>
      </c>
      <c r="GF70">
        <v>1</v>
      </c>
      <c r="GG70">
        <v>1422.50235294118</v>
      </c>
      <c r="GH70">
        <v>-4.74285714898258</v>
      </c>
      <c r="GI70">
        <v>0.505522786031678</v>
      </c>
      <c r="GJ70">
        <v>-1</v>
      </c>
      <c r="GK70">
        <v>2.4901095</v>
      </c>
      <c r="GL70">
        <v>-0.0679114285714304</v>
      </c>
      <c r="GM70">
        <v>0.00879030401920206</v>
      </c>
      <c r="GN70">
        <v>1</v>
      </c>
      <c r="GO70">
        <v>2</v>
      </c>
      <c r="GP70">
        <v>2</v>
      </c>
      <c r="GQ70" t="s">
        <v>442</v>
      </c>
      <c r="GR70">
        <v>3.12789</v>
      </c>
      <c r="GS70">
        <v>2.70009</v>
      </c>
      <c r="GT70">
        <v>0.0879324</v>
      </c>
      <c r="GU70">
        <v>0.0898258</v>
      </c>
      <c r="GV70">
        <v>0.0476715</v>
      </c>
      <c r="GW70">
        <v>0.0361353</v>
      </c>
      <c r="GX70">
        <v>34168</v>
      </c>
      <c r="GY70">
        <v>36513.2</v>
      </c>
      <c r="GZ70">
        <v>33906.6</v>
      </c>
      <c r="HA70">
        <v>36335.5</v>
      </c>
      <c r="HB70">
        <v>45631.2</v>
      </c>
      <c r="HC70">
        <v>50258.6</v>
      </c>
      <c r="HD70">
        <v>52878</v>
      </c>
      <c r="HE70">
        <v>58017.4</v>
      </c>
      <c r="HF70">
        <v>1.92515</v>
      </c>
      <c r="HG70">
        <v>2.29575</v>
      </c>
      <c r="HH70">
        <v>0.0280179</v>
      </c>
      <c r="HI70">
        <v>0</v>
      </c>
      <c r="HJ70">
        <v>23.5282</v>
      </c>
      <c r="HK70">
        <v>999.9</v>
      </c>
      <c r="HL70">
        <v>20.187</v>
      </c>
      <c r="HM70">
        <v>29.839</v>
      </c>
      <c r="HN70">
        <v>9.36835</v>
      </c>
      <c r="HO70">
        <v>54.4139</v>
      </c>
      <c r="HP70">
        <v>31.1098</v>
      </c>
      <c r="HQ70">
        <v>2</v>
      </c>
      <c r="HR70">
        <v>0.235109</v>
      </c>
      <c r="HS70">
        <v>2.77555</v>
      </c>
      <c r="HT70">
        <v>20.1166</v>
      </c>
      <c r="HU70">
        <v>5.19468</v>
      </c>
      <c r="HV70">
        <v>12.004</v>
      </c>
      <c r="HW70">
        <v>4.97535</v>
      </c>
      <c r="HX70">
        <v>3.29395</v>
      </c>
      <c r="HY70">
        <v>9999</v>
      </c>
      <c r="HZ70">
        <v>9999</v>
      </c>
      <c r="IA70">
        <v>9999</v>
      </c>
      <c r="IB70">
        <v>999.9</v>
      </c>
      <c r="IC70">
        <v>1.86324</v>
      </c>
      <c r="ID70">
        <v>1.86813</v>
      </c>
      <c r="IE70">
        <v>1.86784</v>
      </c>
      <c r="IF70">
        <v>1.86904</v>
      </c>
      <c r="IG70">
        <v>1.86981</v>
      </c>
      <c r="IH70">
        <v>1.86587</v>
      </c>
      <c r="II70">
        <v>1.86701</v>
      </c>
      <c r="IJ70">
        <v>1.86844</v>
      </c>
      <c r="IK70">
        <v>5</v>
      </c>
      <c r="IL70">
        <v>0</v>
      </c>
      <c r="IM70">
        <v>0</v>
      </c>
      <c r="IN70">
        <v>0</v>
      </c>
      <c r="IO70" t="s">
        <v>443</v>
      </c>
      <c r="IP70" t="s">
        <v>444</v>
      </c>
      <c r="IQ70" t="s">
        <v>445</v>
      </c>
      <c r="IR70" t="s">
        <v>445</v>
      </c>
      <c r="IS70" t="s">
        <v>445</v>
      </c>
      <c r="IT70" t="s">
        <v>445</v>
      </c>
      <c r="IU70">
        <v>0</v>
      </c>
      <c r="IV70">
        <v>100</v>
      </c>
      <c r="IW70">
        <v>100</v>
      </c>
      <c r="IX70">
        <v>2.885</v>
      </c>
      <c r="IY70">
        <v>-0.1063</v>
      </c>
      <c r="IZ70">
        <v>1.24656194001752</v>
      </c>
      <c r="JA70">
        <v>0.00408463137630218</v>
      </c>
      <c r="JB70">
        <v>-2.23906557180379e-07</v>
      </c>
      <c r="JC70">
        <v>6.23399102760906e-11</v>
      </c>
      <c r="JD70">
        <v>-0.0873394905990972</v>
      </c>
      <c r="JE70">
        <v>-0.0233348201324191</v>
      </c>
      <c r="JF70">
        <v>0.00274696999164489</v>
      </c>
      <c r="JG70">
        <v>-3.62864435074646e-05</v>
      </c>
      <c r="JH70">
        <v>5</v>
      </c>
      <c r="JI70">
        <v>2263</v>
      </c>
      <c r="JJ70">
        <v>1</v>
      </c>
      <c r="JK70">
        <v>24</v>
      </c>
      <c r="JL70">
        <v>29361437.3</v>
      </c>
      <c r="JM70">
        <v>29361437.3</v>
      </c>
      <c r="JN70">
        <v>1.25244</v>
      </c>
      <c r="JO70">
        <v>2.62695</v>
      </c>
      <c r="JP70">
        <v>2.19849</v>
      </c>
      <c r="JQ70">
        <v>2.62451</v>
      </c>
      <c r="JR70">
        <v>2.44507</v>
      </c>
      <c r="JS70">
        <v>2.29248</v>
      </c>
      <c r="JT70">
        <v>33.1769</v>
      </c>
      <c r="JU70">
        <v>24.1838</v>
      </c>
      <c r="JV70">
        <v>18</v>
      </c>
      <c r="JW70">
        <v>502.69</v>
      </c>
      <c r="JX70">
        <v>788.449</v>
      </c>
      <c r="JY70">
        <v>19.9904</v>
      </c>
      <c r="JZ70">
        <v>30.3495</v>
      </c>
      <c r="KA70">
        <v>30.0007</v>
      </c>
      <c r="KB70">
        <v>30.2096</v>
      </c>
      <c r="KC70">
        <v>30.1206</v>
      </c>
      <c r="KD70">
        <v>25.0826</v>
      </c>
      <c r="KE70">
        <v>10.7621</v>
      </c>
      <c r="KF70">
        <v>9.10549</v>
      </c>
      <c r="KG70">
        <v>19.9739</v>
      </c>
      <c r="KH70">
        <v>420</v>
      </c>
      <c r="KI70">
        <v>6.2325</v>
      </c>
      <c r="KJ70">
        <v>96.1325</v>
      </c>
      <c r="KK70">
        <v>94.035</v>
      </c>
    </row>
    <row r="71" spans="1:297">
      <c r="A71">
        <v>55</v>
      </c>
      <c r="B71">
        <v>1761686296.1</v>
      </c>
      <c r="C71">
        <v>8947</v>
      </c>
      <c r="D71" t="s">
        <v>617</v>
      </c>
      <c r="E71" t="s">
        <v>618</v>
      </c>
      <c r="F71">
        <v>5</v>
      </c>
      <c r="G71" t="s">
        <v>606</v>
      </c>
      <c r="H71" t="s">
        <v>436</v>
      </c>
      <c r="I71">
        <v>1761686287.6</v>
      </c>
      <c r="J71">
        <f>(K71)/1000</f>
        <v>0</v>
      </c>
      <c r="K71">
        <f>IF(DP71, AN71, AH71)</f>
        <v>0</v>
      </c>
      <c r="L71">
        <f>IF(DP71, AI71, AG71)</f>
        <v>0</v>
      </c>
      <c r="M71">
        <f>DR71 - IF(AU71&gt;1, L71*DL71*100.0/(AW71), 0)</f>
        <v>0</v>
      </c>
      <c r="N71">
        <f>((T71-J71/2)*M71-L71)/(T71+J71/2)</f>
        <v>0</v>
      </c>
      <c r="O71">
        <f>N71*(DY71+DZ71)/1000.0</f>
        <v>0</v>
      </c>
      <c r="P71">
        <f>(DR71 - IF(AU71&gt;1, L71*DL71*100.0/(AW71), 0))*(DY71+DZ71)/1000.0</f>
        <v>0</v>
      </c>
      <c r="Q71">
        <f>2.0/((1/S71-1/R71)+SIGN(S71)*SQRT((1/S71-1/R71)*(1/S71-1/R71) + 4*DM71/((DM71+1)*(DM71+1))*(2*1/S71*1/R71-1/R71*1/R71)))</f>
        <v>0</v>
      </c>
      <c r="R71">
        <f>IF(LEFT(DN71,1)&lt;&gt;"0",IF(LEFT(DN71,1)="1",3.0,DO71),$D$5+$E$5*(EF71*DY71/($K$5*1000))+$F$5*(EF71*DY71/($K$5*1000))*MAX(MIN(DL71,$J$5),$I$5)*MAX(MIN(DL71,$J$5),$I$5)+$G$5*MAX(MIN(DL71,$J$5),$I$5)*(EF71*DY71/($K$5*1000))+$H$5*(EF71*DY71/($K$5*1000))*(EF71*DY71/($K$5*1000)))</f>
        <v>0</v>
      </c>
      <c r="S71">
        <f>J71*(1000-(1000*0.61365*exp(17.502*W71/(240.97+W71))/(DY71+DZ71)+DT71)/2)/(1000*0.61365*exp(17.502*W71/(240.97+W71))/(DY71+DZ71)-DT71)</f>
        <v>0</v>
      </c>
      <c r="T71">
        <f>1/((DM71+1)/(Q71/1.6)+1/(R71/1.37)) + DM71/((DM71+1)/(Q71/1.6) + DM71/(R71/1.37))</f>
        <v>0</v>
      </c>
      <c r="U71">
        <f>(DH71*DK71)</f>
        <v>0</v>
      </c>
      <c r="V71">
        <f>(EA71+(U71+2*0.95*5.67E-8*(((EA71+$B$7)+273)^4-(EA71+273)^4)-44100*J71)/(1.84*29.3*R71+8*0.95*5.67E-8*(EA71+273)^3))</f>
        <v>0</v>
      </c>
      <c r="W71">
        <f>($C$7*EB71+$D$7*EC71+$E$7*V71)</f>
        <v>0</v>
      </c>
      <c r="X71">
        <f>0.61365*exp(17.502*W71/(240.97+W71))</f>
        <v>0</v>
      </c>
      <c r="Y71">
        <f>(Z71/AA71*100)</f>
        <v>0</v>
      </c>
      <c r="Z71">
        <f>DT71*(DY71+DZ71)/1000</f>
        <v>0</v>
      </c>
      <c r="AA71">
        <f>0.61365*exp(17.502*EA71/(240.97+EA71))</f>
        <v>0</v>
      </c>
      <c r="AB71">
        <f>(X71-DT71*(DY71+DZ71)/1000)</f>
        <v>0</v>
      </c>
      <c r="AC71">
        <f>(-J71*44100)</f>
        <v>0</v>
      </c>
      <c r="AD71">
        <f>2*29.3*R71*0.92*(EA71-W71)</f>
        <v>0</v>
      </c>
      <c r="AE71">
        <f>2*0.95*5.67E-8*(((EA71+$B$7)+273)^4-(W71+273)^4)</f>
        <v>0</v>
      </c>
      <c r="AF71">
        <f>U71+AE71+AC71+AD71</f>
        <v>0</v>
      </c>
      <c r="AG71">
        <f>DX71*AU71*(DS71-DR71*(1000-AU71*DU71)/(1000-AU71*DT71))/(100*DL71)</f>
        <v>0</v>
      </c>
      <c r="AH71">
        <f>1000*DX71*AU71*(DT71-DU71)/(100*DL71*(1000-AU71*DT71))</f>
        <v>0</v>
      </c>
      <c r="AI71">
        <f>(AJ71 - AK71 - DY71*1E3/(8.314*(EA71+273.15)) * AM71/DX71 * AL71) * DX71/(100*DL71) * (1000 - DU71)/1000</f>
        <v>0</v>
      </c>
      <c r="AJ71">
        <v>422.660101431577</v>
      </c>
      <c r="AK71">
        <v>415.9044</v>
      </c>
      <c r="AL71">
        <v>-0.000319261781788638</v>
      </c>
      <c r="AM71">
        <v>64.2047674928869</v>
      </c>
      <c r="AN71">
        <f>(AP71 - AO71 + DY71*1E3/(8.314*(EA71+273.15)) * AR71/DX71 * AQ71) * DX71/(100*DL71) * 1000/(1000 - AP71)</f>
        <v>0</v>
      </c>
      <c r="AO71">
        <v>6.28195154560975</v>
      </c>
      <c r="AP71">
        <v>8.69307132867133</v>
      </c>
      <c r="AQ71">
        <v>4.04669218605962e-05</v>
      </c>
      <c r="AR71">
        <v>109.01488015841</v>
      </c>
      <c r="AS71">
        <v>0</v>
      </c>
      <c r="AT71">
        <v>0</v>
      </c>
      <c r="AU71">
        <f>IF(AS71*$H$13&gt;=AW71,1.0,(AW71/(AW71-AS71*$H$13)))</f>
        <v>0</v>
      </c>
      <c r="AV71">
        <f>(AU71-1)*100</f>
        <v>0</v>
      </c>
      <c r="AW71">
        <f>MAX(0,($B$13+$C$13*EF71)/(1+$D$13*EF71)*DY71/(EA71+273)*$E$13)</f>
        <v>0</v>
      </c>
      <c r="AX71" t="s">
        <v>572</v>
      </c>
      <c r="AY71">
        <v>5110.91</v>
      </c>
      <c r="AZ71">
        <v>714.823076923077</v>
      </c>
      <c r="BA71">
        <v>1930.46444768955</v>
      </c>
      <c r="BB71">
        <f>1-AZ71/BA71</f>
        <v>0</v>
      </c>
      <c r="BC71">
        <v>-0.797918103269906</v>
      </c>
      <c r="BD71" t="s">
        <v>619</v>
      </c>
      <c r="BE71">
        <v>5134.66</v>
      </c>
      <c r="BF71">
        <v>1374.49461538462</v>
      </c>
      <c r="BG71">
        <v>1589.10485420626</v>
      </c>
      <c r="BH71">
        <f>1-BF71/BG71</f>
        <v>0</v>
      </c>
      <c r="BI71">
        <v>0.5</v>
      </c>
      <c r="BJ71">
        <f>DI71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620</v>
      </c>
      <c r="BQ71">
        <v>819.33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BZ71">
        <v>61</v>
      </c>
      <c r="CA71">
        <v>290</v>
      </c>
      <c r="CB71">
        <v>1546.08</v>
      </c>
      <c r="CC71">
        <v>135</v>
      </c>
      <c r="CD71">
        <v>5134.66</v>
      </c>
      <c r="CE71">
        <v>1544.89</v>
      </c>
      <c r="CF71">
        <v>1.19</v>
      </c>
      <c r="CG71">
        <v>300</v>
      </c>
      <c r="CH71">
        <v>23.8</v>
      </c>
      <c r="CI71">
        <v>1589.10485420626</v>
      </c>
      <c r="CJ71">
        <v>1.45338772785678</v>
      </c>
      <c r="CK71">
        <v>-22.703229347312</v>
      </c>
      <c r="CL71">
        <v>0.665179458254077</v>
      </c>
      <c r="CM71">
        <v>0.976528262800692</v>
      </c>
      <c r="CN71">
        <v>-0.00348824026696329</v>
      </c>
      <c r="CO71">
        <v>290</v>
      </c>
      <c r="CP71">
        <v>1543.07</v>
      </c>
      <c r="CQ71">
        <v>705</v>
      </c>
      <c r="CR71">
        <v>5131.35</v>
      </c>
      <c r="CS71">
        <v>1544.86</v>
      </c>
      <c r="CT71">
        <v>-1.79</v>
      </c>
      <c r="DH71">
        <f>$B$11*EG71+$C$11*EH71+$F$11*ES71*(1-EV71)</f>
        <v>0</v>
      </c>
      <c r="DI71">
        <f>DH71*DJ71</f>
        <v>0</v>
      </c>
      <c r="DJ71">
        <f>($B$11*$D$9+$C$11*$D$9+$F$11*((FF71+EX71)/MAX(FF71+EX71+FG71, 0.1)*$I$9+FG71/MAX(FF71+EX71+FG71, 0.1)*$J$9))/($B$11+$C$11+$F$11)</f>
        <v>0</v>
      </c>
      <c r="DK71">
        <f>($B$11*$K$9+$C$11*$K$9+$F$11*((FF71+EX71)/MAX(FF71+EX71+FG71, 0.1)*$P$9+FG71/MAX(FF71+EX71+FG71, 0.1)*$Q$9))/($B$11+$C$11+$F$11)</f>
        <v>0</v>
      </c>
      <c r="DL71">
        <v>6</v>
      </c>
      <c r="DM71">
        <v>0.5</v>
      </c>
      <c r="DN71" t="s">
        <v>440</v>
      </c>
      <c r="DO71">
        <v>2</v>
      </c>
      <c r="DP71" t="b">
        <v>1</v>
      </c>
      <c r="DQ71">
        <v>1761686287.6</v>
      </c>
      <c r="DR71">
        <v>412.254625</v>
      </c>
      <c r="DS71">
        <v>420.007</v>
      </c>
      <c r="DT71">
        <v>8.683673125</v>
      </c>
      <c r="DU71">
        <v>6.28121625</v>
      </c>
      <c r="DV71">
        <v>409.3691875</v>
      </c>
      <c r="DW71">
        <v>8.788553125</v>
      </c>
      <c r="DX71">
        <v>499.9693125</v>
      </c>
      <c r="DY71">
        <v>90.96486875</v>
      </c>
      <c r="DZ71">
        <v>0.02215566875</v>
      </c>
      <c r="EA71">
        <v>24.17429375</v>
      </c>
      <c r="EB71">
        <v>23.84313125</v>
      </c>
      <c r="EC71">
        <v>999.9</v>
      </c>
      <c r="ED71">
        <v>0</v>
      </c>
      <c r="EE71">
        <v>0</v>
      </c>
      <c r="EF71">
        <v>10003.444375</v>
      </c>
      <c r="EG71">
        <v>0</v>
      </c>
      <c r="EH71">
        <v>1262.42625</v>
      </c>
      <c r="EI71">
        <v>-7.752548125</v>
      </c>
      <c r="EJ71">
        <v>415.865875</v>
      </c>
      <c r="EK71">
        <v>422.662</v>
      </c>
      <c r="EL71">
        <v>2.40245875</v>
      </c>
      <c r="EM71">
        <v>420.007</v>
      </c>
      <c r="EN71">
        <v>6.28121625</v>
      </c>
      <c r="EO71">
        <v>0.7899095</v>
      </c>
      <c r="EP71">
        <v>0.57137</v>
      </c>
      <c r="EQ71">
        <v>3.527249375</v>
      </c>
      <c r="ER71">
        <v>-0.978887375</v>
      </c>
      <c r="ES71">
        <v>900.0274375</v>
      </c>
      <c r="ET71">
        <v>0.9560076875</v>
      </c>
      <c r="EU71">
        <v>0.043992225</v>
      </c>
      <c r="EV71">
        <v>0</v>
      </c>
      <c r="EW71">
        <v>1374.525</v>
      </c>
      <c r="EX71">
        <v>5.00059</v>
      </c>
      <c r="EY71">
        <v>12233.91875</v>
      </c>
      <c r="EZ71">
        <v>7733.0625</v>
      </c>
      <c r="FA71">
        <v>39.683375</v>
      </c>
      <c r="FB71">
        <v>41.5465</v>
      </c>
      <c r="FC71">
        <v>40.16375</v>
      </c>
      <c r="FD71">
        <v>40.9215</v>
      </c>
      <c r="FE71">
        <v>40.8199375</v>
      </c>
      <c r="FF71">
        <v>855.65125</v>
      </c>
      <c r="FG71">
        <v>39.37</v>
      </c>
      <c r="FH71">
        <v>0</v>
      </c>
      <c r="FI71">
        <v>128.200000047684</v>
      </c>
      <c r="FJ71">
        <v>0</v>
      </c>
      <c r="FK71">
        <v>1374.49461538462</v>
      </c>
      <c r="FL71">
        <v>0.379487181172771</v>
      </c>
      <c r="FM71">
        <v>-10.9470086581835</v>
      </c>
      <c r="FN71">
        <v>12233.5230769231</v>
      </c>
      <c r="FO71">
        <v>15</v>
      </c>
      <c r="FP71">
        <v>0</v>
      </c>
      <c r="FQ71" t="s">
        <v>441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-7.75320428571429</v>
      </c>
      <c r="GD71">
        <v>0.131633766233763</v>
      </c>
      <c r="GE71">
        <v>0.0447902629269044</v>
      </c>
      <c r="GF71">
        <v>1</v>
      </c>
      <c r="GG71">
        <v>1374.49823529412</v>
      </c>
      <c r="GH71">
        <v>0.479755536309033</v>
      </c>
      <c r="GI71">
        <v>0.207612061706674</v>
      </c>
      <c r="GJ71">
        <v>-1</v>
      </c>
      <c r="GK71">
        <v>2.4002319047619</v>
      </c>
      <c r="GL71">
        <v>0.0390997402597435</v>
      </c>
      <c r="GM71">
        <v>0.00442001144045879</v>
      </c>
      <c r="GN71">
        <v>1</v>
      </c>
      <c r="GO71">
        <v>2</v>
      </c>
      <c r="GP71">
        <v>2</v>
      </c>
      <c r="GQ71" t="s">
        <v>442</v>
      </c>
      <c r="GR71">
        <v>3.12814</v>
      </c>
      <c r="GS71">
        <v>2.70015</v>
      </c>
      <c r="GT71">
        <v>0.0879499</v>
      </c>
      <c r="GU71">
        <v>0.0898244</v>
      </c>
      <c r="GV71">
        <v>0.0480959</v>
      </c>
      <c r="GW71">
        <v>0.0370312</v>
      </c>
      <c r="GX71">
        <v>34166.5</v>
      </c>
      <c r="GY71">
        <v>36511.6</v>
      </c>
      <c r="GZ71">
        <v>33905.9</v>
      </c>
      <c r="HA71">
        <v>36334</v>
      </c>
      <c r="HB71">
        <v>45610.2</v>
      </c>
      <c r="HC71">
        <v>50209.8</v>
      </c>
      <c r="HD71">
        <v>52877.5</v>
      </c>
      <c r="HE71">
        <v>58015.3</v>
      </c>
      <c r="HF71">
        <v>1.92515</v>
      </c>
      <c r="HG71">
        <v>2.29555</v>
      </c>
      <c r="HH71">
        <v>0.0127256</v>
      </c>
      <c r="HI71">
        <v>0</v>
      </c>
      <c r="HJ71">
        <v>23.6802</v>
      </c>
      <c r="HK71">
        <v>999.9</v>
      </c>
      <c r="HL71">
        <v>20.107</v>
      </c>
      <c r="HM71">
        <v>29.829</v>
      </c>
      <c r="HN71">
        <v>9.32563</v>
      </c>
      <c r="HO71">
        <v>54.0439</v>
      </c>
      <c r="HP71">
        <v>31.0857</v>
      </c>
      <c r="HQ71">
        <v>2</v>
      </c>
      <c r="HR71">
        <v>0.236806</v>
      </c>
      <c r="HS71">
        <v>2.59565</v>
      </c>
      <c r="HT71">
        <v>20.1226</v>
      </c>
      <c r="HU71">
        <v>5.19887</v>
      </c>
      <c r="HV71">
        <v>12.0041</v>
      </c>
      <c r="HW71">
        <v>4.974</v>
      </c>
      <c r="HX71">
        <v>3.29395</v>
      </c>
      <c r="HY71">
        <v>9999</v>
      </c>
      <c r="HZ71">
        <v>9999</v>
      </c>
      <c r="IA71">
        <v>9999</v>
      </c>
      <c r="IB71">
        <v>999.9</v>
      </c>
      <c r="IC71">
        <v>1.86324</v>
      </c>
      <c r="ID71">
        <v>1.86812</v>
      </c>
      <c r="IE71">
        <v>1.86788</v>
      </c>
      <c r="IF71">
        <v>1.86902</v>
      </c>
      <c r="IG71">
        <v>1.86982</v>
      </c>
      <c r="IH71">
        <v>1.86588</v>
      </c>
      <c r="II71">
        <v>1.86697</v>
      </c>
      <c r="IJ71">
        <v>1.86844</v>
      </c>
      <c r="IK71">
        <v>5</v>
      </c>
      <c r="IL71">
        <v>0</v>
      </c>
      <c r="IM71">
        <v>0</v>
      </c>
      <c r="IN71">
        <v>0</v>
      </c>
      <c r="IO71" t="s">
        <v>443</v>
      </c>
      <c r="IP71" t="s">
        <v>444</v>
      </c>
      <c r="IQ71" t="s">
        <v>445</v>
      </c>
      <c r="IR71" t="s">
        <v>445</v>
      </c>
      <c r="IS71" t="s">
        <v>445</v>
      </c>
      <c r="IT71" t="s">
        <v>445</v>
      </c>
      <c r="IU71">
        <v>0</v>
      </c>
      <c r="IV71">
        <v>100</v>
      </c>
      <c r="IW71">
        <v>100</v>
      </c>
      <c r="IX71">
        <v>2.886</v>
      </c>
      <c r="IY71">
        <v>-0.1047</v>
      </c>
      <c r="IZ71">
        <v>1.24656194001752</v>
      </c>
      <c r="JA71">
        <v>0.00408463137630218</v>
      </c>
      <c r="JB71">
        <v>-2.23906557180379e-07</v>
      </c>
      <c r="JC71">
        <v>6.23399102760906e-11</v>
      </c>
      <c r="JD71">
        <v>-0.0873394905990972</v>
      </c>
      <c r="JE71">
        <v>-0.0233348201324191</v>
      </c>
      <c r="JF71">
        <v>0.00274696999164489</v>
      </c>
      <c r="JG71">
        <v>-3.62864435074646e-05</v>
      </c>
      <c r="JH71">
        <v>5</v>
      </c>
      <c r="JI71">
        <v>2263</v>
      </c>
      <c r="JJ71">
        <v>1</v>
      </c>
      <c r="JK71">
        <v>24</v>
      </c>
      <c r="JL71">
        <v>29361438.3</v>
      </c>
      <c r="JM71">
        <v>29361438.3</v>
      </c>
      <c r="JN71">
        <v>1.25244</v>
      </c>
      <c r="JO71">
        <v>2.61597</v>
      </c>
      <c r="JP71">
        <v>2.19849</v>
      </c>
      <c r="JQ71">
        <v>2.62573</v>
      </c>
      <c r="JR71">
        <v>2.44507</v>
      </c>
      <c r="JS71">
        <v>2.34497</v>
      </c>
      <c r="JT71">
        <v>33.1545</v>
      </c>
      <c r="JU71">
        <v>24.2013</v>
      </c>
      <c r="JV71">
        <v>18</v>
      </c>
      <c r="JW71">
        <v>503.086</v>
      </c>
      <c r="JX71">
        <v>788.956</v>
      </c>
      <c r="JY71">
        <v>19.9644</v>
      </c>
      <c r="JZ71">
        <v>30.3804</v>
      </c>
      <c r="KA71">
        <v>30.0004</v>
      </c>
      <c r="KB71">
        <v>30.2563</v>
      </c>
      <c r="KC71">
        <v>30.1714</v>
      </c>
      <c r="KD71">
        <v>25.0856</v>
      </c>
      <c r="KE71">
        <v>5.90404</v>
      </c>
      <c r="KF71">
        <v>9.10549</v>
      </c>
      <c r="KG71">
        <v>19.9911</v>
      </c>
      <c r="KH71">
        <v>420</v>
      </c>
      <c r="KI71">
        <v>6.3909</v>
      </c>
      <c r="KJ71">
        <v>96.1312</v>
      </c>
      <c r="KK71">
        <v>94.0315</v>
      </c>
    </row>
    <row r="72" spans="1:297">
      <c r="A72">
        <v>56</v>
      </c>
      <c r="B72">
        <v>1761686366.1</v>
      </c>
      <c r="C72">
        <v>9017</v>
      </c>
      <c r="D72" t="s">
        <v>621</v>
      </c>
      <c r="E72" t="s">
        <v>622</v>
      </c>
      <c r="F72">
        <v>5</v>
      </c>
      <c r="G72" t="s">
        <v>606</v>
      </c>
      <c r="H72" t="s">
        <v>436</v>
      </c>
      <c r="I72">
        <v>1761686357.6</v>
      </c>
      <c r="J72">
        <f>(K72)/1000</f>
        <v>0</v>
      </c>
      <c r="K72">
        <f>IF(DP72, AN72, AH72)</f>
        <v>0</v>
      </c>
      <c r="L72">
        <f>IF(DP72, AI72, AG72)</f>
        <v>0</v>
      </c>
      <c r="M72">
        <f>DR72 - IF(AU72&gt;1, L72*DL72*100.0/(AW72), 0)</f>
        <v>0</v>
      </c>
      <c r="N72">
        <f>((T72-J72/2)*M72-L72)/(T72+J72/2)</f>
        <v>0</v>
      </c>
      <c r="O72">
        <f>N72*(DY72+DZ72)/1000.0</f>
        <v>0</v>
      </c>
      <c r="P72">
        <f>(DR72 - IF(AU72&gt;1, L72*DL72*100.0/(AW72), 0))*(DY72+DZ72)/1000.0</f>
        <v>0</v>
      </c>
      <c r="Q72">
        <f>2.0/((1/S72-1/R72)+SIGN(S72)*SQRT((1/S72-1/R72)*(1/S72-1/R72) + 4*DM72/((DM72+1)*(DM72+1))*(2*1/S72*1/R72-1/R72*1/R72)))</f>
        <v>0</v>
      </c>
      <c r="R72">
        <f>IF(LEFT(DN72,1)&lt;&gt;"0",IF(LEFT(DN72,1)="1",3.0,DO72),$D$5+$E$5*(EF72*DY72/($K$5*1000))+$F$5*(EF72*DY72/($K$5*1000))*MAX(MIN(DL72,$J$5),$I$5)*MAX(MIN(DL72,$J$5),$I$5)+$G$5*MAX(MIN(DL72,$J$5),$I$5)*(EF72*DY72/($K$5*1000))+$H$5*(EF72*DY72/($K$5*1000))*(EF72*DY72/($K$5*1000)))</f>
        <v>0</v>
      </c>
      <c r="S72">
        <f>J72*(1000-(1000*0.61365*exp(17.502*W72/(240.97+W72))/(DY72+DZ72)+DT72)/2)/(1000*0.61365*exp(17.502*W72/(240.97+W72))/(DY72+DZ72)-DT72)</f>
        <v>0</v>
      </c>
      <c r="T72">
        <f>1/((DM72+1)/(Q72/1.6)+1/(R72/1.37)) + DM72/((DM72+1)/(Q72/1.6) + DM72/(R72/1.37))</f>
        <v>0</v>
      </c>
      <c r="U72">
        <f>(DH72*DK72)</f>
        <v>0</v>
      </c>
      <c r="V72">
        <f>(EA72+(U72+2*0.95*5.67E-8*(((EA72+$B$7)+273)^4-(EA72+273)^4)-44100*J72)/(1.84*29.3*R72+8*0.95*5.67E-8*(EA72+273)^3))</f>
        <v>0</v>
      </c>
      <c r="W72">
        <f>($C$7*EB72+$D$7*EC72+$E$7*V72)</f>
        <v>0</v>
      </c>
      <c r="X72">
        <f>0.61365*exp(17.502*W72/(240.97+W72))</f>
        <v>0</v>
      </c>
      <c r="Y72">
        <f>(Z72/AA72*100)</f>
        <v>0</v>
      </c>
      <c r="Z72">
        <f>DT72*(DY72+DZ72)/1000</f>
        <v>0</v>
      </c>
      <c r="AA72">
        <f>0.61365*exp(17.502*EA72/(240.97+EA72))</f>
        <v>0</v>
      </c>
      <c r="AB72">
        <f>(X72-DT72*(DY72+DZ72)/1000)</f>
        <v>0</v>
      </c>
      <c r="AC72">
        <f>(-J72*44100)</f>
        <v>0</v>
      </c>
      <c r="AD72">
        <f>2*29.3*R72*0.92*(EA72-W72)</f>
        <v>0</v>
      </c>
      <c r="AE72">
        <f>2*0.95*5.67E-8*(((EA72+$B$7)+273)^4-(W72+273)^4)</f>
        <v>0</v>
      </c>
      <c r="AF72">
        <f>U72+AE72+AC72+AD72</f>
        <v>0</v>
      </c>
      <c r="AG72">
        <f>DX72*AU72*(DS72-DR72*(1000-AU72*DU72)/(1000-AU72*DT72))/(100*DL72)</f>
        <v>0</v>
      </c>
      <c r="AH72">
        <f>1000*DX72*AU72*(DT72-DU72)/(100*DL72*(1000-AU72*DT72))</f>
        <v>0</v>
      </c>
      <c r="AI72">
        <f>(AJ72 - AK72 - DY72*1E3/(8.314*(EA72+273.15)) * AM72/DX72 * AL72) * DX72/(100*DL72) * (1000 - DU72)/1000</f>
        <v>0</v>
      </c>
      <c r="AJ72">
        <v>422.669730454265</v>
      </c>
      <c r="AK72">
        <v>416.583412121212</v>
      </c>
      <c r="AL72">
        <v>-0.000366010032261702</v>
      </c>
      <c r="AM72">
        <v>64.2047674928869</v>
      </c>
      <c r="AN72">
        <f>(AP72 - AO72 + DY72*1E3/(8.314*(EA72+273.15)) * AR72/DX72 * AQ72) * DX72/(100*DL72) * 1000/(1000 - AP72)</f>
        <v>0</v>
      </c>
      <c r="AO72">
        <v>6.35555193458307</v>
      </c>
      <c r="AP72">
        <v>8.7116183916084</v>
      </c>
      <c r="AQ72">
        <v>-7.24121648161086e-06</v>
      </c>
      <c r="AR72">
        <v>109.01488015841</v>
      </c>
      <c r="AS72">
        <v>0</v>
      </c>
      <c r="AT72">
        <v>0</v>
      </c>
      <c r="AU72">
        <f>IF(AS72*$H$13&gt;=AW72,1.0,(AW72/(AW72-AS72*$H$13)))</f>
        <v>0</v>
      </c>
      <c r="AV72">
        <f>(AU72-1)*100</f>
        <v>0</v>
      </c>
      <c r="AW72">
        <f>MAX(0,($B$13+$C$13*EF72)/(1+$D$13*EF72)*DY72/(EA72+273)*$E$13)</f>
        <v>0</v>
      </c>
      <c r="AX72" t="s">
        <v>448</v>
      </c>
      <c r="AY72" t="s">
        <v>448</v>
      </c>
      <c r="AZ72">
        <v>0</v>
      </c>
      <c r="BA72">
        <v>0</v>
      </c>
      <c r="BB72">
        <f>1-AZ72/BA72</f>
        <v>0</v>
      </c>
      <c r="BC72">
        <v>0</v>
      </c>
      <c r="BD72" t="s">
        <v>448</v>
      </c>
      <c r="BE72" t="s">
        <v>448</v>
      </c>
      <c r="BF72">
        <v>0</v>
      </c>
      <c r="BG72">
        <v>0</v>
      </c>
      <c r="BH72">
        <f>1-BF72/BG72</f>
        <v>0</v>
      </c>
      <c r="BI72">
        <v>0.5</v>
      </c>
      <c r="BJ72">
        <f>DI72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448</v>
      </c>
      <c r="BQ72">
        <v>0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BZ72">
        <v>61</v>
      </c>
      <c r="CA72">
        <v>290</v>
      </c>
      <c r="CB72">
        <v>1546.08</v>
      </c>
      <c r="CC72">
        <v>135</v>
      </c>
      <c r="CD72">
        <v>5134.66</v>
      </c>
      <c r="CE72">
        <v>1544.89</v>
      </c>
      <c r="CF72">
        <v>1.19</v>
      </c>
      <c r="CG72">
        <v>300</v>
      </c>
      <c r="CH72">
        <v>23.8</v>
      </c>
      <c r="CI72">
        <v>1589.10485420626</v>
      </c>
      <c r="CJ72">
        <v>1.45338772785678</v>
      </c>
      <c r="CK72">
        <v>-22.703229347312</v>
      </c>
      <c r="CL72">
        <v>0.665179458254077</v>
      </c>
      <c r="CM72">
        <v>0.976528262800692</v>
      </c>
      <c r="CN72">
        <v>-0.00348824026696329</v>
      </c>
      <c r="CO72">
        <v>290</v>
      </c>
      <c r="CP72">
        <v>1543.07</v>
      </c>
      <c r="CQ72">
        <v>705</v>
      </c>
      <c r="CR72">
        <v>5131.35</v>
      </c>
      <c r="CS72">
        <v>1544.86</v>
      </c>
      <c r="CT72">
        <v>-1.79</v>
      </c>
      <c r="DH72">
        <f>$B$11*EG72+$C$11*EH72+$F$11*ES72*(1-EV72)</f>
        <v>0</v>
      </c>
      <c r="DI72">
        <f>DH72*DJ72</f>
        <v>0</v>
      </c>
      <c r="DJ72">
        <f>($B$11*$D$9+$C$11*$D$9+$F$11*((FF72+EX72)/MAX(FF72+EX72+FG72, 0.1)*$I$9+FG72/MAX(FF72+EX72+FG72, 0.1)*$J$9))/($B$11+$C$11+$F$11)</f>
        <v>0</v>
      </c>
      <c r="DK72">
        <f>($B$11*$K$9+$C$11*$K$9+$F$11*((FF72+EX72)/MAX(FF72+EX72+FG72, 0.1)*$P$9+FG72/MAX(FF72+EX72+FG72, 0.1)*$Q$9))/($B$11+$C$11+$F$11)</f>
        <v>0</v>
      </c>
      <c r="DL72">
        <v>6</v>
      </c>
      <c r="DM72">
        <v>0.5</v>
      </c>
      <c r="DN72" t="s">
        <v>440</v>
      </c>
      <c r="DO72">
        <v>2</v>
      </c>
      <c r="DP72" t="b">
        <v>1</v>
      </c>
      <c r="DQ72">
        <v>1761686357.6</v>
      </c>
      <c r="DR72">
        <v>412.96575</v>
      </c>
      <c r="DS72">
        <v>419.998625</v>
      </c>
      <c r="DT72">
        <v>8.71534375</v>
      </c>
      <c r="DU72">
        <v>6.35737</v>
      </c>
      <c r="DV72">
        <v>410.0775</v>
      </c>
      <c r="DW72">
        <v>8.81970625</v>
      </c>
      <c r="DX72">
        <v>500.049</v>
      </c>
      <c r="DY72">
        <v>90.9583375</v>
      </c>
      <c r="DZ72">
        <v>0.02225074375</v>
      </c>
      <c r="EA72">
        <v>24.45895625</v>
      </c>
      <c r="EB72">
        <v>23.9161875</v>
      </c>
      <c r="EC72">
        <v>999.9</v>
      </c>
      <c r="ED72">
        <v>0</v>
      </c>
      <c r="EE72">
        <v>0</v>
      </c>
      <c r="EF72">
        <v>10011.86875</v>
      </c>
      <c r="EG72">
        <v>0</v>
      </c>
      <c r="EH72">
        <v>1262.461875</v>
      </c>
      <c r="EI72">
        <v>-7.033008125</v>
      </c>
      <c r="EJ72">
        <v>416.5965625</v>
      </c>
      <c r="EK72">
        <v>422.685875</v>
      </c>
      <c r="EL72">
        <v>2.35797375</v>
      </c>
      <c r="EM72">
        <v>419.998625</v>
      </c>
      <c r="EN72">
        <v>6.35737</v>
      </c>
      <c r="EO72">
        <v>0.792733375</v>
      </c>
      <c r="EP72">
        <v>0.578256</v>
      </c>
      <c r="EQ72">
        <v>3.577843125</v>
      </c>
      <c r="ER72">
        <v>-0.8151745625</v>
      </c>
      <c r="ES72">
        <v>599.9875625</v>
      </c>
      <c r="ET72">
        <v>0.9329894375</v>
      </c>
      <c r="EU72">
        <v>0.06701073125</v>
      </c>
      <c r="EV72">
        <v>0</v>
      </c>
      <c r="EW72">
        <v>1287.948125</v>
      </c>
      <c r="EX72">
        <v>5.00059</v>
      </c>
      <c r="EY72">
        <v>7592.056875</v>
      </c>
      <c r="EZ72">
        <v>5105.385</v>
      </c>
      <c r="FA72">
        <v>39.12475</v>
      </c>
      <c r="FB72">
        <v>41.3710625</v>
      </c>
      <c r="FC72">
        <v>39.8553125</v>
      </c>
      <c r="FD72">
        <v>40.7965</v>
      </c>
      <c r="FE72">
        <v>40.4410625</v>
      </c>
      <c r="FF72">
        <v>555.1175</v>
      </c>
      <c r="FG72">
        <v>39.86875</v>
      </c>
      <c r="FH72">
        <v>0</v>
      </c>
      <c r="FI72">
        <v>67</v>
      </c>
      <c r="FJ72">
        <v>0</v>
      </c>
      <c r="FK72">
        <v>1287.86961538462</v>
      </c>
      <c r="FL72">
        <v>0.0215384814283287</v>
      </c>
      <c r="FM72">
        <v>-16.7627350650189</v>
      </c>
      <c r="FN72">
        <v>7591.98269230769</v>
      </c>
      <c r="FO72">
        <v>15</v>
      </c>
      <c r="FP72">
        <v>0</v>
      </c>
      <c r="FQ72" t="s">
        <v>441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-7.05322952380952</v>
      </c>
      <c r="GD72">
        <v>0.296583116883101</v>
      </c>
      <c r="GE72">
        <v>0.0350101229546121</v>
      </c>
      <c r="GF72">
        <v>1</v>
      </c>
      <c r="GG72">
        <v>1287.82617647059</v>
      </c>
      <c r="GH72">
        <v>0.596027508426585</v>
      </c>
      <c r="GI72">
        <v>0.174119882736069</v>
      </c>
      <c r="GJ72">
        <v>-1</v>
      </c>
      <c r="GK72">
        <v>2.35753047619048</v>
      </c>
      <c r="GL72">
        <v>0.00952519480519872</v>
      </c>
      <c r="GM72">
        <v>0.00114713504909474</v>
      </c>
      <c r="GN72">
        <v>1</v>
      </c>
      <c r="GO72">
        <v>2</v>
      </c>
      <c r="GP72">
        <v>2</v>
      </c>
      <c r="GQ72" t="s">
        <v>442</v>
      </c>
      <c r="GR72">
        <v>3.12815</v>
      </c>
      <c r="GS72">
        <v>2.6997</v>
      </c>
      <c r="GT72">
        <v>0.0880488</v>
      </c>
      <c r="GU72">
        <v>0.0898032</v>
      </c>
      <c r="GV72">
        <v>0.0481578</v>
      </c>
      <c r="GW72">
        <v>0.0373024</v>
      </c>
      <c r="GX72">
        <v>34161.1</v>
      </c>
      <c r="GY72">
        <v>36510</v>
      </c>
      <c r="GZ72">
        <v>33904.4</v>
      </c>
      <c r="HA72">
        <v>36331.7</v>
      </c>
      <c r="HB72">
        <v>45605.3</v>
      </c>
      <c r="HC72">
        <v>50192.9</v>
      </c>
      <c r="HD72">
        <v>52875.3</v>
      </c>
      <c r="HE72">
        <v>58012.3</v>
      </c>
      <c r="HF72">
        <v>1.9245</v>
      </c>
      <c r="HG72">
        <v>2.2955</v>
      </c>
      <c r="HH72">
        <v>0.00695139</v>
      </c>
      <c r="HI72">
        <v>0</v>
      </c>
      <c r="HJ72">
        <v>23.8577</v>
      </c>
      <c r="HK72">
        <v>999.9</v>
      </c>
      <c r="HL72">
        <v>20.034</v>
      </c>
      <c r="HM72">
        <v>29.839</v>
      </c>
      <c r="HN72">
        <v>9.29688</v>
      </c>
      <c r="HO72">
        <v>54.5439</v>
      </c>
      <c r="HP72">
        <v>30.9736</v>
      </c>
      <c r="HQ72">
        <v>2</v>
      </c>
      <c r="HR72">
        <v>0.237632</v>
      </c>
      <c r="HS72">
        <v>2.29128</v>
      </c>
      <c r="HT72">
        <v>20.1286</v>
      </c>
      <c r="HU72">
        <v>5.19647</v>
      </c>
      <c r="HV72">
        <v>12.0043</v>
      </c>
      <c r="HW72">
        <v>4.97455</v>
      </c>
      <c r="HX72">
        <v>3.294</v>
      </c>
      <c r="HY72">
        <v>9999</v>
      </c>
      <c r="HZ72">
        <v>9999</v>
      </c>
      <c r="IA72">
        <v>9999</v>
      </c>
      <c r="IB72">
        <v>999.9</v>
      </c>
      <c r="IC72">
        <v>1.86325</v>
      </c>
      <c r="ID72">
        <v>1.86813</v>
      </c>
      <c r="IE72">
        <v>1.86788</v>
      </c>
      <c r="IF72">
        <v>1.86904</v>
      </c>
      <c r="IG72">
        <v>1.86982</v>
      </c>
      <c r="IH72">
        <v>1.86592</v>
      </c>
      <c r="II72">
        <v>1.86705</v>
      </c>
      <c r="IJ72">
        <v>1.86844</v>
      </c>
      <c r="IK72">
        <v>5</v>
      </c>
      <c r="IL72">
        <v>0</v>
      </c>
      <c r="IM72">
        <v>0</v>
      </c>
      <c r="IN72">
        <v>0</v>
      </c>
      <c r="IO72" t="s">
        <v>443</v>
      </c>
      <c r="IP72" t="s">
        <v>444</v>
      </c>
      <c r="IQ72" t="s">
        <v>445</v>
      </c>
      <c r="IR72" t="s">
        <v>445</v>
      </c>
      <c r="IS72" t="s">
        <v>445</v>
      </c>
      <c r="IT72" t="s">
        <v>445</v>
      </c>
      <c r="IU72">
        <v>0</v>
      </c>
      <c r="IV72">
        <v>100</v>
      </c>
      <c r="IW72">
        <v>100</v>
      </c>
      <c r="IX72">
        <v>2.888</v>
      </c>
      <c r="IY72">
        <v>-0.1044</v>
      </c>
      <c r="IZ72">
        <v>1.24656194001752</v>
      </c>
      <c r="JA72">
        <v>0.00408463137630218</v>
      </c>
      <c r="JB72">
        <v>-2.23906557180379e-07</v>
      </c>
      <c r="JC72">
        <v>6.23399102760906e-11</v>
      </c>
      <c r="JD72">
        <v>-0.0873394905990972</v>
      </c>
      <c r="JE72">
        <v>-0.0233348201324191</v>
      </c>
      <c r="JF72">
        <v>0.00274696999164489</v>
      </c>
      <c r="JG72">
        <v>-3.62864435074646e-05</v>
      </c>
      <c r="JH72">
        <v>5</v>
      </c>
      <c r="JI72">
        <v>2263</v>
      </c>
      <c r="JJ72">
        <v>1</v>
      </c>
      <c r="JK72">
        <v>24</v>
      </c>
      <c r="JL72">
        <v>29361439.4</v>
      </c>
      <c r="JM72">
        <v>29361439.4</v>
      </c>
      <c r="JN72">
        <v>1.25244</v>
      </c>
      <c r="JO72">
        <v>2.62451</v>
      </c>
      <c r="JP72">
        <v>2.19849</v>
      </c>
      <c r="JQ72">
        <v>2.62695</v>
      </c>
      <c r="JR72">
        <v>2.44507</v>
      </c>
      <c r="JS72">
        <v>2.31201</v>
      </c>
      <c r="JT72">
        <v>33.1545</v>
      </c>
      <c r="JU72">
        <v>24.1926</v>
      </c>
      <c r="JV72">
        <v>18</v>
      </c>
      <c r="JW72">
        <v>503.039</v>
      </c>
      <c r="JX72">
        <v>789.581</v>
      </c>
      <c r="JY72">
        <v>21.1027</v>
      </c>
      <c r="JZ72">
        <v>30.4093</v>
      </c>
      <c r="KA72">
        <v>30.0003</v>
      </c>
      <c r="KB72">
        <v>30.3017</v>
      </c>
      <c r="KC72">
        <v>30.2203</v>
      </c>
      <c r="KD72">
        <v>25.0889</v>
      </c>
      <c r="KE72">
        <v>0</v>
      </c>
      <c r="KF72">
        <v>9.48016</v>
      </c>
      <c r="KG72">
        <v>21.1117</v>
      </c>
      <c r="KH72">
        <v>420</v>
      </c>
      <c r="KI72">
        <v>6.91276</v>
      </c>
      <c r="KJ72">
        <v>96.1271</v>
      </c>
      <c r="KK72">
        <v>94.0262</v>
      </c>
    </row>
    <row r="73" spans="1:297">
      <c r="A73">
        <v>57</v>
      </c>
      <c r="B73">
        <v>1761686449.1</v>
      </c>
      <c r="C73">
        <v>9100</v>
      </c>
      <c r="D73" t="s">
        <v>623</v>
      </c>
      <c r="E73" t="s">
        <v>624</v>
      </c>
      <c r="F73">
        <v>5</v>
      </c>
      <c r="G73" t="s">
        <v>606</v>
      </c>
      <c r="H73" t="s">
        <v>436</v>
      </c>
      <c r="I73">
        <v>1761686440.6</v>
      </c>
      <c r="J73">
        <f>(K73)/1000</f>
        <v>0</v>
      </c>
      <c r="K73">
        <f>IF(DP73, AN73, AH73)</f>
        <v>0</v>
      </c>
      <c r="L73">
        <f>IF(DP73, AI73, AG73)</f>
        <v>0</v>
      </c>
      <c r="M73">
        <f>DR73 - IF(AU73&gt;1, L73*DL73*100.0/(AW73), 0)</f>
        <v>0</v>
      </c>
      <c r="N73">
        <f>((T73-J73/2)*M73-L73)/(T73+J73/2)</f>
        <v>0</v>
      </c>
      <c r="O73">
        <f>N73*(DY73+DZ73)/1000.0</f>
        <v>0</v>
      </c>
      <c r="P73">
        <f>(DR73 - IF(AU73&gt;1, L73*DL73*100.0/(AW73), 0))*(DY73+DZ73)/1000.0</f>
        <v>0</v>
      </c>
      <c r="Q73">
        <f>2.0/((1/S73-1/R73)+SIGN(S73)*SQRT((1/S73-1/R73)*(1/S73-1/R73) + 4*DM73/((DM73+1)*(DM73+1))*(2*1/S73*1/R73-1/R73*1/R73)))</f>
        <v>0</v>
      </c>
      <c r="R73">
        <f>IF(LEFT(DN73,1)&lt;&gt;"0",IF(LEFT(DN73,1)="1",3.0,DO73),$D$5+$E$5*(EF73*DY73/($K$5*1000))+$F$5*(EF73*DY73/($K$5*1000))*MAX(MIN(DL73,$J$5),$I$5)*MAX(MIN(DL73,$J$5),$I$5)+$G$5*MAX(MIN(DL73,$J$5),$I$5)*(EF73*DY73/($K$5*1000))+$H$5*(EF73*DY73/($K$5*1000))*(EF73*DY73/($K$5*1000)))</f>
        <v>0</v>
      </c>
      <c r="S73">
        <f>J73*(1000-(1000*0.61365*exp(17.502*W73/(240.97+W73))/(DY73+DZ73)+DT73)/2)/(1000*0.61365*exp(17.502*W73/(240.97+W73))/(DY73+DZ73)-DT73)</f>
        <v>0</v>
      </c>
      <c r="T73">
        <f>1/((DM73+1)/(Q73/1.6)+1/(R73/1.37)) + DM73/((DM73+1)/(Q73/1.6) + DM73/(R73/1.37))</f>
        <v>0</v>
      </c>
      <c r="U73">
        <f>(DH73*DK73)</f>
        <v>0</v>
      </c>
      <c r="V73">
        <f>(EA73+(U73+2*0.95*5.67E-8*(((EA73+$B$7)+273)^4-(EA73+273)^4)-44100*J73)/(1.84*29.3*R73+8*0.95*5.67E-8*(EA73+273)^3))</f>
        <v>0</v>
      </c>
      <c r="W73">
        <f>($C$7*EB73+$D$7*EC73+$E$7*V73)</f>
        <v>0</v>
      </c>
      <c r="X73">
        <f>0.61365*exp(17.502*W73/(240.97+W73))</f>
        <v>0</v>
      </c>
      <c r="Y73">
        <f>(Z73/AA73*100)</f>
        <v>0</v>
      </c>
      <c r="Z73">
        <f>DT73*(DY73+DZ73)/1000</f>
        <v>0</v>
      </c>
      <c r="AA73">
        <f>0.61365*exp(17.502*EA73/(240.97+EA73))</f>
        <v>0</v>
      </c>
      <c r="AB73">
        <f>(X73-DT73*(DY73+DZ73)/1000)</f>
        <v>0</v>
      </c>
      <c r="AC73">
        <f>(-J73*44100)</f>
        <v>0</v>
      </c>
      <c r="AD73">
        <f>2*29.3*R73*0.92*(EA73-W73)</f>
        <v>0</v>
      </c>
      <c r="AE73">
        <f>2*0.95*5.67E-8*(((EA73+$B$7)+273)^4-(W73+273)^4)</f>
        <v>0</v>
      </c>
      <c r="AF73">
        <f>U73+AE73+AC73+AD73</f>
        <v>0</v>
      </c>
      <c r="AG73">
        <f>DX73*AU73*(DS73-DR73*(1000-AU73*DU73)/(1000-AU73*DT73))/(100*DL73)</f>
        <v>0</v>
      </c>
      <c r="AH73">
        <f>1000*DX73*AU73*(DT73-DU73)/(100*DL73*(1000-AU73*DT73))</f>
        <v>0</v>
      </c>
      <c r="AI73">
        <f>(AJ73 - AK73 - DY73*1E3/(8.314*(EA73+273.15)) * AM73/DX73 * AL73) * DX73/(100*DL73) * (1000 - DU73)/1000</f>
        <v>0</v>
      </c>
      <c r="AJ73">
        <v>422.870562065086</v>
      </c>
      <c r="AK73">
        <v>417.893363636364</v>
      </c>
      <c r="AL73">
        <v>0.0039707267053261</v>
      </c>
      <c r="AM73">
        <v>64.2047674928869</v>
      </c>
      <c r="AN73">
        <f>(AP73 - AO73 + DY73*1E3/(8.314*(EA73+273.15)) * AR73/DX73 * AQ73) * DX73/(100*DL73) * 1000/(1000 - AP73)</f>
        <v>0</v>
      </c>
      <c r="AO73">
        <v>6.75420321017872</v>
      </c>
      <c r="AP73">
        <v>8.91667027972028</v>
      </c>
      <c r="AQ73">
        <v>0.000293823876085119</v>
      </c>
      <c r="AR73">
        <v>109.01488015841</v>
      </c>
      <c r="AS73">
        <v>0</v>
      </c>
      <c r="AT73">
        <v>0</v>
      </c>
      <c r="AU73">
        <f>IF(AS73*$H$13&gt;=AW73,1.0,(AW73/(AW73-AS73*$H$13)))</f>
        <v>0</v>
      </c>
      <c r="AV73">
        <f>(AU73-1)*100</f>
        <v>0</v>
      </c>
      <c r="AW73">
        <f>MAX(0,($B$13+$C$13*EF73)/(1+$D$13*EF73)*DY73/(EA73+273)*$E$13)</f>
        <v>0</v>
      </c>
      <c r="AX73" t="s">
        <v>572</v>
      </c>
      <c r="AY73">
        <v>5110.91</v>
      </c>
      <c r="AZ73">
        <v>714.823076923077</v>
      </c>
      <c r="BA73">
        <v>1930.46444768955</v>
      </c>
      <c r="BB73">
        <f>1-AZ73/BA73</f>
        <v>0</v>
      </c>
      <c r="BC73">
        <v>-0.797918103269906</v>
      </c>
      <c r="BD73" t="s">
        <v>625</v>
      </c>
      <c r="BE73">
        <v>5126.9</v>
      </c>
      <c r="BF73">
        <v>1063.4952</v>
      </c>
      <c r="BG73">
        <v>1619.21044166406</v>
      </c>
      <c r="BH73">
        <f>1-BF73/BG73</f>
        <v>0</v>
      </c>
      <c r="BI73">
        <v>0.5</v>
      </c>
      <c r="BJ73">
        <f>DI73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626</v>
      </c>
      <c r="BQ73">
        <v>770.4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BZ73">
        <v>63</v>
      </c>
      <c r="CA73">
        <v>290</v>
      </c>
      <c r="CB73">
        <v>1569.82</v>
      </c>
      <c r="CC73">
        <v>275</v>
      </c>
      <c r="CD73">
        <v>5126.9</v>
      </c>
      <c r="CE73">
        <v>1570.33</v>
      </c>
      <c r="CF73">
        <v>-0.51</v>
      </c>
      <c r="CG73">
        <v>300</v>
      </c>
      <c r="CH73">
        <v>23.9</v>
      </c>
      <c r="CI73">
        <v>1619.21044166406</v>
      </c>
      <c r="CJ73">
        <v>2.01362446090209</v>
      </c>
      <c r="CK73">
        <v>-25.0616981251914</v>
      </c>
      <c r="CL73">
        <v>0.903309999812236</v>
      </c>
      <c r="CM73">
        <v>0.964901102032683</v>
      </c>
      <c r="CN73">
        <v>-0.00398701757508343</v>
      </c>
      <c r="CO73">
        <v>290</v>
      </c>
      <c r="CP73">
        <v>1568.1</v>
      </c>
      <c r="CQ73">
        <v>625</v>
      </c>
      <c r="CR73">
        <v>5126.31</v>
      </c>
      <c r="CS73">
        <v>1570.32</v>
      </c>
      <c r="CT73">
        <v>-2.22</v>
      </c>
      <c r="DH73">
        <f>$B$11*EG73+$C$11*EH73+$F$11*ES73*(1-EV73)</f>
        <v>0</v>
      </c>
      <c r="DI73">
        <f>DH73*DJ73</f>
        <v>0</v>
      </c>
      <c r="DJ73">
        <f>($B$11*$D$9+$C$11*$D$9+$F$11*((FF73+EX73)/MAX(FF73+EX73+FG73, 0.1)*$I$9+FG73/MAX(FF73+EX73+FG73, 0.1)*$J$9))/($B$11+$C$11+$F$11)</f>
        <v>0</v>
      </c>
      <c r="DK73">
        <f>($B$11*$K$9+$C$11*$K$9+$F$11*((FF73+EX73)/MAX(FF73+EX73+FG73, 0.1)*$P$9+FG73/MAX(FF73+EX73+FG73, 0.1)*$Q$9))/($B$11+$C$11+$F$11)</f>
        <v>0</v>
      </c>
      <c r="DL73">
        <v>6</v>
      </c>
      <c r="DM73">
        <v>0.5</v>
      </c>
      <c r="DN73" t="s">
        <v>440</v>
      </c>
      <c r="DO73">
        <v>2</v>
      </c>
      <c r="DP73" t="b">
        <v>1</v>
      </c>
      <c r="DQ73">
        <v>1761686440.6</v>
      </c>
      <c r="DR73">
        <v>414.0921875</v>
      </c>
      <c r="DS73">
        <v>419.9833125</v>
      </c>
      <c r="DT73">
        <v>8.902486875</v>
      </c>
      <c r="DU73">
        <v>6.733736875</v>
      </c>
      <c r="DV73">
        <v>411.199625</v>
      </c>
      <c r="DW73">
        <v>9.003725</v>
      </c>
      <c r="DX73">
        <v>499.8836875</v>
      </c>
      <c r="DY73">
        <v>90.96249375</v>
      </c>
      <c r="DZ73">
        <v>0.02289711875</v>
      </c>
      <c r="EA73">
        <v>24.7678125</v>
      </c>
      <c r="EB73">
        <v>24.0823125</v>
      </c>
      <c r="EC73">
        <v>999.9</v>
      </c>
      <c r="ED73">
        <v>0</v>
      </c>
      <c r="EE73">
        <v>0</v>
      </c>
      <c r="EF73">
        <v>9983.905</v>
      </c>
      <c r="EG73">
        <v>0</v>
      </c>
      <c r="EH73">
        <v>1262.363125</v>
      </c>
      <c r="EI73">
        <v>-5.891075625</v>
      </c>
      <c r="EJ73">
        <v>417.811625</v>
      </c>
      <c r="EK73">
        <v>422.8305</v>
      </c>
      <c r="EL73">
        <v>2.168750625</v>
      </c>
      <c r="EM73">
        <v>419.9833125</v>
      </c>
      <c r="EN73">
        <v>6.733736875</v>
      </c>
      <c r="EO73">
        <v>0.8097925</v>
      </c>
      <c r="EP73">
        <v>0.6125175</v>
      </c>
      <c r="EQ73">
        <v>3.88011625</v>
      </c>
      <c r="ER73">
        <v>-0.025493709</v>
      </c>
      <c r="ES73">
        <v>300.0091875</v>
      </c>
      <c r="ET73">
        <v>0.9000070625</v>
      </c>
      <c r="EU73">
        <v>0.0999929375</v>
      </c>
      <c r="EV73">
        <v>0</v>
      </c>
      <c r="EW73">
        <v>1063.41</v>
      </c>
      <c r="EX73">
        <v>5.00059</v>
      </c>
      <c r="EY73">
        <v>3126.118125</v>
      </c>
      <c r="EZ73">
        <v>2506.275625</v>
      </c>
      <c r="FA73">
        <v>38.2888125</v>
      </c>
      <c r="FB73">
        <v>41.05825</v>
      </c>
      <c r="FC73">
        <v>39.35525</v>
      </c>
      <c r="FD73">
        <v>40.562</v>
      </c>
      <c r="FE73">
        <v>39.85125</v>
      </c>
      <c r="FF73">
        <v>265.51</v>
      </c>
      <c r="FG73">
        <v>29.498125</v>
      </c>
      <c r="FH73">
        <v>0</v>
      </c>
      <c r="FI73">
        <v>150.400000095367</v>
      </c>
      <c r="FJ73">
        <v>0</v>
      </c>
      <c r="FK73">
        <v>1063.4952</v>
      </c>
      <c r="FL73">
        <v>4.31615385228274</v>
      </c>
      <c r="FM73">
        <v>9.48615386992657</v>
      </c>
      <c r="FN73">
        <v>3126.2688</v>
      </c>
      <c r="FO73">
        <v>15</v>
      </c>
      <c r="FP73">
        <v>0</v>
      </c>
      <c r="FQ73" t="s">
        <v>441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-5.92242</v>
      </c>
      <c r="GD73">
        <v>0.492662255639094</v>
      </c>
      <c r="GE73">
        <v>0.0559141538431909</v>
      </c>
      <c r="GF73">
        <v>1</v>
      </c>
      <c r="GG73">
        <v>1063.19676470588</v>
      </c>
      <c r="GH73">
        <v>3.27776929487138</v>
      </c>
      <c r="GI73">
        <v>0.387584682118823</v>
      </c>
      <c r="GJ73">
        <v>-1</v>
      </c>
      <c r="GK73">
        <v>2.172671</v>
      </c>
      <c r="GL73">
        <v>-0.0959494736842084</v>
      </c>
      <c r="GM73">
        <v>0.0115592187884822</v>
      </c>
      <c r="GN73">
        <v>1</v>
      </c>
      <c r="GO73">
        <v>2</v>
      </c>
      <c r="GP73">
        <v>2</v>
      </c>
      <c r="GQ73" t="s">
        <v>442</v>
      </c>
      <c r="GR73">
        <v>3.12846</v>
      </c>
      <c r="GS73">
        <v>2.7008</v>
      </c>
      <c r="GT73">
        <v>0.0882431</v>
      </c>
      <c r="GU73">
        <v>0.0898064</v>
      </c>
      <c r="GV73">
        <v>0.0490628</v>
      </c>
      <c r="GW73">
        <v>0.0393148</v>
      </c>
      <c r="GX73">
        <v>34150</v>
      </c>
      <c r="GY73">
        <v>36506.3</v>
      </c>
      <c r="GZ73">
        <v>33900.7</v>
      </c>
      <c r="HA73">
        <v>36328.2</v>
      </c>
      <c r="HB73">
        <v>45557.3</v>
      </c>
      <c r="HC73">
        <v>50082.9</v>
      </c>
      <c r="HD73">
        <v>52870.3</v>
      </c>
      <c r="HE73">
        <v>58007.1</v>
      </c>
      <c r="HF73">
        <v>1.9241</v>
      </c>
      <c r="HG73">
        <v>2.29562</v>
      </c>
      <c r="HH73">
        <v>-0.001546</v>
      </c>
      <c r="HI73">
        <v>0</v>
      </c>
      <c r="HJ73">
        <v>24.0998</v>
      </c>
      <c r="HK73">
        <v>999.9</v>
      </c>
      <c r="HL73">
        <v>20.541</v>
      </c>
      <c r="HM73">
        <v>29.829</v>
      </c>
      <c r="HN73">
        <v>9.52686</v>
      </c>
      <c r="HO73">
        <v>53.9539</v>
      </c>
      <c r="HP73">
        <v>31.0497</v>
      </c>
      <c r="HQ73">
        <v>2</v>
      </c>
      <c r="HR73">
        <v>0.250516</v>
      </c>
      <c r="HS73">
        <v>4.27351</v>
      </c>
      <c r="HT73">
        <v>20.0915</v>
      </c>
      <c r="HU73">
        <v>5.19677</v>
      </c>
      <c r="HV73">
        <v>12.0071</v>
      </c>
      <c r="HW73">
        <v>4.9753</v>
      </c>
      <c r="HX73">
        <v>3.294</v>
      </c>
      <c r="HY73">
        <v>9999</v>
      </c>
      <c r="HZ73">
        <v>9999</v>
      </c>
      <c r="IA73">
        <v>9999</v>
      </c>
      <c r="IB73">
        <v>999.9</v>
      </c>
      <c r="IC73">
        <v>1.86325</v>
      </c>
      <c r="ID73">
        <v>1.86813</v>
      </c>
      <c r="IE73">
        <v>1.86785</v>
      </c>
      <c r="IF73">
        <v>1.86904</v>
      </c>
      <c r="IG73">
        <v>1.86981</v>
      </c>
      <c r="IH73">
        <v>1.86589</v>
      </c>
      <c r="II73">
        <v>1.86701</v>
      </c>
      <c r="IJ73">
        <v>1.86844</v>
      </c>
      <c r="IK73">
        <v>5</v>
      </c>
      <c r="IL73">
        <v>0</v>
      </c>
      <c r="IM73">
        <v>0</v>
      </c>
      <c r="IN73">
        <v>0</v>
      </c>
      <c r="IO73" t="s">
        <v>443</v>
      </c>
      <c r="IP73" t="s">
        <v>444</v>
      </c>
      <c r="IQ73" t="s">
        <v>445</v>
      </c>
      <c r="IR73" t="s">
        <v>445</v>
      </c>
      <c r="IS73" t="s">
        <v>445</v>
      </c>
      <c r="IT73" t="s">
        <v>445</v>
      </c>
      <c r="IU73">
        <v>0</v>
      </c>
      <c r="IV73">
        <v>100</v>
      </c>
      <c r="IW73">
        <v>100</v>
      </c>
      <c r="IX73">
        <v>2.893</v>
      </c>
      <c r="IY73">
        <v>-0.101</v>
      </c>
      <c r="IZ73">
        <v>1.24656194001752</v>
      </c>
      <c r="JA73">
        <v>0.00408463137630218</v>
      </c>
      <c r="JB73">
        <v>-2.23906557180379e-07</v>
      </c>
      <c r="JC73">
        <v>6.23399102760906e-11</v>
      </c>
      <c r="JD73">
        <v>-0.0873394905990972</v>
      </c>
      <c r="JE73">
        <v>-0.0233348201324191</v>
      </c>
      <c r="JF73">
        <v>0.00274696999164489</v>
      </c>
      <c r="JG73">
        <v>-3.62864435074646e-05</v>
      </c>
      <c r="JH73">
        <v>5</v>
      </c>
      <c r="JI73">
        <v>2263</v>
      </c>
      <c r="JJ73">
        <v>1</v>
      </c>
      <c r="JK73">
        <v>24</v>
      </c>
      <c r="JL73">
        <v>29361440.8</v>
      </c>
      <c r="JM73">
        <v>29361440.8</v>
      </c>
      <c r="JN73">
        <v>1.25244</v>
      </c>
      <c r="JO73">
        <v>2.61841</v>
      </c>
      <c r="JP73">
        <v>2.19849</v>
      </c>
      <c r="JQ73">
        <v>2.62573</v>
      </c>
      <c r="JR73">
        <v>2.44507</v>
      </c>
      <c r="JS73">
        <v>2.34375</v>
      </c>
      <c r="JT73">
        <v>33.1322</v>
      </c>
      <c r="JU73">
        <v>24.1926</v>
      </c>
      <c r="JV73">
        <v>18</v>
      </c>
      <c r="JW73">
        <v>503.131</v>
      </c>
      <c r="JX73">
        <v>790.355</v>
      </c>
      <c r="JY73">
        <v>20.6676</v>
      </c>
      <c r="JZ73">
        <v>30.4331</v>
      </c>
      <c r="KA73">
        <v>29.9993</v>
      </c>
      <c r="KB73">
        <v>30.3441</v>
      </c>
      <c r="KC73">
        <v>30.2682</v>
      </c>
      <c r="KD73">
        <v>25.0938</v>
      </c>
      <c r="KE73">
        <v>0</v>
      </c>
      <c r="KF73">
        <v>12.9359</v>
      </c>
      <c r="KG73">
        <v>20.734</v>
      </c>
      <c r="KH73">
        <v>420</v>
      </c>
      <c r="KI73">
        <v>7.84854</v>
      </c>
      <c r="KJ73">
        <v>96.1174</v>
      </c>
      <c r="KK73">
        <v>94.0175</v>
      </c>
    </row>
    <row r="74" spans="1:297">
      <c r="A74">
        <v>58</v>
      </c>
      <c r="B74">
        <v>1761686553.1</v>
      </c>
      <c r="C74">
        <v>9204</v>
      </c>
      <c r="D74" t="s">
        <v>627</v>
      </c>
      <c r="E74" t="s">
        <v>628</v>
      </c>
      <c r="F74">
        <v>5</v>
      </c>
      <c r="G74" t="s">
        <v>606</v>
      </c>
      <c r="H74" t="s">
        <v>436</v>
      </c>
      <c r="I74">
        <v>1761686544.6</v>
      </c>
      <c r="J74">
        <f>(K74)/1000</f>
        <v>0</v>
      </c>
      <c r="K74">
        <f>IF(DP74, AN74, AH74)</f>
        <v>0</v>
      </c>
      <c r="L74">
        <f>IF(DP74, AI74, AG74)</f>
        <v>0</v>
      </c>
      <c r="M74">
        <f>DR74 - IF(AU74&gt;1, L74*DL74*100.0/(AW74), 0)</f>
        <v>0</v>
      </c>
      <c r="N74">
        <f>((T74-J74/2)*M74-L74)/(T74+J74/2)</f>
        <v>0</v>
      </c>
      <c r="O74">
        <f>N74*(DY74+DZ74)/1000.0</f>
        <v>0</v>
      </c>
      <c r="P74">
        <f>(DR74 - IF(AU74&gt;1, L74*DL74*100.0/(AW74), 0))*(DY74+DZ74)/1000.0</f>
        <v>0</v>
      </c>
      <c r="Q74">
        <f>2.0/((1/S74-1/R74)+SIGN(S74)*SQRT((1/S74-1/R74)*(1/S74-1/R74) + 4*DM74/((DM74+1)*(DM74+1))*(2*1/S74*1/R74-1/R74*1/R74)))</f>
        <v>0</v>
      </c>
      <c r="R74">
        <f>IF(LEFT(DN74,1)&lt;&gt;"0",IF(LEFT(DN74,1)="1",3.0,DO74),$D$5+$E$5*(EF74*DY74/($K$5*1000))+$F$5*(EF74*DY74/($K$5*1000))*MAX(MIN(DL74,$J$5),$I$5)*MAX(MIN(DL74,$J$5),$I$5)+$G$5*MAX(MIN(DL74,$J$5),$I$5)*(EF74*DY74/($K$5*1000))+$H$5*(EF74*DY74/($K$5*1000))*(EF74*DY74/($K$5*1000)))</f>
        <v>0</v>
      </c>
      <c r="S74">
        <f>J74*(1000-(1000*0.61365*exp(17.502*W74/(240.97+W74))/(DY74+DZ74)+DT74)/2)/(1000*0.61365*exp(17.502*W74/(240.97+W74))/(DY74+DZ74)-DT74)</f>
        <v>0</v>
      </c>
      <c r="T74">
        <f>1/((DM74+1)/(Q74/1.6)+1/(R74/1.37)) + DM74/((DM74+1)/(Q74/1.6) + DM74/(R74/1.37))</f>
        <v>0</v>
      </c>
      <c r="U74">
        <f>(DH74*DK74)</f>
        <v>0</v>
      </c>
      <c r="V74">
        <f>(EA74+(U74+2*0.95*5.67E-8*(((EA74+$B$7)+273)^4-(EA74+273)^4)-44100*J74)/(1.84*29.3*R74+8*0.95*5.67E-8*(EA74+273)^3))</f>
        <v>0</v>
      </c>
      <c r="W74">
        <f>($C$7*EB74+$D$7*EC74+$E$7*V74)</f>
        <v>0</v>
      </c>
      <c r="X74">
        <f>0.61365*exp(17.502*W74/(240.97+W74))</f>
        <v>0</v>
      </c>
      <c r="Y74">
        <f>(Z74/AA74*100)</f>
        <v>0</v>
      </c>
      <c r="Z74">
        <f>DT74*(DY74+DZ74)/1000</f>
        <v>0</v>
      </c>
      <c r="AA74">
        <f>0.61365*exp(17.502*EA74/(240.97+EA74))</f>
        <v>0</v>
      </c>
      <c r="AB74">
        <f>(X74-DT74*(DY74+DZ74)/1000)</f>
        <v>0</v>
      </c>
      <c r="AC74">
        <f>(-J74*44100)</f>
        <v>0</v>
      </c>
      <c r="AD74">
        <f>2*29.3*R74*0.92*(EA74-W74)</f>
        <v>0</v>
      </c>
      <c r="AE74">
        <f>2*0.95*5.67E-8*(((EA74+$B$7)+273)^4-(W74+273)^4)</f>
        <v>0</v>
      </c>
      <c r="AF74">
        <f>U74+AE74+AC74+AD74</f>
        <v>0</v>
      </c>
      <c r="AG74">
        <f>DX74*AU74*(DS74-DR74*(1000-AU74*DU74)/(1000-AU74*DT74))/(100*DL74)</f>
        <v>0</v>
      </c>
      <c r="AH74">
        <f>1000*DX74*AU74*(DT74-DU74)/(100*DL74*(1000-AU74*DT74))</f>
        <v>0</v>
      </c>
      <c r="AI74">
        <f>(AJ74 - AK74 - DY74*1E3/(8.314*(EA74+273.15)) * AM74/DX74 * AL74) * DX74/(100*DL74) * (1000 - DU74)/1000</f>
        <v>0</v>
      </c>
      <c r="AJ74">
        <v>423.084263883414</v>
      </c>
      <c r="AK74">
        <v>420.040503030303</v>
      </c>
      <c r="AL74">
        <v>0.0010602815665641</v>
      </c>
      <c r="AM74">
        <v>64.2047674928869</v>
      </c>
      <c r="AN74">
        <f>(AP74 - AO74 + DY74*1E3/(8.314*(EA74+273.15)) * AR74/DX74 * AQ74) * DX74/(100*DL74) * 1000/(1000 - AP74)</f>
        <v>0</v>
      </c>
      <c r="AO74">
        <v>7.31286148041111</v>
      </c>
      <c r="AP74">
        <v>9.23927160839161</v>
      </c>
      <c r="AQ74">
        <v>4.73511700338864e-05</v>
      </c>
      <c r="AR74">
        <v>109.01488015841</v>
      </c>
      <c r="AS74">
        <v>0</v>
      </c>
      <c r="AT74">
        <v>0</v>
      </c>
      <c r="AU74">
        <f>IF(AS74*$H$13&gt;=AW74,1.0,(AW74/(AW74-AS74*$H$13)))</f>
        <v>0</v>
      </c>
      <c r="AV74">
        <f>(AU74-1)*100</f>
        <v>0</v>
      </c>
      <c r="AW74">
        <f>MAX(0,($B$13+$C$13*EF74)/(1+$D$13*EF74)*DY74/(EA74+273)*$E$13)</f>
        <v>0</v>
      </c>
      <c r="AX74" t="s">
        <v>572</v>
      </c>
      <c r="AY74">
        <v>5110.91</v>
      </c>
      <c r="AZ74">
        <v>714.823076923077</v>
      </c>
      <c r="BA74">
        <v>1930.46444768955</v>
      </c>
      <c r="BB74">
        <f>1-AZ74/BA74</f>
        <v>0</v>
      </c>
      <c r="BC74">
        <v>-0.797918103269906</v>
      </c>
      <c r="BD74" t="s">
        <v>629</v>
      </c>
      <c r="BE74">
        <v>5113.59</v>
      </c>
      <c r="BF74">
        <v>844.28024</v>
      </c>
      <c r="BG74">
        <v>1643.11379126171</v>
      </c>
      <c r="BH74">
        <f>1-BF74/BG74</f>
        <v>0</v>
      </c>
      <c r="BI74">
        <v>0.5</v>
      </c>
      <c r="BJ74">
        <f>DI74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630</v>
      </c>
      <c r="BQ74">
        <v>742.87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BZ74">
        <v>65</v>
      </c>
      <c r="CA74">
        <v>290</v>
      </c>
      <c r="CB74">
        <v>1594.42</v>
      </c>
      <c r="CC74">
        <v>275</v>
      </c>
      <c r="CD74">
        <v>5113.59</v>
      </c>
      <c r="CE74">
        <v>1594.52</v>
      </c>
      <c r="CF74">
        <v>-0.1</v>
      </c>
      <c r="CG74">
        <v>300</v>
      </c>
      <c r="CH74">
        <v>23.9</v>
      </c>
      <c r="CI74">
        <v>1643.11379126171</v>
      </c>
      <c r="CJ74">
        <v>1.54847761271786</v>
      </c>
      <c r="CK74">
        <v>-24.8508960778168</v>
      </c>
      <c r="CL74">
        <v>0.689490860363454</v>
      </c>
      <c r="CM74">
        <v>0.978900626562532</v>
      </c>
      <c r="CN74">
        <v>-0.00410236129032258</v>
      </c>
      <c r="CO74">
        <v>290</v>
      </c>
      <c r="CP74">
        <v>1592.46</v>
      </c>
      <c r="CQ74">
        <v>635</v>
      </c>
      <c r="CR74">
        <v>5112.96</v>
      </c>
      <c r="CS74">
        <v>1594.51</v>
      </c>
      <c r="CT74">
        <v>-2.05</v>
      </c>
      <c r="DH74">
        <f>$B$11*EG74+$C$11*EH74+$F$11*ES74*(1-EV74)</f>
        <v>0</v>
      </c>
      <c r="DI74">
        <f>DH74*DJ74</f>
        <v>0</v>
      </c>
      <c r="DJ74">
        <f>($B$11*$D$9+$C$11*$D$9+$F$11*((FF74+EX74)/MAX(FF74+EX74+FG74, 0.1)*$I$9+FG74/MAX(FF74+EX74+FG74, 0.1)*$J$9))/($B$11+$C$11+$F$11)</f>
        <v>0</v>
      </c>
      <c r="DK74">
        <f>($B$11*$K$9+$C$11*$K$9+$F$11*((FF74+EX74)/MAX(FF74+EX74+FG74, 0.1)*$P$9+FG74/MAX(FF74+EX74+FG74, 0.1)*$Q$9))/($B$11+$C$11+$F$11)</f>
        <v>0</v>
      </c>
      <c r="DL74">
        <v>6</v>
      </c>
      <c r="DM74">
        <v>0.5</v>
      </c>
      <c r="DN74" t="s">
        <v>440</v>
      </c>
      <c r="DO74">
        <v>2</v>
      </c>
      <c r="DP74" t="b">
        <v>1</v>
      </c>
      <c r="DQ74">
        <v>1761686544.6</v>
      </c>
      <c r="DR74">
        <v>416.0909375</v>
      </c>
      <c r="DS74">
        <v>419.9850625</v>
      </c>
      <c r="DT74">
        <v>9.23461875</v>
      </c>
      <c r="DU74">
        <v>7.312850625</v>
      </c>
      <c r="DV74">
        <v>413.190375</v>
      </c>
      <c r="DW74">
        <v>9.33002</v>
      </c>
      <c r="DX74">
        <v>500.0241875</v>
      </c>
      <c r="DY74">
        <v>90.96130625</v>
      </c>
      <c r="DZ74">
        <v>0.0218699125</v>
      </c>
      <c r="EA74">
        <v>24.78309375</v>
      </c>
      <c r="EB74">
        <v>23.99781875</v>
      </c>
      <c r="EC74">
        <v>999.9</v>
      </c>
      <c r="ED74">
        <v>0</v>
      </c>
      <c r="EE74">
        <v>0</v>
      </c>
      <c r="EF74">
        <v>10004.91375</v>
      </c>
      <c r="EG74">
        <v>0</v>
      </c>
      <c r="EH74">
        <v>1262.24625</v>
      </c>
      <c r="EI74">
        <v>-3.8942175</v>
      </c>
      <c r="EJ74">
        <v>419.9690625</v>
      </c>
      <c r="EK74">
        <v>423.0789375</v>
      </c>
      <c r="EL74">
        <v>1.921766875</v>
      </c>
      <c r="EM74">
        <v>419.9850625</v>
      </c>
      <c r="EN74">
        <v>7.312850625</v>
      </c>
      <c r="EO74">
        <v>0.8399929375</v>
      </c>
      <c r="EP74">
        <v>0.665186375</v>
      </c>
      <c r="EQ74">
        <v>4.4017225</v>
      </c>
      <c r="ER74">
        <v>1.115438125</v>
      </c>
      <c r="ES74">
        <v>150.0041875</v>
      </c>
      <c r="ET74">
        <v>0.9000420625</v>
      </c>
      <c r="EU74">
        <v>0.0999580875</v>
      </c>
      <c r="EV74">
        <v>0</v>
      </c>
      <c r="EW74">
        <v>844.31125</v>
      </c>
      <c r="EX74">
        <v>5.00059</v>
      </c>
      <c r="EY74">
        <v>1255.98875</v>
      </c>
      <c r="EZ74">
        <v>1231.905625</v>
      </c>
      <c r="FA74">
        <v>37.4645625</v>
      </c>
      <c r="FB74">
        <v>40.6131875</v>
      </c>
      <c r="FC74">
        <v>38.710625</v>
      </c>
      <c r="FD74">
        <v>40.194875</v>
      </c>
      <c r="FE74">
        <v>39.210625</v>
      </c>
      <c r="FF74">
        <v>130.510625</v>
      </c>
      <c r="FG74">
        <v>14.493125</v>
      </c>
      <c r="FH74">
        <v>0</v>
      </c>
      <c r="FI74">
        <v>100.799999952316</v>
      </c>
      <c r="FJ74">
        <v>0</v>
      </c>
      <c r="FK74">
        <v>844.28024</v>
      </c>
      <c r="FL74">
        <v>-1.58830769884951</v>
      </c>
      <c r="FM74">
        <v>-0.976153883367468</v>
      </c>
      <c r="FN74">
        <v>1255.8816</v>
      </c>
      <c r="FO74">
        <v>15</v>
      </c>
      <c r="FP74">
        <v>0</v>
      </c>
      <c r="FQ74" t="s">
        <v>441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-3.9164645</v>
      </c>
      <c r="GD74">
        <v>0.422606165413529</v>
      </c>
      <c r="GE74">
        <v>0.0457634231100559</v>
      </c>
      <c r="GF74">
        <v>1</v>
      </c>
      <c r="GG74">
        <v>844.395</v>
      </c>
      <c r="GH74">
        <v>-1.89115355547146</v>
      </c>
      <c r="GI74">
        <v>0.224156982807083</v>
      </c>
      <c r="GJ74">
        <v>-1</v>
      </c>
      <c r="GK74">
        <v>1.9261915</v>
      </c>
      <c r="GL74">
        <v>-0.0376353383458666</v>
      </c>
      <c r="GM74">
        <v>0.0141901329363047</v>
      </c>
      <c r="GN74">
        <v>1</v>
      </c>
      <c r="GO74">
        <v>2</v>
      </c>
      <c r="GP74">
        <v>2</v>
      </c>
      <c r="GQ74" t="s">
        <v>442</v>
      </c>
      <c r="GR74">
        <v>3.12833</v>
      </c>
      <c r="GS74">
        <v>2.69987</v>
      </c>
      <c r="GT74">
        <v>0.0885613</v>
      </c>
      <c r="GU74">
        <v>0.0897855</v>
      </c>
      <c r="GV74">
        <v>0.0504481</v>
      </c>
      <c r="GW74">
        <v>0.0418866</v>
      </c>
      <c r="GX74">
        <v>34138.2</v>
      </c>
      <c r="GY74">
        <v>36506.2</v>
      </c>
      <c r="GZ74">
        <v>33900.9</v>
      </c>
      <c r="HA74">
        <v>36327.5</v>
      </c>
      <c r="HB74">
        <v>45491.2</v>
      </c>
      <c r="HC74">
        <v>49947.4</v>
      </c>
      <c r="HD74">
        <v>52871.3</v>
      </c>
      <c r="HE74">
        <v>58006.1</v>
      </c>
      <c r="HF74">
        <v>1.92327</v>
      </c>
      <c r="HG74">
        <v>2.29627</v>
      </c>
      <c r="HH74">
        <v>-0.0145435</v>
      </c>
      <c r="HI74">
        <v>0</v>
      </c>
      <c r="HJ74">
        <v>24.2698</v>
      </c>
      <c r="HK74">
        <v>999.9</v>
      </c>
      <c r="HL74">
        <v>21.499</v>
      </c>
      <c r="HM74">
        <v>29.819</v>
      </c>
      <c r="HN74">
        <v>9.96515</v>
      </c>
      <c r="HO74">
        <v>54.0539</v>
      </c>
      <c r="HP74">
        <v>30.7652</v>
      </c>
      <c r="HQ74">
        <v>2</v>
      </c>
      <c r="HR74">
        <v>0.246669</v>
      </c>
      <c r="HS74">
        <v>4.22798</v>
      </c>
      <c r="HT74">
        <v>20.0956</v>
      </c>
      <c r="HU74">
        <v>5.19917</v>
      </c>
      <c r="HV74">
        <v>12.0079</v>
      </c>
      <c r="HW74">
        <v>4.9754</v>
      </c>
      <c r="HX74">
        <v>3.294</v>
      </c>
      <c r="HY74">
        <v>9999</v>
      </c>
      <c r="HZ74">
        <v>9999</v>
      </c>
      <c r="IA74">
        <v>9999</v>
      </c>
      <c r="IB74">
        <v>999.9</v>
      </c>
      <c r="IC74">
        <v>1.86324</v>
      </c>
      <c r="ID74">
        <v>1.86813</v>
      </c>
      <c r="IE74">
        <v>1.86787</v>
      </c>
      <c r="IF74">
        <v>1.86902</v>
      </c>
      <c r="IG74">
        <v>1.86982</v>
      </c>
      <c r="IH74">
        <v>1.86586</v>
      </c>
      <c r="II74">
        <v>1.86699</v>
      </c>
      <c r="IJ74">
        <v>1.86844</v>
      </c>
      <c r="IK74">
        <v>5</v>
      </c>
      <c r="IL74">
        <v>0</v>
      </c>
      <c r="IM74">
        <v>0</v>
      </c>
      <c r="IN74">
        <v>0</v>
      </c>
      <c r="IO74" t="s">
        <v>443</v>
      </c>
      <c r="IP74" t="s">
        <v>444</v>
      </c>
      <c r="IQ74" t="s">
        <v>445</v>
      </c>
      <c r="IR74" t="s">
        <v>445</v>
      </c>
      <c r="IS74" t="s">
        <v>445</v>
      </c>
      <c r="IT74" t="s">
        <v>445</v>
      </c>
      <c r="IU74">
        <v>0</v>
      </c>
      <c r="IV74">
        <v>100</v>
      </c>
      <c r="IW74">
        <v>100</v>
      </c>
      <c r="IX74">
        <v>2.901</v>
      </c>
      <c r="IY74">
        <v>-0.0953</v>
      </c>
      <c r="IZ74">
        <v>1.24656194001752</v>
      </c>
      <c r="JA74">
        <v>0.00408463137630218</v>
      </c>
      <c r="JB74">
        <v>-2.23906557180379e-07</v>
      </c>
      <c r="JC74">
        <v>6.23399102760906e-11</v>
      </c>
      <c r="JD74">
        <v>-0.0873394905990972</v>
      </c>
      <c r="JE74">
        <v>-0.0233348201324191</v>
      </c>
      <c r="JF74">
        <v>0.00274696999164489</v>
      </c>
      <c r="JG74">
        <v>-3.62864435074646e-05</v>
      </c>
      <c r="JH74">
        <v>5</v>
      </c>
      <c r="JI74">
        <v>2263</v>
      </c>
      <c r="JJ74">
        <v>1</v>
      </c>
      <c r="JK74">
        <v>24</v>
      </c>
      <c r="JL74">
        <v>29361442.6</v>
      </c>
      <c r="JM74">
        <v>29361442.6</v>
      </c>
      <c r="JN74">
        <v>1.25366</v>
      </c>
      <c r="JO74">
        <v>2.61597</v>
      </c>
      <c r="JP74">
        <v>2.19849</v>
      </c>
      <c r="JQ74">
        <v>2.62573</v>
      </c>
      <c r="JR74">
        <v>2.44507</v>
      </c>
      <c r="JS74">
        <v>2.34985</v>
      </c>
      <c r="JT74">
        <v>33.0875</v>
      </c>
      <c r="JU74">
        <v>24.2013</v>
      </c>
      <c r="JV74">
        <v>18</v>
      </c>
      <c r="JW74">
        <v>502.979</v>
      </c>
      <c r="JX74">
        <v>791.647</v>
      </c>
      <c r="JY74">
        <v>21.0315</v>
      </c>
      <c r="JZ74">
        <v>30.4674</v>
      </c>
      <c r="KA74">
        <v>30.0025</v>
      </c>
      <c r="KB74">
        <v>30.3911</v>
      </c>
      <c r="KC74">
        <v>30.3174</v>
      </c>
      <c r="KD74">
        <v>25.1082</v>
      </c>
      <c r="KE74">
        <v>0</v>
      </c>
      <c r="KF74">
        <v>15.5934</v>
      </c>
      <c r="KG74">
        <v>20.8321</v>
      </c>
      <c r="KH74">
        <v>420</v>
      </c>
      <c r="KI74">
        <v>7.51431</v>
      </c>
      <c r="KJ74">
        <v>96.1188</v>
      </c>
      <c r="KK74">
        <v>94.0158</v>
      </c>
    </row>
    <row r="75" spans="1:297">
      <c r="A75">
        <v>59</v>
      </c>
      <c r="B75">
        <v>1761686665.1</v>
      </c>
      <c r="C75">
        <v>9316</v>
      </c>
      <c r="D75" t="s">
        <v>631</v>
      </c>
      <c r="E75" t="s">
        <v>632</v>
      </c>
      <c r="F75">
        <v>5</v>
      </c>
      <c r="G75" t="s">
        <v>606</v>
      </c>
      <c r="H75" t="s">
        <v>436</v>
      </c>
      <c r="I75">
        <v>1761686656.6</v>
      </c>
      <c r="J75">
        <f>(K75)/1000</f>
        <v>0</v>
      </c>
      <c r="K75">
        <f>IF(DP75, AN75, AH75)</f>
        <v>0</v>
      </c>
      <c r="L75">
        <f>IF(DP75, AI75, AG75)</f>
        <v>0</v>
      </c>
      <c r="M75">
        <f>DR75 - IF(AU75&gt;1, L75*DL75*100.0/(AW75), 0)</f>
        <v>0</v>
      </c>
      <c r="N75">
        <f>((T75-J75/2)*M75-L75)/(T75+J75/2)</f>
        <v>0</v>
      </c>
      <c r="O75">
        <f>N75*(DY75+DZ75)/1000.0</f>
        <v>0</v>
      </c>
      <c r="P75">
        <f>(DR75 - IF(AU75&gt;1, L75*DL75*100.0/(AW75), 0))*(DY75+DZ75)/1000.0</f>
        <v>0</v>
      </c>
      <c r="Q75">
        <f>2.0/((1/S75-1/R75)+SIGN(S75)*SQRT((1/S75-1/R75)*(1/S75-1/R75) + 4*DM75/((DM75+1)*(DM75+1))*(2*1/S75*1/R75-1/R75*1/R75)))</f>
        <v>0</v>
      </c>
      <c r="R75">
        <f>IF(LEFT(DN75,1)&lt;&gt;"0",IF(LEFT(DN75,1)="1",3.0,DO75),$D$5+$E$5*(EF75*DY75/($K$5*1000))+$F$5*(EF75*DY75/($K$5*1000))*MAX(MIN(DL75,$J$5),$I$5)*MAX(MIN(DL75,$J$5),$I$5)+$G$5*MAX(MIN(DL75,$J$5),$I$5)*(EF75*DY75/($K$5*1000))+$H$5*(EF75*DY75/($K$5*1000))*(EF75*DY75/($K$5*1000)))</f>
        <v>0</v>
      </c>
      <c r="S75">
        <f>J75*(1000-(1000*0.61365*exp(17.502*W75/(240.97+W75))/(DY75+DZ75)+DT75)/2)/(1000*0.61365*exp(17.502*W75/(240.97+W75))/(DY75+DZ75)-DT75)</f>
        <v>0</v>
      </c>
      <c r="T75">
        <f>1/((DM75+1)/(Q75/1.6)+1/(R75/1.37)) + DM75/((DM75+1)/(Q75/1.6) + DM75/(R75/1.37))</f>
        <v>0</v>
      </c>
      <c r="U75">
        <f>(DH75*DK75)</f>
        <v>0</v>
      </c>
      <c r="V75">
        <f>(EA75+(U75+2*0.95*5.67E-8*(((EA75+$B$7)+273)^4-(EA75+273)^4)-44100*J75)/(1.84*29.3*R75+8*0.95*5.67E-8*(EA75+273)^3))</f>
        <v>0</v>
      </c>
      <c r="W75">
        <f>($C$7*EB75+$D$7*EC75+$E$7*V75)</f>
        <v>0</v>
      </c>
      <c r="X75">
        <f>0.61365*exp(17.502*W75/(240.97+W75))</f>
        <v>0</v>
      </c>
      <c r="Y75">
        <f>(Z75/AA75*100)</f>
        <v>0</v>
      </c>
      <c r="Z75">
        <f>DT75*(DY75+DZ75)/1000</f>
        <v>0</v>
      </c>
      <c r="AA75">
        <f>0.61365*exp(17.502*EA75/(240.97+EA75))</f>
        <v>0</v>
      </c>
      <c r="AB75">
        <f>(X75-DT75*(DY75+DZ75)/1000)</f>
        <v>0</v>
      </c>
      <c r="AC75">
        <f>(-J75*44100)</f>
        <v>0</v>
      </c>
      <c r="AD75">
        <f>2*29.3*R75*0.92*(EA75-W75)</f>
        <v>0</v>
      </c>
      <c r="AE75">
        <f>2*0.95*5.67E-8*(((EA75+$B$7)+273)^4-(W75+273)^4)</f>
        <v>0</v>
      </c>
      <c r="AF75">
        <f>U75+AE75+AC75+AD75</f>
        <v>0</v>
      </c>
      <c r="AG75">
        <f>DX75*AU75*(DS75-DR75*(1000-AU75*DU75)/(1000-AU75*DT75))/(100*DL75)</f>
        <v>0</v>
      </c>
      <c r="AH75">
        <f>1000*DX75*AU75*(DT75-DU75)/(100*DL75*(1000-AU75*DT75))</f>
        <v>0</v>
      </c>
      <c r="AI75">
        <f>(AJ75 - AK75 - DY75*1E3/(8.314*(EA75+273.15)) * AM75/DX75 * AL75) * DX75/(100*DL75) * (1000 - DU75)/1000</f>
        <v>0</v>
      </c>
      <c r="AJ75">
        <v>423.149275458424</v>
      </c>
      <c r="AK75">
        <v>423.244357575758</v>
      </c>
      <c r="AL75">
        <v>0.0262092711765303</v>
      </c>
      <c r="AM75">
        <v>64.2047674928869</v>
      </c>
      <c r="AN75">
        <f>(AP75 - AO75 + DY75*1E3/(8.314*(EA75+273.15)) * AR75/DX75 * AQ75) * DX75/(100*DL75) * 1000/(1000 - AP75)</f>
        <v>0</v>
      </c>
      <c r="AO75">
        <v>7.34539269301793</v>
      </c>
      <c r="AP75">
        <v>9.07025293706294</v>
      </c>
      <c r="AQ75">
        <v>-5.31451659509364e-05</v>
      </c>
      <c r="AR75">
        <v>109.01488015841</v>
      </c>
      <c r="AS75">
        <v>0</v>
      </c>
      <c r="AT75">
        <v>0</v>
      </c>
      <c r="AU75">
        <f>IF(AS75*$H$13&gt;=AW75,1.0,(AW75/(AW75-AS75*$H$13)))</f>
        <v>0</v>
      </c>
      <c r="AV75">
        <f>(AU75-1)*100</f>
        <v>0</v>
      </c>
      <c r="AW75">
        <f>MAX(0,($B$13+$C$13*EF75)/(1+$D$13*EF75)*DY75/(EA75+273)*$E$13)</f>
        <v>0</v>
      </c>
      <c r="AX75" t="s">
        <v>572</v>
      </c>
      <c r="AY75">
        <v>5110.91</v>
      </c>
      <c r="AZ75">
        <v>714.823076923077</v>
      </c>
      <c r="BA75">
        <v>1930.46444768955</v>
      </c>
      <c r="BB75">
        <f>1-AZ75/BA75</f>
        <v>0</v>
      </c>
      <c r="BC75">
        <v>-0.797918103269906</v>
      </c>
      <c r="BD75" t="s">
        <v>633</v>
      </c>
      <c r="BE75">
        <v>5105.15</v>
      </c>
      <c r="BF75">
        <v>779.239961538462</v>
      </c>
      <c r="BG75">
        <v>1688.16500410203</v>
      </c>
      <c r="BH75">
        <f>1-BF75/BG75</f>
        <v>0</v>
      </c>
      <c r="BI75">
        <v>0.5</v>
      </c>
      <c r="BJ75">
        <f>DI75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634</v>
      </c>
      <c r="BQ75">
        <v>730.13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BZ75">
        <v>67</v>
      </c>
      <c r="CA75">
        <v>290</v>
      </c>
      <c r="CB75">
        <v>1637.21</v>
      </c>
      <c r="CC75">
        <v>275</v>
      </c>
      <c r="CD75">
        <v>5105.15</v>
      </c>
      <c r="CE75">
        <v>1638.04</v>
      </c>
      <c r="CF75">
        <v>-0.83</v>
      </c>
      <c r="CG75">
        <v>300</v>
      </c>
      <c r="CH75">
        <v>23.9</v>
      </c>
      <c r="CI75">
        <v>1688.16500410203</v>
      </c>
      <c r="CJ75">
        <v>1.10627161298785</v>
      </c>
      <c r="CK75">
        <v>-25.5876947382939</v>
      </c>
      <c r="CL75">
        <v>0.490170991246684</v>
      </c>
      <c r="CM75">
        <v>0.989829291148475</v>
      </c>
      <c r="CN75">
        <v>-0.00417942380422693</v>
      </c>
      <c r="CO75">
        <v>290</v>
      </c>
      <c r="CP75">
        <v>1636.13</v>
      </c>
      <c r="CQ75">
        <v>685</v>
      </c>
      <c r="CR75">
        <v>5104.08</v>
      </c>
      <c r="CS75">
        <v>1638.03</v>
      </c>
      <c r="CT75">
        <v>-1.9</v>
      </c>
      <c r="DH75">
        <f>$B$11*EG75+$C$11*EH75+$F$11*ES75*(1-EV75)</f>
        <v>0</v>
      </c>
      <c r="DI75">
        <f>DH75*DJ75</f>
        <v>0</v>
      </c>
      <c r="DJ75">
        <f>($B$11*$D$9+$C$11*$D$9+$F$11*((FF75+EX75)/MAX(FF75+EX75+FG75, 0.1)*$I$9+FG75/MAX(FF75+EX75+FG75, 0.1)*$J$9))/($B$11+$C$11+$F$11)</f>
        <v>0</v>
      </c>
      <c r="DK75">
        <f>($B$11*$K$9+$C$11*$K$9+$F$11*((FF75+EX75)/MAX(FF75+EX75+FG75, 0.1)*$P$9+FG75/MAX(FF75+EX75+FG75, 0.1)*$Q$9))/($B$11+$C$11+$F$11)</f>
        <v>0</v>
      </c>
      <c r="DL75">
        <v>6</v>
      </c>
      <c r="DM75">
        <v>0.5</v>
      </c>
      <c r="DN75" t="s">
        <v>440</v>
      </c>
      <c r="DO75">
        <v>2</v>
      </c>
      <c r="DP75" t="b">
        <v>1</v>
      </c>
      <c r="DQ75">
        <v>1761686656.6</v>
      </c>
      <c r="DR75">
        <v>419.2805625</v>
      </c>
      <c r="DS75">
        <v>419.9934375</v>
      </c>
      <c r="DT75">
        <v>9.08438375</v>
      </c>
      <c r="DU75">
        <v>7.34668</v>
      </c>
      <c r="DV75">
        <v>416.3674375</v>
      </c>
      <c r="DW75">
        <v>9.182470625</v>
      </c>
      <c r="DX75">
        <v>500.009</v>
      </c>
      <c r="DY75">
        <v>90.96723125</v>
      </c>
      <c r="DZ75">
        <v>0.0217573</v>
      </c>
      <c r="EA75">
        <v>24.79769375</v>
      </c>
      <c r="EB75">
        <v>24.01565625</v>
      </c>
      <c r="EC75">
        <v>999.9</v>
      </c>
      <c r="ED75">
        <v>0</v>
      </c>
      <c r="EE75">
        <v>0</v>
      </c>
      <c r="EF75">
        <v>9999.68625</v>
      </c>
      <c r="EG75">
        <v>0</v>
      </c>
      <c r="EH75">
        <v>1262.263125</v>
      </c>
      <c r="EI75">
        <v>-0.7128715</v>
      </c>
      <c r="EJ75">
        <v>423.1243125</v>
      </c>
      <c r="EK75">
        <v>423.101625</v>
      </c>
      <c r="EL75">
        <v>1.737704375</v>
      </c>
      <c r="EM75">
        <v>419.9934375</v>
      </c>
      <c r="EN75">
        <v>7.34668</v>
      </c>
      <c r="EO75">
        <v>0.8263811875</v>
      </c>
      <c r="EP75">
        <v>0.668307125</v>
      </c>
      <c r="EQ75">
        <v>4.168716875</v>
      </c>
      <c r="ER75">
        <v>1.180495625</v>
      </c>
      <c r="ES75">
        <v>49.97801875</v>
      </c>
      <c r="ET75">
        <v>0.8999936875</v>
      </c>
      <c r="EU75">
        <v>0.100006325</v>
      </c>
      <c r="EV75">
        <v>0</v>
      </c>
      <c r="EW75">
        <v>779.2325625</v>
      </c>
      <c r="EX75">
        <v>5.00059</v>
      </c>
      <c r="EY75">
        <v>384.9319375</v>
      </c>
      <c r="EZ75">
        <v>382.1085</v>
      </c>
      <c r="FA75">
        <v>36.7224375</v>
      </c>
      <c r="FB75">
        <v>40.1288125</v>
      </c>
      <c r="FC75">
        <v>38.073875</v>
      </c>
      <c r="FD75">
        <v>39.777125</v>
      </c>
      <c r="FE75">
        <v>38.5974375</v>
      </c>
      <c r="FF75">
        <v>40.478125</v>
      </c>
      <c r="FG75">
        <v>4.5</v>
      </c>
      <c r="FH75">
        <v>0</v>
      </c>
      <c r="FI75">
        <v>109.099999904633</v>
      </c>
      <c r="FJ75">
        <v>0</v>
      </c>
      <c r="FK75">
        <v>779.239961538462</v>
      </c>
      <c r="FL75">
        <v>1.06177777315846</v>
      </c>
      <c r="FM75">
        <v>-0.442393171901065</v>
      </c>
      <c r="FN75">
        <v>385.174692307692</v>
      </c>
      <c r="FO75">
        <v>15</v>
      </c>
      <c r="FP75">
        <v>0</v>
      </c>
      <c r="FQ75" t="s">
        <v>441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-0.7475769</v>
      </c>
      <c r="GD75">
        <v>0.46922445112782</v>
      </c>
      <c r="GE75">
        <v>0.062135347774757</v>
      </c>
      <c r="GF75">
        <v>1</v>
      </c>
      <c r="GG75">
        <v>779.172294117647</v>
      </c>
      <c r="GH75">
        <v>1.37515660771129</v>
      </c>
      <c r="GI75">
        <v>0.196427434499932</v>
      </c>
      <c r="GJ75">
        <v>-1</v>
      </c>
      <c r="GK75">
        <v>1.740586</v>
      </c>
      <c r="GL75">
        <v>-0.0634655639097769</v>
      </c>
      <c r="GM75">
        <v>0.0064137355729715</v>
      </c>
      <c r="GN75">
        <v>1</v>
      </c>
      <c r="GO75">
        <v>2</v>
      </c>
      <c r="GP75">
        <v>2</v>
      </c>
      <c r="GQ75" t="s">
        <v>442</v>
      </c>
      <c r="GR75">
        <v>3.12825</v>
      </c>
      <c r="GS75">
        <v>2.69987</v>
      </c>
      <c r="GT75">
        <v>0.0890821</v>
      </c>
      <c r="GU75">
        <v>0.0897867</v>
      </c>
      <c r="GV75">
        <v>0.0497076</v>
      </c>
      <c r="GW75">
        <v>0.0420331</v>
      </c>
      <c r="GX75">
        <v>34116.2</v>
      </c>
      <c r="GY75">
        <v>36503.5</v>
      </c>
      <c r="GZ75">
        <v>33898.8</v>
      </c>
      <c r="HA75">
        <v>36325</v>
      </c>
      <c r="HB75">
        <v>45524.4</v>
      </c>
      <c r="HC75">
        <v>49936.6</v>
      </c>
      <c r="HD75">
        <v>52868.3</v>
      </c>
      <c r="HE75">
        <v>58002.6</v>
      </c>
      <c r="HF75">
        <v>1.9228</v>
      </c>
      <c r="HG75">
        <v>2.2963</v>
      </c>
      <c r="HH75">
        <v>-0.022836</v>
      </c>
      <c r="HI75">
        <v>0</v>
      </c>
      <c r="HJ75">
        <v>24.3866</v>
      </c>
      <c r="HK75">
        <v>999.9</v>
      </c>
      <c r="HL75">
        <v>21.701</v>
      </c>
      <c r="HM75">
        <v>29.799</v>
      </c>
      <c r="HN75">
        <v>10.0465</v>
      </c>
      <c r="HO75">
        <v>54.5538</v>
      </c>
      <c r="HP75">
        <v>30.7973</v>
      </c>
      <c r="HQ75">
        <v>2</v>
      </c>
      <c r="HR75">
        <v>0.248384</v>
      </c>
      <c r="HS75">
        <v>3.25663</v>
      </c>
      <c r="HT75">
        <v>20.1188</v>
      </c>
      <c r="HU75">
        <v>5.19618</v>
      </c>
      <c r="HV75">
        <v>12.0049</v>
      </c>
      <c r="HW75">
        <v>4.9756</v>
      </c>
      <c r="HX75">
        <v>3.294</v>
      </c>
      <c r="HY75">
        <v>9999</v>
      </c>
      <c r="HZ75">
        <v>9999</v>
      </c>
      <c r="IA75">
        <v>9999</v>
      </c>
      <c r="IB75">
        <v>999.9</v>
      </c>
      <c r="IC75">
        <v>1.86324</v>
      </c>
      <c r="ID75">
        <v>1.86812</v>
      </c>
      <c r="IE75">
        <v>1.86789</v>
      </c>
      <c r="IF75">
        <v>1.86905</v>
      </c>
      <c r="IG75">
        <v>1.86981</v>
      </c>
      <c r="IH75">
        <v>1.86589</v>
      </c>
      <c r="II75">
        <v>1.867</v>
      </c>
      <c r="IJ75">
        <v>1.86844</v>
      </c>
      <c r="IK75">
        <v>5</v>
      </c>
      <c r="IL75">
        <v>0</v>
      </c>
      <c r="IM75">
        <v>0</v>
      </c>
      <c r="IN75">
        <v>0</v>
      </c>
      <c r="IO75" t="s">
        <v>443</v>
      </c>
      <c r="IP75" t="s">
        <v>444</v>
      </c>
      <c r="IQ75" t="s">
        <v>445</v>
      </c>
      <c r="IR75" t="s">
        <v>445</v>
      </c>
      <c r="IS75" t="s">
        <v>445</v>
      </c>
      <c r="IT75" t="s">
        <v>445</v>
      </c>
      <c r="IU75">
        <v>0</v>
      </c>
      <c r="IV75">
        <v>100</v>
      </c>
      <c r="IW75">
        <v>100</v>
      </c>
      <c r="IX75">
        <v>2.913</v>
      </c>
      <c r="IY75">
        <v>-0.0984</v>
      </c>
      <c r="IZ75">
        <v>1.24656194001752</v>
      </c>
      <c r="JA75">
        <v>0.00408463137630218</v>
      </c>
      <c r="JB75">
        <v>-2.23906557180379e-07</v>
      </c>
      <c r="JC75">
        <v>6.23399102760906e-11</v>
      </c>
      <c r="JD75">
        <v>-0.0873394905990972</v>
      </c>
      <c r="JE75">
        <v>-0.0233348201324191</v>
      </c>
      <c r="JF75">
        <v>0.00274696999164489</v>
      </c>
      <c r="JG75">
        <v>-3.62864435074646e-05</v>
      </c>
      <c r="JH75">
        <v>5</v>
      </c>
      <c r="JI75">
        <v>2263</v>
      </c>
      <c r="JJ75">
        <v>1</v>
      </c>
      <c r="JK75">
        <v>24</v>
      </c>
      <c r="JL75">
        <v>29361444.4</v>
      </c>
      <c r="JM75">
        <v>29361444.4</v>
      </c>
      <c r="JN75">
        <v>1.25366</v>
      </c>
      <c r="JO75">
        <v>2.61719</v>
      </c>
      <c r="JP75">
        <v>2.19849</v>
      </c>
      <c r="JQ75">
        <v>2.62573</v>
      </c>
      <c r="JR75">
        <v>2.44507</v>
      </c>
      <c r="JS75">
        <v>2.33154</v>
      </c>
      <c r="JT75">
        <v>33.0652</v>
      </c>
      <c r="JU75">
        <v>24.2101</v>
      </c>
      <c r="JV75">
        <v>18</v>
      </c>
      <c r="JW75">
        <v>503.053</v>
      </c>
      <c r="JX75">
        <v>792.327</v>
      </c>
      <c r="JY75">
        <v>20.9321</v>
      </c>
      <c r="JZ75">
        <v>30.507</v>
      </c>
      <c r="KA75">
        <v>30.0003</v>
      </c>
      <c r="KB75">
        <v>30.4374</v>
      </c>
      <c r="KC75">
        <v>30.3652</v>
      </c>
      <c r="KD75">
        <v>25.1108</v>
      </c>
      <c r="KE75">
        <v>0</v>
      </c>
      <c r="KF75">
        <v>15.9651</v>
      </c>
      <c r="KG75">
        <v>20.9236</v>
      </c>
      <c r="KH75">
        <v>420</v>
      </c>
      <c r="KI75">
        <v>7.31625</v>
      </c>
      <c r="KJ75">
        <v>96.1131</v>
      </c>
      <c r="KK75">
        <v>94.0098</v>
      </c>
    </row>
    <row r="76" spans="1:297">
      <c r="A76">
        <v>60</v>
      </c>
      <c r="B76">
        <v>1761686796</v>
      </c>
      <c r="C76">
        <v>9446.90000009537</v>
      </c>
      <c r="D76" t="s">
        <v>635</v>
      </c>
      <c r="E76" t="s">
        <v>636</v>
      </c>
      <c r="F76">
        <v>5</v>
      </c>
      <c r="G76" t="s">
        <v>606</v>
      </c>
      <c r="H76" t="s">
        <v>436</v>
      </c>
      <c r="I76">
        <v>1761686787.5125</v>
      </c>
      <c r="J76">
        <f>(K76)/1000</f>
        <v>0</v>
      </c>
      <c r="K76">
        <f>IF(DP76, AN76, AH76)</f>
        <v>0</v>
      </c>
      <c r="L76">
        <f>IF(DP76, AI76, AG76)</f>
        <v>0</v>
      </c>
      <c r="M76">
        <f>DR76 - IF(AU76&gt;1, L76*DL76*100.0/(AW76), 0)</f>
        <v>0</v>
      </c>
      <c r="N76">
        <f>((T76-J76/2)*M76-L76)/(T76+J76/2)</f>
        <v>0</v>
      </c>
      <c r="O76">
        <f>N76*(DY76+DZ76)/1000.0</f>
        <v>0</v>
      </c>
      <c r="P76">
        <f>(DR76 - IF(AU76&gt;1, L76*DL76*100.0/(AW76), 0))*(DY76+DZ76)/1000.0</f>
        <v>0</v>
      </c>
      <c r="Q76">
        <f>2.0/((1/S76-1/R76)+SIGN(S76)*SQRT((1/S76-1/R76)*(1/S76-1/R76) + 4*DM76/((DM76+1)*(DM76+1))*(2*1/S76*1/R76-1/R76*1/R76)))</f>
        <v>0</v>
      </c>
      <c r="R76">
        <f>IF(LEFT(DN76,1)&lt;&gt;"0",IF(LEFT(DN76,1)="1",3.0,DO76),$D$5+$E$5*(EF76*DY76/($K$5*1000))+$F$5*(EF76*DY76/($K$5*1000))*MAX(MIN(DL76,$J$5),$I$5)*MAX(MIN(DL76,$J$5),$I$5)+$G$5*MAX(MIN(DL76,$J$5),$I$5)*(EF76*DY76/($K$5*1000))+$H$5*(EF76*DY76/($K$5*1000))*(EF76*DY76/($K$5*1000)))</f>
        <v>0</v>
      </c>
      <c r="S76">
        <f>J76*(1000-(1000*0.61365*exp(17.502*W76/(240.97+W76))/(DY76+DZ76)+DT76)/2)/(1000*0.61365*exp(17.502*W76/(240.97+W76))/(DY76+DZ76)-DT76)</f>
        <v>0</v>
      </c>
      <c r="T76">
        <f>1/((DM76+1)/(Q76/1.6)+1/(R76/1.37)) + DM76/((DM76+1)/(Q76/1.6) + DM76/(R76/1.37))</f>
        <v>0</v>
      </c>
      <c r="U76">
        <f>(DH76*DK76)</f>
        <v>0</v>
      </c>
      <c r="V76">
        <f>(EA76+(U76+2*0.95*5.67E-8*(((EA76+$B$7)+273)^4-(EA76+273)^4)-44100*J76)/(1.84*29.3*R76+8*0.95*5.67E-8*(EA76+273)^3))</f>
        <v>0</v>
      </c>
      <c r="W76">
        <f>($C$7*EB76+$D$7*EC76+$E$7*V76)</f>
        <v>0</v>
      </c>
      <c r="X76">
        <f>0.61365*exp(17.502*W76/(240.97+W76))</f>
        <v>0</v>
      </c>
      <c r="Y76">
        <f>(Z76/AA76*100)</f>
        <v>0</v>
      </c>
      <c r="Z76">
        <f>DT76*(DY76+DZ76)/1000</f>
        <v>0</v>
      </c>
      <c r="AA76">
        <f>0.61365*exp(17.502*EA76/(240.97+EA76))</f>
        <v>0</v>
      </c>
      <c r="AB76">
        <f>(X76-DT76*(DY76+DZ76)/1000)</f>
        <v>0</v>
      </c>
      <c r="AC76">
        <f>(-J76*44100)</f>
        <v>0</v>
      </c>
      <c r="AD76">
        <f>2*29.3*R76*0.92*(EA76-W76)</f>
        <v>0</v>
      </c>
      <c r="AE76">
        <f>2*0.95*5.67E-8*(((EA76+$B$7)+273)^4-(W76+273)^4)</f>
        <v>0</v>
      </c>
      <c r="AF76">
        <f>U76+AE76+AC76+AD76</f>
        <v>0</v>
      </c>
      <c r="AG76">
        <f>DX76*AU76*(DS76-DR76*(1000-AU76*DU76)/(1000-AU76*DT76))/(100*DL76)</f>
        <v>0</v>
      </c>
      <c r="AH76">
        <f>1000*DX76*AU76*(DT76-DU76)/(100*DL76*(1000-AU76*DT76))</f>
        <v>0</v>
      </c>
      <c r="AI76">
        <f>(AJ76 - AK76 - DY76*1E3/(8.314*(EA76+273.15)) * AM76/DX76 * AL76) * DX76/(100*DL76) * (1000 - DU76)/1000</f>
        <v>0</v>
      </c>
      <c r="AJ76">
        <v>423.205295575502</v>
      </c>
      <c r="AK76">
        <v>425.680278787879</v>
      </c>
      <c r="AL76">
        <v>0.00398784413669178</v>
      </c>
      <c r="AM76">
        <v>64.2047674928869</v>
      </c>
      <c r="AN76">
        <f>(AP76 - AO76 + DY76*1E3/(8.314*(EA76+273.15)) * AR76/DX76 * AQ76) * DX76/(100*DL76) * 1000/(1000 - AP76)</f>
        <v>0</v>
      </c>
      <c r="AO76">
        <v>7.61058529499293</v>
      </c>
      <c r="AP76">
        <v>9.03600517482518</v>
      </c>
      <c r="AQ76">
        <v>4.1122128065781e-05</v>
      </c>
      <c r="AR76">
        <v>109.01488015841</v>
      </c>
      <c r="AS76">
        <v>0</v>
      </c>
      <c r="AT76">
        <v>0</v>
      </c>
      <c r="AU76">
        <f>IF(AS76*$H$13&gt;=AW76,1.0,(AW76/(AW76-AS76*$H$13)))</f>
        <v>0</v>
      </c>
      <c r="AV76">
        <f>(AU76-1)*100</f>
        <v>0</v>
      </c>
      <c r="AW76">
        <f>MAX(0,($B$13+$C$13*EF76)/(1+$D$13*EF76)*DY76/(EA76+273)*$E$13)</f>
        <v>0</v>
      </c>
      <c r="AX76" t="s">
        <v>637</v>
      </c>
      <c r="AY76">
        <v>5102.67</v>
      </c>
      <c r="AZ76">
        <v>719.180769230769</v>
      </c>
      <c r="BA76">
        <v>1747.50569204175</v>
      </c>
      <c r="BB76">
        <f>1-AZ76/BA76</f>
        <v>0</v>
      </c>
      <c r="BC76">
        <v>-2.06255575300684</v>
      </c>
      <c r="BD76" t="s">
        <v>448</v>
      </c>
      <c r="BE76" t="s">
        <v>448</v>
      </c>
      <c r="BF76">
        <v>0</v>
      </c>
      <c r="BG76">
        <v>0</v>
      </c>
      <c r="BH76">
        <f>1-BF76/BG76</f>
        <v>0</v>
      </c>
      <c r="BI76">
        <v>0.5</v>
      </c>
      <c r="BJ76">
        <f>DI76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448</v>
      </c>
      <c r="BQ76">
        <v>0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BZ76">
        <v>69</v>
      </c>
      <c r="CA76">
        <v>290</v>
      </c>
      <c r="CB76">
        <v>1691.47</v>
      </c>
      <c r="CC76">
        <v>285</v>
      </c>
      <c r="CD76">
        <v>5102.67</v>
      </c>
      <c r="CE76">
        <v>1691.48</v>
      </c>
      <c r="CF76">
        <v>-0.01</v>
      </c>
      <c r="CG76">
        <v>300</v>
      </c>
      <c r="CH76">
        <v>23.8</v>
      </c>
      <c r="CI76">
        <v>1747.50569204175</v>
      </c>
      <c r="CJ76">
        <v>1.70279657665832</v>
      </c>
      <c r="CK76">
        <v>-28.585525277722</v>
      </c>
      <c r="CL76">
        <v>0.753014695993898</v>
      </c>
      <c r="CM76">
        <v>0.980940338840221</v>
      </c>
      <c r="CN76">
        <v>-0.00421528943270301</v>
      </c>
      <c r="CO76">
        <v>290</v>
      </c>
      <c r="CP76">
        <v>1688.71</v>
      </c>
      <c r="CQ76">
        <v>675</v>
      </c>
      <c r="CR76">
        <v>5101.83</v>
      </c>
      <c r="CS76">
        <v>1691.48</v>
      </c>
      <c r="CT76">
        <v>-2.77</v>
      </c>
      <c r="DH76">
        <f>$B$11*EG76+$C$11*EH76+$F$11*ES76*(1-EV76)</f>
        <v>0</v>
      </c>
      <c r="DI76">
        <f>DH76*DJ76</f>
        <v>0</v>
      </c>
      <c r="DJ76">
        <f>($B$11*$D$9+$C$11*$D$9+$F$11*((FF76+EX76)/MAX(FF76+EX76+FG76, 0.1)*$I$9+FG76/MAX(FF76+EX76+FG76, 0.1)*$J$9))/($B$11+$C$11+$F$11)</f>
        <v>0</v>
      </c>
      <c r="DK76">
        <f>($B$11*$K$9+$C$11*$K$9+$F$11*((FF76+EX76)/MAX(FF76+EX76+FG76, 0.1)*$P$9+FG76/MAX(FF76+EX76+FG76, 0.1)*$Q$9))/($B$11+$C$11+$F$11)</f>
        <v>0</v>
      </c>
      <c r="DL76">
        <v>6</v>
      </c>
      <c r="DM76">
        <v>0.5</v>
      </c>
      <c r="DN76" t="s">
        <v>440</v>
      </c>
      <c r="DO76">
        <v>2</v>
      </c>
      <c r="DP76" t="b">
        <v>1</v>
      </c>
      <c r="DQ76">
        <v>1761686787.5125</v>
      </c>
      <c r="DR76">
        <v>421.7698125</v>
      </c>
      <c r="DS76">
        <v>420.00575</v>
      </c>
      <c r="DT76">
        <v>9.015456875</v>
      </c>
      <c r="DU76">
        <v>7.570654375</v>
      </c>
      <c r="DV76">
        <v>418.847125</v>
      </c>
      <c r="DW76">
        <v>9.1147525</v>
      </c>
      <c r="DX76">
        <v>500.0315625</v>
      </c>
      <c r="DY76">
        <v>90.97015625</v>
      </c>
      <c r="DZ76">
        <v>0.0217840375</v>
      </c>
      <c r="EA76">
        <v>24.753375</v>
      </c>
      <c r="EB76">
        <v>23.9893125</v>
      </c>
      <c r="EC76">
        <v>999.9</v>
      </c>
      <c r="ED76">
        <v>0</v>
      </c>
      <c r="EE76">
        <v>0</v>
      </c>
      <c r="EF76">
        <v>10003.209375</v>
      </c>
      <c r="EG76">
        <v>0</v>
      </c>
      <c r="EH76">
        <v>1262.185625</v>
      </c>
      <c r="EI76">
        <v>1.763964375</v>
      </c>
      <c r="EJ76">
        <v>425.606875</v>
      </c>
      <c r="EK76">
        <v>423.2099375</v>
      </c>
      <c r="EL76">
        <v>1.444804375</v>
      </c>
      <c r="EM76">
        <v>420.00575</v>
      </c>
      <c r="EN76">
        <v>7.570654375</v>
      </c>
      <c r="EO76">
        <v>0.820137625</v>
      </c>
      <c r="EP76">
        <v>0.6887035625</v>
      </c>
      <c r="EQ76">
        <v>4.0607025</v>
      </c>
      <c r="ER76">
        <v>1.599065625</v>
      </c>
      <c r="ES76">
        <v>0.00500059</v>
      </c>
      <c r="ET76">
        <v>0</v>
      </c>
      <c r="EU76">
        <v>0</v>
      </c>
      <c r="EV76">
        <v>0</v>
      </c>
      <c r="EW76">
        <v>716.475</v>
      </c>
      <c r="EX76">
        <v>0.00500059</v>
      </c>
      <c r="EY76">
        <v>23.275</v>
      </c>
      <c r="EZ76">
        <v>-0.50625</v>
      </c>
      <c r="FA76">
        <v>35.9685</v>
      </c>
      <c r="FB76">
        <v>39.5974375</v>
      </c>
      <c r="FC76">
        <v>37.39825</v>
      </c>
      <c r="FD76">
        <v>39.20275</v>
      </c>
      <c r="FE76">
        <v>37.7538125</v>
      </c>
      <c r="FF76">
        <v>0</v>
      </c>
      <c r="FG76">
        <v>0</v>
      </c>
      <c r="FH76">
        <v>0</v>
      </c>
      <c r="FI76">
        <v>128.099999904633</v>
      </c>
      <c r="FJ76">
        <v>0</v>
      </c>
      <c r="FK76">
        <v>719.180769230769</v>
      </c>
      <c r="FL76">
        <v>31.5521368571444</v>
      </c>
      <c r="FM76">
        <v>8.2495726499814</v>
      </c>
      <c r="FN76">
        <v>22.1961538461538</v>
      </c>
      <c r="FO76">
        <v>15</v>
      </c>
      <c r="FP76">
        <v>0</v>
      </c>
      <c r="FQ76" t="s">
        <v>441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1.72661</v>
      </c>
      <c r="GD76">
        <v>0.686035205528202</v>
      </c>
      <c r="GE76">
        <v>0.0750524107667753</v>
      </c>
      <c r="GF76">
        <v>0</v>
      </c>
      <c r="GG76">
        <v>717.573529411765</v>
      </c>
      <c r="GH76">
        <v>24.0259741667834</v>
      </c>
      <c r="GI76">
        <v>6.75052541848452</v>
      </c>
      <c r="GJ76">
        <v>-1</v>
      </c>
      <c r="GK76">
        <v>1.4545519047619</v>
      </c>
      <c r="GL76">
        <v>-0.23621354904204</v>
      </c>
      <c r="GM76">
        <v>0.0280929326172713</v>
      </c>
      <c r="GN76">
        <v>0</v>
      </c>
      <c r="GO76">
        <v>0</v>
      </c>
      <c r="GP76">
        <v>2</v>
      </c>
      <c r="GQ76" t="s">
        <v>638</v>
      </c>
      <c r="GR76">
        <v>3.12829</v>
      </c>
      <c r="GS76">
        <v>2.69996</v>
      </c>
      <c r="GT76">
        <v>0.0894793</v>
      </c>
      <c r="GU76">
        <v>0.0897874</v>
      </c>
      <c r="GV76">
        <v>0.0495643</v>
      </c>
      <c r="GW76">
        <v>0.0432989</v>
      </c>
      <c r="GX76">
        <v>34098.8</v>
      </c>
      <c r="GY76">
        <v>36499.9</v>
      </c>
      <c r="GZ76">
        <v>33896.5</v>
      </c>
      <c r="HA76">
        <v>36321.7</v>
      </c>
      <c r="HB76">
        <v>45528.8</v>
      </c>
      <c r="HC76">
        <v>49866.1</v>
      </c>
      <c r="HD76">
        <v>52865.4</v>
      </c>
      <c r="HE76">
        <v>57997.9</v>
      </c>
      <c r="HF76">
        <v>1.92167</v>
      </c>
      <c r="HG76">
        <v>2.29615</v>
      </c>
      <c r="HH76">
        <v>-0.0273809</v>
      </c>
      <c r="HI76">
        <v>0</v>
      </c>
      <c r="HJ76">
        <v>24.4447</v>
      </c>
      <c r="HK76">
        <v>999.9</v>
      </c>
      <c r="HL76">
        <v>22.183</v>
      </c>
      <c r="HM76">
        <v>29.769</v>
      </c>
      <c r="HN76">
        <v>10.2521</v>
      </c>
      <c r="HO76">
        <v>54.5938</v>
      </c>
      <c r="HP76">
        <v>30.7131</v>
      </c>
      <c r="HQ76">
        <v>2</v>
      </c>
      <c r="HR76">
        <v>0.251336</v>
      </c>
      <c r="HS76">
        <v>3.08461</v>
      </c>
      <c r="HT76">
        <v>20.1232</v>
      </c>
      <c r="HU76">
        <v>5.19902</v>
      </c>
      <c r="HV76">
        <v>12.0053</v>
      </c>
      <c r="HW76">
        <v>4.9759</v>
      </c>
      <c r="HX76">
        <v>3.294</v>
      </c>
      <c r="HY76">
        <v>9999</v>
      </c>
      <c r="HZ76">
        <v>9999</v>
      </c>
      <c r="IA76">
        <v>9999</v>
      </c>
      <c r="IB76">
        <v>999.9</v>
      </c>
      <c r="IC76">
        <v>1.86325</v>
      </c>
      <c r="ID76">
        <v>1.86813</v>
      </c>
      <c r="IE76">
        <v>1.86788</v>
      </c>
      <c r="IF76">
        <v>1.869</v>
      </c>
      <c r="IG76">
        <v>1.86984</v>
      </c>
      <c r="IH76">
        <v>1.86592</v>
      </c>
      <c r="II76">
        <v>1.86703</v>
      </c>
      <c r="IJ76">
        <v>1.86844</v>
      </c>
      <c r="IK76">
        <v>5</v>
      </c>
      <c r="IL76">
        <v>0</v>
      </c>
      <c r="IM76">
        <v>0</v>
      </c>
      <c r="IN76">
        <v>0</v>
      </c>
      <c r="IO76" t="s">
        <v>443</v>
      </c>
      <c r="IP76" t="s">
        <v>444</v>
      </c>
      <c r="IQ76" t="s">
        <v>445</v>
      </c>
      <c r="IR76" t="s">
        <v>445</v>
      </c>
      <c r="IS76" t="s">
        <v>445</v>
      </c>
      <c r="IT76" t="s">
        <v>445</v>
      </c>
      <c r="IU76">
        <v>0</v>
      </c>
      <c r="IV76">
        <v>100</v>
      </c>
      <c r="IW76">
        <v>100</v>
      </c>
      <c r="IX76">
        <v>2.923</v>
      </c>
      <c r="IY76">
        <v>-0.0989</v>
      </c>
      <c r="IZ76">
        <v>1.24656194001752</v>
      </c>
      <c r="JA76">
        <v>0.00408463137630218</v>
      </c>
      <c r="JB76">
        <v>-2.23906557180379e-07</v>
      </c>
      <c r="JC76">
        <v>6.23399102760906e-11</v>
      </c>
      <c r="JD76">
        <v>-0.0873394905990972</v>
      </c>
      <c r="JE76">
        <v>-0.0233348201324191</v>
      </c>
      <c r="JF76">
        <v>0.00274696999164489</v>
      </c>
      <c r="JG76">
        <v>-3.62864435074646e-05</v>
      </c>
      <c r="JH76">
        <v>5</v>
      </c>
      <c r="JI76">
        <v>2263</v>
      </c>
      <c r="JJ76">
        <v>1</v>
      </c>
      <c r="JK76">
        <v>24</v>
      </c>
      <c r="JL76">
        <v>29361446.6</v>
      </c>
      <c r="JM76">
        <v>29361446.6</v>
      </c>
      <c r="JN76">
        <v>1.25366</v>
      </c>
      <c r="JO76">
        <v>2.61597</v>
      </c>
      <c r="JP76">
        <v>2.19849</v>
      </c>
      <c r="JQ76">
        <v>2.62573</v>
      </c>
      <c r="JR76">
        <v>2.44507</v>
      </c>
      <c r="JS76">
        <v>2.35596</v>
      </c>
      <c r="JT76">
        <v>33.0429</v>
      </c>
      <c r="JU76">
        <v>24.2101</v>
      </c>
      <c r="JV76">
        <v>18</v>
      </c>
      <c r="JW76">
        <v>502.725</v>
      </c>
      <c r="JX76">
        <v>792.882</v>
      </c>
      <c r="JY76">
        <v>20.9341</v>
      </c>
      <c r="JZ76">
        <v>30.5555</v>
      </c>
      <c r="KA76">
        <v>30.0001</v>
      </c>
      <c r="KB76">
        <v>30.4873</v>
      </c>
      <c r="KC76">
        <v>30.4159</v>
      </c>
      <c r="KD76">
        <v>25.1171</v>
      </c>
      <c r="KE76">
        <v>0</v>
      </c>
      <c r="KF76">
        <v>17.4682</v>
      </c>
      <c r="KG76">
        <v>20.9411</v>
      </c>
      <c r="KH76">
        <v>420</v>
      </c>
      <c r="KI76">
        <v>7.80502</v>
      </c>
      <c r="KJ76">
        <v>96.1074</v>
      </c>
      <c r="KK76">
        <v>94.0019</v>
      </c>
    </row>
    <row r="77" spans="1:297">
      <c r="A77">
        <v>61</v>
      </c>
      <c r="B77">
        <v>1761687623</v>
      </c>
      <c r="C77">
        <v>10273.9000000954</v>
      </c>
      <c r="D77" t="s">
        <v>639</v>
      </c>
      <c r="E77" t="s">
        <v>640</v>
      </c>
      <c r="F77">
        <v>5</v>
      </c>
      <c r="G77" t="s">
        <v>641</v>
      </c>
      <c r="H77" t="s">
        <v>436</v>
      </c>
      <c r="I77">
        <v>1761687614.5</v>
      </c>
      <c r="J77">
        <f>(K77)/1000</f>
        <v>0</v>
      </c>
      <c r="K77">
        <f>IF(DP77, AN77, AH77)</f>
        <v>0</v>
      </c>
      <c r="L77">
        <f>IF(DP77, AI77, AG77)</f>
        <v>0</v>
      </c>
      <c r="M77">
        <f>DR77 - IF(AU77&gt;1, L77*DL77*100.0/(AW77), 0)</f>
        <v>0</v>
      </c>
      <c r="N77">
        <f>((T77-J77/2)*M77-L77)/(T77+J77/2)</f>
        <v>0</v>
      </c>
      <c r="O77">
        <f>N77*(DY77+DZ77)/1000.0</f>
        <v>0</v>
      </c>
      <c r="P77">
        <f>(DR77 - IF(AU77&gt;1, L77*DL77*100.0/(AW77), 0))*(DY77+DZ77)/1000.0</f>
        <v>0</v>
      </c>
      <c r="Q77">
        <f>2.0/((1/S77-1/R77)+SIGN(S77)*SQRT((1/S77-1/R77)*(1/S77-1/R77) + 4*DM77/((DM77+1)*(DM77+1))*(2*1/S77*1/R77-1/R77*1/R77)))</f>
        <v>0</v>
      </c>
      <c r="R77">
        <f>IF(LEFT(DN77,1)&lt;&gt;"0",IF(LEFT(DN77,1)="1",3.0,DO77),$D$5+$E$5*(EF77*DY77/($K$5*1000))+$F$5*(EF77*DY77/($K$5*1000))*MAX(MIN(DL77,$J$5),$I$5)*MAX(MIN(DL77,$J$5),$I$5)+$G$5*MAX(MIN(DL77,$J$5),$I$5)*(EF77*DY77/($K$5*1000))+$H$5*(EF77*DY77/($K$5*1000))*(EF77*DY77/($K$5*1000)))</f>
        <v>0</v>
      </c>
      <c r="S77">
        <f>J77*(1000-(1000*0.61365*exp(17.502*W77/(240.97+W77))/(DY77+DZ77)+DT77)/2)/(1000*0.61365*exp(17.502*W77/(240.97+W77))/(DY77+DZ77)-DT77)</f>
        <v>0</v>
      </c>
      <c r="T77">
        <f>1/((DM77+1)/(Q77/1.6)+1/(R77/1.37)) + DM77/((DM77+1)/(Q77/1.6) + DM77/(R77/1.37))</f>
        <v>0</v>
      </c>
      <c r="U77">
        <f>(DH77*DK77)</f>
        <v>0</v>
      </c>
      <c r="V77">
        <f>(EA77+(U77+2*0.95*5.67E-8*(((EA77+$B$7)+273)^4-(EA77+273)^4)-44100*J77)/(1.84*29.3*R77+8*0.95*5.67E-8*(EA77+273)^3))</f>
        <v>0</v>
      </c>
      <c r="W77">
        <f>($C$7*EB77+$D$7*EC77+$E$7*V77)</f>
        <v>0</v>
      </c>
      <c r="X77">
        <f>0.61365*exp(17.502*W77/(240.97+W77))</f>
        <v>0</v>
      </c>
      <c r="Y77">
        <f>(Z77/AA77*100)</f>
        <v>0</v>
      </c>
      <c r="Z77">
        <f>DT77*(DY77+DZ77)/1000</f>
        <v>0</v>
      </c>
      <c r="AA77">
        <f>0.61365*exp(17.502*EA77/(240.97+EA77))</f>
        <v>0</v>
      </c>
      <c r="AB77">
        <f>(X77-DT77*(DY77+DZ77)/1000)</f>
        <v>0</v>
      </c>
      <c r="AC77">
        <f>(-J77*44100)</f>
        <v>0</v>
      </c>
      <c r="AD77">
        <f>2*29.3*R77*0.92*(EA77-W77)</f>
        <v>0</v>
      </c>
      <c r="AE77">
        <f>2*0.95*5.67E-8*(((EA77+$B$7)+273)^4-(W77+273)^4)</f>
        <v>0</v>
      </c>
      <c r="AF77">
        <f>U77+AE77+AC77+AD77</f>
        <v>0</v>
      </c>
      <c r="AG77">
        <f>DX77*AU77*(DS77-DR77*(1000-AU77*DU77)/(1000-AU77*DT77))/(100*DL77)</f>
        <v>0</v>
      </c>
      <c r="AH77">
        <f>1000*DX77*AU77*(DT77-DU77)/(100*DL77*(1000-AU77*DT77))</f>
        <v>0</v>
      </c>
      <c r="AI77">
        <f>(AJ77 - AK77 - DY77*1E3/(8.314*(EA77+273.15)) * AM77/DX77 * AL77) * DX77/(100*DL77) * (1000 - DU77)/1000</f>
        <v>0</v>
      </c>
      <c r="AJ77">
        <v>423.126896461187</v>
      </c>
      <c r="AK77">
        <v>418.826981818182</v>
      </c>
      <c r="AL77">
        <v>-0.00015106787323866</v>
      </c>
      <c r="AM77">
        <v>64.1904395983722</v>
      </c>
      <c r="AN77">
        <f>(AP77 - AO77 + DY77*1E3/(8.314*(EA77+273.15)) * AR77/DX77 * AQ77) * DX77/(100*DL77) * 1000/(1000 - AP77)</f>
        <v>0</v>
      </c>
      <c r="AO77">
        <v>7.34495527467533</v>
      </c>
      <c r="AP77">
        <v>8.27647160839161</v>
      </c>
      <c r="AQ77">
        <v>6.95807627956342e-06</v>
      </c>
      <c r="AR77">
        <v>109.12</v>
      </c>
      <c r="AS77">
        <v>0</v>
      </c>
      <c r="AT77">
        <v>0</v>
      </c>
      <c r="AU77">
        <f>IF(AS77*$H$13&gt;=AW77,1.0,(AW77/(AW77-AS77*$H$13)))</f>
        <v>0</v>
      </c>
      <c r="AV77">
        <f>(AU77-1)*100</f>
        <v>0</v>
      </c>
      <c r="AW77">
        <f>MAX(0,($B$13+$C$13*EF77)/(1+$D$13*EF77)*DY77/(EA77+273)*$E$13)</f>
        <v>0</v>
      </c>
      <c r="AX77" t="s">
        <v>637</v>
      </c>
      <c r="AY77">
        <v>5102.67</v>
      </c>
      <c r="AZ77">
        <v>719.180769230769</v>
      </c>
      <c r="BA77">
        <v>1747.50569204175</v>
      </c>
      <c r="BB77">
        <f>1-AZ77/BA77</f>
        <v>0</v>
      </c>
      <c r="BC77">
        <v>-2.06255575300684</v>
      </c>
      <c r="BD77" t="s">
        <v>642</v>
      </c>
      <c r="BE77">
        <v>5136.8</v>
      </c>
      <c r="BF77">
        <v>1442.6292</v>
      </c>
      <c r="BG77">
        <v>1523.92779096663</v>
      </c>
      <c r="BH77">
        <f>1-BF77/BG77</f>
        <v>0</v>
      </c>
      <c r="BI77">
        <v>0.5</v>
      </c>
      <c r="BJ77">
        <f>DI77</f>
        <v>0</v>
      </c>
      <c r="BK77">
        <f>L77</f>
        <v>0</v>
      </c>
      <c r="BL77">
        <f>BH77*BI77*BJ77</f>
        <v>0</v>
      </c>
      <c r="BM77">
        <f>(BK77-BC77)/BJ77</f>
        <v>0</v>
      </c>
      <c r="BN77">
        <f>(BA77-BG77)/BG77</f>
        <v>0</v>
      </c>
      <c r="BO77">
        <f>AZ77/(BB77+AZ77/BG77)</f>
        <v>0</v>
      </c>
      <c r="BP77" t="s">
        <v>643</v>
      </c>
      <c r="BQ77">
        <v>818.4</v>
      </c>
      <c r="BR77">
        <f>IF(BQ77&lt;&gt;0, BQ77, BO77)</f>
        <v>0</v>
      </c>
      <c r="BS77">
        <f>1-BR77/BG77</f>
        <v>0</v>
      </c>
      <c r="BT77">
        <f>(BG77-BF77)/(BG77-BR77)</f>
        <v>0</v>
      </c>
      <c r="BU77">
        <f>(BA77-BG77)/(BA77-BR77)</f>
        <v>0</v>
      </c>
      <c r="BV77">
        <f>(BG77-BF77)/(BG77-AZ77)</f>
        <v>0</v>
      </c>
      <c r="BW77">
        <f>(BA77-BG77)/(BA77-AZ77)</f>
        <v>0</v>
      </c>
      <c r="BX77">
        <f>(BT77*BR77/BF77)</f>
        <v>0</v>
      </c>
      <c r="BY77">
        <f>(1-BX77)</f>
        <v>0</v>
      </c>
      <c r="BZ77">
        <v>70</v>
      </c>
      <c r="CA77">
        <v>290</v>
      </c>
      <c r="CB77">
        <v>1486.24</v>
      </c>
      <c r="CC77">
        <v>185</v>
      </c>
      <c r="CD77">
        <v>5136.8</v>
      </c>
      <c r="CE77">
        <v>1484.94</v>
      </c>
      <c r="CF77">
        <v>1.3</v>
      </c>
      <c r="CG77">
        <v>300</v>
      </c>
      <c r="CH77">
        <v>23.6</v>
      </c>
      <c r="CI77">
        <v>1523.92779096663</v>
      </c>
      <c r="CJ77">
        <v>2.5900492362034</v>
      </c>
      <c r="CK77">
        <v>-20.0260838330571</v>
      </c>
      <c r="CL77">
        <v>1.22599162368952</v>
      </c>
      <c r="CM77">
        <v>0.905026533587929</v>
      </c>
      <c r="CN77">
        <v>-0.00256430678531702</v>
      </c>
      <c r="CO77">
        <v>290</v>
      </c>
      <c r="CP77">
        <v>1484.19</v>
      </c>
      <c r="CQ77">
        <v>625</v>
      </c>
      <c r="CR77">
        <v>5135.33</v>
      </c>
      <c r="CS77">
        <v>1484.93</v>
      </c>
      <c r="CT77">
        <v>-0.74</v>
      </c>
      <c r="DH77">
        <f>$B$11*EG77+$C$11*EH77+$F$11*ES77*(1-EV77)</f>
        <v>0</v>
      </c>
      <c r="DI77">
        <f>DH77*DJ77</f>
        <v>0</v>
      </c>
      <c r="DJ77">
        <f>($B$11*$D$9+$C$11*$D$9+$F$11*((FF77+EX77)/MAX(FF77+EX77+FG77, 0.1)*$I$9+FG77/MAX(FF77+EX77+FG77, 0.1)*$J$9))/($B$11+$C$11+$F$11)</f>
        <v>0</v>
      </c>
      <c r="DK77">
        <f>($B$11*$K$9+$C$11*$K$9+$F$11*((FF77+EX77)/MAX(FF77+EX77+FG77, 0.1)*$P$9+FG77/MAX(FF77+EX77+FG77, 0.1)*$Q$9))/($B$11+$C$11+$F$11)</f>
        <v>0</v>
      </c>
      <c r="DL77">
        <v>6</v>
      </c>
      <c r="DM77">
        <v>0.5</v>
      </c>
      <c r="DN77" t="s">
        <v>440</v>
      </c>
      <c r="DO77">
        <v>2</v>
      </c>
      <c r="DP77" t="b">
        <v>1</v>
      </c>
      <c r="DQ77">
        <v>1761687614.5</v>
      </c>
      <c r="DR77">
        <v>415.4044375</v>
      </c>
      <c r="DS77">
        <v>420.0153125</v>
      </c>
      <c r="DT77">
        <v>8.2724075</v>
      </c>
      <c r="DU77">
        <v>7.3423225</v>
      </c>
      <c r="DV77">
        <v>412.5065</v>
      </c>
      <c r="DW77">
        <v>8.383686875</v>
      </c>
      <c r="DX77">
        <v>500.0213125</v>
      </c>
      <c r="DY77">
        <v>90.9909125</v>
      </c>
      <c r="DZ77">
        <v>0.02430351875</v>
      </c>
      <c r="EA77">
        <v>23.18456875</v>
      </c>
      <c r="EB77">
        <v>23.9947625</v>
      </c>
      <c r="EC77">
        <v>999.9</v>
      </c>
      <c r="ED77">
        <v>0</v>
      </c>
      <c r="EE77">
        <v>0</v>
      </c>
      <c r="EF77">
        <v>10002.260625</v>
      </c>
      <c r="EG77">
        <v>0</v>
      </c>
      <c r="EH77">
        <v>1270.255625</v>
      </c>
      <c r="EI77">
        <v>-4.61094</v>
      </c>
      <c r="EJ77">
        <v>418.869375</v>
      </c>
      <c r="EK77">
        <v>423.122125</v>
      </c>
      <c r="EL77">
        <v>0.9300844375</v>
      </c>
      <c r="EM77">
        <v>420.0153125</v>
      </c>
      <c r="EN77">
        <v>7.3423225</v>
      </c>
      <c r="EO77">
        <v>0.7527136875</v>
      </c>
      <c r="EP77">
        <v>0.668084625</v>
      </c>
      <c r="EQ77">
        <v>2.84549</v>
      </c>
      <c r="ER77">
        <v>1.17586125</v>
      </c>
      <c r="ES77">
        <v>1999.969375</v>
      </c>
      <c r="ET77">
        <v>0.9800041875</v>
      </c>
      <c r="EU77">
        <v>0.01999595625</v>
      </c>
      <c r="EV77">
        <v>0</v>
      </c>
      <c r="EW77">
        <v>1442.784375</v>
      </c>
      <c r="EX77">
        <v>5.00059</v>
      </c>
      <c r="EY77">
        <v>28824.20625</v>
      </c>
      <c r="EZ77">
        <v>17360.06875</v>
      </c>
      <c r="FA77">
        <v>40.683125</v>
      </c>
      <c r="FB77">
        <v>41.378875</v>
      </c>
      <c r="FC77">
        <v>40.284875</v>
      </c>
      <c r="FD77">
        <v>40.75</v>
      </c>
      <c r="FE77">
        <v>41.242</v>
      </c>
      <c r="FF77">
        <v>1955.079375</v>
      </c>
      <c r="FG77">
        <v>39.89</v>
      </c>
      <c r="FH77">
        <v>0</v>
      </c>
      <c r="FI77">
        <v>825.700000047684</v>
      </c>
      <c r="FJ77">
        <v>0</v>
      </c>
      <c r="FK77">
        <v>1442.6292</v>
      </c>
      <c r="FL77">
        <v>-5.62769230206644</v>
      </c>
      <c r="FM77">
        <v>-97.7000000445409</v>
      </c>
      <c r="FN77">
        <v>28822.444</v>
      </c>
      <c r="FO77">
        <v>15</v>
      </c>
      <c r="FP77">
        <v>0</v>
      </c>
      <c r="FQ77" t="s">
        <v>441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-4.61058619047619</v>
      </c>
      <c r="GD77">
        <v>0.0386610389610346</v>
      </c>
      <c r="GE77">
        <v>0.027521682789807</v>
      </c>
      <c r="GF77">
        <v>1</v>
      </c>
      <c r="GG77">
        <v>1443.03029411765</v>
      </c>
      <c r="GH77">
        <v>-5.43269670916498</v>
      </c>
      <c r="GI77">
        <v>0.574064380966816</v>
      </c>
      <c r="GJ77">
        <v>-1</v>
      </c>
      <c r="GK77">
        <v>0.929580952380952</v>
      </c>
      <c r="GL77">
        <v>-0.000517402597403029</v>
      </c>
      <c r="GM77">
        <v>0.000563118737051195</v>
      </c>
      <c r="GN77">
        <v>1</v>
      </c>
      <c r="GO77">
        <v>2</v>
      </c>
      <c r="GP77">
        <v>2</v>
      </c>
      <c r="GQ77" t="s">
        <v>442</v>
      </c>
      <c r="GR77">
        <v>3.12813</v>
      </c>
      <c r="GS77">
        <v>2.70216</v>
      </c>
      <c r="GT77">
        <v>0.0882573</v>
      </c>
      <c r="GU77">
        <v>0.089639</v>
      </c>
      <c r="GV77">
        <v>0.0461301</v>
      </c>
      <c r="GW77">
        <v>0.0418474</v>
      </c>
      <c r="GX77">
        <v>34099.1</v>
      </c>
      <c r="GY77">
        <v>36443.9</v>
      </c>
      <c r="GZ77">
        <v>33855.7</v>
      </c>
      <c r="HA77">
        <v>36264.4</v>
      </c>
      <c r="HB77">
        <v>45649.1</v>
      </c>
      <c r="HC77">
        <v>49868</v>
      </c>
      <c r="HD77">
        <v>52815.2</v>
      </c>
      <c r="HE77">
        <v>57914.7</v>
      </c>
      <c r="HF77">
        <v>1.9131</v>
      </c>
      <c r="HG77">
        <v>2.28285</v>
      </c>
      <c r="HH77">
        <v>0.057891</v>
      </c>
      <c r="HI77">
        <v>0</v>
      </c>
      <c r="HJ77">
        <v>23.0321</v>
      </c>
      <c r="HK77">
        <v>999.9</v>
      </c>
      <c r="HL77">
        <v>23.746</v>
      </c>
      <c r="HM77">
        <v>29.799</v>
      </c>
      <c r="HN77">
        <v>10.9905</v>
      </c>
      <c r="HO77">
        <v>55.4739</v>
      </c>
      <c r="HP77">
        <v>31.1579</v>
      </c>
      <c r="HQ77">
        <v>2</v>
      </c>
      <c r="HR77">
        <v>0.331392</v>
      </c>
      <c r="HS77">
        <v>6.38067</v>
      </c>
      <c r="HT77">
        <v>20.0186</v>
      </c>
      <c r="HU77">
        <v>5.19438</v>
      </c>
      <c r="HV77">
        <v>12.0083</v>
      </c>
      <c r="HW77">
        <v>4.9757</v>
      </c>
      <c r="HX77">
        <v>3.294</v>
      </c>
      <c r="HY77">
        <v>9999</v>
      </c>
      <c r="HZ77">
        <v>9999</v>
      </c>
      <c r="IA77">
        <v>9999</v>
      </c>
      <c r="IB77">
        <v>999.9</v>
      </c>
      <c r="IC77">
        <v>1.86325</v>
      </c>
      <c r="ID77">
        <v>1.86813</v>
      </c>
      <c r="IE77">
        <v>1.86785</v>
      </c>
      <c r="IF77">
        <v>1.86905</v>
      </c>
      <c r="IG77">
        <v>1.86981</v>
      </c>
      <c r="IH77">
        <v>1.86591</v>
      </c>
      <c r="II77">
        <v>1.86701</v>
      </c>
      <c r="IJ77">
        <v>1.86844</v>
      </c>
      <c r="IK77">
        <v>5</v>
      </c>
      <c r="IL77">
        <v>0</v>
      </c>
      <c r="IM77">
        <v>0</v>
      </c>
      <c r="IN77">
        <v>0</v>
      </c>
      <c r="IO77" t="s">
        <v>443</v>
      </c>
      <c r="IP77" t="s">
        <v>444</v>
      </c>
      <c r="IQ77" t="s">
        <v>445</v>
      </c>
      <c r="IR77" t="s">
        <v>445</v>
      </c>
      <c r="IS77" t="s">
        <v>445</v>
      </c>
      <c r="IT77" t="s">
        <v>445</v>
      </c>
      <c r="IU77">
        <v>0</v>
      </c>
      <c r="IV77">
        <v>100</v>
      </c>
      <c r="IW77">
        <v>100</v>
      </c>
      <c r="IX77">
        <v>2.897</v>
      </c>
      <c r="IY77">
        <v>-0.1112</v>
      </c>
      <c r="IZ77">
        <v>1.24656194001752</v>
      </c>
      <c r="JA77">
        <v>0.00408463137630218</v>
      </c>
      <c r="JB77">
        <v>-2.23906557180379e-07</v>
      </c>
      <c r="JC77">
        <v>6.23399102760906e-11</v>
      </c>
      <c r="JD77">
        <v>-0.0873394905990972</v>
      </c>
      <c r="JE77">
        <v>-0.0233348201324191</v>
      </c>
      <c r="JF77">
        <v>0.00274696999164489</v>
      </c>
      <c r="JG77">
        <v>-3.62864435074646e-05</v>
      </c>
      <c r="JH77">
        <v>5</v>
      </c>
      <c r="JI77">
        <v>2263</v>
      </c>
      <c r="JJ77">
        <v>1</v>
      </c>
      <c r="JK77">
        <v>24</v>
      </c>
      <c r="JL77">
        <v>29361460.4</v>
      </c>
      <c r="JM77">
        <v>29361460.4</v>
      </c>
      <c r="JN77">
        <v>1.25366</v>
      </c>
      <c r="JO77">
        <v>2.61475</v>
      </c>
      <c r="JP77">
        <v>2.19849</v>
      </c>
      <c r="JQ77">
        <v>2.62573</v>
      </c>
      <c r="JR77">
        <v>2.44507</v>
      </c>
      <c r="JS77">
        <v>2.33887</v>
      </c>
      <c r="JT77">
        <v>33.4681</v>
      </c>
      <c r="JU77">
        <v>24.1488</v>
      </c>
      <c r="JV77">
        <v>18</v>
      </c>
      <c r="JW77">
        <v>503.114</v>
      </c>
      <c r="JX77">
        <v>789.89</v>
      </c>
      <c r="JY77">
        <v>15.3381</v>
      </c>
      <c r="JZ77">
        <v>31.3562</v>
      </c>
      <c r="KA77">
        <v>29.9994</v>
      </c>
      <c r="KB77">
        <v>31.2171</v>
      </c>
      <c r="KC77">
        <v>31.1233</v>
      </c>
      <c r="KD77">
        <v>25.1156</v>
      </c>
      <c r="KE77">
        <v>18.8964</v>
      </c>
      <c r="KF77">
        <v>19.1203</v>
      </c>
      <c r="KG77">
        <v>15.3563</v>
      </c>
      <c r="KH77">
        <v>420</v>
      </c>
      <c r="KI77">
        <v>7.33761</v>
      </c>
      <c r="KJ77">
        <v>96.0066</v>
      </c>
      <c r="KK77">
        <v>93.8618</v>
      </c>
    </row>
    <row r="78" spans="1:297">
      <c r="A78">
        <v>62</v>
      </c>
      <c r="B78">
        <v>1761687693</v>
      </c>
      <c r="C78">
        <v>10343.9000000954</v>
      </c>
      <c r="D78" t="s">
        <v>644</v>
      </c>
      <c r="E78" t="s">
        <v>645</v>
      </c>
      <c r="F78">
        <v>5</v>
      </c>
      <c r="G78" t="s">
        <v>641</v>
      </c>
      <c r="H78" t="s">
        <v>436</v>
      </c>
      <c r="I78">
        <v>1761687684.5</v>
      </c>
      <c r="J78">
        <f>(K78)/1000</f>
        <v>0</v>
      </c>
      <c r="K78">
        <f>IF(DP78, AN78, AH78)</f>
        <v>0</v>
      </c>
      <c r="L78">
        <f>IF(DP78, AI78, AG78)</f>
        <v>0</v>
      </c>
      <c r="M78">
        <f>DR78 - IF(AU78&gt;1, L78*DL78*100.0/(AW78), 0)</f>
        <v>0</v>
      </c>
      <c r="N78">
        <f>((T78-J78/2)*M78-L78)/(T78+J78/2)</f>
        <v>0</v>
      </c>
      <c r="O78">
        <f>N78*(DY78+DZ78)/1000.0</f>
        <v>0</v>
      </c>
      <c r="P78">
        <f>(DR78 - IF(AU78&gt;1, L78*DL78*100.0/(AW78), 0))*(DY78+DZ78)/1000.0</f>
        <v>0</v>
      </c>
      <c r="Q78">
        <f>2.0/((1/S78-1/R78)+SIGN(S78)*SQRT((1/S78-1/R78)*(1/S78-1/R78) + 4*DM78/((DM78+1)*(DM78+1))*(2*1/S78*1/R78-1/R78*1/R78)))</f>
        <v>0</v>
      </c>
      <c r="R78">
        <f>IF(LEFT(DN78,1)&lt;&gt;"0",IF(LEFT(DN78,1)="1",3.0,DO78),$D$5+$E$5*(EF78*DY78/($K$5*1000))+$F$5*(EF78*DY78/($K$5*1000))*MAX(MIN(DL78,$J$5),$I$5)*MAX(MIN(DL78,$J$5),$I$5)+$G$5*MAX(MIN(DL78,$J$5),$I$5)*(EF78*DY78/($K$5*1000))+$H$5*(EF78*DY78/($K$5*1000))*(EF78*DY78/($K$5*1000)))</f>
        <v>0</v>
      </c>
      <c r="S78">
        <f>J78*(1000-(1000*0.61365*exp(17.502*W78/(240.97+W78))/(DY78+DZ78)+DT78)/2)/(1000*0.61365*exp(17.502*W78/(240.97+W78))/(DY78+DZ78)-DT78)</f>
        <v>0</v>
      </c>
      <c r="T78">
        <f>1/((DM78+1)/(Q78/1.6)+1/(R78/1.37)) + DM78/((DM78+1)/(Q78/1.6) + DM78/(R78/1.37))</f>
        <v>0</v>
      </c>
      <c r="U78">
        <f>(DH78*DK78)</f>
        <v>0</v>
      </c>
      <c r="V78">
        <f>(EA78+(U78+2*0.95*5.67E-8*(((EA78+$B$7)+273)^4-(EA78+273)^4)-44100*J78)/(1.84*29.3*R78+8*0.95*5.67E-8*(EA78+273)^3))</f>
        <v>0</v>
      </c>
      <c r="W78">
        <f>($C$7*EB78+$D$7*EC78+$E$7*V78)</f>
        <v>0</v>
      </c>
      <c r="X78">
        <f>0.61365*exp(17.502*W78/(240.97+W78))</f>
        <v>0</v>
      </c>
      <c r="Y78">
        <f>(Z78/AA78*100)</f>
        <v>0</v>
      </c>
      <c r="Z78">
        <f>DT78*(DY78+DZ78)/1000</f>
        <v>0</v>
      </c>
      <c r="AA78">
        <f>0.61365*exp(17.502*EA78/(240.97+EA78))</f>
        <v>0</v>
      </c>
      <c r="AB78">
        <f>(X78-DT78*(DY78+DZ78)/1000)</f>
        <v>0</v>
      </c>
      <c r="AC78">
        <f>(-J78*44100)</f>
        <v>0</v>
      </c>
      <c r="AD78">
        <f>2*29.3*R78*0.92*(EA78-W78)</f>
        <v>0</v>
      </c>
      <c r="AE78">
        <f>2*0.95*5.67E-8*(((EA78+$B$7)+273)^4-(W78+273)^4)</f>
        <v>0</v>
      </c>
      <c r="AF78">
        <f>U78+AE78+AC78+AD78</f>
        <v>0</v>
      </c>
      <c r="AG78">
        <f>DX78*AU78*(DS78-DR78*(1000-AU78*DU78)/(1000-AU78*DT78))/(100*DL78)</f>
        <v>0</v>
      </c>
      <c r="AH78">
        <f>1000*DX78*AU78*(DT78-DU78)/(100*DL78*(1000-AU78*DT78))</f>
        <v>0</v>
      </c>
      <c r="AI78">
        <f>(AJ78 - AK78 - DY78*1E3/(8.314*(EA78+273.15)) * AM78/DX78 * AL78) * DX78/(100*DL78) * (1000 - DU78)/1000</f>
        <v>0</v>
      </c>
      <c r="AJ78">
        <v>423.106324512384</v>
      </c>
      <c r="AK78">
        <v>418.974866666667</v>
      </c>
      <c r="AL78">
        <v>0.000448183717615984</v>
      </c>
      <c r="AM78">
        <v>64.1904395983722</v>
      </c>
      <c r="AN78">
        <f>(AP78 - AO78 + DY78*1E3/(8.314*(EA78+273.15)) * AR78/DX78 * AQ78) * DX78/(100*DL78) * 1000/(1000 - AP78)</f>
        <v>0</v>
      </c>
      <c r="AO78">
        <v>7.32692749145022</v>
      </c>
      <c r="AP78">
        <v>8.28675727272728</v>
      </c>
      <c r="AQ78">
        <v>2.89180223286118e-05</v>
      </c>
      <c r="AR78">
        <v>109.12</v>
      </c>
      <c r="AS78">
        <v>0</v>
      </c>
      <c r="AT78">
        <v>0</v>
      </c>
      <c r="AU78">
        <f>IF(AS78*$H$13&gt;=AW78,1.0,(AW78/(AW78-AS78*$H$13)))</f>
        <v>0</v>
      </c>
      <c r="AV78">
        <f>(AU78-1)*100</f>
        <v>0</v>
      </c>
      <c r="AW78">
        <f>MAX(0,($B$13+$C$13*EF78)/(1+$D$13*EF78)*DY78/(EA78+273)*$E$13)</f>
        <v>0</v>
      </c>
      <c r="AX78" t="s">
        <v>448</v>
      </c>
      <c r="AY78" t="s">
        <v>448</v>
      </c>
      <c r="AZ78">
        <v>0</v>
      </c>
      <c r="BA78">
        <v>0</v>
      </c>
      <c r="BB78">
        <f>1-AZ78/BA78</f>
        <v>0</v>
      </c>
      <c r="BC78">
        <v>0</v>
      </c>
      <c r="BD78" t="s">
        <v>448</v>
      </c>
      <c r="BE78" t="s">
        <v>448</v>
      </c>
      <c r="BF78">
        <v>0</v>
      </c>
      <c r="BG78">
        <v>0</v>
      </c>
      <c r="BH78">
        <f>1-BF78/BG78</f>
        <v>0</v>
      </c>
      <c r="BI78">
        <v>0.5</v>
      </c>
      <c r="BJ78">
        <f>DI78</f>
        <v>0</v>
      </c>
      <c r="BK78">
        <f>L78</f>
        <v>0</v>
      </c>
      <c r="BL78">
        <f>BH78*BI78*BJ78</f>
        <v>0</v>
      </c>
      <c r="BM78">
        <f>(BK78-BC78)/BJ78</f>
        <v>0</v>
      </c>
      <c r="BN78">
        <f>(BA78-BG78)/BG78</f>
        <v>0</v>
      </c>
      <c r="BO78">
        <f>AZ78/(BB78+AZ78/BG78)</f>
        <v>0</v>
      </c>
      <c r="BP78" t="s">
        <v>448</v>
      </c>
      <c r="BQ78">
        <v>0</v>
      </c>
      <c r="BR78">
        <f>IF(BQ78&lt;&gt;0, BQ78, BO78)</f>
        <v>0</v>
      </c>
      <c r="BS78">
        <f>1-BR78/BG78</f>
        <v>0</v>
      </c>
      <c r="BT78">
        <f>(BG78-BF78)/(BG78-BR78)</f>
        <v>0</v>
      </c>
      <c r="BU78">
        <f>(BA78-BG78)/(BA78-BR78)</f>
        <v>0</v>
      </c>
      <c r="BV78">
        <f>(BG78-BF78)/(BG78-AZ78)</f>
        <v>0</v>
      </c>
      <c r="BW78">
        <f>(BA78-BG78)/(BA78-AZ78)</f>
        <v>0</v>
      </c>
      <c r="BX78">
        <f>(BT78*BR78/BF78)</f>
        <v>0</v>
      </c>
      <c r="BY78">
        <f>(1-BX78)</f>
        <v>0</v>
      </c>
      <c r="BZ78">
        <v>70</v>
      </c>
      <c r="CA78">
        <v>290</v>
      </c>
      <c r="CB78">
        <v>1486.24</v>
      </c>
      <c r="CC78">
        <v>185</v>
      </c>
      <c r="CD78">
        <v>5136.8</v>
      </c>
      <c r="CE78">
        <v>1484.94</v>
      </c>
      <c r="CF78">
        <v>1.3</v>
      </c>
      <c r="CG78">
        <v>300</v>
      </c>
      <c r="CH78">
        <v>23.6</v>
      </c>
      <c r="CI78">
        <v>1523.92779096663</v>
      </c>
      <c r="CJ78">
        <v>2.5900492362034</v>
      </c>
      <c r="CK78">
        <v>-20.0260838330571</v>
      </c>
      <c r="CL78">
        <v>1.22599162368952</v>
      </c>
      <c r="CM78">
        <v>0.905026533587929</v>
      </c>
      <c r="CN78">
        <v>-0.00256430678531702</v>
      </c>
      <c r="CO78">
        <v>290</v>
      </c>
      <c r="CP78">
        <v>1484.19</v>
      </c>
      <c r="CQ78">
        <v>625</v>
      </c>
      <c r="CR78">
        <v>5135.33</v>
      </c>
      <c r="CS78">
        <v>1484.93</v>
      </c>
      <c r="CT78">
        <v>-0.74</v>
      </c>
      <c r="DH78">
        <f>$B$11*EG78+$C$11*EH78+$F$11*ES78*(1-EV78)</f>
        <v>0</v>
      </c>
      <c r="DI78">
        <f>DH78*DJ78</f>
        <v>0</v>
      </c>
      <c r="DJ78">
        <f>($B$11*$D$9+$C$11*$D$9+$F$11*((FF78+EX78)/MAX(FF78+EX78+FG78, 0.1)*$I$9+FG78/MAX(FF78+EX78+FG78, 0.1)*$J$9))/($B$11+$C$11+$F$11)</f>
        <v>0</v>
      </c>
      <c r="DK78">
        <f>($B$11*$K$9+$C$11*$K$9+$F$11*((FF78+EX78)/MAX(FF78+EX78+FG78, 0.1)*$P$9+FG78/MAX(FF78+EX78+FG78, 0.1)*$Q$9))/($B$11+$C$11+$F$11)</f>
        <v>0</v>
      </c>
      <c r="DL78">
        <v>6</v>
      </c>
      <c r="DM78">
        <v>0.5</v>
      </c>
      <c r="DN78" t="s">
        <v>440</v>
      </c>
      <c r="DO78">
        <v>2</v>
      </c>
      <c r="DP78" t="b">
        <v>1</v>
      </c>
      <c r="DQ78">
        <v>1761687684.5</v>
      </c>
      <c r="DR78">
        <v>415.4821875</v>
      </c>
      <c r="DS78">
        <v>420.00525</v>
      </c>
      <c r="DT78">
        <v>8.283715</v>
      </c>
      <c r="DU78">
        <v>7.325363125</v>
      </c>
      <c r="DV78">
        <v>412.5840625</v>
      </c>
      <c r="DW78">
        <v>8.39482625</v>
      </c>
      <c r="DX78">
        <v>500.0225625</v>
      </c>
      <c r="DY78">
        <v>90.9951375</v>
      </c>
      <c r="DZ78">
        <v>0.02386795</v>
      </c>
      <c r="EA78">
        <v>23.3257875</v>
      </c>
      <c r="EB78">
        <v>24.01536875</v>
      </c>
      <c r="EC78">
        <v>999.9</v>
      </c>
      <c r="ED78">
        <v>0</v>
      </c>
      <c r="EE78">
        <v>0</v>
      </c>
      <c r="EF78">
        <v>9982.265625</v>
      </c>
      <c r="EG78">
        <v>0</v>
      </c>
      <c r="EH78">
        <v>1270.3525</v>
      </c>
      <c r="EI78">
        <v>-4.52305</v>
      </c>
      <c r="EJ78">
        <v>418.9526875</v>
      </c>
      <c r="EK78">
        <v>423.1046875</v>
      </c>
      <c r="EL78">
        <v>0.9583525</v>
      </c>
      <c r="EM78">
        <v>420.00525</v>
      </c>
      <c r="EN78">
        <v>7.325363125</v>
      </c>
      <c r="EO78">
        <v>0.753778</v>
      </c>
      <c r="EP78">
        <v>0.666572375</v>
      </c>
      <c r="EQ78">
        <v>2.865404375</v>
      </c>
      <c r="ER78">
        <v>1.14436375</v>
      </c>
      <c r="ES78">
        <v>1800.016875</v>
      </c>
      <c r="ET78">
        <v>0.977994</v>
      </c>
      <c r="EU78">
        <v>0.02200575</v>
      </c>
      <c r="EV78">
        <v>0</v>
      </c>
      <c r="EW78">
        <v>1431.966875</v>
      </c>
      <c r="EX78">
        <v>5.00059</v>
      </c>
      <c r="EY78">
        <v>25731.60625</v>
      </c>
      <c r="EZ78">
        <v>15610.7875</v>
      </c>
      <c r="FA78">
        <v>40.652125</v>
      </c>
      <c r="FB78">
        <v>41.5</v>
      </c>
      <c r="FC78">
        <v>40.378875</v>
      </c>
      <c r="FD78">
        <v>40.8710625</v>
      </c>
      <c r="FE78">
        <v>41.2965</v>
      </c>
      <c r="FF78">
        <v>1755.516875</v>
      </c>
      <c r="FG78">
        <v>39.5</v>
      </c>
      <c r="FH78">
        <v>0</v>
      </c>
      <c r="FI78">
        <v>67</v>
      </c>
      <c r="FJ78">
        <v>0</v>
      </c>
      <c r="FK78">
        <v>1431.86615384615</v>
      </c>
      <c r="FL78">
        <v>-8.23863246830711</v>
      </c>
      <c r="FM78">
        <v>-152.752136443016</v>
      </c>
      <c r="FN78">
        <v>25729.4307692308</v>
      </c>
      <c r="FO78">
        <v>15</v>
      </c>
      <c r="FP78">
        <v>0</v>
      </c>
      <c r="FQ78" t="s">
        <v>441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-4.51454</v>
      </c>
      <c r="GD78">
        <v>-0.177701052631583</v>
      </c>
      <c r="GE78">
        <v>0.0276425069413032</v>
      </c>
      <c r="GF78">
        <v>1</v>
      </c>
      <c r="GG78">
        <v>1432.35235294118</v>
      </c>
      <c r="GH78">
        <v>-9.15171886101962</v>
      </c>
      <c r="GI78">
        <v>0.928876800618186</v>
      </c>
      <c r="GJ78">
        <v>-1</v>
      </c>
      <c r="GK78">
        <v>0.95765705</v>
      </c>
      <c r="GL78">
        <v>0.0177925263157897</v>
      </c>
      <c r="GM78">
        <v>0.00187653756890183</v>
      </c>
      <c r="GN78">
        <v>1</v>
      </c>
      <c r="GO78">
        <v>2</v>
      </c>
      <c r="GP78">
        <v>2</v>
      </c>
      <c r="GQ78" t="s">
        <v>442</v>
      </c>
      <c r="GR78">
        <v>3.12841</v>
      </c>
      <c r="GS78">
        <v>2.70233</v>
      </c>
      <c r="GT78">
        <v>0.0882861</v>
      </c>
      <c r="GU78">
        <v>0.0896499</v>
      </c>
      <c r="GV78">
        <v>0.0461622</v>
      </c>
      <c r="GW78">
        <v>0.0418844</v>
      </c>
      <c r="GX78">
        <v>34098.2</v>
      </c>
      <c r="GY78">
        <v>36443.8</v>
      </c>
      <c r="GZ78">
        <v>33855.8</v>
      </c>
      <c r="HA78">
        <v>36264.7</v>
      </c>
      <c r="HB78">
        <v>45647.6</v>
      </c>
      <c r="HC78">
        <v>49866.3</v>
      </c>
      <c r="HD78">
        <v>52815.2</v>
      </c>
      <c r="HE78">
        <v>57914.9</v>
      </c>
      <c r="HF78">
        <v>1.91322</v>
      </c>
      <c r="HG78">
        <v>2.2796</v>
      </c>
      <c r="HH78">
        <v>0.0616163</v>
      </c>
      <c r="HI78">
        <v>0</v>
      </c>
      <c r="HJ78">
        <v>23.0721</v>
      </c>
      <c r="HK78">
        <v>999.9</v>
      </c>
      <c r="HL78">
        <v>23.642</v>
      </c>
      <c r="HM78">
        <v>29.819</v>
      </c>
      <c r="HN78">
        <v>10.9554</v>
      </c>
      <c r="HO78">
        <v>55.3739</v>
      </c>
      <c r="HP78">
        <v>30.9415</v>
      </c>
      <c r="HQ78">
        <v>2</v>
      </c>
      <c r="HR78">
        <v>0.339533</v>
      </c>
      <c r="HS78">
        <v>8.10673</v>
      </c>
      <c r="HT78">
        <v>19.9414</v>
      </c>
      <c r="HU78">
        <v>5.19647</v>
      </c>
      <c r="HV78">
        <v>12.0099</v>
      </c>
      <c r="HW78">
        <v>4.9749</v>
      </c>
      <c r="HX78">
        <v>3.294</v>
      </c>
      <c r="HY78">
        <v>9999</v>
      </c>
      <c r="HZ78">
        <v>9999</v>
      </c>
      <c r="IA78">
        <v>9999</v>
      </c>
      <c r="IB78">
        <v>999.9</v>
      </c>
      <c r="IC78">
        <v>1.86325</v>
      </c>
      <c r="ID78">
        <v>1.86813</v>
      </c>
      <c r="IE78">
        <v>1.86785</v>
      </c>
      <c r="IF78">
        <v>1.86905</v>
      </c>
      <c r="IG78">
        <v>1.86983</v>
      </c>
      <c r="IH78">
        <v>1.8659</v>
      </c>
      <c r="II78">
        <v>1.867</v>
      </c>
      <c r="IJ78">
        <v>1.86843</v>
      </c>
      <c r="IK78">
        <v>5</v>
      </c>
      <c r="IL78">
        <v>0</v>
      </c>
      <c r="IM78">
        <v>0</v>
      </c>
      <c r="IN78">
        <v>0</v>
      </c>
      <c r="IO78" t="s">
        <v>443</v>
      </c>
      <c r="IP78" t="s">
        <v>444</v>
      </c>
      <c r="IQ78" t="s">
        <v>445</v>
      </c>
      <c r="IR78" t="s">
        <v>445</v>
      </c>
      <c r="IS78" t="s">
        <v>445</v>
      </c>
      <c r="IT78" t="s">
        <v>445</v>
      </c>
      <c r="IU78">
        <v>0</v>
      </c>
      <c r="IV78">
        <v>100</v>
      </c>
      <c r="IW78">
        <v>100</v>
      </c>
      <c r="IX78">
        <v>2.898</v>
      </c>
      <c r="IY78">
        <v>-0.1111</v>
      </c>
      <c r="IZ78">
        <v>1.24656194001752</v>
      </c>
      <c r="JA78">
        <v>0.00408463137630218</v>
      </c>
      <c r="JB78">
        <v>-2.23906557180379e-07</v>
      </c>
      <c r="JC78">
        <v>6.23399102760906e-11</v>
      </c>
      <c r="JD78">
        <v>-0.0873394905990972</v>
      </c>
      <c r="JE78">
        <v>-0.0233348201324191</v>
      </c>
      <c r="JF78">
        <v>0.00274696999164489</v>
      </c>
      <c r="JG78">
        <v>-3.62864435074646e-05</v>
      </c>
      <c r="JH78">
        <v>5</v>
      </c>
      <c r="JI78">
        <v>2263</v>
      </c>
      <c r="JJ78">
        <v>1</v>
      </c>
      <c r="JK78">
        <v>24</v>
      </c>
      <c r="JL78">
        <v>29361461.6</v>
      </c>
      <c r="JM78">
        <v>29361461.6</v>
      </c>
      <c r="JN78">
        <v>1.25366</v>
      </c>
      <c r="JO78">
        <v>2.61597</v>
      </c>
      <c r="JP78">
        <v>2.19849</v>
      </c>
      <c r="JQ78">
        <v>2.62573</v>
      </c>
      <c r="JR78">
        <v>2.44507</v>
      </c>
      <c r="JS78">
        <v>2.35962</v>
      </c>
      <c r="JT78">
        <v>33.4906</v>
      </c>
      <c r="JU78">
        <v>24.1225</v>
      </c>
      <c r="JV78">
        <v>18</v>
      </c>
      <c r="JW78">
        <v>503.222</v>
      </c>
      <c r="JX78">
        <v>786.888</v>
      </c>
      <c r="JY78">
        <v>16.2689</v>
      </c>
      <c r="JZ78">
        <v>31.3424</v>
      </c>
      <c r="KA78">
        <v>30.0094</v>
      </c>
      <c r="KB78">
        <v>31.2198</v>
      </c>
      <c r="KC78">
        <v>31.1287</v>
      </c>
      <c r="KD78">
        <v>25.1111</v>
      </c>
      <c r="KE78">
        <v>18.3368</v>
      </c>
      <c r="KF78">
        <v>19.1203</v>
      </c>
      <c r="KG78">
        <v>16.0418</v>
      </c>
      <c r="KH78">
        <v>420</v>
      </c>
      <c r="KI78">
        <v>7.36848</v>
      </c>
      <c r="KJ78">
        <v>96.0068</v>
      </c>
      <c r="KK78">
        <v>93.8623</v>
      </c>
    </row>
    <row r="79" spans="1:297">
      <c r="A79">
        <v>63</v>
      </c>
      <c r="B79">
        <v>1761687760</v>
      </c>
      <c r="C79">
        <v>10410.9000000954</v>
      </c>
      <c r="D79" t="s">
        <v>646</v>
      </c>
      <c r="E79" t="s">
        <v>647</v>
      </c>
      <c r="F79">
        <v>5</v>
      </c>
      <c r="G79" t="s">
        <v>641</v>
      </c>
      <c r="H79" t="s">
        <v>436</v>
      </c>
      <c r="I79">
        <v>1761687751.5</v>
      </c>
      <c r="J79">
        <f>(K79)/1000</f>
        <v>0</v>
      </c>
      <c r="K79">
        <f>IF(DP79, AN79, AH79)</f>
        <v>0</v>
      </c>
      <c r="L79">
        <f>IF(DP79, AI79, AG79)</f>
        <v>0</v>
      </c>
      <c r="M79">
        <f>DR79 - IF(AU79&gt;1, L79*DL79*100.0/(AW79), 0)</f>
        <v>0</v>
      </c>
      <c r="N79">
        <f>((T79-J79/2)*M79-L79)/(T79+J79/2)</f>
        <v>0</v>
      </c>
      <c r="O79">
        <f>N79*(DY79+DZ79)/1000.0</f>
        <v>0</v>
      </c>
      <c r="P79">
        <f>(DR79 - IF(AU79&gt;1, L79*DL79*100.0/(AW79), 0))*(DY79+DZ79)/1000.0</f>
        <v>0</v>
      </c>
      <c r="Q79">
        <f>2.0/((1/S79-1/R79)+SIGN(S79)*SQRT((1/S79-1/R79)*(1/S79-1/R79) + 4*DM79/((DM79+1)*(DM79+1))*(2*1/S79*1/R79-1/R79*1/R79)))</f>
        <v>0</v>
      </c>
      <c r="R79">
        <f>IF(LEFT(DN79,1)&lt;&gt;"0",IF(LEFT(DN79,1)="1",3.0,DO79),$D$5+$E$5*(EF79*DY79/($K$5*1000))+$F$5*(EF79*DY79/($K$5*1000))*MAX(MIN(DL79,$J$5),$I$5)*MAX(MIN(DL79,$J$5),$I$5)+$G$5*MAX(MIN(DL79,$J$5),$I$5)*(EF79*DY79/($K$5*1000))+$H$5*(EF79*DY79/($K$5*1000))*(EF79*DY79/($K$5*1000)))</f>
        <v>0</v>
      </c>
      <c r="S79">
        <f>J79*(1000-(1000*0.61365*exp(17.502*W79/(240.97+W79))/(DY79+DZ79)+DT79)/2)/(1000*0.61365*exp(17.502*W79/(240.97+W79))/(DY79+DZ79)-DT79)</f>
        <v>0</v>
      </c>
      <c r="T79">
        <f>1/((DM79+1)/(Q79/1.6)+1/(R79/1.37)) + DM79/((DM79+1)/(Q79/1.6) + DM79/(R79/1.37))</f>
        <v>0</v>
      </c>
      <c r="U79">
        <f>(DH79*DK79)</f>
        <v>0</v>
      </c>
      <c r="V79">
        <f>(EA79+(U79+2*0.95*5.67E-8*(((EA79+$B$7)+273)^4-(EA79+273)^4)-44100*J79)/(1.84*29.3*R79+8*0.95*5.67E-8*(EA79+273)^3))</f>
        <v>0</v>
      </c>
      <c r="W79">
        <f>($C$7*EB79+$D$7*EC79+$E$7*V79)</f>
        <v>0</v>
      </c>
      <c r="X79">
        <f>0.61365*exp(17.502*W79/(240.97+W79))</f>
        <v>0</v>
      </c>
      <c r="Y79">
        <f>(Z79/AA79*100)</f>
        <v>0</v>
      </c>
      <c r="Z79">
        <f>DT79*(DY79+DZ79)/1000</f>
        <v>0</v>
      </c>
      <c r="AA79">
        <f>0.61365*exp(17.502*EA79/(240.97+EA79))</f>
        <v>0</v>
      </c>
      <c r="AB79">
        <f>(X79-DT79*(DY79+DZ79)/1000)</f>
        <v>0</v>
      </c>
      <c r="AC79">
        <f>(-J79*44100)</f>
        <v>0</v>
      </c>
      <c r="AD79">
        <f>2*29.3*R79*0.92*(EA79-W79)</f>
        <v>0</v>
      </c>
      <c r="AE79">
        <f>2*0.95*5.67E-8*(((EA79+$B$7)+273)^4-(W79+273)^4)</f>
        <v>0</v>
      </c>
      <c r="AF79">
        <f>U79+AE79+AC79+AD79</f>
        <v>0</v>
      </c>
      <c r="AG79">
        <f>DX79*AU79*(DS79-DR79*(1000-AU79*DU79)/(1000-AU79*DT79))/(100*DL79)</f>
        <v>0</v>
      </c>
      <c r="AH79">
        <f>1000*DX79*AU79*(DT79-DU79)/(100*DL79*(1000-AU79*DT79))</f>
        <v>0</v>
      </c>
      <c r="AI79">
        <f>(AJ79 - AK79 - DY79*1E3/(8.314*(EA79+273.15)) * AM79/DX79 * AL79) * DX79/(100*DL79) * (1000 - DU79)/1000</f>
        <v>0</v>
      </c>
      <c r="AJ79">
        <v>423.142859610549</v>
      </c>
      <c r="AK79">
        <v>418.901448484848</v>
      </c>
      <c r="AL79">
        <v>9.45541318497496e-05</v>
      </c>
      <c r="AM79">
        <v>64.1904395983722</v>
      </c>
      <c r="AN79">
        <f>(AP79 - AO79 + DY79*1E3/(8.314*(EA79+273.15)) * AR79/DX79 * AQ79) * DX79/(100*DL79) * 1000/(1000 - AP79)</f>
        <v>0</v>
      </c>
      <c r="AO79">
        <v>7.34672003647186</v>
      </c>
      <c r="AP79">
        <v>8.31343867132868</v>
      </c>
      <c r="AQ79">
        <v>-1.84808481840692e-05</v>
      </c>
      <c r="AR79">
        <v>109.12</v>
      </c>
      <c r="AS79">
        <v>0</v>
      </c>
      <c r="AT79">
        <v>0</v>
      </c>
      <c r="AU79">
        <f>IF(AS79*$H$13&gt;=AW79,1.0,(AW79/(AW79-AS79*$H$13)))</f>
        <v>0</v>
      </c>
      <c r="AV79">
        <f>(AU79-1)*100</f>
        <v>0</v>
      </c>
      <c r="AW79">
        <f>MAX(0,($B$13+$C$13*EF79)/(1+$D$13*EF79)*DY79/(EA79+273)*$E$13)</f>
        <v>0</v>
      </c>
      <c r="AX79" t="s">
        <v>637</v>
      </c>
      <c r="AY79">
        <v>5102.67</v>
      </c>
      <c r="AZ79">
        <v>719.180769230769</v>
      </c>
      <c r="BA79">
        <v>1747.50569204175</v>
      </c>
      <c r="BB79">
        <f>1-AZ79/BA79</f>
        <v>0</v>
      </c>
      <c r="BC79">
        <v>-2.06255575300684</v>
      </c>
      <c r="BD79" t="s">
        <v>648</v>
      </c>
      <c r="BE79">
        <v>5141.18</v>
      </c>
      <c r="BF79">
        <v>1414.71576923077</v>
      </c>
      <c r="BG79">
        <v>1514.27290399247</v>
      </c>
      <c r="BH79">
        <f>1-BF79/BG79</f>
        <v>0</v>
      </c>
      <c r="BI79">
        <v>0.5</v>
      </c>
      <c r="BJ79">
        <f>DI79</f>
        <v>0</v>
      </c>
      <c r="BK79">
        <f>L79</f>
        <v>0</v>
      </c>
      <c r="BL79">
        <f>BH79*BI79*BJ79</f>
        <v>0</v>
      </c>
      <c r="BM79">
        <f>(BK79-BC79)/BJ79</f>
        <v>0</v>
      </c>
      <c r="BN79">
        <f>(BA79-BG79)/BG79</f>
        <v>0</v>
      </c>
      <c r="BO79">
        <f>AZ79/(BB79+AZ79/BG79)</f>
        <v>0</v>
      </c>
      <c r="BP79" t="s">
        <v>649</v>
      </c>
      <c r="BQ79">
        <v>817.4</v>
      </c>
      <c r="BR79">
        <f>IF(BQ79&lt;&gt;0, BQ79, BO79)</f>
        <v>0</v>
      </c>
      <c r="BS79">
        <f>1-BR79/BG79</f>
        <v>0</v>
      </c>
      <c r="BT79">
        <f>(BG79-BF79)/(BG79-BR79)</f>
        <v>0</v>
      </c>
      <c r="BU79">
        <f>(BA79-BG79)/(BA79-BR79)</f>
        <v>0</v>
      </c>
      <c r="BV79">
        <f>(BG79-BF79)/(BG79-AZ79)</f>
        <v>0</v>
      </c>
      <c r="BW79">
        <f>(BA79-BG79)/(BA79-AZ79)</f>
        <v>0</v>
      </c>
      <c r="BX79">
        <f>(BT79*BR79/BF79)</f>
        <v>0</v>
      </c>
      <c r="BY79">
        <f>(1-BX79)</f>
        <v>0</v>
      </c>
      <c r="BZ79">
        <v>72</v>
      </c>
      <c r="CA79">
        <v>290</v>
      </c>
      <c r="CB79">
        <v>1483.3</v>
      </c>
      <c r="CC79">
        <v>85</v>
      </c>
      <c r="CD79">
        <v>5141.18</v>
      </c>
      <c r="CE79">
        <v>1481.22</v>
      </c>
      <c r="CF79">
        <v>2.08</v>
      </c>
      <c r="CG79">
        <v>300</v>
      </c>
      <c r="CH79">
        <v>23.7</v>
      </c>
      <c r="CI79">
        <v>1514.27290399247</v>
      </c>
      <c r="CJ79">
        <v>2.43048690410351</v>
      </c>
      <c r="CK79">
        <v>-16.9934126844806</v>
      </c>
      <c r="CL79">
        <v>1.13411295528107</v>
      </c>
      <c r="CM79">
        <v>0.889116229909161</v>
      </c>
      <c r="CN79">
        <v>-0.00298697530589544</v>
      </c>
      <c r="CO79">
        <v>290</v>
      </c>
      <c r="CP79">
        <v>1479.26</v>
      </c>
      <c r="CQ79">
        <v>705</v>
      </c>
      <c r="CR79">
        <v>5137.01</v>
      </c>
      <c r="CS79">
        <v>1481.19</v>
      </c>
      <c r="CT79">
        <v>-1.93</v>
      </c>
      <c r="DH79">
        <f>$B$11*EG79+$C$11*EH79+$F$11*ES79*(1-EV79)</f>
        <v>0</v>
      </c>
      <c r="DI79">
        <f>DH79*DJ79</f>
        <v>0</v>
      </c>
      <c r="DJ79">
        <f>($B$11*$D$9+$C$11*$D$9+$F$11*((FF79+EX79)/MAX(FF79+EX79+FG79, 0.1)*$I$9+FG79/MAX(FF79+EX79+FG79, 0.1)*$J$9))/($B$11+$C$11+$F$11)</f>
        <v>0</v>
      </c>
      <c r="DK79">
        <f>($B$11*$K$9+$C$11*$K$9+$F$11*((FF79+EX79)/MAX(FF79+EX79+FG79, 0.1)*$P$9+FG79/MAX(FF79+EX79+FG79, 0.1)*$Q$9))/($B$11+$C$11+$F$11)</f>
        <v>0</v>
      </c>
      <c r="DL79">
        <v>6</v>
      </c>
      <c r="DM79">
        <v>0.5</v>
      </c>
      <c r="DN79" t="s">
        <v>440</v>
      </c>
      <c r="DO79">
        <v>2</v>
      </c>
      <c r="DP79" t="b">
        <v>1</v>
      </c>
      <c r="DQ79">
        <v>1761687751.5</v>
      </c>
      <c r="DR79">
        <v>415.410375</v>
      </c>
      <c r="DS79">
        <v>420.018875</v>
      </c>
      <c r="DT79">
        <v>8.31867</v>
      </c>
      <c r="DU79">
        <v>7.340558125</v>
      </c>
      <c r="DV79">
        <v>412.5126875</v>
      </c>
      <c r="DW79">
        <v>8.429258125</v>
      </c>
      <c r="DX79">
        <v>499.983</v>
      </c>
      <c r="DY79">
        <v>90.991075</v>
      </c>
      <c r="DZ79">
        <v>0.022784175</v>
      </c>
      <c r="EA79">
        <v>23.3925375</v>
      </c>
      <c r="EB79">
        <v>23.81871875</v>
      </c>
      <c r="EC79">
        <v>999.9</v>
      </c>
      <c r="ED79">
        <v>0</v>
      </c>
      <c r="EE79">
        <v>0</v>
      </c>
      <c r="EF79">
        <v>9999.451875</v>
      </c>
      <c r="EG79">
        <v>0</v>
      </c>
      <c r="EH79">
        <v>1270.4075</v>
      </c>
      <c r="EI79">
        <v>-4.608435</v>
      </c>
      <c r="EJ79">
        <v>418.89525</v>
      </c>
      <c r="EK79">
        <v>423.1249375</v>
      </c>
      <c r="EL79">
        <v>0.9781109375</v>
      </c>
      <c r="EM79">
        <v>420.018875</v>
      </c>
      <c r="EN79">
        <v>7.340558125</v>
      </c>
      <c r="EO79">
        <v>0.7569246875</v>
      </c>
      <c r="EP79">
        <v>0.667925375</v>
      </c>
      <c r="EQ79">
        <v>2.92414375</v>
      </c>
      <c r="ER79">
        <v>1.17253125</v>
      </c>
      <c r="ES79">
        <v>1499.96</v>
      </c>
      <c r="ET79">
        <v>0.9730059375</v>
      </c>
      <c r="EU79">
        <v>0.02699393125</v>
      </c>
      <c r="EV79">
        <v>0</v>
      </c>
      <c r="EW79">
        <v>1414.853125</v>
      </c>
      <c r="EX79">
        <v>5.00059</v>
      </c>
      <c r="EY79">
        <v>21135.45625</v>
      </c>
      <c r="EZ79">
        <v>12982.05</v>
      </c>
      <c r="FA79">
        <v>40.437</v>
      </c>
      <c r="FB79">
        <v>41.562</v>
      </c>
      <c r="FC79">
        <v>40.378875</v>
      </c>
      <c r="FD79">
        <v>40.933125</v>
      </c>
      <c r="FE79">
        <v>41.226375</v>
      </c>
      <c r="FF79">
        <v>1454.60125</v>
      </c>
      <c r="FG79">
        <v>40.351875</v>
      </c>
      <c r="FH79">
        <v>0</v>
      </c>
      <c r="FI79">
        <v>134.200000047684</v>
      </c>
      <c r="FJ79">
        <v>0</v>
      </c>
      <c r="FK79">
        <v>1414.71576923077</v>
      </c>
      <c r="FL79">
        <v>-4.01333332202416</v>
      </c>
      <c r="FM79">
        <v>-70.0034189826443</v>
      </c>
      <c r="FN79">
        <v>21134.7769230769</v>
      </c>
      <c r="FO79">
        <v>15</v>
      </c>
      <c r="FP79">
        <v>0</v>
      </c>
      <c r="FQ79" t="s">
        <v>441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-4.609308</v>
      </c>
      <c r="GD79">
        <v>0.0639094736842077</v>
      </c>
      <c r="GE79">
        <v>0.0284836852601625</v>
      </c>
      <c r="GF79">
        <v>1</v>
      </c>
      <c r="GG79">
        <v>1415.00970588235</v>
      </c>
      <c r="GH79">
        <v>-4.24919785165342</v>
      </c>
      <c r="GI79">
        <v>0.452414992301884</v>
      </c>
      <c r="GJ79">
        <v>-1</v>
      </c>
      <c r="GK79">
        <v>0.9694222</v>
      </c>
      <c r="GL79">
        <v>0.0734720300751879</v>
      </c>
      <c r="GM79">
        <v>0.0220763874730446</v>
      </c>
      <c r="GN79">
        <v>1</v>
      </c>
      <c r="GO79">
        <v>2</v>
      </c>
      <c r="GP79">
        <v>2</v>
      </c>
      <c r="GQ79" t="s">
        <v>442</v>
      </c>
      <c r="GR79">
        <v>3.12811</v>
      </c>
      <c r="GS79">
        <v>2.70074</v>
      </c>
      <c r="GT79">
        <v>0.0882726</v>
      </c>
      <c r="GU79">
        <v>0.0896419</v>
      </c>
      <c r="GV79">
        <v>0.0462938</v>
      </c>
      <c r="GW79">
        <v>0.0419796</v>
      </c>
      <c r="GX79">
        <v>34101</v>
      </c>
      <c r="GY79">
        <v>36447.2</v>
      </c>
      <c r="GZ79">
        <v>33858</v>
      </c>
      <c r="HA79">
        <v>36267.6</v>
      </c>
      <c r="HB79">
        <v>45643.9</v>
      </c>
      <c r="HC79">
        <v>49865.8</v>
      </c>
      <c r="HD79">
        <v>52818.1</v>
      </c>
      <c r="HE79">
        <v>57920.1</v>
      </c>
      <c r="HF79">
        <v>1.91295</v>
      </c>
      <c r="HG79">
        <v>2.28323</v>
      </c>
      <c r="HH79">
        <v>0.0432506</v>
      </c>
      <c r="HI79">
        <v>0</v>
      </c>
      <c r="HJ79">
        <v>23.1359</v>
      </c>
      <c r="HK79">
        <v>999.9</v>
      </c>
      <c r="HL79">
        <v>23.593</v>
      </c>
      <c r="HM79">
        <v>29.839</v>
      </c>
      <c r="HN79">
        <v>10.9448</v>
      </c>
      <c r="HO79">
        <v>53.8339</v>
      </c>
      <c r="HP79">
        <v>30.8293</v>
      </c>
      <c r="HQ79">
        <v>2</v>
      </c>
      <c r="HR79">
        <v>0.315483</v>
      </c>
      <c r="HS79">
        <v>3.83242</v>
      </c>
      <c r="HT79">
        <v>20.0961</v>
      </c>
      <c r="HU79">
        <v>5.19902</v>
      </c>
      <c r="HV79">
        <v>12.0046</v>
      </c>
      <c r="HW79">
        <v>4.97545</v>
      </c>
      <c r="HX79">
        <v>3.294</v>
      </c>
      <c r="HY79">
        <v>9999</v>
      </c>
      <c r="HZ79">
        <v>9999</v>
      </c>
      <c r="IA79">
        <v>9999</v>
      </c>
      <c r="IB79">
        <v>999.9</v>
      </c>
      <c r="IC79">
        <v>1.86325</v>
      </c>
      <c r="ID79">
        <v>1.86813</v>
      </c>
      <c r="IE79">
        <v>1.86783</v>
      </c>
      <c r="IF79">
        <v>1.86905</v>
      </c>
      <c r="IG79">
        <v>1.86983</v>
      </c>
      <c r="IH79">
        <v>1.86585</v>
      </c>
      <c r="II79">
        <v>1.86702</v>
      </c>
      <c r="IJ79">
        <v>1.86844</v>
      </c>
      <c r="IK79">
        <v>5</v>
      </c>
      <c r="IL79">
        <v>0</v>
      </c>
      <c r="IM79">
        <v>0</v>
      </c>
      <c r="IN79">
        <v>0</v>
      </c>
      <c r="IO79" t="s">
        <v>443</v>
      </c>
      <c r="IP79" t="s">
        <v>444</v>
      </c>
      <c r="IQ79" t="s">
        <v>445</v>
      </c>
      <c r="IR79" t="s">
        <v>445</v>
      </c>
      <c r="IS79" t="s">
        <v>445</v>
      </c>
      <c r="IT79" t="s">
        <v>445</v>
      </c>
      <c r="IU79">
        <v>0</v>
      </c>
      <c r="IV79">
        <v>100</v>
      </c>
      <c r="IW79">
        <v>100</v>
      </c>
      <c r="IX79">
        <v>2.898</v>
      </c>
      <c r="IY79">
        <v>-0.1107</v>
      </c>
      <c r="IZ79">
        <v>1.24656194001752</v>
      </c>
      <c r="JA79">
        <v>0.00408463137630218</v>
      </c>
      <c r="JB79">
        <v>-2.23906557180379e-07</v>
      </c>
      <c r="JC79">
        <v>6.23399102760906e-11</v>
      </c>
      <c r="JD79">
        <v>-0.0873394905990972</v>
      </c>
      <c r="JE79">
        <v>-0.0233348201324191</v>
      </c>
      <c r="JF79">
        <v>0.00274696999164489</v>
      </c>
      <c r="JG79">
        <v>-3.62864435074646e-05</v>
      </c>
      <c r="JH79">
        <v>5</v>
      </c>
      <c r="JI79">
        <v>2263</v>
      </c>
      <c r="JJ79">
        <v>1</v>
      </c>
      <c r="JK79">
        <v>24</v>
      </c>
      <c r="JL79">
        <v>29361462.7</v>
      </c>
      <c r="JM79">
        <v>29361462.7</v>
      </c>
      <c r="JN79">
        <v>1.25366</v>
      </c>
      <c r="JO79">
        <v>2.61475</v>
      </c>
      <c r="JP79">
        <v>2.19849</v>
      </c>
      <c r="JQ79">
        <v>2.62573</v>
      </c>
      <c r="JR79">
        <v>2.44507</v>
      </c>
      <c r="JS79">
        <v>2.32178</v>
      </c>
      <c r="JT79">
        <v>33.513</v>
      </c>
      <c r="JU79">
        <v>24.1838</v>
      </c>
      <c r="JV79">
        <v>18</v>
      </c>
      <c r="JW79">
        <v>503.009</v>
      </c>
      <c r="JX79">
        <v>790.32</v>
      </c>
      <c r="JY79">
        <v>17.5975</v>
      </c>
      <c r="JZ79">
        <v>31.3219</v>
      </c>
      <c r="KA79">
        <v>30</v>
      </c>
      <c r="KB79">
        <v>31.2164</v>
      </c>
      <c r="KC79">
        <v>31.1287</v>
      </c>
      <c r="KD79">
        <v>25.1105</v>
      </c>
      <c r="KE79">
        <v>17.4568</v>
      </c>
      <c r="KF79">
        <v>18.7491</v>
      </c>
      <c r="KG79">
        <v>17.6159</v>
      </c>
      <c r="KH79">
        <v>420</v>
      </c>
      <c r="KI79">
        <v>7.40199</v>
      </c>
      <c r="KJ79">
        <v>96.0124</v>
      </c>
      <c r="KK79">
        <v>93.8704</v>
      </c>
    </row>
    <row r="80" spans="1:297">
      <c r="A80">
        <v>64</v>
      </c>
      <c r="B80">
        <v>1761687830</v>
      </c>
      <c r="C80">
        <v>10480.9000000954</v>
      </c>
      <c r="D80" t="s">
        <v>650</v>
      </c>
      <c r="E80" t="s">
        <v>651</v>
      </c>
      <c r="F80">
        <v>5</v>
      </c>
      <c r="G80" t="s">
        <v>641</v>
      </c>
      <c r="H80" t="s">
        <v>436</v>
      </c>
      <c r="I80">
        <v>1761687821.5</v>
      </c>
      <c r="J80">
        <f>(K80)/1000</f>
        <v>0</v>
      </c>
      <c r="K80">
        <f>IF(DP80, AN80, AH80)</f>
        <v>0</v>
      </c>
      <c r="L80">
        <f>IF(DP80, AI80, AG80)</f>
        <v>0</v>
      </c>
      <c r="M80">
        <f>DR80 - IF(AU80&gt;1, L80*DL80*100.0/(AW80), 0)</f>
        <v>0</v>
      </c>
      <c r="N80">
        <f>((T80-J80/2)*M80-L80)/(T80+J80/2)</f>
        <v>0</v>
      </c>
      <c r="O80">
        <f>N80*(DY80+DZ80)/1000.0</f>
        <v>0</v>
      </c>
      <c r="P80">
        <f>(DR80 - IF(AU80&gt;1, L80*DL80*100.0/(AW80), 0))*(DY80+DZ80)/1000.0</f>
        <v>0</v>
      </c>
      <c r="Q80">
        <f>2.0/((1/S80-1/R80)+SIGN(S80)*SQRT((1/S80-1/R80)*(1/S80-1/R80) + 4*DM80/((DM80+1)*(DM80+1))*(2*1/S80*1/R80-1/R80*1/R80)))</f>
        <v>0</v>
      </c>
      <c r="R80">
        <f>IF(LEFT(DN80,1)&lt;&gt;"0",IF(LEFT(DN80,1)="1",3.0,DO80),$D$5+$E$5*(EF80*DY80/($K$5*1000))+$F$5*(EF80*DY80/($K$5*1000))*MAX(MIN(DL80,$J$5),$I$5)*MAX(MIN(DL80,$J$5),$I$5)+$G$5*MAX(MIN(DL80,$J$5),$I$5)*(EF80*DY80/($K$5*1000))+$H$5*(EF80*DY80/($K$5*1000))*(EF80*DY80/($K$5*1000)))</f>
        <v>0</v>
      </c>
      <c r="S80">
        <f>J80*(1000-(1000*0.61365*exp(17.502*W80/(240.97+W80))/(DY80+DZ80)+DT80)/2)/(1000*0.61365*exp(17.502*W80/(240.97+W80))/(DY80+DZ80)-DT80)</f>
        <v>0</v>
      </c>
      <c r="T80">
        <f>1/((DM80+1)/(Q80/1.6)+1/(R80/1.37)) + DM80/((DM80+1)/(Q80/1.6) + DM80/(R80/1.37))</f>
        <v>0</v>
      </c>
      <c r="U80">
        <f>(DH80*DK80)</f>
        <v>0</v>
      </c>
      <c r="V80">
        <f>(EA80+(U80+2*0.95*5.67E-8*(((EA80+$B$7)+273)^4-(EA80+273)^4)-44100*J80)/(1.84*29.3*R80+8*0.95*5.67E-8*(EA80+273)^3))</f>
        <v>0</v>
      </c>
      <c r="W80">
        <f>($C$7*EB80+$D$7*EC80+$E$7*V80)</f>
        <v>0</v>
      </c>
      <c r="X80">
        <f>0.61365*exp(17.502*W80/(240.97+W80))</f>
        <v>0</v>
      </c>
      <c r="Y80">
        <f>(Z80/AA80*100)</f>
        <v>0</v>
      </c>
      <c r="Z80">
        <f>DT80*(DY80+DZ80)/1000</f>
        <v>0</v>
      </c>
      <c r="AA80">
        <f>0.61365*exp(17.502*EA80/(240.97+EA80))</f>
        <v>0</v>
      </c>
      <c r="AB80">
        <f>(X80-DT80*(DY80+DZ80)/1000)</f>
        <v>0</v>
      </c>
      <c r="AC80">
        <f>(-J80*44100)</f>
        <v>0</v>
      </c>
      <c r="AD80">
        <f>2*29.3*R80*0.92*(EA80-W80)</f>
        <v>0</v>
      </c>
      <c r="AE80">
        <f>2*0.95*5.67E-8*(((EA80+$B$7)+273)^4-(W80+273)^4)</f>
        <v>0</v>
      </c>
      <c r="AF80">
        <f>U80+AE80+AC80+AD80</f>
        <v>0</v>
      </c>
      <c r="AG80">
        <f>DX80*AU80*(DS80-DR80*(1000-AU80*DU80)/(1000-AU80*DT80))/(100*DL80)</f>
        <v>0</v>
      </c>
      <c r="AH80">
        <f>1000*DX80*AU80*(DT80-DU80)/(100*DL80*(1000-AU80*DT80))</f>
        <v>0</v>
      </c>
      <c r="AI80">
        <f>(AJ80 - AK80 - DY80*1E3/(8.314*(EA80+273.15)) * AM80/DX80 * AL80) * DX80/(100*DL80) * (1000 - DU80)/1000</f>
        <v>0</v>
      </c>
      <c r="AJ80">
        <v>423.156374713558</v>
      </c>
      <c r="AK80">
        <v>418.995757575758</v>
      </c>
      <c r="AL80">
        <v>0.000508699311081764</v>
      </c>
      <c r="AM80">
        <v>64.1904395983722</v>
      </c>
      <c r="AN80">
        <f>(AP80 - AO80 + DY80*1E3/(8.314*(EA80+273.15)) * AR80/DX80 * AQ80) * DX80/(100*DL80) * 1000/(1000 - AP80)</f>
        <v>0</v>
      </c>
      <c r="AO80">
        <v>7.49245446190476</v>
      </c>
      <c r="AP80">
        <v>8.45347797202797</v>
      </c>
      <c r="AQ80">
        <v>4.7317929493192e-05</v>
      </c>
      <c r="AR80">
        <v>109.12</v>
      </c>
      <c r="AS80">
        <v>0</v>
      </c>
      <c r="AT80">
        <v>0</v>
      </c>
      <c r="AU80">
        <f>IF(AS80*$H$13&gt;=AW80,1.0,(AW80/(AW80-AS80*$H$13)))</f>
        <v>0</v>
      </c>
      <c r="AV80">
        <f>(AU80-1)*100</f>
        <v>0</v>
      </c>
      <c r="AW80">
        <f>MAX(0,($B$13+$C$13*EF80)/(1+$D$13*EF80)*DY80/(EA80+273)*$E$13)</f>
        <v>0</v>
      </c>
      <c r="AX80" t="s">
        <v>448</v>
      </c>
      <c r="AY80" t="s">
        <v>448</v>
      </c>
      <c r="AZ80">
        <v>0</v>
      </c>
      <c r="BA80">
        <v>0</v>
      </c>
      <c r="BB80">
        <f>1-AZ80/BA80</f>
        <v>0</v>
      </c>
      <c r="BC80">
        <v>0</v>
      </c>
      <c r="BD80" t="s">
        <v>448</v>
      </c>
      <c r="BE80" t="s">
        <v>448</v>
      </c>
      <c r="BF80">
        <v>0</v>
      </c>
      <c r="BG80">
        <v>0</v>
      </c>
      <c r="BH80">
        <f>1-BF80/BG80</f>
        <v>0</v>
      </c>
      <c r="BI80">
        <v>0.5</v>
      </c>
      <c r="BJ80">
        <f>DI80</f>
        <v>0</v>
      </c>
      <c r="BK80">
        <f>L80</f>
        <v>0</v>
      </c>
      <c r="BL80">
        <f>BH80*BI80*BJ80</f>
        <v>0</v>
      </c>
      <c r="BM80">
        <f>(BK80-BC80)/BJ80</f>
        <v>0</v>
      </c>
      <c r="BN80">
        <f>(BA80-BG80)/BG80</f>
        <v>0</v>
      </c>
      <c r="BO80">
        <f>AZ80/(BB80+AZ80/BG80)</f>
        <v>0</v>
      </c>
      <c r="BP80" t="s">
        <v>448</v>
      </c>
      <c r="BQ80">
        <v>0</v>
      </c>
      <c r="BR80">
        <f>IF(BQ80&lt;&gt;0, BQ80, BO80)</f>
        <v>0</v>
      </c>
      <c r="BS80">
        <f>1-BR80/BG80</f>
        <v>0</v>
      </c>
      <c r="BT80">
        <f>(BG80-BF80)/(BG80-BR80)</f>
        <v>0</v>
      </c>
      <c r="BU80">
        <f>(BA80-BG80)/(BA80-BR80)</f>
        <v>0</v>
      </c>
      <c r="BV80">
        <f>(BG80-BF80)/(BG80-AZ80)</f>
        <v>0</v>
      </c>
      <c r="BW80">
        <f>(BA80-BG80)/(BA80-AZ80)</f>
        <v>0</v>
      </c>
      <c r="BX80">
        <f>(BT80*BR80/BF80)</f>
        <v>0</v>
      </c>
      <c r="BY80">
        <f>(1-BX80)</f>
        <v>0</v>
      </c>
      <c r="BZ80">
        <v>72</v>
      </c>
      <c r="CA80">
        <v>290</v>
      </c>
      <c r="CB80">
        <v>1483.3</v>
      </c>
      <c r="CC80">
        <v>85</v>
      </c>
      <c r="CD80">
        <v>5141.18</v>
      </c>
      <c r="CE80">
        <v>1481.22</v>
      </c>
      <c r="CF80">
        <v>2.08</v>
      </c>
      <c r="CG80">
        <v>300</v>
      </c>
      <c r="CH80">
        <v>23.7</v>
      </c>
      <c r="CI80">
        <v>1514.27290399247</v>
      </c>
      <c r="CJ80">
        <v>2.43048690410351</v>
      </c>
      <c r="CK80">
        <v>-16.9934126844806</v>
      </c>
      <c r="CL80">
        <v>1.13411295528107</v>
      </c>
      <c r="CM80">
        <v>0.889116229909161</v>
      </c>
      <c r="CN80">
        <v>-0.00298697530589544</v>
      </c>
      <c r="CO80">
        <v>290</v>
      </c>
      <c r="CP80">
        <v>1479.26</v>
      </c>
      <c r="CQ80">
        <v>705</v>
      </c>
      <c r="CR80">
        <v>5137.01</v>
      </c>
      <c r="CS80">
        <v>1481.19</v>
      </c>
      <c r="CT80">
        <v>-1.93</v>
      </c>
      <c r="DH80">
        <f>$B$11*EG80+$C$11*EH80+$F$11*ES80*(1-EV80)</f>
        <v>0</v>
      </c>
      <c r="DI80">
        <f>DH80*DJ80</f>
        <v>0</v>
      </c>
      <c r="DJ80">
        <f>($B$11*$D$9+$C$11*$D$9+$F$11*((FF80+EX80)/MAX(FF80+EX80+FG80, 0.1)*$I$9+FG80/MAX(FF80+EX80+FG80, 0.1)*$J$9))/($B$11+$C$11+$F$11)</f>
        <v>0</v>
      </c>
      <c r="DK80">
        <f>($B$11*$K$9+$C$11*$K$9+$F$11*((FF80+EX80)/MAX(FF80+EX80+FG80, 0.1)*$P$9+FG80/MAX(FF80+EX80+FG80, 0.1)*$Q$9))/($B$11+$C$11+$F$11)</f>
        <v>0</v>
      </c>
      <c r="DL80">
        <v>6</v>
      </c>
      <c r="DM80">
        <v>0.5</v>
      </c>
      <c r="DN80" t="s">
        <v>440</v>
      </c>
      <c r="DO80">
        <v>2</v>
      </c>
      <c r="DP80" t="b">
        <v>1</v>
      </c>
      <c r="DQ80">
        <v>1761687821.5</v>
      </c>
      <c r="DR80">
        <v>415.4896875</v>
      </c>
      <c r="DS80">
        <v>419.99225</v>
      </c>
      <c r="DT80">
        <v>8.436821875</v>
      </c>
      <c r="DU80">
        <v>7.4843775</v>
      </c>
      <c r="DV80">
        <v>412.5916875</v>
      </c>
      <c r="DW80">
        <v>8.545615</v>
      </c>
      <c r="DX80">
        <v>499.9734375</v>
      </c>
      <c r="DY80">
        <v>90.99205</v>
      </c>
      <c r="DZ80">
        <v>0.02282423125</v>
      </c>
      <c r="EA80">
        <v>23.77254375</v>
      </c>
      <c r="EB80">
        <v>23.96993125</v>
      </c>
      <c r="EC80">
        <v>999.9</v>
      </c>
      <c r="ED80">
        <v>0</v>
      </c>
      <c r="EE80">
        <v>0</v>
      </c>
      <c r="EF80">
        <v>9994.921875</v>
      </c>
      <c r="EG80">
        <v>0</v>
      </c>
      <c r="EH80">
        <v>1270.894375</v>
      </c>
      <c r="EI80">
        <v>-4.502485625</v>
      </c>
      <c r="EJ80">
        <v>419.025125</v>
      </c>
      <c r="EK80">
        <v>423.159375</v>
      </c>
      <c r="EL80">
        <v>0.9524461875</v>
      </c>
      <c r="EM80">
        <v>419.99225</v>
      </c>
      <c r="EN80">
        <v>7.4843775</v>
      </c>
      <c r="EO80">
        <v>0.7676838125</v>
      </c>
      <c r="EP80">
        <v>0.681018875</v>
      </c>
      <c r="EQ80">
        <v>3.12337625</v>
      </c>
      <c r="ER80">
        <v>1.442718125</v>
      </c>
      <c r="ES80">
        <v>1200.004375</v>
      </c>
      <c r="ET80">
        <v>0.967004125</v>
      </c>
      <c r="EU80">
        <v>0.0329957375</v>
      </c>
      <c r="EV80">
        <v>0</v>
      </c>
      <c r="EW80">
        <v>1392.4025</v>
      </c>
      <c r="EX80">
        <v>5.00059</v>
      </c>
      <c r="EY80">
        <v>16600.325</v>
      </c>
      <c r="EZ80">
        <v>10358.775</v>
      </c>
      <c r="FA80">
        <v>40.124875</v>
      </c>
      <c r="FB80">
        <v>41.5935</v>
      </c>
      <c r="FC80">
        <v>40.312</v>
      </c>
      <c r="FD80">
        <v>40.937</v>
      </c>
      <c r="FE80">
        <v>41.058125</v>
      </c>
      <c r="FF80">
        <v>1155.574375</v>
      </c>
      <c r="FG80">
        <v>39.43</v>
      </c>
      <c r="FH80">
        <v>0</v>
      </c>
      <c r="FI80">
        <v>67</v>
      </c>
      <c r="FJ80">
        <v>0</v>
      </c>
      <c r="FK80">
        <v>1392.284</v>
      </c>
      <c r="FL80">
        <v>-4.61999998331287</v>
      </c>
      <c r="FM80">
        <v>-63.3461538072299</v>
      </c>
      <c r="FN80">
        <v>16599.352</v>
      </c>
      <c r="FO80">
        <v>15</v>
      </c>
      <c r="FP80">
        <v>0</v>
      </c>
      <c r="FQ80" t="s">
        <v>441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-4.491904</v>
      </c>
      <c r="GD80">
        <v>-0.18171067669173</v>
      </c>
      <c r="GE80">
        <v>0.0303532135695713</v>
      </c>
      <c r="GF80">
        <v>1</v>
      </c>
      <c r="GG80">
        <v>1392.67294117647</v>
      </c>
      <c r="GH80">
        <v>-5.26233766506906</v>
      </c>
      <c r="GI80">
        <v>0.550296868606969</v>
      </c>
      <c r="GJ80">
        <v>-1</v>
      </c>
      <c r="GK80">
        <v>0.9542437</v>
      </c>
      <c r="GL80">
        <v>-0.0349744962406018</v>
      </c>
      <c r="GM80">
        <v>0.00566983580097344</v>
      </c>
      <c r="GN80">
        <v>1</v>
      </c>
      <c r="GO80">
        <v>2</v>
      </c>
      <c r="GP80">
        <v>2</v>
      </c>
      <c r="GQ80" t="s">
        <v>442</v>
      </c>
      <c r="GR80">
        <v>3.12796</v>
      </c>
      <c r="GS80">
        <v>2.70095</v>
      </c>
      <c r="GT80">
        <v>0.0882847</v>
      </c>
      <c r="GU80">
        <v>0.0896491</v>
      </c>
      <c r="GV80">
        <v>0.0469402</v>
      </c>
      <c r="GW80">
        <v>0.0427893</v>
      </c>
      <c r="GX80">
        <v>34102.2</v>
      </c>
      <c r="GY80">
        <v>36449</v>
      </c>
      <c r="GZ80">
        <v>33859.4</v>
      </c>
      <c r="HA80">
        <v>36269.5</v>
      </c>
      <c r="HB80">
        <v>45614.3</v>
      </c>
      <c r="HC80">
        <v>49825.9</v>
      </c>
      <c r="HD80">
        <v>52819.8</v>
      </c>
      <c r="HE80">
        <v>57922.6</v>
      </c>
      <c r="HF80">
        <v>1.91335</v>
      </c>
      <c r="HG80">
        <v>2.2843</v>
      </c>
      <c r="HH80">
        <v>0.0453368</v>
      </c>
      <c r="HI80">
        <v>0</v>
      </c>
      <c r="HJ80">
        <v>23.3061</v>
      </c>
      <c r="HK80">
        <v>999.9</v>
      </c>
      <c r="HL80">
        <v>23.569</v>
      </c>
      <c r="HM80">
        <v>29.86</v>
      </c>
      <c r="HN80">
        <v>10.9478</v>
      </c>
      <c r="HO80">
        <v>54.8739</v>
      </c>
      <c r="HP80">
        <v>30.8894</v>
      </c>
      <c r="HQ80">
        <v>2</v>
      </c>
      <c r="HR80">
        <v>0.311438</v>
      </c>
      <c r="HS80">
        <v>5.43525</v>
      </c>
      <c r="HT80">
        <v>20.037</v>
      </c>
      <c r="HU80">
        <v>5.19618</v>
      </c>
      <c r="HV80">
        <v>12.007</v>
      </c>
      <c r="HW80">
        <v>4.9757</v>
      </c>
      <c r="HX80">
        <v>3.294</v>
      </c>
      <c r="HY80">
        <v>9999</v>
      </c>
      <c r="HZ80">
        <v>9999</v>
      </c>
      <c r="IA80">
        <v>9999</v>
      </c>
      <c r="IB80">
        <v>999.9</v>
      </c>
      <c r="IC80">
        <v>1.86325</v>
      </c>
      <c r="ID80">
        <v>1.86812</v>
      </c>
      <c r="IE80">
        <v>1.86784</v>
      </c>
      <c r="IF80">
        <v>1.86905</v>
      </c>
      <c r="IG80">
        <v>1.86982</v>
      </c>
      <c r="IH80">
        <v>1.86586</v>
      </c>
      <c r="II80">
        <v>1.86701</v>
      </c>
      <c r="IJ80">
        <v>1.86844</v>
      </c>
      <c r="IK80">
        <v>5</v>
      </c>
      <c r="IL80">
        <v>0</v>
      </c>
      <c r="IM80">
        <v>0</v>
      </c>
      <c r="IN80">
        <v>0</v>
      </c>
      <c r="IO80" t="s">
        <v>443</v>
      </c>
      <c r="IP80" t="s">
        <v>444</v>
      </c>
      <c r="IQ80" t="s">
        <v>445</v>
      </c>
      <c r="IR80" t="s">
        <v>445</v>
      </c>
      <c r="IS80" t="s">
        <v>445</v>
      </c>
      <c r="IT80" t="s">
        <v>445</v>
      </c>
      <c r="IU80">
        <v>0</v>
      </c>
      <c r="IV80">
        <v>100</v>
      </c>
      <c r="IW80">
        <v>100</v>
      </c>
      <c r="IX80">
        <v>2.898</v>
      </c>
      <c r="IY80">
        <v>-0.1085</v>
      </c>
      <c r="IZ80">
        <v>1.24656194001752</v>
      </c>
      <c r="JA80">
        <v>0.00408463137630218</v>
      </c>
      <c r="JB80">
        <v>-2.23906557180379e-07</v>
      </c>
      <c r="JC80">
        <v>6.23399102760906e-11</v>
      </c>
      <c r="JD80">
        <v>-0.0873394905990972</v>
      </c>
      <c r="JE80">
        <v>-0.0233348201324191</v>
      </c>
      <c r="JF80">
        <v>0.00274696999164489</v>
      </c>
      <c r="JG80">
        <v>-3.62864435074646e-05</v>
      </c>
      <c r="JH80">
        <v>5</v>
      </c>
      <c r="JI80">
        <v>2263</v>
      </c>
      <c r="JJ80">
        <v>1</v>
      </c>
      <c r="JK80">
        <v>24</v>
      </c>
      <c r="JL80">
        <v>29361463.8</v>
      </c>
      <c r="JM80">
        <v>29361463.8</v>
      </c>
      <c r="JN80">
        <v>1.25366</v>
      </c>
      <c r="JO80">
        <v>2.61841</v>
      </c>
      <c r="JP80">
        <v>2.19849</v>
      </c>
      <c r="JQ80">
        <v>2.62573</v>
      </c>
      <c r="JR80">
        <v>2.44507</v>
      </c>
      <c r="JS80">
        <v>2.33032</v>
      </c>
      <c r="JT80">
        <v>33.513</v>
      </c>
      <c r="JU80">
        <v>24.1225</v>
      </c>
      <c r="JV80">
        <v>18</v>
      </c>
      <c r="JW80">
        <v>503.146</v>
      </c>
      <c r="JX80">
        <v>791.196</v>
      </c>
      <c r="JY80">
        <v>19.269</v>
      </c>
      <c r="JZ80">
        <v>31.2835</v>
      </c>
      <c r="KA80">
        <v>30.0018</v>
      </c>
      <c r="KB80">
        <v>31.2009</v>
      </c>
      <c r="KC80">
        <v>31.118</v>
      </c>
      <c r="KD80">
        <v>25.1077</v>
      </c>
      <c r="KE80">
        <v>15.453</v>
      </c>
      <c r="KF80">
        <v>18.7491</v>
      </c>
      <c r="KG80">
        <v>18.4991</v>
      </c>
      <c r="KH80">
        <v>420</v>
      </c>
      <c r="KI80">
        <v>7.60944</v>
      </c>
      <c r="KJ80">
        <v>96.0158</v>
      </c>
      <c r="KK80">
        <v>93.8748</v>
      </c>
    </row>
    <row r="81" spans="1:297">
      <c r="A81">
        <v>65</v>
      </c>
      <c r="B81">
        <v>1761687891</v>
      </c>
      <c r="C81">
        <v>10541.9000000954</v>
      </c>
      <c r="D81" t="s">
        <v>652</v>
      </c>
      <c r="E81" t="s">
        <v>653</v>
      </c>
      <c r="F81">
        <v>5</v>
      </c>
      <c r="G81" t="s">
        <v>641</v>
      </c>
      <c r="H81" t="s">
        <v>436</v>
      </c>
      <c r="I81">
        <v>1761687882.5</v>
      </c>
      <c r="J81">
        <f>(K81)/1000</f>
        <v>0</v>
      </c>
      <c r="K81">
        <f>IF(DP81, AN81, AH81)</f>
        <v>0</v>
      </c>
      <c r="L81">
        <f>IF(DP81, AI81, AG81)</f>
        <v>0</v>
      </c>
      <c r="M81">
        <f>DR81 - IF(AU81&gt;1, L81*DL81*100.0/(AW81), 0)</f>
        <v>0</v>
      </c>
      <c r="N81">
        <f>((T81-J81/2)*M81-L81)/(T81+J81/2)</f>
        <v>0</v>
      </c>
      <c r="O81">
        <f>N81*(DY81+DZ81)/1000.0</f>
        <v>0</v>
      </c>
      <c r="P81">
        <f>(DR81 - IF(AU81&gt;1, L81*DL81*100.0/(AW81), 0))*(DY81+DZ81)/1000.0</f>
        <v>0</v>
      </c>
      <c r="Q81">
        <f>2.0/((1/S81-1/R81)+SIGN(S81)*SQRT((1/S81-1/R81)*(1/S81-1/R81) + 4*DM81/((DM81+1)*(DM81+1))*(2*1/S81*1/R81-1/R81*1/R81)))</f>
        <v>0</v>
      </c>
      <c r="R81">
        <f>IF(LEFT(DN81,1)&lt;&gt;"0",IF(LEFT(DN81,1)="1",3.0,DO81),$D$5+$E$5*(EF81*DY81/($K$5*1000))+$F$5*(EF81*DY81/($K$5*1000))*MAX(MIN(DL81,$J$5),$I$5)*MAX(MIN(DL81,$J$5),$I$5)+$G$5*MAX(MIN(DL81,$J$5),$I$5)*(EF81*DY81/($K$5*1000))+$H$5*(EF81*DY81/($K$5*1000))*(EF81*DY81/($K$5*1000)))</f>
        <v>0</v>
      </c>
      <c r="S81">
        <f>J81*(1000-(1000*0.61365*exp(17.502*W81/(240.97+W81))/(DY81+DZ81)+DT81)/2)/(1000*0.61365*exp(17.502*W81/(240.97+W81))/(DY81+DZ81)-DT81)</f>
        <v>0</v>
      </c>
      <c r="T81">
        <f>1/((DM81+1)/(Q81/1.6)+1/(R81/1.37)) + DM81/((DM81+1)/(Q81/1.6) + DM81/(R81/1.37))</f>
        <v>0</v>
      </c>
      <c r="U81">
        <f>(DH81*DK81)</f>
        <v>0</v>
      </c>
      <c r="V81">
        <f>(EA81+(U81+2*0.95*5.67E-8*(((EA81+$B$7)+273)^4-(EA81+273)^4)-44100*J81)/(1.84*29.3*R81+8*0.95*5.67E-8*(EA81+273)^3))</f>
        <v>0</v>
      </c>
      <c r="W81">
        <f>($C$7*EB81+$D$7*EC81+$E$7*V81)</f>
        <v>0</v>
      </c>
      <c r="X81">
        <f>0.61365*exp(17.502*W81/(240.97+W81))</f>
        <v>0</v>
      </c>
      <c r="Y81">
        <f>(Z81/AA81*100)</f>
        <v>0</v>
      </c>
      <c r="Z81">
        <f>DT81*(DY81+DZ81)/1000</f>
        <v>0</v>
      </c>
      <c r="AA81">
        <f>0.61365*exp(17.502*EA81/(240.97+EA81))</f>
        <v>0</v>
      </c>
      <c r="AB81">
        <f>(X81-DT81*(DY81+DZ81)/1000)</f>
        <v>0</v>
      </c>
      <c r="AC81">
        <f>(-J81*44100)</f>
        <v>0</v>
      </c>
      <c r="AD81">
        <f>2*29.3*R81*0.92*(EA81-W81)</f>
        <v>0</v>
      </c>
      <c r="AE81">
        <f>2*0.95*5.67E-8*(((EA81+$B$7)+273)^4-(W81+273)^4)</f>
        <v>0</v>
      </c>
      <c r="AF81">
        <f>U81+AE81+AC81+AD81</f>
        <v>0</v>
      </c>
      <c r="AG81">
        <f>DX81*AU81*(DS81-DR81*(1000-AU81*DU81)/(1000-AU81*DT81))/(100*DL81)</f>
        <v>0</v>
      </c>
      <c r="AH81">
        <f>1000*DX81*AU81*(DT81-DU81)/(100*DL81*(1000-AU81*DT81))</f>
        <v>0</v>
      </c>
      <c r="AI81">
        <f>(AJ81 - AK81 - DY81*1E3/(8.314*(EA81+273.15)) * AM81/DX81 * AL81) * DX81/(100*DL81) * (1000 - DU81)/1000</f>
        <v>0</v>
      </c>
      <c r="AJ81">
        <v>423.239340373624</v>
      </c>
      <c r="AK81">
        <v>419.082218181818</v>
      </c>
      <c r="AL81">
        <v>1.21225303539784e-05</v>
      </c>
      <c r="AM81">
        <v>64.1904395983722</v>
      </c>
      <c r="AN81">
        <f>(AP81 - AO81 + DY81*1E3/(8.314*(EA81+273.15)) * AR81/DX81 * AQ81) * DX81/(100*DL81) * 1000/(1000 - AP81)</f>
        <v>0</v>
      </c>
      <c r="AO81">
        <v>7.62942312564935</v>
      </c>
      <c r="AP81">
        <v>8.56702846153846</v>
      </c>
      <c r="AQ81">
        <v>1.50644508432935e-05</v>
      </c>
      <c r="AR81">
        <v>109.12</v>
      </c>
      <c r="AS81">
        <v>0</v>
      </c>
      <c r="AT81">
        <v>0</v>
      </c>
      <c r="AU81">
        <f>IF(AS81*$H$13&gt;=AW81,1.0,(AW81/(AW81-AS81*$H$13)))</f>
        <v>0</v>
      </c>
      <c r="AV81">
        <f>(AU81-1)*100</f>
        <v>0</v>
      </c>
      <c r="AW81">
        <f>MAX(0,($B$13+$C$13*EF81)/(1+$D$13*EF81)*DY81/(EA81+273)*$E$13)</f>
        <v>0</v>
      </c>
      <c r="AX81" t="s">
        <v>637</v>
      </c>
      <c r="AY81">
        <v>5102.67</v>
      </c>
      <c r="AZ81">
        <v>719.180769230769</v>
      </c>
      <c r="BA81">
        <v>1747.50569204175</v>
      </c>
      <c r="BB81">
        <f>1-AZ81/BA81</f>
        <v>0</v>
      </c>
      <c r="BC81">
        <v>-2.06255575300684</v>
      </c>
      <c r="BD81" t="s">
        <v>654</v>
      </c>
      <c r="BE81">
        <v>5142.95</v>
      </c>
      <c r="BF81">
        <v>1355.9084</v>
      </c>
      <c r="BG81">
        <v>1525.74516565729</v>
      </c>
      <c r="BH81">
        <f>1-BF81/BG81</f>
        <v>0</v>
      </c>
      <c r="BI81">
        <v>0.5</v>
      </c>
      <c r="BJ81">
        <f>DI81</f>
        <v>0</v>
      </c>
      <c r="BK81">
        <f>L81</f>
        <v>0</v>
      </c>
      <c r="BL81">
        <f>BH81*BI81*BJ81</f>
        <v>0</v>
      </c>
      <c r="BM81">
        <f>(BK81-BC81)/BJ81</f>
        <v>0</v>
      </c>
      <c r="BN81">
        <f>(BA81-BG81)/BG81</f>
        <v>0</v>
      </c>
      <c r="BO81">
        <f>AZ81/(BB81+AZ81/BG81)</f>
        <v>0</v>
      </c>
      <c r="BP81" t="s">
        <v>655</v>
      </c>
      <c r="BQ81">
        <v>823.2</v>
      </c>
      <c r="BR81">
        <f>IF(BQ81&lt;&gt;0, BQ81, BO81)</f>
        <v>0</v>
      </c>
      <c r="BS81">
        <f>1-BR81/BG81</f>
        <v>0</v>
      </c>
      <c r="BT81">
        <f>(BG81-BF81)/(BG81-BR81)</f>
        <v>0</v>
      </c>
      <c r="BU81">
        <f>(BA81-BG81)/(BA81-BR81)</f>
        <v>0</v>
      </c>
      <c r="BV81">
        <f>(BG81-BF81)/(BG81-AZ81)</f>
        <v>0</v>
      </c>
      <c r="BW81">
        <f>(BA81-BG81)/(BA81-AZ81)</f>
        <v>0</v>
      </c>
      <c r="BX81">
        <f>(BT81*BR81/BF81)</f>
        <v>0</v>
      </c>
      <c r="BY81">
        <f>(1-BX81)</f>
        <v>0</v>
      </c>
      <c r="BZ81">
        <v>74</v>
      </c>
      <c r="CA81">
        <v>290</v>
      </c>
      <c r="CB81">
        <v>1491.75</v>
      </c>
      <c r="CC81">
        <v>105</v>
      </c>
      <c r="CD81">
        <v>5142.95</v>
      </c>
      <c r="CE81">
        <v>1490.26</v>
      </c>
      <c r="CF81">
        <v>1.49</v>
      </c>
      <c r="CG81">
        <v>300</v>
      </c>
      <c r="CH81">
        <v>23.8</v>
      </c>
      <c r="CI81">
        <v>1525.74516565729</v>
      </c>
      <c r="CJ81">
        <v>1.71711806305997</v>
      </c>
      <c r="CK81">
        <v>-18.2487402163046</v>
      </c>
      <c r="CL81">
        <v>0.787039313045724</v>
      </c>
      <c r="CM81">
        <v>0.95049653005366</v>
      </c>
      <c r="CN81">
        <v>-0.00349343559510567</v>
      </c>
      <c r="CO81">
        <v>290</v>
      </c>
      <c r="CP81">
        <v>1488.65</v>
      </c>
      <c r="CQ81">
        <v>615</v>
      </c>
      <c r="CR81">
        <v>5139.69</v>
      </c>
      <c r="CS81">
        <v>1490.24</v>
      </c>
      <c r="CT81">
        <v>-1.59</v>
      </c>
      <c r="DH81">
        <f>$B$11*EG81+$C$11*EH81+$F$11*ES81*(1-EV81)</f>
        <v>0</v>
      </c>
      <c r="DI81">
        <f>DH81*DJ81</f>
        <v>0</v>
      </c>
      <c r="DJ81">
        <f>($B$11*$D$9+$C$11*$D$9+$F$11*((FF81+EX81)/MAX(FF81+EX81+FG81, 0.1)*$I$9+FG81/MAX(FF81+EX81+FG81, 0.1)*$J$9))/($B$11+$C$11+$F$11)</f>
        <v>0</v>
      </c>
      <c r="DK81">
        <f>($B$11*$K$9+$C$11*$K$9+$F$11*((FF81+EX81)/MAX(FF81+EX81+FG81, 0.1)*$P$9+FG81/MAX(FF81+EX81+FG81, 0.1)*$Q$9))/($B$11+$C$11+$F$11)</f>
        <v>0</v>
      </c>
      <c r="DL81">
        <v>6</v>
      </c>
      <c r="DM81">
        <v>0.5</v>
      </c>
      <c r="DN81" t="s">
        <v>440</v>
      </c>
      <c r="DO81">
        <v>2</v>
      </c>
      <c r="DP81" t="b">
        <v>1</v>
      </c>
      <c r="DQ81">
        <v>1761687882.5</v>
      </c>
      <c r="DR81">
        <v>415.4889375</v>
      </c>
      <c r="DS81">
        <v>420.0019375</v>
      </c>
      <c r="DT81">
        <v>8.5598075</v>
      </c>
      <c r="DU81">
        <v>7.62820125</v>
      </c>
      <c r="DV81">
        <v>412.5908125</v>
      </c>
      <c r="DW81">
        <v>8.666674375</v>
      </c>
      <c r="DX81">
        <v>499.9850625</v>
      </c>
      <c r="DY81">
        <v>90.9952125</v>
      </c>
      <c r="DZ81">
        <v>0.0231091375</v>
      </c>
      <c r="EA81">
        <v>23.90049375</v>
      </c>
      <c r="EB81">
        <v>23.8719625</v>
      </c>
      <c r="EC81">
        <v>999.9</v>
      </c>
      <c r="ED81">
        <v>0</v>
      </c>
      <c r="EE81">
        <v>0</v>
      </c>
      <c r="EF81">
        <v>9998.675</v>
      </c>
      <c r="EG81">
        <v>0</v>
      </c>
      <c r="EH81">
        <v>1270.888125</v>
      </c>
      <c r="EI81">
        <v>-4.512984375</v>
      </c>
      <c r="EJ81">
        <v>419.076125</v>
      </c>
      <c r="EK81">
        <v>423.2305</v>
      </c>
      <c r="EL81">
        <v>0.9316060625</v>
      </c>
      <c r="EM81">
        <v>420.0019375</v>
      </c>
      <c r="EN81">
        <v>7.62820125</v>
      </c>
      <c r="EO81">
        <v>0.7789015625</v>
      </c>
      <c r="EP81">
        <v>0.6941298125</v>
      </c>
      <c r="EQ81">
        <v>3.328496875</v>
      </c>
      <c r="ER81">
        <v>1.708736875</v>
      </c>
      <c r="ES81">
        <v>899.990875</v>
      </c>
      <c r="ET81">
        <v>0.956007</v>
      </c>
      <c r="EU81">
        <v>0.04399285</v>
      </c>
      <c r="EV81">
        <v>0</v>
      </c>
      <c r="EW81">
        <v>1355.92375</v>
      </c>
      <c r="EX81">
        <v>5.00059</v>
      </c>
      <c r="EY81">
        <v>12074.1375</v>
      </c>
      <c r="EZ81">
        <v>7732.745</v>
      </c>
      <c r="FA81">
        <v>39.68725</v>
      </c>
      <c r="FB81">
        <v>41.53875</v>
      </c>
      <c r="FC81">
        <v>40.1405</v>
      </c>
      <c r="FD81">
        <v>40.9215</v>
      </c>
      <c r="FE81">
        <v>40.7965</v>
      </c>
      <c r="FF81">
        <v>855.61625</v>
      </c>
      <c r="FG81">
        <v>39.37</v>
      </c>
      <c r="FH81">
        <v>0</v>
      </c>
      <c r="FI81">
        <v>128.200000047684</v>
      </c>
      <c r="FJ81">
        <v>0</v>
      </c>
      <c r="FK81">
        <v>1355.9084</v>
      </c>
      <c r="FL81">
        <v>0.164615385349121</v>
      </c>
      <c r="FM81">
        <v>-12.0153846007028</v>
      </c>
      <c r="FN81">
        <v>12073.944</v>
      </c>
      <c r="FO81">
        <v>15</v>
      </c>
      <c r="FP81">
        <v>0</v>
      </c>
      <c r="FQ81" t="s">
        <v>441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-4.53367666666667</v>
      </c>
      <c r="GD81">
        <v>0.237106753246745</v>
      </c>
      <c r="GE81">
        <v>0.034592971806607</v>
      </c>
      <c r="GF81">
        <v>1</v>
      </c>
      <c r="GG81">
        <v>1355.89147058824</v>
      </c>
      <c r="GH81">
        <v>0.590527117599928</v>
      </c>
      <c r="GI81">
        <v>0.197515931642458</v>
      </c>
      <c r="GJ81">
        <v>-1</v>
      </c>
      <c r="GK81">
        <v>0.929296761904762</v>
      </c>
      <c r="GL81">
        <v>0.0403954285714285</v>
      </c>
      <c r="GM81">
        <v>0.00412248131365152</v>
      </c>
      <c r="GN81">
        <v>1</v>
      </c>
      <c r="GO81">
        <v>2</v>
      </c>
      <c r="GP81">
        <v>2</v>
      </c>
      <c r="GQ81" t="s">
        <v>442</v>
      </c>
      <c r="GR81">
        <v>3.12807</v>
      </c>
      <c r="GS81">
        <v>2.70105</v>
      </c>
      <c r="GT81">
        <v>0.0883069</v>
      </c>
      <c r="GU81">
        <v>0.0896528</v>
      </c>
      <c r="GV81">
        <v>0.0474296</v>
      </c>
      <c r="GW81">
        <v>0.0433068</v>
      </c>
      <c r="GX81">
        <v>34105.5</v>
      </c>
      <c r="GY81">
        <v>36454.2</v>
      </c>
      <c r="GZ81">
        <v>33863.2</v>
      </c>
      <c r="HA81">
        <v>36274.5</v>
      </c>
      <c r="HB81">
        <v>45595.2</v>
      </c>
      <c r="HC81">
        <v>49805.2</v>
      </c>
      <c r="HD81">
        <v>52824.9</v>
      </c>
      <c r="HE81">
        <v>57929.9</v>
      </c>
      <c r="HF81">
        <v>1.91348</v>
      </c>
      <c r="HG81">
        <v>2.285</v>
      </c>
      <c r="HH81">
        <v>0.0274554</v>
      </c>
      <c r="HI81">
        <v>0</v>
      </c>
      <c r="HJ81">
        <v>23.4647</v>
      </c>
      <c r="HK81">
        <v>999.9</v>
      </c>
      <c r="HL81">
        <v>23.617</v>
      </c>
      <c r="HM81">
        <v>29.89</v>
      </c>
      <c r="HN81">
        <v>10.9875</v>
      </c>
      <c r="HO81">
        <v>54.4439</v>
      </c>
      <c r="HP81">
        <v>30.8173</v>
      </c>
      <c r="HQ81">
        <v>2</v>
      </c>
      <c r="HR81">
        <v>0.304266</v>
      </c>
      <c r="HS81">
        <v>3.10667</v>
      </c>
      <c r="HT81">
        <v>20.1142</v>
      </c>
      <c r="HU81">
        <v>5.19917</v>
      </c>
      <c r="HV81">
        <v>12.0041</v>
      </c>
      <c r="HW81">
        <v>4.97365</v>
      </c>
      <c r="HX81">
        <v>3.294</v>
      </c>
      <c r="HY81">
        <v>9999</v>
      </c>
      <c r="HZ81">
        <v>9999</v>
      </c>
      <c r="IA81">
        <v>9999</v>
      </c>
      <c r="IB81">
        <v>999.9</v>
      </c>
      <c r="IC81">
        <v>1.86325</v>
      </c>
      <c r="ID81">
        <v>1.86813</v>
      </c>
      <c r="IE81">
        <v>1.86786</v>
      </c>
      <c r="IF81">
        <v>1.86905</v>
      </c>
      <c r="IG81">
        <v>1.86982</v>
      </c>
      <c r="IH81">
        <v>1.86585</v>
      </c>
      <c r="II81">
        <v>1.867</v>
      </c>
      <c r="IJ81">
        <v>1.86844</v>
      </c>
      <c r="IK81">
        <v>5</v>
      </c>
      <c r="IL81">
        <v>0</v>
      </c>
      <c r="IM81">
        <v>0</v>
      </c>
      <c r="IN81">
        <v>0</v>
      </c>
      <c r="IO81" t="s">
        <v>443</v>
      </c>
      <c r="IP81" t="s">
        <v>444</v>
      </c>
      <c r="IQ81" t="s">
        <v>445</v>
      </c>
      <c r="IR81" t="s">
        <v>445</v>
      </c>
      <c r="IS81" t="s">
        <v>445</v>
      </c>
      <c r="IT81" t="s">
        <v>445</v>
      </c>
      <c r="IU81">
        <v>0</v>
      </c>
      <c r="IV81">
        <v>100</v>
      </c>
      <c r="IW81">
        <v>100</v>
      </c>
      <c r="IX81">
        <v>2.898</v>
      </c>
      <c r="IY81">
        <v>-0.1067</v>
      </c>
      <c r="IZ81">
        <v>1.24656194001752</v>
      </c>
      <c r="JA81">
        <v>0.00408463137630218</v>
      </c>
      <c r="JB81">
        <v>-2.23906557180379e-07</v>
      </c>
      <c r="JC81">
        <v>6.23399102760906e-11</v>
      </c>
      <c r="JD81">
        <v>-0.0873394905990972</v>
      </c>
      <c r="JE81">
        <v>-0.0233348201324191</v>
      </c>
      <c r="JF81">
        <v>0.00274696999164489</v>
      </c>
      <c r="JG81">
        <v>-3.62864435074646e-05</v>
      </c>
      <c r="JH81">
        <v>5</v>
      </c>
      <c r="JI81">
        <v>2263</v>
      </c>
      <c r="JJ81">
        <v>1</v>
      </c>
      <c r="JK81">
        <v>24</v>
      </c>
      <c r="JL81">
        <v>29361464.9</v>
      </c>
      <c r="JM81">
        <v>29361464.9</v>
      </c>
      <c r="JN81">
        <v>1.25366</v>
      </c>
      <c r="JO81">
        <v>2.62329</v>
      </c>
      <c r="JP81">
        <v>2.19849</v>
      </c>
      <c r="JQ81">
        <v>2.62573</v>
      </c>
      <c r="JR81">
        <v>2.44507</v>
      </c>
      <c r="JS81">
        <v>2.28882</v>
      </c>
      <c r="JT81">
        <v>33.513</v>
      </c>
      <c r="JU81">
        <v>24.1926</v>
      </c>
      <c r="JV81">
        <v>18</v>
      </c>
      <c r="JW81">
        <v>503.027</v>
      </c>
      <c r="JX81">
        <v>791.601</v>
      </c>
      <c r="JY81">
        <v>19.3462</v>
      </c>
      <c r="JZ81">
        <v>31.2391</v>
      </c>
      <c r="KA81">
        <v>29.9999</v>
      </c>
      <c r="KB81">
        <v>31.1765</v>
      </c>
      <c r="KC81">
        <v>31.0986</v>
      </c>
      <c r="KD81">
        <v>25.1088</v>
      </c>
      <c r="KE81">
        <v>14.6177</v>
      </c>
      <c r="KF81">
        <v>18.7491</v>
      </c>
      <c r="KG81">
        <v>19.3611</v>
      </c>
      <c r="KH81">
        <v>420</v>
      </c>
      <c r="KI81">
        <v>7.65697</v>
      </c>
      <c r="KJ81">
        <v>96.0256</v>
      </c>
      <c r="KK81">
        <v>93.8871</v>
      </c>
    </row>
    <row r="82" spans="1:297">
      <c r="A82">
        <v>66</v>
      </c>
      <c r="B82">
        <v>1761687961</v>
      </c>
      <c r="C82">
        <v>10611.9000000954</v>
      </c>
      <c r="D82" t="s">
        <v>656</v>
      </c>
      <c r="E82" t="s">
        <v>657</v>
      </c>
      <c r="F82">
        <v>5</v>
      </c>
      <c r="G82" t="s">
        <v>641</v>
      </c>
      <c r="H82" t="s">
        <v>436</v>
      </c>
      <c r="I82">
        <v>1761687952.5</v>
      </c>
      <c r="J82">
        <f>(K82)/1000</f>
        <v>0</v>
      </c>
      <c r="K82">
        <f>IF(DP82, AN82, AH82)</f>
        <v>0</v>
      </c>
      <c r="L82">
        <f>IF(DP82, AI82, AG82)</f>
        <v>0</v>
      </c>
      <c r="M82">
        <f>DR82 - IF(AU82&gt;1, L82*DL82*100.0/(AW82), 0)</f>
        <v>0</v>
      </c>
      <c r="N82">
        <f>((T82-J82/2)*M82-L82)/(T82+J82/2)</f>
        <v>0</v>
      </c>
      <c r="O82">
        <f>N82*(DY82+DZ82)/1000.0</f>
        <v>0</v>
      </c>
      <c r="P82">
        <f>(DR82 - IF(AU82&gt;1, L82*DL82*100.0/(AW82), 0))*(DY82+DZ82)/1000.0</f>
        <v>0</v>
      </c>
      <c r="Q82">
        <f>2.0/((1/S82-1/R82)+SIGN(S82)*SQRT((1/S82-1/R82)*(1/S82-1/R82) + 4*DM82/((DM82+1)*(DM82+1))*(2*1/S82*1/R82-1/R82*1/R82)))</f>
        <v>0</v>
      </c>
      <c r="R82">
        <f>IF(LEFT(DN82,1)&lt;&gt;"0",IF(LEFT(DN82,1)="1",3.0,DO82),$D$5+$E$5*(EF82*DY82/($K$5*1000))+$F$5*(EF82*DY82/($K$5*1000))*MAX(MIN(DL82,$J$5),$I$5)*MAX(MIN(DL82,$J$5),$I$5)+$G$5*MAX(MIN(DL82,$J$5),$I$5)*(EF82*DY82/($K$5*1000))+$H$5*(EF82*DY82/($K$5*1000))*(EF82*DY82/($K$5*1000)))</f>
        <v>0</v>
      </c>
      <c r="S82">
        <f>J82*(1000-(1000*0.61365*exp(17.502*W82/(240.97+W82))/(DY82+DZ82)+DT82)/2)/(1000*0.61365*exp(17.502*W82/(240.97+W82))/(DY82+DZ82)-DT82)</f>
        <v>0</v>
      </c>
      <c r="T82">
        <f>1/((DM82+1)/(Q82/1.6)+1/(R82/1.37)) + DM82/((DM82+1)/(Q82/1.6) + DM82/(R82/1.37))</f>
        <v>0</v>
      </c>
      <c r="U82">
        <f>(DH82*DK82)</f>
        <v>0</v>
      </c>
      <c r="V82">
        <f>(EA82+(U82+2*0.95*5.67E-8*(((EA82+$B$7)+273)^4-(EA82+273)^4)-44100*J82)/(1.84*29.3*R82+8*0.95*5.67E-8*(EA82+273)^3))</f>
        <v>0</v>
      </c>
      <c r="W82">
        <f>($C$7*EB82+$D$7*EC82+$E$7*V82)</f>
        <v>0</v>
      </c>
      <c r="X82">
        <f>0.61365*exp(17.502*W82/(240.97+W82))</f>
        <v>0</v>
      </c>
      <c r="Y82">
        <f>(Z82/AA82*100)</f>
        <v>0</v>
      </c>
      <c r="Z82">
        <f>DT82*(DY82+DZ82)/1000</f>
        <v>0</v>
      </c>
      <c r="AA82">
        <f>0.61365*exp(17.502*EA82/(240.97+EA82))</f>
        <v>0</v>
      </c>
      <c r="AB82">
        <f>(X82-DT82*(DY82+DZ82)/1000)</f>
        <v>0</v>
      </c>
      <c r="AC82">
        <f>(-J82*44100)</f>
        <v>0</v>
      </c>
      <c r="AD82">
        <f>2*29.3*R82*0.92*(EA82-W82)</f>
        <v>0</v>
      </c>
      <c r="AE82">
        <f>2*0.95*5.67E-8*(((EA82+$B$7)+273)^4-(W82+273)^4)</f>
        <v>0</v>
      </c>
      <c r="AF82">
        <f>U82+AE82+AC82+AD82</f>
        <v>0</v>
      </c>
      <c r="AG82">
        <f>DX82*AU82*(DS82-DR82*(1000-AU82*DU82)/(1000-AU82*DT82))/(100*DL82)</f>
        <v>0</v>
      </c>
      <c r="AH82">
        <f>1000*DX82*AU82*(DT82-DU82)/(100*DL82*(1000-AU82*DT82))</f>
        <v>0</v>
      </c>
      <c r="AI82">
        <f>(AJ82 - AK82 - DY82*1E3/(8.314*(EA82+273.15)) * AM82/DX82 * AL82) * DX82/(100*DL82) * (1000 - DU82)/1000</f>
        <v>0</v>
      </c>
      <c r="AJ82">
        <v>423.243364890229</v>
      </c>
      <c r="AK82">
        <v>419.429109090909</v>
      </c>
      <c r="AL82">
        <v>0.000347182168769852</v>
      </c>
      <c r="AM82">
        <v>64.1904395983722</v>
      </c>
      <c r="AN82">
        <f>(AP82 - AO82 + DY82*1E3/(8.314*(EA82+273.15)) * AR82/DX82 * AQ82) * DX82/(100*DL82) * 1000/(1000 - AP82)</f>
        <v>0</v>
      </c>
      <c r="AO82">
        <v>7.77641991569264</v>
      </c>
      <c r="AP82">
        <v>8.66760391608392</v>
      </c>
      <c r="AQ82">
        <v>2.80985131791298e-05</v>
      </c>
      <c r="AR82">
        <v>109.12</v>
      </c>
      <c r="AS82">
        <v>0</v>
      </c>
      <c r="AT82">
        <v>0</v>
      </c>
      <c r="AU82">
        <f>IF(AS82*$H$13&gt;=AW82,1.0,(AW82/(AW82-AS82*$H$13)))</f>
        <v>0</v>
      </c>
      <c r="AV82">
        <f>(AU82-1)*100</f>
        <v>0</v>
      </c>
      <c r="AW82">
        <f>MAX(0,($B$13+$C$13*EF82)/(1+$D$13*EF82)*DY82/(EA82+273)*$E$13)</f>
        <v>0</v>
      </c>
      <c r="AX82" t="s">
        <v>448</v>
      </c>
      <c r="AY82" t="s">
        <v>448</v>
      </c>
      <c r="AZ82">
        <v>0</v>
      </c>
      <c r="BA82">
        <v>0</v>
      </c>
      <c r="BB82">
        <f>1-AZ82/BA82</f>
        <v>0</v>
      </c>
      <c r="BC82">
        <v>0</v>
      </c>
      <c r="BD82" t="s">
        <v>448</v>
      </c>
      <c r="BE82" t="s">
        <v>448</v>
      </c>
      <c r="BF82">
        <v>0</v>
      </c>
      <c r="BG82">
        <v>0</v>
      </c>
      <c r="BH82">
        <f>1-BF82/BG82</f>
        <v>0</v>
      </c>
      <c r="BI82">
        <v>0.5</v>
      </c>
      <c r="BJ82">
        <f>DI82</f>
        <v>0</v>
      </c>
      <c r="BK82">
        <f>L82</f>
        <v>0</v>
      </c>
      <c r="BL82">
        <f>BH82*BI82*BJ82</f>
        <v>0</v>
      </c>
      <c r="BM82">
        <f>(BK82-BC82)/BJ82</f>
        <v>0</v>
      </c>
      <c r="BN82">
        <f>(BA82-BG82)/BG82</f>
        <v>0</v>
      </c>
      <c r="BO82">
        <f>AZ82/(BB82+AZ82/BG82)</f>
        <v>0</v>
      </c>
      <c r="BP82" t="s">
        <v>448</v>
      </c>
      <c r="BQ82">
        <v>0</v>
      </c>
      <c r="BR82">
        <f>IF(BQ82&lt;&gt;0, BQ82, BO82)</f>
        <v>0</v>
      </c>
      <c r="BS82">
        <f>1-BR82/BG82</f>
        <v>0</v>
      </c>
      <c r="BT82">
        <f>(BG82-BF82)/(BG82-BR82)</f>
        <v>0</v>
      </c>
      <c r="BU82">
        <f>(BA82-BG82)/(BA82-BR82)</f>
        <v>0</v>
      </c>
      <c r="BV82">
        <f>(BG82-BF82)/(BG82-AZ82)</f>
        <v>0</v>
      </c>
      <c r="BW82">
        <f>(BA82-BG82)/(BA82-AZ82)</f>
        <v>0</v>
      </c>
      <c r="BX82">
        <f>(BT82*BR82/BF82)</f>
        <v>0</v>
      </c>
      <c r="BY82">
        <f>(1-BX82)</f>
        <v>0</v>
      </c>
      <c r="BZ82">
        <v>74</v>
      </c>
      <c r="CA82">
        <v>290</v>
      </c>
      <c r="CB82">
        <v>1491.75</v>
      </c>
      <c r="CC82">
        <v>105</v>
      </c>
      <c r="CD82">
        <v>5142.95</v>
      </c>
      <c r="CE82">
        <v>1490.26</v>
      </c>
      <c r="CF82">
        <v>1.49</v>
      </c>
      <c r="CG82">
        <v>300</v>
      </c>
      <c r="CH82">
        <v>23.8</v>
      </c>
      <c r="CI82">
        <v>1525.74516565729</v>
      </c>
      <c r="CJ82">
        <v>1.71711806305997</v>
      </c>
      <c r="CK82">
        <v>-18.2487402163046</v>
      </c>
      <c r="CL82">
        <v>0.787039313045724</v>
      </c>
      <c r="CM82">
        <v>0.95049653005366</v>
      </c>
      <c r="CN82">
        <v>-0.00349343559510567</v>
      </c>
      <c r="CO82">
        <v>290</v>
      </c>
      <c r="CP82">
        <v>1488.65</v>
      </c>
      <c r="CQ82">
        <v>615</v>
      </c>
      <c r="CR82">
        <v>5139.69</v>
      </c>
      <c r="CS82">
        <v>1490.24</v>
      </c>
      <c r="CT82">
        <v>-1.59</v>
      </c>
      <c r="DH82">
        <f>$B$11*EG82+$C$11*EH82+$F$11*ES82*(1-EV82)</f>
        <v>0</v>
      </c>
      <c r="DI82">
        <f>DH82*DJ82</f>
        <v>0</v>
      </c>
      <c r="DJ82">
        <f>($B$11*$D$9+$C$11*$D$9+$F$11*((FF82+EX82)/MAX(FF82+EX82+FG82, 0.1)*$I$9+FG82/MAX(FF82+EX82+FG82, 0.1)*$J$9))/($B$11+$C$11+$F$11)</f>
        <v>0</v>
      </c>
      <c r="DK82">
        <f>($B$11*$K$9+$C$11*$K$9+$F$11*((FF82+EX82)/MAX(FF82+EX82+FG82, 0.1)*$P$9+FG82/MAX(FF82+EX82+FG82, 0.1)*$Q$9))/($B$11+$C$11+$F$11)</f>
        <v>0</v>
      </c>
      <c r="DL82">
        <v>6</v>
      </c>
      <c r="DM82">
        <v>0.5</v>
      </c>
      <c r="DN82" t="s">
        <v>440</v>
      </c>
      <c r="DO82">
        <v>2</v>
      </c>
      <c r="DP82" t="b">
        <v>1</v>
      </c>
      <c r="DQ82">
        <v>1761687952.5</v>
      </c>
      <c r="DR82">
        <v>415.7834375</v>
      </c>
      <c r="DS82">
        <v>419.9955625</v>
      </c>
      <c r="DT82">
        <v>8.6517425</v>
      </c>
      <c r="DU82">
        <v>7.76304625</v>
      </c>
      <c r="DV82">
        <v>412.8841875</v>
      </c>
      <c r="DW82">
        <v>8.75713875</v>
      </c>
      <c r="DX82">
        <v>499.994875</v>
      </c>
      <c r="DY82">
        <v>90.9905125</v>
      </c>
      <c r="DZ82">
        <v>0.022715925</v>
      </c>
      <c r="EA82">
        <v>24.1624375</v>
      </c>
      <c r="EB82">
        <v>23.92069375</v>
      </c>
      <c r="EC82">
        <v>999.9</v>
      </c>
      <c r="ED82">
        <v>0</v>
      </c>
      <c r="EE82">
        <v>0</v>
      </c>
      <c r="EF82">
        <v>9998.71125</v>
      </c>
      <c r="EG82">
        <v>0</v>
      </c>
      <c r="EH82">
        <v>1270.954375</v>
      </c>
      <c r="EI82">
        <v>-4.212118125</v>
      </c>
      <c r="EJ82">
        <v>419.4120625</v>
      </c>
      <c r="EK82">
        <v>423.2815625</v>
      </c>
      <c r="EL82">
        <v>0.88869725</v>
      </c>
      <c r="EM82">
        <v>419.9955625</v>
      </c>
      <c r="EN82">
        <v>7.76304625</v>
      </c>
      <c r="EO82">
        <v>0.7872265</v>
      </c>
      <c r="EP82">
        <v>0.7063635</v>
      </c>
      <c r="EQ82">
        <v>3.479031875</v>
      </c>
      <c r="ER82">
        <v>1.952925</v>
      </c>
      <c r="ES82">
        <v>600.0709375</v>
      </c>
      <c r="ET82">
        <v>0.932998625</v>
      </c>
      <c r="EU82">
        <v>0.0670016625</v>
      </c>
      <c r="EV82">
        <v>0</v>
      </c>
      <c r="EW82">
        <v>1282.8575</v>
      </c>
      <c r="EX82">
        <v>5.00059</v>
      </c>
      <c r="EY82">
        <v>7568.04375</v>
      </c>
      <c r="EZ82">
        <v>5106.114375</v>
      </c>
      <c r="FA82">
        <v>39.183375</v>
      </c>
      <c r="FB82">
        <v>41.409875</v>
      </c>
      <c r="FC82">
        <v>39.886625</v>
      </c>
      <c r="FD82">
        <v>40.812</v>
      </c>
      <c r="FE82">
        <v>40.4724375</v>
      </c>
      <c r="FF82">
        <v>555.2</v>
      </c>
      <c r="FG82">
        <v>39.870625</v>
      </c>
      <c r="FH82">
        <v>0</v>
      </c>
      <c r="FI82">
        <v>67</v>
      </c>
      <c r="FJ82">
        <v>0</v>
      </c>
      <c r="FK82">
        <v>1282.8348</v>
      </c>
      <c r="FL82">
        <v>0.1800000080021</v>
      </c>
      <c r="FM82">
        <v>-9.31461514508589</v>
      </c>
      <c r="FN82">
        <v>7566.888</v>
      </c>
      <c r="FO82">
        <v>15</v>
      </c>
      <c r="FP82">
        <v>0</v>
      </c>
      <c r="FQ82" t="s">
        <v>441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-4.21444952380952</v>
      </c>
      <c r="GD82">
        <v>0.203461558441559</v>
      </c>
      <c r="GE82">
        <v>0.036636737284055</v>
      </c>
      <c r="GF82">
        <v>1</v>
      </c>
      <c r="GG82">
        <v>1282.82617647059</v>
      </c>
      <c r="GH82">
        <v>0.109549278513388</v>
      </c>
      <c r="GI82">
        <v>0.160495825598677</v>
      </c>
      <c r="GJ82">
        <v>-1</v>
      </c>
      <c r="GK82">
        <v>0.891747523809524</v>
      </c>
      <c r="GL82">
        <v>-0.0708434025974028</v>
      </c>
      <c r="GM82">
        <v>0.00820582537921658</v>
      </c>
      <c r="GN82">
        <v>1</v>
      </c>
      <c r="GO82">
        <v>2</v>
      </c>
      <c r="GP82">
        <v>2</v>
      </c>
      <c r="GQ82" t="s">
        <v>442</v>
      </c>
      <c r="GR82">
        <v>3.12814</v>
      </c>
      <c r="GS82">
        <v>2.70084</v>
      </c>
      <c r="GT82">
        <v>0.0883529</v>
      </c>
      <c r="GU82">
        <v>0.0896584</v>
      </c>
      <c r="GV82">
        <v>0.0478845</v>
      </c>
      <c r="GW82">
        <v>0.0440173</v>
      </c>
      <c r="GX82">
        <v>34107.3</v>
      </c>
      <c r="GY82">
        <v>36458.4</v>
      </c>
      <c r="GZ82">
        <v>33866.5</v>
      </c>
      <c r="HA82">
        <v>36278.6</v>
      </c>
      <c r="HB82">
        <v>45577.5</v>
      </c>
      <c r="HC82">
        <v>49774</v>
      </c>
      <c r="HD82">
        <v>52829.7</v>
      </c>
      <c r="HE82">
        <v>57936.6</v>
      </c>
      <c r="HF82">
        <v>1.91422</v>
      </c>
      <c r="HG82">
        <v>2.28587</v>
      </c>
      <c r="HH82">
        <v>0.0182539</v>
      </c>
      <c r="HI82">
        <v>0</v>
      </c>
      <c r="HJ82">
        <v>23.653</v>
      </c>
      <c r="HK82">
        <v>999.9</v>
      </c>
      <c r="HL82">
        <v>23.642</v>
      </c>
      <c r="HM82">
        <v>29.89</v>
      </c>
      <c r="HN82">
        <v>11.0005</v>
      </c>
      <c r="HO82">
        <v>54.1339</v>
      </c>
      <c r="HP82">
        <v>30.7692</v>
      </c>
      <c r="HQ82">
        <v>2</v>
      </c>
      <c r="HR82">
        <v>0.298473</v>
      </c>
      <c r="HS82">
        <v>2.83045</v>
      </c>
      <c r="HT82">
        <v>20.1211</v>
      </c>
      <c r="HU82">
        <v>5.19917</v>
      </c>
      <c r="HV82">
        <v>12.0043</v>
      </c>
      <c r="HW82">
        <v>4.97555</v>
      </c>
      <c r="HX82">
        <v>3.294</v>
      </c>
      <c r="HY82">
        <v>9999</v>
      </c>
      <c r="HZ82">
        <v>9999</v>
      </c>
      <c r="IA82">
        <v>9999</v>
      </c>
      <c r="IB82">
        <v>999.9</v>
      </c>
      <c r="IC82">
        <v>1.86325</v>
      </c>
      <c r="ID82">
        <v>1.86813</v>
      </c>
      <c r="IE82">
        <v>1.86787</v>
      </c>
      <c r="IF82">
        <v>1.86905</v>
      </c>
      <c r="IG82">
        <v>1.86985</v>
      </c>
      <c r="IH82">
        <v>1.86589</v>
      </c>
      <c r="II82">
        <v>1.86704</v>
      </c>
      <c r="IJ82">
        <v>1.86844</v>
      </c>
      <c r="IK82">
        <v>5</v>
      </c>
      <c r="IL82">
        <v>0</v>
      </c>
      <c r="IM82">
        <v>0</v>
      </c>
      <c r="IN82">
        <v>0</v>
      </c>
      <c r="IO82" t="s">
        <v>443</v>
      </c>
      <c r="IP82" t="s">
        <v>444</v>
      </c>
      <c r="IQ82" t="s">
        <v>445</v>
      </c>
      <c r="IR82" t="s">
        <v>445</v>
      </c>
      <c r="IS82" t="s">
        <v>445</v>
      </c>
      <c r="IT82" t="s">
        <v>445</v>
      </c>
      <c r="IU82">
        <v>0</v>
      </c>
      <c r="IV82">
        <v>100</v>
      </c>
      <c r="IW82">
        <v>100</v>
      </c>
      <c r="IX82">
        <v>2.899</v>
      </c>
      <c r="IY82">
        <v>-0.1051</v>
      </c>
      <c r="IZ82">
        <v>1.24656194001752</v>
      </c>
      <c r="JA82">
        <v>0.00408463137630218</v>
      </c>
      <c r="JB82">
        <v>-2.23906557180379e-07</v>
      </c>
      <c r="JC82">
        <v>6.23399102760906e-11</v>
      </c>
      <c r="JD82">
        <v>-0.0873394905990972</v>
      </c>
      <c r="JE82">
        <v>-0.0233348201324191</v>
      </c>
      <c r="JF82">
        <v>0.00274696999164489</v>
      </c>
      <c r="JG82">
        <v>-3.62864435074646e-05</v>
      </c>
      <c r="JH82">
        <v>5</v>
      </c>
      <c r="JI82">
        <v>2263</v>
      </c>
      <c r="JJ82">
        <v>1</v>
      </c>
      <c r="JK82">
        <v>24</v>
      </c>
      <c r="JL82">
        <v>29361466</v>
      </c>
      <c r="JM82">
        <v>29361466</v>
      </c>
      <c r="JN82">
        <v>1.25366</v>
      </c>
      <c r="JO82">
        <v>2.61963</v>
      </c>
      <c r="JP82">
        <v>2.19849</v>
      </c>
      <c r="JQ82">
        <v>2.62573</v>
      </c>
      <c r="JR82">
        <v>2.44507</v>
      </c>
      <c r="JS82">
        <v>2.32666</v>
      </c>
      <c r="JT82">
        <v>33.5355</v>
      </c>
      <c r="JU82">
        <v>24.1926</v>
      </c>
      <c r="JV82">
        <v>18</v>
      </c>
      <c r="JW82">
        <v>503.259</v>
      </c>
      <c r="JX82">
        <v>792.062</v>
      </c>
      <c r="JY82">
        <v>20.2357</v>
      </c>
      <c r="JZ82">
        <v>31.1859</v>
      </c>
      <c r="KA82">
        <v>29.9999</v>
      </c>
      <c r="KB82">
        <v>31.1441</v>
      </c>
      <c r="KC82">
        <v>31.0713</v>
      </c>
      <c r="KD82">
        <v>25.1122</v>
      </c>
      <c r="KE82">
        <v>12.8322</v>
      </c>
      <c r="KF82">
        <v>18.7491</v>
      </c>
      <c r="KG82">
        <v>20.2541</v>
      </c>
      <c r="KH82">
        <v>420</v>
      </c>
      <c r="KI82">
        <v>7.85262</v>
      </c>
      <c r="KJ82">
        <v>96.0346</v>
      </c>
      <c r="KK82">
        <v>93.8978</v>
      </c>
    </row>
    <row r="83" spans="1:297">
      <c r="A83">
        <v>67</v>
      </c>
      <c r="B83">
        <v>1761688022</v>
      </c>
      <c r="C83">
        <v>10672.9000000954</v>
      </c>
      <c r="D83" t="s">
        <v>658</v>
      </c>
      <c r="E83" t="s">
        <v>659</v>
      </c>
      <c r="F83">
        <v>5</v>
      </c>
      <c r="G83" t="s">
        <v>641</v>
      </c>
      <c r="H83" t="s">
        <v>436</v>
      </c>
      <c r="I83">
        <v>1761688013.5</v>
      </c>
      <c r="J83">
        <f>(K83)/1000</f>
        <v>0</v>
      </c>
      <c r="K83">
        <f>IF(DP83, AN83, AH83)</f>
        <v>0</v>
      </c>
      <c r="L83">
        <f>IF(DP83, AI83, AG83)</f>
        <v>0</v>
      </c>
      <c r="M83">
        <f>DR83 - IF(AU83&gt;1, L83*DL83*100.0/(AW83), 0)</f>
        <v>0</v>
      </c>
      <c r="N83">
        <f>((T83-J83/2)*M83-L83)/(T83+J83/2)</f>
        <v>0</v>
      </c>
      <c r="O83">
        <f>N83*(DY83+DZ83)/1000.0</f>
        <v>0</v>
      </c>
      <c r="P83">
        <f>(DR83 - IF(AU83&gt;1, L83*DL83*100.0/(AW83), 0))*(DY83+DZ83)/1000.0</f>
        <v>0</v>
      </c>
      <c r="Q83">
        <f>2.0/((1/S83-1/R83)+SIGN(S83)*SQRT((1/S83-1/R83)*(1/S83-1/R83) + 4*DM83/((DM83+1)*(DM83+1))*(2*1/S83*1/R83-1/R83*1/R83)))</f>
        <v>0</v>
      </c>
      <c r="R83">
        <f>IF(LEFT(DN83,1)&lt;&gt;"0",IF(LEFT(DN83,1)="1",3.0,DO83),$D$5+$E$5*(EF83*DY83/($K$5*1000))+$F$5*(EF83*DY83/($K$5*1000))*MAX(MIN(DL83,$J$5),$I$5)*MAX(MIN(DL83,$J$5),$I$5)+$G$5*MAX(MIN(DL83,$J$5),$I$5)*(EF83*DY83/($K$5*1000))+$H$5*(EF83*DY83/($K$5*1000))*(EF83*DY83/($K$5*1000)))</f>
        <v>0</v>
      </c>
      <c r="S83">
        <f>J83*(1000-(1000*0.61365*exp(17.502*W83/(240.97+W83))/(DY83+DZ83)+DT83)/2)/(1000*0.61365*exp(17.502*W83/(240.97+W83))/(DY83+DZ83)-DT83)</f>
        <v>0</v>
      </c>
      <c r="T83">
        <f>1/((DM83+1)/(Q83/1.6)+1/(R83/1.37)) + DM83/((DM83+1)/(Q83/1.6) + DM83/(R83/1.37))</f>
        <v>0</v>
      </c>
      <c r="U83">
        <f>(DH83*DK83)</f>
        <v>0</v>
      </c>
      <c r="V83">
        <f>(EA83+(U83+2*0.95*5.67E-8*(((EA83+$B$7)+273)^4-(EA83+273)^4)-44100*J83)/(1.84*29.3*R83+8*0.95*5.67E-8*(EA83+273)^3))</f>
        <v>0</v>
      </c>
      <c r="W83">
        <f>($C$7*EB83+$D$7*EC83+$E$7*V83)</f>
        <v>0</v>
      </c>
      <c r="X83">
        <f>0.61365*exp(17.502*W83/(240.97+W83))</f>
        <v>0</v>
      </c>
      <c r="Y83">
        <f>(Z83/AA83*100)</f>
        <v>0</v>
      </c>
      <c r="Z83">
        <f>DT83*(DY83+DZ83)/1000</f>
        <v>0</v>
      </c>
      <c r="AA83">
        <f>0.61365*exp(17.502*EA83/(240.97+EA83))</f>
        <v>0</v>
      </c>
      <c r="AB83">
        <f>(X83-DT83*(DY83+DZ83)/1000)</f>
        <v>0</v>
      </c>
      <c r="AC83">
        <f>(-J83*44100)</f>
        <v>0</v>
      </c>
      <c r="AD83">
        <f>2*29.3*R83*0.92*(EA83-W83)</f>
        <v>0</v>
      </c>
      <c r="AE83">
        <f>2*0.95*5.67E-8*(((EA83+$B$7)+273)^4-(W83+273)^4)</f>
        <v>0</v>
      </c>
      <c r="AF83">
        <f>U83+AE83+AC83+AD83</f>
        <v>0</v>
      </c>
      <c r="AG83">
        <f>DX83*AU83*(DS83-DR83*(1000-AU83*DU83)/(1000-AU83*DT83))/(100*DL83)</f>
        <v>0</v>
      </c>
      <c r="AH83">
        <f>1000*DX83*AU83*(DT83-DU83)/(100*DL83*(1000-AU83*DT83))</f>
        <v>0</v>
      </c>
      <c r="AI83">
        <f>(AJ83 - AK83 - DY83*1E3/(8.314*(EA83+273.15)) * AM83/DX83 * AL83) * DX83/(100*DL83) * (1000 - DU83)/1000</f>
        <v>0</v>
      </c>
      <c r="AJ83">
        <v>423.346340422561</v>
      </c>
      <c r="AK83">
        <v>419.817727272727</v>
      </c>
      <c r="AL83">
        <v>-0.000135609228739359</v>
      </c>
      <c r="AM83">
        <v>64.1904395983722</v>
      </c>
      <c r="AN83">
        <f>(AP83 - AO83 + DY83*1E3/(8.314*(EA83+273.15)) * AR83/DX83 * AQ83) * DX83/(100*DL83) * 1000/(1000 - AP83)</f>
        <v>0</v>
      </c>
      <c r="AO83">
        <v>7.94350221796537</v>
      </c>
      <c r="AP83">
        <v>8.77321062937064</v>
      </c>
      <c r="AQ83">
        <v>1.86347186492342e-05</v>
      </c>
      <c r="AR83">
        <v>109.12</v>
      </c>
      <c r="AS83">
        <v>0</v>
      </c>
      <c r="AT83">
        <v>0</v>
      </c>
      <c r="AU83">
        <f>IF(AS83*$H$13&gt;=AW83,1.0,(AW83/(AW83-AS83*$H$13)))</f>
        <v>0</v>
      </c>
      <c r="AV83">
        <f>(AU83-1)*100</f>
        <v>0</v>
      </c>
      <c r="AW83">
        <f>MAX(0,($B$13+$C$13*EF83)/(1+$D$13*EF83)*DY83/(EA83+273)*$E$13)</f>
        <v>0</v>
      </c>
      <c r="AX83" t="s">
        <v>637</v>
      </c>
      <c r="AY83">
        <v>5102.67</v>
      </c>
      <c r="AZ83">
        <v>719.180769230769</v>
      </c>
      <c r="BA83">
        <v>1747.50569204175</v>
      </c>
      <c r="BB83">
        <f>1-AZ83/BA83</f>
        <v>0</v>
      </c>
      <c r="BC83">
        <v>-2.06255575300684</v>
      </c>
      <c r="BD83" t="s">
        <v>660</v>
      </c>
      <c r="BE83">
        <v>5134.83</v>
      </c>
      <c r="BF83">
        <v>1084.9328</v>
      </c>
      <c r="BG83">
        <v>1549.07187104366</v>
      </c>
      <c r="BH83">
        <f>1-BF83/BG83</f>
        <v>0</v>
      </c>
      <c r="BI83">
        <v>0.5</v>
      </c>
      <c r="BJ83">
        <f>DI83</f>
        <v>0</v>
      </c>
      <c r="BK83">
        <f>L83</f>
        <v>0</v>
      </c>
      <c r="BL83">
        <f>BH83*BI83*BJ83</f>
        <v>0</v>
      </c>
      <c r="BM83">
        <f>(BK83-BC83)/BJ83</f>
        <v>0</v>
      </c>
      <c r="BN83">
        <f>(BA83-BG83)/BG83</f>
        <v>0</v>
      </c>
      <c r="BO83">
        <f>AZ83/(BB83+AZ83/BG83)</f>
        <v>0</v>
      </c>
      <c r="BP83" t="s">
        <v>661</v>
      </c>
      <c r="BQ83">
        <v>782.93</v>
      </c>
      <c r="BR83">
        <f>IF(BQ83&lt;&gt;0, BQ83, BO83)</f>
        <v>0</v>
      </c>
      <c r="BS83">
        <f>1-BR83/BG83</f>
        <v>0</v>
      </c>
      <c r="BT83">
        <f>(BG83-BF83)/(BG83-BR83)</f>
        <v>0</v>
      </c>
      <c r="BU83">
        <f>(BA83-BG83)/(BA83-BR83)</f>
        <v>0</v>
      </c>
      <c r="BV83">
        <f>(BG83-BF83)/(BG83-AZ83)</f>
        <v>0</v>
      </c>
      <c r="BW83">
        <f>(BA83-BG83)/(BA83-AZ83)</f>
        <v>0</v>
      </c>
      <c r="BX83">
        <f>(BT83*BR83/BF83)</f>
        <v>0</v>
      </c>
      <c r="BY83">
        <f>(1-BX83)</f>
        <v>0</v>
      </c>
      <c r="BZ83">
        <v>76</v>
      </c>
      <c r="CA83">
        <v>290</v>
      </c>
      <c r="CB83">
        <v>1511.35</v>
      </c>
      <c r="CC83">
        <v>205</v>
      </c>
      <c r="CD83">
        <v>5134.83</v>
      </c>
      <c r="CE83">
        <v>1510.76</v>
      </c>
      <c r="CF83">
        <v>0.59</v>
      </c>
      <c r="CG83">
        <v>300</v>
      </c>
      <c r="CH83">
        <v>23.8</v>
      </c>
      <c r="CI83">
        <v>1549.07187104366</v>
      </c>
      <c r="CJ83">
        <v>1.36281772656152</v>
      </c>
      <c r="CK83">
        <v>-19.67199071161</v>
      </c>
      <c r="CL83">
        <v>0.612196825867041</v>
      </c>
      <c r="CM83">
        <v>0.973598804740574</v>
      </c>
      <c r="CN83">
        <v>-0.00399257196885429</v>
      </c>
      <c r="CO83">
        <v>290</v>
      </c>
      <c r="CP83">
        <v>1507.88</v>
      </c>
      <c r="CQ83">
        <v>615</v>
      </c>
      <c r="CR83">
        <v>5133.46</v>
      </c>
      <c r="CS83">
        <v>1510.75</v>
      </c>
      <c r="CT83">
        <v>-2.87</v>
      </c>
      <c r="DH83">
        <f>$B$11*EG83+$C$11*EH83+$F$11*ES83*(1-EV83)</f>
        <v>0</v>
      </c>
      <c r="DI83">
        <f>DH83*DJ83</f>
        <v>0</v>
      </c>
      <c r="DJ83">
        <f>($B$11*$D$9+$C$11*$D$9+$F$11*((FF83+EX83)/MAX(FF83+EX83+FG83, 0.1)*$I$9+FG83/MAX(FF83+EX83+FG83, 0.1)*$J$9))/($B$11+$C$11+$F$11)</f>
        <v>0</v>
      </c>
      <c r="DK83">
        <f>($B$11*$K$9+$C$11*$K$9+$F$11*((FF83+EX83)/MAX(FF83+EX83+FG83, 0.1)*$P$9+FG83/MAX(FF83+EX83+FG83, 0.1)*$Q$9))/($B$11+$C$11+$F$11)</f>
        <v>0</v>
      </c>
      <c r="DL83">
        <v>6</v>
      </c>
      <c r="DM83">
        <v>0.5</v>
      </c>
      <c r="DN83" t="s">
        <v>440</v>
      </c>
      <c r="DO83">
        <v>2</v>
      </c>
      <c r="DP83" t="b">
        <v>1</v>
      </c>
      <c r="DQ83">
        <v>1761688013.5</v>
      </c>
      <c r="DR83">
        <v>416.1304375</v>
      </c>
      <c r="DS83">
        <v>419.994</v>
      </c>
      <c r="DT83">
        <v>8.76078875</v>
      </c>
      <c r="DU83">
        <v>7.93540625</v>
      </c>
      <c r="DV83">
        <v>413.22975</v>
      </c>
      <c r="DW83">
        <v>8.8644025</v>
      </c>
      <c r="DX83">
        <v>500.0144375</v>
      </c>
      <c r="DY83">
        <v>90.99404375</v>
      </c>
      <c r="DZ83">
        <v>0.02245186875</v>
      </c>
      <c r="EA83">
        <v>24.3780375</v>
      </c>
      <c r="EB83">
        <v>23.93978125</v>
      </c>
      <c r="EC83">
        <v>999.9</v>
      </c>
      <c r="ED83">
        <v>0</v>
      </c>
      <c r="EE83">
        <v>0</v>
      </c>
      <c r="EF83">
        <v>10011.408125</v>
      </c>
      <c r="EG83">
        <v>0</v>
      </c>
      <c r="EH83">
        <v>1270.926875</v>
      </c>
      <c r="EI83">
        <v>-3.863619375</v>
      </c>
      <c r="EJ83">
        <v>419.80825</v>
      </c>
      <c r="EK83">
        <v>423.3534375</v>
      </c>
      <c r="EL83">
        <v>0.8253836875</v>
      </c>
      <c r="EM83">
        <v>419.994</v>
      </c>
      <c r="EN83">
        <v>7.93540625</v>
      </c>
      <c r="EO83">
        <v>0.7971796875</v>
      </c>
      <c r="EP83">
        <v>0.7220746875</v>
      </c>
      <c r="EQ83">
        <v>3.657175</v>
      </c>
      <c r="ER83">
        <v>2.2611325</v>
      </c>
      <c r="ES83">
        <v>300.0319375</v>
      </c>
      <c r="ET83">
        <v>0.9000125</v>
      </c>
      <c r="EU83">
        <v>0.0999873875</v>
      </c>
      <c r="EV83">
        <v>0</v>
      </c>
      <c r="EW83">
        <v>1084.9625</v>
      </c>
      <c r="EX83">
        <v>5.00059</v>
      </c>
      <c r="EY83">
        <v>3187.08625</v>
      </c>
      <c r="EZ83">
        <v>2506.470625</v>
      </c>
      <c r="FA83">
        <v>38.5779375</v>
      </c>
      <c r="FB83">
        <v>41.23425</v>
      </c>
      <c r="FC83">
        <v>39.5465625</v>
      </c>
      <c r="FD83">
        <v>40.687</v>
      </c>
      <c r="FE83">
        <v>40.0700625</v>
      </c>
      <c r="FF83">
        <v>265.53375</v>
      </c>
      <c r="FG83">
        <v>29.496875</v>
      </c>
      <c r="FH83">
        <v>0</v>
      </c>
      <c r="FI83">
        <v>128.200000047684</v>
      </c>
      <c r="FJ83">
        <v>0</v>
      </c>
      <c r="FK83">
        <v>1084.9328</v>
      </c>
      <c r="FL83">
        <v>0.519230756088194</v>
      </c>
      <c r="FM83">
        <v>-0.46615388454392</v>
      </c>
      <c r="FN83">
        <v>3186.4688</v>
      </c>
      <c r="FO83">
        <v>15</v>
      </c>
      <c r="FP83">
        <v>0</v>
      </c>
      <c r="FQ83" t="s">
        <v>441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-3.88041809523809</v>
      </c>
      <c r="GD83">
        <v>0.360826753246749</v>
      </c>
      <c r="GE83">
        <v>0.0453884428985269</v>
      </c>
      <c r="GF83">
        <v>1</v>
      </c>
      <c r="GG83">
        <v>1084.945</v>
      </c>
      <c r="GH83">
        <v>-0.0967150510396868</v>
      </c>
      <c r="GI83">
        <v>0.208160712798894</v>
      </c>
      <c r="GJ83">
        <v>-1</v>
      </c>
      <c r="GK83">
        <v>0.829682380952381</v>
      </c>
      <c r="GL83">
        <v>-0.0768014025974042</v>
      </c>
      <c r="GM83">
        <v>0.0091263201026909</v>
      </c>
      <c r="GN83">
        <v>1</v>
      </c>
      <c r="GO83">
        <v>2</v>
      </c>
      <c r="GP83">
        <v>2</v>
      </c>
      <c r="GQ83" t="s">
        <v>442</v>
      </c>
      <c r="GR83">
        <v>3.12831</v>
      </c>
      <c r="GS83">
        <v>2.70046</v>
      </c>
      <c r="GT83">
        <v>0.0884226</v>
      </c>
      <c r="GU83">
        <v>0.0896661</v>
      </c>
      <c r="GV83">
        <v>0.0483474</v>
      </c>
      <c r="GW83">
        <v>0.0448108</v>
      </c>
      <c r="GX83">
        <v>34107.6</v>
      </c>
      <c r="GY83">
        <v>36462.8</v>
      </c>
      <c r="GZ83">
        <v>33869.1</v>
      </c>
      <c r="HA83">
        <v>36283</v>
      </c>
      <c r="HB83">
        <v>45558.1</v>
      </c>
      <c r="HC83">
        <v>49737.9</v>
      </c>
      <c r="HD83">
        <v>52832.8</v>
      </c>
      <c r="HE83">
        <v>57942.7</v>
      </c>
      <c r="HF83">
        <v>1.91492</v>
      </c>
      <c r="HG83">
        <v>2.28685</v>
      </c>
      <c r="HH83">
        <v>0.0100955</v>
      </c>
      <c r="HI83">
        <v>0</v>
      </c>
      <c r="HJ83">
        <v>23.8252</v>
      </c>
      <c r="HK83">
        <v>999.9</v>
      </c>
      <c r="HL83">
        <v>23.666</v>
      </c>
      <c r="HM83">
        <v>29.89</v>
      </c>
      <c r="HN83">
        <v>11.0107</v>
      </c>
      <c r="HO83">
        <v>54.4839</v>
      </c>
      <c r="HP83">
        <v>30.6891</v>
      </c>
      <c r="HQ83">
        <v>2</v>
      </c>
      <c r="HR83">
        <v>0.292729</v>
      </c>
      <c r="HS83">
        <v>2.45848</v>
      </c>
      <c r="HT83">
        <v>20.129</v>
      </c>
      <c r="HU83">
        <v>5.19513</v>
      </c>
      <c r="HV83">
        <v>12.0046</v>
      </c>
      <c r="HW83">
        <v>4.97515</v>
      </c>
      <c r="HX83">
        <v>3.29395</v>
      </c>
      <c r="HY83">
        <v>9999</v>
      </c>
      <c r="HZ83">
        <v>9999</v>
      </c>
      <c r="IA83">
        <v>9999</v>
      </c>
      <c r="IB83">
        <v>999.9</v>
      </c>
      <c r="IC83">
        <v>1.86325</v>
      </c>
      <c r="ID83">
        <v>1.86813</v>
      </c>
      <c r="IE83">
        <v>1.86786</v>
      </c>
      <c r="IF83">
        <v>1.86905</v>
      </c>
      <c r="IG83">
        <v>1.86981</v>
      </c>
      <c r="IH83">
        <v>1.86592</v>
      </c>
      <c r="II83">
        <v>1.86705</v>
      </c>
      <c r="IJ83">
        <v>1.86844</v>
      </c>
      <c r="IK83">
        <v>5</v>
      </c>
      <c r="IL83">
        <v>0</v>
      </c>
      <c r="IM83">
        <v>0</v>
      </c>
      <c r="IN83">
        <v>0</v>
      </c>
      <c r="IO83" t="s">
        <v>443</v>
      </c>
      <c r="IP83" t="s">
        <v>444</v>
      </c>
      <c r="IQ83" t="s">
        <v>445</v>
      </c>
      <c r="IR83" t="s">
        <v>445</v>
      </c>
      <c r="IS83" t="s">
        <v>445</v>
      </c>
      <c r="IT83" t="s">
        <v>445</v>
      </c>
      <c r="IU83">
        <v>0</v>
      </c>
      <c r="IV83">
        <v>100</v>
      </c>
      <c r="IW83">
        <v>100</v>
      </c>
      <c r="IX83">
        <v>2.9</v>
      </c>
      <c r="IY83">
        <v>-0.1034</v>
      </c>
      <c r="IZ83">
        <v>1.24656194001752</v>
      </c>
      <c r="JA83">
        <v>0.00408463137630218</v>
      </c>
      <c r="JB83">
        <v>-2.23906557180379e-07</v>
      </c>
      <c r="JC83">
        <v>6.23399102760906e-11</v>
      </c>
      <c r="JD83">
        <v>-0.0873394905990972</v>
      </c>
      <c r="JE83">
        <v>-0.0233348201324191</v>
      </c>
      <c r="JF83">
        <v>0.00274696999164489</v>
      </c>
      <c r="JG83">
        <v>-3.62864435074646e-05</v>
      </c>
      <c r="JH83">
        <v>5</v>
      </c>
      <c r="JI83">
        <v>2263</v>
      </c>
      <c r="JJ83">
        <v>1</v>
      </c>
      <c r="JK83">
        <v>24</v>
      </c>
      <c r="JL83">
        <v>29361467</v>
      </c>
      <c r="JM83">
        <v>29361467</v>
      </c>
      <c r="JN83">
        <v>1.25366</v>
      </c>
      <c r="JO83">
        <v>2.62207</v>
      </c>
      <c r="JP83">
        <v>2.19849</v>
      </c>
      <c r="JQ83">
        <v>2.62573</v>
      </c>
      <c r="JR83">
        <v>2.44507</v>
      </c>
      <c r="JS83">
        <v>2.29858</v>
      </c>
      <c r="JT83">
        <v>33.513</v>
      </c>
      <c r="JU83">
        <v>24.2013</v>
      </c>
      <c r="JV83">
        <v>18</v>
      </c>
      <c r="JW83">
        <v>503.442</v>
      </c>
      <c r="JX83">
        <v>792.581</v>
      </c>
      <c r="JY83">
        <v>21.0442</v>
      </c>
      <c r="JZ83">
        <v>31.1362</v>
      </c>
      <c r="KA83">
        <v>29.9999</v>
      </c>
      <c r="KB83">
        <v>31.1098</v>
      </c>
      <c r="KC83">
        <v>31.0412</v>
      </c>
      <c r="KD83">
        <v>25.1116</v>
      </c>
      <c r="KE83">
        <v>10.254</v>
      </c>
      <c r="KF83">
        <v>18.7491</v>
      </c>
      <c r="KG83">
        <v>21.0446</v>
      </c>
      <c r="KH83">
        <v>420</v>
      </c>
      <c r="KI83">
        <v>8.0591</v>
      </c>
      <c r="KJ83">
        <v>96.0409</v>
      </c>
      <c r="KK83">
        <v>93.9083</v>
      </c>
    </row>
    <row r="84" spans="1:297">
      <c r="A84">
        <v>68</v>
      </c>
      <c r="B84">
        <v>1761688104</v>
      </c>
      <c r="C84">
        <v>10754.9000000954</v>
      </c>
      <c r="D84" t="s">
        <v>662</v>
      </c>
      <c r="E84" t="s">
        <v>663</v>
      </c>
      <c r="F84">
        <v>5</v>
      </c>
      <c r="G84" t="s">
        <v>641</v>
      </c>
      <c r="H84" t="s">
        <v>436</v>
      </c>
      <c r="I84">
        <v>1761688095.5</v>
      </c>
      <c r="J84">
        <f>(K84)/1000</f>
        <v>0</v>
      </c>
      <c r="K84">
        <f>IF(DP84, AN84, AH84)</f>
        <v>0</v>
      </c>
      <c r="L84">
        <f>IF(DP84, AI84, AG84)</f>
        <v>0</v>
      </c>
      <c r="M84">
        <f>DR84 - IF(AU84&gt;1, L84*DL84*100.0/(AW84), 0)</f>
        <v>0</v>
      </c>
      <c r="N84">
        <f>((T84-J84/2)*M84-L84)/(T84+J84/2)</f>
        <v>0</v>
      </c>
      <c r="O84">
        <f>N84*(DY84+DZ84)/1000.0</f>
        <v>0</v>
      </c>
      <c r="P84">
        <f>(DR84 - IF(AU84&gt;1, L84*DL84*100.0/(AW84), 0))*(DY84+DZ84)/1000.0</f>
        <v>0</v>
      </c>
      <c r="Q84">
        <f>2.0/((1/S84-1/R84)+SIGN(S84)*SQRT((1/S84-1/R84)*(1/S84-1/R84) + 4*DM84/((DM84+1)*(DM84+1))*(2*1/S84*1/R84-1/R84*1/R84)))</f>
        <v>0</v>
      </c>
      <c r="R84">
        <f>IF(LEFT(DN84,1)&lt;&gt;"0",IF(LEFT(DN84,1)="1",3.0,DO84),$D$5+$E$5*(EF84*DY84/($K$5*1000))+$F$5*(EF84*DY84/($K$5*1000))*MAX(MIN(DL84,$J$5),$I$5)*MAX(MIN(DL84,$J$5),$I$5)+$G$5*MAX(MIN(DL84,$J$5),$I$5)*(EF84*DY84/($K$5*1000))+$H$5*(EF84*DY84/($K$5*1000))*(EF84*DY84/($K$5*1000)))</f>
        <v>0</v>
      </c>
      <c r="S84">
        <f>J84*(1000-(1000*0.61365*exp(17.502*W84/(240.97+W84))/(DY84+DZ84)+DT84)/2)/(1000*0.61365*exp(17.502*W84/(240.97+W84))/(DY84+DZ84)-DT84)</f>
        <v>0</v>
      </c>
      <c r="T84">
        <f>1/((DM84+1)/(Q84/1.6)+1/(R84/1.37)) + DM84/((DM84+1)/(Q84/1.6) + DM84/(R84/1.37))</f>
        <v>0</v>
      </c>
      <c r="U84">
        <f>(DH84*DK84)</f>
        <v>0</v>
      </c>
      <c r="V84">
        <f>(EA84+(U84+2*0.95*5.67E-8*(((EA84+$B$7)+273)^4-(EA84+273)^4)-44100*J84)/(1.84*29.3*R84+8*0.95*5.67E-8*(EA84+273)^3))</f>
        <v>0</v>
      </c>
      <c r="W84">
        <f>($C$7*EB84+$D$7*EC84+$E$7*V84)</f>
        <v>0</v>
      </c>
      <c r="X84">
        <f>0.61365*exp(17.502*W84/(240.97+W84))</f>
        <v>0</v>
      </c>
      <c r="Y84">
        <f>(Z84/AA84*100)</f>
        <v>0</v>
      </c>
      <c r="Z84">
        <f>DT84*(DY84+DZ84)/1000</f>
        <v>0</v>
      </c>
      <c r="AA84">
        <f>0.61365*exp(17.502*EA84/(240.97+EA84))</f>
        <v>0</v>
      </c>
      <c r="AB84">
        <f>(X84-DT84*(DY84+DZ84)/1000)</f>
        <v>0</v>
      </c>
      <c r="AC84">
        <f>(-J84*44100)</f>
        <v>0</v>
      </c>
      <c r="AD84">
        <f>2*29.3*R84*0.92*(EA84-W84)</f>
        <v>0</v>
      </c>
      <c r="AE84">
        <f>2*0.95*5.67E-8*(((EA84+$B$7)+273)^4-(W84+273)^4)</f>
        <v>0</v>
      </c>
      <c r="AF84">
        <f>U84+AE84+AC84+AD84</f>
        <v>0</v>
      </c>
      <c r="AG84">
        <f>DX84*AU84*(DS84-DR84*(1000-AU84*DU84)/(1000-AU84*DT84))/(100*DL84)</f>
        <v>0</v>
      </c>
      <c r="AH84">
        <f>1000*DX84*AU84*(DT84-DU84)/(100*DL84*(1000-AU84*DT84))</f>
        <v>0</v>
      </c>
      <c r="AI84">
        <f>(AJ84 - AK84 - DY84*1E3/(8.314*(EA84+273.15)) * AM84/DX84 * AL84) * DX84/(100*DL84) * (1000 - DU84)/1000</f>
        <v>0</v>
      </c>
      <c r="AJ84">
        <v>423.460304631061</v>
      </c>
      <c r="AK84">
        <v>420.934339393939</v>
      </c>
      <c r="AL84">
        <v>0.00157786455395339</v>
      </c>
      <c r="AM84">
        <v>64.1904395983722</v>
      </c>
      <c r="AN84">
        <f>(AP84 - AO84 + DY84*1E3/(8.314*(EA84+273.15)) * AR84/DX84 * AQ84) * DX84/(100*DL84) * 1000/(1000 - AP84)</f>
        <v>0</v>
      </c>
      <c r="AO84">
        <v>8.18451224004329</v>
      </c>
      <c r="AP84">
        <v>8.87749118881119</v>
      </c>
      <c r="AQ84">
        <v>-3.93151036996573e-06</v>
      </c>
      <c r="AR84">
        <v>109.12</v>
      </c>
      <c r="AS84">
        <v>0</v>
      </c>
      <c r="AT84">
        <v>0</v>
      </c>
      <c r="AU84">
        <f>IF(AS84*$H$13&gt;=AW84,1.0,(AW84/(AW84-AS84*$H$13)))</f>
        <v>0</v>
      </c>
      <c r="AV84">
        <f>(AU84-1)*100</f>
        <v>0</v>
      </c>
      <c r="AW84">
        <f>MAX(0,($B$13+$C$13*EF84)/(1+$D$13*EF84)*DY84/(EA84+273)*$E$13)</f>
        <v>0</v>
      </c>
      <c r="AX84" t="s">
        <v>448</v>
      </c>
      <c r="AY84" t="s">
        <v>448</v>
      </c>
      <c r="AZ84">
        <v>0</v>
      </c>
      <c r="BA84">
        <v>0</v>
      </c>
      <c r="BB84">
        <f>1-AZ84/BA84</f>
        <v>0</v>
      </c>
      <c r="BC84">
        <v>0</v>
      </c>
      <c r="BD84" t="s">
        <v>448</v>
      </c>
      <c r="BE84" t="s">
        <v>448</v>
      </c>
      <c r="BF84">
        <v>0</v>
      </c>
      <c r="BG84">
        <v>0</v>
      </c>
      <c r="BH84">
        <f>1-BF84/BG84</f>
        <v>0</v>
      </c>
      <c r="BI84">
        <v>0.5</v>
      </c>
      <c r="BJ84">
        <f>DI84</f>
        <v>0</v>
      </c>
      <c r="BK84">
        <f>L84</f>
        <v>0</v>
      </c>
      <c r="BL84">
        <f>BH84*BI84*BJ84</f>
        <v>0</v>
      </c>
      <c r="BM84">
        <f>(BK84-BC84)/BJ84</f>
        <v>0</v>
      </c>
      <c r="BN84">
        <f>(BA84-BG84)/BG84</f>
        <v>0</v>
      </c>
      <c r="BO84">
        <f>AZ84/(BB84+AZ84/BG84)</f>
        <v>0</v>
      </c>
      <c r="BP84" t="s">
        <v>448</v>
      </c>
      <c r="BQ84">
        <v>0</v>
      </c>
      <c r="BR84">
        <f>IF(BQ84&lt;&gt;0, BQ84, BO84)</f>
        <v>0</v>
      </c>
      <c r="BS84">
        <f>1-BR84/BG84</f>
        <v>0</v>
      </c>
      <c r="BT84">
        <f>(BG84-BF84)/(BG84-BR84)</f>
        <v>0</v>
      </c>
      <c r="BU84">
        <f>(BA84-BG84)/(BA84-BR84)</f>
        <v>0</v>
      </c>
      <c r="BV84">
        <f>(BG84-BF84)/(BG84-AZ84)</f>
        <v>0</v>
      </c>
      <c r="BW84">
        <f>(BA84-BG84)/(BA84-AZ84)</f>
        <v>0</v>
      </c>
      <c r="BX84">
        <f>(BT84*BR84/BF84)</f>
        <v>0</v>
      </c>
      <c r="BY84">
        <f>(1-BX84)</f>
        <v>0</v>
      </c>
      <c r="BZ84">
        <v>76</v>
      </c>
      <c r="CA84">
        <v>290</v>
      </c>
      <c r="CB84">
        <v>1511.35</v>
      </c>
      <c r="CC84">
        <v>205</v>
      </c>
      <c r="CD84">
        <v>5134.83</v>
      </c>
      <c r="CE84">
        <v>1510.76</v>
      </c>
      <c r="CF84">
        <v>0.59</v>
      </c>
      <c r="CG84">
        <v>300</v>
      </c>
      <c r="CH84">
        <v>23.8</v>
      </c>
      <c r="CI84">
        <v>1549.07187104366</v>
      </c>
      <c r="CJ84">
        <v>1.36281772656152</v>
      </c>
      <c r="CK84">
        <v>-19.67199071161</v>
      </c>
      <c r="CL84">
        <v>0.612196825867041</v>
      </c>
      <c r="CM84">
        <v>0.973598804740574</v>
      </c>
      <c r="CN84">
        <v>-0.00399257196885429</v>
      </c>
      <c r="CO84">
        <v>290</v>
      </c>
      <c r="CP84">
        <v>1507.88</v>
      </c>
      <c r="CQ84">
        <v>615</v>
      </c>
      <c r="CR84">
        <v>5133.46</v>
      </c>
      <c r="CS84">
        <v>1510.75</v>
      </c>
      <c r="CT84">
        <v>-2.87</v>
      </c>
      <c r="DH84">
        <f>$B$11*EG84+$C$11*EH84+$F$11*ES84*(1-EV84)</f>
        <v>0</v>
      </c>
      <c r="DI84">
        <f>DH84*DJ84</f>
        <v>0</v>
      </c>
      <c r="DJ84">
        <f>($B$11*$D$9+$C$11*$D$9+$F$11*((FF84+EX84)/MAX(FF84+EX84+FG84, 0.1)*$I$9+FG84/MAX(FF84+EX84+FG84, 0.1)*$J$9))/($B$11+$C$11+$F$11)</f>
        <v>0</v>
      </c>
      <c r="DK84">
        <f>($B$11*$K$9+$C$11*$K$9+$F$11*((FF84+EX84)/MAX(FF84+EX84+FG84, 0.1)*$P$9+FG84/MAX(FF84+EX84+FG84, 0.1)*$Q$9))/($B$11+$C$11+$F$11)</f>
        <v>0</v>
      </c>
      <c r="DL84">
        <v>6</v>
      </c>
      <c r="DM84">
        <v>0.5</v>
      </c>
      <c r="DN84" t="s">
        <v>440</v>
      </c>
      <c r="DO84">
        <v>2</v>
      </c>
      <c r="DP84" t="b">
        <v>1</v>
      </c>
      <c r="DQ84">
        <v>1761688095.5</v>
      </c>
      <c r="DR84">
        <v>417.128625</v>
      </c>
      <c r="DS84">
        <v>419.985625</v>
      </c>
      <c r="DT84">
        <v>8.880991875</v>
      </c>
      <c r="DU84">
        <v>8.17938625</v>
      </c>
      <c r="DV84">
        <v>414.2240625</v>
      </c>
      <c r="DW84">
        <v>8.982591875</v>
      </c>
      <c r="DX84">
        <v>499.998375</v>
      </c>
      <c r="DY84">
        <v>90.99435</v>
      </c>
      <c r="DZ84">
        <v>0.022611275</v>
      </c>
      <c r="EA84">
        <v>24.58569375</v>
      </c>
      <c r="EB84">
        <v>24.0728</v>
      </c>
      <c r="EC84">
        <v>999.9</v>
      </c>
      <c r="ED84">
        <v>0</v>
      </c>
      <c r="EE84">
        <v>0</v>
      </c>
      <c r="EF84">
        <v>10003.473125</v>
      </c>
      <c r="EG84">
        <v>0</v>
      </c>
      <c r="EH84">
        <v>1270.960625</v>
      </c>
      <c r="EI84">
        <v>-2.85713</v>
      </c>
      <c r="EJ84">
        <v>420.866375</v>
      </c>
      <c r="EK84">
        <v>423.44925</v>
      </c>
      <c r="EL84">
        <v>0.7016044375</v>
      </c>
      <c r="EM84">
        <v>419.985625</v>
      </c>
      <c r="EN84">
        <v>8.17938625</v>
      </c>
      <c r="EO84">
        <v>0.8081200625</v>
      </c>
      <c r="EP84">
        <v>0.744278</v>
      </c>
      <c r="EQ84">
        <v>3.85074125</v>
      </c>
      <c r="ER84">
        <v>2.686731875</v>
      </c>
      <c r="ES84">
        <v>150.0158125</v>
      </c>
      <c r="ET84">
        <v>0.90000075</v>
      </c>
      <c r="EU84">
        <v>0.09999935</v>
      </c>
      <c r="EV84">
        <v>0</v>
      </c>
      <c r="EW84">
        <v>872.9664375</v>
      </c>
      <c r="EX84">
        <v>5.00059</v>
      </c>
      <c r="EY84">
        <v>1293.18875</v>
      </c>
      <c r="EZ84">
        <v>1231.98875</v>
      </c>
      <c r="FA84">
        <v>37.909875</v>
      </c>
      <c r="FB84">
        <v>40.9331875</v>
      </c>
      <c r="FC84">
        <v>39.08175</v>
      </c>
      <c r="FD84">
        <v>40.4488125</v>
      </c>
      <c r="FE84">
        <v>39.577875</v>
      </c>
      <c r="FF84">
        <v>130.514375</v>
      </c>
      <c r="FG84">
        <v>14.5</v>
      </c>
      <c r="FH84">
        <v>0</v>
      </c>
      <c r="FI84">
        <v>79</v>
      </c>
      <c r="FJ84">
        <v>0</v>
      </c>
      <c r="FK84">
        <v>872.9212</v>
      </c>
      <c r="FL84">
        <v>-1.90592308101281</v>
      </c>
      <c r="FM84">
        <v>-2.98999997643777</v>
      </c>
      <c r="FN84">
        <v>1293.0312</v>
      </c>
      <c r="FO84">
        <v>15</v>
      </c>
      <c r="FP84">
        <v>0</v>
      </c>
      <c r="FQ84" t="s">
        <v>441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-2.883139</v>
      </c>
      <c r="GD84">
        <v>0.485450526315785</v>
      </c>
      <c r="GE84">
        <v>0.0505181678111944</v>
      </c>
      <c r="GF84">
        <v>1</v>
      </c>
      <c r="GG84">
        <v>873.108294117647</v>
      </c>
      <c r="GH84">
        <v>-2.69420932303627</v>
      </c>
      <c r="GI84">
        <v>0.307754345256441</v>
      </c>
      <c r="GJ84">
        <v>-1</v>
      </c>
      <c r="GK84">
        <v>0.70621185</v>
      </c>
      <c r="GL84">
        <v>-0.0945373082706767</v>
      </c>
      <c r="GM84">
        <v>0.00940353779848306</v>
      </c>
      <c r="GN84">
        <v>1</v>
      </c>
      <c r="GO84">
        <v>2</v>
      </c>
      <c r="GP84">
        <v>2</v>
      </c>
      <c r="GQ84" t="s">
        <v>442</v>
      </c>
      <c r="GR84">
        <v>3.12833</v>
      </c>
      <c r="GS84">
        <v>2.70068</v>
      </c>
      <c r="GT84">
        <v>0.0886096</v>
      </c>
      <c r="GU84">
        <v>0.0896801</v>
      </c>
      <c r="GV84">
        <v>0.0488014</v>
      </c>
      <c r="GW84">
        <v>0.045926</v>
      </c>
      <c r="GX84">
        <v>34105</v>
      </c>
      <c r="GY84">
        <v>36467.6</v>
      </c>
      <c r="GZ84">
        <v>33873.1</v>
      </c>
      <c r="HA84">
        <v>36288</v>
      </c>
      <c r="HB84">
        <v>45540.5</v>
      </c>
      <c r="HC84">
        <v>49686.5</v>
      </c>
      <c r="HD84">
        <v>52837.7</v>
      </c>
      <c r="HE84">
        <v>57950.5</v>
      </c>
      <c r="HF84">
        <v>1.9154</v>
      </c>
      <c r="HG84">
        <v>2.28842</v>
      </c>
      <c r="HH84">
        <v>0.00137836</v>
      </c>
      <c r="HI84">
        <v>0</v>
      </c>
      <c r="HJ84">
        <v>24.0596</v>
      </c>
      <c r="HK84">
        <v>999.9</v>
      </c>
      <c r="HL84">
        <v>23.721</v>
      </c>
      <c r="HM84">
        <v>29.91</v>
      </c>
      <c r="HN84">
        <v>11.0489</v>
      </c>
      <c r="HO84">
        <v>54.0539</v>
      </c>
      <c r="HP84">
        <v>30.7051</v>
      </c>
      <c r="HQ84">
        <v>2</v>
      </c>
      <c r="HR84">
        <v>0.291839</v>
      </c>
      <c r="HS84">
        <v>3.57802</v>
      </c>
      <c r="HT84">
        <v>20.111</v>
      </c>
      <c r="HU84">
        <v>5.19842</v>
      </c>
      <c r="HV84">
        <v>12.0083</v>
      </c>
      <c r="HW84">
        <v>4.9753</v>
      </c>
      <c r="HX84">
        <v>3.294</v>
      </c>
      <c r="HY84">
        <v>9999</v>
      </c>
      <c r="HZ84">
        <v>9999</v>
      </c>
      <c r="IA84">
        <v>9999</v>
      </c>
      <c r="IB84">
        <v>999.9</v>
      </c>
      <c r="IC84">
        <v>1.86325</v>
      </c>
      <c r="ID84">
        <v>1.86813</v>
      </c>
      <c r="IE84">
        <v>1.86784</v>
      </c>
      <c r="IF84">
        <v>1.86904</v>
      </c>
      <c r="IG84">
        <v>1.86983</v>
      </c>
      <c r="IH84">
        <v>1.86591</v>
      </c>
      <c r="II84">
        <v>1.86703</v>
      </c>
      <c r="IJ84">
        <v>1.86844</v>
      </c>
      <c r="IK84">
        <v>5</v>
      </c>
      <c r="IL84">
        <v>0</v>
      </c>
      <c r="IM84">
        <v>0</v>
      </c>
      <c r="IN84">
        <v>0</v>
      </c>
      <c r="IO84" t="s">
        <v>443</v>
      </c>
      <c r="IP84" t="s">
        <v>444</v>
      </c>
      <c r="IQ84" t="s">
        <v>445</v>
      </c>
      <c r="IR84" t="s">
        <v>445</v>
      </c>
      <c r="IS84" t="s">
        <v>445</v>
      </c>
      <c r="IT84" t="s">
        <v>445</v>
      </c>
      <c r="IU84">
        <v>0</v>
      </c>
      <c r="IV84">
        <v>100</v>
      </c>
      <c r="IW84">
        <v>100</v>
      </c>
      <c r="IX84">
        <v>2.905</v>
      </c>
      <c r="IY84">
        <v>-0.1017</v>
      </c>
      <c r="IZ84">
        <v>1.24656194001752</v>
      </c>
      <c r="JA84">
        <v>0.00408463137630218</v>
      </c>
      <c r="JB84">
        <v>-2.23906557180379e-07</v>
      </c>
      <c r="JC84">
        <v>6.23399102760906e-11</v>
      </c>
      <c r="JD84">
        <v>-0.0873394905990972</v>
      </c>
      <c r="JE84">
        <v>-0.0233348201324191</v>
      </c>
      <c r="JF84">
        <v>0.00274696999164489</v>
      </c>
      <c r="JG84">
        <v>-3.62864435074646e-05</v>
      </c>
      <c r="JH84">
        <v>5</v>
      </c>
      <c r="JI84">
        <v>2263</v>
      </c>
      <c r="JJ84">
        <v>1</v>
      </c>
      <c r="JK84">
        <v>24</v>
      </c>
      <c r="JL84">
        <v>29361468.4</v>
      </c>
      <c r="JM84">
        <v>29361468.4</v>
      </c>
      <c r="JN84">
        <v>1.25366</v>
      </c>
      <c r="JO84">
        <v>2.61841</v>
      </c>
      <c r="JP84">
        <v>2.19849</v>
      </c>
      <c r="JQ84">
        <v>2.62573</v>
      </c>
      <c r="JR84">
        <v>2.44629</v>
      </c>
      <c r="JS84">
        <v>2.31567</v>
      </c>
      <c r="JT84">
        <v>33.513</v>
      </c>
      <c r="JU84">
        <v>24.2013</v>
      </c>
      <c r="JV84">
        <v>18</v>
      </c>
      <c r="JW84">
        <v>503.339</v>
      </c>
      <c r="JX84">
        <v>793.453</v>
      </c>
      <c r="JY84">
        <v>20.5559</v>
      </c>
      <c r="JZ84">
        <v>31.0684</v>
      </c>
      <c r="KA84">
        <v>30.0003</v>
      </c>
      <c r="KB84">
        <v>31.0594</v>
      </c>
      <c r="KC84">
        <v>30.9951</v>
      </c>
      <c r="KD84">
        <v>25.1151</v>
      </c>
      <c r="KE84">
        <v>6.39504</v>
      </c>
      <c r="KF84">
        <v>18.7491</v>
      </c>
      <c r="KG84">
        <v>20.4759</v>
      </c>
      <c r="KH84">
        <v>420</v>
      </c>
      <c r="KI84">
        <v>8.31726</v>
      </c>
      <c r="KJ84">
        <v>96.0507</v>
      </c>
      <c r="KK84">
        <v>93.9211</v>
      </c>
    </row>
    <row r="85" spans="1:297">
      <c r="A85">
        <v>69</v>
      </c>
      <c r="B85">
        <v>1761688205</v>
      </c>
      <c r="C85">
        <v>10855.9000000954</v>
      </c>
      <c r="D85" t="s">
        <v>664</v>
      </c>
      <c r="E85" t="s">
        <v>665</v>
      </c>
      <c r="F85">
        <v>5</v>
      </c>
      <c r="G85" t="s">
        <v>641</v>
      </c>
      <c r="H85" t="s">
        <v>436</v>
      </c>
      <c r="I85">
        <v>1761688196.5</v>
      </c>
      <c r="J85">
        <f>(K85)/1000</f>
        <v>0</v>
      </c>
      <c r="K85">
        <f>IF(DP85, AN85, AH85)</f>
        <v>0</v>
      </c>
      <c r="L85">
        <f>IF(DP85, AI85, AG85)</f>
        <v>0</v>
      </c>
      <c r="M85">
        <f>DR85 - IF(AU85&gt;1, L85*DL85*100.0/(AW85), 0)</f>
        <v>0</v>
      </c>
      <c r="N85">
        <f>((T85-J85/2)*M85-L85)/(T85+J85/2)</f>
        <v>0</v>
      </c>
      <c r="O85">
        <f>N85*(DY85+DZ85)/1000.0</f>
        <v>0</v>
      </c>
      <c r="P85">
        <f>(DR85 - IF(AU85&gt;1, L85*DL85*100.0/(AW85), 0))*(DY85+DZ85)/1000.0</f>
        <v>0</v>
      </c>
      <c r="Q85">
        <f>2.0/((1/S85-1/R85)+SIGN(S85)*SQRT((1/S85-1/R85)*(1/S85-1/R85) + 4*DM85/((DM85+1)*(DM85+1))*(2*1/S85*1/R85-1/R85*1/R85)))</f>
        <v>0</v>
      </c>
      <c r="R85">
        <f>IF(LEFT(DN85,1)&lt;&gt;"0",IF(LEFT(DN85,1)="1",3.0,DO85),$D$5+$E$5*(EF85*DY85/($K$5*1000))+$F$5*(EF85*DY85/($K$5*1000))*MAX(MIN(DL85,$J$5),$I$5)*MAX(MIN(DL85,$J$5),$I$5)+$G$5*MAX(MIN(DL85,$J$5),$I$5)*(EF85*DY85/($K$5*1000))+$H$5*(EF85*DY85/($K$5*1000))*(EF85*DY85/($K$5*1000)))</f>
        <v>0</v>
      </c>
      <c r="S85">
        <f>J85*(1000-(1000*0.61365*exp(17.502*W85/(240.97+W85))/(DY85+DZ85)+DT85)/2)/(1000*0.61365*exp(17.502*W85/(240.97+W85))/(DY85+DZ85)-DT85)</f>
        <v>0</v>
      </c>
      <c r="T85">
        <f>1/((DM85+1)/(Q85/1.6)+1/(R85/1.37)) + DM85/((DM85+1)/(Q85/1.6) + DM85/(R85/1.37))</f>
        <v>0</v>
      </c>
      <c r="U85">
        <f>(DH85*DK85)</f>
        <v>0</v>
      </c>
      <c r="V85">
        <f>(EA85+(U85+2*0.95*5.67E-8*(((EA85+$B$7)+273)^4-(EA85+273)^4)-44100*J85)/(1.84*29.3*R85+8*0.95*5.67E-8*(EA85+273)^3))</f>
        <v>0</v>
      </c>
      <c r="W85">
        <f>($C$7*EB85+$D$7*EC85+$E$7*V85)</f>
        <v>0</v>
      </c>
      <c r="X85">
        <f>0.61365*exp(17.502*W85/(240.97+W85))</f>
        <v>0</v>
      </c>
      <c r="Y85">
        <f>(Z85/AA85*100)</f>
        <v>0</v>
      </c>
      <c r="Z85">
        <f>DT85*(DY85+DZ85)/1000</f>
        <v>0</v>
      </c>
      <c r="AA85">
        <f>0.61365*exp(17.502*EA85/(240.97+EA85))</f>
        <v>0</v>
      </c>
      <c r="AB85">
        <f>(X85-DT85*(DY85+DZ85)/1000)</f>
        <v>0</v>
      </c>
      <c r="AC85">
        <f>(-J85*44100)</f>
        <v>0</v>
      </c>
      <c r="AD85">
        <f>2*29.3*R85*0.92*(EA85-W85)</f>
        <v>0</v>
      </c>
      <c r="AE85">
        <f>2*0.95*5.67E-8*(((EA85+$B$7)+273)^4-(W85+273)^4)</f>
        <v>0</v>
      </c>
      <c r="AF85">
        <f>U85+AE85+AC85+AD85</f>
        <v>0</v>
      </c>
      <c r="AG85">
        <f>DX85*AU85*(DS85-DR85*(1000-AU85*DU85)/(1000-AU85*DT85))/(100*DL85)</f>
        <v>0</v>
      </c>
      <c r="AH85">
        <f>1000*DX85*AU85*(DT85-DU85)/(100*DL85*(1000-AU85*DT85))</f>
        <v>0</v>
      </c>
      <c r="AI85">
        <f>(AJ85 - AK85 - DY85*1E3/(8.314*(EA85+273.15)) * AM85/DX85 * AL85) * DX85/(100*DL85) * (1000 - DU85)/1000</f>
        <v>0</v>
      </c>
      <c r="AJ85">
        <v>423.570944370048</v>
      </c>
      <c r="AK85">
        <v>423.17763030303</v>
      </c>
      <c r="AL85">
        <v>0.00248731912602668</v>
      </c>
      <c r="AM85">
        <v>64.1904395983722</v>
      </c>
      <c r="AN85">
        <f>(AP85 - AO85 + DY85*1E3/(8.314*(EA85+273.15)) * AR85/DX85 * AQ85) * DX85/(100*DL85) * 1000/(1000 - AP85)</f>
        <v>0</v>
      </c>
      <c r="AO85">
        <v>8.47581156558442</v>
      </c>
      <c r="AP85">
        <v>8.95144636363637</v>
      </c>
      <c r="AQ85">
        <v>-8.58699472758715e-06</v>
      </c>
      <c r="AR85">
        <v>109.12</v>
      </c>
      <c r="AS85">
        <v>0</v>
      </c>
      <c r="AT85">
        <v>0</v>
      </c>
      <c r="AU85">
        <f>IF(AS85*$H$13&gt;=AW85,1.0,(AW85/(AW85-AS85*$H$13)))</f>
        <v>0</v>
      </c>
      <c r="AV85">
        <f>(AU85-1)*100</f>
        <v>0</v>
      </c>
      <c r="AW85">
        <f>MAX(0,($B$13+$C$13*EF85)/(1+$D$13*EF85)*DY85/(EA85+273)*$E$13)</f>
        <v>0</v>
      </c>
      <c r="AX85" t="s">
        <v>637</v>
      </c>
      <c r="AY85">
        <v>5102.67</v>
      </c>
      <c r="AZ85">
        <v>719.180769230769</v>
      </c>
      <c r="BA85">
        <v>1747.50569204175</v>
      </c>
      <c r="BB85">
        <f>1-AZ85/BA85</f>
        <v>0</v>
      </c>
      <c r="BC85">
        <v>-2.06255575300684</v>
      </c>
      <c r="BD85" t="s">
        <v>666</v>
      </c>
      <c r="BE85">
        <v>5112.1</v>
      </c>
      <c r="BF85">
        <v>805.125192307692</v>
      </c>
      <c r="BG85">
        <v>1638.38105338021</v>
      </c>
      <c r="BH85">
        <f>1-BF85/BG85</f>
        <v>0</v>
      </c>
      <c r="BI85">
        <v>0.5</v>
      </c>
      <c r="BJ85">
        <f>DI85</f>
        <v>0</v>
      </c>
      <c r="BK85">
        <f>L85</f>
        <v>0</v>
      </c>
      <c r="BL85">
        <f>BH85*BI85*BJ85</f>
        <v>0</v>
      </c>
      <c r="BM85">
        <f>(BK85-BC85)/BJ85</f>
        <v>0</v>
      </c>
      <c r="BN85">
        <f>(BA85-BG85)/BG85</f>
        <v>0</v>
      </c>
      <c r="BO85">
        <f>AZ85/(BB85+AZ85/BG85)</f>
        <v>0</v>
      </c>
      <c r="BP85" t="s">
        <v>667</v>
      </c>
      <c r="BQ85">
        <v>746.13</v>
      </c>
      <c r="BR85">
        <f>IF(BQ85&lt;&gt;0, BQ85, BO85)</f>
        <v>0</v>
      </c>
      <c r="BS85">
        <f>1-BR85/BG85</f>
        <v>0</v>
      </c>
      <c r="BT85">
        <f>(BG85-BF85)/(BG85-BR85)</f>
        <v>0</v>
      </c>
      <c r="BU85">
        <f>(BA85-BG85)/(BA85-BR85)</f>
        <v>0</v>
      </c>
      <c r="BV85">
        <f>(BG85-BF85)/(BG85-AZ85)</f>
        <v>0</v>
      </c>
      <c r="BW85">
        <f>(BA85-BG85)/(BA85-AZ85)</f>
        <v>0</v>
      </c>
      <c r="BX85">
        <f>(BT85*BR85/BF85)</f>
        <v>0</v>
      </c>
      <c r="BY85">
        <f>(1-BX85)</f>
        <v>0</v>
      </c>
      <c r="BZ85">
        <v>78</v>
      </c>
      <c r="CA85">
        <v>290</v>
      </c>
      <c r="CB85">
        <v>1595.59</v>
      </c>
      <c r="CC85">
        <v>295</v>
      </c>
      <c r="CD85">
        <v>5112.1</v>
      </c>
      <c r="CE85">
        <v>1595.49</v>
      </c>
      <c r="CF85">
        <v>0.1</v>
      </c>
      <c r="CG85">
        <v>300</v>
      </c>
      <c r="CH85">
        <v>23.9</v>
      </c>
      <c r="CI85">
        <v>1638.38105338021</v>
      </c>
      <c r="CJ85">
        <v>1.34727134736674</v>
      </c>
      <c r="CK85">
        <v>-21.9282403914151</v>
      </c>
      <c r="CL85">
        <v>0.597775045635677</v>
      </c>
      <c r="CM85">
        <v>0.979616345489309</v>
      </c>
      <c r="CN85">
        <v>-0.00418522024471635</v>
      </c>
      <c r="CO85">
        <v>290</v>
      </c>
      <c r="CP85">
        <v>1591.82</v>
      </c>
      <c r="CQ85">
        <v>845</v>
      </c>
      <c r="CR85">
        <v>5110.22</v>
      </c>
      <c r="CS85">
        <v>1595.47</v>
      </c>
      <c r="CT85">
        <v>-3.65</v>
      </c>
      <c r="DH85">
        <f>$B$11*EG85+$C$11*EH85+$F$11*ES85*(1-EV85)</f>
        <v>0</v>
      </c>
      <c r="DI85">
        <f>DH85*DJ85</f>
        <v>0</v>
      </c>
      <c r="DJ85">
        <f>($B$11*$D$9+$C$11*$D$9+$F$11*((FF85+EX85)/MAX(FF85+EX85+FG85, 0.1)*$I$9+FG85/MAX(FF85+EX85+FG85, 0.1)*$J$9))/($B$11+$C$11+$F$11)</f>
        <v>0</v>
      </c>
      <c r="DK85">
        <f>($B$11*$K$9+$C$11*$K$9+$F$11*((FF85+EX85)/MAX(FF85+EX85+FG85, 0.1)*$P$9+FG85/MAX(FF85+EX85+FG85, 0.1)*$Q$9))/($B$11+$C$11+$F$11)</f>
        <v>0</v>
      </c>
      <c r="DL85">
        <v>6</v>
      </c>
      <c r="DM85">
        <v>0.5</v>
      </c>
      <c r="DN85" t="s">
        <v>440</v>
      </c>
      <c r="DO85">
        <v>2</v>
      </c>
      <c r="DP85" t="b">
        <v>1</v>
      </c>
      <c r="DQ85">
        <v>1761688196.5</v>
      </c>
      <c r="DR85">
        <v>419.3259375</v>
      </c>
      <c r="DS85">
        <v>419.9813125</v>
      </c>
      <c r="DT85">
        <v>8.960694375</v>
      </c>
      <c r="DU85">
        <v>8.47475125</v>
      </c>
      <c r="DV85">
        <v>416.41275</v>
      </c>
      <c r="DW85">
        <v>9.060935625</v>
      </c>
      <c r="DX85">
        <v>499.9670625</v>
      </c>
      <c r="DY85">
        <v>90.99225</v>
      </c>
      <c r="DZ85">
        <v>0.02247774375</v>
      </c>
      <c r="EA85">
        <v>24.6117625</v>
      </c>
      <c r="EB85">
        <v>24.04985</v>
      </c>
      <c r="EC85">
        <v>999.9</v>
      </c>
      <c r="ED85">
        <v>0</v>
      </c>
      <c r="EE85">
        <v>0</v>
      </c>
      <c r="EF85">
        <v>9989.530625</v>
      </c>
      <c r="EG85">
        <v>0</v>
      </c>
      <c r="EH85">
        <v>1270.94375</v>
      </c>
      <c r="EI85">
        <v>-0.655403125</v>
      </c>
      <c r="EJ85">
        <v>423.11725</v>
      </c>
      <c r="EK85">
        <v>423.5709375</v>
      </c>
      <c r="EL85">
        <v>0.4859441875</v>
      </c>
      <c r="EM85">
        <v>419.9813125</v>
      </c>
      <c r="EN85">
        <v>8.47475125</v>
      </c>
      <c r="EO85">
        <v>0.81535375</v>
      </c>
      <c r="EP85">
        <v>0.771136625</v>
      </c>
      <c r="EQ85">
        <v>3.9774525</v>
      </c>
      <c r="ER85">
        <v>3.186799375</v>
      </c>
      <c r="ES85">
        <v>49.98870625</v>
      </c>
      <c r="ET85">
        <v>0.899865125</v>
      </c>
      <c r="EU85">
        <v>0.1001348875</v>
      </c>
      <c r="EV85">
        <v>0</v>
      </c>
      <c r="EW85">
        <v>805.0785625</v>
      </c>
      <c r="EX85">
        <v>5.00059</v>
      </c>
      <c r="EY85">
        <v>394.879625</v>
      </c>
      <c r="EZ85">
        <v>382.1844375</v>
      </c>
      <c r="FA85">
        <v>37.0974375</v>
      </c>
      <c r="FB85">
        <v>40.4960625</v>
      </c>
      <c r="FC85">
        <v>38.4566875</v>
      </c>
      <c r="FD85">
        <v>40.0935</v>
      </c>
      <c r="FE85">
        <v>38.9410625</v>
      </c>
      <c r="FF85">
        <v>40.483125</v>
      </c>
      <c r="FG85">
        <v>4.505</v>
      </c>
      <c r="FH85">
        <v>0</v>
      </c>
      <c r="FI85">
        <v>180.400000095367</v>
      </c>
      <c r="FJ85">
        <v>0</v>
      </c>
      <c r="FK85">
        <v>805.125192307692</v>
      </c>
      <c r="FL85">
        <v>2.47244444686671</v>
      </c>
      <c r="FM85">
        <v>-4.52776072317352</v>
      </c>
      <c r="FN85">
        <v>395.0485</v>
      </c>
      <c r="FO85">
        <v>15</v>
      </c>
      <c r="FP85">
        <v>0</v>
      </c>
      <c r="FQ85" t="s">
        <v>441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-0.689243857142857</v>
      </c>
      <c r="GD85">
        <v>0.480449376623376</v>
      </c>
      <c r="GE85">
        <v>0.0550440983933062</v>
      </c>
      <c r="GF85">
        <v>1</v>
      </c>
      <c r="GG85">
        <v>804.903088235294</v>
      </c>
      <c r="GH85">
        <v>2.72887700868564</v>
      </c>
      <c r="GI85">
        <v>0.329962151808807</v>
      </c>
      <c r="GJ85">
        <v>-1</v>
      </c>
      <c r="GK85">
        <v>0.490198142857143</v>
      </c>
      <c r="GL85">
        <v>-0.0737269090909084</v>
      </c>
      <c r="GM85">
        <v>0.00751133068729353</v>
      </c>
      <c r="GN85">
        <v>1</v>
      </c>
      <c r="GO85">
        <v>2</v>
      </c>
      <c r="GP85">
        <v>2</v>
      </c>
      <c r="GQ85" t="s">
        <v>442</v>
      </c>
      <c r="GR85">
        <v>3.12836</v>
      </c>
      <c r="GS85">
        <v>2.70033</v>
      </c>
      <c r="GT85">
        <v>0.088979</v>
      </c>
      <c r="GU85">
        <v>0.0896987</v>
      </c>
      <c r="GV85">
        <v>0.0491332</v>
      </c>
      <c r="GW85">
        <v>0.0471746</v>
      </c>
      <c r="GX85">
        <v>34095.6</v>
      </c>
      <c r="GY85">
        <v>36472.7</v>
      </c>
      <c r="GZ85">
        <v>33877.1</v>
      </c>
      <c r="HA85">
        <v>36293.4</v>
      </c>
      <c r="HB85">
        <v>45529.2</v>
      </c>
      <c r="HC85">
        <v>49628</v>
      </c>
      <c r="HD85">
        <v>52842.9</v>
      </c>
      <c r="HE85">
        <v>57958.2</v>
      </c>
      <c r="HF85">
        <v>1.91585</v>
      </c>
      <c r="HG85">
        <v>2.2896</v>
      </c>
      <c r="HH85">
        <v>-0.0102818</v>
      </c>
      <c r="HI85">
        <v>0</v>
      </c>
      <c r="HJ85">
        <v>24.2172</v>
      </c>
      <c r="HK85">
        <v>999.9</v>
      </c>
      <c r="HL85">
        <v>23.868</v>
      </c>
      <c r="HM85">
        <v>29.94</v>
      </c>
      <c r="HN85">
        <v>11.1375</v>
      </c>
      <c r="HO85">
        <v>54.5739</v>
      </c>
      <c r="HP85">
        <v>30.7732</v>
      </c>
      <c r="HQ85">
        <v>2</v>
      </c>
      <c r="HR85">
        <v>0.28737</v>
      </c>
      <c r="HS85">
        <v>3.81103</v>
      </c>
      <c r="HT85">
        <v>20.1074</v>
      </c>
      <c r="HU85">
        <v>5.19827</v>
      </c>
      <c r="HV85">
        <v>12.0089</v>
      </c>
      <c r="HW85">
        <v>4.97555</v>
      </c>
      <c r="HX85">
        <v>3.294</v>
      </c>
      <c r="HY85">
        <v>9999</v>
      </c>
      <c r="HZ85">
        <v>9999</v>
      </c>
      <c r="IA85">
        <v>9999</v>
      </c>
      <c r="IB85">
        <v>999.9</v>
      </c>
      <c r="IC85">
        <v>1.86325</v>
      </c>
      <c r="ID85">
        <v>1.86813</v>
      </c>
      <c r="IE85">
        <v>1.86784</v>
      </c>
      <c r="IF85">
        <v>1.86905</v>
      </c>
      <c r="IG85">
        <v>1.86981</v>
      </c>
      <c r="IH85">
        <v>1.86593</v>
      </c>
      <c r="II85">
        <v>1.86704</v>
      </c>
      <c r="IJ85">
        <v>1.86844</v>
      </c>
      <c r="IK85">
        <v>5</v>
      </c>
      <c r="IL85">
        <v>0</v>
      </c>
      <c r="IM85">
        <v>0</v>
      </c>
      <c r="IN85">
        <v>0</v>
      </c>
      <c r="IO85" t="s">
        <v>443</v>
      </c>
      <c r="IP85" t="s">
        <v>444</v>
      </c>
      <c r="IQ85" t="s">
        <v>445</v>
      </c>
      <c r="IR85" t="s">
        <v>445</v>
      </c>
      <c r="IS85" t="s">
        <v>445</v>
      </c>
      <c r="IT85" t="s">
        <v>445</v>
      </c>
      <c r="IU85">
        <v>0</v>
      </c>
      <c r="IV85">
        <v>100</v>
      </c>
      <c r="IW85">
        <v>100</v>
      </c>
      <c r="IX85">
        <v>2.913</v>
      </c>
      <c r="IY85">
        <v>-0.1004</v>
      </c>
      <c r="IZ85">
        <v>1.24656194001752</v>
      </c>
      <c r="JA85">
        <v>0.00408463137630218</v>
      </c>
      <c r="JB85">
        <v>-2.23906557180379e-07</v>
      </c>
      <c r="JC85">
        <v>6.23399102760906e-11</v>
      </c>
      <c r="JD85">
        <v>-0.0873394905990972</v>
      </c>
      <c r="JE85">
        <v>-0.0233348201324191</v>
      </c>
      <c r="JF85">
        <v>0.00274696999164489</v>
      </c>
      <c r="JG85">
        <v>-3.62864435074646e-05</v>
      </c>
      <c r="JH85">
        <v>5</v>
      </c>
      <c r="JI85">
        <v>2263</v>
      </c>
      <c r="JJ85">
        <v>1</v>
      </c>
      <c r="JK85">
        <v>24</v>
      </c>
      <c r="JL85">
        <v>29361470.1</v>
      </c>
      <c r="JM85">
        <v>29361470.1</v>
      </c>
      <c r="JN85">
        <v>1.25366</v>
      </c>
      <c r="JO85">
        <v>2.61719</v>
      </c>
      <c r="JP85">
        <v>2.19849</v>
      </c>
      <c r="JQ85">
        <v>2.62573</v>
      </c>
      <c r="JR85">
        <v>2.44507</v>
      </c>
      <c r="JS85">
        <v>2.35107</v>
      </c>
      <c r="JT85">
        <v>33.513</v>
      </c>
      <c r="JU85">
        <v>24.2013</v>
      </c>
      <c r="JV85">
        <v>18</v>
      </c>
      <c r="JW85">
        <v>503.146</v>
      </c>
      <c r="JX85">
        <v>793.804</v>
      </c>
      <c r="JY85">
        <v>20.1915</v>
      </c>
      <c r="JZ85">
        <v>31.0014</v>
      </c>
      <c r="KA85">
        <v>30</v>
      </c>
      <c r="KB85">
        <v>31.0003</v>
      </c>
      <c r="KC85">
        <v>30.9386</v>
      </c>
      <c r="KD85">
        <v>25.1208</v>
      </c>
      <c r="KE85">
        <v>0.534996</v>
      </c>
      <c r="KF85">
        <v>19.1254</v>
      </c>
      <c r="KG85">
        <v>20.1563</v>
      </c>
      <c r="KH85">
        <v>420</v>
      </c>
      <c r="KI85">
        <v>8.46603</v>
      </c>
      <c r="KJ85">
        <v>96.0609</v>
      </c>
      <c r="KK85">
        <v>93.9341</v>
      </c>
    </row>
    <row r="86" spans="1:297">
      <c r="A86">
        <v>70</v>
      </c>
      <c r="B86">
        <v>1761688300</v>
      </c>
      <c r="C86">
        <v>10950.9000000954</v>
      </c>
      <c r="D86" t="s">
        <v>668</v>
      </c>
      <c r="E86" t="s">
        <v>669</v>
      </c>
      <c r="F86">
        <v>5</v>
      </c>
      <c r="G86" t="s">
        <v>641</v>
      </c>
      <c r="H86" t="s">
        <v>436</v>
      </c>
      <c r="I86">
        <v>1761688292</v>
      </c>
      <c r="J86">
        <f>(K86)/1000</f>
        <v>0</v>
      </c>
      <c r="K86">
        <f>IF(DP86, AN86, AH86)</f>
        <v>0</v>
      </c>
      <c r="L86">
        <f>IF(DP86, AI86, AG86)</f>
        <v>0</v>
      </c>
      <c r="M86">
        <f>DR86 - IF(AU86&gt;1, L86*DL86*100.0/(AW86), 0)</f>
        <v>0</v>
      </c>
      <c r="N86">
        <f>((T86-J86/2)*M86-L86)/(T86+J86/2)</f>
        <v>0</v>
      </c>
      <c r="O86">
        <f>N86*(DY86+DZ86)/1000.0</f>
        <v>0</v>
      </c>
      <c r="P86">
        <f>(DR86 - IF(AU86&gt;1, L86*DL86*100.0/(AW86), 0))*(DY86+DZ86)/1000.0</f>
        <v>0</v>
      </c>
      <c r="Q86">
        <f>2.0/((1/S86-1/R86)+SIGN(S86)*SQRT((1/S86-1/R86)*(1/S86-1/R86) + 4*DM86/((DM86+1)*(DM86+1))*(2*1/S86*1/R86-1/R86*1/R86)))</f>
        <v>0</v>
      </c>
      <c r="R86">
        <f>IF(LEFT(DN86,1)&lt;&gt;"0",IF(LEFT(DN86,1)="1",3.0,DO86),$D$5+$E$5*(EF86*DY86/($K$5*1000))+$F$5*(EF86*DY86/($K$5*1000))*MAX(MIN(DL86,$J$5),$I$5)*MAX(MIN(DL86,$J$5),$I$5)+$G$5*MAX(MIN(DL86,$J$5),$I$5)*(EF86*DY86/($K$5*1000))+$H$5*(EF86*DY86/($K$5*1000))*(EF86*DY86/($K$5*1000)))</f>
        <v>0</v>
      </c>
      <c r="S86">
        <f>J86*(1000-(1000*0.61365*exp(17.502*W86/(240.97+W86))/(DY86+DZ86)+DT86)/2)/(1000*0.61365*exp(17.502*W86/(240.97+W86))/(DY86+DZ86)-DT86)</f>
        <v>0</v>
      </c>
      <c r="T86">
        <f>1/((DM86+1)/(Q86/1.6)+1/(R86/1.37)) + DM86/((DM86+1)/(Q86/1.6) + DM86/(R86/1.37))</f>
        <v>0</v>
      </c>
      <c r="U86">
        <f>(DH86*DK86)</f>
        <v>0</v>
      </c>
      <c r="V86">
        <f>(EA86+(U86+2*0.95*5.67E-8*(((EA86+$B$7)+273)^4-(EA86+273)^4)-44100*J86)/(1.84*29.3*R86+8*0.95*5.67E-8*(EA86+273)^3))</f>
        <v>0</v>
      </c>
      <c r="W86">
        <f>($C$7*EB86+$D$7*EC86+$E$7*V86)</f>
        <v>0</v>
      </c>
      <c r="X86">
        <f>0.61365*exp(17.502*W86/(240.97+W86))</f>
        <v>0</v>
      </c>
      <c r="Y86">
        <f>(Z86/AA86*100)</f>
        <v>0</v>
      </c>
      <c r="Z86">
        <f>DT86*(DY86+DZ86)/1000</f>
        <v>0</v>
      </c>
      <c r="AA86">
        <f>0.61365*exp(17.502*EA86/(240.97+EA86))</f>
        <v>0</v>
      </c>
      <c r="AB86">
        <f>(X86-DT86*(DY86+DZ86)/1000)</f>
        <v>0</v>
      </c>
      <c r="AC86">
        <f>(-J86*44100)</f>
        <v>0</v>
      </c>
      <c r="AD86">
        <f>2*29.3*R86*0.92*(EA86-W86)</f>
        <v>0</v>
      </c>
      <c r="AE86">
        <f>2*0.95*5.67E-8*(((EA86+$B$7)+273)^4-(W86+273)^4)</f>
        <v>0</v>
      </c>
      <c r="AF86">
        <f>U86+AE86+AC86+AD86</f>
        <v>0</v>
      </c>
      <c r="AG86">
        <f>DX86*AU86*(DS86-DR86*(1000-AU86*DU86)/(1000-AU86*DT86))/(100*DL86)</f>
        <v>0</v>
      </c>
      <c r="AH86">
        <f>1000*DX86*AU86*(DT86-DU86)/(100*DL86*(1000-AU86*DT86))</f>
        <v>0</v>
      </c>
      <c r="AI86">
        <f>(AJ86 - AK86 - DY86*1E3/(8.314*(EA86+273.15)) * AM86/DX86 * AL86) * DX86/(100*DL86) * (1000 - DU86)/1000</f>
        <v>0</v>
      </c>
      <c r="AJ86">
        <v>423.669322770727</v>
      </c>
      <c r="AK86">
        <v>424.757163636364</v>
      </c>
      <c r="AL86">
        <v>0.00324008437636424</v>
      </c>
      <c r="AM86">
        <v>64.1904395983722</v>
      </c>
      <c r="AN86">
        <f>(AP86 - AO86 + DY86*1E3/(8.314*(EA86+273.15)) * AR86/DX86 * AQ86) * DX86/(100*DL86) * 1000/(1000 - AP86)</f>
        <v>0</v>
      </c>
      <c r="AO86">
        <v>8.60195215367965</v>
      </c>
      <c r="AP86">
        <v>8.92312202797203</v>
      </c>
      <c r="AQ86">
        <v>-6.2705451175297e-06</v>
      </c>
      <c r="AR86">
        <v>109.12</v>
      </c>
      <c r="AS86">
        <v>0</v>
      </c>
      <c r="AT86">
        <v>0</v>
      </c>
      <c r="AU86">
        <f>IF(AS86*$H$13&gt;=AW86,1.0,(AW86/(AW86-AS86*$H$13)))</f>
        <v>0</v>
      </c>
      <c r="AV86">
        <f>(AU86-1)*100</f>
        <v>0</v>
      </c>
      <c r="AW86">
        <f>MAX(0,($B$13+$C$13*EF86)/(1+$D$13*EF86)*DY86/(EA86+273)*$E$13)</f>
        <v>0</v>
      </c>
      <c r="AX86" t="s">
        <v>670</v>
      </c>
      <c r="AY86">
        <v>5109.44</v>
      </c>
      <c r="AZ86">
        <v>735.712</v>
      </c>
      <c r="BA86">
        <v>1673.25788318157</v>
      </c>
      <c r="BB86">
        <f>1-AZ86/BA86</f>
        <v>0</v>
      </c>
      <c r="BC86">
        <v>-0.911393318165212</v>
      </c>
      <c r="BD86" t="s">
        <v>448</v>
      </c>
      <c r="BE86" t="s">
        <v>448</v>
      </c>
      <c r="BF86">
        <v>0</v>
      </c>
      <c r="BG86">
        <v>0</v>
      </c>
      <c r="BH86">
        <f>1-BF86/BG86</f>
        <v>0</v>
      </c>
      <c r="BI86">
        <v>0.5</v>
      </c>
      <c r="BJ86">
        <f>DI86</f>
        <v>0</v>
      </c>
      <c r="BK86">
        <f>L86</f>
        <v>0</v>
      </c>
      <c r="BL86">
        <f>BH86*BI86*BJ86</f>
        <v>0</v>
      </c>
      <c r="BM86">
        <f>(BK86-BC86)/BJ86</f>
        <v>0</v>
      </c>
      <c r="BN86">
        <f>(BA86-BG86)/BG86</f>
        <v>0</v>
      </c>
      <c r="BO86">
        <f>AZ86/(BB86+AZ86/BG86)</f>
        <v>0</v>
      </c>
      <c r="BP86" t="s">
        <v>448</v>
      </c>
      <c r="BQ86">
        <v>0</v>
      </c>
      <c r="BR86">
        <f>IF(BQ86&lt;&gt;0, BQ86, BO86)</f>
        <v>0</v>
      </c>
      <c r="BS86">
        <f>1-BR86/BG86</f>
        <v>0</v>
      </c>
      <c r="BT86">
        <f>(BG86-BF86)/(BG86-BR86)</f>
        <v>0</v>
      </c>
      <c r="BU86">
        <f>(BA86-BG86)/(BA86-BR86)</f>
        <v>0</v>
      </c>
      <c r="BV86">
        <f>(BG86-BF86)/(BG86-AZ86)</f>
        <v>0</v>
      </c>
      <c r="BW86">
        <f>(BA86-BG86)/(BA86-AZ86)</f>
        <v>0</v>
      </c>
      <c r="BX86">
        <f>(BT86*BR86/BF86)</f>
        <v>0</v>
      </c>
      <c r="BY86">
        <f>(1-BX86)</f>
        <v>0</v>
      </c>
      <c r="BZ86">
        <v>80</v>
      </c>
      <c r="CA86">
        <v>290</v>
      </c>
      <c r="CB86">
        <v>1630.19</v>
      </c>
      <c r="CC86">
        <v>275</v>
      </c>
      <c r="CD86">
        <v>5109.44</v>
      </c>
      <c r="CE86">
        <v>1629.5</v>
      </c>
      <c r="CF86">
        <v>0.69</v>
      </c>
      <c r="CG86">
        <v>300</v>
      </c>
      <c r="CH86">
        <v>23.8</v>
      </c>
      <c r="CI86">
        <v>1673.25788318157</v>
      </c>
      <c r="CJ86">
        <v>1.73319840901121</v>
      </c>
      <c r="CK86">
        <v>-22.3595282404373</v>
      </c>
      <c r="CL86">
        <v>0.76745257019844</v>
      </c>
      <c r="CM86">
        <v>0.968066890128157</v>
      </c>
      <c r="CN86">
        <v>-0.00422088876529478</v>
      </c>
      <c r="CO86">
        <v>290</v>
      </c>
      <c r="CP86">
        <v>1627.37</v>
      </c>
      <c r="CQ86">
        <v>665</v>
      </c>
      <c r="CR86">
        <v>5108.52</v>
      </c>
      <c r="CS86">
        <v>1629.49</v>
      </c>
      <c r="CT86">
        <v>-2.12</v>
      </c>
      <c r="DH86">
        <f>$B$11*EG86+$C$11*EH86+$F$11*ES86*(1-EV86)</f>
        <v>0</v>
      </c>
      <c r="DI86">
        <f>DH86*DJ86</f>
        <v>0</v>
      </c>
      <c r="DJ86">
        <f>($B$11*$D$9+$C$11*$D$9+$F$11*((FF86+EX86)/MAX(FF86+EX86+FG86, 0.1)*$I$9+FG86/MAX(FF86+EX86+FG86, 0.1)*$J$9))/($B$11+$C$11+$F$11)</f>
        <v>0</v>
      </c>
      <c r="DK86">
        <f>($B$11*$K$9+$C$11*$K$9+$F$11*((FF86+EX86)/MAX(FF86+EX86+FG86, 0.1)*$P$9+FG86/MAX(FF86+EX86+FG86, 0.1)*$Q$9))/($B$11+$C$11+$F$11)</f>
        <v>0</v>
      </c>
      <c r="DL86">
        <v>6</v>
      </c>
      <c r="DM86">
        <v>0.5</v>
      </c>
      <c r="DN86" t="s">
        <v>440</v>
      </c>
      <c r="DO86">
        <v>2</v>
      </c>
      <c r="DP86" t="b">
        <v>1</v>
      </c>
      <c r="DQ86">
        <v>1761688292</v>
      </c>
      <c r="DR86">
        <v>420.886666666667</v>
      </c>
      <c r="DS86">
        <v>420.025333333333</v>
      </c>
      <c r="DT86">
        <v>8.93026066666667</v>
      </c>
      <c r="DU86">
        <v>8.60090266666666</v>
      </c>
      <c r="DV86">
        <v>417.9674</v>
      </c>
      <c r="DW86">
        <v>9.03102333333333</v>
      </c>
      <c r="DX86">
        <v>500.011466666667</v>
      </c>
      <c r="DY86">
        <v>91.00078</v>
      </c>
      <c r="DZ86">
        <v>0.0226068533333333</v>
      </c>
      <c r="EA86">
        <v>24.53776</v>
      </c>
      <c r="EB86">
        <v>23.9820133333333</v>
      </c>
      <c r="EC86">
        <v>999.9</v>
      </c>
      <c r="ED86">
        <v>0</v>
      </c>
      <c r="EE86">
        <v>0</v>
      </c>
      <c r="EF86">
        <v>9997.61666666667</v>
      </c>
      <c r="EG86">
        <v>0</v>
      </c>
      <c r="EH86">
        <v>1270.98866666667</v>
      </c>
      <c r="EI86">
        <v>0.861464333333333</v>
      </c>
      <c r="EJ86">
        <v>424.679266666667</v>
      </c>
      <c r="EK86">
        <v>423.669333333333</v>
      </c>
      <c r="EL86">
        <v>0.3293548</v>
      </c>
      <c r="EM86">
        <v>420.025333333333</v>
      </c>
      <c r="EN86">
        <v>8.60090266666666</v>
      </c>
      <c r="EO86">
        <v>0.812660733333333</v>
      </c>
      <c r="EP86">
        <v>0.782689</v>
      </c>
      <c r="EQ86">
        <v>3.93039466666667</v>
      </c>
      <c r="ER86">
        <v>3.39716466666667</v>
      </c>
      <c r="ES86">
        <v>0.00500059</v>
      </c>
      <c r="ET86">
        <v>0</v>
      </c>
      <c r="EU86">
        <v>0</v>
      </c>
      <c r="EV86">
        <v>0</v>
      </c>
      <c r="EW86">
        <v>735.446666666667</v>
      </c>
      <c r="EX86">
        <v>0.00500059</v>
      </c>
      <c r="EY86">
        <v>23.96</v>
      </c>
      <c r="EZ86">
        <v>-0.306666666666667</v>
      </c>
      <c r="FA86">
        <v>36.558</v>
      </c>
      <c r="FB86">
        <v>40.0998</v>
      </c>
      <c r="FC86">
        <v>37.958</v>
      </c>
      <c r="FD86">
        <v>39.6539333333333</v>
      </c>
      <c r="FE86">
        <v>38.2872</v>
      </c>
      <c r="FF86">
        <v>0</v>
      </c>
      <c r="FG86">
        <v>0</v>
      </c>
      <c r="FH86">
        <v>0</v>
      </c>
      <c r="FI86">
        <v>92.2000000476837</v>
      </c>
      <c r="FJ86">
        <v>0</v>
      </c>
      <c r="FK86">
        <v>735.712</v>
      </c>
      <c r="FL86">
        <v>-3.60769239755622</v>
      </c>
      <c r="FM86">
        <v>21.4307694465686</v>
      </c>
      <c r="FN86">
        <v>23.008</v>
      </c>
      <c r="FO86">
        <v>15</v>
      </c>
      <c r="FP86">
        <v>0</v>
      </c>
      <c r="FQ86" t="s">
        <v>441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0.83919675</v>
      </c>
      <c r="GD86">
        <v>0.407110601503759</v>
      </c>
      <c r="GE86">
        <v>0.0495335274060661</v>
      </c>
      <c r="GF86">
        <v>1</v>
      </c>
      <c r="GG86">
        <v>735.085294117647</v>
      </c>
      <c r="GH86">
        <v>5.5171885978256</v>
      </c>
      <c r="GI86">
        <v>4.79277227603872</v>
      </c>
      <c r="GJ86">
        <v>-1</v>
      </c>
      <c r="GK86">
        <v>0.33350345</v>
      </c>
      <c r="GL86">
        <v>-0.074844857142857</v>
      </c>
      <c r="GM86">
        <v>0.00723284496913213</v>
      </c>
      <c r="GN86">
        <v>1</v>
      </c>
      <c r="GO86">
        <v>2</v>
      </c>
      <c r="GP86">
        <v>2</v>
      </c>
      <c r="GQ86" t="s">
        <v>442</v>
      </c>
      <c r="GR86">
        <v>3.12851</v>
      </c>
      <c r="GS86">
        <v>2.70059</v>
      </c>
      <c r="GT86">
        <v>0.0892524</v>
      </c>
      <c r="GU86">
        <v>0.0897073</v>
      </c>
      <c r="GV86">
        <v>0.0490191</v>
      </c>
      <c r="GW86">
        <v>0.0477429</v>
      </c>
      <c r="GX86">
        <v>34088.3</v>
      </c>
      <c r="GY86">
        <v>36476.4</v>
      </c>
      <c r="GZ86">
        <v>33879.8</v>
      </c>
      <c r="HA86">
        <v>36297.2</v>
      </c>
      <c r="HB86">
        <v>45538</v>
      </c>
      <c r="HC86">
        <v>49603.3</v>
      </c>
      <c r="HD86">
        <v>52846.6</v>
      </c>
      <c r="HE86">
        <v>57963.9</v>
      </c>
      <c r="HF86">
        <v>1.91658</v>
      </c>
      <c r="HG86">
        <v>2.2904</v>
      </c>
      <c r="HH86">
        <v>-0.0171848</v>
      </c>
      <c r="HI86">
        <v>0</v>
      </c>
      <c r="HJ86">
        <v>24.2708</v>
      </c>
      <c r="HK86">
        <v>999.9</v>
      </c>
      <c r="HL86">
        <v>24.094</v>
      </c>
      <c r="HM86">
        <v>29.96</v>
      </c>
      <c r="HN86">
        <v>11.2544</v>
      </c>
      <c r="HO86">
        <v>54.1639</v>
      </c>
      <c r="HP86">
        <v>30.7292</v>
      </c>
      <c r="HQ86">
        <v>2</v>
      </c>
      <c r="HR86">
        <v>0.282149</v>
      </c>
      <c r="HS86">
        <v>3.42652</v>
      </c>
      <c r="HT86">
        <v>20.1171</v>
      </c>
      <c r="HU86">
        <v>5.19692</v>
      </c>
      <c r="HV86">
        <v>12.0076</v>
      </c>
      <c r="HW86">
        <v>4.97425</v>
      </c>
      <c r="HX86">
        <v>3.294</v>
      </c>
      <c r="HY86">
        <v>9999</v>
      </c>
      <c r="HZ86">
        <v>9999</v>
      </c>
      <c r="IA86">
        <v>9999</v>
      </c>
      <c r="IB86">
        <v>999.9</v>
      </c>
      <c r="IC86">
        <v>1.86324</v>
      </c>
      <c r="ID86">
        <v>1.86813</v>
      </c>
      <c r="IE86">
        <v>1.86785</v>
      </c>
      <c r="IF86">
        <v>1.86905</v>
      </c>
      <c r="IG86">
        <v>1.86982</v>
      </c>
      <c r="IH86">
        <v>1.86589</v>
      </c>
      <c r="II86">
        <v>1.86703</v>
      </c>
      <c r="IJ86">
        <v>1.86844</v>
      </c>
      <c r="IK86">
        <v>5</v>
      </c>
      <c r="IL86">
        <v>0</v>
      </c>
      <c r="IM86">
        <v>0</v>
      </c>
      <c r="IN86">
        <v>0</v>
      </c>
      <c r="IO86" t="s">
        <v>443</v>
      </c>
      <c r="IP86" t="s">
        <v>444</v>
      </c>
      <c r="IQ86" t="s">
        <v>445</v>
      </c>
      <c r="IR86" t="s">
        <v>445</v>
      </c>
      <c r="IS86" t="s">
        <v>445</v>
      </c>
      <c r="IT86" t="s">
        <v>445</v>
      </c>
      <c r="IU86">
        <v>0</v>
      </c>
      <c r="IV86">
        <v>100</v>
      </c>
      <c r="IW86">
        <v>100</v>
      </c>
      <c r="IX86">
        <v>2.92</v>
      </c>
      <c r="IY86">
        <v>-0.1009</v>
      </c>
      <c r="IZ86">
        <v>1.24656194001752</v>
      </c>
      <c r="JA86">
        <v>0.00408463137630218</v>
      </c>
      <c r="JB86">
        <v>-2.23906557180379e-07</v>
      </c>
      <c r="JC86">
        <v>6.23399102760906e-11</v>
      </c>
      <c r="JD86">
        <v>-0.0873394905990972</v>
      </c>
      <c r="JE86">
        <v>-0.0233348201324191</v>
      </c>
      <c r="JF86">
        <v>0.00274696999164489</v>
      </c>
      <c r="JG86">
        <v>-3.62864435074646e-05</v>
      </c>
      <c r="JH86">
        <v>5</v>
      </c>
      <c r="JI86">
        <v>2263</v>
      </c>
      <c r="JJ86">
        <v>1</v>
      </c>
      <c r="JK86">
        <v>24</v>
      </c>
      <c r="JL86">
        <v>29361471.7</v>
      </c>
      <c r="JM86">
        <v>29361471.7</v>
      </c>
      <c r="JN86">
        <v>1.25366</v>
      </c>
      <c r="JO86">
        <v>2.61597</v>
      </c>
      <c r="JP86">
        <v>2.19849</v>
      </c>
      <c r="JQ86">
        <v>2.62573</v>
      </c>
      <c r="JR86">
        <v>2.44507</v>
      </c>
      <c r="JS86">
        <v>2.33154</v>
      </c>
      <c r="JT86">
        <v>33.4906</v>
      </c>
      <c r="JU86">
        <v>24.2013</v>
      </c>
      <c r="JV86">
        <v>18</v>
      </c>
      <c r="JW86">
        <v>503.25</v>
      </c>
      <c r="JX86">
        <v>793.943</v>
      </c>
      <c r="JY86">
        <v>20.2153</v>
      </c>
      <c r="JZ86">
        <v>30.9596</v>
      </c>
      <c r="KA86">
        <v>29.9998</v>
      </c>
      <c r="KB86">
        <v>30.9549</v>
      </c>
      <c r="KC86">
        <v>30.8929</v>
      </c>
      <c r="KD86">
        <v>25.1228</v>
      </c>
      <c r="KE86">
        <v>0.809456</v>
      </c>
      <c r="KF86">
        <v>19.5024</v>
      </c>
      <c r="KG86">
        <v>20.2224</v>
      </c>
      <c r="KH86">
        <v>420</v>
      </c>
      <c r="KI86">
        <v>8.59326</v>
      </c>
      <c r="KJ86">
        <v>96.068</v>
      </c>
      <c r="KK86">
        <v>93.9436</v>
      </c>
    </row>
    <row r="87" spans="1:297">
      <c r="A87">
        <v>71</v>
      </c>
      <c r="B87">
        <v>1761688993.1</v>
      </c>
      <c r="C87">
        <v>11644</v>
      </c>
      <c r="D87" t="s">
        <v>671</v>
      </c>
      <c r="E87" t="s">
        <v>672</v>
      </c>
      <c r="F87">
        <v>5</v>
      </c>
      <c r="G87" t="s">
        <v>673</v>
      </c>
      <c r="H87" t="s">
        <v>436</v>
      </c>
      <c r="I87">
        <v>1761688984.6</v>
      </c>
      <c r="J87">
        <f>(K87)/1000</f>
        <v>0</v>
      </c>
      <c r="K87">
        <f>IF(DP87, AN87, AH87)</f>
        <v>0</v>
      </c>
      <c r="L87">
        <f>IF(DP87, AI87, AG87)</f>
        <v>0</v>
      </c>
      <c r="M87">
        <f>DR87 - IF(AU87&gt;1, L87*DL87*100.0/(AW87), 0)</f>
        <v>0</v>
      </c>
      <c r="N87">
        <f>((T87-J87/2)*M87-L87)/(T87+J87/2)</f>
        <v>0</v>
      </c>
      <c r="O87">
        <f>N87*(DY87+DZ87)/1000.0</f>
        <v>0</v>
      </c>
      <c r="P87">
        <f>(DR87 - IF(AU87&gt;1, L87*DL87*100.0/(AW87), 0))*(DY87+DZ87)/1000.0</f>
        <v>0</v>
      </c>
      <c r="Q87">
        <f>2.0/((1/S87-1/R87)+SIGN(S87)*SQRT((1/S87-1/R87)*(1/S87-1/R87) + 4*DM87/((DM87+1)*(DM87+1))*(2*1/S87*1/R87-1/R87*1/R87)))</f>
        <v>0</v>
      </c>
      <c r="R87">
        <f>IF(LEFT(DN87,1)&lt;&gt;"0",IF(LEFT(DN87,1)="1",3.0,DO87),$D$5+$E$5*(EF87*DY87/($K$5*1000))+$F$5*(EF87*DY87/($K$5*1000))*MAX(MIN(DL87,$J$5),$I$5)*MAX(MIN(DL87,$J$5),$I$5)+$G$5*MAX(MIN(DL87,$J$5),$I$5)*(EF87*DY87/($K$5*1000))+$H$5*(EF87*DY87/($K$5*1000))*(EF87*DY87/($K$5*1000)))</f>
        <v>0</v>
      </c>
      <c r="S87">
        <f>J87*(1000-(1000*0.61365*exp(17.502*W87/(240.97+W87))/(DY87+DZ87)+DT87)/2)/(1000*0.61365*exp(17.502*W87/(240.97+W87))/(DY87+DZ87)-DT87)</f>
        <v>0</v>
      </c>
      <c r="T87">
        <f>1/((DM87+1)/(Q87/1.6)+1/(R87/1.37)) + DM87/((DM87+1)/(Q87/1.6) + DM87/(R87/1.37))</f>
        <v>0</v>
      </c>
      <c r="U87">
        <f>(DH87*DK87)</f>
        <v>0</v>
      </c>
      <c r="V87">
        <f>(EA87+(U87+2*0.95*5.67E-8*(((EA87+$B$7)+273)^4-(EA87+273)^4)-44100*J87)/(1.84*29.3*R87+8*0.95*5.67E-8*(EA87+273)^3))</f>
        <v>0</v>
      </c>
      <c r="W87">
        <f>($C$7*EB87+$D$7*EC87+$E$7*V87)</f>
        <v>0</v>
      </c>
      <c r="X87">
        <f>0.61365*exp(17.502*W87/(240.97+W87))</f>
        <v>0</v>
      </c>
      <c r="Y87">
        <f>(Z87/AA87*100)</f>
        <v>0</v>
      </c>
      <c r="Z87">
        <f>DT87*(DY87+DZ87)/1000</f>
        <v>0</v>
      </c>
      <c r="AA87">
        <f>0.61365*exp(17.502*EA87/(240.97+EA87))</f>
        <v>0</v>
      </c>
      <c r="AB87">
        <f>(X87-DT87*(DY87+DZ87)/1000)</f>
        <v>0</v>
      </c>
      <c r="AC87">
        <f>(-J87*44100)</f>
        <v>0</v>
      </c>
      <c r="AD87">
        <f>2*29.3*R87*0.92*(EA87-W87)</f>
        <v>0</v>
      </c>
      <c r="AE87">
        <f>2*0.95*5.67E-8*(((EA87+$B$7)+273)^4-(W87+273)^4)</f>
        <v>0</v>
      </c>
      <c r="AF87">
        <f>U87+AE87+AC87+AD87</f>
        <v>0</v>
      </c>
      <c r="AG87">
        <f>DX87*AU87*(DS87-DR87*(1000-AU87*DU87)/(1000-AU87*DT87))/(100*DL87)</f>
        <v>0</v>
      </c>
      <c r="AH87">
        <f>1000*DX87*AU87*(DT87-DU87)/(100*DL87*(1000-AU87*DT87))</f>
        <v>0</v>
      </c>
      <c r="AI87">
        <f>(AJ87 - AK87 - DY87*1E3/(8.314*(EA87+273.15)) * AM87/DX87 * AL87) * DX87/(100*DL87) * (1000 - DU87)/1000</f>
        <v>0</v>
      </c>
      <c r="AJ87">
        <v>422.743462613719</v>
      </c>
      <c r="AK87">
        <v>411.940139393939</v>
      </c>
      <c r="AL87">
        <v>-0.000236293098590037</v>
      </c>
      <c r="AM87">
        <v>64.2037741062357</v>
      </c>
      <c r="AN87">
        <f>(AP87 - AO87 + DY87*1E3/(8.314*(EA87+273.15)) * AR87/DX87 * AQ87) * DX87/(100*DL87) * 1000/(1000 - AP87)</f>
        <v>0</v>
      </c>
      <c r="AO87">
        <v>6.53063485032467</v>
      </c>
      <c r="AP87">
        <v>8.30256034965035</v>
      </c>
      <c r="AQ87">
        <v>1.07956122309105e-05</v>
      </c>
      <c r="AR87">
        <v>109.12</v>
      </c>
      <c r="AS87">
        <v>0</v>
      </c>
      <c r="AT87">
        <v>0</v>
      </c>
      <c r="AU87">
        <f>IF(AS87*$H$13&gt;=AW87,1.0,(AW87/(AW87-AS87*$H$13)))</f>
        <v>0</v>
      </c>
      <c r="AV87">
        <f>(AU87-1)*100</f>
        <v>0</v>
      </c>
      <c r="AW87">
        <f>MAX(0,($B$13+$C$13*EF87)/(1+$D$13*EF87)*DY87/(EA87+273)*$E$13)</f>
        <v>0</v>
      </c>
      <c r="AX87" t="s">
        <v>670</v>
      </c>
      <c r="AY87">
        <v>5109.44</v>
      </c>
      <c r="AZ87">
        <v>735.712</v>
      </c>
      <c r="BA87">
        <v>1673.25788318157</v>
      </c>
      <c r="BB87">
        <f>1-AZ87/BA87</f>
        <v>0</v>
      </c>
      <c r="BC87">
        <v>-0.911393318165212</v>
      </c>
      <c r="BD87" t="s">
        <v>674</v>
      </c>
      <c r="BE87">
        <v>5122.98</v>
      </c>
      <c r="BF87">
        <v>1767.1424</v>
      </c>
      <c r="BG87">
        <v>1995.13093758325</v>
      </c>
      <c r="BH87">
        <f>1-BF87/BG87</f>
        <v>0</v>
      </c>
      <c r="BI87">
        <v>0.5</v>
      </c>
      <c r="BJ87">
        <f>DI87</f>
        <v>0</v>
      </c>
      <c r="BK87">
        <f>L87</f>
        <v>0</v>
      </c>
      <c r="BL87">
        <f>BH87*BI87*BJ87</f>
        <v>0</v>
      </c>
      <c r="BM87">
        <f>(BK87-BC87)/BJ87</f>
        <v>0</v>
      </c>
      <c r="BN87">
        <f>(BA87-BG87)/BG87</f>
        <v>0</v>
      </c>
      <c r="BO87">
        <f>AZ87/(BB87+AZ87/BG87)</f>
        <v>0</v>
      </c>
      <c r="BP87" t="s">
        <v>675</v>
      </c>
      <c r="BQ87">
        <v>829.47</v>
      </c>
      <c r="BR87">
        <f>IF(BQ87&lt;&gt;0, BQ87, BO87)</f>
        <v>0</v>
      </c>
      <c r="BS87">
        <f>1-BR87/BG87</f>
        <v>0</v>
      </c>
      <c r="BT87">
        <f>(BG87-BF87)/(BG87-BR87)</f>
        <v>0</v>
      </c>
      <c r="BU87">
        <f>(BA87-BG87)/(BA87-BR87)</f>
        <v>0</v>
      </c>
      <c r="BV87">
        <f>(BG87-BF87)/(BG87-AZ87)</f>
        <v>0</v>
      </c>
      <c r="BW87">
        <f>(BA87-BG87)/(BA87-AZ87)</f>
        <v>0</v>
      </c>
      <c r="BX87">
        <f>(BT87*BR87/BF87)</f>
        <v>0</v>
      </c>
      <c r="BY87">
        <f>(1-BX87)</f>
        <v>0</v>
      </c>
      <c r="BZ87">
        <v>81</v>
      </c>
      <c r="CA87">
        <v>290</v>
      </c>
      <c r="CB87">
        <v>1901.06</v>
      </c>
      <c r="CC87">
        <v>115</v>
      </c>
      <c r="CD87">
        <v>5122.98</v>
      </c>
      <c r="CE87">
        <v>1899.48</v>
      </c>
      <c r="CF87">
        <v>1.58</v>
      </c>
      <c r="CG87">
        <v>300</v>
      </c>
      <c r="CH87">
        <v>23.7</v>
      </c>
      <c r="CI87">
        <v>1995.13093758325</v>
      </c>
      <c r="CJ87">
        <v>3.0506099787883</v>
      </c>
      <c r="CK87">
        <v>-49.0033480209234</v>
      </c>
      <c r="CL87">
        <v>1.4398014462914</v>
      </c>
      <c r="CM87">
        <v>0.976398540634393</v>
      </c>
      <c r="CN87">
        <v>-0.0025568614015573</v>
      </c>
      <c r="CO87">
        <v>290</v>
      </c>
      <c r="CP87">
        <v>1898.33</v>
      </c>
      <c r="CQ87">
        <v>655</v>
      </c>
      <c r="CR87">
        <v>5120.17</v>
      </c>
      <c r="CS87">
        <v>1899.42</v>
      </c>
      <c r="CT87">
        <v>-1.09</v>
      </c>
      <c r="DH87">
        <f>$B$11*EG87+$C$11*EH87+$F$11*ES87*(1-EV87)</f>
        <v>0</v>
      </c>
      <c r="DI87">
        <f>DH87*DJ87</f>
        <v>0</v>
      </c>
      <c r="DJ87">
        <f>($B$11*$D$9+$C$11*$D$9+$F$11*((FF87+EX87)/MAX(FF87+EX87+FG87, 0.1)*$I$9+FG87/MAX(FF87+EX87+FG87, 0.1)*$J$9))/($B$11+$C$11+$F$11)</f>
        <v>0</v>
      </c>
      <c r="DK87">
        <f>($B$11*$K$9+$C$11*$K$9+$F$11*((FF87+EX87)/MAX(FF87+EX87+FG87, 0.1)*$P$9+FG87/MAX(FF87+EX87+FG87, 0.1)*$Q$9))/($B$11+$C$11+$F$11)</f>
        <v>0</v>
      </c>
      <c r="DL87">
        <v>6</v>
      </c>
      <c r="DM87">
        <v>0.5</v>
      </c>
      <c r="DN87" t="s">
        <v>440</v>
      </c>
      <c r="DO87">
        <v>2</v>
      </c>
      <c r="DP87" t="b">
        <v>1</v>
      </c>
      <c r="DQ87">
        <v>1761688984.6</v>
      </c>
      <c r="DR87">
        <v>408.5708125</v>
      </c>
      <c r="DS87">
        <v>419.993</v>
      </c>
      <c r="DT87">
        <v>8.296758125</v>
      </c>
      <c r="DU87">
        <v>6.530685</v>
      </c>
      <c r="DV87">
        <v>405.7</v>
      </c>
      <c r="DW87">
        <v>8.407674375</v>
      </c>
      <c r="DX87">
        <v>499.81825</v>
      </c>
      <c r="DY87">
        <v>91.0076875</v>
      </c>
      <c r="DZ87">
        <v>0.02412733125</v>
      </c>
      <c r="EA87">
        <v>23.14938125</v>
      </c>
      <c r="EB87">
        <v>23.960425</v>
      </c>
      <c r="EC87">
        <v>999.9</v>
      </c>
      <c r="ED87">
        <v>0</v>
      </c>
      <c r="EE87">
        <v>0</v>
      </c>
      <c r="EF87">
        <v>10009.25</v>
      </c>
      <c r="EG87">
        <v>0</v>
      </c>
      <c r="EH87">
        <v>1281.52</v>
      </c>
      <c r="EI87">
        <v>-11.4219625</v>
      </c>
      <c r="EJ87">
        <v>411.989125</v>
      </c>
      <c r="EK87">
        <v>422.753875</v>
      </c>
      <c r="EL87">
        <v>1.76607375</v>
      </c>
      <c r="EM87">
        <v>419.993</v>
      </c>
      <c r="EN87">
        <v>6.530685</v>
      </c>
      <c r="EO87">
        <v>0.755068875</v>
      </c>
      <c r="EP87">
        <v>0.5943425625</v>
      </c>
      <c r="EQ87">
        <v>2.889531875</v>
      </c>
      <c r="ER87">
        <v>-0.4393515</v>
      </c>
      <c r="ES87">
        <v>2000.005</v>
      </c>
      <c r="ET87">
        <v>0.980005</v>
      </c>
      <c r="EU87">
        <v>0.01999496875</v>
      </c>
      <c r="EV87">
        <v>0</v>
      </c>
      <c r="EW87">
        <v>1767.2325</v>
      </c>
      <c r="EX87">
        <v>5.00059</v>
      </c>
      <c r="EY87">
        <v>35115.68125</v>
      </c>
      <c r="EZ87">
        <v>17360.38125</v>
      </c>
      <c r="FA87">
        <v>40.937</v>
      </c>
      <c r="FB87">
        <v>41.562</v>
      </c>
      <c r="FC87">
        <v>40.550375</v>
      </c>
      <c r="FD87">
        <v>41</v>
      </c>
      <c r="FE87">
        <v>41.5</v>
      </c>
      <c r="FF87">
        <v>1955.115</v>
      </c>
      <c r="FG87">
        <v>39.89</v>
      </c>
      <c r="FH87">
        <v>0</v>
      </c>
      <c r="FI87">
        <v>691.700000047684</v>
      </c>
      <c r="FJ87">
        <v>0</v>
      </c>
      <c r="FK87">
        <v>1767.1424</v>
      </c>
      <c r="FL87">
        <v>-12.5176923183248</v>
      </c>
      <c r="FM87">
        <v>-228.538461413179</v>
      </c>
      <c r="FN87">
        <v>35111.556</v>
      </c>
      <c r="FO87">
        <v>15</v>
      </c>
      <c r="FP87">
        <v>0</v>
      </c>
      <c r="FQ87" t="s">
        <v>441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-11.4082142857143</v>
      </c>
      <c r="GD87">
        <v>-0.263251948051938</v>
      </c>
      <c r="GE87">
        <v>0.033930240560447</v>
      </c>
      <c r="GF87">
        <v>1</v>
      </c>
      <c r="GG87">
        <v>1768.00558823529</v>
      </c>
      <c r="GH87">
        <v>-11.5411764659743</v>
      </c>
      <c r="GI87">
        <v>1.15747491695976</v>
      </c>
      <c r="GJ87">
        <v>-1</v>
      </c>
      <c r="GK87">
        <v>1.76482904761905</v>
      </c>
      <c r="GL87">
        <v>0.0216225974025985</v>
      </c>
      <c r="GM87">
        <v>0.00257148633092098</v>
      </c>
      <c r="GN87">
        <v>1</v>
      </c>
      <c r="GO87">
        <v>2</v>
      </c>
      <c r="GP87">
        <v>2</v>
      </c>
      <c r="GQ87" t="s">
        <v>442</v>
      </c>
      <c r="GR87">
        <v>3.12793</v>
      </c>
      <c r="GS87">
        <v>2.70186</v>
      </c>
      <c r="GT87">
        <v>0.0871581</v>
      </c>
      <c r="GU87">
        <v>0.0896503</v>
      </c>
      <c r="GV87">
        <v>0.0462609</v>
      </c>
      <c r="GW87">
        <v>0.038088</v>
      </c>
      <c r="GX87">
        <v>34142.8</v>
      </c>
      <c r="GY87">
        <v>36447.8</v>
      </c>
      <c r="GZ87">
        <v>33858.3</v>
      </c>
      <c r="HA87">
        <v>36268.8</v>
      </c>
      <c r="HB87">
        <v>45646.1</v>
      </c>
      <c r="HC87">
        <v>50071</v>
      </c>
      <c r="HD87">
        <v>52819.1</v>
      </c>
      <c r="HE87">
        <v>57922.4</v>
      </c>
      <c r="HF87">
        <v>1.90663</v>
      </c>
      <c r="HG87">
        <v>2.2803</v>
      </c>
      <c r="HH87">
        <v>0.0392273</v>
      </c>
      <c r="HI87">
        <v>0</v>
      </c>
      <c r="HJ87">
        <v>23.2378</v>
      </c>
      <c r="HK87">
        <v>999.9</v>
      </c>
      <c r="HL87">
        <v>22.384</v>
      </c>
      <c r="HM87">
        <v>30.041</v>
      </c>
      <c r="HN87">
        <v>10.5034</v>
      </c>
      <c r="HO87">
        <v>55.2576</v>
      </c>
      <c r="HP87">
        <v>31.1699</v>
      </c>
      <c r="HQ87">
        <v>2</v>
      </c>
      <c r="HR87">
        <v>0.330015</v>
      </c>
      <c r="HS87">
        <v>6.35842</v>
      </c>
      <c r="HT87">
        <v>20.0216</v>
      </c>
      <c r="HU87">
        <v>5.19812</v>
      </c>
      <c r="HV87">
        <v>12.0089</v>
      </c>
      <c r="HW87">
        <v>4.9756</v>
      </c>
      <c r="HX87">
        <v>3.294</v>
      </c>
      <c r="HY87">
        <v>9999</v>
      </c>
      <c r="HZ87">
        <v>9999</v>
      </c>
      <c r="IA87">
        <v>9999</v>
      </c>
      <c r="IB87">
        <v>999.9</v>
      </c>
      <c r="IC87">
        <v>1.86324</v>
      </c>
      <c r="ID87">
        <v>1.86813</v>
      </c>
      <c r="IE87">
        <v>1.86783</v>
      </c>
      <c r="IF87">
        <v>1.86905</v>
      </c>
      <c r="IG87">
        <v>1.86984</v>
      </c>
      <c r="IH87">
        <v>1.86588</v>
      </c>
      <c r="II87">
        <v>1.86698</v>
      </c>
      <c r="IJ87">
        <v>1.86844</v>
      </c>
      <c r="IK87">
        <v>5</v>
      </c>
      <c r="IL87">
        <v>0</v>
      </c>
      <c r="IM87">
        <v>0</v>
      </c>
      <c r="IN87">
        <v>0</v>
      </c>
      <c r="IO87" t="s">
        <v>443</v>
      </c>
      <c r="IP87" t="s">
        <v>444</v>
      </c>
      <c r="IQ87" t="s">
        <v>445</v>
      </c>
      <c r="IR87" t="s">
        <v>445</v>
      </c>
      <c r="IS87" t="s">
        <v>445</v>
      </c>
      <c r="IT87" t="s">
        <v>445</v>
      </c>
      <c r="IU87">
        <v>0</v>
      </c>
      <c r="IV87">
        <v>100</v>
      </c>
      <c r="IW87">
        <v>100</v>
      </c>
      <c r="IX87">
        <v>2.871</v>
      </c>
      <c r="IY87">
        <v>-0.1108</v>
      </c>
      <c r="IZ87">
        <v>1.24656194001752</v>
      </c>
      <c r="JA87">
        <v>0.00408463137630218</v>
      </c>
      <c r="JB87">
        <v>-2.23906557180379e-07</v>
      </c>
      <c r="JC87">
        <v>6.23399102760906e-11</v>
      </c>
      <c r="JD87">
        <v>-0.0873394905990972</v>
      </c>
      <c r="JE87">
        <v>-0.0233348201324191</v>
      </c>
      <c r="JF87">
        <v>0.00274696999164489</v>
      </c>
      <c r="JG87">
        <v>-3.62864435074646e-05</v>
      </c>
      <c r="JH87">
        <v>5</v>
      </c>
      <c r="JI87">
        <v>2263</v>
      </c>
      <c r="JJ87">
        <v>1</v>
      </c>
      <c r="JK87">
        <v>24</v>
      </c>
      <c r="JL87">
        <v>29361483.2</v>
      </c>
      <c r="JM87">
        <v>29361483.2</v>
      </c>
      <c r="JN87">
        <v>1.25244</v>
      </c>
      <c r="JO87">
        <v>2.62085</v>
      </c>
      <c r="JP87">
        <v>2.19849</v>
      </c>
      <c r="JQ87">
        <v>2.62451</v>
      </c>
      <c r="JR87">
        <v>2.44507</v>
      </c>
      <c r="JS87">
        <v>2.31445</v>
      </c>
      <c r="JT87">
        <v>33.558</v>
      </c>
      <c r="JU87">
        <v>24.14</v>
      </c>
      <c r="JV87">
        <v>18</v>
      </c>
      <c r="JW87">
        <v>498.788</v>
      </c>
      <c r="JX87">
        <v>787.437</v>
      </c>
      <c r="JY87">
        <v>14.9941</v>
      </c>
      <c r="JZ87">
        <v>31.3534</v>
      </c>
      <c r="KA87">
        <v>29.998</v>
      </c>
      <c r="KB87">
        <v>31.2164</v>
      </c>
      <c r="KC87">
        <v>31.1206</v>
      </c>
      <c r="KD87">
        <v>25.1002</v>
      </c>
      <c r="KE87">
        <v>21.7275</v>
      </c>
      <c r="KF87">
        <v>15.0394</v>
      </c>
      <c r="KG87">
        <v>15.0718</v>
      </c>
      <c r="KH87">
        <v>420</v>
      </c>
      <c r="KI87">
        <v>6.50056</v>
      </c>
      <c r="KJ87">
        <v>96.0138</v>
      </c>
      <c r="KK87">
        <v>93.874</v>
      </c>
    </row>
    <row r="88" spans="1:297">
      <c r="A88">
        <v>72</v>
      </c>
      <c r="B88">
        <v>1761689063.1</v>
      </c>
      <c r="C88">
        <v>11714</v>
      </c>
      <c r="D88" t="s">
        <v>676</v>
      </c>
      <c r="E88" t="s">
        <v>677</v>
      </c>
      <c r="F88">
        <v>5</v>
      </c>
      <c r="G88" t="s">
        <v>673</v>
      </c>
      <c r="H88" t="s">
        <v>436</v>
      </c>
      <c r="I88">
        <v>1761689054.6</v>
      </c>
      <c r="J88">
        <f>(K88)/1000</f>
        <v>0</v>
      </c>
      <c r="K88">
        <f>IF(DP88, AN88, AH88)</f>
        <v>0</v>
      </c>
      <c r="L88">
        <f>IF(DP88, AI88, AG88)</f>
        <v>0</v>
      </c>
      <c r="M88">
        <f>DR88 - IF(AU88&gt;1, L88*DL88*100.0/(AW88), 0)</f>
        <v>0</v>
      </c>
      <c r="N88">
        <f>((T88-J88/2)*M88-L88)/(T88+J88/2)</f>
        <v>0</v>
      </c>
      <c r="O88">
        <f>N88*(DY88+DZ88)/1000.0</f>
        <v>0</v>
      </c>
      <c r="P88">
        <f>(DR88 - IF(AU88&gt;1, L88*DL88*100.0/(AW88), 0))*(DY88+DZ88)/1000.0</f>
        <v>0</v>
      </c>
      <c r="Q88">
        <f>2.0/((1/S88-1/R88)+SIGN(S88)*SQRT((1/S88-1/R88)*(1/S88-1/R88) + 4*DM88/((DM88+1)*(DM88+1))*(2*1/S88*1/R88-1/R88*1/R88)))</f>
        <v>0</v>
      </c>
      <c r="R88">
        <f>IF(LEFT(DN88,1)&lt;&gt;"0",IF(LEFT(DN88,1)="1",3.0,DO88),$D$5+$E$5*(EF88*DY88/($K$5*1000))+$F$5*(EF88*DY88/($K$5*1000))*MAX(MIN(DL88,$J$5),$I$5)*MAX(MIN(DL88,$J$5),$I$5)+$G$5*MAX(MIN(DL88,$J$5),$I$5)*(EF88*DY88/($K$5*1000))+$H$5*(EF88*DY88/($K$5*1000))*(EF88*DY88/($K$5*1000)))</f>
        <v>0</v>
      </c>
      <c r="S88">
        <f>J88*(1000-(1000*0.61365*exp(17.502*W88/(240.97+W88))/(DY88+DZ88)+DT88)/2)/(1000*0.61365*exp(17.502*W88/(240.97+W88))/(DY88+DZ88)-DT88)</f>
        <v>0</v>
      </c>
      <c r="T88">
        <f>1/((DM88+1)/(Q88/1.6)+1/(R88/1.37)) + DM88/((DM88+1)/(Q88/1.6) + DM88/(R88/1.37))</f>
        <v>0</v>
      </c>
      <c r="U88">
        <f>(DH88*DK88)</f>
        <v>0</v>
      </c>
      <c r="V88">
        <f>(EA88+(U88+2*0.95*5.67E-8*(((EA88+$B$7)+273)^4-(EA88+273)^4)-44100*J88)/(1.84*29.3*R88+8*0.95*5.67E-8*(EA88+273)^3))</f>
        <v>0</v>
      </c>
      <c r="W88">
        <f>($C$7*EB88+$D$7*EC88+$E$7*V88)</f>
        <v>0</v>
      </c>
      <c r="X88">
        <f>0.61365*exp(17.502*W88/(240.97+W88))</f>
        <v>0</v>
      </c>
      <c r="Y88">
        <f>(Z88/AA88*100)</f>
        <v>0</v>
      </c>
      <c r="Z88">
        <f>DT88*(DY88+DZ88)/1000</f>
        <v>0</v>
      </c>
      <c r="AA88">
        <f>0.61365*exp(17.502*EA88/(240.97+EA88))</f>
        <v>0</v>
      </c>
      <c r="AB88">
        <f>(X88-DT88*(DY88+DZ88)/1000)</f>
        <v>0</v>
      </c>
      <c r="AC88">
        <f>(-J88*44100)</f>
        <v>0</v>
      </c>
      <c r="AD88">
        <f>2*29.3*R88*0.92*(EA88-W88)</f>
        <v>0</v>
      </c>
      <c r="AE88">
        <f>2*0.95*5.67E-8*(((EA88+$B$7)+273)^4-(W88+273)^4)</f>
        <v>0</v>
      </c>
      <c r="AF88">
        <f>U88+AE88+AC88+AD88</f>
        <v>0</v>
      </c>
      <c r="AG88">
        <f>DX88*AU88*(DS88-DR88*(1000-AU88*DU88)/(1000-AU88*DT88))/(100*DL88)</f>
        <v>0</v>
      </c>
      <c r="AH88">
        <f>1000*DX88*AU88*(DT88-DU88)/(100*DL88*(1000-AU88*DT88))</f>
        <v>0</v>
      </c>
      <c r="AI88">
        <f>(AJ88 - AK88 - DY88*1E3/(8.314*(EA88+273.15)) * AM88/DX88 * AL88) * DX88/(100*DL88) * (1000 - DU88)/1000</f>
        <v>0</v>
      </c>
      <c r="AJ88">
        <v>422.72046145243</v>
      </c>
      <c r="AK88">
        <v>411.840563636363</v>
      </c>
      <c r="AL88">
        <v>-0.0012267093301097</v>
      </c>
      <c r="AM88">
        <v>64.2037741062357</v>
      </c>
      <c r="AN88">
        <f>(AP88 - AO88 + DY88*1E3/(8.314*(EA88+273.15)) * AR88/DX88 * AQ88) * DX88/(100*DL88) * 1000/(1000 - AP88)</f>
        <v>0</v>
      </c>
      <c r="AO88">
        <v>6.45731240779221</v>
      </c>
      <c r="AP88">
        <v>8.31261790209791</v>
      </c>
      <c r="AQ88">
        <v>0.000100049082992567</v>
      </c>
      <c r="AR88">
        <v>109.12</v>
      </c>
      <c r="AS88">
        <v>0</v>
      </c>
      <c r="AT88">
        <v>0</v>
      </c>
      <c r="AU88">
        <f>IF(AS88*$H$13&gt;=AW88,1.0,(AW88/(AW88-AS88*$H$13)))</f>
        <v>0</v>
      </c>
      <c r="AV88">
        <f>(AU88-1)*100</f>
        <v>0</v>
      </c>
      <c r="AW88">
        <f>MAX(0,($B$13+$C$13*EF88)/(1+$D$13*EF88)*DY88/(EA88+273)*$E$13)</f>
        <v>0</v>
      </c>
      <c r="AX88" t="s">
        <v>448</v>
      </c>
      <c r="AY88" t="s">
        <v>448</v>
      </c>
      <c r="AZ88">
        <v>0</v>
      </c>
      <c r="BA88">
        <v>0</v>
      </c>
      <c r="BB88">
        <f>1-AZ88/BA88</f>
        <v>0</v>
      </c>
      <c r="BC88">
        <v>0</v>
      </c>
      <c r="BD88" t="s">
        <v>448</v>
      </c>
      <c r="BE88" t="s">
        <v>448</v>
      </c>
      <c r="BF88">
        <v>0</v>
      </c>
      <c r="BG88">
        <v>0</v>
      </c>
      <c r="BH88">
        <f>1-BF88/BG88</f>
        <v>0</v>
      </c>
      <c r="BI88">
        <v>0.5</v>
      </c>
      <c r="BJ88">
        <f>DI88</f>
        <v>0</v>
      </c>
      <c r="BK88">
        <f>L88</f>
        <v>0</v>
      </c>
      <c r="BL88">
        <f>BH88*BI88*BJ88</f>
        <v>0</v>
      </c>
      <c r="BM88">
        <f>(BK88-BC88)/BJ88</f>
        <v>0</v>
      </c>
      <c r="BN88">
        <f>(BA88-BG88)/BG88</f>
        <v>0</v>
      </c>
      <c r="BO88">
        <f>AZ88/(BB88+AZ88/BG88)</f>
        <v>0</v>
      </c>
      <c r="BP88" t="s">
        <v>448</v>
      </c>
      <c r="BQ88">
        <v>0</v>
      </c>
      <c r="BR88">
        <f>IF(BQ88&lt;&gt;0, BQ88, BO88)</f>
        <v>0</v>
      </c>
      <c r="BS88">
        <f>1-BR88/BG88</f>
        <v>0</v>
      </c>
      <c r="BT88">
        <f>(BG88-BF88)/(BG88-BR88)</f>
        <v>0</v>
      </c>
      <c r="BU88">
        <f>(BA88-BG88)/(BA88-BR88)</f>
        <v>0</v>
      </c>
      <c r="BV88">
        <f>(BG88-BF88)/(BG88-AZ88)</f>
        <v>0</v>
      </c>
      <c r="BW88">
        <f>(BA88-BG88)/(BA88-AZ88)</f>
        <v>0</v>
      </c>
      <c r="BX88">
        <f>(BT88*BR88/BF88)</f>
        <v>0</v>
      </c>
      <c r="BY88">
        <f>(1-BX88)</f>
        <v>0</v>
      </c>
      <c r="BZ88">
        <v>81</v>
      </c>
      <c r="CA88">
        <v>290</v>
      </c>
      <c r="CB88">
        <v>1901.06</v>
      </c>
      <c r="CC88">
        <v>115</v>
      </c>
      <c r="CD88">
        <v>5122.98</v>
      </c>
      <c r="CE88">
        <v>1899.48</v>
      </c>
      <c r="CF88">
        <v>1.58</v>
      </c>
      <c r="CG88">
        <v>300</v>
      </c>
      <c r="CH88">
        <v>23.7</v>
      </c>
      <c r="CI88">
        <v>1995.13093758325</v>
      </c>
      <c r="CJ88">
        <v>3.0506099787883</v>
      </c>
      <c r="CK88">
        <v>-49.0033480209234</v>
      </c>
      <c r="CL88">
        <v>1.4398014462914</v>
      </c>
      <c r="CM88">
        <v>0.976398540634393</v>
      </c>
      <c r="CN88">
        <v>-0.0025568614015573</v>
      </c>
      <c r="CO88">
        <v>290</v>
      </c>
      <c r="CP88">
        <v>1898.33</v>
      </c>
      <c r="CQ88">
        <v>655</v>
      </c>
      <c r="CR88">
        <v>5120.17</v>
      </c>
      <c r="CS88">
        <v>1899.42</v>
      </c>
      <c r="CT88">
        <v>-1.09</v>
      </c>
      <c r="DH88">
        <f>$B$11*EG88+$C$11*EH88+$F$11*ES88*(1-EV88)</f>
        <v>0</v>
      </c>
      <c r="DI88">
        <f>DH88*DJ88</f>
        <v>0</v>
      </c>
      <c r="DJ88">
        <f>($B$11*$D$9+$C$11*$D$9+$F$11*((FF88+EX88)/MAX(FF88+EX88+FG88, 0.1)*$I$9+FG88/MAX(FF88+EX88+FG88, 0.1)*$J$9))/($B$11+$C$11+$F$11)</f>
        <v>0</v>
      </c>
      <c r="DK88">
        <f>($B$11*$K$9+$C$11*$K$9+$F$11*((FF88+EX88)/MAX(FF88+EX88+FG88, 0.1)*$P$9+FG88/MAX(FF88+EX88+FG88, 0.1)*$Q$9))/($B$11+$C$11+$F$11)</f>
        <v>0</v>
      </c>
      <c r="DL88">
        <v>6</v>
      </c>
      <c r="DM88">
        <v>0.5</v>
      </c>
      <c r="DN88" t="s">
        <v>440</v>
      </c>
      <c r="DO88">
        <v>2</v>
      </c>
      <c r="DP88" t="b">
        <v>1</v>
      </c>
      <c r="DQ88">
        <v>1761689054.6</v>
      </c>
      <c r="DR88">
        <v>408.4669375</v>
      </c>
      <c r="DS88">
        <v>419.9978125</v>
      </c>
      <c r="DT88">
        <v>8.303493125</v>
      </c>
      <c r="DU88">
        <v>6.457393125</v>
      </c>
      <c r="DV88">
        <v>405.5965</v>
      </c>
      <c r="DW88">
        <v>8.41431</v>
      </c>
      <c r="DX88">
        <v>499.96925</v>
      </c>
      <c r="DY88">
        <v>91.0067625</v>
      </c>
      <c r="DZ88">
        <v>0.02255691875</v>
      </c>
      <c r="EA88">
        <v>23.3653875</v>
      </c>
      <c r="EB88">
        <v>23.92345625</v>
      </c>
      <c r="EC88">
        <v>999.9</v>
      </c>
      <c r="ED88">
        <v>0</v>
      </c>
      <c r="EE88">
        <v>0</v>
      </c>
      <c r="EF88">
        <v>9994.765625</v>
      </c>
      <c r="EG88">
        <v>0</v>
      </c>
      <c r="EH88">
        <v>1281.44375</v>
      </c>
      <c r="EI88">
        <v>-11.53078125</v>
      </c>
      <c r="EJ88">
        <v>411.8870625</v>
      </c>
      <c r="EK88">
        <v>422.7275</v>
      </c>
      <c r="EL88">
        <v>1.84609875</v>
      </c>
      <c r="EM88">
        <v>419.9978125</v>
      </c>
      <c r="EN88">
        <v>6.457393125</v>
      </c>
      <c r="EO88">
        <v>0.7556739375</v>
      </c>
      <c r="EP88">
        <v>0.587666375</v>
      </c>
      <c r="EQ88">
        <v>2.900825</v>
      </c>
      <c r="ER88">
        <v>-0.5942124375</v>
      </c>
      <c r="ES88">
        <v>1799.9725</v>
      </c>
      <c r="ET88">
        <v>0.97799425</v>
      </c>
      <c r="EU88">
        <v>0.022005525</v>
      </c>
      <c r="EV88">
        <v>0</v>
      </c>
      <c r="EW88">
        <v>1734.688125</v>
      </c>
      <c r="EX88">
        <v>5.00059</v>
      </c>
      <c r="EY88">
        <v>30996.775</v>
      </c>
      <c r="EZ88">
        <v>15610.41875</v>
      </c>
      <c r="FA88">
        <v>40.9803125</v>
      </c>
      <c r="FB88">
        <v>41.75</v>
      </c>
      <c r="FC88">
        <v>40.6909375</v>
      </c>
      <c r="FD88">
        <v>41.125</v>
      </c>
      <c r="FE88">
        <v>41.601375</v>
      </c>
      <c r="FF88">
        <v>1755.4725</v>
      </c>
      <c r="FG88">
        <v>39.5</v>
      </c>
      <c r="FH88">
        <v>0</v>
      </c>
      <c r="FI88">
        <v>67.5</v>
      </c>
      <c r="FJ88">
        <v>0</v>
      </c>
      <c r="FK88">
        <v>1734.1848</v>
      </c>
      <c r="FL88">
        <v>-20.3638461681033</v>
      </c>
      <c r="FM88">
        <v>-354.03076989532</v>
      </c>
      <c r="FN88">
        <v>30988</v>
      </c>
      <c r="FO88">
        <v>15</v>
      </c>
      <c r="FP88">
        <v>0</v>
      </c>
      <c r="FQ88" t="s">
        <v>441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-11.51557</v>
      </c>
      <c r="GD88">
        <v>-0.275548872180449</v>
      </c>
      <c r="GE88">
        <v>0.0423609737848411</v>
      </c>
      <c r="GF88">
        <v>1</v>
      </c>
      <c r="GG88">
        <v>1735.55470588235</v>
      </c>
      <c r="GH88">
        <v>-20.8082505491182</v>
      </c>
      <c r="GI88">
        <v>2.05868209598236</v>
      </c>
      <c r="GJ88">
        <v>-1</v>
      </c>
      <c r="GK88">
        <v>1.843718</v>
      </c>
      <c r="GL88">
        <v>0.0778691729323346</v>
      </c>
      <c r="GM88">
        <v>0.00753481492805232</v>
      </c>
      <c r="GN88">
        <v>1</v>
      </c>
      <c r="GO88">
        <v>2</v>
      </c>
      <c r="GP88">
        <v>2</v>
      </c>
      <c r="GQ88" t="s">
        <v>442</v>
      </c>
      <c r="GR88">
        <v>3.12787</v>
      </c>
      <c r="GS88">
        <v>2.70049</v>
      </c>
      <c r="GT88">
        <v>0.0871384</v>
      </c>
      <c r="GU88">
        <v>0.0896435</v>
      </c>
      <c r="GV88">
        <v>0.0463083</v>
      </c>
      <c r="GW88">
        <v>0.0377332</v>
      </c>
      <c r="GX88">
        <v>34144.3</v>
      </c>
      <c r="GY88">
        <v>36448.7</v>
      </c>
      <c r="GZ88">
        <v>33858.9</v>
      </c>
      <c r="HA88">
        <v>36269.4</v>
      </c>
      <c r="HB88">
        <v>45644.7</v>
      </c>
      <c r="HC88">
        <v>50090.4</v>
      </c>
      <c r="HD88">
        <v>52820.1</v>
      </c>
      <c r="HE88">
        <v>57923.5</v>
      </c>
      <c r="HF88">
        <v>1.9072</v>
      </c>
      <c r="HG88">
        <v>2.28017</v>
      </c>
      <c r="HH88">
        <v>0.0451505</v>
      </c>
      <c r="HI88">
        <v>0</v>
      </c>
      <c r="HJ88">
        <v>23.2672</v>
      </c>
      <c r="HK88">
        <v>999.9</v>
      </c>
      <c r="HL88">
        <v>22.207</v>
      </c>
      <c r="HM88">
        <v>30.051</v>
      </c>
      <c r="HN88">
        <v>10.4263</v>
      </c>
      <c r="HO88">
        <v>54.4376</v>
      </c>
      <c r="HP88">
        <v>31.0176</v>
      </c>
      <c r="HQ88">
        <v>2</v>
      </c>
      <c r="HR88">
        <v>0.319736</v>
      </c>
      <c r="HS88">
        <v>4.75794</v>
      </c>
      <c r="HT88">
        <v>20.0713</v>
      </c>
      <c r="HU88">
        <v>5.19782</v>
      </c>
      <c r="HV88">
        <v>12.0079</v>
      </c>
      <c r="HW88">
        <v>4.9738</v>
      </c>
      <c r="HX88">
        <v>3.294</v>
      </c>
      <c r="HY88">
        <v>9999</v>
      </c>
      <c r="HZ88">
        <v>9999</v>
      </c>
      <c r="IA88">
        <v>9999</v>
      </c>
      <c r="IB88">
        <v>999.9</v>
      </c>
      <c r="IC88">
        <v>1.86325</v>
      </c>
      <c r="ID88">
        <v>1.86813</v>
      </c>
      <c r="IE88">
        <v>1.86783</v>
      </c>
      <c r="IF88">
        <v>1.86904</v>
      </c>
      <c r="IG88">
        <v>1.86983</v>
      </c>
      <c r="IH88">
        <v>1.8659</v>
      </c>
      <c r="II88">
        <v>1.86701</v>
      </c>
      <c r="IJ88">
        <v>1.86843</v>
      </c>
      <c r="IK88">
        <v>5</v>
      </c>
      <c r="IL88">
        <v>0</v>
      </c>
      <c r="IM88">
        <v>0</v>
      </c>
      <c r="IN88">
        <v>0</v>
      </c>
      <c r="IO88" t="s">
        <v>443</v>
      </c>
      <c r="IP88" t="s">
        <v>444</v>
      </c>
      <c r="IQ88" t="s">
        <v>445</v>
      </c>
      <c r="IR88" t="s">
        <v>445</v>
      </c>
      <c r="IS88" t="s">
        <v>445</v>
      </c>
      <c r="IT88" t="s">
        <v>445</v>
      </c>
      <c r="IU88">
        <v>0</v>
      </c>
      <c r="IV88">
        <v>100</v>
      </c>
      <c r="IW88">
        <v>100</v>
      </c>
      <c r="IX88">
        <v>2.87</v>
      </c>
      <c r="IY88">
        <v>-0.1107</v>
      </c>
      <c r="IZ88">
        <v>1.24656194001752</v>
      </c>
      <c r="JA88">
        <v>0.00408463137630218</v>
      </c>
      <c r="JB88">
        <v>-2.23906557180379e-07</v>
      </c>
      <c r="JC88">
        <v>6.23399102760906e-11</v>
      </c>
      <c r="JD88">
        <v>-0.0873394905990972</v>
      </c>
      <c r="JE88">
        <v>-0.0233348201324191</v>
      </c>
      <c r="JF88">
        <v>0.00274696999164489</v>
      </c>
      <c r="JG88">
        <v>-3.62864435074646e-05</v>
      </c>
      <c r="JH88">
        <v>5</v>
      </c>
      <c r="JI88">
        <v>2263</v>
      </c>
      <c r="JJ88">
        <v>1</v>
      </c>
      <c r="JK88">
        <v>24</v>
      </c>
      <c r="JL88">
        <v>29361484.4</v>
      </c>
      <c r="JM88">
        <v>29361484.4</v>
      </c>
      <c r="JN88">
        <v>1.25244</v>
      </c>
      <c r="JO88">
        <v>2.61353</v>
      </c>
      <c r="JP88">
        <v>2.19849</v>
      </c>
      <c r="JQ88">
        <v>2.62451</v>
      </c>
      <c r="JR88">
        <v>2.44507</v>
      </c>
      <c r="JS88">
        <v>2.33398</v>
      </c>
      <c r="JT88">
        <v>33.5355</v>
      </c>
      <c r="JU88">
        <v>24.1751</v>
      </c>
      <c r="JV88">
        <v>18</v>
      </c>
      <c r="JW88">
        <v>499.177</v>
      </c>
      <c r="JX88">
        <v>787.391</v>
      </c>
      <c r="JY88">
        <v>17.0684</v>
      </c>
      <c r="JZ88">
        <v>31.3411</v>
      </c>
      <c r="KA88">
        <v>30.0001</v>
      </c>
      <c r="KB88">
        <v>31.2171</v>
      </c>
      <c r="KC88">
        <v>31.126</v>
      </c>
      <c r="KD88">
        <v>25.0985</v>
      </c>
      <c r="KE88">
        <v>21.7275</v>
      </c>
      <c r="KF88">
        <v>14.6675</v>
      </c>
      <c r="KG88">
        <v>17.0861</v>
      </c>
      <c r="KH88">
        <v>420</v>
      </c>
      <c r="KI88">
        <v>6.4641</v>
      </c>
      <c r="KJ88">
        <v>96.0156</v>
      </c>
      <c r="KK88">
        <v>93.8755</v>
      </c>
    </row>
    <row r="89" spans="1:297">
      <c r="A89">
        <v>73</v>
      </c>
      <c r="B89">
        <v>1761689140.1</v>
      </c>
      <c r="C89">
        <v>11791</v>
      </c>
      <c r="D89" t="s">
        <v>678</v>
      </c>
      <c r="E89" t="s">
        <v>679</v>
      </c>
      <c r="F89">
        <v>5</v>
      </c>
      <c r="G89" t="s">
        <v>673</v>
      </c>
      <c r="H89" t="s">
        <v>436</v>
      </c>
      <c r="I89">
        <v>1761689131.6</v>
      </c>
      <c r="J89">
        <f>(K89)/1000</f>
        <v>0</v>
      </c>
      <c r="K89">
        <f>IF(DP89, AN89, AH89)</f>
        <v>0</v>
      </c>
      <c r="L89">
        <f>IF(DP89, AI89, AG89)</f>
        <v>0</v>
      </c>
      <c r="M89">
        <f>DR89 - IF(AU89&gt;1, L89*DL89*100.0/(AW89), 0)</f>
        <v>0</v>
      </c>
      <c r="N89">
        <f>((T89-J89/2)*M89-L89)/(T89+J89/2)</f>
        <v>0</v>
      </c>
      <c r="O89">
        <f>N89*(DY89+DZ89)/1000.0</f>
        <v>0</v>
      </c>
      <c r="P89">
        <f>(DR89 - IF(AU89&gt;1, L89*DL89*100.0/(AW89), 0))*(DY89+DZ89)/1000.0</f>
        <v>0</v>
      </c>
      <c r="Q89">
        <f>2.0/((1/S89-1/R89)+SIGN(S89)*SQRT((1/S89-1/R89)*(1/S89-1/R89) + 4*DM89/((DM89+1)*(DM89+1))*(2*1/S89*1/R89-1/R89*1/R89)))</f>
        <v>0</v>
      </c>
      <c r="R89">
        <f>IF(LEFT(DN89,1)&lt;&gt;"0",IF(LEFT(DN89,1)="1",3.0,DO89),$D$5+$E$5*(EF89*DY89/($K$5*1000))+$F$5*(EF89*DY89/($K$5*1000))*MAX(MIN(DL89,$J$5),$I$5)*MAX(MIN(DL89,$J$5),$I$5)+$G$5*MAX(MIN(DL89,$J$5),$I$5)*(EF89*DY89/($K$5*1000))+$H$5*(EF89*DY89/($K$5*1000))*(EF89*DY89/($K$5*1000)))</f>
        <v>0</v>
      </c>
      <c r="S89">
        <f>J89*(1000-(1000*0.61365*exp(17.502*W89/(240.97+W89))/(DY89+DZ89)+DT89)/2)/(1000*0.61365*exp(17.502*W89/(240.97+W89))/(DY89+DZ89)-DT89)</f>
        <v>0</v>
      </c>
      <c r="T89">
        <f>1/((DM89+1)/(Q89/1.6)+1/(R89/1.37)) + DM89/((DM89+1)/(Q89/1.6) + DM89/(R89/1.37))</f>
        <v>0</v>
      </c>
      <c r="U89">
        <f>(DH89*DK89)</f>
        <v>0</v>
      </c>
      <c r="V89">
        <f>(EA89+(U89+2*0.95*5.67E-8*(((EA89+$B$7)+273)^4-(EA89+273)^4)-44100*J89)/(1.84*29.3*R89+8*0.95*5.67E-8*(EA89+273)^3))</f>
        <v>0</v>
      </c>
      <c r="W89">
        <f>($C$7*EB89+$D$7*EC89+$E$7*V89)</f>
        <v>0</v>
      </c>
      <c r="X89">
        <f>0.61365*exp(17.502*W89/(240.97+W89))</f>
        <v>0</v>
      </c>
      <c r="Y89">
        <f>(Z89/AA89*100)</f>
        <v>0</v>
      </c>
      <c r="Z89">
        <f>DT89*(DY89+DZ89)/1000</f>
        <v>0</v>
      </c>
      <c r="AA89">
        <f>0.61365*exp(17.502*EA89/(240.97+EA89))</f>
        <v>0</v>
      </c>
      <c r="AB89">
        <f>(X89-DT89*(DY89+DZ89)/1000)</f>
        <v>0</v>
      </c>
      <c r="AC89">
        <f>(-J89*44100)</f>
        <v>0</v>
      </c>
      <c r="AD89">
        <f>2*29.3*R89*0.92*(EA89-W89)</f>
        <v>0</v>
      </c>
      <c r="AE89">
        <f>2*0.95*5.67E-8*(((EA89+$B$7)+273)^4-(W89+273)^4)</f>
        <v>0</v>
      </c>
      <c r="AF89">
        <f>U89+AE89+AC89+AD89</f>
        <v>0</v>
      </c>
      <c r="AG89">
        <f>DX89*AU89*(DS89-DR89*(1000-AU89*DU89)/(1000-AU89*DT89))/(100*DL89)</f>
        <v>0</v>
      </c>
      <c r="AH89">
        <f>1000*DX89*AU89*(DT89-DU89)/(100*DL89*(1000-AU89*DT89))</f>
        <v>0</v>
      </c>
      <c r="AI89">
        <f>(AJ89 - AK89 - DY89*1E3/(8.314*(EA89+273.15)) * AM89/DX89 * AL89) * DX89/(100*DL89) * (1000 - DU89)/1000</f>
        <v>0</v>
      </c>
      <c r="AJ89">
        <v>422.707724283454</v>
      </c>
      <c r="AK89">
        <v>411.714309090909</v>
      </c>
      <c r="AL89">
        <v>-0.00054145284511102</v>
      </c>
      <c r="AM89">
        <v>64.2037741062357</v>
      </c>
      <c r="AN89">
        <f>(AP89 - AO89 + DY89*1E3/(8.314*(EA89+273.15)) * AR89/DX89 * AQ89) * DX89/(100*DL89) * 1000/(1000 - AP89)</f>
        <v>0</v>
      </c>
      <c r="AO89">
        <v>6.49215505324675</v>
      </c>
      <c r="AP89">
        <v>8.37335412587413</v>
      </c>
      <c r="AQ89">
        <v>8.23697810387006e-05</v>
      </c>
      <c r="AR89">
        <v>109.12</v>
      </c>
      <c r="AS89">
        <v>0</v>
      </c>
      <c r="AT89">
        <v>0</v>
      </c>
      <c r="AU89">
        <f>IF(AS89*$H$13&gt;=AW89,1.0,(AW89/(AW89-AS89*$H$13)))</f>
        <v>0</v>
      </c>
      <c r="AV89">
        <f>(AU89-1)*100</f>
        <v>0</v>
      </c>
      <c r="AW89">
        <f>MAX(0,($B$13+$C$13*EF89)/(1+$D$13*EF89)*DY89/(EA89+273)*$E$13)</f>
        <v>0</v>
      </c>
      <c r="AX89" t="s">
        <v>670</v>
      </c>
      <c r="AY89">
        <v>5109.44</v>
      </c>
      <c r="AZ89">
        <v>735.712</v>
      </c>
      <c r="BA89">
        <v>1673.25788318157</v>
      </c>
      <c r="BB89">
        <f>1-AZ89/BA89</f>
        <v>0</v>
      </c>
      <c r="BC89">
        <v>-0.911393318165212</v>
      </c>
      <c r="BD89" t="s">
        <v>680</v>
      </c>
      <c r="BE89">
        <v>5123.15</v>
      </c>
      <c r="BF89">
        <v>1681.054</v>
      </c>
      <c r="BG89">
        <v>1985.08462789447</v>
      </c>
      <c r="BH89">
        <f>1-BF89/BG89</f>
        <v>0</v>
      </c>
      <c r="BI89">
        <v>0.5</v>
      </c>
      <c r="BJ89">
        <f>DI89</f>
        <v>0</v>
      </c>
      <c r="BK89">
        <f>L89</f>
        <v>0</v>
      </c>
      <c r="BL89">
        <f>BH89*BI89*BJ89</f>
        <v>0</v>
      </c>
      <c r="BM89">
        <f>(BK89-BC89)/BJ89</f>
        <v>0</v>
      </c>
      <c r="BN89">
        <f>(BA89-BG89)/BG89</f>
        <v>0</v>
      </c>
      <c r="BO89">
        <f>AZ89/(BB89+AZ89/BG89)</f>
        <v>0</v>
      </c>
      <c r="BP89" t="s">
        <v>681</v>
      </c>
      <c r="BQ89">
        <v>819.47</v>
      </c>
      <c r="BR89">
        <f>IF(BQ89&lt;&gt;0, BQ89, BO89)</f>
        <v>0</v>
      </c>
      <c r="BS89">
        <f>1-BR89/BG89</f>
        <v>0</v>
      </c>
      <c r="BT89">
        <f>(BG89-BF89)/(BG89-BR89)</f>
        <v>0</v>
      </c>
      <c r="BU89">
        <f>(BA89-BG89)/(BA89-BR89)</f>
        <v>0</v>
      </c>
      <c r="BV89">
        <f>(BG89-BF89)/(BG89-AZ89)</f>
        <v>0</v>
      </c>
      <c r="BW89">
        <f>(BA89-BG89)/(BA89-AZ89)</f>
        <v>0</v>
      </c>
      <c r="BX89">
        <f>(BT89*BR89/BF89)</f>
        <v>0</v>
      </c>
      <c r="BY89">
        <f>(1-BX89)</f>
        <v>0</v>
      </c>
      <c r="BZ89">
        <v>83</v>
      </c>
      <c r="CA89">
        <v>290</v>
      </c>
      <c r="CB89">
        <v>1883.91</v>
      </c>
      <c r="CC89">
        <v>265</v>
      </c>
      <c r="CD89">
        <v>5123.15</v>
      </c>
      <c r="CE89">
        <v>1883.78</v>
      </c>
      <c r="CF89">
        <v>0.13</v>
      </c>
      <c r="CG89">
        <v>300</v>
      </c>
      <c r="CH89">
        <v>23.7</v>
      </c>
      <c r="CI89">
        <v>1985.08462789447</v>
      </c>
      <c r="CJ89">
        <v>2.28369675432119</v>
      </c>
      <c r="CK89">
        <v>-51.899977149469</v>
      </c>
      <c r="CL89">
        <v>1.06248114990479</v>
      </c>
      <c r="CM89">
        <v>0.988401559801883</v>
      </c>
      <c r="CN89">
        <v>-0.00297820088987764</v>
      </c>
      <c r="CO89">
        <v>290</v>
      </c>
      <c r="CP89">
        <v>1882.08</v>
      </c>
      <c r="CQ89">
        <v>635</v>
      </c>
      <c r="CR89">
        <v>5122.37</v>
      </c>
      <c r="CS89">
        <v>1883.76</v>
      </c>
      <c r="CT89">
        <v>-1.68</v>
      </c>
      <c r="DH89">
        <f>$B$11*EG89+$C$11*EH89+$F$11*ES89*(1-EV89)</f>
        <v>0</v>
      </c>
      <c r="DI89">
        <f>DH89*DJ89</f>
        <v>0</v>
      </c>
      <c r="DJ89">
        <f>($B$11*$D$9+$C$11*$D$9+$F$11*((FF89+EX89)/MAX(FF89+EX89+FG89, 0.1)*$I$9+FG89/MAX(FF89+EX89+FG89, 0.1)*$J$9))/($B$11+$C$11+$F$11)</f>
        <v>0</v>
      </c>
      <c r="DK89">
        <f>($B$11*$K$9+$C$11*$K$9+$F$11*((FF89+EX89)/MAX(FF89+EX89+FG89, 0.1)*$P$9+FG89/MAX(FF89+EX89+FG89, 0.1)*$Q$9))/($B$11+$C$11+$F$11)</f>
        <v>0</v>
      </c>
      <c r="DL89">
        <v>6</v>
      </c>
      <c r="DM89">
        <v>0.5</v>
      </c>
      <c r="DN89" t="s">
        <v>440</v>
      </c>
      <c r="DO89">
        <v>2</v>
      </c>
      <c r="DP89" t="b">
        <v>1</v>
      </c>
      <c r="DQ89">
        <v>1761689131.6</v>
      </c>
      <c r="DR89">
        <v>408.29475</v>
      </c>
      <c r="DS89">
        <v>419.9908125</v>
      </c>
      <c r="DT89">
        <v>8.363586875</v>
      </c>
      <c r="DU89">
        <v>6.49196875</v>
      </c>
      <c r="DV89">
        <v>405.42475</v>
      </c>
      <c r="DW89">
        <v>8.473498125</v>
      </c>
      <c r="DX89">
        <v>500.027125</v>
      </c>
      <c r="DY89">
        <v>91.010925</v>
      </c>
      <c r="DZ89">
        <v>0.02207364375</v>
      </c>
      <c r="EA89">
        <v>23.49505</v>
      </c>
      <c r="EB89">
        <v>23.8684625</v>
      </c>
      <c r="EC89">
        <v>999.9</v>
      </c>
      <c r="ED89">
        <v>0</v>
      </c>
      <c r="EE89">
        <v>0</v>
      </c>
      <c r="EF89">
        <v>10004.216875</v>
      </c>
      <c r="EG89">
        <v>0</v>
      </c>
      <c r="EH89">
        <v>1281.525625</v>
      </c>
      <c r="EI89">
        <v>-11.69614375</v>
      </c>
      <c r="EJ89">
        <v>411.7381875</v>
      </c>
      <c r="EK89">
        <v>422.7351875</v>
      </c>
      <c r="EL89">
        <v>1.87161625</v>
      </c>
      <c r="EM89">
        <v>419.9908125</v>
      </c>
      <c r="EN89">
        <v>6.49196875</v>
      </c>
      <c r="EO89">
        <v>0.761177875</v>
      </c>
      <c r="EP89">
        <v>0.5908403125</v>
      </c>
      <c r="EQ89">
        <v>3.0032025</v>
      </c>
      <c r="ER89">
        <v>-0.52039925</v>
      </c>
      <c r="ES89">
        <v>1499.963125</v>
      </c>
      <c r="ET89">
        <v>0.973002</v>
      </c>
      <c r="EU89">
        <v>0.0269979125</v>
      </c>
      <c r="EV89">
        <v>0</v>
      </c>
      <c r="EW89">
        <v>1681.311875</v>
      </c>
      <c r="EX89">
        <v>5.00059</v>
      </c>
      <c r="EY89">
        <v>24968.01875</v>
      </c>
      <c r="EZ89">
        <v>12982.0625</v>
      </c>
      <c r="FA89">
        <v>40.769375</v>
      </c>
      <c r="FB89">
        <v>41.8238125</v>
      </c>
      <c r="FC89">
        <v>40.75</v>
      </c>
      <c r="FD89">
        <v>41.2381875</v>
      </c>
      <c r="FE89">
        <v>41.55425</v>
      </c>
      <c r="FF89">
        <v>1454.601875</v>
      </c>
      <c r="FG89">
        <v>40.36125</v>
      </c>
      <c r="FH89">
        <v>0</v>
      </c>
      <c r="FI89">
        <v>144.300000190735</v>
      </c>
      <c r="FJ89">
        <v>0</v>
      </c>
      <c r="FK89">
        <v>1681.054</v>
      </c>
      <c r="FL89">
        <v>-10.1476923051608</v>
      </c>
      <c r="FM89">
        <v>-146.861538102416</v>
      </c>
      <c r="FN89">
        <v>24965.556</v>
      </c>
      <c r="FO89">
        <v>15</v>
      </c>
      <c r="FP89">
        <v>0</v>
      </c>
      <c r="FQ89" t="s">
        <v>441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-11.70715</v>
      </c>
      <c r="GD89">
        <v>0.14418045112784</v>
      </c>
      <c r="GE89">
        <v>0.046553093345126</v>
      </c>
      <c r="GF89">
        <v>1</v>
      </c>
      <c r="GG89">
        <v>1681.885</v>
      </c>
      <c r="GH89">
        <v>-10.4334606669656</v>
      </c>
      <c r="GI89">
        <v>1.04567808003172</v>
      </c>
      <c r="GJ89">
        <v>-1</v>
      </c>
      <c r="GK89">
        <v>1.8665155</v>
      </c>
      <c r="GL89">
        <v>0.0994073684210496</v>
      </c>
      <c r="GM89">
        <v>0.009623706913139</v>
      </c>
      <c r="GN89">
        <v>1</v>
      </c>
      <c r="GO89">
        <v>2</v>
      </c>
      <c r="GP89">
        <v>2</v>
      </c>
      <c r="GQ89" t="s">
        <v>442</v>
      </c>
      <c r="GR89">
        <v>3.12774</v>
      </c>
      <c r="GS89">
        <v>2.70014</v>
      </c>
      <c r="GT89">
        <v>0.0871141</v>
      </c>
      <c r="GU89">
        <v>0.0896548</v>
      </c>
      <c r="GV89">
        <v>0.046579</v>
      </c>
      <c r="GW89">
        <v>0.0379051</v>
      </c>
      <c r="GX89">
        <v>34147.8</v>
      </c>
      <c r="GY89">
        <v>36450.9</v>
      </c>
      <c r="GZ89">
        <v>33861.4</v>
      </c>
      <c r="HA89">
        <v>36271.8</v>
      </c>
      <c r="HB89">
        <v>45634.6</v>
      </c>
      <c r="HC89">
        <v>50084.7</v>
      </c>
      <c r="HD89">
        <v>52823.4</v>
      </c>
      <c r="HE89">
        <v>57927.1</v>
      </c>
      <c r="HF89">
        <v>1.90725</v>
      </c>
      <c r="HG89">
        <v>2.28082</v>
      </c>
      <c r="HH89">
        <v>0.0357628</v>
      </c>
      <c r="HI89">
        <v>0</v>
      </c>
      <c r="HJ89">
        <v>23.3697</v>
      </c>
      <c r="HK89">
        <v>999.9</v>
      </c>
      <c r="HL89">
        <v>22.055</v>
      </c>
      <c r="HM89">
        <v>30.071</v>
      </c>
      <c r="HN89">
        <v>10.3669</v>
      </c>
      <c r="HO89">
        <v>54.3876</v>
      </c>
      <c r="HP89">
        <v>30.9175</v>
      </c>
      <c r="HQ89">
        <v>2</v>
      </c>
      <c r="HR89">
        <v>0.313948</v>
      </c>
      <c r="HS89">
        <v>4.05641</v>
      </c>
      <c r="HT89">
        <v>20.0911</v>
      </c>
      <c r="HU89">
        <v>5.19887</v>
      </c>
      <c r="HV89">
        <v>12.0053</v>
      </c>
      <c r="HW89">
        <v>4.9753</v>
      </c>
      <c r="HX89">
        <v>3.294</v>
      </c>
      <c r="HY89">
        <v>9999</v>
      </c>
      <c r="HZ89">
        <v>9999</v>
      </c>
      <c r="IA89">
        <v>9999</v>
      </c>
      <c r="IB89">
        <v>999.9</v>
      </c>
      <c r="IC89">
        <v>1.86325</v>
      </c>
      <c r="ID89">
        <v>1.86813</v>
      </c>
      <c r="IE89">
        <v>1.86786</v>
      </c>
      <c r="IF89">
        <v>1.86905</v>
      </c>
      <c r="IG89">
        <v>1.86984</v>
      </c>
      <c r="IH89">
        <v>1.86594</v>
      </c>
      <c r="II89">
        <v>1.86699</v>
      </c>
      <c r="IJ89">
        <v>1.86844</v>
      </c>
      <c r="IK89">
        <v>5</v>
      </c>
      <c r="IL89">
        <v>0</v>
      </c>
      <c r="IM89">
        <v>0</v>
      </c>
      <c r="IN89">
        <v>0</v>
      </c>
      <c r="IO89" t="s">
        <v>443</v>
      </c>
      <c r="IP89" t="s">
        <v>444</v>
      </c>
      <c r="IQ89" t="s">
        <v>445</v>
      </c>
      <c r="IR89" t="s">
        <v>445</v>
      </c>
      <c r="IS89" t="s">
        <v>445</v>
      </c>
      <c r="IT89" t="s">
        <v>445</v>
      </c>
      <c r="IU89">
        <v>0</v>
      </c>
      <c r="IV89">
        <v>100</v>
      </c>
      <c r="IW89">
        <v>100</v>
      </c>
      <c r="IX89">
        <v>2.87</v>
      </c>
      <c r="IY89">
        <v>-0.1098</v>
      </c>
      <c r="IZ89">
        <v>1.24656194001752</v>
      </c>
      <c r="JA89">
        <v>0.00408463137630218</v>
      </c>
      <c r="JB89">
        <v>-2.23906557180379e-07</v>
      </c>
      <c r="JC89">
        <v>6.23399102760906e-11</v>
      </c>
      <c r="JD89">
        <v>-0.0873394905990972</v>
      </c>
      <c r="JE89">
        <v>-0.0233348201324191</v>
      </c>
      <c r="JF89">
        <v>0.00274696999164489</v>
      </c>
      <c r="JG89">
        <v>-3.62864435074646e-05</v>
      </c>
      <c r="JH89">
        <v>5</v>
      </c>
      <c r="JI89">
        <v>2263</v>
      </c>
      <c r="JJ89">
        <v>1</v>
      </c>
      <c r="JK89">
        <v>24</v>
      </c>
      <c r="JL89">
        <v>29361485.7</v>
      </c>
      <c r="JM89">
        <v>29361485.7</v>
      </c>
      <c r="JN89">
        <v>1.25244</v>
      </c>
      <c r="JO89">
        <v>2.61841</v>
      </c>
      <c r="JP89">
        <v>2.19849</v>
      </c>
      <c r="JQ89">
        <v>2.62451</v>
      </c>
      <c r="JR89">
        <v>2.44507</v>
      </c>
      <c r="JS89">
        <v>2.33398</v>
      </c>
      <c r="JT89">
        <v>33.5355</v>
      </c>
      <c r="JU89">
        <v>24.1838</v>
      </c>
      <c r="JV89">
        <v>18</v>
      </c>
      <c r="JW89">
        <v>499.16</v>
      </c>
      <c r="JX89">
        <v>787.97</v>
      </c>
      <c r="JY89">
        <v>17.8731</v>
      </c>
      <c r="JZ89">
        <v>31.3151</v>
      </c>
      <c r="KA89">
        <v>30.0008</v>
      </c>
      <c r="KB89">
        <v>31.211</v>
      </c>
      <c r="KC89">
        <v>31.1233</v>
      </c>
      <c r="KD89">
        <v>25.0971</v>
      </c>
      <c r="KE89">
        <v>20.3293</v>
      </c>
      <c r="KF89">
        <v>13.9259</v>
      </c>
      <c r="KG89">
        <v>17.8599</v>
      </c>
      <c r="KH89">
        <v>420</v>
      </c>
      <c r="KI89">
        <v>6.53895</v>
      </c>
      <c r="KJ89">
        <v>96.022</v>
      </c>
      <c r="KK89">
        <v>93.8816</v>
      </c>
    </row>
    <row r="90" spans="1:297">
      <c r="A90">
        <v>74</v>
      </c>
      <c r="B90">
        <v>1761689210.1</v>
      </c>
      <c r="C90">
        <v>11861</v>
      </c>
      <c r="D90" t="s">
        <v>682</v>
      </c>
      <c r="E90" t="s">
        <v>683</v>
      </c>
      <c r="F90">
        <v>5</v>
      </c>
      <c r="G90" t="s">
        <v>673</v>
      </c>
      <c r="H90" t="s">
        <v>436</v>
      </c>
      <c r="I90">
        <v>1761689201.6</v>
      </c>
      <c r="J90">
        <f>(K90)/1000</f>
        <v>0</v>
      </c>
      <c r="K90">
        <f>IF(DP90, AN90, AH90)</f>
        <v>0</v>
      </c>
      <c r="L90">
        <f>IF(DP90, AI90, AG90)</f>
        <v>0</v>
      </c>
      <c r="M90">
        <f>DR90 - IF(AU90&gt;1, L90*DL90*100.0/(AW90), 0)</f>
        <v>0</v>
      </c>
      <c r="N90">
        <f>((T90-J90/2)*M90-L90)/(T90+J90/2)</f>
        <v>0</v>
      </c>
      <c r="O90">
        <f>N90*(DY90+DZ90)/1000.0</f>
        <v>0</v>
      </c>
      <c r="P90">
        <f>(DR90 - IF(AU90&gt;1, L90*DL90*100.0/(AW90), 0))*(DY90+DZ90)/1000.0</f>
        <v>0</v>
      </c>
      <c r="Q90">
        <f>2.0/((1/S90-1/R90)+SIGN(S90)*SQRT((1/S90-1/R90)*(1/S90-1/R90) + 4*DM90/((DM90+1)*(DM90+1))*(2*1/S90*1/R90-1/R90*1/R90)))</f>
        <v>0</v>
      </c>
      <c r="R90">
        <f>IF(LEFT(DN90,1)&lt;&gt;"0",IF(LEFT(DN90,1)="1",3.0,DO90),$D$5+$E$5*(EF90*DY90/($K$5*1000))+$F$5*(EF90*DY90/($K$5*1000))*MAX(MIN(DL90,$J$5),$I$5)*MAX(MIN(DL90,$J$5),$I$5)+$G$5*MAX(MIN(DL90,$J$5),$I$5)*(EF90*DY90/($K$5*1000))+$H$5*(EF90*DY90/($K$5*1000))*(EF90*DY90/($K$5*1000)))</f>
        <v>0</v>
      </c>
      <c r="S90">
        <f>J90*(1000-(1000*0.61365*exp(17.502*W90/(240.97+W90))/(DY90+DZ90)+DT90)/2)/(1000*0.61365*exp(17.502*W90/(240.97+W90))/(DY90+DZ90)-DT90)</f>
        <v>0</v>
      </c>
      <c r="T90">
        <f>1/((DM90+1)/(Q90/1.6)+1/(R90/1.37)) + DM90/((DM90+1)/(Q90/1.6) + DM90/(R90/1.37))</f>
        <v>0</v>
      </c>
      <c r="U90">
        <f>(DH90*DK90)</f>
        <v>0</v>
      </c>
      <c r="V90">
        <f>(EA90+(U90+2*0.95*5.67E-8*(((EA90+$B$7)+273)^4-(EA90+273)^4)-44100*J90)/(1.84*29.3*R90+8*0.95*5.67E-8*(EA90+273)^3))</f>
        <v>0</v>
      </c>
      <c r="W90">
        <f>($C$7*EB90+$D$7*EC90+$E$7*V90)</f>
        <v>0</v>
      </c>
      <c r="X90">
        <f>0.61365*exp(17.502*W90/(240.97+W90))</f>
        <v>0</v>
      </c>
      <c r="Y90">
        <f>(Z90/AA90*100)</f>
        <v>0</v>
      </c>
      <c r="Z90">
        <f>DT90*(DY90+DZ90)/1000</f>
        <v>0</v>
      </c>
      <c r="AA90">
        <f>0.61365*exp(17.502*EA90/(240.97+EA90))</f>
        <v>0</v>
      </c>
      <c r="AB90">
        <f>(X90-DT90*(DY90+DZ90)/1000)</f>
        <v>0</v>
      </c>
      <c r="AC90">
        <f>(-J90*44100)</f>
        <v>0</v>
      </c>
      <c r="AD90">
        <f>2*29.3*R90*0.92*(EA90-W90)</f>
        <v>0</v>
      </c>
      <c r="AE90">
        <f>2*0.95*5.67E-8*(((EA90+$B$7)+273)^4-(W90+273)^4)</f>
        <v>0</v>
      </c>
      <c r="AF90">
        <f>U90+AE90+AC90+AD90</f>
        <v>0</v>
      </c>
      <c r="AG90">
        <f>DX90*AU90*(DS90-DR90*(1000-AU90*DU90)/(1000-AU90*DT90))/(100*DL90)</f>
        <v>0</v>
      </c>
      <c r="AH90">
        <f>1000*DX90*AU90*(DT90-DU90)/(100*DL90*(1000-AU90*DT90))</f>
        <v>0</v>
      </c>
      <c r="AI90">
        <f>(AJ90 - AK90 - DY90*1E3/(8.314*(EA90+273.15)) * AM90/DX90 * AL90) * DX90/(100*DL90) * (1000 - DU90)/1000</f>
        <v>0</v>
      </c>
      <c r="AJ90">
        <v>422.818993484143</v>
      </c>
      <c r="AK90">
        <v>411.922521212121</v>
      </c>
      <c r="AL90">
        <v>0.000592752544303804</v>
      </c>
      <c r="AM90">
        <v>64.2037741062357</v>
      </c>
      <c r="AN90">
        <f>(AP90 - AO90 + DY90*1E3/(8.314*(EA90+273.15)) * AR90/DX90 * AQ90) * DX90/(100*DL90) * 1000/(1000 - AP90)</f>
        <v>0</v>
      </c>
      <c r="AO90">
        <v>6.6110966719697</v>
      </c>
      <c r="AP90">
        <v>8.50376594405594</v>
      </c>
      <c r="AQ90">
        <v>0.000106731561771624</v>
      </c>
      <c r="AR90">
        <v>109.12</v>
      </c>
      <c r="AS90">
        <v>0</v>
      </c>
      <c r="AT90">
        <v>0</v>
      </c>
      <c r="AU90">
        <f>IF(AS90*$H$13&gt;=AW90,1.0,(AW90/(AW90-AS90*$H$13)))</f>
        <v>0</v>
      </c>
      <c r="AV90">
        <f>(AU90-1)*100</f>
        <v>0</v>
      </c>
      <c r="AW90">
        <f>MAX(0,($B$13+$C$13*EF90)/(1+$D$13*EF90)*DY90/(EA90+273)*$E$13)</f>
        <v>0</v>
      </c>
      <c r="AX90" t="s">
        <v>448</v>
      </c>
      <c r="AY90" t="s">
        <v>448</v>
      </c>
      <c r="AZ90">
        <v>0</v>
      </c>
      <c r="BA90">
        <v>0</v>
      </c>
      <c r="BB90">
        <f>1-AZ90/BA90</f>
        <v>0</v>
      </c>
      <c r="BC90">
        <v>0</v>
      </c>
      <c r="BD90" t="s">
        <v>448</v>
      </c>
      <c r="BE90" t="s">
        <v>448</v>
      </c>
      <c r="BF90">
        <v>0</v>
      </c>
      <c r="BG90">
        <v>0</v>
      </c>
      <c r="BH90">
        <f>1-BF90/BG90</f>
        <v>0</v>
      </c>
      <c r="BI90">
        <v>0.5</v>
      </c>
      <c r="BJ90">
        <f>DI90</f>
        <v>0</v>
      </c>
      <c r="BK90">
        <f>L90</f>
        <v>0</v>
      </c>
      <c r="BL90">
        <f>BH90*BI90*BJ90</f>
        <v>0</v>
      </c>
      <c r="BM90">
        <f>(BK90-BC90)/BJ90</f>
        <v>0</v>
      </c>
      <c r="BN90">
        <f>(BA90-BG90)/BG90</f>
        <v>0</v>
      </c>
      <c r="BO90">
        <f>AZ90/(BB90+AZ90/BG90)</f>
        <v>0</v>
      </c>
      <c r="BP90" t="s">
        <v>448</v>
      </c>
      <c r="BQ90">
        <v>0</v>
      </c>
      <c r="BR90">
        <f>IF(BQ90&lt;&gt;0, BQ90, BO90)</f>
        <v>0</v>
      </c>
      <c r="BS90">
        <f>1-BR90/BG90</f>
        <v>0</v>
      </c>
      <c r="BT90">
        <f>(BG90-BF90)/(BG90-BR90)</f>
        <v>0</v>
      </c>
      <c r="BU90">
        <f>(BA90-BG90)/(BA90-BR90)</f>
        <v>0</v>
      </c>
      <c r="BV90">
        <f>(BG90-BF90)/(BG90-AZ90)</f>
        <v>0</v>
      </c>
      <c r="BW90">
        <f>(BA90-BG90)/(BA90-AZ90)</f>
        <v>0</v>
      </c>
      <c r="BX90">
        <f>(BT90*BR90/BF90)</f>
        <v>0</v>
      </c>
      <c r="BY90">
        <f>(1-BX90)</f>
        <v>0</v>
      </c>
      <c r="BZ90">
        <v>83</v>
      </c>
      <c r="CA90">
        <v>290</v>
      </c>
      <c r="CB90">
        <v>1883.91</v>
      </c>
      <c r="CC90">
        <v>265</v>
      </c>
      <c r="CD90">
        <v>5123.15</v>
      </c>
      <c r="CE90">
        <v>1883.78</v>
      </c>
      <c r="CF90">
        <v>0.13</v>
      </c>
      <c r="CG90">
        <v>300</v>
      </c>
      <c r="CH90">
        <v>23.7</v>
      </c>
      <c r="CI90">
        <v>1985.08462789447</v>
      </c>
      <c r="CJ90">
        <v>2.28369675432119</v>
      </c>
      <c r="CK90">
        <v>-51.899977149469</v>
      </c>
      <c r="CL90">
        <v>1.06248114990479</v>
      </c>
      <c r="CM90">
        <v>0.988401559801883</v>
      </c>
      <c r="CN90">
        <v>-0.00297820088987764</v>
      </c>
      <c r="CO90">
        <v>290</v>
      </c>
      <c r="CP90">
        <v>1882.08</v>
      </c>
      <c r="CQ90">
        <v>635</v>
      </c>
      <c r="CR90">
        <v>5122.37</v>
      </c>
      <c r="CS90">
        <v>1883.76</v>
      </c>
      <c r="CT90">
        <v>-1.68</v>
      </c>
      <c r="DH90">
        <f>$B$11*EG90+$C$11*EH90+$F$11*ES90*(1-EV90)</f>
        <v>0</v>
      </c>
      <c r="DI90">
        <f>DH90*DJ90</f>
        <v>0</v>
      </c>
      <c r="DJ90">
        <f>($B$11*$D$9+$C$11*$D$9+$F$11*((FF90+EX90)/MAX(FF90+EX90+FG90, 0.1)*$I$9+FG90/MAX(FF90+EX90+FG90, 0.1)*$J$9))/($B$11+$C$11+$F$11)</f>
        <v>0</v>
      </c>
      <c r="DK90">
        <f>($B$11*$K$9+$C$11*$K$9+$F$11*((FF90+EX90)/MAX(FF90+EX90+FG90, 0.1)*$P$9+FG90/MAX(FF90+EX90+FG90, 0.1)*$Q$9))/($B$11+$C$11+$F$11)</f>
        <v>0</v>
      </c>
      <c r="DL90">
        <v>6</v>
      </c>
      <c r="DM90">
        <v>0.5</v>
      </c>
      <c r="DN90" t="s">
        <v>440</v>
      </c>
      <c r="DO90">
        <v>2</v>
      </c>
      <c r="DP90" t="b">
        <v>1</v>
      </c>
      <c r="DQ90">
        <v>1761689201.6</v>
      </c>
      <c r="DR90">
        <v>408.4370625</v>
      </c>
      <c r="DS90">
        <v>419.99875</v>
      </c>
      <c r="DT90">
        <v>8.494576875</v>
      </c>
      <c r="DU90">
        <v>6.60085625</v>
      </c>
      <c r="DV90">
        <v>405.5665625</v>
      </c>
      <c r="DW90">
        <v>8.602469375</v>
      </c>
      <c r="DX90">
        <v>499.9029375</v>
      </c>
      <c r="DY90">
        <v>91.0072125</v>
      </c>
      <c r="DZ90">
        <v>0.0227435375</v>
      </c>
      <c r="EA90">
        <v>23.85158125</v>
      </c>
      <c r="EB90">
        <v>24.0322625</v>
      </c>
      <c r="EC90">
        <v>999.9</v>
      </c>
      <c r="ED90">
        <v>0</v>
      </c>
      <c r="EE90">
        <v>0</v>
      </c>
      <c r="EF90">
        <v>9976.91375</v>
      </c>
      <c r="EG90">
        <v>0</v>
      </c>
      <c r="EH90">
        <v>1281.50625</v>
      </c>
      <c r="EI90">
        <v>-11.56161875</v>
      </c>
      <c r="EJ90">
        <v>411.93625</v>
      </c>
      <c r="EK90">
        <v>422.7895</v>
      </c>
      <c r="EL90">
        <v>1.89372125</v>
      </c>
      <c r="EM90">
        <v>419.99875</v>
      </c>
      <c r="EN90">
        <v>6.60085625</v>
      </c>
      <c r="EO90">
        <v>0.773067625</v>
      </c>
      <c r="EP90">
        <v>0.6007253125</v>
      </c>
      <c r="EQ90">
        <v>3.222153125</v>
      </c>
      <c r="ER90">
        <v>-0.29275</v>
      </c>
      <c r="ES90">
        <v>1199.9525</v>
      </c>
      <c r="ET90">
        <v>0.9670055</v>
      </c>
      <c r="EU90">
        <v>0.03299450625</v>
      </c>
      <c r="EV90">
        <v>0</v>
      </c>
      <c r="EW90">
        <v>1614.97125</v>
      </c>
      <c r="EX90">
        <v>5.00059</v>
      </c>
      <c r="EY90">
        <v>19125.8625</v>
      </c>
      <c r="EZ90">
        <v>10358.31875</v>
      </c>
      <c r="FA90">
        <v>40.4999375</v>
      </c>
      <c r="FB90">
        <v>41.8553125</v>
      </c>
      <c r="FC90">
        <v>40.687</v>
      </c>
      <c r="FD90">
        <v>41.25</v>
      </c>
      <c r="FE90">
        <v>41.406</v>
      </c>
      <c r="FF90">
        <v>1155.5225</v>
      </c>
      <c r="FG90">
        <v>39.43</v>
      </c>
      <c r="FH90">
        <v>0</v>
      </c>
      <c r="FI90">
        <v>67</v>
      </c>
      <c r="FJ90">
        <v>0</v>
      </c>
      <c r="FK90">
        <v>1614.7744</v>
      </c>
      <c r="FL90">
        <v>-9.76538463807897</v>
      </c>
      <c r="FM90">
        <v>-128.238461542244</v>
      </c>
      <c r="FN90">
        <v>19123.896</v>
      </c>
      <c r="FO90">
        <v>15</v>
      </c>
      <c r="FP90">
        <v>0</v>
      </c>
      <c r="FQ90" t="s">
        <v>441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-11.54892</v>
      </c>
      <c r="GD90">
        <v>-0.267572932330842</v>
      </c>
      <c r="GE90">
        <v>0.0555287997349123</v>
      </c>
      <c r="GF90">
        <v>1</v>
      </c>
      <c r="GG90">
        <v>1615.57794117647</v>
      </c>
      <c r="GH90">
        <v>-11.2337662381233</v>
      </c>
      <c r="GI90">
        <v>1.12098638133031</v>
      </c>
      <c r="GJ90">
        <v>-1</v>
      </c>
      <c r="GK90">
        <v>1.895618</v>
      </c>
      <c r="GL90">
        <v>-0.0434824060150351</v>
      </c>
      <c r="GM90">
        <v>0.00673997448066385</v>
      </c>
      <c r="GN90">
        <v>1</v>
      </c>
      <c r="GO90">
        <v>2</v>
      </c>
      <c r="GP90">
        <v>2</v>
      </c>
      <c r="GQ90" t="s">
        <v>442</v>
      </c>
      <c r="GR90">
        <v>3.12759</v>
      </c>
      <c r="GS90">
        <v>2.70129</v>
      </c>
      <c r="GT90">
        <v>0.0871387</v>
      </c>
      <c r="GU90">
        <v>0.0896534</v>
      </c>
      <c r="GV90">
        <v>0.0471727</v>
      </c>
      <c r="GW90">
        <v>0.0385716</v>
      </c>
      <c r="GX90">
        <v>34146.8</v>
      </c>
      <c r="GY90">
        <v>36451.4</v>
      </c>
      <c r="GZ90">
        <v>33861.1</v>
      </c>
      <c r="HA90">
        <v>36272.1</v>
      </c>
      <c r="HB90">
        <v>45605.5</v>
      </c>
      <c r="HC90">
        <v>50050.5</v>
      </c>
      <c r="HD90">
        <v>52822.8</v>
      </c>
      <c r="HE90">
        <v>57927.6</v>
      </c>
      <c r="HF90">
        <v>1.90698</v>
      </c>
      <c r="HG90">
        <v>2.28185</v>
      </c>
      <c r="HH90">
        <v>0.0322238</v>
      </c>
      <c r="HI90">
        <v>0</v>
      </c>
      <c r="HJ90">
        <v>23.5665</v>
      </c>
      <c r="HK90">
        <v>999.9</v>
      </c>
      <c r="HL90">
        <v>21.902</v>
      </c>
      <c r="HM90">
        <v>30.081</v>
      </c>
      <c r="HN90">
        <v>10.3014</v>
      </c>
      <c r="HO90">
        <v>55.1276</v>
      </c>
      <c r="HP90">
        <v>31.1859</v>
      </c>
      <c r="HQ90">
        <v>2</v>
      </c>
      <c r="HR90">
        <v>0.318422</v>
      </c>
      <c r="HS90">
        <v>5.05801</v>
      </c>
      <c r="HT90">
        <v>20.0644</v>
      </c>
      <c r="HU90">
        <v>5.19917</v>
      </c>
      <c r="HV90">
        <v>12.0082</v>
      </c>
      <c r="HW90">
        <v>4.9757</v>
      </c>
      <c r="HX90">
        <v>3.294</v>
      </c>
      <c r="HY90">
        <v>9999</v>
      </c>
      <c r="HZ90">
        <v>9999</v>
      </c>
      <c r="IA90">
        <v>9999</v>
      </c>
      <c r="IB90">
        <v>999.9</v>
      </c>
      <c r="IC90">
        <v>1.86324</v>
      </c>
      <c r="ID90">
        <v>1.86813</v>
      </c>
      <c r="IE90">
        <v>1.86783</v>
      </c>
      <c r="IF90">
        <v>1.86905</v>
      </c>
      <c r="IG90">
        <v>1.86983</v>
      </c>
      <c r="IH90">
        <v>1.86592</v>
      </c>
      <c r="II90">
        <v>1.86696</v>
      </c>
      <c r="IJ90">
        <v>1.86844</v>
      </c>
      <c r="IK90">
        <v>5</v>
      </c>
      <c r="IL90">
        <v>0</v>
      </c>
      <c r="IM90">
        <v>0</v>
      </c>
      <c r="IN90">
        <v>0</v>
      </c>
      <c r="IO90" t="s">
        <v>443</v>
      </c>
      <c r="IP90" t="s">
        <v>444</v>
      </c>
      <c r="IQ90" t="s">
        <v>445</v>
      </c>
      <c r="IR90" t="s">
        <v>445</v>
      </c>
      <c r="IS90" t="s">
        <v>445</v>
      </c>
      <c r="IT90" t="s">
        <v>445</v>
      </c>
      <c r="IU90">
        <v>0</v>
      </c>
      <c r="IV90">
        <v>100</v>
      </c>
      <c r="IW90">
        <v>100</v>
      </c>
      <c r="IX90">
        <v>2.87</v>
      </c>
      <c r="IY90">
        <v>-0.1077</v>
      </c>
      <c r="IZ90">
        <v>1.24656194001752</v>
      </c>
      <c r="JA90">
        <v>0.00408463137630218</v>
      </c>
      <c r="JB90">
        <v>-2.23906557180379e-07</v>
      </c>
      <c r="JC90">
        <v>6.23399102760906e-11</v>
      </c>
      <c r="JD90">
        <v>-0.0873394905990972</v>
      </c>
      <c r="JE90">
        <v>-0.0233348201324191</v>
      </c>
      <c r="JF90">
        <v>0.00274696999164489</v>
      </c>
      <c r="JG90">
        <v>-3.62864435074646e-05</v>
      </c>
      <c r="JH90">
        <v>5</v>
      </c>
      <c r="JI90">
        <v>2263</v>
      </c>
      <c r="JJ90">
        <v>1</v>
      </c>
      <c r="JK90">
        <v>24</v>
      </c>
      <c r="JL90">
        <v>29361486.8</v>
      </c>
      <c r="JM90">
        <v>29361486.8</v>
      </c>
      <c r="JN90">
        <v>1.25244</v>
      </c>
      <c r="JO90">
        <v>2.61475</v>
      </c>
      <c r="JP90">
        <v>2.19849</v>
      </c>
      <c r="JQ90">
        <v>2.62451</v>
      </c>
      <c r="JR90">
        <v>2.44629</v>
      </c>
      <c r="JS90">
        <v>2.32056</v>
      </c>
      <c r="JT90">
        <v>33.5355</v>
      </c>
      <c r="JU90">
        <v>24.1751</v>
      </c>
      <c r="JV90">
        <v>18</v>
      </c>
      <c r="JW90">
        <v>498.844</v>
      </c>
      <c r="JX90">
        <v>788.764</v>
      </c>
      <c r="JY90">
        <v>18.3884</v>
      </c>
      <c r="JZ90">
        <v>31.2767</v>
      </c>
      <c r="KA90">
        <v>30.0007</v>
      </c>
      <c r="KB90">
        <v>31.1948</v>
      </c>
      <c r="KC90">
        <v>31.11</v>
      </c>
      <c r="KD90">
        <v>25.0969</v>
      </c>
      <c r="KE90">
        <v>17.0506</v>
      </c>
      <c r="KF90">
        <v>13.9259</v>
      </c>
      <c r="KG90">
        <v>18.3725</v>
      </c>
      <c r="KH90">
        <v>420</v>
      </c>
      <c r="KI90">
        <v>6.71803</v>
      </c>
      <c r="KJ90">
        <v>96.021</v>
      </c>
      <c r="KK90">
        <v>93.8823</v>
      </c>
    </row>
    <row r="91" spans="1:297">
      <c r="A91">
        <v>75</v>
      </c>
      <c r="B91">
        <v>1761689279.1</v>
      </c>
      <c r="C91">
        <v>11930</v>
      </c>
      <c r="D91" t="s">
        <v>684</v>
      </c>
      <c r="E91" t="s">
        <v>685</v>
      </c>
      <c r="F91">
        <v>5</v>
      </c>
      <c r="G91" t="s">
        <v>673</v>
      </c>
      <c r="H91" t="s">
        <v>436</v>
      </c>
      <c r="I91">
        <v>1761689270.6</v>
      </c>
      <c r="J91">
        <f>(K91)/1000</f>
        <v>0</v>
      </c>
      <c r="K91">
        <f>IF(DP91, AN91, AH91)</f>
        <v>0</v>
      </c>
      <c r="L91">
        <f>IF(DP91, AI91, AG91)</f>
        <v>0</v>
      </c>
      <c r="M91">
        <f>DR91 - IF(AU91&gt;1, L91*DL91*100.0/(AW91), 0)</f>
        <v>0</v>
      </c>
      <c r="N91">
        <f>((T91-J91/2)*M91-L91)/(T91+J91/2)</f>
        <v>0</v>
      </c>
      <c r="O91">
        <f>N91*(DY91+DZ91)/1000.0</f>
        <v>0</v>
      </c>
      <c r="P91">
        <f>(DR91 - IF(AU91&gt;1, L91*DL91*100.0/(AW91), 0))*(DY91+DZ91)/1000.0</f>
        <v>0</v>
      </c>
      <c r="Q91">
        <f>2.0/((1/S91-1/R91)+SIGN(S91)*SQRT((1/S91-1/R91)*(1/S91-1/R91) + 4*DM91/((DM91+1)*(DM91+1))*(2*1/S91*1/R91-1/R91*1/R91)))</f>
        <v>0</v>
      </c>
      <c r="R91">
        <f>IF(LEFT(DN91,1)&lt;&gt;"0",IF(LEFT(DN91,1)="1",3.0,DO91),$D$5+$E$5*(EF91*DY91/($K$5*1000))+$F$5*(EF91*DY91/($K$5*1000))*MAX(MIN(DL91,$J$5),$I$5)*MAX(MIN(DL91,$J$5),$I$5)+$G$5*MAX(MIN(DL91,$J$5),$I$5)*(EF91*DY91/($K$5*1000))+$H$5*(EF91*DY91/($K$5*1000))*(EF91*DY91/($K$5*1000)))</f>
        <v>0</v>
      </c>
      <c r="S91">
        <f>J91*(1000-(1000*0.61365*exp(17.502*W91/(240.97+W91))/(DY91+DZ91)+DT91)/2)/(1000*0.61365*exp(17.502*W91/(240.97+W91))/(DY91+DZ91)-DT91)</f>
        <v>0</v>
      </c>
      <c r="T91">
        <f>1/((DM91+1)/(Q91/1.6)+1/(R91/1.37)) + DM91/((DM91+1)/(Q91/1.6) + DM91/(R91/1.37))</f>
        <v>0</v>
      </c>
      <c r="U91">
        <f>(DH91*DK91)</f>
        <v>0</v>
      </c>
      <c r="V91">
        <f>(EA91+(U91+2*0.95*5.67E-8*(((EA91+$B$7)+273)^4-(EA91+273)^4)-44100*J91)/(1.84*29.3*R91+8*0.95*5.67E-8*(EA91+273)^3))</f>
        <v>0</v>
      </c>
      <c r="W91">
        <f>($C$7*EB91+$D$7*EC91+$E$7*V91)</f>
        <v>0</v>
      </c>
      <c r="X91">
        <f>0.61365*exp(17.502*W91/(240.97+W91))</f>
        <v>0</v>
      </c>
      <c r="Y91">
        <f>(Z91/AA91*100)</f>
        <v>0</v>
      </c>
      <c r="Z91">
        <f>DT91*(DY91+DZ91)/1000</f>
        <v>0</v>
      </c>
      <c r="AA91">
        <f>0.61365*exp(17.502*EA91/(240.97+EA91))</f>
        <v>0</v>
      </c>
      <c r="AB91">
        <f>(X91-DT91*(DY91+DZ91)/1000)</f>
        <v>0</v>
      </c>
      <c r="AC91">
        <f>(-J91*44100)</f>
        <v>0</v>
      </c>
      <c r="AD91">
        <f>2*29.3*R91*0.92*(EA91-W91)</f>
        <v>0</v>
      </c>
      <c r="AE91">
        <f>2*0.95*5.67E-8*(((EA91+$B$7)+273)^4-(W91+273)^4)</f>
        <v>0</v>
      </c>
      <c r="AF91">
        <f>U91+AE91+AC91+AD91</f>
        <v>0</v>
      </c>
      <c r="AG91">
        <f>DX91*AU91*(DS91-DR91*(1000-AU91*DU91)/(1000-AU91*DT91))/(100*DL91)</f>
        <v>0</v>
      </c>
      <c r="AH91">
        <f>1000*DX91*AU91*(DT91-DU91)/(100*DL91*(1000-AU91*DT91))</f>
        <v>0</v>
      </c>
      <c r="AI91">
        <f>(AJ91 - AK91 - DY91*1E3/(8.314*(EA91+273.15)) * AM91/DX91 * AL91) * DX91/(100*DL91) * (1000 - DU91)/1000</f>
        <v>0</v>
      </c>
      <c r="AJ91">
        <v>422.819924598468</v>
      </c>
      <c r="AK91">
        <v>412.102078787879</v>
      </c>
      <c r="AL91">
        <v>8.70738514733837e-05</v>
      </c>
      <c r="AM91">
        <v>64.2037741062357</v>
      </c>
      <c r="AN91">
        <f>(AP91 - AO91 + DY91*1E3/(8.314*(EA91+273.15)) * AR91/DX91 * AQ91) * DX91/(100*DL91) * 1000/(1000 - AP91)</f>
        <v>0</v>
      </c>
      <c r="AO91">
        <v>6.68021746850649</v>
      </c>
      <c r="AP91">
        <v>8.59420300699302</v>
      </c>
      <c r="AQ91">
        <v>-1.59025641025405e-05</v>
      </c>
      <c r="AR91">
        <v>109.12</v>
      </c>
      <c r="AS91">
        <v>0</v>
      </c>
      <c r="AT91">
        <v>0</v>
      </c>
      <c r="AU91">
        <f>IF(AS91*$H$13&gt;=AW91,1.0,(AW91/(AW91-AS91*$H$13)))</f>
        <v>0</v>
      </c>
      <c r="AV91">
        <f>(AU91-1)*100</f>
        <v>0</v>
      </c>
      <c r="AW91">
        <f>MAX(0,($B$13+$C$13*EF91)/(1+$D$13*EF91)*DY91/(EA91+273)*$E$13)</f>
        <v>0</v>
      </c>
      <c r="AX91" t="s">
        <v>670</v>
      </c>
      <c r="AY91">
        <v>5109.44</v>
      </c>
      <c r="AZ91">
        <v>735.712</v>
      </c>
      <c r="BA91">
        <v>1673.25788318157</v>
      </c>
      <c r="BB91">
        <f>1-AZ91/BA91</f>
        <v>0</v>
      </c>
      <c r="BC91">
        <v>-0.911393318165212</v>
      </c>
      <c r="BD91" t="s">
        <v>686</v>
      </c>
      <c r="BE91">
        <v>5125.36</v>
      </c>
      <c r="BF91">
        <v>1511.96423076923</v>
      </c>
      <c r="BG91">
        <v>1978.85846107494</v>
      </c>
      <c r="BH91">
        <f>1-BF91/BG91</f>
        <v>0</v>
      </c>
      <c r="BI91">
        <v>0.5</v>
      </c>
      <c r="BJ91">
        <f>DI91</f>
        <v>0</v>
      </c>
      <c r="BK91">
        <f>L91</f>
        <v>0</v>
      </c>
      <c r="BL91">
        <f>BH91*BI91*BJ91</f>
        <v>0</v>
      </c>
      <c r="BM91">
        <f>(BK91-BC91)/BJ91</f>
        <v>0</v>
      </c>
      <c r="BN91">
        <f>(BA91-BG91)/BG91</f>
        <v>0</v>
      </c>
      <c r="BO91">
        <f>AZ91/(BB91+AZ91/BG91)</f>
        <v>0</v>
      </c>
      <c r="BP91" t="s">
        <v>687</v>
      </c>
      <c r="BQ91">
        <v>800.47</v>
      </c>
      <c r="BR91">
        <f>IF(BQ91&lt;&gt;0, BQ91, BO91)</f>
        <v>0</v>
      </c>
      <c r="BS91">
        <f>1-BR91/BG91</f>
        <v>0</v>
      </c>
      <c r="BT91">
        <f>(BG91-BF91)/(BG91-BR91)</f>
        <v>0</v>
      </c>
      <c r="BU91">
        <f>(BA91-BG91)/(BA91-BR91)</f>
        <v>0</v>
      </c>
      <c r="BV91">
        <f>(BG91-BF91)/(BG91-AZ91)</f>
        <v>0</v>
      </c>
      <c r="BW91">
        <f>(BA91-BG91)/(BA91-AZ91)</f>
        <v>0</v>
      </c>
      <c r="BX91">
        <f>(BT91*BR91/BF91)</f>
        <v>0</v>
      </c>
      <c r="BY91">
        <f>(1-BX91)</f>
        <v>0</v>
      </c>
      <c r="BZ91">
        <v>85</v>
      </c>
      <c r="CA91">
        <v>290</v>
      </c>
      <c r="CB91">
        <v>1885.99</v>
      </c>
      <c r="CC91">
        <v>245</v>
      </c>
      <c r="CD91">
        <v>5125.36</v>
      </c>
      <c r="CE91">
        <v>1885.32</v>
      </c>
      <c r="CF91">
        <v>0.67</v>
      </c>
      <c r="CG91">
        <v>300</v>
      </c>
      <c r="CH91">
        <v>23.8</v>
      </c>
      <c r="CI91">
        <v>1978.85846107494</v>
      </c>
      <c r="CJ91">
        <v>2.01629708316936</v>
      </c>
      <c r="CK91">
        <v>-47.9440902017915</v>
      </c>
      <c r="CL91">
        <v>0.921444655768862</v>
      </c>
      <c r="CM91">
        <v>0.989763352507469</v>
      </c>
      <c r="CN91">
        <v>-0.00348317908787542</v>
      </c>
      <c r="CO91">
        <v>290</v>
      </c>
      <c r="CP91">
        <v>1885.37</v>
      </c>
      <c r="CQ91">
        <v>815</v>
      </c>
      <c r="CR91">
        <v>5123.24</v>
      </c>
      <c r="CS91">
        <v>1885.28</v>
      </c>
      <c r="CT91">
        <v>0.09</v>
      </c>
      <c r="DH91">
        <f>$B$11*EG91+$C$11*EH91+$F$11*ES91*(1-EV91)</f>
        <v>0</v>
      </c>
      <c r="DI91">
        <f>DH91*DJ91</f>
        <v>0</v>
      </c>
      <c r="DJ91">
        <f>($B$11*$D$9+$C$11*$D$9+$F$11*((FF91+EX91)/MAX(FF91+EX91+FG91, 0.1)*$I$9+FG91/MAX(FF91+EX91+FG91, 0.1)*$J$9))/($B$11+$C$11+$F$11)</f>
        <v>0</v>
      </c>
      <c r="DK91">
        <f>($B$11*$K$9+$C$11*$K$9+$F$11*((FF91+EX91)/MAX(FF91+EX91+FG91, 0.1)*$P$9+FG91/MAX(FF91+EX91+FG91, 0.1)*$Q$9))/($B$11+$C$11+$F$11)</f>
        <v>0</v>
      </c>
      <c r="DL91">
        <v>6</v>
      </c>
      <c r="DM91">
        <v>0.5</v>
      </c>
      <c r="DN91" t="s">
        <v>440</v>
      </c>
      <c r="DO91">
        <v>2</v>
      </c>
      <c r="DP91" t="b">
        <v>1</v>
      </c>
      <c r="DQ91">
        <v>1761689270.6</v>
      </c>
      <c r="DR91">
        <v>408.56475</v>
      </c>
      <c r="DS91">
        <v>420.007625</v>
      </c>
      <c r="DT91">
        <v>8.594476875</v>
      </c>
      <c r="DU91">
        <v>6.6781125</v>
      </c>
      <c r="DV91">
        <v>405.69375</v>
      </c>
      <c r="DW91">
        <v>8.700793125</v>
      </c>
      <c r="DX91">
        <v>499.98475</v>
      </c>
      <c r="DY91">
        <v>91.00469375</v>
      </c>
      <c r="DZ91">
        <v>0.0222202875</v>
      </c>
      <c r="EA91">
        <v>24.0228875</v>
      </c>
      <c r="EB91">
        <v>23.931725</v>
      </c>
      <c r="EC91">
        <v>999.9</v>
      </c>
      <c r="ED91">
        <v>0</v>
      </c>
      <c r="EE91">
        <v>0</v>
      </c>
      <c r="EF91">
        <v>10002.253125</v>
      </c>
      <c r="EG91">
        <v>0</v>
      </c>
      <c r="EH91">
        <v>1281.553125</v>
      </c>
      <c r="EI91">
        <v>-11.44288125</v>
      </c>
      <c r="EJ91">
        <v>412.1065625</v>
      </c>
      <c r="EK91">
        <v>422.831375</v>
      </c>
      <c r="EL91">
        <v>1.91636375</v>
      </c>
      <c r="EM91">
        <v>420.007625</v>
      </c>
      <c r="EN91">
        <v>6.6781125</v>
      </c>
      <c r="EO91">
        <v>0.78213775</v>
      </c>
      <c r="EP91">
        <v>0.6077395</v>
      </c>
      <c r="EQ91">
        <v>3.38718375</v>
      </c>
      <c r="ER91">
        <v>-0.1332370625</v>
      </c>
      <c r="ES91">
        <v>900.0285</v>
      </c>
      <c r="ET91">
        <v>0.9560131875</v>
      </c>
      <c r="EU91">
        <v>0.0439867</v>
      </c>
      <c r="EV91">
        <v>0</v>
      </c>
      <c r="EW91">
        <v>1511.98625</v>
      </c>
      <c r="EX91">
        <v>5.00059</v>
      </c>
      <c r="EY91">
        <v>13357.58125</v>
      </c>
      <c r="EZ91">
        <v>7733.085</v>
      </c>
      <c r="FA91">
        <v>40.031</v>
      </c>
      <c r="FB91">
        <v>41.792625</v>
      </c>
      <c r="FC91">
        <v>40.503875</v>
      </c>
      <c r="FD91">
        <v>41.194875</v>
      </c>
      <c r="FE91">
        <v>41.1405</v>
      </c>
      <c r="FF91">
        <v>855.65875</v>
      </c>
      <c r="FG91">
        <v>39.37</v>
      </c>
      <c r="FH91">
        <v>0</v>
      </c>
      <c r="FI91">
        <v>136</v>
      </c>
      <c r="FJ91">
        <v>0</v>
      </c>
      <c r="FK91">
        <v>1511.96423076923</v>
      </c>
      <c r="FL91">
        <v>-2.70871794916553</v>
      </c>
      <c r="FM91">
        <v>-33.6102563353471</v>
      </c>
      <c r="FN91">
        <v>13356.6961538462</v>
      </c>
      <c r="FO91">
        <v>15</v>
      </c>
      <c r="FP91">
        <v>0</v>
      </c>
      <c r="FQ91" t="s">
        <v>441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-11.4534333333333</v>
      </c>
      <c r="GD91">
        <v>0.152727272727287</v>
      </c>
      <c r="GE91">
        <v>0.0246516170305767</v>
      </c>
      <c r="GF91">
        <v>1</v>
      </c>
      <c r="GG91">
        <v>1512.10588235294</v>
      </c>
      <c r="GH91">
        <v>-2.20504201685658</v>
      </c>
      <c r="GI91">
        <v>0.320074602030595</v>
      </c>
      <c r="GJ91">
        <v>-1</v>
      </c>
      <c r="GK91">
        <v>1.91126</v>
      </c>
      <c r="GL91">
        <v>0.0626805194805238</v>
      </c>
      <c r="GM91">
        <v>0.0205148034819923</v>
      </c>
      <c r="GN91">
        <v>1</v>
      </c>
      <c r="GO91">
        <v>2</v>
      </c>
      <c r="GP91">
        <v>2</v>
      </c>
      <c r="GQ91" t="s">
        <v>442</v>
      </c>
      <c r="GR91">
        <v>3.12793</v>
      </c>
      <c r="GS91">
        <v>2.70013</v>
      </c>
      <c r="GT91">
        <v>0.0871682</v>
      </c>
      <c r="GU91">
        <v>0.0896564</v>
      </c>
      <c r="GV91">
        <v>0.0475735</v>
      </c>
      <c r="GW91">
        <v>0.0390042</v>
      </c>
      <c r="GX91">
        <v>34149.7</v>
      </c>
      <c r="GY91">
        <v>36456.3</v>
      </c>
      <c r="GZ91">
        <v>33864.8</v>
      </c>
      <c r="HA91">
        <v>36276.8</v>
      </c>
      <c r="HB91">
        <v>45590.3</v>
      </c>
      <c r="HC91">
        <v>50034.2</v>
      </c>
      <c r="HD91">
        <v>52827.4</v>
      </c>
      <c r="HE91">
        <v>57934.8</v>
      </c>
      <c r="HF91">
        <v>1.9079</v>
      </c>
      <c r="HG91">
        <v>2.28237</v>
      </c>
      <c r="HH91">
        <v>0.0145286</v>
      </c>
      <c r="HI91">
        <v>0</v>
      </c>
      <c r="HJ91">
        <v>23.7368</v>
      </c>
      <c r="HK91">
        <v>999.9</v>
      </c>
      <c r="HL91">
        <v>21.804</v>
      </c>
      <c r="HM91">
        <v>30.081</v>
      </c>
      <c r="HN91">
        <v>10.2551</v>
      </c>
      <c r="HO91">
        <v>54.2876</v>
      </c>
      <c r="HP91">
        <v>30.8814</v>
      </c>
      <c r="HQ91">
        <v>2</v>
      </c>
      <c r="HR91">
        <v>0.304492</v>
      </c>
      <c r="HS91">
        <v>3.41913</v>
      </c>
      <c r="HT91">
        <v>20.1092</v>
      </c>
      <c r="HU91">
        <v>5.19423</v>
      </c>
      <c r="HV91">
        <v>12.0044</v>
      </c>
      <c r="HW91">
        <v>4.97545</v>
      </c>
      <c r="HX91">
        <v>3.294</v>
      </c>
      <c r="HY91">
        <v>9999</v>
      </c>
      <c r="HZ91">
        <v>9999</v>
      </c>
      <c r="IA91">
        <v>9999</v>
      </c>
      <c r="IB91">
        <v>999.9</v>
      </c>
      <c r="IC91">
        <v>1.86325</v>
      </c>
      <c r="ID91">
        <v>1.86813</v>
      </c>
      <c r="IE91">
        <v>1.86783</v>
      </c>
      <c r="IF91">
        <v>1.86905</v>
      </c>
      <c r="IG91">
        <v>1.86983</v>
      </c>
      <c r="IH91">
        <v>1.8659</v>
      </c>
      <c r="II91">
        <v>1.86702</v>
      </c>
      <c r="IJ91">
        <v>1.86844</v>
      </c>
      <c r="IK91">
        <v>5</v>
      </c>
      <c r="IL91">
        <v>0</v>
      </c>
      <c r="IM91">
        <v>0</v>
      </c>
      <c r="IN91">
        <v>0</v>
      </c>
      <c r="IO91" t="s">
        <v>443</v>
      </c>
      <c r="IP91" t="s">
        <v>444</v>
      </c>
      <c r="IQ91" t="s">
        <v>445</v>
      </c>
      <c r="IR91" t="s">
        <v>445</v>
      </c>
      <c r="IS91" t="s">
        <v>445</v>
      </c>
      <c r="IT91" t="s">
        <v>445</v>
      </c>
      <c r="IU91">
        <v>0</v>
      </c>
      <c r="IV91">
        <v>100</v>
      </c>
      <c r="IW91">
        <v>100</v>
      </c>
      <c r="IX91">
        <v>2.871</v>
      </c>
      <c r="IY91">
        <v>-0.1062</v>
      </c>
      <c r="IZ91">
        <v>1.24656194001752</v>
      </c>
      <c r="JA91">
        <v>0.00408463137630218</v>
      </c>
      <c r="JB91">
        <v>-2.23906557180379e-07</v>
      </c>
      <c r="JC91">
        <v>6.23399102760906e-11</v>
      </c>
      <c r="JD91">
        <v>-0.0873394905990972</v>
      </c>
      <c r="JE91">
        <v>-0.0233348201324191</v>
      </c>
      <c r="JF91">
        <v>0.00274696999164489</v>
      </c>
      <c r="JG91">
        <v>-3.62864435074646e-05</v>
      </c>
      <c r="JH91">
        <v>5</v>
      </c>
      <c r="JI91">
        <v>2263</v>
      </c>
      <c r="JJ91">
        <v>1</v>
      </c>
      <c r="JK91">
        <v>24</v>
      </c>
      <c r="JL91">
        <v>29361488</v>
      </c>
      <c r="JM91">
        <v>29361488</v>
      </c>
      <c r="JN91">
        <v>1.25244</v>
      </c>
      <c r="JO91">
        <v>2.61719</v>
      </c>
      <c r="JP91">
        <v>2.19849</v>
      </c>
      <c r="JQ91">
        <v>2.62451</v>
      </c>
      <c r="JR91">
        <v>2.44629</v>
      </c>
      <c r="JS91">
        <v>2.34619</v>
      </c>
      <c r="JT91">
        <v>33.513</v>
      </c>
      <c r="JU91">
        <v>24.1926</v>
      </c>
      <c r="JV91">
        <v>18</v>
      </c>
      <c r="JW91">
        <v>499.242</v>
      </c>
      <c r="JX91">
        <v>789.006</v>
      </c>
      <c r="JY91">
        <v>19.3501</v>
      </c>
      <c r="JZ91">
        <v>31.2303</v>
      </c>
      <c r="KA91">
        <v>29.9999</v>
      </c>
      <c r="KB91">
        <v>31.1685</v>
      </c>
      <c r="KC91">
        <v>31.0912</v>
      </c>
      <c r="KD91">
        <v>25.0974</v>
      </c>
      <c r="KE91">
        <v>14.9999</v>
      </c>
      <c r="KF91">
        <v>13.5551</v>
      </c>
      <c r="KG91">
        <v>19.3612</v>
      </c>
      <c r="KH91">
        <v>420</v>
      </c>
      <c r="KI91">
        <v>6.81383</v>
      </c>
      <c r="KJ91">
        <v>96.0302</v>
      </c>
      <c r="KK91">
        <v>93.8943</v>
      </c>
    </row>
    <row r="92" spans="1:297">
      <c r="A92">
        <v>76</v>
      </c>
      <c r="B92">
        <v>1761689349.1</v>
      </c>
      <c r="C92">
        <v>12000</v>
      </c>
      <c r="D92" t="s">
        <v>688</v>
      </c>
      <c r="E92" t="s">
        <v>689</v>
      </c>
      <c r="F92">
        <v>5</v>
      </c>
      <c r="G92" t="s">
        <v>673</v>
      </c>
      <c r="H92" t="s">
        <v>436</v>
      </c>
      <c r="I92">
        <v>1761689340.6</v>
      </c>
      <c r="J92">
        <f>(K92)/1000</f>
        <v>0</v>
      </c>
      <c r="K92">
        <f>IF(DP92, AN92, AH92)</f>
        <v>0</v>
      </c>
      <c r="L92">
        <f>IF(DP92, AI92, AG92)</f>
        <v>0</v>
      </c>
      <c r="M92">
        <f>DR92 - IF(AU92&gt;1, L92*DL92*100.0/(AW92), 0)</f>
        <v>0</v>
      </c>
      <c r="N92">
        <f>((T92-J92/2)*M92-L92)/(T92+J92/2)</f>
        <v>0</v>
      </c>
      <c r="O92">
        <f>N92*(DY92+DZ92)/1000.0</f>
        <v>0</v>
      </c>
      <c r="P92">
        <f>(DR92 - IF(AU92&gt;1, L92*DL92*100.0/(AW92), 0))*(DY92+DZ92)/1000.0</f>
        <v>0</v>
      </c>
      <c r="Q92">
        <f>2.0/((1/S92-1/R92)+SIGN(S92)*SQRT((1/S92-1/R92)*(1/S92-1/R92) + 4*DM92/((DM92+1)*(DM92+1))*(2*1/S92*1/R92-1/R92*1/R92)))</f>
        <v>0</v>
      </c>
      <c r="R92">
        <f>IF(LEFT(DN92,1)&lt;&gt;"0",IF(LEFT(DN92,1)="1",3.0,DO92),$D$5+$E$5*(EF92*DY92/($K$5*1000))+$F$5*(EF92*DY92/($K$5*1000))*MAX(MIN(DL92,$J$5),$I$5)*MAX(MIN(DL92,$J$5),$I$5)+$G$5*MAX(MIN(DL92,$J$5),$I$5)*(EF92*DY92/($K$5*1000))+$H$5*(EF92*DY92/($K$5*1000))*(EF92*DY92/($K$5*1000)))</f>
        <v>0</v>
      </c>
      <c r="S92">
        <f>J92*(1000-(1000*0.61365*exp(17.502*W92/(240.97+W92))/(DY92+DZ92)+DT92)/2)/(1000*0.61365*exp(17.502*W92/(240.97+W92))/(DY92+DZ92)-DT92)</f>
        <v>0</v>
      </c>
      <c r="T92">
        <f>1/((DM92+1)/(Q92/1.6)+1/(R92/1.37)) + DM92/((DM92+1)/(Q92/1.6) + DM92/(R92/1.37))</f>
        <v>0</v>
      </c>
      <c r="U92">
        <f>(DH92*DK92)</f>
        <v>0</v>
      </c>
      <c r="V92">
        <f>(EA92+(U92+2*0.95*5.67E-8*(((EA92+$B$7)+273)^4-(EA92+273)^4)-44100*J92)/(1.84*29.3*R92+8*0.95*5.67E-8*(EA92+273)^3))</f>
        <v>0</v>
      </c>
      <c r="W92">
        <f>($C$7*EB92+$D$7*EC92+$E$7*V92)</f>
        <v>0</v>
      </c>
      <c r="X92">
        <f>0.61365*exp(17.502*W92/(240.97+W92))</f>
        <v>0</v>
      </c>
      <c r="Y92">
        <f>(Z92/AA92*100)</f>
        <v>0</v>
      </c>
      <c r="Z92">
        <f>DT92*(DY92+DZ92)/1000</f>
        <v>0</v>
      </c>
      <c r="AA92">
        <f>0.61365*exp(17.502*EA92/(240.97+EA92))</f>
        <v>0</v>
      </c>
      <c r="AB92">
        <f>(X92-DT92*(DY92+DZ92)/1000)</f>
        <v>0</v>
      </c>
      <c r="AC92">
        <f>(-J92*44100)</f>
        <v>0</v>
      </c>
      <c r="AD92">
        <f>2*29.3*R92*0.92*(EA92-W92)</f>
        <v>0</v>
      </c>
      <c r="AE92">
        <f>2*0.95*5.67E-8*(((EA92+$B$7)+273)^4-(W92+273)^4)</f>
        <v>0</v>
      </c>
      <c r="AF92">
        <f>U92+AE92+AC92+AD92</f>
        <v>0</v>
      </c>
      <c r="AG92">
        <f>DX92*AU92*(DS92-DR92*(1000-AU92*DU92)/(1000-AU92*DT92))/(100*DL92)</f>
        <v>0</v>
      </c>
      <c r="AH92">
        <f>1000*DX92*AU92*(DT92-DU92)/(100*DL92*(1000-AU92*DT92))</f>
        <v>0</v>
      </c>
      <c r="AI92">
        <f>(AJ92 - AK92 - DY92*1E3/(8.314*(EA92+273.15)) * AM92/DX92 * AL92) * DX92/(100*DL92) * (1000 - DU92)/1000</f>
        <v>0</v>
      </c>
      <c r="AJ92">
        <v>422.869240753369</v>
      </c>
      <c r="AK92">
        <v>412.804012121212</v>
      </c>
      <c r="AL92">
        <v>0.000207049989663773</v>
      </c>
      <c r="AM92">
        <v>64.2037741062357</v>
      </c>
      <c r="AN92">
        <f>(AP92 - AO92 + DY92*1E3/(8.314*(EA92+273.15)) * AR92/DX92 * AQ92) * DX92/(100*DL92) * 1000/(1000 - AP92)</f>
        <v>0</v>
      </c>
      <c r="AO92">
        <v>6.84725088409091</v>
      </c>
      <c r="AP92">
        <v>8.74303000000001</v>
      </c>
      <c r="AQ92">
        <v>0.00015728621700888</v>
      </c>
      <c r="AR92">
        <v>109.12</v>
      </c>
      <c r="AS92">
        <v>0</v>
      </c>
      <c r="AT92">
        <v>0</v>
      </c>
      <c r="AU92">
        <f>IF(AS92*$H$13&gt;=AW92,1.0,(AW92/(AW92-AS92*$H$13)))</f>
        <v>0</v>
      </c>
      <c r="AV92">
        <f>(AU92-1)*100</f>
        <v>0</v>
      </c>
      <c r="AW92">
        <f>MAX(0,($B$13+$C$13*EF92)/(1+$D$13*EF92)*DY92/(EA92+273)*$E$13)</f>
        <v>0</v>
      </c>
      <c r="AX92" t="s">
        <v>448</v>
      </c>
      <c r="AY92" t="s">
        <v>448</v>
      </c>
      <c r="AZ92">
        <v>0</v>
      </c>
      <c r="BA92">
        <v>0</v>
      </c>
      <c r="BB92">
        <f>1-AZ92/BA92</f>
        <v>0</v>
      </c>
      <c r="BC92">
        <v>0</v>
      </c>
      <c r="BD92" t="s">
        <v>448</v>
      </c>
      <c r="BE92" t="s">
        <v>448</v>
      </c>
      <c r="BF92">
        <v>0</v>
      </c>
      <c r="BG92">
        <v>0</v>
      </c>
      <c r="BH92">
        <f>1-BF92/BG92</f>
        <v>0</v>
      </c>
      <c r="BI92">
        <v>0.5</v>
      </c>
      <c r="BJ92">
        <f>DI92</f>
        <v>0</v>
      </c>
      <c r="BK92">
        <f>L92</f>
        <v>0</v>
      </c>
      <c r="BL92">
        <f>BH92*BI92*BJ92</f>
        <v>0</v>
      </c>
      <c r="BM92">
        <f>(BK92-BC92)/BJ92</f>
        <v>0</v>
      </c>
      <c r="BN92">
        <f>(BA92-BG92)/BG92</f>
        <v>0</v>
      </c>
      <c r="BO92">
        <f>AZ92/(BB92+AZ92/BG92)</f>
        <v>0</v>
      </c>
      <c r="BP92" t="s">
        <v>448</v>
      </c>
      <c r="BQ92">
        <v>0</v>
      </c>
      <c r="BR92">
        <f>IF(BQ92&lt;&gt;0, BQ92, BO92)</f>
        <v>0</v>
      </c>
      <c r="BS92">
        <f>1-BR92/BG92</f>
        <v>0</v>
      </c>
      <c r="BT92">
        <f>(BG92-BF92)/(BG92-BR92)</f>
        <v>0</v>
      </c>
      <c r="BU92">
        <f>(BA92-BG92)/(BA92-BR92)</f>
        <v>0</v>
      </c>
      <c r="BV92">
        <f>(BG92-BF92)/(BG92-AZ92)</f>
        <v>0</v>
      </c>
      <c r="BW92">
        <f>(BA92-BG92)/(BA92-AZ92)</f>
        <v>0</v>
      </c>
      <c r="BX92">
        <f>(BT92*BR92/BF92)</f>
        <v>0</v>
      </c>
      <c r="BY92">
        <f>(1-BX92)</f>
        <v>0</v>
      </c>
      <c r="BZ92">
        <v>85</v>
      </c>
      <c r="CA92">
        <v>290</v>
      </c>
      <c r="CB92">
        <v>1885.99</v>
      </c>
      <c r="CC92">
        <v>245</v>
      </c>
      <c r="CD92">
        <v>5125.36</v>
      </c>
      <c r="CE92">
        <v>1885.32</v>
      </c>
      <c r="CF92">
        <v>0.67</v>
      </c>
      <c r="CG92">
        <v>300</v>
      </c>
      <c r="CH92">
        <v>23.8</v>
      </c>
      <c r="CI92">
        <v>1978.85846107494</v>
      </c>
      <c r="CJ92">
        <v>2.01629708316936</v>
      </c>
      <c r="CK92">
        <v>-47.9440902017915</v>
      </c>
      <c r="CL92">
        <v>0.921444655768862</v>
      </c>
      <c r="CM92">
        <v>0.989763352507469</v>
      </c>
      <c r="CN92">
        <v>-0.00348317908787542</v>
      </c>
      <c r="CO92">
        <v>290</v>
      </c>
      <c r="CP92">
        <v>1885.37</v>
      </c>
      <c r="CQ92">
        <v>815</v>
      </c>
      <c r="CR92">
        <v>5123.24</v>
      </c>
      <c r="CS92">
        <v>1885.28</v>
      </c>
      <c r="CT92">
        <v>0.09</v>
      </c>
      <c r="DH92">
        <f>$B$11*EG92+$C$11*EH92+$F$11*ES92*(1-EV92)</f>
        <v>0</v>
      </c>
      <c r="DI92">
        <f>DH92*DJ92</f>
        <v>0</v>
      </c>
      <c r="DJ92">
        <f>($B$11*$D$9+$C$11*$D$9+$F$11*((FF92+EX92)/MAX(FF92+EX92+FG92, 0.1)*$I$9+FG92/MAX(FF92+EX92+FG92, 0.1)*$J$9))/($B$11+$C$11+$F$11)</f>
        <v>0</v>
      </c>
      <c r="DK92">
        <f>($B$11*$K$9+$C$11*$K$9+$F$11*((FF92+EX92)/MAX(FF92+EX92+FG92, 0.1)*$P$9+FG92/MAX(FF92+EX92+FG92, 0.1)*$Q$9))/($B$11+$C$11+$F$11)</f>
        <v>0</v>
      </c>
      <c r="DL92">
        <v>6</v>
      </c>
      <c r="DM92">
        <v>0.5</v>
      </c>
      <c r="DN92" t="s">
        <v>440</v>
      </c>
      <c r="DO92">
        <v>2</v>
      </c>
      <c r="DP92" t="b">
        <v>1</v>
      </c>
      <c r="DQ92">
        <v>1761689340.6</v>
      </c>
      <c r="DR92">
        <v>409.198</v>
      </c>
      <c r="DS92">
        <v>419.9921875</v>
      </c>
      <c r="DT92">
        <v>8.725629375</v>
      </c>
      <c r="DU92">
        <v>6.83568375</v>
      </c>
      <c r="DV92">
        <v>406.3245</v>
      </c>
      <c r="DW92">
        <v>8.829820625</v>
      </c>
      <c r="DX92">
        <v>500.003875</v>
      </c>
      <c r="DY92">
        <v>91.015725</v>
      </c>
      <c r="DZ92">
        <v>0.02199989375</v>
      </c>
      <c r="EA92">
        <v>24.29101875</v>
      </c>
      <c r="EB92">
        <v>23.95080625</v>
      </c>
      <c r="EC92">
        <v>999.9</v>
      </c>
      <c r="ED92">
        <v>0</v>
      </c>
      <c r="EE92">
        <v>0</v>
      </c>
      <c r="EF92">
        <v>9997.53</v>
      </c>
      <c r="EG92">
        <v>0</v>
      </c>
      <c r="EH92">
        <v>1281.563125</v>
      </c>
      <c r="EI92">
        <v>-10.79425625</v>
      </c>
      <c r="EJ92">
        <v>412.8</v>
      </c>
      <c r="EK92">
        <v>422.883</v>
      </c>
      <c r="EL92">
        <v>1.889945</v>
      </c>
      <c r="EM92">
        <v>419.9921875</v>
      </c>
      <c r="EN92">
        <v>6.83568375</v>
      </c>
      <c r="EO92">
        <v>0.7941694375</v>
      </c>
      <c r="EP92">
        <v>0.6221548125</v>
      </c>
      <c r="EQ92">
        <v>3.603504375</v>
      </c>
      <c r="ER92">
        <v>0.189633375</v>
      </c>
      <c r="ES92">
        <v>599.98075</v>
      </c>
      <c r="ET92">
        <v>0.9329841875</v>
      </c>
      <c r="EU92">
        <v>0.06701591875</v>
      </c>
      <c r="EV92">
        <v>0</v>
      </c>
      <c r="EW92">
        <v>1336.315</v>
      </c>
      <c r="EX92">
        <v>5.00059</v>
      </c>
      <c r="EY92">
        <v>7796.039375</v>
      </c>
      <c r="EZ92">
        <v>5105.31625</v>
      </c>
      <c r="FA92">
        <v>39.53875</v>
      </c>
      <c r="FB92">
        <v>41.63275</v>
      </c>
      <c r="FC92">
        <v>40.2655</v>
      </c>
      <c r="FD92">
        <v>41.1210625</v>
      </c>
      <c r="FE92">
        <v>40.8160625</v>
      </c>
      <c r="FF92">
        <v>555.106875</v>
      </c>
      <c r="FG92">
        <v>39.87</v>
      </c>
      <c r="FH92">
        <v>0</v>
      </c>
      <c r="FI92">
        <v>67.5</v>
      </c>
      <c r="FJ92">
        <v>0</v>
      </c>
      <c r="FK92">
        <v>1336.186</v>
      </c>
      <c r="FL92">
        <v>-6.40923078031936</v>
      </c>
      <c r="FM92">
        <v>-43.933076974042</v>
      </c>
      <c r="FN92">
        <v>7795.1684</v>
      </c>
      <c r="FO92">
        <v>15</v>
      </c>
      <c r="FP92">
        <v>0</v>
      </c>
      <c r="FQ92" t="s">
        <v>441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-10.79497</v>
      </c>
      <c r="GD92">
        <v>0.0210947368421161</v>
      </c>
      <c r="GE92">
        <v>0.014146063056554</v>
      </c>
      <c r="GF92">
        <v>1</v>
      </c>
      <c r="GG92">
        <v>1336.58441176471</v>
      </c>
      <c r="GH92">
        <v>-6.3647058750022</v>
      </c>
      <c r="GI92">
        <v>0.642500589042831</v>
      </c>
      <c r="GJ92">
        <v>-1</v>
      </c>
      <c r="GK92">
        <v>1.891076</v>
      </c>
      <c r="GL92">
        <v>-0.0387924812030075</v>
      </c>
      <c r="GM92">
        <v>0.00433717350356196</v>
      </c>
      <c r="GN92">
        <v>1</v>
      </c>
      <c r="GO92">
        <v>2</v>
      </c>
      <c r="GP92">
        <v>2</v>
      </c>
      <c r="GQ92" t="s">
        <v>442</v>
      </c>
      <c r="GR92">
        <v>3.12802</v>
      </c>
      <c r="GS92">
        <v>2.70014</v>
      </c>
      <c r="GT92">
        <v>0.0872966</v>
      </c>
      <c r="GU92">
        <v>0.0896736</v>
      </c>
      <c r="GV92">
        <v>0.0482334</v>
      </c>
      <c r="GW92">
        <v>0.0396997</v>
      </c>
      <c r="GX92">
        <v>34147.5</v>
      </c>
      <c r="GY92">
        <v>36459.8</v>
      </c>
      <c r="GZ92">
        <v>33867.1</v>
      </c>
      <c r="HA92">
        <v>36280.7</v>
      </c>
      <c r="HB92">
        <v>45561.1</v>
      </c>
      <c r="HC92">
        <v>50003</v>
      </c>
      <c r="HD92">
        <v>52830.3</v>
      </c>
      <c r="HE92">
        <v>57940.5</v>
      </c>
      <c r="HF92">
        <v>1.90847</v>
      </c>
      <c r="HG92">
        <v>2.28347</v>
      </c>
      <c r="HH92">
        <v>0.003241</v>
      </c>
      <c r="HI92">
        <v>0</v>
      </c>
      <c r="HJ92">
        <v>23.9422</v>
      </c>
      <c r="HK92">
        <v>999.9</v>
      </c>
      <c r="HL92">
        <v>21.725</v>
      </c>
      <c r="HM92">
        <v>30.101</v>
      </c>
      <c r="HN92">
        <v>10.2283</v>
      </c>
      <c r="HO92">
        <v>53.9176</v>
      </c>
      <c r="HP92">
        <v>30.8053</v>
      </c>
      <c r="HQ92">
        <v>2</v>
      </c>
      <c r="HR92">
        <v>0.298976</v>
      </c>
      <c r="HS92">
        <v>2.97534</v>
      </c>
      <c r="HT92">
        <v>20.1191</v>
      </c>
      <c r="HU92">
        <v>5.19872</v>
      </c>
      <c r="HV92">
        <v>12.004</v>
      </c>
      <c r="HW92">
        <v>4.97435</v>
      </c>
      <c r="HX92">
        <v>3.29395</v>
      </c>
      <c r="HY92">
        <v>9999</v>
      </c>
      <c r="HZ92">
        <v>9999</v>
      </c>
      <c r="IA92">
        <v>9999</v>
      </c>
      <c r="IB92">
        <v>999.9</v>
      </c>
      <c r="IC92">
        <v>1.86325</v>
      </c>
      <c r="ID92">
        <v>1.86813</v>
      </c>
      <c r="IE92">
        <v>1.86783</v>
      </c>
      <c r="IF92">
        <v>1.86905</v>
      </c>
      <c r="IG92">
        <v>1.86984</v>
      </c>
      <c r="IH92">
        <v>1.86596</v>
      </c>
      <c r="II92">
        <v>1.86702</v>
      </c>
      <c r="IJ92">
        <v>1.86844</v>
      </c>
      <c r="IK92">
        <v>5</v>
      </c>
      <c r="IL92">
        <v>0</v>
      </c>
      <c r="IM92">
        <v>0</v>
      </c>
      <c r="IN92">
        <v>0</v>
      </c>
      <c r="IO92" t="s">
        <v>443</v>
      </c>
      <c r="IP92" t="s">
        <v>444</v>
      </c>
      <c r="IQ92" t="s">
        <v>445</v>
      </c>
      <c r="IR92" t="s">
        <v>445</v>
      </c>
      <c r="IS92" t="s">
        <v>445</v>
      </c>
      <c r="IT92" t="s">
        <v>445</v>
      </c>
      <c r="IU92">
        <v>0</v>
      </c>
      <c r="IV92">
        <v>100</v>
      </c>
      <c r="IW92">
        <v>100</v>
      </c>
      <c r="IX92">
        <v>2.873</v>
      </c>
      <c r="IY92">
        <v>-0.1038</v>
      </c>
      <c r="IZ92">
        <v>1.24656194001752</v>
      </c>
      <c r="JA92">
        <v>0.00408463137630218</v>
      </c>
      <c r="JB92">
        <v>-2.23906557180379e-07</v>
      </c>
      <c r="JC92">
        <v>6.23399102760906e-11</v>
      </c>
      <c r="JD92">
        <v>-0.0873394905990972</v>
      </c>
      <c r="JE92">
        <v>-0.0233348201324191</v>
      </c>
      <c r="JF92">
        <v>0.00274696999164489</v>
      </c>
      <c r="JG92">
        <v>-3.62864435074646e-05</v>
      </c>
      <c r="JH92">
        <v>5</v>
      </c>
      <c r="JI92">
        <v>2263</v>
      </c>
      <c r="JJ92">
        <v>1</v>
      </c>
      <c r="JK92">
        <v>24</v>
      </c>
      <c r="JL92">
        <v>29361489.2</v>
      </c>
      <c r="JM92">
        <v>29361489.2</v>
      </c>
      <c r="JN92">
        <v>1.25244</v>
      </c>
      <c r="JO92">
        <v>2.61963</v>
      </c>
      <c r="JP92">
        <v>2.19849</v>
      </c>
      <c r="JQ92">
        <v>2.62573</v>
      </c>
      <c r="JR92">
        <v>2.44507</v>
      </c>
      <c r="JS92">
        <v>2.35718</v>
      </c>
      <c r="JT92">
        <v>33.4906</v>
      </c>
      <c r="JU92">
        <v>24.2013</v>
      </c>
      <c r="JV92">
        <v>18</v>
      </c>
      <c r="JW92">
        <v>499.39</v>
      </c>
      <c r="JX92">
        <v>789.718</v>
      </c>
      <c r="JY92">
        <v>20.2624</v>
      </c>
      <c r="JZ92">
        <v>31.1819</v>
      </c>
      <c r="KA92">
        <v>30.0002</v>
      </c>
      <c r="KB92">
        <v>31.1401</v>
      </c>
      <c r="KC92">
        <v>31.0666</v>
      </c>
      <c r="KD92">
        <v>25.0965</v>
      </c>
      <c r="KE92">
        <v>12.966</v>
      </c>
      <c r="KF92">
        <v>13.5551</v>
      </c>
      <c r="KG92">
        <v>20.2579</v>
      </c>
      <c r="KH92">
        <v>420</v>
      </c>
      <c r="KI92">
        <v>6.94418</v>
      </c>
      <c r="KJ92">
        <v>96.0358</v>
      </c>
      <c r="KK92">
        <v>93.9038</v>
      </c>
    </row>
    <row r="93" spans="1:297">
      <c r="A93">
        <v>77</v>
      </c>
      <c r="B93">
        <v>1761689413.1</v>
      </c>
      <c r="C93">
        <v>12064</v>
      </c>
      <c r="D93" t="s">
        <v>690</v>
      </c>
      <c r="E93" t="s">
        <v>691</v>
      </c>
      <c r="F93">
        <v>5</v>
      </c>
      <c r="G93" t="s">
        <v>673</v>
      </c>
      <c r="H93" t="s">
        <v>436</v>
      </c>
      <c r="I93">
        <v>1761689405.1</v>
      </c>
      <c r="J93">
        <f>(K93)/1000</f>
        <v>0</v>
      </c>
      <c r="K93">
        <f>IF(DP93, AN93, AH93)</f>
        <v>0</v>
      </c>
      <c r="L93">
        <f>IF(DP93, AI93, AG93)</f>
        <v>0</v>
      </c>
      <c r="M93">
        <f>DR93 - IF(AU93&gt;1, L93*DL93*100.0/(AW93), 0)</f>
        <v>0</v>
      </c>
      <c r="N93">
        <f>((T93-J93/2)*M93-L93)/(T93+J93/2)</f>
        <v>0</v>
      </c>
      <c r="O93">
        <f>N93*(DY93+DZ93)/1000.0</f>
        <v>0</v>
      </c>
      <c r="P93">
        <f>(DR93 - IF(AU93&gt;1, L93*DL93*100.0/(AW93), 0))*(DY93+DZ93)/1000.0</f>
        <v>0</v>
      </c>
      <c r="Q93">
        <f>2.0/((1/S93-1/R93)+SIGN(S93)*SQRT((1/S93-1/R93)*(1/S93-1/R93) + 4*DM93/((DM93+1)*(DM93+1))*(2*1/S93*1/R93-1/R93*1/R93)))</f>
        <v>0</v>
      </c>
      <c r="R93">
        <f>IF(LEFT(DN93,1)&lt;&gt;"0",IF(LEFT(DN93,1)="1",3.0,DO93),$D$5+$E$5*(EF93*DY93/($K$5*1000))+$F$5*(EF93*DY93/($K$5*1000))*MAX(MIN(DL93,$J$5),$I$5)*MAX(MIN(DL93,$J$5),$I$5)+$G$5*MAX(MIN(DL93,$J$5),$I$5)*(EF93*DY93/($K$5*1000))+$H$5*(EF93*DY93/($K$5*1000))*(EF93*DY93/($K$5*1000)))</f>
        <v>0</v>
      </c>
      <c r="S93">
        <f>J93*(1000-(1000*0.61365*exp(17.502*W93/(240.97+W93))/(DY93+DZ93)+DT93)/2)/(1000*0.61365*exp(17.502*W93/(240.97+W93))/(DY93+DZ93)-DT93)</f>
        <v>0</v>
      </c>
      <c r="T93">
        <f>1/((DM93+1)/(Q93/1.6)+1/(R93/1.37)) + DM93/((DM93+1)/(Q93/1.6) + DM93/(R93/1.37))</f>
        <v>0</v>
      </c>
      <c r="U93">
        <f>(DH93*DK93)</f>
        <v>0</v>
      </c>
      <c r="V93">
        <f>(EA93+(U93+2*0.95*5.67E-8*(((EA93+$B$7)+273)^4-(EA93+273)^4)-44100*J93)/(1.84*29.3*R93+8*0.95*5.67E-8*(EA93+273)^3))</f>
        <v>0</v>
      </c>
      <c r="W93">
        <f>($C$7*EB93+$D$7*EC93+$E$7*V93)</f>
        <v>0</v>
      </c>
      <c r="X93">
        <f>0.61365*exp(17.502*W93/(240.97+W93))</f>
        <v>0</v>
      </c>
      <c r="Y93">
        <f>(Z93/AA93*100)</f>
        <v>0</v>
      </c>
      <c r="Z93">
        <f>DT93*(DY93+DZ93)/1000</f>
        <v>0</v>
      </c>
      <c r="AA93">
        <f>0.61365*exp(17.502*EA93/(240.97+EA93))</f>
        <v>0</v>
      </c>
      <c r="AB93">
        <f>(X93-DT93*(DY93+DZ93)/1000)</f>
        <v>0</v>
      </c>
      <c r="AC93">
        <f>(-J93*44100)</f>
        <v>0</v>
      </c>
      <c r="AD93">
        <f>2*29.3*R93*0.92*(EA93-W93)</f>
        <v>0</v>
      </c>
      <c r="AE93">
        <f>2*0.95*5.67E-8*(((EA93+$B$7)+273)^4-(W93+273)^4)</f>
        <v>0</v>
      </c>
      <c r="AF93">
        <f>U93+AE93+AC93+AD93</f>
        <v>0</v>
      </c>
      <c r="AG93">
        <f>DX93*AU93*(DS93-DR93*(1000-AU93*DU93)/(1000-AU93*DT93))/(100*DL93)</f>
        <v>0</v>
      </c>
      <c r="AH93">
        <f>1000*DX93*AU93*(DT93-DU93)/(100*DL93*(1000-AU93*DT93))</f>
        <v>0</v>
      </c>
      <c r="AI93">
        <f>(AJ93 - AK93 - DY93*1E3/(8.314*(EA93+273.15)) * AM93/DX93 * AL93) * DX93/(100*DL93) * (1000 - DU93)/1000</f>
        <v>0</v>
      </c>
      <c r="AJ93">
        <v>422.956070705221</v>
      </c>
      <c r="AK93">
        <v>414.663018181818</v>
      </c>
      <c r="AL93">
        <v>0.0215191183583047</v>
      </c>
      <c r="AM93">
        <v>64.2037741062357</v>
      </c>
      <c r="AN93">
        <f>(AP93 - AO93 + DY93*1E3/(8.314*(EA93+273.15)) * AR93/DX93 * AQ93) * DX93/(100*DL93) * 1000/(1000 - AP93)</f>
        <v>0</v>
      </c>
      <c r="AO93">
        <v>6.96341289978355</v>
      </c>
      <c r="AP93">
        <v>8.82407125874127</v>
      </c>
      <c r="AQ93">
        <v>6.47492285492593e-05</v>
      </c>
      <c r="AR93">
        <v>109.12</v>
      </c>
      <c r="AS93">
        <v>0</v>
      </c>
      <c r="AT93">
        <v>0</v>
      </c>
      <c r="AU93">
        <f>IF(AS93*$H$13&gt;=AW93,1.0,(AW93/(AW93-AS93*$H$13)))</f>
        <v>0</v>
      </c>
      <c r="AV93">
        <f>(AU93-1)*100</f>
        <v>0</v>
      </c>
      <c r="AW93">
        <f>MAX(0,($B$13+$C$13*EF93)/(1+$D$13*EF93)*DY93/(EA93+273)*$E$13)</f>
        <v>0</v>
      </c>
      <c r="AX93" t="s">
        <v>670</v>
      </c>
      <c r="AY93">
        <v>5109.44</v>
      </c>
      <c r="AZ93">
        <v>735.712</v>
      </c>
      <c r="BA93">
        <v>1673.25788318157</v>
      </c>
      <c r="BB93">
        <f>1-AZ93/BA93</f>
        <v>0</v>
      </c>
      <c r="BC93">
        <v>-0.911393318165212</v>
      </c>
      <c r="BD93" t="s">
        <v>692</v>
      </c>
      <c r="BE93">
        <v>5118.7</v>
      </c>
      <c r="BF93">
        <v>978.37176</v>
      </c>
      <c r="BG93">
        <v>2003.15572621395</v>
      </c>
      <c r="BH93">
        <f>1-BF93/BG93</f>
        <v>0</v>
      </c>
      <c r="BI93">
        <v>0.5</v>
      </c>
      <c r="BJ93">
        <f>DI93</f>
        <v>0</v>
      </c>
      <c r="BK93">
        <f>L93</f>
        <v>0</v>
      </c>
      <c r="BL93">
        <f>BH93*BI93*BJ93</f>
        <v>0</v>
      </c>
      <c r="BM93">
        <f>(BK93-BC93)/BJ93</f>
        <v>0</v>
      </c>
      <c r="BN93">
        <f>(BA93-BG93)/BG93</f>
        <v>0</v>
      </c>
      <c r="BO93">
        <f>AZ93/(BB93+AZ93/BG93)</f>
        <v>0</v>
      </c>
      <c r="BP93" t="s">
        <v>693</v>
      </c>
      <c r="BQ93">
        <v>701.4</v>
      </c>
      <c r="BR93">
        <f>IF(BQ93&lt;&gt;0, BQ93, BO93)</f>
        <v>0</v>
      </c>
      <c r="BS93">
        <f>1-BR93/BG93</f>
        <v>0</v>
      </c>
      <c r="BT93">
        <f>(BG93-BF93)/(BG93-BR93)</f>
        <v>0</v>
      </c>
      <c r="BU93">
        <f>(BA93-BG93)/(BA93-BR93)</f>
        <v>0</v>
      </c>
      <c r="BV93">
        <f>(BG93-BF93)/(BG93-AZ93)</f>
        <v>0</v>
      </c>
      <c r="BW93">
        <f>(BA93-BG93)/(BA93-AZ93)</f>
        <v>0</v>
      </c>
      <c r="BX93">
        <f>(BT93*BR93/BF93)</f>
        <v>0</v>
      </c>
      <c r="BY93">
        <f>(1-BX93)</f>
        <v>0</v>
      </c>
      <c r="BZ93">
        <v>87</v>
      </c>
      <c r="CA93">
        <v>290</v>
      </c>
      <c r="CB93">
        <v>1896.74</v>
      </c>
      <c r="CC93">
        <v>275</v>
      </c>
      <c r="CD93">
        <v>5118.7</v>
      </c>
      <c r="CE93">
        <v>1896.87</v>
      </c>
      <c r="CF93">
        <v>-0.13</v>
      </c>
      <c r="CG93">
        <v>300</v>
      </c>
      <c r="CH93">
        <v>23.9</v>
      </c>
      <c r="CI93">
        <v>2003.15572621395</v>
      </c>
      <c r="CJ93">
        <v>1.92837607769052</v>
      </c>
      <c r="CK93">
        <v>-54.4021210524138</v>
      </c>
      <c r="CL93">
        <v>0.863680888508836</v>
      </c>
      <c r="CM93">
        <v>0.992992246080936</v>
      </c>
      <c r="CN93">
        <v>-0.00398082469410456</v>
      </c>
      <c r="CO93">
        <v>290</v>
      </c>
      <c r="CP93">
        <v>1895.92</v>
      </c>
      <c r="CQ93">
        <v>675</v>
      </c>
      <c r="CR93">
        <v>5117.58</v>
      </c>
      <c r="CS93">
        <v>1896.85</v>
      </c>
      <c r="CT93">
        <v>-0.93</v>
      </c>
      <c r="DH93">
        <f>$B$11*EG93+$C$11*EH93+$F$11*ES93*(1-EV93)</f>
        <v>0</v>
      </c>
      <c r="DI93">
        <f>DH93*DJ93</f>
        <v>0</v>
      </c>
      <c r="DJ93">
        <f>($B$11*$D$9+$C$11*$D$9+$F$11*((FF93+EX93)/MAX(FF93+EX93+FG93, 0.1)*$I$9+FG93/MAX(FF93+EX93+FG93, 0.1)*$J$9))/($B$11+$C$11+$F$11)</f>
        <v>0</v>
      </c>
      <c r="DK93">
        <f>($B$11*$K$9+$C$11*$K$9+$F$11*((FF93+EX93)/MAX(FF93+EX93+FG93, 0.1)*$P$9+FG93/MAX(FF93+EX93+FG93, 0.1)*$Q$9))/($B$11+$C$11+$F$11)</f>
        <v>0</v>
      </c>
      <c r="DL93">
        <v>6</v>
      </c>
      <c r="DM93">
        <v>0.5</v>
      </c>
      <c r="DN93" t="s">
        <v>440</v>
      </c>
      <c r="DO93">
        <v>2</v>
      </c>
      <c r="DP93" t="b">
        <v>1</v>
      </c>
      <c r="DQ93">
        <v>1761689405.1</v>
      </c>
      <c r="DR93">
        <v>410.922466666667</v>
      </c>
      <c r="DS93">
        <v>419.998066666667</v>
      </c>
      <c r="DT93">
        <v>8.810052</v>
      </c>
      <c r="DU93">
        <v>6.952352</v>
      </c>
      <c r="DV93">
        <v>408.042333333333</v>
      </c>
      <c r="DW93">
        <v>8.91284666666667</v>
      </c>
      <c r="DX93">
        <v>499.998466666667</v>
      </c>
      <c r="DY93">
        <v>91.0145666666667</v>
      </c>
      <c r="DZ93">
        <v>0.02219478</v>
      </c>
      <c r="EA93">
        <v>24.43472</v>
      </c>
      <c r="EB93">
        <v>23.9043266666667</v>
      </c>
      <c r="EC93">
        <v>999.9</v>
      </c>
      <c r="ED93">
        <v>0</v>
      </c>
      <c r="EE93">
        <v>0</v>
      </c>
      <c r="EF93">
        <v>9993.42</v>
      </c>
      <c r="EG93">
        <v>0</v>
      </c>
      <c r="EH93">
        <v>1281.55333333333</v>
      </c>
      <c r="EI93">
        <v>-9.075644</v>
      </c>
      <c r="EJ93">
        <v>414.574933333333</v>
      </c>
      <c r="EK93">
        <v>422.9384</v>
      </c>
      <c r="EL93">
        <v>1.85769933333333</v>
      </c>
      <c r="EM93">
        <v>419.998066666667</v>
      </c>
      <c r="EN93">
        <v>6.952352</v>
      </c>
      <c r="EO93">
        <v>0.801843</v>
      </c>
      <c r="EP93">
        <v>0.632765333333333</v>
      </c>
      <c r="EQ93">
        <v>3.73996933333333</v>
      </c>
      <c r="ER93">
        <v>0.423058133333333</v>
      </c>
      <c r="ES93">
        <v>299.987066666667</v>
      </c>
      <c r="ET93">
        <v>0.90003</v>
      </c>
      <c r="EU93">
        <v>0.0999701133333333</v>
      </c>
      <c r="EV93">
        <v>0</v>
      </c>
      <c r="EW93">
        <v>978.317333333333</v>
      </c>
      <c r="EX93">
        <v>5.00059</v>
      </c>
      <c r="EY93">
        <v>2833.20466666667</v>
      </c>
      <c r="EZ93">
        <v>2506.10533333333</v>
      </c>
      <c r="FA93">
        <v>38.9164666666667</v>
      </c>
      <c r="FB93">
        <v>41.4622</v>
      </c>
      <c r="FC93">
        <v>39.9163333333333</v>
      </c>
      <c r="FD93">
        <v>40.9538</v>
      </c>
      <c r="FE93">
        <v>40.4080666666667</v>
      </c>
      <c r="FF93">
        <v>265.497333333333</v>
      </c>
      <c r="FG93">
        <v>29.492</v>
      </c>
      <c r="FH93">
        <v>0</v>
      </c>
      <c r="FI93">
        <v>131.100000143051</v>
      </c>
      <c r="FJ93">
        <v>0</v>
      </c>
      <c r="FK93">
        <v>978.37176</v>
      </c>
      <c r="FL93">
        <v>4.48207692601826</v>
      </c>
      <c r="FM93">
        <v>7.60769235844086</v>
      </c>
      <c r="FN93">
        <v>2833.4136</v>
      </c>
      <c r="FO93">
        <v>15</v>
      </c>
      <c r="FP93">
        <v>0</v>
      </c>
      <c r="FQ93" t="s">
        <v>441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-9.096922</v>
      </c>
      <c r="GD93">
        <v>0.366608120300753</v>
      </c>
      <c r="GE93">
        <v>0.0437546554780173</v>
      </c>
      <c r="GF93">
        <v>1</v>
      </c>
      <c r="GG93">
        <v>978.152235294118</v>
      </c>
      <c r="GH93">
        <v>4.42374332341467</v>
      </c>
      <c r="GI93">
        <v>0.509500970317346</v>
      </c>
      <c r="GJ93">
        <v>-1</v>
      </c>
      <c r="GK93">
        <v>1.8591695</v>
      </c>
      <c r="GL93">
        <v>-0.0466777443608997</v>
      </c>
      <c r="GM93">
        <v>0.00514777182380881</v>
      </c>
      <c r="GN93">
        <v>1</v>
      </c>
      <c r="GO93">
        <v>2</v>
      </c>
      <c r="GP93">
        <v>2</v>
      </c>
      <c r="GQ93" t="s">
        <v>442</v>
      </c>
      <c r="GR93">
        <v>3.12791</v>
      </c>
      <c r="GS93">
        <v>2.7005</v>
      </c>
      <c r="GT93">
        <v>0.0875923</v>
      </c>
      <c r="GU93">
        <v>0.089683</v>
      </c>
      <c r="GV93">
        <v>0.0485846</v>
      </c>
      <c r="GW93">
        <v>0.0402089</v>
      </c>
      <c r="GX93">
        <v>34139.1</v>
      </c>
      <c r="GY93">
        <v>36463.5</v>
      </c>
      <c r="GZ93">
        <v>33869.6</v>
      </c>
      <c r="HA93">
        <v>36284.5</v>
      </c>
      <c r="HB93">
        <v>45547.4</v>
      </c>
      <c r="HC93">
        <v>49981.3</v>
      </c>
      <c r="HD93">
        <v>52833.8</v>
      </c>
      <c r="HE93">
        <v>57946</v>
      </c>
      <c r="HF93">
        <v>1.90877</v>
      </c>
      <c r="HG93">
        <v>2.28425</v>
      </c>
      <c r="HH93">
        <v>-0.00968575</v>
      </c>
      <c r="HI93">
        <v>0</v>
      </c>
      <c r="HJ93">
        <v>24.1122</v>
      </c>
      <c r="HK93">
        <v>999.9</v>
      </c>
      <c r="HL93">
        <v>21.676</v>
      </c>
      <c r="HM93">
        <v>30.101</v>
      </c>
      <c r="HN93">
        <v>10.2058</v>
      </c>
      <c r="HO93">
        <v>54.2976</v>
      </c>
      <c r="HP93">
        <v>30.8734</v>
      </c>
      <c r="HQ93">
        <v>2</v>
      </c>
      <c r="HR93">
        <v>0.293702</v>
      </c>
      <c r="HS93">
        <v>2.53575</v>
      </c>
      <c r="HT93">
        <v>20.1288</v>
      </c>
      <c r="HU93">
        <v>5.19857</v>
      </c>
      <c r="HV93">
        <v>12.0049</v>
      </c>
      <c r="HW93">
        <v>4.9755</v>
      </c>
      <c r="HX93">
        <v>3.294</v>
      </c>
      <c r="HY93">
        <v>9999</v>
      </c>
      <c r="HZ93">
        <v>9999</v>
      </c>
      <c r="IA93">
        <v>9999</v>
      </c>
      <c r="IB93">
        <v>999.9</v>
      </c>
      <c r="IC93">
        <v>1.86325</v>
      </c>
      <c r="ID93">
        <v>1.86813</v>
      </c>
      <c r="IE93">
        <v>1.86784</v>
      </c>
      <c r="IF93">
        <v>1.86905</v>
      </c>
      <c r="IG93">
        <v>1.86983</v>
      </c>
      <c r="IH93">
        <v>1.86592</v>
      </c>
      <c r="II93">
        <v>1.86701</v>
      </c>
      <c r="IJ93">
        <v>1.86843</v>
      </c>
      <c r="IK93">
        <v>5</v>
      </c>
      <c r="IL93">
        <v>0</v>
      </c>
      <c r="IM93">
        <v>0</v>
      </c>
      <c r="IN93">
        <v>0</v>
      </c>
      <c r="IO93" t="s">
        <v>443</v>
      </c>
      <c r="IP93" t="s">
        <v>444</v>
      </c>
      <c r="IQ93" t="s">
        <v>445</v>
      </c>
      <c r="IR93" t="s">
        <v>445</v>
      </c>
      <c r="IS93" t="s">
        <v>445</v>
      </c>
      <c r="IT93" t="s">
        <v>445</v>
      </c>
      <c r="IU93">
        <v>0</v>
      </c>
      <c r="IV93">
        <v>100</v>
      </c>
      <c r="IW93">
        <v>100</v>
      </c>
      <c r="IX93">
        <v>2.88</v>
      </c>
      <c r="IY93">
        <v>-0.1025</v>
      </c>
      <c r="IZ93">
        <v>1.24656194001752</v>
      </c>
      <c r="JA93">
        <v>0.00408463137630218</v>
      </c>
      <c r="JB93">
        <v>-2.23906557180379e-07</v>
      </c>
      <c r="JC93">
        <v>6.23399102760906e-11</v>
      </c>
      <c r="JD93">
        <v>-0.0873394905990972</v>
      </c>
      <c r="JE93">
        <v>-0.0233348201324191</v>
      </c>
      <c r="JF93">
        <v>0.00274696999164489</v>
      </c>
      <c r="JG93">
        <v>-3.62864435074646e-05</v>
      </c>
      <c r="JH93">
        <v>5</v>
      </c>
      <c r="JI93">
        <v>2263</v>
      </c>
      <c r="JJ93">
        <v>1</v>
      </c>
      <c r="JK93">
        <v>24</v>
      </c>
      <c r="JL93">
        <v>29361490.2</v>
      </c>
      <c r="JM93">
        <v>29361490.2</v>
      </c>
      <c r="JN93">
        <v>1.25244</v>
      </c>
      <c r="JO93">
        <v>2.62329</v>
      </c>
      <c r="JP93">
        <v>2.19849</v>
      </c>
      <c r="JQ93">
        <v>2.62451</v>
      </c>
      <c r="JR93">
        <v>2.44629</v>
      </c>
      <c r="JS93">
        <v>2.29736</v>
      </c>
      <c r="JT93">
        <v>33.4906</v>
      </c>
      <c r="JU93">
        <v>24.2013</v>
      </c>
      <c r="JV93">
        <v>18</v>
      </c>
      <c r="JW93">
        <v>499.344</v>
      </c>
      <c r="JX93">
        <v>790.098</v>
      </c>
      <c r="JY93">
        <v>20.7494</v>
      </c>
      <c r="JZ93">
        <v>31.1383</v>
      </c>
      <c r="KA93">
        <v>29.9999</v>
      </c>
      <c r="KB93">
        <v>31.1105</v>
      </c>
      <c r="KC93">
        <v>31.0404</v>
      </c>
      <c r="KD93">
        <v>25.098</v>
      </c>
      <c r="KE93">
        <v>10.9268</v>
      </c>
      <c r="KF93">
        <v>13.5551</v>
      </c>
      <c r="KG93">
        <v>20.742</v>
      </c>
      <c r="KH93">
        <v>420</v>
      </c>
      <c r="KI93">
        <v>7.03153</v>
      </c>
      <c r="KJ93">
        <v>96.0426</v>
      </c>
      <c r="KK93">
        <v>93.9131</v>
      </c>
    </row>
    <row r="94" spans="1:297">
      <c r="A94">
        <v>78</v>
      </c>
      <c r="B94">
        <v>1761689489.1</v>
      </c>
      <c r="C94">
        <v>12140</v>
      </c>
      <c r="D94" t="s">
        <v>694</v>
      </c>
      <c r="E94" t="s">
        <v>695</v>
      </c>
      <c r="F94">
        <v>5</v>
      </c>
      <c r="G94" t="s">
        <v>673</v>
      </c>
      <c r="H94" t="s">
        <v>436</v>
      </c>
      <c r="I94">
        <v>1761689480.6</v>
      </c>
      <c r="J94">
        <f>(K94)/1000</f>
        <v>0</v>
      </c>
      <c r="K94">
        <f>IF(DP94, AN94, AH94)</f>
        <v>0</v>
      </c>
      <c r="L94">
        <f>IF(DP94, AI94, AG94)</f>
        <v>0</v>
      </c>
      <c r="M94">
        <f>DR94 - IF(AU94&gt;1, L94*DL94*100.0/(AW94), 0)</f>
        <v>0</v>
      </c>
      <c r="N94">
        <f>((T94-J94/2)*M94-L94)/(T94+J94/2)</f>
        <v>0</v>
      </c>
      <c r="O94">
        <f>N94*(DY94+DZ94)/1000.0</f>
        <v>0</v>
      </c>
      <c r="P94">
        <f>(DR94 - IF(AU94&gt;1, L94*DL94*100.0/(AW94), 0))*(DY94+DZ94)/1000.0</f>
        <v>0</v>
      </c>
      <c r="Q94">
        <f>2.0/((1/S94-1/R94)+SIGN(S94)*SQRT((1/S94-1/R94)*(1/S94-1/R94) + 4*DM94/((DM94+1)*(DM94+1))*(2*1/S94*1/R94-1/R94*1/R94)))</f>
        <v>0</v>
      </c>
      <c r="R94">
        <f>IF(LEFT(DN94,1)&lt;&gt;"0",IF(LEFT(DN94,1)="1",3.0,DO94),$D$5+$E$5*(EF94*DY94/($K$5*1000))+$F$5*(EF94*DY94/($K$5*1000))*MAX(MIN(DL94,$J$5),$I$5)*MAX(MIN(DL94,$J$5),$I$5)+$G$5*MAX(MIN(DL94,$J$5),$I$5)*(EF94*DY94/($K$5*1000))+$H$5*(EF94*DY94/($K$5*1000))*(EF94*DY94/($K$5*1000)))</f>
        <v>0</v>
      </c>
      <c r="S94">
        <f>J94*(1000-(1000*0.61365*exp(17.502*W94/(240.97+W94))/(DY94+DZ94)+DT94)/2)/(1000*0.61365*exp(17.502*W94/(240.97+W94))/(DY94+DZ94)-DT94)</f>
        <v>0</v>
      </c>
      <c r="T94">
        <f>1/((DM94+1)/(Q94/1.6)+1/(R94/1.37)) + DM94/((DM94+1)/(Q94/1.6) + DM94/(R94/1.37))</f>
        <v>0</v>
      </c>
      <c r="U94">
        <f>(DH94*DK94)</f>
        <v>0</v>
      </c>
      <c r="V94">
        <f>(EA94+(U94+2*0.95*5.67E-8*(((EA94+$B$7)+273)^4-(EA94+273)^4)-44100*J94)/(1.84*29.3*R94+8*0.95*5.67E-8*(EA94+273)^3))</f>
        <v>0</v>
      </c>
      <c r="W94">
        <f>($C$7*EB94+$D$7*EC94+$E$7*V94)</f>
        <v>0</v>
      </c>
      <c r="X94">
        <f>0.61365*exp(17.502*W94/(240.97+W94))</f>
        <v>0</v>
      </c>
      <c r="Y94">
        <f>(Z94/AA94*100)</f>
        <v>0</v>
      </c>
      <c r="Z94">
        <f>DT94*(DY94+DZ94)/1000</f>
        <v>0</v>
      </c>
      <c r="AA94">
        <f>0.61365*exp(17.502*EA94/(240.97+EA94))</f>
        <v>0</v>
      </c>
      <c r="AB94">
        <f>(X94-DT94*(DY94+DZ94)/1000)</f>
        <v>0</v>
      </c>
      <c r="AC94">
        <f>(-J94*44100)</f>
        <v>0</v>
      </c>
      <c r="AD94">
        <f>2*29.3*R94*0.92*(EA94-W94)</f>
        <v>0</v>
      </c>
      <c r="AE94">
        <f>2*0.95*5.67E-8*(((EA94+$B$7)+273)^4-(W94+273)^4)</f>
        <v>0</v>
      </c>
      <c r="AF94">
        <f>U94+AE94+AC94+AD94</f>
        <v>0</v>
      </c>
      <c r="AG94">
        <f>DX94*AU94*(DS94-DR94*(1000-AU94*DU94)/(1000-AU94*DT94))/(100*DL94)</f>
        <v>0</v>
      </c>
      <c r="AH94">
        <f>1000*DX94*AU94*(DT94-DU94)/(100*DL94*(1000-AU94*DT94))</f>
        <v>0</v>
      </c>
      <c r="AI94">
        <f>(AJ94 - AK94 - DY94*1E3/(8.314*(EA94+273.15)) * AM94/DX94 * AL94) * DX94/(100*DL94) * (1000 - DU94)/1000</f>
        <v>0</v>
      </c>
      <c r="AJ94">
        <v>423.00926196399</v>
      </c>
      <c r="AK94">
        <v>417.486709090909</v>
      </c>
      <c r="AL94">
        <v>0.00160278108862205</v>
      </c>
      <c r="AM94">
        <v>64.2037741062357</v>
      </c>
      <c r="AN94">
        <f>(AP94 - AO94 + DY94*1E3/(8.314*(EA94+273.15)) * AR94/DX94 * AQ94) * DX94/(100*DL94) * 1000/(1000 - AP94)</f>
        <v>0</v>
      </c>
      <c r="AO94">
        <v>7.14040193625541</v>
      </c>
      <c r="AP94">
        <v>8.93608230769231</v>
      </c>
      <c r="AQ94">
        <v>0.000130615708928797</v>
      </c>
      <c r="AR94">
        <v>109.12</v>
      </c>
      <c r="AS94">
        <v>0</v>
      </c>
      <c r="AT94">
        <v>0</v>
      </c>
      <c r="AU94">
        <f>IF(AS94*$H$13&gt;=AW94,1.0,(AW94/(AW94-AS94*$H$13)))</f>
        <v>0</v>
      </c>
      <c r="AV94">
        <f>(AU94-1)*100</f>
        <v>0</v>
      </c>
      <c r="AW94">
        <f>MAX(0,($B$13+$C$13*EF94)/(1+$D$13*EF94)*DY94/(EA94+273)*$E$13)</f>
        <v>0</v>
      </c>
      <c r="AX94" t="s">
        <v>448</v>
      </c>
      <c r="AY94" t="s">
        <v>448</v>
      </c>
      <c r="AZ94">
        <v>0</v>
      </c>
      <c r="BA94">
        <v>0</v>
      </c>
      <c r="BB94">
        <f>1-AZ94/BA94</f>
        <v>0</v>
      </c>
      <c r="BC94">
        <v>0</v>
      </c>
      <c r="BD94" t="s">
        <v>448</v>
      </c>
      <c r="BE94" t="s">
        <v>448</v>
      </c>
      <c r="BF94">
        <v>0</v>
      </c>
      <c r="BG94">
        <v>0</v>
      </c>
      <c r="BH94">
        <f>1-BF94/BG94</f>
        <v>0</v>
      </c>
      <c r="BI94">
        <v>0.5</v>
      </c>
      <c r="BJ94">
        <f>DI94</f>
        <v>0</v>
      </c>
      <c r="BK94">
        <f>L94</f>
        <v>0</v>
      </c>
      <c r="BL94">
        <f>BH94*BI94*BJ94</f>
        <v>0</v>
      </c>
      <c r="BM94">
        <f>(BK94-BC94)/BJ94</f>
        <v>0</v>
      </c>
      <c r="BN94">
        <f>(BA94-BG94)/BG94</f>
        <v>0</v>
      </c>
      <c r="BO94">
        <f>AZ94/(BB94+AZ94/BG94)</f>
        <v>0</v>
      </c>
      <c r="BP94" t="s">
        <v>448</v>
      </c>
      <c r="BQ94">
        <v>0</v>
      </c>
      <c r="BR94">
        <f>IF(BQ94&lt;&gt;0, BQ94, BO94)</f>
        <v>0</v>
      </c>
      <c r="BS94">
        <f>1-BR94/BG94</f>
        <v>0</v>
      </c>
      <c r="BT94">
        <f>(BG94-BF94)/(BG94-BR94)</f>
        <v>0</v>
      </c>
      <c r="BU94">
        <f>(BA94-BG94)/(BA94-BR94)</f>
        <v>0</v>
      </c>
      <c r="BV94">
        <f>(BG94-BF94)/(BG94-AZ94)</f>
        <v>0</v>
      </c>
      <c r="BW94">
        <f>(BA94-BG94)/(BA94-AZ94)</f>
        <v>0</v>
      </c>
      <c r="BX94">
        <f>(BT94*BR94/BF94)</f>
        <v>0</v>
      </c>
      <c r="BY94">
        <f>(1-BX94)</f>
        <v>0</v>
      </c>
      <c r="BZ94">
        <v>87</v>
      </c>
      <c r="CA94">
        <v>290</v>
      </c>
      <c r="CB94">
        <v>1896.74</v>
      </c>
      <c r="CC94">
        <v>275</v>
      </c>
      <c r="CD94">
        <v>5118.7</v>
      </c>
      <c r="CE94">
        <v>1896.87</v>
      </c>
      <c r="CF94">
        <v>-0.13</v>
      </c>
      <c r="CG94">
        <v>300</v>
      </c>
      <c r="CH94">
        <v>23.9</v>
      </c>
      <c r="CI94">
        <v>2003.15572621395</v>
      </c>
      <c r="CJ94">
        <v>1.92837607769052</v>
      </c>
      <c r="CK94">
        <v>-54.4021210524138</v>
      </c>
      <c r="CL94">
        <v>0.863680888508836</v>
      </c>
      <c r="CM94">
        <v>0.992992246080936</v>
      </c>
      <c r="CN94">
        <v>-0.00398082469410456</v>
      </c>
      <c r="CO94">
        <v>290</v>
      </c>
      <c r="CP94">
        <v>1895.92</v>
      </c>
      <c r="CQ94">
        <v>675</v>
      </c>
      <c r="CR94">
        <v>5117.58</v>
      </c>
      <c r="CS94">
        <v>1896.85</v>
      </c>
      <c r="CT94">
        <v>-0.93</v>
      </c>
      <c r="DH94">
        <f>$B$11*EG94+$C$11*EH94+$F$11*ES94*(1-EV94)</f>
        <v>0</v>
      </c>
      <c r="DI94">
        <f>DH94*DJ94</f>
        <v>0</v>
      </c>
      <c r="DJ94">
        <f>($B$11*$D$9+$C$11*$D$9+$F$11*((FF94+EX94)/MAX(FF94+EX94+FG94, 0.1)*$I$9+FG94/MAX(FF94+EX94+FG94, 0.1)*$J$9))/($B$11+$C$11+$F$11)</f>
        <v>0</v>
      </c>
      <c r="DK94">
        <f>($B$11*$K$9+$C$11*$K$9+$F$11*((FF94+EX94)/MAX(FF94+EX94+FG94, 0.1)*$P$9+FG94/MAX(FF94+EX94+FG94, 0.1)*$Q$9))/($B$11+$C$11+$F$11)</f>
        <v>0</v>
      </c>
      <c r="DL94">
        <v>6</v>
      </c>
      <c r="DM94">
        <v>0.5</v>
      </c>
      <c r="DN94" t="s">
        <v>440</v>
      </c>
      <c r="DO94">
        <v>2</v>
      </c>
      <c r="DP94" t="b">
        <v>1</v>
      </c>
      <c r="DQ94">
        <v>1761689480.6</v>
      </c>
      <c r="DR94">
        <v>413.7173125</v>
      </c>
      <c r="DS94">
        <v>419.98325</v>
      </c>
      <c r="DT94">
        <v>8.91953</v>
      </c>
      <c r="DU94">
        <v>7.125984375</v>
      </c>
      <c r="DV94">
        <v>410.8263125</v>
      </c>
      <c r="DW94">
        <v>9.02047625</v>
      </c>
      <c r="DX94">
        <v>499.99825</v>
      </c>
      <c r="DY94">
        <v>91.01708125</v>
      </c>
      <c r="DZ94">
        <v>0.02184994375</v>
      </c>
      <c r="EA94">
        <v>24.6507875</v>
      </c>
      <c r="EB94">
        <v>24.03186875</v>
      </c>
      <c r="EC94">
        <v>999.9</v>
      </c>
      <c r="ED94">
        <v>0</v>
      </c>
      <c r="EE94">
        <v>0</v>
      </c>
      <c r="EF94">
        <v>9998.43125</v>
      </c>
      <c r="EG94">
        <v>0</v>
      </c>
      <c r="EH94">
        <v>1281.52625</v>
      </c>
      <c r="EI94">
        <v>-6.265858125</v>
      </c>
      <c r="EJ94">
        <v>417.44075</v>
      </c>
      <c r="EK94">
        <v>422.9975625</v>
      </c>
      <c r="EL94">
        <v>1.79354625</v>
      </c>
      <c r="EM94">
        <v>419.98325</v>
      </c>
      <c r="EN94">
        <v>7.125984375</v>
      </c>
      <c r="EO94">
        <v>0.8118296875</v>
      </c>
      <c r="EP94">
        <v>0.64858625</v>
      </c>
      <c r="EQ94">
        <v>3.91583875</v>
      </c>
      <c r="ER94">
        <v>0.764740375</v>
      </c>
      <c r="ES94">
        <v>150.0145625</v>
      </c>
      <c r="ET94">
        <v>0.9000081875</v>
      </c>
      <c r="EU94">
        <v>0.09999160625</v>
      </c>
      <c r="EV94">
        <v>0</v>
      </c>
      <c r="EW94">
        <v>736.199</v>
      </c>
      <c r="EX94">
        <v>5.00059</v>
      </c>
      <c r="EY94">
        <v>1083.7775</v>
      </c>
      <c r="EZ94">
        <v>1231.98125</v>
      </c>
      <c r="FA94">
        <v>38.3395625</v>
      </c>
      <c r="FB94">
        <v>41.1910625</v>
      </c>
      <c r="FC94">
        <v>39.5155</v>
      </c>
      <c r="FD94">
        <v>40.75</v>
      </c>
      <c r="FE94">
        <v>39.9724375</v>
      </c>
      <c r="FF94">
        <v>130.51375</v>
      </c>
      <c r="FG94">
        <v>14.496875</v>
      </c>
      <c r="FH94">
        <v>0</v>
      </c>
      <c r="FI94">
        <v>73.0999999046326</v>
      </c>
      <c r="FJ94">
        <v>0</v>
      </c>
      <c r="FK94">
        <v>735.944384615385</v>
      </c>
      <c r="FL94">
        <v>-10.2192820277306</v>
      </c>
      <c r="FM94">
        <v>-18.4738461473387</v>
      </c>
      <c r="FN94">
        <v>1083.30846153846</v>
      </c>
      <c r="FO94">
        <v>15</v>
      </c>
      <c r="FP94">
        <v>0</v>
      </c>
      <c r="FQ94" t="s">
        <v>441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-6.29092142857143</v>
      </c>
      <c r="GD94">
        <v>0.342753506493495</v>
      </c>
      <c r="GE94">
        <v>0.0489565168856837</v>
      </c>
      <c r="GF94">
        <v>1</v>
      </c>
      <c r="GG94">
        <v>736.878882352941</v>
      </c>
      <c r="GH94">
        <v>-13.2628571416883</v>
      </c>
      <c r="GI94">
        <v>1.33820025681347</v>
      </c>
      <c r="GJ94">
        <v>-1</v>
      </c>
      <c r="GK94">
        <v>1.79895714285714</v>
      </c>
      <c r="GL94">
        <v>-0.0915514285714262</v>
      </c>
      <c r="GM94">
        <v>0.00967502584854778</v>
      </c>
      <c r="GN94">
        <v>1</v>
      </c>
      <c r="GO94">
        <v>2</v>
      </c>
      <c r="GP94">
        <v>2</v>
      </c>
      <c r="GQ94" t="s">
        <v>442</v>
      </c>
      <c r="GR94">
        <v>3.12808</v>
      </c>
      <c r="GS94">
        <v>2.70002</v>
      </c>
      <c r="GT94">
        <v>0.0880701</v>
      </c>
      <c r="GU94">
        <v>0.0896878</v>
      </c>
      <c r="GV94">
        <v>0.0490795</v>
      </c>
      <c r="GW94">
        <v>0.0410456</v>
      </c>
      <c r="GX94">
        <v>34124</v>
      </c>
      <c r="GY94">
        <v>36466.3</v>
      </c>
      <c r="GZ94">
        <v>33872</v>
      </c>
      <c r="HA94">
        <v>36287.3</v>
      </c>
      <c r="HB94">
        <v>45526.5</v>
      </c>
      <c r="HC94">
        <v>49941.2</v>
      </c>
      <c r="HD94">
        <v>52837.1</v>
      </c>
      <c r="HE94">
        <v>57950.1</v>
      </c>
      <c r="HF94">
        <v>1.90908</v>
      </c>
      <c r="HG94">
        <v>2.28535</v>
      </c>
      <c r="HH94">
        <v>-0.0158325</v>
      </c>
      <c r="HI94">
        <v>0</v>
      </c>
      <c r="HJ94">
        <v>24.3222</v>
      </c>
      <c r="HK94">
        <v>999.9</v>
      </c>
      <c r="HL94">
        <v>21.652</v>
      </c>
      <c r="HM94">
        <v>30.101</v>
      </c>
      <c r="HN94">
        <v>10.194</v>
      </c>
      <c r="HO94">
        <v>54.5276</v>
      </c>
      <c r="HP94">
        <v>30.7692</v>
      </c>
      <c r="HQ94">
        <v>2</v>
      </c>
      <c r="HR94">
        <v>0.292284</v>
      </c>
      <c r="HS94">
        <v>3.27236</v>
      </c>
      <c r="HT94">
        <v>20.1175</v>
      </c>
      <c r="HU94">
        <v>5.19857</v>
      </c>
      <c r="HV94">
        <v>12.0046</v>
      </c>
      <c r="HW94">
        <v>4.9752</v>
      </c>
      <c r="HX94">
        <v>3.294</v>
      </c>
      <c r="HY94">
        <v>9999</v>
      </c>
      <c r="HZ94">
        <v>9999</v>
      </c>
      <c r="IA94">
        <v>9999</v>
      </c>
      <c r="IB94">
        <v>999.9</v>
      </c>
      <c r="IC94">
        <v>1.86325</v>
      </c>
      <c r="ID94">
        <v>1.86813</v>
      </c>
      <c r="IE94">
        <v>1.86784</v>
      </c>
      <c r="IF94">
        <v>1.86905</v>
      </c>
      <c r="IG94">
        <v>1.86982</v>
      </c>
      <c r="IH94">
        <v>1.86592</v>
      </c>
      <c r="II94">
        <v>1.86699</v>
      </c>
      <c r="IJ94">
        <v>1.86844</v>
      </c>
      <c r="IK94">
        <v>5</v>
      </c>
      <c r="IL94">
        <v>0</v>
      </c>
      <c r="IM94">
        <v>0</v>
      </c>
      <c r="IN94">
        <v>0</v>
      </c>
      <c r="IO94" t="s">
        <v>443</v>
      </c>
      <c r="IP94" t="s">
        <v>444</v>
      </c>
      <c r="IQ94" t="s">
        <v>445</v>
      </c>
      <c r="IR94" t="s">
        <v>445</v>
      </c>
      <c r="IS94" t="s">
        <v>445</v>
      </c>
      <c r="IT94" t="s">
        <v>445</v>
      </c>
      <c r="IU94">
        <v>0</v>
      </c>
      <c r="IV94">
        <v>100</v>
      </c>
      <c r="IW94">
        <v>100</v>
      </c>
      <c r="IX94">
        <v>2.891</v>
      </c>
      <c r="IY94">
        <v>-0.1006</v>
      </c>
      <c r="IZ94">
        <v>1.24656194001752</v>
      </c>
      <c r="JA94">
        <v>0.00408463137630218</v>
      </c>
      <c r="JB94">
        <v>-2.23906557180379e-07</v>
      </c>
      <c r="JC94">
        <v>6.23399102760906e-11</v>
      </c>
      <c r="JD94">
        <v>-0.0873394905990972</v>
      </c>
      <c r="JE94">
        <v>-0.0233348201324191</v>
      </c>
      <c r="JF94">
        <v>0.00274696999164489</v>
      </c>
      <c r="JG94">
        <v>-3.62864435074646e-05</v>
      </c>
      <c r="JH94">
        <v>5</v>
      </c>
      <c r="JI94">
        <v>2263</v>
      </c>
      <c r="JJ94">
        <v>1</v>
      </c>
      <c r="JK94">
        <v>24</v>
      </c>
      <c r="JL94">
        <v>29361491.5</v>
      </c>
      <c r="JM94">
        <v>29361491.5</v>
      </c>
      <c r="JN94">
        <v>1.25244</v>
      </c>
      <c r="JO94">
        <v>2.61475</v>
      </c>
      <c r="JP94">
        <v>2.19849</v>
      </c>
      <c r="JQ94">
        <v>2.62573</v>
      </c>
      <c r="JR94">
        <v>2.44507</v>
      </c>
      <c r="JS94">
        <v>2.33032</v>
      </c>
      <c r="JT94">
        <v>33.4681</v>
      </c>
      <c r="JU94">
        <v>24.2013</v>
      </c>
      <c r="JV94">
        <v>18</v>
      </c>
      <c r="JW94">
        <v>499.232</v>
      </c>
      <c r="JX94">
        <v>790.673</v>
      </c>
      <c r="JY94">
        <v>20.7213</v>
      </c>
      <c r="JZ94">
        <v>31.0894</v>
      </c>
      <c r="KA94">
        <v>30.0001</v>
      </c>
      <c r="KB94">
        <v>31.0728</v>
      </c>
      <c r="KC94">
        <v>31.0057</v>
      </c>
      <c r="KD94">
        <v>25.1027</v>
      </c>
      <c r="KE94">
        <v>7.43641</v>
      </c>
      <c r="KF94">
        <v>13.5551</v>
      </c>
      <c r="KG94">
        <v>20.6688</v>
      </c>
      <c r="KH94">
        <v>420</v>
      </c>
      <c r="KI94">
        <v>7.21256</v>
      </c>
      <c r="KJ94">
        <v>96.0489</v>
      </c>
      <c r="KK94">
        <v>93.9199</v>
      </c>
    </row>
    <row r="95" spans="1:297">
      <c r="A95">
        <v>79</v>
      </c>
      <c r="B95">
        <v>1761689581.1</v>
      </c>
      <c r="C95">
        <v>12232</v>
      </c>
      <c r="D95" t="s">
        <v>696</v>
      </c>
      <c r="E95" t="s">
        <v>697</v>
      </c>
      <c r="F95">
        <v>5</v>
      </c>
      <c r="G95" t="s">
        <v>673</v>
      </c>
      <c r="H95" t="s">
        <v>436</v>
      </c>
      <c r="I95">
        <v>1761689573.1</v>
      </c>
      <c r="J95">
        <f>(K95)/1000</f>
        <v>0</v>
      </c>
      <c r="K95">
        <f>IF(DP95, AN95, AH95)</f>
        <v>0</v>
      </c>
      <c r="L95">
        <f>IF(DP95, AI95, AG95)</f>
        <v>0</v>
      </c>
      <c r="M95">
        <f>DR95 - IF(AU95&gt;1, L95*DL95*100.0/(AW95), 0)</f>
        <v>0</v>
      </c>
      <c r="N95">
        <f>((T95-J95/2)*M95-L95)/(T95+J95/2)</f>
        <v>0</v>
      </c>
      <c r="O95">
        <f>N95*(DY95+DZ95)/1000.0</f>
        <v>0</v>
      </c>
      <c r="P95">
        <f>(DR95 - IF(AU95&gt;1, L95*DL95*100.0/(AW95), 0))*(DY95+DZ95)/1000.0</f>
        <v>0</v>
      </c>
      <c r="Q95">
        <f>2.0/((1/S95-1/R95)+SIGN(S95)*SQRT((1/S95-1/R95)*(1/S95-1/R95) + 4*DM95/((DM95+1)*(DM95+1))*(2*1/S95*1/R95-1/R95*1/R95)))</f>
        <v>0</v>
      </c>
      <c r="R95">
        <f>IF(LEFT(DN95,1)&lt;&gt;"0",IF(LEFT(DN95,1)="1",3.0,DO95),$D$5+$E$5*(EF95*DY95/($K$5*1000))+$F$5*(EF95*DY95/($K$5*1000))*MAX(MIN(DL95,$J$5),$I$5)*MAX(MIN(DL95,$J$5),$I$5)+$G$5*MAX(MIN(DL95,$J$5),$I$5)*(EF95*DY95/($K$5*1000))+$H$5*(EF95*DY95/($K$5*1000))*(EF95*DY95/($K$5*1000)))</f>
        <v>0</v>
      </c>
      <c r="S95">
        <f>J95*(1000-(1000*0.61365*exp(17.502*W95/(240.97+W95))/(DY95+DZ95)+DT95)/2)/(1000*0.61365*exp(17.502*W95/(240.97+W95))/(DY95+DZ95)-DT95)</f>
        <v>0</v>
      </c>
      <c r="T95">
        <f>1/((DM95+1)/(Q95/1.6)+1/(R95/1.37)) + DM95/((DM95+1)/(Q95/1.6) + DM95/(R95/1.37))</f>
        <v>0</v>
      </c>
      <c r="U95">
        <f>(DH95*DK95)</f>
        <v>0</v>
      </c>
      <c r="V95">
        <f>(EA95+(U95+2*0.95*5.67E-8*(((EA95+$B$7)+273)^4-(EA95+273)^4)-44100*J95)/(1.84*29.3*R95+8*0.95*5.67E-8*(EA95+273)^3))</f>
        <v>0</v>
      </c>
      <c r="W95">
        <f>($C$7*EB95+$D$7*EC95+$E$7*V95)</f>
        <v>0</v>
      </c>
      <c r="X95">
        <f>0.61365*exp(17.502*W95/(240.97+W95))</f>
        <v>0</v>
      </c>
      <c r="Y95">
        <f>(Z95/AA95*100)</f>
        <v>0</v>
      </c>
      <c r="Z95">
        <f>DT95*(DY95+DZ95)/1000</f>
        <v>0</v>
      </c>
      <c r="AA95">
        <f>0.61365*exp(17.502*EA95/(240.97+EA95))</f>
        <v>0</v>
      </c>
      <c r="AB95">
        <f>(X95-DT95*(DY95+DZ95)/1000)</f>
        <v>0</v>
      </c>
      <c r="AC95">
        <f>(-J95*44100)</f>
        <v>0</v>
      </c>
      <c r="AD95">
        <f>2*29.3*R95*0.92*(EA95-W95)</f>
        <v>0</v>
      </c>
      <c r="AE95">
        <f>2*0.95*5.67E-8*(((EA95+$B$7)+273)^4-(W95+273)^4)</f>
        <v>0</v>
      </c>
      <c r="AF95">
        <f>U95+AE95+AC95+AD95</f>
        <v>0</v>
      </c>
      <c r="AG95">
        <f>DX95*AU95*(DS95-DR95*(1000-AU95*DU95)/(1000-AU95*DT95))/(100*DL95)</f>
        <v>0</v>
      </c>
      <c r="AH95">
        <f>1000*DX95*AU95*(DT95-DU95)/(100*DL95*(1000-AU95*DT95))</f>
        <v>0</v>
      </c>
      <c r="AI95">
        <f>(AJ95 - AK95 - DY95*1E3/(8.314*(EA95+273.15)) * AM95/DX95 * AL95) * DX95/(100*DL95) * (1000 - DU95)/1000</f>
        <v>0</v>
      </c>
      <c r="AJ95">
        <v>423.081601335785</v>
      </c>
      <c r="AK95">
        <v>421.870151515151</v>
      </c>
      <c r="AL95">
        <v>-0.00012348662909642</v>
      </c>
      <c r="AM95">
        <v>64.2037741062357</v>
      </c>
      <c r="AN95">
        <f>(AP95 - AO95 + DY95*1E3/(8.314*(EA95+273.15)) * AR95/DX95 * AQ95) * DX95/(100*DL95) * 1000/(1000 - AP95)</f>
        <v>0</v>
      </c>
      <c r="AO95">
        <v>7.30238594220779</v>
      </c>
      <c r="AP95">
        <v>8.94232300699301</v>
      </c>
      <c r="AQ95">
        <v>-1.33198279980879e-05</v>
      </c>
      <c r="AR95">
        <v>109.12</v>
      </c>
      <c r="AS95">
        <v>0</v>
      </c>
      <c r="AT95">
        <v>0</v>
      </c>
      <c r="AU95">
        <f>IF(AS95*$H$13&gt;=AW95,1.0,(AW95/(AW95-AS95*$H$13)))</f>
        <v>0</v>
      </c>
      <c r="AV95">
        <f>(AU95-1)*100</f>
        <v>0</v>
      </c>
      <c r="AW95">
        <f>MAX(0,($B$13+$C$13*EF95)/(1+$D$13*EF95)*DY95/(EA95+273)*$E$13)</f>
        <v>0</v>
      </c>
      <c r="AX95" t="s">
        <v>670</v>
      </c>
      <c r="AY95">
        <v>5109.44</v>
      </c>
      <c r="AZ95">
        <v>735.712</v>
      </c>
      <c r="BA95">
        <v>1673.25788318157</v>
      </c>
      <c r="BB95">
        <f>1-AZ95/BA95</f>
        <v>0</v>
      </c>
      <c r="BC95">
        <v>-0.911393318165212</v>
      </c>
      <c r="BD95" t="s">
        <v>698</v>
      </c>
      <c r="BE95">
        <v>5096.32</v>
      </c>
      <c r="BF95">
        <v>663.82932</v>
      </c>
      <c r="BG95">
        <v>2066.05752543938</v>
      </c>
      <c r="BH95">
        <f>1-BF95/BG95</f>
        <v>0</v>
      </c>
      <c r="BI95">
        <v>0.5</v>
      </c>
      <c r="BJ95">
        <f>DI95</f>
        <v>0</v>
      </c>
      <c r="BK95">
        <f>L95</f>
        <v>0</v>
      </c>
      <c r="BL95">
        <f>BH95*BI95*BJ95</f>
        <v>0</v>
      </c>
      <c r="BM95">
        <f>(BK95-BC95)/BJ95</f>
        <v>0</v>
      </c>
      <c r="BN95">
        <f>(BA95-BG95)/BG95</f>
        <v>0</v>
      </c>
      <c r="BO95">
        <f>AZ95/(BB95+AZ95/BG95)</f>
        <v>0</v>
      </c>
      <c r="BP95" t="s">
        <v>699</v>
      </c>
      <c r="BQ95">
        <v>639.67</v>
      </c>
      <c r="BR95">
        <f>IF(BQ95&lt;&gt;0, BQ95, BO95)</f>
        <v>0</v>
      </c>
      <c r="BS95">
        <f>1-BR95/BG95</f>
        <v>0</v>
      </c>
      <c r="BT95">
        <f>(BG95-BF95)/(BG95-BR95)</f>
        <v>0</v>
      </c>
      <c r="BU95">
        <f>(BA95-BG95)/(BA95-BR95)</f>
        <v>0</v>
      </c>
      <c r="BV95">
        <f>(BG95-BF95)/(BG95-AZ95)</f>
        <v>0</v>
      </c>
      <c r="BW95">
        <f>(BA95-BG95)/(BA95-AZ95)</f>
        <v>0</v>
      </c>
      <c r="BX95">
        <f>(BT95*BR95/BF95)</f>
        <v>0</v>
      </c>
      <c r="BY95">
        <f>(1-BX95)</f>
        <v>0</v>
      </c>
      <c r="BZ95">
        <v>89</v>
      </c>
      <c r="CA95">
        <v>290</v>
      </c>
      <c r="CB95">
        <v>1942.66</v>
      </c>
      <c r="CC95">
        <v>285</v>
      </c>
      <c r="CD95">
        <v>5096.32</v>
      </c>
      <c r="CE95">
        <v>1944.24</v>
      </c>
      <c r="CF95">
        <v>-1.58</v>
      </c>
      <c r="CG95">
        <v>300</v>
      </c>
      <c r="CH95">
        <v>23.9</v>
      </c>
      <c r="CI95">
        <v>2066.05752543938</v>
      </c>
      <c r="CJ95">
        <v>1.80955778930006</v>
      </c>
      <c r="CK95">
        <v>-62.0809555884278</v>
      </c>
      <c r="CL95">
        <v>0.800402033873348</v>
      </c>
      <c r="CM95">
        <v>0.995367227760561</v>
      </c>
      <c r="CN95">
        <v>-0.00417258064516129</v>
      </c>
      <c r="CO95">
        <v>290</v>
      </c>
      <c r="CP95">
        <v>1942.23</v>
      </c>
      <c r="CQ95">
        <v>725</v>
      </c>
      <c r="CR95">
        <v>5095</v>
      </c>
      <c r="CS95">
        <v>1944.21</v>
      </c>
      <c r="CT95">
        <v>-1.98</v>
      </c>
      <c r="DH95">
        <f>$B$11*EG95+$C$11*EH95+$F$11*ES95*(1-EV95)</f>
        <v>0</v>
      </c>
      <c r="DI95">
        <f>DH95*DJ95</f>
        <v>0</v>
      </c>
      <c r="DJ95">
        <f>($B$11*$D$9+$C$11*$D$9+$F$11*((FF95+EX95)/MAX(FF95+EX95+FG95, 0.1)*$I$9+FG95/MAX(FF95+EX95+FG95, 0.1)*$J$9))/($B$11+$C$11+$F$11)</f>
        <v>0</v>
      </c>
      <c r="DK95">
        <f>($B$11*$K$9+$C$11*$K$9+$F$11*((FF95+EX95)/MAX(FF95+EX95+FG95, 0.1)*$P$9+FG95/MAX(FF95+EX95+FG95, 0.1)*$Q$9))/($B$11+$C$11+$F$11)</f>
        <v>0</v>
      </c>
      <c r="DL95">
        <v>6</v>
      </c>
      <c r="DM95">
        <v>0.5</v>
      </c>
      <c r="DN95" t="s">
        <v>440</v>
      </c>
      <c r="DO95">
        <v>2</v>
      </c>
      <c r="DP95" t="b">
        <v>1</v>
      </c>
      <c r="DQ95">
        <v>1761689573.1</v>
      </c>
      <c r="DR95">
        <v>418.088866666667</v>
      </c>
      <c r="DS95">
        <v>419.992933333333</v>
      </c>
      <c r="DT95">
        <v>8.94619133333333</v>
      </c>
      <c r="DU95">
        <v>7.298656</v>
      </c>
      <c r="DV95">
        <v>415.1806</v>
      </c>
      <c r="DW95">
        <v>9.04668133333333</v>
      </c>
      <c r="DX95">
        <v>499.981866666667</v>
      </c>
      <c r="DY95">
        <v>91.0134466666667</v>
      </c>
      <c r="DZ95">
        <v>0.02204254</v>
      </c>
      <c r="EA95">
        <v>24.7055</v>
      </c>
      <c r="EB95">
        <v>24.0486533333333</v>
      </c>
      <c r="EC95">
        <v>999.9</v>
      </c>
      <c r="ED95">
        <v>0</v>
      </c>
      <c r="EE95">
        <v>0</v>
      </c>
      <c r="EF95">
        <v>9994.66266666667</v>
      </c>
      <c r="EG95">
        <v>0</v>
      </c>
      <c r="EH95">
        <v>1281.55533333333</v>
      </c>
      <c r="EI95">
        <v>-1.904076</v>
      </c>
      <c r="EJ95">
        <v>421.863</v>
      </c>
      <c r="EK95">
        <v>423.080866666667</v>
      </c>
      <c r="EL95">
        <v>1.64753666666667</v>
      </c>
      <c r="EM95">
        <v>419.992933333333</v>
      </c>
      <c r="EN95">
        <v>7.298656</v>
      </c>
      <c r="EO95">
        <v>0.814223666666667</v>
      </c>
      <c r="EP95">
        <v>0.664275733333333</v>
      </c>
      <c r="EQ95">
        <v>3.95772333333333</v>
      </c>
      <c r="ER95">
        <v>1.096396</v>
      </c>
      <c r="ES95">
        <v>49.9474533333333</v>
      </c>
      <c r="ET95">
        <v>0.899898933333333</v>
      </c>
      <c r="EU95">
        <v>0.100101106666667</v>
      </c>
      <c r="EV95">
        <v>0</v>
      </c>
      <c r="EW95">
        <v>663.839866666667</v>
      </c>
      <c r="EX95">
        <v>5.00059</v>
      </c>
      <c r="EY95">
        <v>331.480533333333</v>
      </c>
      <c r="EZ95">
        <v>381.837866666667</v>
      </c>
      <c r="FA95">
        <v>37.5956</v>
      </c>
      <c r="FB95">
        <v>40.8162</v>
      </c>
      <c r="FC95">
        <v>38.9538</v>
      </c>
      <c r="FD95">
        <v>40.4412</v>
      </c>
      <c r="FE95">
        <v>39.3956666666667</v>
      </c>
      <c r="FF95">
        <v>40.448</v>
      </c>
      <c r="FG95">
        <v>4.498</v>
      </c>
      <c r="FH95">
        <v>0</v>
      </c>
      <c r="FI95">
        <v>164.899999856949</v>
      </c>
      <c r="FJ95">
        <v>0</v>
      </c>
      <c r="FK95">
        <v>663.82932</v>
      </c>
      <c r="FL95">
        <v>-0.98292306791391</v>
      </c>
      <c r="FM95">
        <v>-0.685230778153684</v>
      </c>
      <c r="FN95">
        <v>331.73916</v>
      </c>
      <c r="FO95">
        <v>15</v>
      </c>
      <c r="FP95">
        <v>0</v>
      </c>
      <c r="FQ95" t="s">
        <v>441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-1.92222047619048</v>
      </c>
      <c r="GD95">
        <v>0.298426753246754</v>
      </c>
      <c r="GE95">
        <v>0.0375934526310849</v>
      </c>
      <c r="GF95">
        <v>1</v>
      </c>
      <c r="GG95">
        <v>663.901794117647</v>
      </c>
      <c r="GH95">
        <v>-0.965576774193674</v>
      </c>
      <c r="GI95">
        <v>0.202569636452393</v>
      </c>
      <c r="GJ95">
        <v>-1</v>
      </c>
      <c r="GK95">
        <v>1.65396333333333</v>
      </c>
      <c r="GL95">
        <v>-0.0954974025974009</v>
      </c>
      <c r="GM95">
        <v>0.00968509475005075</v>
      </c>
      <c r="GN95">
        <v>1</v>
      </c>
      <c r="GO95">
        <v>2</v>
      </c>
      <c r="GP95">
        <v>2</v>
      </c>
      <c r="GQ95" t="s">
        <v>442</v>
      </c>
      <c r="GR95">
        <v>3.12801</v>
      </c>
      <c r="GS95">
        <v>2.7003</v>
      </c>
      <c r="GT95">
        <v>0.0887831</v>
      </c>
      <c r="GU95">
        <v>0.0896948</v>
      </c>
      <c r="GV95">
        <v>0.0491013</v>
      </c>
      <c r="GW95">
        <v>0.0417975</v>
      </c>
      <c r="GX95">
        <v>34100.2</v>
      </c>
      <c r="GY95">
        <v>36470.9</v>
      </c>
      <c r="GZ95">
        <v>33874.5</v>
      </c>
      <c r="HA95">
        <v>36291.8</v>
      </c>
      <c r="HB95">
        <v>45528.4</v>
      </c>
      <c r="HC95">
        <v>49907.7</v>
      </c>
      <c r="HD95">
        <v>52840.3</v>
      </c>
      <c r="HE95">
        <v>57956.7</v>
      </c>
      <c r="HF95">
        <v>1.9093</v>
      </c>
      <c r="HG95">
        <v>2.28673</v>
      </c>
      <c r="HH95">
        <v>-0.0268221</v>
      </c>
      <c r="HI95">
        <v>0</v>
      </c>
      <c r="HJ95">
        <v>24.4871</v>
      </c>
      <c r="HK95">
        <v>999.9</v>
      </c>
      <c r="HL95">
        <v>21.627</v>
      </c>
      <c r="HM95">
        <v>30.111</v>
      </c>
      <c r="HN95">
        <v>10.1884</v>
      </c>
      <c r="HO95">
        <v>54.2376</v>
      </c>
      <c r="HP95">
        <v>30.8534</v>
      </c>
      <c r="HQ95">
        <v>2</v>
      </c>
      <c r="HR95">
        <v>0.290925</v>
      </c>
      <c r="HS95">
        <v>3.82287</v>
      </c>
      <c r="HT95">
        <v>20.1075</v>
      </c>
      <c r="HU95">
        <v>5.19902</v>
      </c>
      <c r="HV95">
        <v>12.0091</v>
      </c>
      <c r="HW95">
        <v>4.97555</v>
      </c>
      <c r="HX95">
        <v>3.294</v>
      </c>
      <c r="HY95">
        <v>9999</v>
      </c>
      <c r="HZ95">
        <v>9999</v>
      </c>
      <c r="IA95">
        <v>9999</v>
      </c>
      <c r="IB95">
        <v>999.9</v>
      </c>
      <c r="IC95">
        <v>1.86325</v>
      </c>
      <c r="ID95">
        <v>1.86813</v>
      </c>
      <c r="IE95">
        <v>1.86783</v>
      </c>
      <c r="IF95">
        <v>1.86904</v>
      </c>
      <c r="IG95">
        <v>1.86983</v>
      </c>
      <c r="IH95">
        <v>1.86593</v>
      </c>
      <c r="II95">
        <v>1.86701</v>
      </c>
      <c r="IJ95">
        <v>1.86844</v>
      </c>
      <c r="IK95">
        <v>5</v>
      </c>
      <c r="IL95">
        <v>0</v>
      </c>
      <c r="IM95">
        <v>0</v>
      </c>
      <c r="IN95">
        <v>0</v>
      </c>
      <c r="IO95" t="s">
        <v>443</v>
      </c>
      <c r="IP95" t="s">
        <v>444</v>
      </c>
      <c r="IQ95" t="s">
        <v>445</v>
      </c>
      <c r="IR95" t="s">
        <v>445</v>
      </c>
      <c r="IS95" t="s">
        <v>445</v>
      </c>
      <c r="IT95" t="s">
        <v>445</v>
      </c>
      <c r="IU95">
        <v>0</v>
      </c>
      <c r="IV95">
        <v>100</v>
      </c>
      <c r="IW95">
        <v>100</v>
      </c>
      <c r="IX95">
        <v>2.908</v>
      </c>
      <c r="IY95">
        <v>-0.1006</v>
      </c>
      <c r="IZ95">
        <v>1.24656194001752</v>
      </c>
      <c r="JA95">
        <v>0.00408463137630218</v>
      </c>
      <c r="JB95">
        <v>-2.23906557180379e-07</v>
      </c>
      <c r="JC95">
        <v>6.23399102760906e-11</v>
      </c>
      <c r="JD95">
        <v>-0.0873394905990972</v>
      </c>
      <c r="JE95">
        <v>-0.0233348201324191</v>
      </c>
      <c r="JF95">
        <v>0.00274696999164489</v>
      </c>
      <c r="JG95">
        <v>-3.62864435074646e-05</v>
      </c>
      <c r="JH95">
        <v>5</v>
      </c>
      <c r="JI95">
        <v>2263</v>
      </c>
      <c r="JJ95">
        <v>1</v>
      </c>
      <c r="JK95">
        <v>24</v>
      </c>
      <c r="JL95">
        <v>29361493</v>
      </c>
      <c r="JM95">
        <v>29361493</v>
      </c>
      <c r="JN95">
        <v>1.25244</v>
      </c>
      <c r="JO95">
        <v>2.61963</v>
      </c>
      <c r="JP95">
        <v>2.19849</v>
      </c>
      <c r="JQ95">
        <v>2.62573</v>
      </c>
      <c r="JR95">
        <v>2.44507</v>
      </c>
      <c r="JS95">
        <v>2.34253</v>
      </c>
      <c r="JT95">
        <v>33.4456</v>
      </c>
      <c r="JU95">
        <v>24.2013</v>
      </c>
      <c r="JV95">
        <v>18</v>
      </c>
      <c r="JW95">
        <v>499.014</v>
      </c>
      <c r="JX95">
        <v>791.401</v>
      </c>
      <c r="JY95">
        <v>20.2558</v>
      </c>
      <c r="JZ95">
        <v>31.0386</v>
      </c>
      <c r="KA95">
        <v>30</v>
      </c>
      <c r="KB95">
        <v>31.0285</v>
      </c>
      <c r="KC95">
        <v>30.9631</v>
      </c>
      <c r="KD95">
        <v>25.1076</v>
      </c>
      <c r="KE95">
        <v>0</v>
      </c>
      <c r="KF95">
        <v>13.5551</v>
      </c>
      <c r="KG95">
        <v>20.2418</v>
      </c>
      <c r="KH95">
        <v>420</v>
      </c>
      <c r="KI95">
        <v>7.50119</v>
      </c>
      <c r="KJ95">
        <v>96.0553</v>
      </c>
      <c r="KK95">
        <v>93.931</v>
      </c>
    </row>
    <row r="96" spans="1:297">
      <c r="A96">
        <v>80</v>
      </c>
      <c r="B96">
        <v>1761689704.1</v>
      </c>
      <c r="C96">
        <v>12355</v>
      </c>
      <c r="D96" t="s">
        <v>700</v>
      </c>
      <c r="E96" t="s">
        <v>701</v>
      </c>
      <c r="F96">
        <v>5</v>
      </c>
      <c r="G96" t="s">
        <v>673</v>
      </c>
      <c r="H96" t="s">
        <v>436</v>
      </c>
      <c r="I96">
        <v>1761689696.1</v>
      </c>
      <c r="J96">
        <f>(K96)/1000</f>
        <v>0</v>
      </c>
      <c r="K96">
        <f>IF(DP96, AN96, AH96)</f>
        <v>0</v>
      </c>
      <c r="L96">
        <f>IF(DP96, AI96, AG96)</f>
        <v>0</v>
      </c>
      <c r="M96">
        <f>DR96 - IF(AU96&gt;1, L96*DL96*100.0/(AW96), 0)</f>
        <v>0</v>
      </c>
      <c r="N96">
        <f>((T96-J96/2)*M96-L96)/(T96+J96/2)</f>
        <v>0</v>
      </c>
      <c r="O96">
        <f>N96*(DY96+DZ96)/1000.0</f>
        <v>0</v>
      </c>
      <c r="P96">
        <f>(DR96 - IF(AU96&gt;1, L96*DL96*100.0/(AW96), 0))*(DY96+DZ96)/1000.0</f>
        <v>0</v>
      </c>
      <c r="Q96">
        <f>2.0/((1/S96-1/R96)+SIGN(S96)*SQRT((1/S96-1/R96)*(1/S96-1/R96) + 4*DM96/((DM96+1)*(DM96+1))*(2*1/S96*1/R96-1/R96*1/R96)))</f>
        <v>0</v>
      </c>
      <c r="R96">
        <f>IF(LEFT(DN96,1)&lt;&gt;"0",IF(LEFT(DN96,1)="1",3.0,DO96),$D$5+$E$5*(EF96*DY96/($K$5*1000))+$F$5*(EF96*DY96/($K$5*1000))*MAX(MIN(DL96,$J$5),$I$5)*MAX(MIN(DL96,$J$5),$I$5)+$G$5*MAX(MIN(DL96,$J$5),$I$5)*(EF96*DY96/($K$5*1000))+$H$5*(EF96*DY96/($K$5*1000))*(EF96*DY96/($K$5*1000)))</f>
        <v>0</v>
      </c>
      <c r="S96">
        <f>J96*(1000-(1000*0.61365*exp(17.502*W96/(240.97+W96))/(DY96+DZ96)+DT96)/2)/(1000*0.61365*exp(17.502*W96/(240.97+W96))/(DY96+DZ96)-DT96)</f>
        <v>0</v>
      </c>
      <c r="T96">
        <f>1/((DM96+1)/(Q96/1.6)+1/(R96/1.37)) + DM96/((DM96+1)/(Q96/1.6) + DM96/(R96/1.37))</f>
        <v>0</v>
      </c>
      <c r="U96">
        <f>(DH96*DK96)</f>
        <v>0</v>
      </c>
      <c r="V96">
        <f>(EA96+(U96+2*0.95*5.67E-8*(((EA96+$B$7)+273)^4-(EA96+273)^4)-44100*J96)/(1.84*29.3*R96+8*0.95*5.67E-8*(EA96+273)^3))</f>
        <v>0</v>
      </c>
      <c r="W96">
        <f>($C$7*EB96+$D$7*EC96+$E$7*V96)</f>
        <v>0</v>
      </c>
      <c r="X96">
        <f>0.61365*exp(17.502*W96/(240.97+W96))</f>
        <v>0</v>
      </c>
      <c r="Y96">
        <f>(Z96/AA96*100)</f>
        <v>0</v>
      </c>
      <c r="Z96">
        <f>DT96*(DY96+DZ96)/1000</f>
        <v>0</v>
      </c>
      <c r="AA96">
        <f>0.61365*exp(17.502*EA96/(240.97+EA96))</f>
        <v>0</v>
      </c>
      <c r="AB96">
        <f>(X96-DT96*(DY96+DZ96)/1000)</f>
        <v>0</v>
      </c>
      <c r="AC96">
        <f>(-J96*44100)</f>
        <v>0</v>
      </c>
      <c r="AD96">
        <f>2*29.3*R96*0.92*(EA96-W96)</f>
        <v>0</v>
      </c>
      <c r="AE96">
        <f>2*0.95*5.67E-8*(((EA96+$B$7)+273)^4-(W96+273)^4)</f>
        <v>0</v>
      </c>
      <c r="AF96">
        <f>U96+AE96+AC96+AD96</f>
        <v>0</v>
      </c>
      <c r="AG96">
        <f>DX96*AU96*(DS96-DR96*(1000-AU96*DU96)/(1000-AU96*DT96))/(100*DL96)</f>
        <v>0</v>
      </c>
      <c r="AH96">
        <f>1000*DX96*AU96*(DT96-DU96)/(100*DL96*(1000-AU96*DT96))</f>
        <v>0</v>
      </c>
      <c r="AI96">
        <f>(AJ96 - AK96 - DY96*1E3/(8.314*(EA96+273.15)) * AM96/DX96 * AL96) * DX96/(100*DL96) * (1000 - DU96)/1000</f>
        <v>0</v>
      </c>
      <c r="AJ96">
        <v>423.281956324699</v>
      </c>
      <c r="AK96">
        <v>424.964284848485</v>
      </c>
      <c r="AL96">
        <v>0.00245772960161957</v>
      </c>
      <c r="AM96">
        <v>64.2037741062357</v>
      </c>
      <c r="AN96">
        <f>(AP96 - AO96 + DY96*1E3/(8.314*(EA96+273.15)) * AR96/DX96 * AQ96) * DX96/(100*DL96) * 1000/(1000 - AP96)</f>
        <v>0</v>
      </c>
      <c r="AO96">
        <v>7.71854393744589</v>
      </c>
      <c r="AP96">
        <v>8.98031552447553</v>
      </c>
      <c r="AQ96">
        <v>3.53618634887379e-06</v>
      </c>
      <c r="AR96">
        <v>109.12</v>
      </c>
      <c r="AS96">
        <v>0</v>
      </c>
      <c r="AT96">
        <v>0</v>
      </c>
      <c r="AU96">
        <f>IF(AS96*$H$13&gt;=AW96,1.0,(AW96/(AW96-AS96*$H$13)))</f>
        <v>0</v>
      </c>
      <c r="AV96">
        <f>(AU96-1)*100</f>
        <v>0</v>
      </c>
      <c r="AW96">
        <f>MAX(0,($B$13+$C$13*EF96)/(1+$D$13*EF96)*DY96/(EA96+273)*$E$13)</f>
        <v>0</v>
      </c>
      <c r="AX96" t="s">
        <v>702</v>
      </c>
      <c r="AY96">
        <v>5093.81</v>
      </c>
      <c r="AZ96">
        <v>603.288</v>
      </c>
      <c r="BA96">
        <v>2124.98712993236</v>
      </c>
      <c r="BB96">
        <f>1-AZ96/BA96</f>
        <v>0</v>
      </c>
      <c r="BC96">
        <v>-1.40064000645422</v>
      </c>
      <c r="BD96" t="s">
        <v>448</v>
      </c>
      <c r="BE96" t="s">
        <v>448</v>
      </c>
      <c r="BF96">
        <v>0</v>
      </c>
      <c r="BG96">
        <v>0</v>
      </c>
      <c r="BH96">
        <f>1-BF96/BG96</f>
        <v>0</v>
      </c>
      <c r="BI96">
        <v>0.5</v>
      </c>
      <c r="BJ96">
        <f>DI96</f>
        <v>0</v>
      </c>
      <c r="BK96">
        <f>L96</f>
        <v>0</v>
      </c>
      <c r="BL96">
        <f>BH96*BI96*BJ96</f>
        <v>0</v>
      </c>
      <c r="BM96">
        <f>(BK96-BC96)/BJ96</f>
        <v>0</v>
      </c>
      <c r="BN96">
        <f>(BA96-BG96)/BG96</f>
        <v>0</v>
      </c>
      <c r="BO96">
        <f>AZ96/(BB96+AZ96/BG96)</f>
        <v>0</v>
      </c>
      <c r="BP96" t="s">
        <v>448</v>
      </c>
      <c r="BQ96">
        <v>0</v>
      </c>
      <c r="BR96">
        <f>IF(BQ96&lt;&gt;0, BQ96, BO96)</f>
        <v>0</v>
      </c>
      <c r="BS96">
        <f>1-BR96/BG96</f>
        <v>0</v>
      </c>
      <c r="BT96">
        <f>(BG96-BF96)/(BG96-BR96)</f>
        <v>0</v>
      </c>
      <c r="BU96">
        <f>(BA96-BG96)/(BA96-BR96)</f>
        <v>0</v>
      </c>
      <c r="BV96">
        <f>(BG96-BF96)/(BG96-AZ96)</f>
        <v>0</v>
      </c>
      <c r="BW96">
        <f>(BA96-BG96)/(BA96-AZ96)</f>
        <v>0</v>
      </c>
      <c r="BX96">
        <f>(BT96*BR96/BF96)</f>
        <v>0</v>
      </c>
      <c r="BY96">
        <f>(1-BX96)</f>
        <v>0</v>
      </c>
      <c r="BZ96">
        <v>91</v>
      </c>
      <c r="CA96">
        <v>290</v>
      </c>
      <c r="CB96">
        <v>1989.06</v>
      </c>
      <c r="CC96">
        <v>285</v>
      </c>
      <c r="CD96">
        <v>5093.81</v>
      </c>
      <c r="CE96">
        <v>1989.4</v>
      </c>
      <c r="CF96">
        <v>-0.34</v>
      </c>
      <c r="CG96">
        <v>300</v>
      </c>
      <c r="CH96">
        <v>23.8</v>
      </c>
      <c r="CI96">
        <v>2124.98712993236</v>
      </c>
      <c r="CJ96">
        <v>1.68322767765594</v>
      </c>
      <c r="CK96">
        <v>-69.0646704028125</v>
      </c>
      <c r="CL96">
        <v>0.743055398381853</v>
      </c>
      <c r="CM96">
        <v>0.99676939970374</v>
      </c>
      <c r="CN96">
        <v>-0.00420833726362625</v>
      </c>
      <c r="CO96">
        <v>290</v>
      </c>
      <c r="CP96">
        <v>1984.1</v>
      </c>
      <c r="CQ96">
        <v>775</v>
      </c>
      <c r="CR96">
        <v>5092.29</v>
      </c>
      <c r="CS96">
        <v>1989.36</v>
      </c>
      <c r="CT96">
        <v>-5.26</v>
      </c>
      <c r="DH96">
        <f>$B$11*EG96+$C$11*EH96+$F$11*ES96*(1-EV96)</f>
        <v>0</v>
      </c>
      <c r="DI96">
        <f>DH96*DJ96</f>
        <v>0</v>
      </c>
      <c r="DJ96">
        <f>($B$11*$D$9+$C$11*$D$9+$F$11*((FF96+EX96)/MAX(FF96+EX96+FG96, 0.1)*$I$9+FG96/MAX(FF96+EX96+FG96, 0.1)*$J$9))/($B$11+$C$11+$F$11)</f>
        <v>0</v>
      </c>
      <c r="DK96">
        <f>($B$11*$K$9+$C$11*$K$9+$F$11*((FF96+EX96)/MAX(FF96+EX96+FG96, 0.1)*$P$9+FG96/MAX(FF96+EX96+FG96, 0.1)*$Q$9))/($B$11+$C$11+$F$11)</f>
        <v>0</v>
      </c>
      <c r="DL96">
        <v>6</v>
      </c>
      <c r="DM96">
        <v>0.5</v>
      </c>
      <c r="DN96" t="s">
        <v>440</v>
      </c>
      <c r="DO96">
        <v>2</v>
      </c>
      <c r="DP96" t="b">
        <v>1</v>
      </c>
      <c r="DQ96">
        <v>1761689696.1</v>
      </c>
      <c r="DR96">
        <v>421.0542</v>
      </c>
      <c r="DS96">
        <v>419.996733333333</v>
      </c>
      <c r="DT96">
        <v>8.97806666666667</v>
      </c>
      <c r="DU96">
        <v>7.71833333333333</v>
      </c>
      <c r="DV96">
        <v>418.134333333333</v>
      </c>
      <c r="DW96">
        <v>9.07800666666667</v>
      </c>
      <c r="DX96">
        <v>499.973466666667</v>
      </c>
      <c r="DY96">
        <v>91.01438</v>
      </c>
      <c r="DZ96">
        <v>0.0219324133333333</v>
      </c>
      <c r="EA96">
        <v>24.6173266666667</v>
      </c>
      <c r="EB96">
        <v>24.0064866666667</v>
      </c>
      <c r="EC96">
        <v>999.9</v>
      </c>
      <c r="ED96">
        <v>0</v>
      </c>
      <c r="EE96">
        <v>0</v>
      </c>
      <c r="EF96">
        <v>9996.66333333333</v>
      </c>
      <c r="EG96">
        <v>0</v>
      </c>
      <c r="EH96">
        <v>1281.58666666667</v>
      </c>
      <c r="EI96">
        <v>1.05749466666667</v>
      </c>
      <c r="EJ96">
        <v>424.8686</v>
      </c>
      <c r="EK96">
        <v>423.263466666667</v>
      </c>
      <c r="EL96">
        <v>1.259734</v>
      </c>
      <c r="EM96">
        <v>419.996733333333</v>
      </c>
      <c r="EN96">
        <v>7.71833333333333</v>
      </c>
      <c r="EO96">
        <v>0.8171332</v>
      </c>
      <c r="EP96">
        <v>0.702479266666667</v>
      </c>
      <c r="EQ96">
        <v>4.00846933333333</v>
      </c>
      <c r="ER96">
        <v>1.87582066666667</v>
      </c>
      <c r="ES96">
        <v>0.00500059</v>
      </c>
      <c r="ET96">
        <v>0</v>
      </c>
      <c r="EU96">
        <v>0</v>
      </c>
      <c r="EV96">
        <v>0</v>
      </c>
      <c r="EW96">
        <v>602.873333333333</v>
      </c>
      <c r="EX96">
        <v>0.00500059</v>
      </c>
      <c r="EY96">
        <v>26.6</v>
      </c>
      <c r="EZ96">
        <v>-0.6</v>
      </c>
      <c r="FA96">
        <v>36.8831333333333</v>
      </c>
      <c r="FB96">
        <v>40.2913333333333</v>
      </c>
      <c r="FC96">
        <v>38.2996</v>
      </c>
      <c r="FD96">
        <v>39.8956666666667</v>
      </c>
      <c r="FE96">
        <v>38.5872</v>
      </c>
      <c r="FF96">
        <v>0</v>
      </c>
      <c r="FG96">
        <v>0</v>
      </c>
      <c r="FH96">
        <v>0</v>
      </c>
      <c r="FI96">
        <v>120</v>
      </c>
      <c r="FJ96">
        <v>0</v>
      </c>
      <c r="FK96">
        <v>603.288</v>
      </c>
      <c r="FL96">
        <v>14.1615386481087</v>
      </c>
      <c r="FM96">
        <v>27.6307688987231</v>
      </c>
      <c r="FN96">
        <v>25.684</v>
      </c>
      <c r="FO96">
        <v>15</v>
      </c>
      <c r="FP96">
        <v>0</v>
      </c>
      <c r="FQ96" t="s">
        <v>441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1.0263605</v>
      </c>
      <c r="GD96">
        <v>0.485551488721805</v>
      </c>
      <c r="GE96">
        <v>0.0497634860349433</v>
      </c>
      <c r="GF96">
        <v>1</v>
      </c>
      <c r="GG96">
        <v>604.3</v>
      </c>
      <c r="GH96">
        <v>0.889228535477757</v>
      </c>
      <c r="GI96">
        <v>5.30859458525401</v>
      </c>
      <c r="GJ96">
        <v>-1</v>
      </c>
      <c r="GK96">
        <v>1.264673</v>
      </c>
      <c r="GL96">
        <v>-0.0635178947368433</v>
      </c>
      <c r="GM96">
        <v>0.0174931246779985</v>
      </c>
      <c r="GN96">
        <v>1</v>
      </c>
      <c r="GO96">
        <v>2</v>
      </c>
      <c r="GP96">
        <v>2</v>
      </c>
      <c r="GQ96" t="s">
        <v>442</v>
      </c>
      <c r="GR96">
        <v>3.12822</v>
      </c>
      <c r="GS96">
        <v>2.69984</v>
      </c>
      <c r="GT96">
        <v>0.089291</v>
      </c>
      <c r="GU96">
        <v>0.0897168</v>
      </c>
      <c r="GV96">
        <v>0.0492679</v>
      </c>
      <c r="GW96">
        <v>0.0438103</v>
      </c>
      <c r="GX96">
        <v>34084.6</v>
      </c>
      <c r="GY96">
        <v>36473.8</v>
      </c>
      <c r="GZ96">
        <v>33877.7</v>
      </c>
      <c r="HA96">
        <v>36295.2</v>
      </c>
      <c r="HB96">
        <v>45523.8</v>
      </c>
      <c r="HC96">
        <v>49806.9</v>
      </c>
      <c r="HD96">
        <v>52844.1</v>
      </c>
      <c r="HE96">
        <v>57961.7</v>
      </c>
      <c r="HF96">
        <v>1.90995</v>
      </c>
      <c r="HG96">
        <v>2.28783</v>
      </c>
      <c r="HH96">
        <v>-0.0348687</v>
      </c>
      <c r="HI96">
        <v>0</v>
      </c>
      <c r="HJ96">
        <v>24.5653</v>
      </c>
      <c r="HK96">
        <v>999.9</v>
      </c>
      <c r="HL96">
        <v>22.183</v>
      </c>
      <c r="HM96">
        <v>30.101</v>
      </c>
      <c r="HN96">
        <v>10.4441</v>
      </c>
      <c r="HO96">
        <v>54.4475</v>
      </c>
      <c r="HP96">
        <v>30.8173</v>
      </c>
      <c r="HQ96">
        <v>2</v>
      </c>
      <c r="HR96">
        <v>0.28686</v>
      </c>
      <c r="HS96">
        <v>3.71115</v>
      </c>
      <c r="HT96">
        <v>20.1116</v>
      </c>
      <c r="HU96">
        <v>5.19917</v>
      </c>
      <c r="HV96">
        <v>12.0064</v>
      </c>
      <c r="HW96">
        <v>4.97575</v>
      </c>
      <c r="HX96">
        <v>3.294</v>
      </c>
      <c r="HY96">
        <v>9999</v>
      </c>
      <c r="HZ96">
        <v>9999</v>
      </c>
      <c r="IA96">
        <v>9999</v>
      </c>
      <c r="IB96">
        <v>999.9</v>
      </c>
      <c r="IC96">
        <v>1.86325</v>
      </c>
      <c r="ID96">
        <v>1.86813</v>
      </c>
      <c r="IE96">
        <v>1.86784</v>
      </c>
      <c r="IF96">
        <v>1.86904</v>
      </c>
      <c r="IG96">
        <v>1.86981</v>
      </c>
      <c r="IH96">
        <v>1.86593</v>
      </c>
      <c r="II96">
        <v>1.86697</v>
      </c>
      <c r="IJ96">
        <v>1.86844</v>
      </c>
      <c r="IK96">
        <v>5</v>
      </c>
      <c r="IL96">
        <v>0</v>
      </c>
      <c r="IM96">
        <v>0</v>
      </c>
      <c r="IN96">
        <v>0</v>
      </c>
      <c r="IO96" t="s">
        <v>443</v>
      </c>
      <c r="IP96" t="s">
        <v>444</v>
      </c>
      <c r="IQ96" t="s">
        <v>445</v>
      </c>
      <c r="IR96" t="s">
        <v>445</v>
      </c>
      <c r="IS96" t="s">
        <v>445</v>
      </c>
      <c r="IT96" t="s">
        <v>445</v>
      </c>
      <c r="IU96">
        <v>0</v>
      </c>
      <c r="IV96">
        <v>100</v>
      </c>
      <c r="IW96">
        <v>100</v>
      </c>
      <c r="IX96">
        <v>2.921</v>
      </c>
      <c r="IY96">
        <v>-0.0999</v>
      </c>
      <c r="IZ96">
        <v>1.24656194001752</v>
      </c>
      <c r="JA96">
        <v>0.00408463137630218</v>
      </c>
      <c r="JB96">
        <v>-2.23906557180379e-07</v>
      </c>
      <c r="JC96">
        <v>6.23399102760906e-11</v>
      </c>
      <c r="JD96">
        <v>-0.0873394905990972</v>
      </c>
      <c r="JE96">
        <v>-0.0233348201324191</v>
      </c>
      <c r="JF96">
        <v>0.00274696999164489</v>
      </c>
      <c r="JG96">
        <v>-3.62864435074646e-05</v>
      </c>
      <c r="JH96">
        <v>5</v>
      </c>
      <c r="JI96">
        <v>2263</v>
      </c>
      <c r="JJ96">
        <v>1</v>
      </c>
      <c r="JK96">
        <v>24</v>
      </c>
      <c r="JL96">
        <v>29361495.1</v>
      </c>
      <c r="JM96">
        <v>29361495.1</v>
      </c>
      <c r="JN96">
        <v>1.25366</v>
      </c>
      <c r="JO96">
        <v>2.62085</v>
      </c>
      <c r="JP96">
        <v>2.19849</v>
      </c>
      <c r="JQ96">
        <v>2.62451</v>
      </c>
      <c r="JR96">
        <v>2.44629</v>
      </c>
      <c r="JS96">
        <v>2.28271</v>
      </c>
      <c r="JT96">
        <v>33.4456</v>
      </c>
      <c r="JU96">
        <v>24.1926</v>
      </c>
      <c r="JV96">
        <v>18</v>
      </c>
      <c r="JW96">
        <v>499.046</v>
      </c>
      <c r="JX96">
        <v>791.797</v>
      </c>
      <c r="JY96">
        <v>20.0597</v>
      </c>
      <c r="JZ96">
        <v>30.994</v>
      </c>
      <c r="KA96">
        <v>30.0001</v>
      </c>
      <c r="KB96">
        <v>30.9802</v>
      </c>
      <c r="KC96">
        <v>30.9153</v>
      </c>
      <c r="KD96">
        <v>25.1133</v>
      </c>
      <c r="KE96">
        <v>0</v>
      </c>
      <c r="KF96">
        <v>16.1742</v>
      </c>
      <c r="KG96">
        <v>20.06</v>
      </c>
      <c r="KH96">
        <v>420</v>
      </c>
      <c r="KI96">
        <v>8.15354</v>
      </c>
      <c r="KJ96">
        <v>96.063</v>
      </c>
      <c r="KK96">
        <v>93.9394</v>
      </c>
    </row>
    <row r="97" spans="1:297">
      <c r="A97">
        <v>81</v>
      </c>
      <c r="B97">
        <v>1761691055</v>
      </c>
      <c r="C97">
        <v>13705.9000000954</v>
      </c>
      <c r="D97" t="s">
        <v>703</v>
      </c>
      <c r="E97" t="s">
        <v>704</v>
      </c>
      <c r="F97">
        <v>5</v>
      </c>
      <c r="G97" t="s">
        <v>705</v>
      </c>
      <c r="H97" t="s">
        <v>436</v>
      </c>
      <c r="I97">
        <v>1761691046.5</v>
      </c>
      <c r="J97">
        <f>(K97)/1000</f>
        <v>0</v>
      </c>
      <c r="K97">
        <f>IF(DP97, AN97, AH97)</f>
        <v>0</v>
      </c>
      <c r="L97">
        <f>IF(DP97, AI97, AG97)</f>
        <v>0</v>
      </c>
      <c r="M97">
        <f>DR97 - IF(AU97&gt;1, L97*DL97*100.0/(AW97), 0)</f>
        <v>0</v>
      </c>
      <c r="N97">
        <f>((T97-J97/2)*M97-L97)/(T97+J97/2)</f>
        <v>0</v>
      </c>
      <c r="O97">
        <f>N97*(DY97+DZ97)/1000.0</f>
        <v>0</v>
      </c>
      <c r="P97">
        <f>(DR97 - IF(AU97&gt;1, L97*DL97*100.0/(AW97), 0))*(DY97+DZ97)/1000.0</f>
        <v>0</v>
      </c>
      <c r="Q97">
        <f>2.0/((1/S97-1/R97)+SIGN(S97)*SQRT((1/S97-1/R97)*(1/S97-1/R97) + 4*DM97/((DM97+1)*(DM97+1))*(2*1/S97*1/R97-1/R97*1/R97)))</f>
        <v>0</v>
      </c>
      <c r="R97">
        <f>IF(LEFT(DN97,1)&lt;&gt;"0",IF(LEFT(DN97,1)="1",3.0,DO97),$D$5+$E$5*(EF97*DY97/($K$5*1000))+$F$5*(EF97*DY97/($K$5*1000))*MAX(MIN(DL97,$J$5),$I$5)*MAX(MIN(DL97,$J$5),$I$5)+$G$5*MAX(MIN(DL97,$J$5),$I$5)*(EF97*DY97/($K$5*1000))+$H$5*(EF97*DY97/($K$5*1000))*(EF97*DY97/($K$5*1000)))</f>
        <v>0</v>
      </c>
      <c r="S97">
        <f>J97*(1000-(1000*0.61365*exp(17.502*W97/(240.97+W97))/(DY97+DZ97)+DT97)/2)/(1000*0.61365*exp(17.502*W97/(240.97+W97))/(DY97+DZ97)-DT97)</f>
        <v>0</v>
      </c>
      <c r="T97">
        <f>1/((DM97+1)/(Q97/1.6)+1/(R97/1.37)) + DM97/((DM97+1)/(Q97/1.6) + DM97/(R97/1.37))</f>
        <v>0</v>
      </c>
      <c r="U97">
        <f>(DH97*DK97)</f>
        <v>0</v>
      </c>
      <c r="V97">
        <f>(EA97+(U97+2*0.95*5.67E-8*(((EA97+$B$7)+273)^4-(EA97+273)^4)-44100*J97)/(1.84*29.3*R97+8*0.95*5.67E-8*(EA97+273)^3))</f>
        <v>0</v>
      </c>
      <c r="W97">
        <f>($C$7*EB97+$D$7*EC97+$E$7*V97)</f>
        <v>0</v>
      </c>
      <c r="X97">
        <f>0.61365*exp(17.502*W97/(240.97+W97))</f>
        <v>0</v>
      </c>
      <c r="Y97">
        <f>(Z97/AA97*100)</f>
        <v>0</v>
      </c>
      <c r="Z97">
        <f>DT97*(DY97+DZ97)/1000</f>
        <v>0</v>
      </c>
      <c r="AA97">
        <f>0.61365*exp(17.502*EA97/(240.97+EA97))</f>
        <v>0</v>
      </c>
      <c r="AB97">
        <f>(X97-DT97*(DY97+DZ97)/1000)</f>
        <v>0</v>
      </c>
      <c r="AC97">
        <f>(-J97*44100)</f>
        <v>0</v>
      </c>
      <c r="AD97">
        <f>2*29.3*R97*0.92*(EA97-W97)</f>
        <v>0</v>
      </c>
      <c r="AE97">
        <f>2*0.95*5.67E-8*(((EA97+$B$7)+273)^4-(W97+273)^4)</f>
        <v>0</v>
      </c>
      <c r="AF97">
        <f>U97+AE97+AC97+AD97</f>
        <v>0</v>
      </c>
      <c r="AG97">
        <f>DX97*AU97*(DS97-DR97*(1000-AU97*DU97)/(1000-AU97*DT97))/(100*DL97)</f>
        <v>0</v>
      </c>
      <c r="AH97">
        <f>1000*DX97*AU97*(DT97-DU97)/(100*DL97*(1000-AU97*DT97))</f>
        <v>0</v>
      </c>
      <c r="AI97">
        <f>(AJ97 - AK97 - DY97*1E3/(8.314*(EA97+273.15)) * AM97/DX97 * AL97) * DX97/(100*DL97) * (1000 - DU97)/1000</f>
        <v>0</v>
      </c>
      <c r="AJ97">
        <v>421.946737209809</v>
      </c>
      <c r="AK97">
        <v>406.584018181818</v>
      </c>
      <c r="AL97">
        <v>-0.000246327300957467</v>
      </c>
      <c r="AM97">
        <v>64.2052291954304</v>
      </c>
      <c r="AN97">
        <f>(AP97 - AO97 + DY97*1E3/(8.314*(EA97+273.15)) * AR97/DX97 * AQ97) * DX97/(100*DL97) * 1000/(1000 - AP97)</f>
        <v>0</v>
      </c>
      <c r="AO97">
        <v>4.63701209598337</v>
      </c>
      <c r="AP97">
        <v>8.55906083916085</v>
      </c>
      <c r="AQ97">
        <v>1.97185497941215e-06</v>
      </c>
      <c r="AR97">
        <v>109.074219277654</v>
      </c>
      <c r="AS97">
        <v>0</v>
      </c>
      <c r="AT97">
        <v>0</v>
      </c>
      <c r="AU97">
        <f>IF(AS97*$H$13&gt;=AW97,1.0,(AW97/(AW97-AS97*$H$13)))</f>
        <v>0</v>
      </c>
      <c r="AV97">
        <f>(AU97-1)*100</f>
        <v>0</v>
      </c>
      <c r="AW97">
        <f>MAX(0,($B$13+$C$13*EF97)/(1+$D$13*EF97)*DY97/(EA97+273)*$E$13)</f>
        <v>0</v>
      </c>
      <c r="AX97" t="s">
        <v>702</v>
      </c>
      <c r="AY97">
        <v>5093.81</v>
      </c>
      <c r="AZ97">
        <v>603.288</v>
      </c>
      <c r="BA97">
        <v>2124.98712993236</v>
      </c>
      <c r="BB97">
        <f>1-AZ97/BA97</f>
        <v>0</v>
      </c>
      <c r="BC97">
        <v>-1.40064000645422</v>
      </c>
      <c r="BD97" t="s">
        <v>706</v>
      </c>
      <c r="BE97">
        <v>5144.83</v>
      </c>
      <c r="BF97">
        <v>1647.7708</v>
      </c>
      <c r="BG97">
        <v>1838.07580237336</v>
      </c>
      <c r="BH97">
        <f>1-BF97/BG97</f>
        <v>0</v>
      </c>
      <c r="BI97">
        <v>0.5</v>
      </c>
      <c r="BJ97">
        <f>DI97</f>
        <v>0</v>
      </c>
      <c r="BK97">
        <f>L97</f>
        <v>0</v>
      </c>
      <c r="BL97">
        <f>BH97*BI97*BJ97</f>
        <v>0</v>
      </c>
      <c r="BM97">
        <f>(BK97-BC97)/BJ97</f>
        <v>0</v>
      </c>
      <c r="BN97">
        <f>(BA97-BG97)/BG97</f>
        <v>0</v>
      </c>
      <c r="BO97">
        <f>AZ97/(BB97+AZ97/BG97)</f>
        <v>0</v>
      </c>
      <c r="BP97" t="s">
        <v>707</v>
      </c>
      <c r="BQ97">
        <v>930.6</v>
      </c>
      <c r="BR97">
        <f>IF(BQ97&lt;&gt;0, BQ97, BO97)</f>
        <v>0</v>
      </c>
      <c r="BS97">
        <f>1-BR97/BG97</f>
        <v>0</v>
      </c>
      <c r="BT97">
        <f>(BG97-BF97)/(BG97-BR97)</f>
        <v>0</v>
      </c>
      <c r="BU97">
        <f>(BA97-BG97)/(BA97-BR97)</f>
        <v>0</v>
      </c>
      <c r="BV97">
        <f>(BG97-BF97)/(BG97-AZ97)</f>
        <v>0</v>
      </c>
      <c r="BW97">
        <f>(BA97-BG97)/(BA97-AZ97)</f>
        <v>0</v>
      </c>
      <c r="BX97">
        <f>(BT97*BR97/BF97)</f>
        <v>0</v>
      </c>
      <c r="BY97">
        <f>(1-BX97)</f>
        <v>0</v>
      </c>
      <c r="BZ97">
        <v>92</v>
      </c>
      <c r="CA97">
        <v>290</v>
      </c>
      <c r="CB97">
        <v>1756.49</v>
      </c>
      <c r="CC97">
        <v>285</v>
      </c>
      <c r="CD97">
        <v>5144.83</v>
      </c>
      <c r="CE97">
        <v>1756.22</v>
      </c>
      <c r="CF97">
        <v>0.27</v>
      </c>
      <c r="CG97">
        <v>300</v>
      </c>
      <c r="CH97">
        <v>23.6</v>
      </c>
      <c r="CI97">
        <v>1838.07580237336</v>
      </c>
      <c r="CJ97">
        <v>2.75832425535503</v>
      </c>
      <c r="CK97">
        <v>-42.1158399248588</v>
      </c>
      <c r="CL97">
        <v>1.30793105751252</v>
      </c>
      <c r="CM97">
        <v>0.9737055289001</v>
      </c>
      <c r="CN97">
        <v>-0.00256900734149055</v>
      </c>
      <c r="CO97">
        <v>290</v>
      </c>
      <c r="CP97">
        <v>1755.02</v>
      </c>
      <c r="CQ97">
        <v>705</v>
      </c>
      <c r="CR97">
        <v>5143.81</v>
      </c>
      <c r="CS97">
        <v>1756.2</v>
      </c>
      <c r="CT97">
        <v>-1.18</v>
      </c>
      <c r="DH97">
        <f>$B$11*EG97+$C$11*EH97+$F$11*ES97*(1-EV97)</f>
        <v>0</v>
      </c>
      <c r="DI97">
        <f>DH97*DJ97</f>
        <v>0</v>
      </c>
      <c r="DJ97">
        <f>($B$11*$D$9+$C$11*$D$9+$F$11*((FF97+EX97)/MAX(FF97+EX97+FG97, 0.1)*$I$9+FG97/MAX(FF97+EX97+FG97, 0.1)*$J$9))/($B$11+$C$11+$F$11)</f>
        <v>0</v>
      </c>
      <c r="DK97">
        <f>($B$11*$K$9+$C$11*$K$9+$F$11*((FF97+EX97)/MAX(FF97+EX97+FG97, 0.1)*$P$9+FG97/MAX(FF97+EX97+FG97, 0.1)*$Q$9))/($B$11+$C$11+$F$11)</f>
        <v>0</v>
      </c>
      <c r="DL97">
        <v>6</v>
      </c>
      <c r="DM97">
        <v>0.5</v>
      </c>
      <c r="DN97" t="s">
        <v>440</v>
      </c>
      <c r="DO97">
        <v>2</v>
      </c>
      <c r="DP97" t="b">
        <v>1</v>
      </c>
      <c r="DQ97">
        <v>1761691046.5</v>
      </c>
      <c r="DR97">
        <v>403.160375</v>
      </c>
      <c r="DS97">
        <v>419.988</v>
      </c>
      <c r="DT97">
        <v>8.555984375</v>
      </c>
      <c r="DU97">
        <v>4.63727875</v>
      </c>
      <c r="DV97">
        <v>400.3105</v>
      </c>
      <c r="DW97">
        <v>8.662911875</v>
      </c>
      <c r="DX97">
        <v>500.0265</v>
      </c>
      <c r="DY97">
        <v>91.031175</v>
      </c>
      <c r="DZ97">
        <v>0.02338951875</v>
      </c>
      <c r="EA97">
        <v>23.80045625</v>
      </c>
      <c r="EB97">
        <v>24.00699375</v>
      </c>
      <c r="EC97">
        <v>999.9</v>
      </c>
      <c r="ED97">
        <v>0</v>
      </c>
      <c r="EE97">
        <v>0</v>
      </c>
      <c r="EF97">
        <v>10005.159375</v>
      </c>
      <c r="EG97">
        <v>0</v>
      </c>
      <c r="EH97">
        <v>1300.4175</v>
      </c>
      <c r="EI97">
        <v>-16.827725</v>
      </c>
      <c r="EJ97">
        <v>406.6396875</v>
      </c>
      <c r="EK97">
        <v>421.9446875</v>
      </c>
      <c r="EL97">
        <v>3.918704375</v>
      </c>
      <c r="EM97">
        <v>419.988</v>
      </c>
      <c r="EN97">
        <v>4.63727875</v>
      </c>
      <c r="EO97">
        <v>0.778861375</v>
      </c>
      <c r="EP97">
        <v>0.422137</v>
      </c>
      <c r="EQ97">
        <v>3.327766875</v>
      </c>
      <c r="ER97">
        <v>-5.042806875</v>
      </c>
      <c r="ES97">
        <v>1999.951875</v>
      </c>
      <c r="ET97">
        <v>0.9799979375</v>
      </c>
      <c r="EU97">
        <v>0.02000173125</v>
      </c>
      <c r="EV97">
        <v>0</v>
      </c>
      <c r="EW97">
        <v>1647.971875</v>
      </c>
      <c r="EX97">
        <v>5.00059</v>
      </c>
      <c r="EY97">
        <v>32925.75</v>
      </c>
      <c r="EZ97">
        <v>17359.89375</v>
      </c>
      <c r="FA97">
        <v>41.312</v>
      </c>
      <c r="FB97">
        <v>42.0659375</v>
      </c>
      <c r="FC97">
        <v>41.00775</v>
      </c>
      <c r="FD97">
        <v>41.312</v>
      </c>
      <c r="FE97">
        <v>41.85925</v>
      </c>
      <c r="FF97">
        <v>1955.051875</v>
      </c>
      <c r="FG97">
        <v>39.9</v>
      </c>
      <c r="FH97">
        <v>0</v>
      </c>
      <c r="FI97">
        <v>1349.5</v>
      </c>
      <c r="FJ97">
        <v>0</v>
      </c>
      <c r="FK97">
        <v>1647.7708</v>
      </c>
      <c r="FL97">
        <v>-12.8076923368172</v>
      </c>
      <c r="FM97">
        <v>-239.215385040275</v>
      </c>
      <c r="FN97">
        <v>32922.9</v>
      </c>
      <c r="FO97">
        <v>15</v>
      </c>
      <c r="FP97">
        <v>0</v>
      </c>
      <c r="FQ97" t="s">
        <v>441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-16.831895</v>
      </c>
      <c r="GD97">
        <v>0.0213969924811838</v>
      </c>
      <c r="GE97">
        <v>0.0247496964627849</v>
      </c>
      <c r="GF97">
        <v>1</v>
      </c>
      <c r="GG97">
        <v>1648.42823529412</v>
      </c>
      <c r="GH97">
        <v>-12.3676088626124</v>
      </c>
      <c r="GI97">
        <v>1.24972813652608</v>
      </c>
      <c r="GJ97">
        <v>-1</v>
      </c>
      <c r="GK97">
        <v>3.9180875</v>
      </c>
      <c r="GL97">
        <v>0.0246320300751952</v>
      </c>
      <c r="GM97">
        <v>0.00251302780525808</v>
      </c>
      <c r="GN97">
        <v>1</v>
      </c>
      <c r="GO97">
        <v>2</v>
      </c>
      <c r="GP97">
        <v>2</v>
      </c>
      <c r="GQ97" t="s">
        <v>442</v>
      </c>
      <c r="GR97">
        <v>3.12736</v>
      </c>
      <c r="GS97">
        <v>2.70151</v>
      </c>
      <c r="GT97">
        <v>0.086278</v>
      </c>
      <c r="GU97">
        <v>0.0896521</v>
      </c>
      <c r="GV97">
        <v>0.0474029</v>
      </c>
      <c r="GW97">
        <v>0.0285063</v>
      </c>
      <c r="GX97">
        <v>34178.4</v>
      </c>
      <c r="GY97">
        <v>36453.1</v>
      </c>
      <c r="GZ97">
        <v>33860.6</v>
      </c>
      <c r="HA97">
        <v>36274.1</v>
      </c>
      <c r="HB97">
        <v>45594.4</v>
      </c>
      <c r="HC97">
        <v>50579.5</v>
      </c>
      <c r="HD97">
        <v>52822.9</v>
      </c>
      <c r="HE97">
        <v>57931.8</v>
      </c>
      <c r="HF97">
        <v>1.9147</v>
      </c>
      <c r="HG97">
        <v>2.28025</v>
      </c>
      <c r="HH97">
        <v>0.0218153</v>
      </c>
      <c r="HI97">
        <v>0</v>
      </c>
      <c r="HJ97">
        <v>23.6516</v>
      </c>
      <c r="HK97">
        <v>999.9</v>
      </c>
      <c r="HL97">
        <v>18.441</v>
      </c>
      <c r="HM97">
        <v>30.001</v>
      </c>
      <c r="HN97">
        <v>8.63114</v>
      </c>
      <c r="HO97">
        <v>55.4877</v>
      </c>
      <c r="HP97">
        <v>31.2179</v>
      </c>
      <c r="HQ97">
        <v>2</v>
      </c>
      <c r="HR97">
        <v>0.32391</v>
      </c>
      <c r="HS97">
        <v>5.88192</v>
      </c>
      <c r="HT97">
        <v>20.036</v>
      </c>
      <c r="HU97">
        <v>5.19857</v>
      </c>
      <c r="HV97">
        <v>12.0094</v>
      </c>
      <c r="HW97">
        <v>4.9754</v>
      </c>
      <c r="HX97">
        <v>3.294</v>
      </c>
      <c r="HY97">
        <v>9999</v>
      </c>
      <c r="HZ97">
        <v>9999</v>
      </c>
      <c r="IA97">
        <v>9999</v>
      </c>
      <c r="IB97">
        <v>999.9</v>
      </c>
      <c r="IC97">
        <v>1.8632</v>
      </c>
      <c r="ID97">
        <v>1.86811</v>
      </c>
      <c r="IE97">
        <v>1.86783</v>
      </c>
      <c r="IF97">
        <v>1.86905</v>
      </c>
      <c r="IG97">
        <v>1.86981</v>
      </c>
      <c r="IH97">
        <v>1.86584</v>
      </c>
      <c r="II97">
        <v>1.86698</v>
      </c>
      <c r="IJ97">
        <v>1.86843</v>
      </c>
      <c r="IK97">
        <v>5</v>
      </c>
      <c r="IL97">
        <v>0</v>
      </c>
      <c r="IM97">
        <v>0</v>
      </c>
      <c r="IN97">
        <v>0</v>
      </c>
      <c r="IO97" t="s">
        <v>443</v>
      </c>
      <c r="IP97" t="s">
        <v>444</v>
      </c>
      <c r="IQ97" t="s">
        <v>445</v>
      </c>
      <c r="IR97" t="s">
        <v>445</v>
      </c>
      <c r="IS97" t="s">
        <v>445</v>
      </c>
      <c r="IT97" t="s">
        <v>445</v>
      </c>
      <c r="IU97">
        <v>0</v>
      </c>
      <c r="IV97">
        <v>100</v>
      </c>
      <c r="IW97">
        <v>100</v>
      </c>
      <c r="IX97">
        <v>2.849</v>
      </c>
      <c r="IY97">
        <v>-0.1069</v>
      </c>
      <c r="IZ97">
        <v>1.24656194001752</v>
      </c>
      <c r="JA97">
        <v>0.00408463137630218</v>
      </c>
      <c r="JB97">
        <v>-2.23906557180379e-07</v>
      </c>
      <c r="JC97">
        <v>6.23399102760906e-11</v>
      </c>
      <c r="JD97">
        <v>-0.0873394905990972</v>
      </c>
      <c r="JE97">
        <v>-0.0233348201324191</v>
      </c>
      <c r="JF97">
        <v>0.00274696999164489</v>
      </c>
      <c r="JG97">
        <v>-3.62864435074646e-05</v>
      </c>
      <c r="JH97">
        <v>5</v>
      </c>
      <c r="JI97">
        <v>2263</v>
      </c>
      <c r="JJ97">
        <v>1</v>
      </c>
      <c r="JK97">
        <v>24</v>
      </c>
      <c r="JL97">
        <v>29361517.6</v>
      </c>
      <c r="JM97">
        <v>29361517.6</v>
      </c>
      <c r="JN97">
        <v>1.25122</v>
      </c>
      <c r="JO97">
        <v>2.61841</v>
      </c>
      <c r="JP97">
        <v>2.19849</v>
      </c>
      <c r="JQ97">
        <v>2.62695</v>
      </c>
      <c r="JR97">
        <v>2.44507</v>
      </c>
      <c r="JS97">
        <v>2.32422</v>
      </c>
      <c r="JT97">
        <v>33.2663</v>
      </c>
      <c r="JU97">
        <v>24.1488</v>
      </c>
      <c r="JV97">
        <v>18</v>
      </c>
      <c r="JW97">
        <v>504.3</v>
      </c>
      <c r="JX97">
        <v>787.823</v>
      </c>
      <c r="JY97">
        <v>16.3192</v>
      </c>
      <c r="JZ97">
        <v>31.304</v>
      </c>
      <c r="KA97">
        <v>30.0001</v>
      </c>
      <c r="KB97">
        <v>31.2306</v>
      </c>
      <c r="KC97">
        <v>31.1528</v>
      </c>
      <c r="KD97">
        <v>25.0671</v>
      </c>
      <c r="KE97">
        <v>23.6715</v>
      </c>
      <c r="KF97">
        <v>6.48011</v>
      </c>
      <c r="KG97">
        <v>16.3057</v>
      </c>
      <c r="KH97">
        <v>420</v>
      </c>
      <c r="KI97">
        <v>4.67357</v>
      </c>
      <c r="KJ97">
        <v>96.0205</v>
      </c>
      <c r="KK97">
        <v>93.8885</v>
      </c>
    </row>
    <row r="98" spans="1:297">
      <c r="A98">
        <v>82</v>
      </c>
      <c r="B98">
        <v>1761691125</v>
      </c>
      <c r="C98">
        <v>13775.9000000954</v>
      </c>
      <c r="D98" t="s">
        <v>708</v>
      </c>
      <c r="E98" t="s">
        <v>709</v>
      </c>
      <c r="F98">
        <v>5</v>
      </c>
      <c r="G98" t="s">
        <v>705</v>
      </c>
      <c r="H98" t="s">
        <v>436</v>
      </c>
      <c r="I98">
        <v>1761691116.5</v>
      </c>
      <c r="J98">
        <f>(K98)/1000</f>
        <v>0</v>
      </c>
      <c r="K98">
        <f>IF(DP98, AN98, AH98)</f>
        <v>0</v>
      </c>
      <c r="L98">
        <f>IF(DP98, AI98, AG98)</f>
        <v>0</v>
      </c>
      <c r="M98">
        <f>DR98 - IF(AU98&gt;1, L98*DL98*100.0/(AW98), 0)</f>
        <v>0</v>
      </c>
      <c r="N98">
        <f>((T98-J98/2)*M98-L98)/(T98+J98/2)</f>
        <v>0</v>
      </c>
      <c r="O98">
        <f>N98*(DY98+DZ98)/1000.0</f>
        <v>0</v>
      </c>
      <c r="P98">
        <f>(DR98 - IF(AU98&gt;1, L98*DL98*100.0/(AW98), 0))*(DY98+DZ98)/1000.0</f>
        <v>0</v>
      </c>
      <c r="Q98">
        <f>2.0/((1/S98-1/R98)+SIGN(S98)*SQRT((1/S98-1/R98)*(1/S98-1/R98) + 4*DM98/((DM98+1)*(DM98+1))*(2*1/S98*1/R98-1/R98*1/R98)))</f>
        <v>0</v>
      </c>
      <c r="R98">
        <f>IF(LEFT(DN98,1)&lt;&gt;"0",IF(LEFT(DN98,1)="1",3.0,DO98),$D$5+$E$5*(EF98*DY98/($K$5*1000))+$F$5*(EF98*DY98/($K$5*1000))*MAX(MIN(DL98,$J$5),$I$5)*MAX(MIN(DL98,$J$5),$I$5)+$G$5*MAX(MIN(DL98,$J$5),$I$5)*(EF98*DY98/($K$5*1000))+$H$5*(EF98*DY98/($K$5*1000))*(EF98*DY98/($K$5*1000)))</f>
        <v>0</v>
      </c>
      <c r="S98">
        <f>J98*(1000-(1000*0.61365*exp(17.502*W98/(240.97+W98))/(DY98+DZ98)+DT98)/2)/(1000*0.61365*exp(17.502*W98/(240.97+W98))/(DY98+DZ98)-DT98)</f>
        <v>0</v>
      </c>
      <c r="T98">
        <f>1/((DM98+1)/(Q98/1.6)+1/(R98/1.37)) + DM98/((DM98+1)/(Q98/1.6) + DM98/(R98/1.37))</f>
        <v>0</v>
      </c>
      <c r="U98">
        <f>(DH98*DK98)</f>
        <v>0</v>
      </c>
      <c r="V98">
        <f>(EA98+(U98+2*0.95*5.67E-8*(((EA98+$B$7)+273)^4-(EA98+273)^4)-44100*J98)/(1.84*29.3*R98+8*0.95*5.67E-8*(EA98+273)^3))</f>
        <v>0</v>
      </c>
      <c r="W98">
        <f>($C$7*EB98+$D$7*EC98+$E$7*V98)</f>
        <v>0</v>
      </c>
      <c r="X98">
        <f>0.61365*exp(17.502*W98/(240.97+W98))</f>
        <v>0</v>
      </c>
      <c r="Y98">
        <f>(Z98/AA98*100)</f>
        <v>0</v>
      </c>
      <c r="Z98">
        <f>DT98*(DY98+DZ98)/1000</f>
        <v>0</v>
      </c>
      <c r="AA98">
        <f>0.61365*exp(17.502*EA98/(240.97+EA98))</f>
        <v>0</v>
      </c>
      <c r="AB98">
        <f>(X98-DT98*(DY98+DZ98)/1000)</f>
        <v>0</v>
      </c>
      <c r="AC98">
        <f>(-J98*44100)</f>
        <v>0</v>
      </c>
      <c r="AD98">
        <f>2*29.3*R98*0.92*(EA98-W98)</f>
        <v>0</v>
      </c>
      <c r="AE98">
        <f>2*0.95*5.67E-8*(((EA98+$B$7)+273)^4-(W98+273)^4)</f>
        <v>0</v>
      </c>
      <c r="AF98">
        <f>U98+AE98+AC98+AD98</f>
        <v>0</v>
      </c>
      <c r="AG98">
        <f>DX98*AU98*(DS98-DR98*(1000-AU98*DU98)/(1000-AU98*DT98))/(100*DL98)</f>
        <v>0</v>
      </c>
      <c r="AH98">
        <f>1000*DX98*AU98*(DT98-DU98)/(100*DL98*(1000-AU98*DT98))</f>
        <v>0</v>
      </c>
      <c r="AI98">
        <f>(AJ98 - AK98 - DY98*1E3/(8.314*(EA98+273.15)) * AM98/DX98 * AL98) * DX98/(100*DL98) * (1000 - DU98)/1000</f>
        <v>0</v>
      </c>
      <c r="AJ98">
        <v>422.004216248914</v>
      </c>
      <c r="AK98">
        <v>406.913466666667</v>
      </c>
      <c r="AL98">
        <v>-0.00164859468422541</v>
      </c>
      <c r="AM98">
        <v>64.2052291954304</v>
      </c>
      <c r="AN98">
        <f>(AP98 - AO98 + DY98*1E3/(8.314*(EA98+273.15)) * AR98/DX98 * AQ98) * DX98/(100*DL98) * 1000/(1000 - AP98)</f>
        <v>0</v>
      </c>
      <c r="AO98">
        <v>4.66114665013454</v>
      </c>
      <c r="AP98">
        <v>8.58904538461539</v>
      </c>
      <c r="AQ98">
        <v>0.000115291884973912</v>
      </c>
      <c r="AR98">
        <v>109.074219277654</v>
      </c>
      <c r="AS98">
        <v>0</v>
      </c>
      <c r="AT98">
        <v>0</v>
      </c>
      <c r="AU98">
        <f>IF(AS98*$H$13&gt;=AW98,1.0,(AW98/(AW98-AS98*$H$13)))</f>
        <v>0</v>
      </c>
      <c r="AV98">
        <f>(AU98-1)*100</f>
        <v>0</v>
      </c>
      <c r="AW98">
        <f>MAX(0,($B$13+$C$13*EF98)/(1+$D$13*EF98)*DY98/(EA98+273)*$E$13)</f>
        <v>0</v>
      </c>
      <c r="AX98" t="s">
        <v>448</v>
      </c>
      <c r="AY98" t="s">
        <v>448</v>
      </c>
      <c r="AZ98">
        <v>0</v>
      </c>
      <c r="BA98">
        <v>0</v>
      </c>
      <c r="BB98">
        <f>1-AZ98/BA98</f>
        <v>0</v>
      </c>
      <c r="BC98">
        <v>0</v>
      </c>
      <c r="BD98" t="s">
        <v>448</v>
      </c>
      <c r="BE98" t="s">
        <v>448</v>
      </c>
      <c r="BF98">
        <v>0</v>
      </c>
      <c r="BG98">
        <v>0</v>
      </c>
      <c r="BH98">
        <f>1-BF98/BG98</f>
        <v>0</v>
      </c>
      <c r="BI98">
        <v>0.5</v>
      </c>
      <c r="BJ98">
        <f>DI98</f>
        <v>0</v>
      </c>
      <c r="BK98">
        <f>L98</f>
        <v>0</v>
      </c>
      <c r="BL98">
        <f>BH98*BI98*BJ98</f>
        <v>0</v>
      </c>
      <c r="BM98">
        <f>(BK98-BC98)/BJ98</f>
        <v>0</v>
      </c>
      <c r="BN98">
        <f>(BA98-BG98)/BG98</f>
        <v>0</v>
      </c>
      <c r="BO98">
        <f>AZ98/(BB98+AZ98/BG98)</f>
        <v>0</v>
      </c>
      <c r="BP98" t="s">
        <v>448</v>
      </c>
      <c r="BQ98">
        <v>0</v>
      </c>
      <c r="BR98">
        <f>IF(BQ98&lt;&gt;0, BQ98, BO98)</f>
        <v>0</v>
      </c>
      <c r="BS98">
        <f>1-BR98/BG98</f>
        <v>0</v>
      </c>
      <c r="BT98">
        <f>(BG98-BF98)/(BG98-BR98)</f>
        <v>0</v>
      </c>
      <c r="BU98">
        <f>(BA98-BG98)/(BA98-BR98)</f>
        <v>0</v>
      </c>
      <c r="BV98">
        <f>(BG98-BF98)/(BG98-AZ98)</f>
        <v>0</v>
      </c>
      <c r="BW98">
        <f>(BA98-BG98)/(BA98-AZ98)</f>
        <v>0</v>
      </c>
      <c r="BX98">
        <f>(BT98*BR98/BF98)</f>
        <v>0</v>
      </c>
      <c r="BY98">
        <f>(1-BX98)</f>
        <v>0</v>
      </c>
      <c r="BZ98">
        <v>92</v>
      </c>
      <c r="CA98">
        <v>290</v>
      </c>
      <c r="CB98">
        <v>1756.49</v>
      </c>
      <c r="CC98">
        <v>285</v>
      </c>
      <c r="CD98">
        <v>5144.83</v>
      </c>
      <c r="CE98">
        <v>1756.22</v>
      </c>
      <c r="CF98">
        <v>0.27</v>
      </c>
      <c r="CG98">
        <v>300</v>
      </c>
      <c r="CH98">
        <v>23.6</v>
      </c>
      <c r="CI98">
        <v>1838.07580237336</v>
      </c>
      <c r="CJ98">
        <v>2.75832425535503</v>
      </c>
      <c r="CK98">
        <v>-42.1158399248588</v>
      </c>
      <c r="CL98">
        <v>1.30793105751252</v>
      </c>
      <c r="CM98">
        <v>0.9737055289001</v>
      </c>
      <c r="CN98">
        <v>-0.00256900734149055</v>
      </c>
      <c r="CO98">
        <v>290</v>
      </c>
      <c r="CP98">
        <v>1755.02</v>
      </c>
      <c r="CQ98">
        <v>705</v>
      </c>
      <c r="CR98">
        <v>5143.81</v>
      </c>
      <c r="CS98">
        <v>1756.2</v>
      </c>
      <c r="CT98">
        <v>-1.18</v>
      </c>
      <c r="DH98">
        <f>$B$11*EG98+$C$11*EH98+$F$11*ES98*(1-EV98)</f>
        <v>0</v>
      </c>
      <c r="DI98">
        <f>DH98*DJ98</f>
        <v>0</v>
      </c>
      <c r="DJ98">
        <f>($B$11*$D$9+$C$11*$D$9+$F$11*((FF98+EX98)/MAX(FF98+EX98+FG98, 0.1)*$I$9+FG98/MAX(FF98+EX98+FG98, 0.1)*$J$9))/($B$11+$C$11+$F$11)</f>
        <v>0</v>
      </c>
      <c r="DK98">
        <f>($B$11*$K$9+$C$11*$K$9+$F$11*((FF98+EX98)/MAX(FF98+EX98+FG98, 0.1)*$P$9+FG98/MAX(FF98+EX98+FG98, 0.1)*$Q$9))/($B$11+$C$11+$F$11)</f>
        <v>0</v>
      </c>
      <c r="DL98">
        <v>6</v>
      </c>
      <c r="DM98">
        <v>0.5</v>
      </c>
      <c r="DN98" t="s">
        <v>440</v>
      </c>
      <c r="DO98">
        <v>2</v>
      </c>
      <c r="DP98" t="b">
        <v>1</v>
      </c>
      <c r="DQ98">
        <v>1761691116.5</v>
      </c>
      <c r="DR98">
        <v>403.463375</v>
      </c>
      <c r="DS98">
        <v>420.005</v>
      </c>
      <c r="DT98">
        <v>8.578530625</v>
      </c>
      <c r="DU98">
        <v>4.656535</v>
      </c>
      <c r="DV98">
        <v>400.612375</v>
      </c>
      <c r="DW98">
        <v>8.68510125</v>
      </c>
      <c r="DX98">
        <v>499.9249375</v>
      </c>
      <c r="DY98">
        <v>91.0263625</v>
      </c>
      <c r="DZ98">
        <v>0.02291341875</v>
      </c>
      <c r="EA98">
        <v>23.93528125</v>
      </c>
      <c r="EB98">
        <v>24.01618125</v>
      </c>
      <c r="EC98">
        <v>999.9</v>
      </c>
      <c r="ED98">
        <v>0</v>
      </c>
      <c r="EE98">
        <v>0</v>
      </c>
      <c r="EF98">
        <v>9980.703125</v>
      </c>
      <c r="EG98">
        <v>0</v>
      </c>
      <c r="EH98">
        <v>1300.403125</v>
      </c>
      <c r="EI98">
        <v>-16.54136875</v>
      </c>
      <c r="EJ98">
        <v>406.954625</v>
      </c>
      <c r="EK98">
        <v>421.9698125</v>
      </c>
      <c r="EL98">
        <v>3.921995625</v>
      </c>
      <c r="EM98">
        <v>420.005</v>
      </c>
      <c r="EN98">
        <v>4.656535</v>
      </c>
      <c r="EO98">
        <v>0.7808725625</v>
      </c>
      <c r="EP98">
        <v>0.4238674375</v>
      </c>
      <c r="EQ98">
        <v>3.36426375</v>
      </c>
      <c r="ER98">
        <v>-4.98880625</v>
      </c>
      <c r="ES98">
        <v>1799.99625</v>
      </c>
      <c r="ET98">
        <v>0.978004375</v>
      </c>
      <c r="EU98">
        <v>0.02199593125</v>
      </c>
      <c r="EV98">
        <v>0</v>
      </c>
      <c r="EW98">
        <v>1629.1325</v>
      </c>
      <c r="EX98">
        <v>5.00059</v>
      </c>
      <c r="EY98">
        <v>29274.475</v>
      </c>
      <c r="EZ98">
        <v>15610.64375</v>
      </c>
      <c r="FA98">
        <v>41.2145625</v>
      </c>
      <c r="FB98">
        <v>42.13275</v>
      </c>
      <c r="FC98">
        <v>41.062</v>
      </c>
      <c r="FD98">
        <v>41.375</v>
      </c>
      <c r="FE98">
        <v>41.8474375</v>
      </c>
      <c r="FF98">
        <v>1755.51625</v>
      </c>
      <c r="FG98">
        <v>39.48</v>
      </c>
      <c r="FH98">
        <v>0</v>
      </c>
      <c r="FI98">
        <v>66.8000001907349</v>
      </c>
      <c r="FJ98">
        <v>0</v>
      </c>
      <c r="FK98">
        <v>1628.28115384615</v>
      </c>
      <c r="FL98">
        <v>-51.2413675090481</v>
      </c>
      <c r="FM98">
        <v>-944.611965570883</v>
      </c>
      <c r="FN98">
        <v>29258.4192307692</v>
      </c>
      <c r="FO98">
        <v>15</v>
      </c>
      <c r="FP98">
        <v>0</v>
      </c>
      <c r="FQ98" t="s">
        <v>441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-16.5130238095238</v>
      </c>
      <c r="GD98">
        <v>-0.437041558441576</v>
      </c>
      <c r="GE98">
        <v>0.051826991540646</v>
      </c>
      <c r="GF98">
        <v>1</v>
      </c>
      <c r="GG98">
        <v>1632.40794117647</v>
      </c>
      <c r="GH98">
        <v>-58.8300993376674</v>
      </c>
      <c r="GI98">
        <v>5.8034131840474</v>
      </c>
      <c r="GJ98">
        <v>-1</v>
      </c>
      <c r="GK98">
        <v>3.91799904761905</v>
      </c>
      <c r="GL98">
        <v>0.059557402597406</v>
      </c>
      <c r="GM98">
        <v>0.00653151109531391</v>
      </c>
      <c r="GN98">
        <v>1</v>
      </c>
      <c r="GO98">
        <v>2</v>
      </c>
      <c r="GP98">
        <v>2</v>
      </c>
      <c r="GQ98" t="s">
        <v>442</v>
      </c>
      <c r="GR98">
        <v>3.12709</v>
      </c>
      <c r="GS98">
        <v>2.70135</v>
      </c>
      <c r="GT98">
        <v>0.0863237</v>
      </c>
      <c r="GU98">
        <v>0.0896441</v>
      </c>
      <c r="GV98">
        <v>0.047527</v>
      </c>
      <c r="GW98">
        <v>0.0286376</v>
      </c>
      <c r="GX98">
        <v>34176</v>
      </c>
      <c r="GY98">
        <v>36453.3</v>
      </c>
      <c r="GZ98">
        <v>33859.9</v>
      </c>
      <c r="HA98">
        <v>36274</v>
      </c>
      <c r="HB98">
        <v>45587.3</v>
      </c>
      <c r="HC98">
        <v>50572.7</v>
      </c>
      <c r="HD98">
        <v>52821.6</v>
      </c>
      <c r="HE98">
        <v>57931.8</v>
      </c>
      <c r="HF98">
        <v>1.9143</v>
      </c>
      <c r="HG98">
        <v>2.2804</v>
      </c>
      <c r="HH98">
        <v>0.0243038</v>
      </c>
      <c r="HI98">
        <v>0</v>
      </c>
      <c r="HJ98">
        <v>23.6918</v>
      </c>
      <c r="HK98">
        <v>999.9</v>
      </c>
      <c r="HL98">
        <v>18.337</v>
      </c>
      <c r="HM98">
        <v>30.001</v>
      </c>
      <c r="HN98">
        <v>8.58384</v>
      </c>
      <c r="HO98">
        <v>55.3877</v>
      </c>
      <c r="HP98">
        <v>31.2139</v>
      </c>
      <c r="HQ98">
        <v>2</v>
      </c>
      <c r="HR98">
        <v>0.331466</v>
      </c>
      <c r="HS98">
        <v>7.62847</v>
      </c>
      <c r="HT98">
        <v>19.9624</v>
      </c>
      <c r="HU98">
        <v>5.19558</v>
      </c>
      <c r="HV98">
        <v>12.0099</v>
      </c>
      <c r="HW98">
        <v>4.9755</v>
      </c>
      <c r="HX98">
        <v>3.294</v>
      </c>
      <c r="HY98">
        <v>9999</v>
      </c>
      <c r="HZ98">
        <v>9999</v>
      </c>
      <c r="IA98">
        <v>9999</v>
      </c>
      <c r="IB98">
        <v>999.9</v>
      </c>
      <c r="IC98">
        <v>1.86319</v>
      </c>
      <c r="ID98">
        <v>1.86809</v>
      </c>
      <c r="IE98">
        <v>1.86783</v>
      </c>
      <c r="IF98">
        <v>1.86905</v>
      </c>
      <c r="IG98">
        <v>1.86981</v>
      </c>
      <c r="IH98">
        <v>1.86588</v>
      </c>
      <c r="II98">
        <v>1.86695</v>
      </c>
      <c r="IJ98">
        <v>1.8684</v>
      </c>
      <c r="IK98">
        <v>5</v>
      </c>
      <c r="IL98">
        <v>0</v>
      </c>
      <c r="IM98">
        <v>0</v>
      </c>
      <c r="IN98">
        <v>0</v>
      </c>
      <c r="IO98" t="s">
        <v>443</v>
      </c>
      <c r="IP98" t="s">
        <v>444</v>
      </c>
      <c r="IQ98" t="s">
        <v>445</v>
      </c>
      <c r="IR98" t="s">
        <v>445</v>
      </c>
      <c r="IS98" t="s">
        <v>445</v>
      </c>
      <c r="IT98" t="s">
        <v>445</v>
      </c>
      <c r="IU98">
        <v>0</v>
      </c>
      <c r="IV98">
        <v>100</v>
      </c>
      <c r="IW98">
        <v>100</v>
      </c>
      <c r="IX98">
        <v>2.851</v>
      </c>
      <c r="IY98">
        <v>-0.1064</v>
      </c>
      <c r="IZ98">
        <v>1.24656194001752</v>
      </c>
      <c r="JA98">
        <v>0.00408463137630218</v>
      </c>
      <c r="JB98">
        <v>-2.23906557180379e-07</v>
      </c>
      <c r="JC98">
        <v>6.23399102760906e-11</v>
      </c>
      <c r="JD98">
        <v>-0.0873394905990972</v>
      </c>
      <c r="JE98">
        <v>-0.0233348201324191</v>
      </c>
      <c r="JF98">
        <v>0.00274696999164489</v>
      </c>
      <c r="JG98">
        <v>-3.62864435074646e-05</v>
      </c>
      <c r="JH98">
        <v>5</v>
      </c>
      <c r="JI98">
        <v>2263</v>
      </c>
      <c r="JJ98">
        <v>1</v>
      </c>
      <c r="JK98">
        <v>24</v>
      </c>
      <c r="JL98">
        <v>29361518.8</v>
      </c>
      <c r="JM98">
        <v>29361518.8</v>
      </c>
      <c r="JN98">
        <v>1.25122</v>
      </c>
      <c r="JO98">
        <v>2.62573</v>
      </c>
      <c r="JP98">
        <v>2.19849</v>
      </c>
      <c r="JQ98">
        <v>2.62695</v>
      </c>
      <c r="JR98">
        <v>2.44629</v>
      </c>
      <c r="JS98">
        <v>2.2937</v>
      </c>
      <c r="JT98">
        <v>33.2887</v>
      </c>
      <c r="JU98">
        <v>24.1225</v>
      </c>
      <c r="JV98">
        <v>18</v>
      </c>
      <c r="JW98">
        <v>504.031</v>
      </c>
      <c r="JX98">
        <v>787.965</v>
      </c>
      <c r="JY98">
        <v>17.2809</v>
      </c>
      <c r="JZ98">
        <v>31.3034</v>
      </c>
      <c r="KA98">
        <v>30.0095</v>
      </c>
      <c r="KB98">
        <v>31.2306</v>
      </c>
      <c r="KC98">
        <v>31.1528</v>
      </c>
      <c r="KD98">
        <v>25.0664</v>
      </c>
      <c r="KE98">
        <v>22.5393</v>
      </c>
      <c r="KF98">
        <v>6.10877</v>
      </c>
      <c r="KG98">
        <v>16.966</v>
      </c>
      <c r="KH98">
        <v>420</v>
      </c>
      <c r="KI98">
        <v>4.71297</v>
      </c>
      <c r="KJ98">
        <v>96.0183</v>
      </c>
      <c r="KK98">
        <v>93.8885</v>
      </c>
    </row>
    <row r="99" spans="1:297">
      <c r="A99">
        <v>83</v>
      </c>
      <c r="B99">
        <v>1761691186</v>
      </c>
      <c r="C99">
        <v>13836.9000000954</v>
      </c>
      <c r="D99" t="s">
        <v>710</v>
      </c>
      <c r="E99" t="s">
        <v>711</v>
      </c>
      <c r="F99">
        <v>5</v>
      </c>
      <c r="G99" t="s">
        <v>705</v>
      </c>
      <c r="H99" t="s">
        <v>436</v>
      </c>
      <c r="I99">
        <v>1761691177.5</v>
      </c>
      <c r="J99">
        <f>(K99)/1000</f>
        <v>0</v>
      </c>
      <c r="K99">
        <f>IF(DP99, AN99, AH99)</f>
        <v>0</v>
      </c>
      <c r="L99">
        <f>IF(DP99, AI99, AG99)</f>
        <v>0</v>
      </c>
      <c r="M99">
        <f>DR99 - IF(AU99&gt;1, L99*DL99*100.0/(AW99), 0)</f>
        <v>0</v>
      </c>
      <c r="N99">
        <f>((T99-J99/2)*M99-L99)/(T99+J99/2)</f>
        <v>0</v>
      </c>
      <c r="O99">
        <f>N99*(DY99+DZ99)/1000.0</f>
        <v>0</v>
      </c>
      <c r="P99">
        <f>(DR99 - IF(AU99&gt;1, L99*DL99*100.0/(AW99), 0))*(DY99+DZ99)/1000.0</f>
        <v>0</v>
      </c>
      <c r="Q99">
        <f>2.0/((1/S99-1/R99)+SIGN(S99)*SQRT((1/S99-1/R99)*(1/S99-1/R99) + 4*DM99/((DM99+1)*(DM99+1))*(2*1/S99*1/R99-1/R99*1/R99)))</f>
        <v>0</v>
      </c>
      <c r="R99">
        <f>IF(LEFT(DN99,1)&lt;&gt;"0",IF(LEFT(DN99,1)="1",3.0,DO99),$D$5+$E$5*(EF99*DY99/($K$5*1000))+$F$5*(EF99*DY99/($K$5*1000))*MAX(MIN(DL99,$J$5),$I$5)*MAX(MIN(DL99,$J$5),$I$5)+$G$5*MAX(MIN(DL99,$J$5),$I$5)*(EF99*DY99/($K$5*1000))+$H$5*(EF99*DY99/($K$5*1000))*(EF99*DY99/($K$5*1000)))</f>
        <v>0</v>
      </c>
      <c r="S99">
        <f>J99*(1000-(1000*0.61365*exp(17.502*W99/(240.97+W99))/(DY99+DZ99)+DT99)/2)/(1000*0.61365*exp(17.502*W99/(240.97+W99))/(DY99+DZ99)-DT99)</f>
        <v>0</v>
      </c>
      <c r="T99">
        <f>1/((DM99+1)/(Q99/1.6)+1/(R99/1.37)) + DM99/((DM99+1)/(Q99/1.6) + DM99/(R99/1.37))</f>
        <v>0</v>
      </c>
      <c r="U99">
        <f>(DH99*DK99)</f>
        <v>0</v>
      </c>
      <c r="V99">
        <f>(EA99+(U99+2*0.95*5.67E-8*(((EA99+$B$7)+273)^4-(EA99+273)^4)-44100*J99)/(1.84*29.3*R99+8*0.95*5.67E-8*(EA99+273)^3))</f>
        <v>0</v>
      </c>
      <c r="W99">
        <f>($C$7*EB99+$D$7*EC99+$E$7*V99)</f>
        <v>0</v>
      </c>
      <c r="X99">
        <f>0.61365*exp(17.502*W99/(240.97+W99))</f>
        <v>0</v>
      </c>
      <c r="Y99">
        <f>(Z99/AA99*100)</f>
        <v>0</v>
      </c>
      <c r="Z99">
        <f>DT99*(DY99+DZ99)/1000</f>
        <v>0</v>
      </c>
      <c r="AA99">
        <f>0.61365*exp(17.502*EA99/(240.97+EA99))</f>
        <v>0</v>
      </c>
      <c r="AB99">
        <f>(X99-DT99*(DY99+DZ99)/1000)</f>
        <v>0</v>
      </c>
      <c r="AC99">
        <f>(-J99*44100)</f>
        <v>0</v>
      </c>
      <c r="AD99">
        <f>2*29.3*R99*0.92*(EA99-W99)</f>
        <v>0</v>
      </c>
      <c r="AE99">
        <f>2*0.95*5.67E-8*(((EA99+$B$7)+273)^4-(W99+273)^4)</f>
        <v>0</v>
      </c>
      <c r="AF99">
        <f>U99+AE99+AC99+AD99</f>
        <v>0</v>
      </c>
      <c r="AG99">
        <f>DX99*AU99*(DS99-DR99*(1000-AU99*DU99)/(1000-AU99*DT99))/(100*DL99)</f>
        <v>0</v>
      </c>
      <c r="AH99">
        <f>1000*DX99*AU99*(DT99-DU99)/(100*DL99*(1000-AU99*DT99))</f>
        <v>0</v>
      </c>
      <c r="AI99">
        <f>(AJ99 - AK99 - DY99*1E3/(8.314*(EA99+273.15)) * AM99/DX99 * AL99) * DX99/(100*DL99) * (1000 - DU99)/1000</f>
        <v>0</v>
      </c>
      <c r="AJ99">
        <v>422.060561612582</v>
      </c>
      <c r="AK99">
        <v>407.088442424242</v>
      </c>
      <c r="AL99">
        <v>-0.00181271370042203</v>
      </c>
      <c r="AM99">
        <v>64.2052291954304</v>
      </c>
      <c r="AN99">
        <f>(AP99 - AO99 + DY99*1E3/(8.314*(EA99+273.15)) * AR99/DX99 * AQ99) * DX99/(100*DL99) * 1000/(1000 - AP99)</f>
        <v>0</v>
      </c>
      <c r="AO99">
        <v>4.7588309204712</v>
      </c>
      <c r="AP99">
        <v>8.60026286713287</v>
      </c>
      <c r="AQ99">
        <v>6.84897185209343e-05</v>
      </c>
      <c r="AR99">
        <v>109.074219277654</v>
      </c>
      <c r="AS99">
        <v>0</v>
      </c>
      <c r="AT99">
        <v>0</v>
      </c>
      <c r="AU99">
        <f>IF(AS99*$H$13&gt;=AW99,1.0,(AW99/(AW99-AS99*$H$13)))</f>
        <v>0</v>
      </c>
      <c r="AV99">
        <f>(AU99-1)*100</f>
        <v>0</v>
      </c>
      <c r="AW99">
        <f>MAX(0,($B$13+$C$13*EF99)/(1+$D$13*EF99)*DY99/(EA99+273)*$E$13)</f>
        <v>0</v>
      </c>
      <c r="AX99" t="s">
        <v>702</v>
      </c>
      <c r="AY99">
        <v>5093.81</v>
      </c>
      <c r="AZ99">
        <v>603.288</v>
      </c>
      <c r="BA99">
        <v>2124.98712993236</v>
      </c>
      <c r="BB99">
        <f>1-AZ99/BA99</f>
        <v>0</v>
      </c>
      <c r="BC99">
        <v>-1.40064000645422</v>
      </c>
      <c r="BD99" t="s">
        <v>712</v>
      </c>
      <c r="BE99">
        <v>5147.65</v>
      </c>
      <c r="BF99">
        <v>1579.91115384615</v>
      </c>
      <c r="BG99">
        <v>1828.44236867905</v>
      </c>
      <c r="BH99">
        <f>1-BF99/BG99</f>
        <v>0</v>
      </c>
      <c r="BI99">
        <v>0.5</v>
      </c>
      <c r="BJ99">
        <f>DI99</f>
        <v>0</v>
      </c>
      <c r="BK99">
        <f>L99</f>
        <v>0</v>
      </c>
      <c r="BL99">
        <f>BH99*BI99*BJ99</f>
        <v>0</v>
      </c>
      <c r="BM99">
        <f>(BK99-BC99)/BJ99</f>
        <v>0</v>
      </c>
      <c r="BN99">
        <f>(BA99-BG99)/BG99</f>
        <v>0</v>
      </c>
      <c r="BO99">
        <f>AZ99/(BB99+AZ99/BG99)</f>
        <v>0</v>
      </c>
      <c r="BP99" t="s">
        <v>713</v>
      </c>
      <c r="BQ99">
        <v>904.53</v>
      </c>
      <c r="BR99">
        <f>IF(BQ99&lt;&gt;0, BQ99, BO99)</f>
        <v>0</v>
      </c>
      <c r="BS99">
        <f>1-BR99/BG99</f>
        <v>0</v>
      </c>
      <c r="BT99">
        <f>(BG99-BF99)/(BG99-BR99)</f>
        <v>0</v>
      </c>
      <c r="BU99">
        <f>(BA99-BG99)/(BA99-BR99)</f>
        <v>0</v>
      </c>
      <c r="BV99">
        <f>(BG99-BF99)/(BG99-AZ99)</f>
        <v>0</v>
      </c>
      <c r="BW99">
        <f>(BA99-BG99)/(BA99-AZ99)</f>
        <v>0</v>
      </c>
      <c r="BX99">
        <f>(BT99*BR99/BF99)</f>
        <v>0</v>
      </c>
      <c r="BY99">
        <f>(1-BX99)</f>
        <v>0</v>
      </c>
      <c r="BZ99">
        <v>94</v>
      </c>
      <c r="CA99">
        <v>290</v>
      </c>
      <c r="CB99">
        <v>1745.36</v>
      </c>
      <c r="CC99">
        <v>255</v>
      </c>
      <c r="CD99">
        <v>5147.65</v>
      </c>
      <c r="CE99">
        <v>1745.42</v>
      </c>
      <c r="CF99">
        <v>-0.06</v>
      </c>
      <c r="CG99">
        <v>300</v>
      </c>
      <c r="CH99">
        <v>23.7</v>
      </c>
      <c r="CI99">
        <v>1828.44236867905</v>
      </c>
      <c r="CJ99">
        <v>1.77988862579782</v>
      </c>
      <c r="CK99">
        <v>-42.7368300046823</v>
      </c>
      <c r="CL99">
        <v>0.832023600326005</v>
      </c>
      <c r="CM99">
        <v>0.989498774803875</v>
      </c>
      <c r="CN99">
        <v>-0.00299250945494995</v>
      </c>
      <c r="CO99">
        <v>290</v>
      </c>
      <c r="CP99">
        <v>1743.62</v>
      </c>
      <c r="CQ99">
        <v>635</v>
      </c>
      <c r="CR99">
        <v>5146.74</v>
      </c>
      <c r="CS99">
        <v>1745.41</v>
      </c>
      <c r="CT99">
        <v>-1.79</v>
      </c>
      <c r="DH99">
        <f>$B$11*EG99+$C$11*EH99+$F$11*ES99*(1-EV99)</f>
        <v>0</v>
      </c>
      <c r="DI99">
        <f>DH99*DJ99</f>
        <v>0</v>
      </c>
      <c r="DJ99">
        <f>($B$11*$D$9+$C$11*$D$9+$F$11*((FF99+EX99)/MAX(FF99+EX99+FG99, 0.1)*$I$9+FG99/MAX(FF99+EX99+FG99, 0.1)*$J$9))/($B$11+$C$11+$F$11)</f>
        <v>0</v>
      </c>
      <c r="DK99">
        <f>($B$11*$K$9+$C$11*$K$9+$F$11*((FF99+EX99)/MAX(FF99+EX99+FG99, 0.1)*$P$9+FG99/MAX(FF99+EX99+FG99, 0.1)*$Q$9))/($B$11+$C$11+$F$11)</f>
        <v>0</v>
      </c>
      <c r="DL99">
        <v>6</v>
      </c>
      <c r="DM99">
        <v>0.5</v>
      </c>
      <c r="DN99" t="s">
        <v>440</v>
      </c>
      <c r="DO99">
        <v>2</v>
      </c>
      <c r="DP99" t="b">
        <v>1</v>
      </c>
      <c r="DQ99">
        <v>1761691177.5</v>
      </c>
      <c r="DR99">
        <v>403.571</v>
      </c>
      <c r="DS99">
        <v>420.015</v>
      </c>
      <c r="DT99">
        <v>8.5859175</v>
      </c>
      <c r="DU99">
        <v>4.75561125</v>
      </c>
      <c r="DV99">
        <v>400.7194375</v>
      </c>
      <c r="DW99">
        <v>8.69237</v>
      </c>
      <c r="DX99">
        <v>500.0121875</v>
      </c>
      <c r="DY99">
        <v>91.03195625</v>
      </c>
      <c r="DZ99">
        <v>0.02262944375</v>
      </c>
      <c r="EA99">
        <v>23.96635625</v>
      </c>
      <c r="EB99">
        <v>23.78405625</v>
      </c>
      <c r="EC99">
        <v>999.9</v>
      </c>
      <c r="ED99">
        <v>0</v>
      </c>
      <c r="EE99">
        <v>0</v>
      </c>
      <c r="EF99">
        <v>9997.96875</v>
      </c>
      <c r="EG99">
        <v>0</v>
      </c>
      <c r="EH99">
        <v>1300.403125</v>
      </c>
      <c r="EI99">
        <v>-16.44408125</v>
      </c>
      <c r="EJ99">
        <v>407.066</v>
      </c>
      <c r="EK99">
        <v>422.022</v>
      </c>
      <c r="EL99">
        <v>3.830306875</v>
      </c>
      <c r="EM99">
        <v>420.015</v>
      </c>
      <c r="EN99">
        <v>4.75561125</v>
      </c>
      <c r="EO99">
        <v>0.7815929375</v>
      </c>
      <c r="EP99">
        <v>0.4329125625</v>
      </c>
      <c r="EQ99">
        <v>3.377315625</v>
      </c>
      <c r="ER99">
        <v>-4.709673125</v>
      </c>
      <c r="ES99">
        <v>1500.00375</v>
      </c>
      <c r="ET99">
        <v>0.972998</v>
      </c>
      <c r="EU99">
        <v>0.0270021</v>
      </c>
      <c r="EV99">
        <v>0</v>
      </c>
      <c r="EW99">
        <v>1579.949375</v>
      </c>
      <c r="EX99">
        <v>5.00059</v>
      </c>
      <c r="EY99">
        <v>23611.80625</v>
      </c>
      <c r="EZ99">
        <v>12982.3875</v>
      </c>
      <c r="FA99">
        <v>40.9645625</v>
      </c>
      <c r="FB99">
        <v>42.152125</v>
      </c>
      <c r="FC99">
        <v>41</v>
      </c>
      <c r="FD99">
        <v>41.375</v>
      </c>
      <c r="FE99">
        <v>41.742125</v>
      </c>
      <c r="FF99">
        <v>1454.63375</v>
      </c>
      <c r="FG99">
        <v>40.37</v>
      </c>
      <c r="FH99">
        <v>0</v>
      </c>
      <c r="FI99">
        <v>128</v>
      </c>
      <c r="FJ99">
        <v>0</v>
      </c>
      <c r="FK99">
        <v>1579.91115384615</v>
      </c>
      <c r="FL99">
        <v>-2.3770940112695</v>
      </c>
      <c r="FM99">
        <v>-42.0170940269461</v>
      </c>
      <c r="FN99">
        <v>23610.8461538461</v>
      </c>
      <c r="FO99">
        <v>15</v>
      </c>
      <c r="FP99">
        <v>0</v>
      </c>
      <c r="FQ99" t="s">
        <v>441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-16.45535</v>
      </c>
      <c r="GD99">
        <v>0.159735338345823</v>
      </c>
      <c r="GE99">
        <v>0.0267322932050358</v>
      </c>
      <c r="GF99">
        <v>1</v>
      </c>
      <c r="GG99">
        <v>1580.12882352941</v>
      </c>
      <c r="GH99">
        <v>-2.54300993248111</v>
      </c>
      <c r="GI99">
        <v>0.30526521454478</v>
      </c>
      <c r="GJ99">
        <v>-1</v>
      </c>
      <c r="GK99">
        <v>3.8266955</v>
      </c>
      <c r="GL99">
        <v>0.0644052631579009</v>
      </c>
      <c r="GM99">
        <v>0.00662964363672743</v>
      </c>
      <c r="GN99">
        <v>1</v>
      </c>
      <c r="GO99">
        <v>2</v>
      </c>
      <c r="GP99">
        <v>2</v>
      </c>
      <c r="GQ99" t="s">
        <v>442</v>
      </c>
      <c r="GR99">
        <v>3.1274</v>
      </c>
      <c r="GS99">
        <v>2.7005</v>
      </c>
      <c r="GT99">
        <v>0.0863606</v>
      </c>
      <c r="GU99">
        <v>0.0896529</v>
      </c>
      <c r="GV99">
        <v>0.0475976</v>
      </c>
      <c r="GW99">
        <v>0.0291577</v>
      </c>
      <c r="GX99">
        <v>34176.8</v>
      </c>
      <c r="GY99">
        <v>36454.6</v>
      </c>
      <c r="GZ99">
        <v>33862</v>
      </c>
      <c r="HA99">
        <v>36275.6</v>
      </c>
      <c r="HB99">
        <v>45586.3</v>
      </c>
      <c r="HC99">
        <v>50547.7</v>
      </c>
      <c r="HD99">
        <v>52824.4</v>
      </c>
      <c r="HE99">
        <v>57934.3</v>
      </c>
      <c r="HF99">
        <v>1.9153</v>
      </c>
      <c r="HG99">
        <v>2.2808</v>
      </c>
      <c r="HH99">
        <v>0.00562891</v>
      </c>
      <c r="HI99">
        <v>0</v>
      </c>
      <c r="HJ99">
        <v>23.7435</v>
      </c>
      <c r="HK99">
        <v>999.9</v>
      </c>
      <c r="HL99">
        <v>18.288</v>
      </c>
      <c r="HM99">
        <v>30.001</v>
      </c>
      <c r="HN99">
        <v>8.5597</v>
      </c>
      <c r="HO99">
        <v>54.4477</v>
      </c>
      <c r="HP99">
        <v>30.9415</v>
      </c>
      <c r="HQ99">
        <v>2</v>
      </c>
      <c r="HR99">
        <v>0.309919</v>
      </c>
      <c r="HS99">
        <v>3.42454</v>
      </c>
      <c r="HT99">
        <v>20.1046</v>
      </c>
      <c r="HU99">
        <v>5.19857</v>
      </c>
      <c r="HV99">
        <v>12.005</v>
      </c>
      <c r="HW99">
        <v>4.9754</v>
      </c>
      <c r="HX99">
        <v>3.294</v>
      </c>
      <c r="HY99">
        <v>9999</v>
      </c>
      <c r="HZ99">
        <v>9999</v>
      </c>
      <c r="IA99">
        <v>9999</v>
      </c>
      <c r="IB99">
        <v>999.9</v>
      </c>
      <c r="IC99">
        <v>1.86323</v>
      </c>
      <c r="ID99">
        <v>1.86812</v>
      </c>
      <c r="IE99">
        <v>1.86783</v>
      </c>
      <c r="IF99">
        <v>1.86905</v>
      </c>
      <c r="IG99">
        <v>1.86982</v>
      </c>
      <c r="IH99">
        <v>1.8659</v>
      </c>
      <c r="II99">
        <v>1.867</v>
      </c>
      <c r="IJ99">
        <v>1.86842</v>
      </c>
      <c r="IK99">
        <v>5</v>
      </c>
      <c r="IL99">
        <v>0</v>
      </c>
      <c r="IM99">
        <v>0</v>
      </c>
      <c r="IN99">
        <v>0</v>
      </c>
      <c r="IO99" t="s">
        <v>443</v>
      </c>
      <c r="IP99" t="s">
        <v>444</v>
      </c>
      <c r="IQ99" t="s">
        <v>445</v>
      </c>
      <c r="IR99" t="s">
        <v>445</v>
      </c>
      <c r="IS99" t="s">
        <v>445</v>
      </c>
      <c r="IT99" t="s">
        <v>445</v>
      </c>
      <c r="IU99">
        <v>0</v>
      </c>
      <c r="IV99">
        <v>100</v>
      </c>
      <c r="IW99">
        <v>100</v>
      </c>
      <c r="IX99">
        <v>2.852</v>
      </c>
      <c r="IY99">
        <v>-0.1062</v>
      </c>
      <c r="IZ99">
        <v>1.24656194001752</v>
      </c>
      <c r="JA99">
        <v>0.00408463137630218</v>
      </c>
      <c r="JB99">
        <v>-2.23906557180379e-07</v>
      </c>
      <c r="JC99">
        <v>6.23399102760906e-11</v>
      </c>
      <c r="JD99">
        <v>-0.0873394905990972</v>
      </c>
      <c r="JE99">
        <v>-0.0233348201324191</v>
      </c>
      <c r="JF99">
        <v>0.00274696999164489</v>
      </c>
      <c r="JG99">
        <v>-3.62864435074646e-05</v>
      </c>
      <c r="JH99">
        <v>5</v>
      </c>
      <c r="JI99">
        <v>2263</v>
      </c>
      <c r="JJ99">
        <v>1</v>
      </c>
      <c r="JK99">
        <v>24</v>
      </c>
      <c r="JL99">
        <v>29361519.8</v>
      </c>
      <c r="JM99">
        <v>29361519.8</v>
      </c>
      <c r="JN99">
        <v>1.25122</v>
      </c>
      <c r="JO99">
        <v>2.62695</v>
      </c>
      <c r="JP99">
        <v>2.19849</v>
      </c>
      <c r="JQ99">
        <v>2.62573</v>
      </c>
      <c r="JR99">
        <v>2.44507</v>
      </c>
      <c r="JS99">
        <v>2.33521</v>
      </c>
      <c r="JT99">
        <v>33.2887</v>
      </c>
      <c r="JU99">
        <v>24.1838</v>
      </c>
      <c r="JV99">
        <v>18</v>
      </c>
      <c r="JW99">
        <v>504.679</v>
      </c>
      <c r="JX99">
        <v>788.308</v>
      </c>
      <c r="JY99">
        <v>18.3975</v>
      </c>
      <c r="JZ99">
        <v>31.2939</v>
      </c>
      <c r="KA99">
        <v>30</v>
      </c>
      <c r="KB99">
        <v>31.2279</v>
      </c>
      <c r="KC99">
        <v>31.1501</v>
      </c>
      <c r="KD99">
        <v>25.0667</v>
      </c>
      <c r="KE99">
        <v>20.5279</v>
      </c>
      <c r="KF99">
        <v>5.73698</v>
      </c>
      <c r="KG99">
        <v>18.4585</v>
      </c>
      <c r="KH99">
        <v>420</v>
      </c>
      <c r="KI99">
        <v>4.82885</v>
      </c>
      <c r="KJ99">
        <v>96.0238</v>
      </c>
      <c r="KK99">
        <v>93.8925</v>
      </c>
    </row>
    <row r="100" spans="1:297">
      <c r="A100">
        <v>84</v>
      </c>
      <c r="B100">
        <v>1761691256</v>
      </c>
      <c r="C100">
        <v>13906.9000000954</v>
      </c>
      <c r="D100" t="s">
        <v>714</v>
      </c>
      <c r="E100" t="s">
        <v>715</v>
      </c>
      <c r="F100">
        <v>5</v>
      </c>
      <c r="G100" t="s">
        <v>705</v>
      </c>
      <c r="H100" t="s">
        <v>436</v>
      </c>
      <c r="I100">
        <v>1761691247.5</v>
      </c>
      <c r="J100">
        <f>(K100)/1000</f>
        <v>0</v>
      </c>
      <c r="K100">
        <f>IF(DP100, AN100, AH100)</f>
        <v>0</v>
      </c>
      <c r="L100">
        <f>IF(DP100, AI100, AG100)</f>
        <v>0</v>
      </c>
      <c r="M100">
        <f>DR100 - IF(AU100&gt;1, L100*DL100*100.0/(AW100), 0)</f>
        <v>0</v>
      </c>
      <c r="N100">
        <f>((T100-J100/2)*M100-L100)/(T100+J100/2)</f>
        <v>0</v>
      </c>
      <c r="O100">
        <f>N100*(DY100+DZ100)/1000.0</f>
        <v>0</v>
      </c>
      <c r="P100">
        <f>(DR100 - IF(AU100&gt;1, L100*DL100*100.0/(AW100), 0))*(DY100+DZ100)/1000.0</f>
        <v>0</v>
      </c>
      <c r="Q100">
        <f>2.0/((1/S100-1/R100)+SIGN(S100)*SQRT((1/S100-1/R100)*(1/S100-1/R100) + 4*DM100/((DM100+1)*(DM100+1))*(2*1/S100*1/R100-1/R100*1/R100)))</f>
        <v>0</v>
      </c>
      <c r="R100">
        <f>IF(LEFT(DN100,1)&lt;&gt;"0",IF(LEFT(DN100,1)="1",3.0,DO100),$D$5+$E$5*(EF100*DY100/($K$5*1000))+$F$5*(EF100*DY100/($K$5*1000))*MAX(MIN(DL100,$J$5),$I$5)*MAX(MIN(DL100,$J$5),$I$5)+$G$5*MAX(MIN(DL100,$J$5),$I$5)*(EF100*DY100/($K$5*1000))+$H$5*(EF100*DY100/($K$5*1000))*(EF100*DY100/($K$5*1000)))</f>
        <v>0</v>
      </c>
      <c r="S100">
        <f>J100*(1000-(1000*0.61365*exp(17.502*W100/(240.97+W100))/(DY100+DZ100)+DT100)/2)/(1000*0.61365*exp(17.502*W100/(240.97+W100))/(DY100+DZ100)-DT100)</f>
        <v>0</v>
      </c>
      <c r="T100">
        <f>1/((DM100+1)/(Q100/1.6)+1/(R100/1.37)) + DM100/((DM100+1)/(Q100/1.6) + DM100/(R100/1.37))</f>
        <v>0</v>
      </c>
      <c r="U100">
        <f>(DH100*DK100)</f>
        <v>0</v>
      </c>
      <c r="V100">
        <f>(EA100+(U100+2*0.95*5.67E-8*(((EA100+$B$7)+273)^4-(EA100+273)^4)-44100*J100)/(1.84*29.3*R100+8*0.95*5.67E-8*(EA100+273)^3))</f>
        <v>0</v>
      </c>
      <c r="W100">
        <f>($C$7*EB100+$D$7*EC100+$E$7*V100)</f>
        <v>0</v>
      </c>
      <c r="X100">
        <f>0.61365*exp(17.502*W100/(240.97+W100))</f>
        <v>0</v>
      </c>
      <c r="Y100">
        <f>(Z100/AA100*100)</f>
        <v>0</v>
      </c>
      <c r="Z100">
        <f>DT100*(DY100+DZ100)/1000</f>
        <v>0</v>
      </c>
      <c r="AA100">
        <f>0.61365*exp(17.502*EA100/(240.97+EA100))</f>
        <v>0</v>
      </c>
      <c r="AB100">
        <f>(X100-DT100*(DY100+DZ100)/1000)</f>
        <v>0</v>
      </c>
      <c r="AC100">
        <f>(-J100*44100)</f>
        <v>0</v>
      </c>
      <c r="AD100">
        <f>2*29.3*R100*0.92*(EA100-W100)</f>
        <v>0</v>
      </c>
      <c r="AE100">
        <f>2*0.95*5.67E-8*(((EA100+$B$7)+273)^4-(W100+273)^4)</f>
        <v>0</v>
      </c>
      <c r="AF100">
        <f>U100+AE100+AC100+AD100</f>
        <v>0</v>
      </c>
      <c r="AG100">
        <f>DX100*AU100*(DS100-DR100*(1000-AU100*DU100)/(1000-AU100*DT100))/(100*DL100)</f>
        <v>0</v>
      </c>
      <c r="AH100">
        <f>1000*DX100*AU100*(DT100-DU100)/(100*DL100*(1000-AU100*DT100))</f>
        <v>0</v>
      </c>
      <c r="AI100">
        <f>(AJ100 - AK100 - DY100*1E3/(8.314*(EA100+273.15)) * AM100/DX100 * AL100) * DX100/(100*DL100) * (1000 - DU100)/1000</f>
        <v>0</v>
      </c>
      <c r="AJ100">
        <v>422.108803367692</v>
      </c>
      <c r="AK100">
        <v>407.769981818182</v>
      </c>
      <c r="AL100">
        <v>0.000837283190375749</v>
      </c>
      <c r="AM100">
        <v>64.2052291954304</v>
      </c>
      <c r="AN100">
        <f>(AP100 - AO100 + DY100*1E3/(8.314*(EA100+273.15)) * AR100/DX100 * AQ100) * DX100/(100*DL100) * 1000/(1000 - AP100)</f>
        <v>0</v>
      </c>
      <c r="AO100">
        <v>4.97345981943266</v>
      </c>
      <c r="AP100">
        <v>8.7457441958042</v>
      </c>
      <c r="AQ100">
        <v>0.000262146740852138</v>
      </c>
      <c r="AR100">
        <v>109.074219277654</v>
      </c>
      <c r="AS100">
        <v>0</v>
      </c>
      <c r="AT100">
        <v>0</v>
      </c>
      <c r="AU100">
        <f>IF(AS100*$H$13&gt;=AW100,1.0,(AW100/(AW100-AS100*$H$13)))</f>
        <v>0</v>
      </c>
      <c r="AV100">
        <f>(AU100-1)*100</f>
        <v>0</v>
      </c>
      <c r="AW100">
        <f>MAX(0,($B$13+$C$13*EF100)/(1+$D$13*EF100)*DY100/(EA100+273)*$E$13)</f>
        <v>0</v>
      </c>
      <c r="AX100" t="s">
        <v>448</v>
      </c>
      <c r="AY100" t="s">
        <v>448</v>
      </c>
      <c r="AZ100">
        <v>0</v>
      </c>
      <c r="BA100">
        <v>0</v>
      </c>
      <c r="BB100">
        <f>1-AZ100/BA100</f>
        <v>0</v>
      </c>
      <c r="BC100">
        <v>0</v>
      </c>
      <c r="BD100" t="s">
        <v>448</v>
      </c>
      <c r="BE100" t="s">
        <v>448</v>
      </c>
      <c r="BF100">
        <v>0</v>
      </c>
      <c r="BG100">
        <v>0</v>
      </c>
      <c r="BH100">
        <f>1-BF100/BG100</f>
        <v>0</v>
      </c>
      <c r="BI100">
        <v>0.5</v>
      </c>
      <c r="BJ100">
        <f>DI100</f>
        <v>0</v>
      </c>
      <c r="BK100">
        <f>L100</f>
        <v>0</v>
      </c>
      <c r="BL100">
        <f>BH100*BI100*BJ100</f>
        <v>0</v>
      </c>
      <c r="BM100">
        <f>(BK100-BC100)/BJ100</f>
        <v>0</v>
      </c>
      <c r="BN100">
        <f>(BA100-BG100)/BG100</f>
        <v>0</v>
      </c>
      <c r="BO100">
        <f>AZ100/(BB100+AZ100/BG100)</f>
        <v>0</v>
      </c>
      <c r="BP100" t="s">
        <v>448</v>
      </c>
      <c r="BQ100">
        <v>0</v>
      </c>
      <c r="BR100">
        <f>IF(BQ100&lt;&gt;0, BQ100, BO100)</f>
        <v>0</v>
      </c>
      <c r="BS100">
        <f>1-BR100/BG100</f>
        <v>0</v>
      </c>
      <c r="BT100">
        <f>(BG100-BF100)/(BG100-BR100)</f>
        <v>0</v>
      </c>
      <c r="BU100">
        <f>(BA100-BG100)/(BA100-BR100)</f>
        <v>0</v>
      </c>
      <c r="BV100">
        <f>(BG100-BF100)/(BG100-AZ100)</f>
        <v>0</v>
      </c>
      <c r="BW100">
        <f>(BA100-BG100)/(BA100-AZ100)</f>
        <v>0</v>
      </c>
      <c r="BX100">
        <f>(BT100*BR100/BF100)</f>
        <v>0</v>
      </c>
      <c r="BY100">
        <f>(1-BX100)</f>
        <v>0</v>
      </c>
      <c r="BZ100">
        <v>94</v>
      </c>
      <c r="CA100">
        <v>290</v>
      </c>
      <c r="CB100">
        <v>1745.36</v>
      </c>
      <c r="CC100">
        <v>255</v>
      </c>
      <c r="CD100">
        <v>5147.65</v>
      </c>
      <c r="CE100">
        <v>1745.42</v>
      </c>
      <c r="CF100">
        <v>-0.06</v>
      </c>
      <c r="CG100">
        <v>300</v>
      </c>
      <c r="CH100">
        <v>23.7</v>
      </c>
      <c r="CI100">
        <v>1828.44236867905</v>
      </c>
      <c r="CJ100">
        <v>1.77988862579782</v>
      </c>
      <c r="CK100">
        <v>-42.7368300046823</v>
      </c>
      <c r="CL100">
        <v>0.832023600326005</v>
      </c>
      <c r="CM100">
        <v>0.989498774803875</v>
      </c>
      <c r="CN100">
        <v>-0.00299250945494995</v>
      </c>
      <c r="CO100">
        <v>290</v>
      </c>
      <c r="CP100">
        <v>1743.62</v>
      </c>
      <c r="CQ100">
        <v>635</v>
      </c>
      <c r="CR100">
        <v>5146.74</v>
      </c>
      <c r="CS100">
        <v>1745.41</v>
      </c>
      <c r="CT100">
        <v>-1.79</v>
      </c>
      <c r="DH100">
        <f>$B$11*EG100+$C$11*EH100+$F$11*ES100*(1-EV100)</f>
        <v>0</v>
      </c>
      <c r="DI100">
        <f>DH100*DJ100</f>
        <v>0</v>
      </c>
      <c r="DJ100">
        <f>($B$11*$D$9+$C$11*$D$9+$F$11*((FF100+EX100)/MAX(FF100+EX100+FG100, 0.1)*$I$9+FG100/MAX(FF100+EX100+FG100, 0.1)*$J$9))/($B$11+$C$11+$F$11)</f>
        <v>0</v>
      </c>
      <c r="DK100">
        <f>($B$11*$K$9+$C$11*$K$9+$F$11*((FF100+EX100)/MAX(FF100+EX100+FG100, 0.1)*$P$9+FG100/MAX(FF100+EX100+FG100, 0.1)*$Q$9))/($B$11+$C$11+$F$11)</f>
        <v>0</v>
      </c>
      <c r="DL100">
        <v>6</v>
      </c>
      <c r="DM100">
        <v>0.5</v>
      </c>
      <c r="DN100" t="s">
        <v>440</v>
      </c>
      <c r="DO100">
        <v>2</v>
      </c>
      <c r="DP100" t="b">
        <v>1</v>
      </c>
      <c r="DQ100">
        <v>1761691247.5</v>
      </c>
      <c r="DR100">
        <v>404.207125</v>
      </c>
      <c r="DS100">
        <v>419.993375</v>
      </c>
      <c r="DT100">
        <v>8.7190325</v>
      </c>
      <c r="DU100">
        <v>4.955678125</v>
      </c>
      <c r="DV100">
        <v>401.35325</v>
      </c>
      <c r="DW100">
        <v>8.823331875</v>
      </c>
      <c r="DX100">
        <v>500.006875</v>
      </c>
      <c r="DY100">
        <v>91.0259875</v>
      </c>
      <c r="DZ100">
        <v>0.022556075</v>
      </c>
      <c r="EA100">
        <v>24.32446875</v>
      </c>
      <c r="EB100">
        <v>23.96834375</v>
      </c>
      <c r="EC100">
        <v>999.9</v>
      </c>
      <c r="ED100">
        <v>0</v>
      </c>
      <c r="EE100">
        <v>0</v>
      </c>
      <c r="EF100">
        <v>9992.740625</v>
      </c>
      <c r="EG100">
        <v>0</v>
      </c>
      <c r="EH100">
        <v>1300.464375</v>
      </c>
      <c r="EI100">
        <v>-15.78625625</v>
      </c>
      <c r="EJ100">
        <v>407.7625</v>
      </c>
      <c r="EK100">
        <v>422.0851875</v>
      </c>
      <c r="EL100">
        <v>3.7633525</v>
      </c>
      <c r="EM100">
        <v>419.993375</v>
      </c>
      <c r="EN100">
        <v>4.955678125</v>
      </c>
      <c r="EO100">
        <v>0.7936584375</v>
      </c>
      <c r="EP100">
        <v>0.4510956875</v>
      </c>
      <c r="EQ100">
        <v>3.59436625</v>
      </c>
      <c r="ER100">
        <v>-4.16395625</v>
      </c>
      <c r="ES100">
        <v>1200.033125</v>
      </c>
      <c r="ET100">
        <v>0.9669943125</v>
      </c>
      <c r="EU100">
        <v>0.03300578125</v>
      </c>
      <c r="EV100">
        <v>0</v>
      </c>
      <c r="EW100">
        <v>1547.225625</v>
      </c>
      <c r="EX100">
        <v>5.00059</v>
      </c>
      <c r="EY100">
        <v>18458.44375</v>
      </c>
      <c r="EZ100">
        <v>10358.98125</v>
      </c>
      <c r="FA100">
        <v>40.5935</v>
      </c>
      <c r="FB100">
        <v>42.125</v>
      </c>
      <c r="FC100">
        <v>40.878875</v>
      </c>
      <c r="FD100">
        <v>41.375</v>
      </c>
      <c r="FE100">
        <v>41.511625</v>
      </c>
      <c r="FF100">
        <v>1155.593125</v>
      </c>
      <c r="FG100">
        <v>39.44</v>
      </c>
      <c r="FH100">
        <v>0</v>
      </c>
      <c r="FI100">
        <v>67.4000000953674</v>
      </c>
      <c r="FJ100">
        <v>0</v>
      </c>
      <c r="FK100">
        <v>1546.42961538462</v>
      </c>
      <c r="FL100">
        <v>-38.5282050710652</v>
      </c>
      <c r="FM100">
        <v>-472.683760103161</v>
      </c>
      <c r="FN100">
        <v>18448.2615384615</v>
      </c>
      <c r="FO100">
        <v>15</v>
      </c>
      <c r="FP100">
        <v>0</v>
      </c>
      <c r="FQ100" t="s">
        <v>441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-15.775575</v>
      </c>
      <c r="GD100">
        <v>-0.225415037593989</v>
      </c>
      <c r="GE100">
        <v>0.0392277691820474</v>
      </c>
      <c r="GF100">
        <v>1</v>
      </c>
      <c r="GG100">
        <v>1549.96529411765</v>
      </c>
      <c r="GH100">
        <v>-44.876088638352</v>
      </c>
      <c r="GI100">
        <v>4.42461446329381</v>
      </c>
      <c r="GJ100">
        <v>-1</v>
      </c>
      <c r="GK100">
        <v>3.7627515</v>
      </c>
      <c r="GL100">
        <v>-0.00549969924811906</v>
      </c>
      <c r="GM100">
        <v>0.00455803606282357</v>
      </c>
      <c r="GN100">
        <v>1</v>
      </c>
      <c r="GO100">
        <v>2</v>
      </c>
      <c r="GP100">
        <v>2</v>
      </c>
      <c r="GQ100" t="s">
        <v>442</v>
      </c>
      <c r="GR100">
        <v>3.1273</v>
      </c>
      <c r="GS100">
        <v>2.7011</v>
      </c>
      <c r="GT100">
        <v>0.08646</v>
      </c>
      <c r="GU100">
        <v>0.0896523</v>
      </c>
      <c r="GV100">
        <v>0.0482401</v>
      </c>
      <c r="GW100">
        <v>0.0303667</v>
      </c>
      <c r="GX100">
        <v>34173.9</v>
      </c>
      <c r="GY100">
        <v>36455.4</v>
      </c>
      <c r="GZ100">
        <v>33862.8</v>
      </c>
      <c r="HA100">
        <v>36276.2</v>
      </c>
      <c r="HB100">
        <v>45556.2</v>
      </c>
      <c r="HC100">
        <v>50485.6</v>
      </c>
      <c r="HD100">
        <v>52825.3</v>
      </c>
      <c r="HE100">
        <v>57935.4</v>
      </c>
      <c r="HF100">
        <v>1.91497</v>
      </c>
      <c r="HG100">
        <v>2.28142</v>
      </c>
      <c r="HH100">
        <v>0.0102632</v>
      </c>
      <c r="HI100">
        <v>0</v>
      </c>
      <c r="HJ100">
        <v>23.8977</v>
      </c>
      <c r="HK100">
        <v>999.9</v>
      </c>
      <c r="HL100">
        <v>18.258</v>
      </c>
      <c r="HM100">
        <v>29.98</v>
      </c>
      <c r="HN100">
        <v>8.53622</v>
      </c>
      <c r="HO100">
        <v>54.9777</v>
      </c>
      <c r="HP100">
        <v>30.9696</v>
      </c>
      <c r="HQ100">
        <v>2</v>
      </c>
      <c r="HR100">
        <v>0.30831</v>
      </c>
      <c r="HS100">
        <v>5.04784</v>
      </c>
      <c r="HT100">
        <v>20.0492</v>
      </c>
      <c r="HU100">
        <v>5.19947</v>
      </c>
      <c r="HV100">
        <v>12.0076</v>
      </c>
      <c r="HW100">
        <v>4.97575</v>
      </c>
      <c r="HX100">
        <v>3.294</v>
      </c>
      <c r="HY100">
        <v>9999</v>
      </c>
      <c r="HZ100">
        <v>9999</v>
      </c>
      <c r="IA100">
        <v>9999</v>
      </c>
      <c r="IB100">
        <v>999.9</v>
      </c>
      <c r="IC100">
        <v>1.86318</v>
      </c>
      <c r="ID100">
        <v>1.86813</v>
      </c>
      <c r="IE100">
        <v>1.86783</v>
      </c>
      <c r="IF100">
        <v>1.86905</v>
      </c>
      <c r="IG100">
        <v>1.86981</v>
      </c>
      <c r="IH100">
        <v>1.86588</v>
      </c>
      <c r="II100">
        <v>1.86701</v>
      </c>
      <c r="IJ100">
        <v>1.86841</v>
      </c>
      <c r="IK100">
        <v>5</v>
      </c>
      <c r="IL100">
        <v>0</v>
      </c>
      <c r="IM100">
        <v>0</v>
      </c>
      <c r="IN100">
        <v>0</v>
      </c>
      <c r="IO100" t="s">
        <v>443</v>
      </c>
      <c r="IP100" t="s">
        <v>444</v>
      </c>
      <c r="IQ100" t="s">
        <v>445</v>
      </c>
      <c r="IR100" t="s">
        <v>445</v>
      </c>
      <c r="IS100" t="s">
        <v>445</v>
      </c>
      <c r="IT100" t="s">
        <v>445</v>
      </c>
      <c r="IU100">
        <v>0</v>
      </c>
      <c r="IV100">
        <v>100</v>
      </c>
      <c r="IW100">
        <v>100</v>
      </c>
      <c r="IX100">
        <v>2.854</v>
      </c>
      <c r="IY100">
        <v>-0.1038</v>
      </c>
      <c r="IZ100">
        <v>1.24656194001752</v>
      </c>
      <c r="JA100">
        <v>0.00408463137630218</v>
      </c>
      <c r="JB100">
        <v>-2.23906557180379e-07</v>
      </c>
      <c r="JC100">
        <v>6.23399102760906e-11</v>
      </c>
      <c r="JD100">
        <v>-0.0873394905990972</v>
      </c>
      <c r="JE100">
        <v>-0.0233348201324191</v>
      </c>
      <c r="JF100">
        <v>0.00274696999164489</v>
      </c>
      <c r="JG100">
        <v>-3.62864435074646e-05</v>
      </c>
      <c r="JH100">
        <v>5</v>
      </c>
      <c r="JI100">
        <v>2263</v>
      </c>
      <c r="JJ100">
        <v>1</v>
      </c>
      <c r="JK100">
        <v>24</v>
      </c>
      <c r="JL100">
        <v>29361520.9</v>
      </c>
      <c r="JM100">
        <v>29361520.9</v>
      </c>
      <c r="JN100">
        <v>1.25122</v>
      </c>
      <c r="JO100">
        <v>2.62085</v>
      </c>
      <c r="JP100">
        <v>2.19849</v>
      </c>
      <c r="JQ100">
        <v>2.62695</v>
      </c>
      <c r="JR100">
        <v>2.44507</v>
      </c>
      <c r="JS100">
        <v>2.34253</v>
      </c>
      <c r="JT100">
        <v>33.2887</v>
      </c>
      <c r="JU100">
        <v>24.14</v>
      </c>
      <c r="JV100">
        <v>18</v>
      </c>
      <c r="JW100">
        <v>504.37</v>
      </c>
      <c r="JX100">
        <v>788.777</v>
      </c>
      <c r="JY100">
        <v>20.0499</v>
      </c>
      <c r="JZ100">
        <v>31.274</v>
      </c>
      <c r="KA100">
        <v>30.0017</v>
      </c>
      <c r="KB100">
        <v>31.2171</v>
      </c>
      <c r="KC100">
        <v>31.1409</v>
      </c>
      <c r="KD100">
        <v>25.0711</v>
      </c>
      <c r="KE100">
        <v>16.3831</v>
      </c>
      <c r="KF100">
        <v>5.73698</v>
      </c>
      <c r="KG100">
        <v>19.2899</v>
      </c>
      <c r="KH100">
        <v>420</v>
      </c>
      <c r="KI100">
        <v>5.05751</v>
      </c>
      <c r="KJ100">
        <v>96.0256</v>
      </c>
      <c r="KK100">
        <v>93.8942</v>
      </c>
    </row>
    <row r="101" spans="1:297">
      <c r="A101">
        <v>85</v>
      </c>
      <c r="B101">
        <v>1761691319</v>
      </c>
      <c r="C101">
        <v>13969.9000000954</v>
      </c>
      <c r="D101" t="s">
        <v>716</v>
      </c>
      <c r="E101" t="s">
        <v>717</v>
      </c>
      <c r="F101">
        <v>5</v>
      </c>
      <c r="G101" t="s">
        <v>705</v>
      </c>
      <c r="H101" t="s">
        <v>436</v>
      </c>
      <c r="I101">
        <v>1761691310.5</v>
      </c>
      <c r="J101">
        <f>(K101)/1000</f>
        <v>0</v>
      </c>
      <c r="K101">
        <f>IF(DP101, AN101, AH101)</f>
        <v>0</v>
      </c>
      <c r="L101">
        <f>IF(DP101, AI101, AG101)</f>
        <v>0</v>
      </c>
      <c r="M101">
        <f>DR101 - IF(AU101&gt;1, L101*DL101*100.0/(AW101), 0)</f>
        <v>0</v>
      </c>
      <c r="N101">
        <f>((T101-J101/2)*M101-L101)/(T101+J101/2)</f>
        <v>0</v>
      </c>
      <c r="O101">
        <f>N101*(DY101+DZ101)/1000.0</f>
        <v>0</v>
      </c>
      <c r="P101">
        <f>(DR101 - IF(AU101&gt;1, L101*DL101*100.0/(AW101), 0))*(DY101+DZ101)/1000.0</f>
        <v>0</v>
      </c>
      <c r="Q101">
        <f>2.0/((1/S101-1/R101)+SIGN(S101)*SQRT((1/S101-1/R101)*(1/S101-1/R101) + 4*DM101/((DM101+1)*(DM101+1))*(2*1/S101*1/R101-1/R101*1/R101)))</f>
        <v>0</v>
      </c>
      <c r="R101">
        <f>IF(LEFT(DN101,1)&lt;&gt;"0",IF(LEFT(DN101,1)="1",3.0,DO101),$D$5+$E$5*(EF101*DY101/($K$5*1000))+$F$5*(EF101*DY101/($K$5*1000))*MAX(MIN(DL101,$J$5),$I$5)*MAX(MIN(DL101,$J$5),$I$5)+$G$5*MAX(MIN(DL101,$J$5),$I$5)*(EF101*DY101/($K$5*1000))+$H$5*(EF101*DY101/($K$5*1000))*(EF101*DY101/($K$5*1000)))</f>
        <v>0</v>
      </c>
      <c r="S101">
        <f>J101*(1000-(1000*0.61365*exp(17.502*W101/(240.97+W101))/(DY101+DZ101)+DT101)/2)/(1000*0.61365*exp(17.502*W101/(240.97+W101))/(DY101+DZ101)-DT101)</f>
        <v>0</v>
      </c>
      <c r="T101">
        <f>1/((DM101+1)/(Q101/1.6)+1/(R101/1.37)) + DM101/((DM101+1)/(Q101/1.6) + DM101/(R101/1.37))</f>
        <v>0</v>
      </c>
      <c r="U101">
        <f>(DH101*DK101)</f>
        <v>0</v>
      </c>
      <c r="V101">
        <f>(EA101+(U101+2*0.95*5.67E-8*(((EA101+$B$7)+273)^4-(EA101+273)^4)-44100*J101)/(1.84*29.3*R101+8*0.95*5.67E-8*(EA101+273)^3))</f>
        <v>0</v>
      </c>
      <c r="W101">
        <f>($C$7*EB101+$D$7*EC101+$E$7*V101)</f>
        <v>0</v>
      </c>
      <c r="X101">
        <f>0.61365*exp(17.502*W101/(240.97+W101))</f>
        <v>0</v>
      </c>
      <c r="Y101">
        <f>(Z101/AA101*100)</f>
        <v>0</v>
      </c>
      <c r="Z101">
        <f>DT101*(DY101+DZ101)/1000</f>
        <v>0</v>
      </c>
      <c r="AA101">
        <f>0.61365*exp(17.502*EA101/(240.97+EA101))</f>
        <v>0</v>
      </c>
      <c r="AB101">
        <f>(X101-DT101*(DY101+DZ101)/1000)</f>
        <v>0</v>
      </c>
      <c r="AC101">
        <f>(-J101*44100)</f>
        <v>0</v>
      </c>
      <c r="AD101">
        <f>2*29.3*R101*0.92*(EA101-W101)</f>
        <v>0</v>
      </c>
      <c r="AE101">
        <f>2*0.95*5.67E-8*(((EA101+$B$7)+273)^4-(W101+273)^4)</f>
        <v>0</v>
      </c>
      <c r="AF101">
        <f>U101+AE101+AC101+AD101</f>
        <v>0</v>
      </c>
      <c r="AG101">
        <f>DX101*AU101*(DS101-DR101*(1000-AU101*DU101)/(1000-AU101*DT101))/(100*DL101)</f>
        <v>0</v>
      </c>
      <c r="AH101">
        <f>1000*DX101*AU101*(DT101-DU101)/(100*DL101*(1000-AU101*DT101))</f>
        <v>0</v>
      </c>
      <c r="AI101">
        <f>(AJ101 - AK101 - DY101*1E3/(8.314*(EA101+273.15)) * AM101/DX101 * AL101) * DX101/(100*DL101) * (1000 - DU101)/1000</f>
        <v>0</v>
      </c>
      <c r="AJ101">
        <v>422.22601644623</v>
      </c>
      <c r="AK101">
        <v>408.456193939394</v>
      </c>
      <c r="AL101">
        <v>0.00225286312355005</v>
      </c>
      <c r="AM101">
        <v>64.2052291954304</v>
      </c>
      <c r="AN101">
        <f>(AP101 - AO101 + DY101*1E3/(8.314*(EA101+273.15)) * AR101/DX101 * AQ101) * DX101/(100*DL101) * 1000/(1000 - AP101)</f>
        <v>0</v>
      </c>
      <c r="AO101">
        <v>5.20716647208014</v>
      </c>
      <c r="AP101">
        <v>8.82017538461539</v>
      </c>
      <c r="AQ101">
        <v>2.93329251830908e-05</v>
      </c>
      <c r="AR101">
        <v>109.074219277654</v>
      </c>
      <c r="AS101">
        <v>0</v>
      </c>
      <c r="AT101">
        <v>0</v>
      </c>
      <c r="AU101">
        <f>IF(AS101*$H$13&gt;=AW101,1.0,(AW101/(AW101-AS101*$H$13)))</f>
        <v>0</v>
      </c>
      <c r="AV101">
        <f>(AU101-1)*100</f>
        <v>0</v>
      </c>
      <c r="AW101">
        <f>MAX(0,($B$13+$C$13*EF101)/(1+$D$13*EF101)*DY101/(EA101+273)*$E$13)</f>
        <v>0</v>
      </c>
      <c r="AX101" t="s">
        <v>702</v>
      </c>
      <c r="AY101">
        <v>5093.81</v>
      </c>
      <c r="AZ101">
        <v>603.288</v>
      </c>
      <c r="BA101">
        <v>2124.98712993236</v>
      </c>
      <c r="BB101">
        <f>1-AZ101/BA101</f>
        <v>0</v>
      </c>
      <c r="BC101">
        <v>-1.40064000645422</v>
      </c>
      <c r="BD101" t="s">
        <v>718</v>
      </c>
      <c r="BE101">
        <v>5150.28</v>
      </c>
      <c r="BF101">
        <v>1472.6496</v>
      </c>
      <c r="BG101">
        <v>1871.5619429571</v>
      </c>
      <c r="BH101">
        <f>1-BF101/BG101</f>
        <v>0</v>
      </c>
      <c r="BI101">
        <v>0.5</v>
      </c>
      <c r="BJ101">
        <f>DI101</f>
        <v>0</v>
      </c>
      <c r="BK101">
        <f>L101</f>
        <v>0</v>
      </c>
      <c r="BL101">
        <f>BH101*BI101*BJ101</f>
        <v>0</v>
      </c>
      <c r="BM101">
        <f>(BK101-BC101)/BJ101</f>
        <v>0</v>
      </c>
      <c r="BN101">
        <f>(BA101-BG101)/BG101</f>
        <v>0</v>
      </c>
      <c r="BO101">
        <f>AZ101/(BB101+AZ101/BG101)</f>
        <v>0</v>
      </c>
      <c r="BP101" t="s">
        <v>719</v>
      </c>
      <c r="BQ101">
        <v>895.53</v>
      </c>
      <c r="BR101">
        <f>IF(BQ101&lt;&gt;0, BQ101, BO101)</f>
        <v>0</v>
      </c>
      <c r="BS101">
        <f>1-BR101/BG101</f>
        <v>0</v>
      </c>
      <c r="BT101">
        <f>(BG101-BF101)/(BG101-BR101)</f>
        <v>0</v>
      </c>
      <c r="BU101">
        <f>(BA101-BG101)/(BA101-BR101)</f>
        <v>0</v>
      </c>
      <c r="BV101">
        <f>(BG101-BF101)/(BG101-AZ101)</f>
        <v>0</v>
      </c>
      <c r="BW101">
        <f>(BA101-BG101)/(BA101-AZ101)</f>
        <v>0</v>
      </c>
      <c r="BX101">
        <f>(BT101*BR101/BF101)</f>
        <v>0</v>
      </c>
      <c r="BY101">
        <f>(1-BX101)</f>
        <v>0</v>
      </c>
      <c r="BZ101">
        <v>96</v>
      </c>
      <c r="CA101">
        <v>290</v>
      </c>
      <c r="CB101">
        <v>1786.68</v>
      </c>
      <c r="CC101">
        <v>235</v>
      </c>
      <c r="CD101">
        <v>5150.28</v>
      </c>
      <c r="CE101">
        <v>1786.22</v>
      </c>
      <c r="CF101">
        <v>0.46</v>
      </c>
      <c r="CG101">
        <v>300</v>
      </c>
      <c r="CH101">
        <v>23.8</v>
      </c>
      <c r="CI101">
        <v>1871.5619429571</v>
      </c>
      <c r="CJ101">
        <v>2.1557509906594</v>
      </c>
      <c r="CK101">
        <v>-43.9541254496554</v>
      </c>
      <c r="CL101">
        <v>0.989935507510899</v>
      </c>
      <c r="CM101">
        <v>0.985996139902661</v>
      </c>
      <c r="CN101">
        <v>-0.00350015839822025</v>
      </c>
      <c r="CO101">
        <v>290</v>
      </c>
      <c r="CP101">
        <v>1785.48</v>
      </c>
      <c r="CQ101">
        <v>735</v>
      </c>
      <c r="CR101">
        <v>5148.35</v>
      </c>
      <c r="CS101">
        <v>1786.19</v>
      </c>
      <c r="CT101">
        <v>-0.71</v>
      </c>
      <c r="DH101">
        <f>$B$11*EG101+$C$11*EH101+$F$11*ES101*(1-EV101)</f>
        <v>0</v>
      </c>
      <c r="DI101">
        <f>DH101*DJ101</f>
        <v>0</v>
      </c>
      <c r="DJ101">
        <f>($B$11*$D$9+$C$11*$D$9+$F$11*((FF101+EX101)/MAX(FF101+EX101+FG101, 0.1)*$I$9+FG101/MAX(FF101+EX101+FG101, 0.1)*$J$9))/($B$11+$C$11+$F$11)</f>
        <v>0</v>
      </c>
      <c r="DK101">
        <f>($B$11*$K$9+$C$11*$K$9+$F$11*((FF101+EX101)/MAX(FF101+EX101+FG101, 0.1)*$P$9+FG101/MAX(FF101+EX101+FG101, 0.1)*$Q$9))/($B$11+$C$11+$F$11)</f>
        <v>0</v>
      </c>
      <c r="DL101">
        <v>6</v>
      </c>
      <c r="DM101">
        <v>0.5</v>
      </c>
      <c r="DN101" t="s">
        <v>440</v>
      </c>
      <c r="DO101">
        <v>2</v>
      </c>
      <c r="DP101" t="b">
        <v>1</v>
      </c>
      <c r="DQ101">
        <v>1761691310.5</v>
      </c>
      <c r="DR101">
        <v>404.7923125</v>
      </c>
      <c r="DS101">
        <v>420.0043125</v>
      </c>
      <c r="DT101">
        <v>8.8129325</v>
      </c>
      <c r="DU101">
        <v>5.201130625</v>
      </c>
      <c r="DV101">
        <v>401.9361875</v>
      </c>
      <c r="DW101">
        <v>8.915679375</v>
      </c>
      <c r="DX101">
        <v>500.022</v>
      </c>
      <c r="DY101">
        <v>91.0287625</v>
      </c>
      <c r="DZ101">
        <v>0.0222137625</v>
      </c>
      <c r="EA101">
        <v>24.442025</v>
      </c>
      <c r="EB101">
        <v>23.87939375</v>
      </c>
      <c r="EC101">
        <v>999.9</v>
      </c>
      <c r="ED101">
        <v>0</v>
      </c>
      <c r="EE101">
        <v>0</v>
      </c>
      <c r="EF101">
        <v>10007.695</v>
      </c>
      <c r="EG101">
        <v>0</v>
      </c>
      <c r="EH101">
        <v>1300.32</v>
      </c>
      <c r="EI101">
        <v>-15.21195625</v>
      </c>
      <c r="EJ101">
        <v>408.391625</v>
      </c>
      <c r="EK101">
        <v>422.20025</v>
      </c>
      <c r="EL101">
        <v>3.61179875</v>
      </c>
      <c r="EM101">
        <v>420.0043125</v>
      </c>
      <c r="EN101">
        <v>5.201130625</v>
      </c>
      <c r="EO101">
        <v>0.8022304375</v>
      </c>
      <c r="EP101">
        <v>0.47345275</v>
      </c>
      <c r="EQ101">
        <v>3.7468275</v>
      </c>
      <c r="ER101">
        <v>-3.51894</v>
      </c>
      <c r="ES101">
        <v>899.9901875</v>
      </c>
      <c r="ET101">
        <v>0.955992</v>
      </c>
      <c r="EU101">
        <v>0.044008</v>
      </c>
      <c r="EV101">
        <v>0</v>
      </c>
      <c r="EW101">
        <v>1472.378125</v>
      </c>
      <c r="EX101">
        <v>5.00059</v>
      </c>
      <c r="EY101">
        <v>13126.75625</v>
      </c>
      <c r="EZ101">
        <v>7732.70375</v>
      </c>
      <c r="FA101">
        <v>40.0935</v>
      </c>
      <c r="FB101">
        <v>42.042625</v>
      </c>
      <c r="FC101">
        <v>40.656</v>
      </c>
      <c r="FD101">
        <v>41.312</v>
      </c>
      <c r="FE101">
        <v>41.2028125</v>
      </c>
      <c r="FF101">
        <v>855.603125</v>
      </c>
      <c r="FG101">
        <v>39.39</v>
      </c>
      <c r="FH101">
        <v>0</v>
      </c>
      <c r="FI101">
        <v>130.400000095367</v>
      </c>
      <c r="FJ101">
        <v>0</v>
      </c>
      <c r="FK101">
        <v>1472.6496</v>
      </c>
      <c r="FL101">
        <v>10.0638461481423</v>
      </c>
      <c r="FM101">
        <v>78.5153845104735</v>
      </c>
      <c r="FN101">
        <v>13128.92</v>
      </c>
      <c r="FO101">
        <v>15</v>
      </c>
      <c r="FP101">
        <v>0</v>
      </c>
      <c r="FQ101" t="s">
        <v>441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-15.2434</v>
      </c>
      <c r="GD101">
        <v>0.49994025974025</v>
      </c>
      <c r="GE101">
        <v>0.0621616709342125</v>
      </c>
      <c r="GF101">
        <v>1</v>
      </c>
      <c r="GG101">
        <v>1471.70029411765</v>
      </c>
      <c r="GH101">
        <v>11.4394194150611</v>
      </c>
      <c r="GI101">
        <v>1.14776377282116</v>
      </c>
      <c r="GJ101">
        <v>-1</v>
      </c>
      <c r="GK101">
        <v>3.61152238095238</v>
      </c>
      <c r="GL101">
        <v>0.000222857142856803</v>
      </c>
      <c r="GM101">
        <v>0.00193396928316058</v>
      </c>
      <c r="GN101">
        <v>1</v>
      </c>
      <c r="GO101">
        <v>2</v>
      </c>
      <c r="GP101">
        <v>2</v>
      </c>
      <c r="GQ101" t="s">
        <v>442</v>
      </c>
      <c r="GR101">
        <v>3.12756</v>
      </c>
      <c r="GS101">
        <v>2.70008</v>
      </c>
      <c r="GT101">
        <v>0.0865745</v>
      </c>
      <c r="GU101">
        <v>0.0896701</v>
      </c>
      <c r="GV101">
        <v>0.0485515</v>
      </c>
      <c r="GW101">
        <v>0.0315049</v>
      </c>
      <c r="GX101">
        <v>34171.5</v>
      </c>
      <c r="GY101">
        <v>36458.1</v>
      </c>
      <c r="GZ101">
        <v>33864.4</v>
      </c>
      <c r="HA101">
        <v>36279.4</v>
      </c>
      <c r="HB101">
        <v>45542.9</v>
      </c>
      <c r="HC101">
        <v>50430.6</v>
      </c>
      <c r="HD101">
        <v>52827.1</v>
      </c>
      <c r="HE101">
        <v>57940.3</v>
      </c>
      <c r="HF101">
        <v>1.91575</v>
      </c>
      <c r="HG101">
        <v>2.28227</v>
      </c>
      <c r="HH101">
        <v>-0.00784546</v>
      </c>
      <c r="HI101">
        <v>0</v>
      </c>
      <c r="HJ101">
        <v>24.0472</v>
      </c>
      <c r="HK101">
        <v>999.9</v>
      </c>
      <c r="HL101">
        <v>18.209</v>
      </c>
      <c r="HM101">
        <v>29.98</v>
      </c>
      <c r="HN101">
        <v>8.51147</v>
      </c>
      <c r="HO101">
        <v>54.5277</v>
      </c>
      <c r="HP101">
        <v>30.8574</v>
      </c>
      <c r="HQ101">
        <v>2</v>
      </c>
      <c r="HR101">
        <v>0.303209</v>
      </c>
      <c r="HS101">
        <v>2.87076</v>
      </c>
      <c r="HT101">
        <v>20.118</v>
      </c>
      <c r="HU101">
        <v>5.19707</v>
      </c>
      <c r="HV101">
        <v>12.0049</v>
      </c>
      <c r="HW101">
        <v>4.97545</v>
      </c>
      <c r="HX101">
        <v>3.294</v>
      </c>
      <c r="HY101">
        <v>9999</v>
      </c>
      <c r="HZ101">
        <v>9999</v>
      </c>
      <c r="IA101">
        <v>9999</v>
      </c>
      <c r="IB101">
        <v>999.9</v>
      </c>
      <c r="IC101">
        <v>1.86318</v>
      </c>
      <c r="ID101">
        <v>1.86811</v>
      </c>
      <c r="IE101">
        <v>1.86784</v>
      </c>
      <c r="IF101">
        <v>1.86905</v>
      </c>
      <c r="IG101">
        <v>1.86982</v>
      </c>
      <c r="IH101">
        <v>1.86585</v>
      </c>
      <c r="II101">
        <v>1.86701</v>
      </c>
      <c r="IJ101">
        <v>1.86843</v>
      </c>
      <c r="IK101">
        <v>5</v>
      </c>
      <c r="IL101">
        <v>0</v>
      </c>
      <c r="IM101">
        <v>0</v>
      </c>
      <c r="IN101">
        <v>0</v>
      </c>
      <c r="IO101" t="s">
        <v>443</v>
      </c>
      <c r="IP101" t="s">
        <v>444</v>
      </c>
      <c r="IQ101" t="s">
        <v>445</v>
      </c>
      <c r="IR101" t="s">
        <v>445</v>
      </c>
      <c r="IS101" t="s">
        <v>445</v>
      </c>
      <c r="IT101" t="s">
        <v>445</v>
      </c>
      <c r="IU101">
        <v>0</v>
      </c>
      <c r="IV101">
        <v>100</v>
      </c>
      <c r="IW101">
        <v>100</v>
      </c>
      <c r="IX101">
        <v>2.856</v>
      </c>
      <c r="IY101">
        <v>-0.1027</v>
      </c>
      <c r="IZ101">
        <v>1.24656194001752</v>
      </c>
      <c r="JA101">
        <v>0.00408463137630218</v>
      </c>
      <c r="JB101">
        <v>-2.23906557180379e-07</v>
      </c>
      <c r="JC101">
        <v>6.23399102760906e-11</v>
      </c>
      <c r="JD101">
        <v>-0.0873394905990972</v>
      </c>
      <c r="JE101">
        <v>-0.0233348201324191</v>
      </c>
      <c r="JF101">
        <v>0.00274696999164489</v>
      </c>
      <c r="JG101">
        <v>-3.62864435074646e-05</v>
      </c>
      <c r="JH101">
        <v>5</v>
      </c>
      <c r="JI101">
        <v>2263</v>
      </c>
      <c r="JJ101">
        <v>1</v>
      </c>
      <c r="JK101">
        <v>24</v>
      </c>
      <c r="JL101">
        <v>29361522</v>
      </c>
      <c r="JM101">
        <v>29361522</v>
      </c>
      <c r="JN101">
        <v>1.25122</v>
      </c>
      <c r="JO101">
        <v>2.62085</v>
      </c>
      <c r="JP101">
        <v>2.19849</v>
      </c>
      <c r="JQ101">
        <v>2.62573</v>
      </c>
      <c r="JR101">
        <v>2.44629</v>
      </c>
      <c r="JS101">
        <v>2.31934</v>
      </c>
      <c r="JT101">
        <v>33.2887</v>
      </c>
      <c r="JU101">
        <v>24.1926</v>
      </c>
      <c r="JV101">
        <v>18</v>
      </c>
      <c r="JW101">
        <v>504.744</v>
      </c>
      <c r="JX101">
        <v>789.385</v>
      </c>
      <c r="JY101">
        <v>20.0998</v>
      </c>
      <c r="JZ101">
        <v>31.2454</v>
      </c>
      <c r="KA101">
        <v>30</v>
      </c>
      <c r="KB101">
        <v>31.1996</v>
      </c>
      <c r="KC101">
        <v>31.1262</v>
      </c>
      <c r="KD101">
        <v>25.0714</v>
      </c>
      <c r="KE101">
        <v>11.817</v>
      </c>
      <c r="KF101">
        <v>5.73698</v>
      </c>
      <c r="KG101">
        <v>20.1437</v>
      </c>
      <c r="KH101">
        <v>420</v>
      </c>
      <c r="KI101">
        <v>5.31709</v>
      </c>
      <c r="KJ101">
        <v>96.0295</v>
      </c>
      <c r="KK101">
        <v>93.9023</v>
      </c>
    </row>
    <row r="102" spans="1:297">
      <c r="A102">
        <v>86</v>
      </c>
      <c r="B102">
        <v>1761691401</v>
      </c>
      <c r="C102">
        <v>14051.9000000954</v>
      </c>
      <c r="D102" t="s">
        <v>720</v>
      </c>
      <c r="E102" t="s">
        <v>721</v>
      </c>
      <c r="F102">
        <v>5</v>
      </c>
      <c r="G102" t="s">
        <v>705</v>
      </c>
      <c r="H102" t="s">
        <v>436</v>
      </c>
      <c r="I102">
        <v>1761691392.5</v>
      </c>
      <c r="J102">
        <f>(K102)/1000</f>
        <v>0</v>
      </c>
      <c r="K102">
        <f>IF(DP102, AN102, AH102)</f>
        <v>0</v>
      </c>
      <c r="L102">
        <f>IF(DP102, AI102, AG102)</f>
        <v>0</v>
      </c>
      <c r="M102">
        <f>DR102 - IF(AU102&gt;1, L102*DL102*100.0/(AW102), 0)</f>
        <v>0</v>
      </c>
      <c r="N102">
        <f>((T102-J102/2)*M102-L102)/(T102+J102/2)</f>
        <v>0</v>
      </c>
      <c r="O102">
        <f>N102*(DY102+DZ102)/1000.0</f>
        <v>0</v>
      </c>
      <c r="P102">
        <f>(DR102 - IF(AU102&gt;1, L102*DL102*100.0/(AW102), 0))*(DY102+DZ102)/1000.0</f>
        <v>0</v>
      </c>
      <c r="Q102">
        <f>2.0/((1/S102-1/R102)+SIGN(S102)*SQRT((1/S102-1/R102)*(1/S102-1/R102) + 4*DM102/((DM102+1)*(DM102+1))*(2*1/S102*1/R102-1/R102*1/R102)))</f>
        <v>0</v>
      </c>
      <c r="R102">
        <f>IF(LEFT(DN102,1)&lt;&gt;"0",IF(LEFT(DN102,1)="1",3.0,DO102),$D$5+$E$5*(EF102*DY102/($K$5*1000))+$F$5*(EF102*DY102/($K$5*1000))*MAX(MIN(DL102,$J$5),$I$5)*MAX(MIN(DL102,$J$5),$I$5)+$G$5*MAX(MIN(DL102,$J$5),$I$5)*(EF102*DY102/($K$5*1000))+$H$5*(EF102*DY102/($K$5*1000))*(EF102*DY102/($K$5*1000)))</f>
        <v>0</v>
      </c>
      <c r="S102">
        <f>J102*(1000-(1000*0.61365*exp(17.502*W102/(240.97+W102))/(DY102+DZ102)+DT102)/2)/(1000*0.61365*exp(17.502*W102/(240.97+W102))/(DY102+DZ102)-DT102)</f>
        <v>0</v>
      </c>
      <c r="T102">
        <f>1/((DM102+1)/(Q102/1.6)+1/(R102/1.37)) + DM102/((DM102+1)/(Q102/1.6) + DM102/(R102/1.37))</f>
        <v>0</v>
      </c>
      <c r="U102">
        <f>(DH102*DK102)</f>
        <v>0</v>
      </c>
      <c r="V102">
        <f>(EA102+(U102+2*0.95*5.67E-8*(((EA102+$B$7)+273)^4-(EA102+273)^4)-44100*J102)/(1.84*29.3*R102+8*0.95*5.67E-8*(EA102+273)^3))</f>
        <v>0</v>
      </c>
      <c r="W102">
        <f>($C$7*EB102+$D$7*EC102+$E$7*V102)</f>
        <v>0</v>
      </c>
      <c r="X102">
        <f>0.61365*exp(17.502*W102/(240.97+W102))</f>
        <v>0</v>
      </c>
      <c r="Y102">
        <f>(Z102/AA102*100)</f>
        <v>0</v>
      </c>
      <c r="Z102">
        <f>DT102*(DY102+DZ102)/1000</f>
        <v>0</v>
      </c>
      <c r="AA102">
        <f>0.61365*exp(17.502*EA102/(240.97+EA102))</f>
        <v>0</v>
      </c>
      <c r="AB102">
        <f>(X102-DT102*(DY102+DZ102)/1000)</f>
        <v>0</v>
      </c>
      <c r="AC102">
        <f>(-J102*44100)</f>
        <v>0</v>
      </c>
      <c r="AD102">
        <f>2*29.3*R102*0.92*(EA102-W102)</f>
        <v>0</v>
      </c>
      <c r="AE102">
        <f>2*0.95*5.67E-8*(((EA102+$B$7)+273)^4-(W102+273)^4)</f>
        <v>0</v>
      </c>
      <c r="AF102">
        <f>U102+AE102+AC102+AD102</f>
        <v>0</v>
      </c>
      <c r="AG102">
        <f>DX102*AU102*(DS102-DR102*(1000-AU102*DU102)/(1000-AU102*DT102))/(100*DL102)</f>
        <v>0</v>
      </c>
      <c r="AH102">
        <f>1000*DX102*AU102*(DT102-DU102)/(100*DL102*(1000-AU102*DT102))</f>
        <v>0</v>
      </c>
      <c r="AI102">
        <f>(AJ102 - AK102 - DY102*1E3/(8.314*(EA102+273.15)) * AM102/DX102 * AL102) * DX102/(100*DL102) * (1000 - DU102)/1000</f>
        <v>0</v>
      </c>
      <c r="AJ102">
        <v>422.29214433262</v>
      </c>
      <c r="AK102">
        <v>409.8432</v>
      </c>
      <c r="AL102">
        <v>0.000437345843215724</v>
      </c>
      <c r="AM102">
        <v>64.2052291954304</v>
      </c>
      <c r="AN102">
        <f>(AP102 - AO102 + DY102*1E3/(8.314*(EA102+273.15)) * AR102/DX102 * AQ102) * DX102/(100*DL102) * 1000/(1000 - AP102)</f>
        <v>0</v>
      </c>
      <c r="AO102">
        <v>5.52999395752195</v>
      </c>
      <c r="AP102">
        <v>8.91231006993007</v>
      </c>
      <c r="AQ102">
        <v>5.66468521203161e-05</v>
      </c>
      <c r="AR102">
        <v>109.074219277654</v>
      </c>
      <c r="AS102">
        <v>0</v>
      </c>
      <c r="AT102">
        <v>0</v>
      </c>
      <c r="AU102">
        <f>IF(AS102*$H$13&gt;=AW102,1.0,(AW102/(AW102-AS102*$H$13)))</f>
        <v>0</v>
      </c>
      <c r="AV102">
        <f>(AU102-1)*100</f>
        <v>0</v>
      </c>
      <c r="AW102">
        <f>MAX(0,($B$13+$C$13*EF102)/(1+$D$13*EF102)*DY102/(EA102+273)*$E$13)</f>
        <v>0</v>
      </c>
      <c r="AX102" t="s">
        <v>448</v>
      </c>
      <c r="AY102" t="s">
        <v>448</v>
      </c>
      <c r="AZ102">
        <v>0</v>
      </c>
      <c r="BA102">
        <v>0</v>
      </c>
      <c r="BB102">
        <f>1-AZ102/BA102</f>
        <v>0</v>
      </c>
      <c r="BC102">
        <v>0</v>
      </c>
      <c r="BD102" t="s">
        <v>448</v>
      </c>
      <c r="BE102" t="s">
        <v>448</v>
      </c>
      <c r="BF102">
        <v>0</v>
      </c>
      <c r="BG102">
        <v>0</v>
      </c>
      <c r="BH102">
        <f>1-BF102/BG102</f>
        <v>0</v>
      </c>
      <c r="BI102">
        <v>0.5</v>
      </c>
      <c r="BJ102">
        <f>DI102</f>
        <v>0</v>
      </c>
      <c r="BK102">
        <f>L102</f>
        <v>0</v>
      </c>
      <c r="BL102">
        <f>BH102*BI102*BJ102</f>
        <v>0</v>
      </c>
      <c r="BM102">
        <f>(BK102-BC102)/BJ102</f>
        <v>0</v>
      </c>
      <c r="BN102">
        <f>(BA102-BG102)/BG102</f>
        <v>0</v>
      </c>
      <c r="BO102">
        <f>AZ102/(BB102+AZ102/BG102)</f>
        <v>0</v>
      </c>
      <c r="BP102" t="s">
        <v>448</v>
      </c>
      <c r="BQ102">
        <v>0</v>
      </c>
      <c r="BR102">
        <f>IF(BQ102&lt;&gt;0, BQ102, BO102)</f>
        <v>0</v>
      </c>
      <c r="BS102">
        <f>1-BR102/BG102</f>
        <v>0</v>
      </c>
      <c r="BT102">
        <f>(BG102-BF102)/(BG102-BR102)</f>
        <v>0</v>
      </c>
      <c r="BU102">
        <f>(BA102-BG102)/(BA102-BR102)</f>
        <v>0</v>
      </c>
      <c r="BV102">
        <f>(BG102-BF102)/(BG102-AZ102)</f>
        <v>0</v>
      </c>
      <c r="BW102">
        <f>(BA102-BG102)/(BA102-AZ102)</f>
        <v>0</v>
      </c>
      <c r="BX102">
        <f>(BT102*BR102/BF102)</f>
        <v>0</v>
      </c>
      <c r="BY102">
        <f>(1-BX102)</f>
        <v>0</v>
      </c>
      <c r="BZ102">
        <v>96</v>
      </c>
      <c r="CA102">
        <v>290</v>
      </c>
      <c r="CB102">
        <v>1786.68</v>
      </c>
      <c r="CC102">
        <v>235</v>
      </c>
      <c r="CD102">
        <v>5150.28</v>
      </c>
      <c r="CE102">
        <v>1786.22</v>
      </c>
      <c r="CF102">
        <v>0.46</v>
      </c>
      <c r="CG102">
        <v>300</v>
      </c>
      <c r="CH102">
        <v>23.8</v>
      </c>
      <c r="CI102">
        <v>1871.5619429571</v>
      </c>
      <c r="CJ102">
        <v>2.1557509906594</v>
      </c>
      <c r="CK102">
        <v>-43.9541254496554</v>
      </c>
      <c r="CL102">
        <v>0.989935507510899</v>
      </c>
      <c r="CM102">
        <v>0.985996139902661</v>
      </c>
      <c r="CN102">
        <v>-0.00350015839822025</v>
      </c>
      <c r="CO102">
        <v>290</v>
      </c>
      <c r="CP102">
        <v>1785.48</v>
      </c>
      <c r="CQ102">
        <v>735</v>
      </c>
      <c r="CR102">
        <v>5148.35</v>
      </c>
      <c r="CS102">
        <v>1786.19</v>
      </c>
      <c r="CT102">
        <v>-0.71</v>
      </c>
      <c r="DH102">
        <f>$B$11*EG102+$C$11*EH102+$F$11*ES102*(1-EV102)</f>
        <v>0</v>
      </c>
      <c r="DI102">
        <f>DH102*DJ102</f>
        <v>0</v>
      </c>
      <c r="DJ102">
        <f>($B$11*$D$9+$C$11*$D$9+$F$11*((FF102+EX102)/MAX(FF102+EX102+FG102, 0.1)*$I$9+FG102/MAX(FF102+EX102+FG102, 0.1)*$J$9))/($B$11+$C$11+$F$11)</f>
        <v>0</v>
      </c>
      <c r="DK102">
        <f>($B$11*$K$9+$C$11*$K$9+$F$11*((FF102+EX102)/MAX(FF102+EX102+FG102, 0.1)*$P$9+FG102/MAX(FF102+EX102+FG102, 0.1)*$Q$9))/($B$11+$C$11+$F$11)</f>
        <v>0</v>
      </c>
      <c r="DL102">
        <v>6</v>
      </c>
      <c r="DM102">
        <v>0.5</v>
      </c>
      <c r="DN102" t="s">
        <v>440</v>
      </c>
      <c r="DO102">
        <v>2</v>
      </c>
      <c r="DP102" t="b">
        <v>1</v>
      </c>
      <c r="DQ102">
        <v>1761691392.5</v>
      </c>
      <c r="DR102">
        <v>406.152375</v>
      </c>
      <c r="DS102">
        <v>419.979625</v>
      </c>
      <c r="DT102">
        <v>8.903875</v>
      </c>
      <c r="DU102">
        <v>5.519395625</v>
      </c>
      <c r="DV102">
        <v>403.2909375</v>
      </c>
      <c r="DW102">
        <v>9.0050875</v>
      </c>
      <c r="DX102">
        <v>500.0055</v>
      </c>
      <c r="DY102">
        <v>91.03130625</v>
      </c>
      <c r="DZ102">
        <v>0.02240924375</v>
      </c>
      <c r="EA102">
        <v>24.7392125</v>
      </c>
      <c r="EB102">
        <v>24.00594375</v>
      </c>
      <c r="EC102">
        <v>999.9</v>
      </c>
      <c r="ED102">
        <v>0</v>
      </c>
      <c r="EE102">
        <v>0</v>
      </c>
      <c r="EF102">
        <v>9990.003125</v>
      </c>
      <c r="EG102">
        <v>0</v>
      </c>
      <c r="EH102">
        <v>1300.55125</v>
      </c>
      <c r="EI102">
        <v>-13.82728125</v>
      </c>
      <c r="EJ102">
        <v>409.801375</v>
      </c>
      <c r="EK102">
        <v>422.3106875</v>
      </c>
      <c r="EL102">
        <v>3.384480625</v>
      </c>
      <c r="EM102">
        <v>419.979625</v>
      </c>
      <c r="EN102">
        <v>5.519395625</v>
      </c>
      <c r="EO102">
        <v>0.8105313125</v>
      </c>
      <c r="EP102">
        <v>0.5024378125</v>
      </c>
      <c r="EQ102">
        <v>3.893088125</v>
      </c>
      <c r="ER102">
        <v>-2.72191</v>
      </c>
      <c r="ES102">
        <v>599.99025</v>
      </c>
      <c r="ET102">
        <v>0.9329985625</v>
      </c>
      <c r="EU102">
        <v>0.0670015875</v>
      </c>
      <c r="EV102">
        <v>0</v>
      </c>
      <c r="EW102">
        <v>1374.036875</v>
      </c>
      <c r="EX102">
        <v>5.00059</v>
      </c>
      <c r="EY102">
        <v>8119.40875</v>
      </c>
      <c r="EZ102">
        <v>5105.42125</v>
      </c>
      <c r="FA102">
        <v>39.4489375</v>
      </c>
      <c r="FB102">
        <v>41.8159375</v>
      </c>
      <c r="FC102">
        <v>40.284875</v>
      </c>
      <c r="FD102">
        <v>41.128875</v>
      </c>
      <c r="FE102">
        <v>40.757625</v>
      </c>
      <c r="FF102">
        <v>555.125</v>
      </c>
      <c r="FG102">
        <v>39.8675</v>
      </c>
      <c r="FH102">
        <v>0</v>
      </c>
      <c r="FI102">
        <v>79</v>
      </c>
      <c r="FJ102">
        <v>0</v>
      </c>
      <c r="FK102">
        <v>1373.93153846154</v>
      </c>
      <c r="FL102">
        <v>-6.58940171466743</v>
      </c>
      <c r="FM102">
        <v>-53.5316240653382</v>
      </c>
      <c r="FN102">
        <v>8118.58307692308</v>
      </c>
      <c r="FO102">
        <v>15</v>
      </c>
      <c r="FP102">
        <v>0</v>
      </c>
      <c r="FQ102" t="s">
        <v>441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-13.8401428571429</v>
      </c>
      <c r="GD102">
        <v>0.28113506493506</v>
      </c>
      <c r="GE102">
        <v>0.0420550950588413</v>
      </c>
      <c r="GF102">
        <v>1</v>
      </c>
      <c r="GG102">
        <v>1374.44088235294</v>
      </c>
      <c r="GH102">
        <v>-7.26554621007006</v>
      </c>
      <c r="GI102">
        <v>0.733706816134009</v>
      </c>
      <c r="GJ102">
        <v>-1</v>
      </c>
      <c r="GK102">
        <v>3.39052952380952</v>
      </c>
      <c r="GL102">
        <v>-0.0966163636363623</v>
      </c>
      <c r="GM102">
        <v>0.0099934885830203</v>
      </c>
      <c r="GN102">
        <v>1</v>
      </c>
      <c r="GO102">
        <v>2</v>
      </c>
      <c r="GP102">
        <v>2</v>
      </c>
      <c r="GQ102" t="s">
        <v>442</v>
      </c>
      <c r="GR102">
        <v>3.12721</v>
      </c>
      <c r="GS102">
        <v>2.70087</v>
      </c>
      <c r="GT102">
        <v>0.0868029</v>
      </c>
      <c r="GU102">
        <v>0.0896721</v>
      </c>
      <c r="GV102">
        <v>0.0489624</v>
      </c>
      <c r="GW102">
        <v>0.0331777</v>
      </c>
      <c r="GX102">
        <v>34165.7</v>
      </c>
      <c r="GY102">
        <v>36461.1</v>
      </c>
      <c r="GZ102">
        <v>33866.9</v>
      </c>
      <c r="HA102">
        <v>36282.2</v>
      </c>
      <c r="HB102">
        <v>45526.3</v>
      </c>
      <c r="HC102">
        <v>50346.7</v>
      </c>
      <c r="HD102">
        <v>52830.7</v>
      </c>
      <c r="HE102">
        <v>57944.2</v>
      </c>
      <c r="HF102">
        <v>1.9151</v>
      </c>
      <c r="HG102">
        <v>2.284</v>
      </c>
      <c r="HH102">
        <v>-0.0115857</v>
      </c>
      <c r="HI102">
        <v>0</v>
      </c>
      <c r="HJ102">
        <v>24.2568</v>
      </c>
      <c r="HK102">
        <v>999.9</v>
      </c>
      <c r="HL102">
        <v>18.209</v>
      </c>
      <c r="HM102">
        <v>29.97</v>
      </c>
      <c r="HN102">
        <v>8.50758</v>
      </c>
      <c r="HO102">
        <v>54.3677</v>
      </c>
      <c r="HP102">
        <v>30.9054</v>
      </c>
      <c r="HQ102">
        <v>2</v>
      </c>
      <c r="HR102">
        <v>0.302088</v>
      </c>
      <c r="HS102">
        <v>4.28419</v>
      </c>
      <c r="HT102">
        <v>20.0872</v>
      </c>
      <c r="HU102">
        <v>5.19872</v>
      </c>
      <c r="HV102">
        <v>12.0094</v>
      </c>
      <c r="HW102">
        <v>4.9751</v>
      </c>
      <c r="HX102">
        <v>3.294</v>
      </c>
      <c r="HY102">
        <v>9999</v>
      </c>
      <c r="HZ102">
        <v>9999</v>
      </c>
      <c r="IA102">
        <v>9999</v>
      </c>
      <c r="IB102">
        <v>999.9</v>
      </c>
      <c r="IC102">
        <v>1.86322</v>
      </c>
      <c r="ID102">
        <v>1.86813</v>
      </c>
      <c r="IE102">
        <v>1.86784</v>
      </c>
      <c r="IF102">
        <v>1.86905</v>
      </c>
      <c r="IG102">
        <v>1.86984</v>
      </c>
      <c r="IH102">
        <v>1.86587</v>
      </c>
      <c r="II102">
        <v>1.86699</v>
      </c>
      <c r="IJ102">
        <v>1.86844</v>
      </c>
      <c r="IK102">
        <v>5</v>
      </c>
      <c r="IL102">
        <v>0</v>
      </c>
      <c r="IM102">
        <v>0</v>
      </c>
      <c r="IN102">
        <v>0</v>
      </c>
      <c r="IO102" t="s">
        <v>443</v>
      </c>
      <c r="IP102" t="s">
        <v>444</v>
      </c>
      <c r="IQ102" t="s">
        <v>445</v>
      </c>
      <c r="IR102" t="s">
        <v>445</v>
      </c>
      <c r="IS102" t="s">
        <v>445</v>
      </c>
      <c r="IT102" t="s">
        <v>445</v>
      </c>
      <c r="IU102">
        <v>0</v>
      </c>
      <c r="IV102">
        <v>100</v>
      </c>
      <c r="IW102">
        <v>100</v>
      </c>
      <c r="IX102">
        <v>2.861</v>
      </c>
      <c r="IY102">
        <v>-0.1011</v>
      </c>
      <c r="IZ102">
        <v>1.24656194001752</v>
      </c>
      <c r="JA102">
        <v>0.00408463137630218</v>
      </c>
      <c r="JB102">
        <v>-2.23906557180379e-07</v>
      </c>
      <c r="JC102">
        <v>6.23399102760906e-11</v>
      </c>
      <c r="JD102">
        <v>-0.0873394905990972</v>
      </c>
      <c r="JE102">
        <v>-0.0233348201324191</v>
      </c>
      <c r="JF102">
        <v>0.00274696999164489</v>
      </c>
      <c r="JG102">
        <v>-3.62864435074646e-05</v>
      </c>
      <c r="JH102">
        <v>5</v>
      </c>
      <c r="JI102">
        <v>2263</v>
      </c>
      <c r="JJ102">
        <v>1</v>
      </c>
      <c r="JK102">
        <v>24</v>
      </c>
      <c r="JL102">
        <v>29361523.4</v>
      </c>
      <c r="JM102">
        <v>29361523.4</v>
      </c>
      <c r="JN102">
        <v>1.25122</v>
      </c>
      <c r="JO102">
        <v>2.62817</v>
      </c>
      <c r="JP102">
        <v>2.19849</v>
      </c>
      <c r="JQ102">
        <v>2.62695</v>
      </c>
      <c r="JR102">
        <v>2.44507</v>
      </c>
      <c r="JS102">
        <v>2.30103</v>
      </c>
      <c r="JT102">
        <v>33.3111</v>
      </c>
      <c r="JU102">
        <v>24.1751</v>
      </c>
      <c r="JV102">
        <v>18</v>
      </c>
      <c r="JW102">
        <v>504.093</v>
      </c>
      <c r="JX102">
        <v>790.73</v>
      </c>
      <c r="JY102">
        <v>20.8877</v>
      </c>
      <c r="JZ102">
        <v>31.2051</v>
      </c>
      <c r="KA102">
        <v>30.002</v>
      </c>
      <c r="KB102">
        <v>31.1738</v>
      </c>
      <c r="KC102">
        <v>31.1046</v>
      </c>
      <c r="KD102">
        <v>25.0765</v>
      </c>
      <c r="KE102">
        <v>0</v>
      </c>
      <c r="KF102">
        <v>5.73698</v>
      </c>
      <c r="KG102">
        <v>20.548</v>
      </c>
      <c r="KH102">
        <v>420</v>
      </c>
      <c r="KI102">
        <v>5.77734</v>
      </c>
      <c r="KJ102">
        <v>96.0362</v>
      </c>
      <c r="KK102">
        <v>93.9089</v>
      </c>
    </row>
    <row r="103" spans="1:297">
      <c r="A103">
        <v>87</v>
      </c>
      <c r="B103">
        <v>1761691522.1</v>
      </c>
      <c r="C103">
        <v>14173</v>
      </c>
      <c r="D103" t="s">
        <v>722</v>
      </c>
      <c r="E103" t="s">
        <v>723</v>
      </c>
      <c r="F103">
        <v>5</v>
      </c>
      <c r="G103" t="s">
        <v>705</v>
      </c>
      <c r="H103" t="s">
        <v>436</v>
      </c>
      <c r="I103">
        <v>1761691514.1</v>
      </c>
      <c r="J103">
        <f>(K103)/1000</f>
        <v>0</v>
      </c>
      <c r="K103">
        <f>IF(DP103, AN103, AH103)</f>
        <v>0</v>
      </c>
      <c r="L103">
        <f>IF(DP103, AI103, AG103)</f>
        <v>0</v>
      </c>
      <c r="M103">
        <f>DR103 - IF(AU103&gt;1, L103*DL103*100.0/(AW103), 0)</f>
        <v>0</v>
      </c>
      <c r="N103">
        <f>((T103-J103/2)*M103-L103)/(T103+J103/2)</f>
        <v>0</v>
      </c>
      <c r="O103">
        <f>N103*(DY103+DZ103)/1000.0</f>
        <v>0</v>
      </c>
      <c r="P103">
        <f>(DR103 - IF(AU103&gt;1, L103*DL103*100.0/(AW103), 0))*(DY103+DZ103)/1000.0</f>
        <v>0</v>
      </c>
      <c r="Q103">
        <f>2.0/((1/S103-1/R103)+SIGN(S103)*SQRT((1/S103-1/R103)*(1/S103-1/R103) + 4*DM103/((DM103+1)*(DM103+1))*(2*1/S103*1/R103-1/R103*1/R103)))</f>
        <v>0</v>
      </c>
      <c r="R103">
        <f>IF(LEFT(DN103,1)&lt;&gt;"0",IF(LEFT(DN103,1)="1",3.0,DO103),$D$5+$E$5*(EF103*DY103/($K$5*1000))+$F$5*(EF103*DY103/($K$5*1000))*MAX(MIN(DL103,$J$5),$I$5)*MAX(MIN(DL103,$J$5),$I$5)+$G$5*MAX(MIN(DL103,$J$5),$I$5)*(EF103*DY103/($K$5*1000))+$H$5*(EF103*DY103/($K$5*1000))*(EF103*DY103/($K$5*1000)))</f>
        <v>0</v>
      </c>
      <c r="S103">
        <f>J103*(1000-(1000*0.61365*exp(17.502*W103/(240.97+W103))/(DY103+DZ103)+DT103)/2)/(1000*0.61365*exp(17.502*W103/(240.97+W103))/(DY103+DZ103)-DT103)</f>
        <v>0</v>
      </c>
      <c r="T103">
        <f>1/((DM103+1)/(Q103/1.6)+1/(R103/1.37)) + DM103/((DM103+1)/(Q103/1.6) + DM103/(R103/1.37))</f>
        <v>0</v>
      </c>
      <c r="U103">
        <f>(DH103*DK103)</f>
        <v>0</v>
      </c>
      <c r="V103">
        <f>(EA103+(U103+2*0.95*5.67E-8*(((EA103+$B$7)+273)^4-(EA103+273)^4)-44100*J103)/(1.84*29.3*R103+8*0.95*5.67E-8*(EA103+273)^3))</f>
        <v>0</v>
      </c>
      <c r="W103">
        <f>($C$7*EB103+$D$7*EC103+$E$7*V103)</f>
        <v>0</v>
      </c>
      <c r="X103">
        <f>0.61365*exp(17.502*W103/(240.97+W103))</f>
        <v>0</v>
      </c>
      <c r="Y103">
        <f>(Z103/AA103*100)</f>
        <v>0</v>
      </c>
      <c r="Z103">
        <f>DT103*(DY103+DZ103)/1000</f>
        <v>0</v>
      </c>
      <c r="AA103">
        <f>0.61365*exp(17.502*EA103/(240.97+EA103))</f>
        <v>0</v>
      </c>
      <c r="AB103">
        <f>(X103-DT103*(DY103+DZ103)/1000)</f>
        <v>0</v>
      </c>
      <c r="AC103">
        <f>(-J103*44100)</f>
        <v>0</v>
      </c>
      <c r="AD103">
        <f>2*29.3*R103*0.92*(EA103-W103)</f>
        <v>0</v>
      </c>
      <c r="AE103">
        <f>2*0.95*5.67E-8*(((EA103+$B$7)+273)^4-(W103+273)^4)</f>
        <v>0</v>
      </c>
      <c r="AF103">
        <f>U103+AE103+AC103+AD103</f>
        <v>0</v>
      </c>
      <c r="AG103">
        <f>DX103*AU103*(DS103-DR103*(1000-AU103*DU103)/(1000-AU103*DT103))/(100*DL103)</f>
        <v>0</v>
      </c>
      <c r="AH103">
        <f>1000*DX103*AU103*(DT103-DU103)/(100*DL103*(1000-AU103*DT103))</f>
        <v>0</v>
      </c>
      <c r="AI103">
        <f>(AJ103 - AK103 - DY103*1E3/(8.314*(EA103+273.15)) * AM103/DX103 * AL103) * DX103/(100*DL103) * (1000 - DU103)/1000</f>
        <v>0</v>
      </c>
      <c r="AJ103">
        <v>422.57977406229</v>
      </c>
      <c r="AK103">
        <v>413.003975757576</v>
      </c>
      <c r="AL103">
        <v>0.000520707293211309</v>
      </c>
      <c r="AM103">
        <v>64.2052291954304</v>
      </c>
      <c r="AN103">
        <f>(AP103 - AO103 + DY103*1E3/(8.314*(EA103+273.15)) * AR103/DX103 * AQ103) * DX103/(100*DL103) * 1000/(1000 - AP103)</f>
        <v>0</v>
      </c>
      <c r="AO103">
        <v>6.13487290078362</v>
      </c>
      <c r="AP103">
        <v>8.9542741958042</v>
      </c>
      <c r="AQ103">
        <v>0.000159536104453992</v>
      </c>
      <c r="AR103">
        <v>109.074219277654</v>
      </c>
      <c r="AS103">
        <v>0</v>
      </c>
      <c r="AT103">
        <v>0</v>
      </c>
      <c r="AU103">
        <f>IF(AS103*$H$13&gt;=AW103,1.0,(AW103/(AW103-AS103*$H$13)))</f>
        <v>0</v>
      </c>
      <c r="AV103">
        <f>(AU103-1)*100</f>
        <v>0</v>
      </c>
      <c r="AW103">
        <f>MAX(0,($B$13+$C$13*EF103)/(1+$D$13*EF103)*DY103/(EA103+273)*$E$13)</f>
        <v>0</v>
      </c>
      <c r="AX103" t="s">
        <v>702</v>
      </c>
      <c r="AY103">
        <v>5093.81</v>
      </c>
      <c r="AZ103">
        <v>603.288</v>
      </c>
      <c r="BA103">
        <v>2124.98712993236</v>
      </c>
      <c r="BB103">
        <f>1-AZ103/BA103</f>
        <v>0</v>
      </c>
      <c r="BC103">
        <v>-1.40064000645422</v>
      </c>
      <c r="BD103" t="s">
        <v>724</v>
      </c>
      <c r="BE103">
        <v>5145.38</v>
      </c>
      <c r="BF103">
        <v>1126.96692307692</v>
      </c>
      <c r="BG103">
        <v>2107.6042790397</v>
      </c>
      <c r="BH103">
        <f>1-BF103/BG103</f>
        <v>0</v>
      </c>
      <c r="BI103">
        <v>0.5</v>
      </c>
      <c r="BJ103">
        <f>DI103</f>
        <v>0</v>
      </c>
      <c r="BK103">
        <f>L103</f>
        <v>0</v>
      </c>
      <c r="BL103">
        <f>BH103*BI103*BJ103</f>
        <v>0</v>
      </c>
      <c r="BM103">
        <f>(BK103-BC103)/BJ103</f>
        <v>0</v>
      </c>
      <c r="BN103">
        <f>(BA103-BG103)/BG103</f>
        <v>0</v>
      </c>
      <c r="BO103">
        <f>AZ103/(BB103+AZ103/BG103)</f>
        <v>0</v>
      </c>
      <c r="BP103" t="s">
        <v>725</v>
      </c>
      <c r="BQ103">
        <v>831.73</v>
      </c>
      <c r="BR103">
        <f>IF(BQ103&lt;&gt;0, BQ103, BO103)</f>
        <v>0</v>
      </c>
      <c r="BS103">
        <f>1-BR103/BG103</f>
        <v>0</v>
      </c>
      <c r="BT103">
        <f>(BG103-BF103)/(BG103-BR103)</f>
        <v>0</v>
      </c>
      <c r="BU103">
        <f>(BA103-BG103)/(BA103-BR103)</f>
        <v>0</v>
      </c>
      <c r="BV103">
        <f>(BG103-BF103)/(BG103-AZ103)</f>
        <v>0</v>
      </c>
      <c r="BW103">
        <f>(BA103-BG103)/(BA103-AZ103)</f>
        <v>0</v>
      </c>
      <c r="BX103">
        <f>(BT103*BR103/BF103)</f>
        <v>0</v>
      </c>
      <c r="BY103">
        <f>(1-BX103)</f>
        <v>0</v>
      </c>
      <c r="BZ103">
        <v>98</v>
      </c>
      <c r="CA103">
        <v>290</v>
      </c>
      <c r="CB103">
        <v>1998.63</v>
      </c>
      <c r="CC103">
        <v>285</v>
      </c>
      <c r="CD103">
        <v>5145.38</v>
      </c>
      <c r="CE103">
        <v>1998.39</v>
      </c>
      <c r="CF103">
        <v>0.24</v>
      </c>
      <c r="CG103">
        <v>300</v>
      </c>
      <c r="CH103">
        <v>23.8</v>
      </c>
      <c r="CI103">
        <v>2107.6042790397</v>
      </c>
      <c r="CJ103">
        <v>2.05856837764394</v>
      </c>
      <c r="CK103">
        <v>-56.1959956111502</v>
      </c>
      <c r="CL103">
        <v>0.926808935735949</v>
      </c>
      <c r="CM103">
        <v>0.992441551553735</v>
      </c>
      <c r="CN103">
        <v>-0.00400178754171302</v>
      </c>
      <c r="CO103">
        <v>290</v>
      </c>
      <c r="CP103">
        <v>1999.39</v>
      </c>
      <c r="CQ103">
        <v>725</v>
      </c>
      <c r="CR103">
        <v>5144.02</v>
      </c>
      <c r="CS103">
        <v>1998.36</v>
      </c>
      <c r="CT103">
        <v>1.03</v>
      </c>
      <c r="DH103">
        <f>$B$11*EG103+$C$11*EH103+$F$11*ES103*(1-EV103)</f>
        <v>0</v>
      </c>
      <c r="DI103">
        <f>DH103*DJ103</f>
        <v>0</v>
      </c>
      <c r="DJ103">
        <f>($B$11*$D$9+$C$11*$D$9+$F$11*((FF103+EX103)/MAX(FF103+EX103+FG103, 0.1)*$I$9+FG103/MAX(FF103+EX103+FG103, 0.1)*$J$9))/($B$11+$C$11+$F$11)</f>
        <v>0</v>
      </c>
      <c r="DK103">
        <f>($B$11*$K$9+$C$11*$K$9+$F$11*((FF103+EX103)/MAX(FF103+EX103+FG103, 0.1)*$P$9+FG103/MAX(FF103+EX103+FG103, 0.1)*$Q$9))/($B$11+$C$11+$F$11)</f>
        <v>0</v>
      </c>
      <c r="DL103">
        <v>6</v>
      </c>
      <c r="DM103">
        <v>0.5</v>
      </c>
      <c r="DN103" t="s">
        <v>440</v>
      </c>
      <c r="DO103">
        <v>2</v>
      </c>
      <c r="DP103" t="b">
        <v>1</v>
      </c>
      <c r="DQ103">
        <v>1761691514.1</v>
      </c>
      <c r="DR103">
        <v>409.2796</v>
      </c>
      <c r="DS103">
        <v>419.987266666667</v>
      </c>
      <c r="DT103">
        <v>8.925726</v>
      </c>
      <c r="DU103">
        <v>6.10412266666667</v>
      </c>
      <c r="DV103">
        <v>406.405866666667</v>
      </c>
      <c r="DW103">
        <v>9.02656533333333</v>
      </c>
      <c r="DX103">
        <v>500.005266666667</v>
      </c>
      <c r="DY103">
        <v>91.0393333333333</v>
      </c>
      <c r="DZ103">
        <v>0.0224486</v>
      </c>
      <c r="EA103">
        <v>24.9167333333333</v>
      </c>
      <c r="EB103">
        <v>24.05224</v>
      </c>
      <c r="EC103">
        <v>999.9</v>
      </c>
      <c r="ED103">
        <v>0</v>
      </c>
      <c r="EE103">
        <v>0</v>
      </c>
      <c r="EF103">
        <v>10003.0786666667</v>
      </c>
      <c r="EG103">
        <v>0</v>
      </c>
      <c r="EH103">
        <v>1300.66533333333</v>
      </c>
      <c r="EI103">
        <v>-10.7075533333333</v>
      </c>
      <c r="EJ103">
        <v>412.9656</v>
      </c>
      <c r="EK103">
        <v>422.566466666667</v>
      </c>
      <c r="EL103">
        <v>2.82160333333333</v>
      </c>
      <c r="EM103">
        <v>419.987266666667</v>
      </c>
      <c r="EN103">
        <v>6.10412266666667</v>
      </c>
      <c r="EO103">
        <v>0.812592133333333</v>
      </c>
      <c r="EP103">
        <v>0.5557152</v>
      </c>
      <c r="EQ103">
        <v>3.92917333333333</v>
      </c>
      <c r="ER103">
        <v>-1.35796133333333</v>
      </c>
      <c r="ES103">
        <v>299.994733333333</v>
      </c>
      <c r="ET103">
        <v>0.900022933333333</v>
      </c>
      <c r="EU103">
        <v>0.0999768266666667</v>
      </c>
      <c r="EV103">
        <v>0</v>
      </c>
      <c r="EW103">
        <v>1126.862</v>
      </c>
      <c r="EX103">
        <v>5.00059</v>
      </c>
      <c r="EY103">
        <v>3312.024</v>
      </c>
      <c r="EZ103">
        <v>2506.162</v>
      </c>
      <c r="FA103">
        <v>38.3372</v>
      </c>
      <c r="FB103">
        <v>41.3582</v>
      </c>
      <c r="FC103">
        <v>39.5289333333333</v>
      </c>
      <c r="FD103">
        <v>40.75</v>
      </c>
      <c r="FE103">
        <v>39.933</v>
      </c>
      <c r="FF103">
        <v>265.501333333333</v>
      </c>
      <c r="FG103">
        <v>29.49</v>
      </c>
      <c r="FH103">
        <v>0</v>
      </c>
      <c r="FI103">
        <v>200.200000047684</v>
      </c>
      <c r="FJ103">
        <v>0</v>
      </c>
      <c r="FK103">
        <v>1126.96692307692</v>
      </c>
      <c r="FL103">
        <v>12.4540170938331</v>
      </c>
      <c r="FM103">
        <v>30.8294016934453</v>
      </c>
      <c r="FN103">
        <v>3312.31846153846</v>
      </c>
      <c r="FO103">
        <v>15</v>
      </c>
      <c r="FP103">
        <v>0</v>
      </c>
      <c r="FQ103" t="s">
        <v>441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-10.7184142857143</v>
      </c>
      <c r="GD103">
        <v>0.251064935064924</v>
      </c>
      <c r="GE103">
        <v>0.0337951713332272</v>
      </c>
      <c r="GF103">
        <v>1</v>
      </c>
      <c r="GG103">
        <v>1126.16852941176</v>
      </c>
      <c r="GH103">
        <v>13.6423223874732</v>
      </c>
      <c r="GI103">
        <v>1.35206406990755</v>
      </c>
      <c r="GJ103">
        <v>-1</v>
      </c>
      <c r="GK103">
        <v>2.83829</v>
      </c>
      <c r="GL103">
        <v>-0.333986493506497</v>
      </c>
      <c r="GM103">
        <v>0.033960155925381</v>
      </c>
      <c r="GN103">
        <v>0</v>
      </c>
      <c r="GO103">
        <v>1</v>
      </c>
      <c r="GP103">
        <v>2</v>
      </c>
      <c r="GQ103" t="s">
        <v>461</v>
      </c>
      <c r="GR103">
        <v>3.12781</v>
      </c>
      <c r="GS103">
        <v>2.70051</v>
      </c>
      <c r="GT103">
        <v>0.0873345</v>
      </c>
      <c r="GU103">
        <v>0.0896881</v>
      </c>
      <c r="GV103">
        <v>0.0491785</v>
      </c>
      <c r="GW103">
        <v>0.0363814</v>
      </c>
      <c r="GX103">
        <v>34149.1</v>
      </c>
      <c r="GY103">
        <v>36465.9</v>
      </c>
      <c r="GZ103">
        <v>33869.9</v>
      </c>
      <c r="HA103">
        <v>36287.3</v>
      </c>
      <c r="HB103">
        <v>45519.5</v>
      </c>
      <c r="HC103">
        <v>50185.9</v>
      </c>
      <c r="HD103">
        <v>52834.8</v>
      </c>
      <c r="HE103">
        <v>57951.4</v>
      </c>
      <c r="HF103">
        <v>1.9161</v>
      </c>
      <c r="HG103">
        <v>2.285</v>
      </c>
      <c r="HH103">
        <v>-0.0285357</v>
      </c>
      <c r="HI103">
        <v>0</v>
      </c>
      <c r="HJ103">
        <v>24.5206</v>
      </c>
      <c r="HK103">
        <v>999.9</v>
      </c>
      <c r="HL103">
        <v>18.996</v>
      </c>
      <c r="HM103">
        <v>30.001</v>
      </c>
      <c r="HN103">
        <v>8.88966</v>
      </c>
      <c r="HO103">
        <v>54.2595</v>
      </c>
      <c r="HP103">
        <v>30.7452</v>
      </c>
      <c r="HQ103">
        <v>2</v>
      </c>
      <c r="HR103">
        <v>0.298267</v>
      </c>
      <c r="HS103">
        <v>3.67958</v>
      </c>
      <c r="HT103">
        <v>20.108</v>
      </c>
      <c r="HU103">
        <v>5.19932</v>
      </c>
      <c r="HV103">
        <v>12.0062</v>
      </c>
      <c r="HW103">
        <v>4.9756</v>
      </c>
      <c r="HX103">
        <v>3.294</v>
      </c>
      <c r="HY103">
        <v>9999</v>
      </c>
      <c r="HZ103">
        <v>9999</v>
      </c>
      <c r="IA103">
        <v>9999</v>
      </c>
      <c r="IB103">
        <v>999.9</v>
      </c>
      <c r="IC103">
        <v>1.86322</v>
      </c>
      <c r="ID103">
        <v>1.86812</v>
      </c>
      <c r="IE103">
        <v>1.86784</v>
      </c>
      <c r="IF103">
        <v>1.86905</v>
      </c>
      <c r="IG103">
        <v>1.86982</v>
      </c>
      <c r="IH103">
        <v>1.86591</v>
      </c>
      <c r="II103">
        <v>1.86702</v>
      </c>
      <c r="IJ103">
        <v>1.86844</v>
      </c>
      <c r="IK103">
        <v>5</v>
      </c>
      <c r="IL103">
        <v>0</v>
      </c>
      <c r="IM103">
        <v>0</v>
      </c>
      <c r="IN103">
        <v>0</v>
      </c>
      <c r="IO103" t="s">
        <v>443</v>
      </c>
      <c r="IP103" t="s">
        <v>444</v>
      </c>
      <c r="IQ103" t="s">
        <v>445</v>
      </c>
      <c r="IR103" t="s">
        <v>445</v>
      </c>
      <c r="IS103" t="s">
        <v>445</v>
      </c>
      <c r="IT103" t="s">
        <v>445</v>
      </c>
      <c r="IU103">
        <v>0</v>
      </c>
      <c r="IV103">
        <v>100</v>
      </c>
      <c r="IW103">
        <v>100</v>
      </c>
      <c r="IX103">
        <v>2.874</v>
      </c>
      <c r="IY103">
        <v>-0.1003</v>
      </c>
      <c r="IZ103">
        <v>1.24656194001752</v>
      </c>
      <c r="JA103">
        <v>0.00408463137630218</v>
      </c>
      <c r="JB103">
        <v>-2.23906557180379e-07</v>
      </c>
      <c r="JC103">
        <v>6.23399102760906e-11</v>
      </c>
      <c r="JD103">
        <v>-0.0873394905990972</v>
      </c>
      <c r="JE103">
        <v>-0.0233348201324191</v>
      </c>
      <c r="JF103">
        <v>0.00274696999164489</v>
      </c>
      <c r="JG103">
        <v>-3.62864435074646e-05</v>
      </c>
      <c r="JH103">
        <v>5</v>
      </c>
      <c r="JI103">
        <v>2263</v>
      </c>
      <c r="JJ103">
        <v>1</v>
      </c>
      <c r="JK103">
        <v>24</v>
      </c>
      <c r="JL103">
        <v>29361525.4</v>
      </c>
      <c r="JM103">
        <v>29361525.4</v>
      </c>
      <c r="JN103">
        <v>1.25122</v>
      </c>
      <c r="JO103">
        <v>2.61963</v>
      </c>
      <c r="JP103">
        <v>2.19849</v>
      </c>
      <c r="JQ103">
        <v>2.62573</v>
      </c>
      <c r="JR103">
        <v>2.44629</v>
      </c>
      <c r="JS103">
        <v>2.35596</v>
      </c>
      <c r="JT103">
        <v>33.3335</v>
      </c>
      <c r="JU103">
        <v>24.2013</v>
      </c>
      <c r="JV103">
        <v>18</v>
      </c>
      <c r="JW103">
        <v>504.392</v>
      </c>
      <c r="JX103">
        <v>791.139</v>
      </c>
      <c r="JY103">
        <v>20.5036</v>
      </c>
      <c r="JZ103">
        <v>31.1458</v>
      </c>
      <c r="KA103">
        <v>30</v>
      </c>
      <c r="KB103">
        <v>31.1293</v>
      </c>
      <c r="KC103">
        <v>31.0646</v>
      </c>
      <c r="KD103">
        <v>25.0829</v>
      </c>
      <c r="KE103">
        <v>0</v>
      </c>
      <c r="KF103">
        <v>11.5471</v>
      </c>
      <c r="KG103">
        <v>20.4893</v>
      </c>
      <c r="KH103">
        <v>420</v>
      </c>
      <c r="KI103">
        <v>7.63471</v>
      </c>
      <c r="KJ103">
        <v>96.0439</v>
      </c>
      <c r="KK103">
        <v>93.9212</v>
      </c>
    </row>
    <row r="104" spans="1:297">
      <c r="A104">
        <v>88</v>
      </c>
      <c r="B104">
        <v>1761691642.1</v>
      </c>
      <c r="C104">
        <v>14293</v>
      </c>
      <c r="D104" t="s">
        <v>726</v>
      </c>
      <c r="E104" t="s">
        <v>727</v>
      </c>
      <c r="F104">
        <v>5</v>
      </c>
      <c r="G104" t="s">
        <v>705</v>
      </c>
      <c r="H104" t="s">
        <v>436</v>
      </c>
      <c r="I104">
        <v>1761691633.6</v>
      </c>
      <c r="J104">
        <f>(K104)/1000</f>
        <v>0</v>
      </c>
      <c r="K104">
        <f>IF(DP104, AN104, AH104)</f>
        <v>0</v>
      </c>
      <c r="L104">
        <f>IF(DP104, AI104, AG104)</f>
        <v>0</v>
      </c>
      <c r="M104">
        <f>DR104 - IF(AU104&gt;1, L104*DL104*100.0/(AW104), 0)</f>
        <v>0</v>
      </c>
      <c r="N104">
        <f>((T104-J104/2)*M104-L104)/(T104+J104/2)</f>
        <v>0</v>
      </c>
      <c r="O104">
        <f>N104*(DY104+DZ104)/1000.0</f>
        <v>0</v>
      </c>
      <c r="P104">
        <f>(DR104 - IF(AU104&gt;1, L104*DL104*100.0/(AW104), 0))*(DY104+DZ104)/1000.0</f>
        <v>0</v>
      </c>
      <c r="Q104">
        <f>2.0/((1/S104-1/R104)+SIGN(S104)*SQRT((1/S104-1/R104)*(1/S104-1/R104) + 4*DM104/((DM104+1)*(DM104+1))*(2*1/S104*1/R104-1/R104*1/R104)))</f>
        <v>0</v>
      </c>
      <c r="R104">
        <f>IF(LEFT(DN104,1)&lt;&gt;"0",IF(LEFT(DN104,1)="1",3.0,DO104),$D$5+$E$5*(EF104*DY104/($K$5*1000))+$F$5*(EF104*DY104/($K$5*1000))*MAX(MIN(DL104,$J$5),$I$5)*MAX(MIN(DL104,$J$5),$I$5)+$G$5*MAX(MIN(DL104,$J$5),$I$5)*(EF104*DY104/($K$5*1000))+$H$5*(EF104*DY104/($K$5*1000))*(EF104*DY104/($K$5*1000)))</f>
        <v>0</v>
      </c>
      <c r="S104">
        <f>J104*(1000-(1000*0.61365*exp(17.502*W104/(240.97+W104))/(DY104+DZ104)+DT104)/2)/(1000*0.61365*exp(17.502*W104/(240.97+W104))/(DY104+DZ104)-DT104)</f>
        <v>0</v>
      </c>
      <c r="T104">
        <f>1/((DM104+1)/(Q104/1.6)+1/(R104/1.37)) + DM104/((DM104+1)/(Q104/1.6) + DM104/(R104/1.37))</f>
        <v>0</v>
      </c>
      <c r="U104">
        <f>(DH104*DK104)</f>
        <v>0</v>
      </c>
      <c r="V104">
        <f>(EA104+(U104+2*0.95*5.67E-8*(((EA104+$B$7)+273)^4-(EA104+273)^4)-44100*J104)/(1.84*29.3*R104+8*0.95*5.67E-8*(EA104+273)^3))</f>
        <v>0</v>
      </c>
      <c r="W104">
        <f>($C$7*EB104+$D$7*EC104+$E$7*V104)</f>
        <v>0</v>
      </c>
      <c r="X104">
        <f>0.61365*exp(17.502*W104/(240.97+W104))</f>
        <v>0</v>
      </c>
      <c r="Y104">
        <f>(Z104/AA104*100)</f>
        <v>0</v>
      </c>
      <c r="Z104">
        <f>DT104*(DY104+DZ104)/1000</f>
        <v>0</v>
      </c>
      <c r="AA104">
        <f>0.61365*exp(17.502*EA104/(240.97+EA104))</f>
        <v>0</v>
      </c>
      <c r="AB104">
        <f>(X104-DT104*(DY104+DZ104)/1000)</f>
        <v>0</v>
      </c>
      <c r="AC104">
        <f>(-J104*44100)</f>
        <v>0</v>
      </c>
      <c r="AD104">
        <f>2*29.3*R104*0.92*(EA104-W104)</f>
        <v>0</v>
      </c>
      <c r="AE104">
        <f>2*0.95*5.67E-8*(((EA104+$B$7)+273)^4-(W104+273)^4)</f>
        <v>0</v>
      </c>
      <c r="AF104">
        <f>U104+AE104+AC104+AD104</f>
        <v>0</v>
      </c>
      <c r="AG104">
        <f>DX104*AU104*(DS104-DR104*(1000-AU104*DU104)/(1000-AU104*DT104))/(100*DL104)</f>
        <v>0</v>
      </c>
      <c r="AH104">
        <f>1000*DX104*AU104*(DT104-DU104)/(100*DL104*(1000-AU104*DT104))</f>
        <v>0</v>
      </c>
      <c r="AI104">
        <f>(AJ104 - AK104 - DY104*1E3/(8.314*(EA104+273.15)) * AM104/DX104 * AL104) * DX104/(100*DL104) * (1000 - DU104)/1000</f>
        <v>0</v>
      </c>
      <c r="AJ104">
        <v>422.973659569056</v>
      </c>
      <c r="AK104">
        <v>416.918151515151</v>
      </c>
      <c r="AL104">
        <v>0.00033156508482531</v>
      </c>
      <c r="AM104">
        <v>64.2052291954304</v>
      </c>
      <c r="AN104">
        <f>(AP104 - AO104 + DY104*1E3/(8.314*(EA104+273.15)) * AR104/DX104 * AQ104) * DX104/(100*DL104) * 1000/(1000 - AP104)</f>
        <v>0</v>
      </c>
      <c r="AO104">
        <v>7.06957711604289</v>
      </c>
      <c r="AP104">
        <v>9.30072195804196</v>
      </c>
      <c r="AQ104">
        <v>-0.000151497808630593</v>
      </c>
      <c r="AR104">
        <v>109.074219277654</v>
      </c>
      <c r="AS104">
        <v>0</v>
      </c>
      <c r="AT104">
        <v>0</v>
      </c>
      <c r="AU104">
        <f>IF(AS104*$H$13&gt;=AW104,1.0,(AW104/(AW104-AS104*$H$13)))</f>
        <v>0</v>
      </c>
      <c r="AV104">
        <f>(AU104-1)*100</f>
        <v>0</v>
      </c>
      <c r="AW104">
        <f>MAX(0,($B$13+$C$13*EF104)/(1+$D$13*EF104)*DY104/(EA104+273)*$E$13)</f>
        <v>0</v>
      </c>
      <c r="AX104" t="s">
        <v>702</v>
      </c>
      <c r="AY104">
        <v>5093.81</v>
      </c>
      <c r="AZ104">
        <v>603.288</v>
      </c>
      <c r="BA104">
        <v>2124.98712993236</v>
      </c>
      <c r="BB104">
        <f>1-AZ104/BA104</f>
        <v>0</v>
      </c>
      <c r="BC104">
        <v>-1.40064000645422</v>
      </c>
      <c r="BD104" t="s">
        <v>728</v>
      </c>
      <c r="BE104">
        <v>5132.84</v>
      </c>
      <c r="BF104">
        <v>900.125538461538</v>
      </c>
      <c r="BG104">
        <v>2237.25668606481</v>
      </c>
      <c r="BH104">
        <f>1-BF104/BG104</f>
        <v>0</v>
      </c>
      <c r="BI104">
        <v>0.5</v>
      </c>
      <c r="BJ104">
        <f>DI104</f>
        <v>0</v>
      </c>
      <c r="BK104">
        <f>L104</f>
        <v>0</v>
      </c>
      <c r="BL104">
        <f>BH104*BI104*BJ104</f>
        <v>0</v>
      </c>
      <c r="BM104">
        <f>(BK104-BC104)/BJ104</f>
        <v>0</v>
      </c>
      <c r="BN104">
        <f>(BA104-BG104)/BG104</f>
        <v>0</v>
      </c>
      <c r="BO104">
        <f>AZ104/(BB104+AZ104/BG104)</f>
        <v>0</v>
      </c>
      <c r="BP104" t="s">
        <v>729</v>
      </c>
      <c r="BQ104">
        <v>791.67</v>
      </c>
      <c r="BR104">
        <f>IF(BQ104&lt;&gt;0, BQ104, BO104)</f>
        <v>0</v>
      </c>
      <c r="BS104">
        <f>1-BR104/BG104</f>
        <v>0</v>
      </c>
      <c r="BT104">
        <f>(BG104-BF104)/(BG104-BR104)</f>
        <v>0</v>
      </c>
      <c r="BU104">
        <f>(BA104-BG104)/(BA104-BR104)</f>
        <v>0</v>
      </c>
      <c r="BV104">
        <f>(BG104-BF104)/(BG104-AZ104)</f>
        <v>0</v>
      </c>
      <c r="BW104">
        <f>(BA104-BG104)/(BA104-AZ104)</f>
        <v>0</v>
      </c>
      <c r="BX104">
        <f>(BT104*BR104/BF104)</f>
        <v>0</v>
      </c>
      <c r="BY104">
        <f>(1-BX104)</f>
        <v>0</v>
      </c>
      <c r="BZ104">
        <v>100</v>
      </c>
      <c r="CA104">
        <v>290</v>
      </c>
      <c r="CB104">
        <v>2115.64</v>
      </c>
      <c r="CC104">
        <v>265</v>
      </c>
      <c r="CD104">
        <v>5132.84</v>
      </c>
      <c r="CE104">
        <v>2115.45</v>
      </c>
      <c r="CF104">
        <v>0.19</v>
      </c>
      <c r="CG104">
        <v>300</v>
      </c>
      <c r="CH104">
        <v>23.9</v>
      </c>
      <c r="CI104">
        <v>2237.25668606481</v>
      </c>
      <c r="CJ104">
        <v>2.06795698386328</v>
      </c>
      <c r="CK104">
        <v>-62.5195891040807</v>
      </c>
      <c r="CL104">
        <v>0.9242282409198</v>
      </c>
      <c r="CM104">
        <v>0.993918161309634</v>
      </c>
      <c r="CN104">
        <v>-0.00411805272525028</v>
      </c>
      <c r="CO104">
        <v>290</v>
      </c>
      <c r="CP104">
        <v>2116.72</v>
      </c>
      <c r="CQ104">
        <v>835</v>
      </c>
      <c r="CR104">
        <v>5130.79</v>
      </c>
      <c r="CS104">
        <v>2115.4</v>
      </c>
      <c r="CT104">
        <v>1.32</v>
      </c>
      <c r="DH104">
        <f>$B$11*EG104+$C$11*EH104+$F$11*ES104*(1-EV104)</f>
        <v>0</v>
      </c>
      <c r="DI104">
        <f>DH104*DJ104</f>
        <v>0</v>
      </c>
      <c r="DJ104">
        <f>($B$11*$D$9+$C$11*$D$9+$F$11*((FF104+EX104)/MAX(FF104+EX104+FG104, 0.1)*$I$9+FG104/MAX(FF104+EX104+FG104, 0.1)*$J$9))/($B$11+$C$11+$F$11)</f>
        <v>0</v>
      </c>
      <c r="DK104">
        <f>($B$11*$K$9+$C$11*$K$9+$F$11*((FF104+EX104)/MAX(FF104+EX104+FG104, 0.1)*$P$9+FG104/MAX(FF104+EX104+FG104, 0.1)*$Q$9))/($B$11+$C$11+$F$11)</f>
        <v>0</v>
      </c>
      <c r="DL104">
        <v>6</v>
      </c>
      <c r="DM104">
        <v>0.5</v>
      </c>
      <c r="DN104" t="s">
        <v>440</v>
      </c>
      <c r="DO104">
        <v>2</v>
      </c>
      <c r="DP104" t="b">
        <v>1</v>
      </c>
      <c r="DQ104">
        <v>1761691633.6</v>
      </c>
      <c r="DR104">
        <v>413.0115</v>
      </c>
      <c r="DS104">
        <v>420.0035</v>
      </c>
      <c r="DT104">
        <v>9.313300625</v>
      </c>
      <c r="DU104">
        <v>7.06715</v>
      </c>
      <c r="DV104">
        <v>410.1230625</v>
      </c>
      <c r="DW104">
        <v>9.40726875</v>
      </c>
      <c r="DX104">
        <v>499.9768125</v>
      </c>
      <c r="DY104">
        <v>91.0378125</v>
      </c>
      <c r="DZ104">
        <v>0.02131020625</v>
      </c>
      <c r="EA104">
        <v>24.89585625</v>
      </c>
      <c r="EB104">
        <v>24.016225</v>
      </c>
      <c r="EC104">
        <v>999.9</v>
      </c>
      <c r="ED104">
        <v>0</v>
      </c>
      <c r="EE104">
        <v>0</v>
      </c>
      <c r="EF104">
        <v>10007.9375</v>
      </c>
      <c r="EG104">
        <v>0</v>
      </c>
      <c r="EH104">
        <v>1300.65125</v>
      </c>
      <c r="EI104">
        <v>-6.99207375</v>
      </c>
      <c r="EJ104">
        <v>416.8939375</v>
      </c>
      <c r="EK104">
        <v>422.992875</v>
      </c>
      <c r="EL104">
        <v>2.24615125</v>
      </c>
      <c r="EM104">
        <v>420.0035</v>
      </c>
      <c r="EN104">
        <v>7.06715</v>
      </c>
      <c r="EO104">
        <v>0.8478625625</v>
      </c>
      <c r="EP104">
        <v>0.6433779375</v>
      </c>
      <c r="EQ104">
        <v>4.534920625</v>
      </c>
      <c r="ER104">
        <v>0.6530993125</v>
      </c>
      <c r="ES104">
        <v>149.9866875</v>
      </c>
      <c r="ET104">
        <v>0.899983625</v>
      </c>
      <c r="EU104">
        <v>0.1000163125</v>
      </c>
      <c r="EV104">
        <v>0</v>
      </c>
      <c r="EW104">
        <v>900.044875</v>
      </c>
      <c r="EX104">
        <v>5.00059</v>
      </c>
      <c r="EY104">
        <v>1330.9475</v>
      </c>
      <c r="EZ104">
        <v>1231.735</v>
      </c>
      <c r="FA104">
        <v>37.507625</v>
      </c>
      <c r="FB104">
        <v>40.8435</v>
      </c>
      <c r="FC104">
        <v>38.8474375</v>
      </c>
      <c r="FD104">
        <v>40.3238125</v>
      </c>
      <c r="FE104">
        <v>39.2615625</v>
      </c>
      <c r="FF104">
        <v>130.485</v>
      </c>
      <c r="FG104">
        <v>14.5</v>
      </c>
      <c r="FH104">
        <v>0</v>
      </c>
      <c r="FI104">
        <v>117.200000047684</v>
      </c>
      <c r="FJ104">
        <v>0</v>
      </c>
      <c r="FK104">
        <v>900.125538461538</v>
      </c>
      <c r="FL104">
        <v>6.83842734758633</v>
      </c>
      <c r="FM104">
        <v>9.68000002673955</v>
      </c>
      <c r="FN104">
        <v>1330.95</v>
      </c>
      <c r="FO104">
        <v>15</v>
      </c>
      <c r="FP104">
        <v>0</v>
      </c>
      <c r="FQ104" t="s">
        <v>441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-7.004128</v>
      </c>
      <c r="GD104">
        <v>0.221194285714287</v>
      </c>
      <c r="GE104">
        <v>0.0328161642487358</v>
      </c>
      <c r="GF104">
        <v>1</v>
      </c>
      <c r="GG104">
        <v>899.636647058824</v>
      </c>
      <c r="GH104">
        <v>7.35614973738444</v>
      </c>
      <c r="GI104">
        <v>0.74292731345642</v>
      </c>
      <c r="GJ104">
        <v>-1</v>
      </c>
      <c r="GK104">
        <v>2.2501225</v>
      </c>
      <c r="GL104">
        <v>-0.0843857142857155</v>
      </c>
      <c r="GM104">
        <v>0.00854875714650967</v>
      </c>
      <c r="GN104">
        <v>1</v>
      </c>
      <c r="GO104">
        <v>2</v>
      </c>
      <c r="GP104">
        <v>2</v>
      </c>
      <c r="GQ104" t="s">
        <v>442</v>
      </c>
      <c r="GR104">
        <v>3.12819</v>
      </c>
      <c r="GS104">
        <v>2.69895</v>
      </c>
      <c r="GT104">
        <v>0.0879611</v>
      </c>
      <c r="GU104">
        <v>0.0897003</v>
      </c>
      <c r="GV104">
        <v>0.0506485</v>
      </c>
      <c r="GW104">
        <v>0.0407169</v>
      </c>
      <c r="GX104">
        <v>34128.5</v>
      </c>
      <c r="GY104">
        <v>36469.2</v>
      </c>
      <c r="GZ104">
        <v>33872.5</v>
      </c>
      <c r="HA104">
        <v>36290.6</v>
      </c>
      <c r="HB104">
        <v>45451.5</v>
      </c>
      <c r="HC104">
        <v>49963.7</v>
      </c>
      <c r="HD104">
        <v>52837.8</v>
      </c>
      <c r="HE104">
        <v>57956.3</v>
      </c>
      <c r="HF104">
        <v>1.91607</v>
      </c>
      <c r="HG104">
        <v>2.28695</v>
      </c>
      <c r="HH104">
        <v>-0.0382215</v>
      </c>
      <c r="HI104">
        <v>0</v>
      </c>
      <c r="HJ104">
        <v>24.6445</v>
      </c>
      <c r="HK104">
        <v>999.9</v>
      </c>
      <c r="HL104">
        <v>20.614</v>
      </c>
      <c r="HM104">
        <v>30.001</v>
      </c>
      <c r="HN104">
        <v>9.64751</v>
      </c>
      <c r="HO104">
        <v>54.3495</v>
      </c>
      <c r="HP104">
        <v>30.617</v>
      </c>
      <c r="HQ104">
        <v>2</v>
      </c>
      <c r="HR104">
        <v>0.293961</v>
      </c>
      <c r="HS104">
        <v>3.51869</v>
      </c>
      <c r="HT104">
        <v>20.1128</v>
      </c>
      <c r="HU104">
        <v>5.19782</v>
      </c>
      <c r="HV104">
        <v>12.0083</v>
      </c>
      <c r="HW104">
        <v>4.9732</v>
      </c>
      <c r="HX104">
        <v>3.294</v>
      </c>
      <c r="HY104">
        <v>9999</v>
      </c>
      <c r="HZ104">
        <v>9999</v>
      </c>
      <c r="IA104">
        <v>9999</v>
      </c>
      <c r="IB104">
        <v>999.9</v>
      </c>
      <c r="IC104">
        <v>1.86318</v>
      </c>
      <c r="ID104">
        <v>1.86812</v>
      </c>
      <c r="IE104">
        <v>1.86783</v>
      </c>
      <c r="IF104">
        <v>1.86904</v>
      </c>
      <c r="IG104">
        <v>1.86981</v>
      </c>
      <c r="IH104">
        <v>1.86585</v>
      </c>
      <c r="II104">
        <v>1.86695</v>
      </c>
      <c r="IJ104">
        <v>1.86842</v>
      </c>
      <c r="IK104">
        <v>5</v>
      </c>
      <c r="IL104">
        <v>0</v>
      </c>
      <c r="IM104">
        <v>0</v>
      </c>
      <c r="IN104">
        <v>0</v>
      </c>
      <c r="IO104" t="s">
        <v>443</v>
      </c>
      <c r="IP104" t="s">
        <v>444</v>
      </c>
      <c r="IQ104" t="s">
        <v>445</v>
      </c>
      <c r="IR104" t="s">
        <v>445</v>
      </c>
      <c r="IS104" t="s">
        <v>445</v>
      </c>
      <c r="IT104" t="s">
        <v>445</v>
      </c>
      <c r="IU104">
        <v>0</v>
      </c>
      <c r="IV104">
        <v>100</v>
      </c>
      <c r="IW104">
        <v>100</v>
      </c>
      <c r="IX104">
        <v>2.889</v>
      </c>
      <c r="IY104">
        <v>-0.0942</v>
      </c>
      <c r="IZ104">
        <v>1.24656194001752</v>
      </c>
      <c r="JA104">
        <v>0.00408463137630218</v>
      </c>
      <c r="JB104">
        <v>-2.23906557180379e-07</v>
      </c>
      <c r="JC104">
        <v>6.23399102760906e-11</v>
      </c>
      <c r="JD104">
        <v>-0.0873394905990972</v>
      </c>
      <c r="JE104">
        <v>-0.0233348201324191</v>
      </c>
      <c r="JF104">
        <v>0.00274696999164489</v>
      </c>
      <c r="JG104">
        <v>-3.62864435074646e-05</v>
      </c>
      <c r="JH104">
        <v>5</v>
      </c>
      <c r="JI104">
        <v>2263</v>
      </c>
      <c r="JJ104">
        <v>1</v>
      </c>
      <c r="JK104">
        <v>24</v>
      </c>
      <c r="JL104">
        <v>29361527.4</v>
      </c>
      <c r="JM104">
        <v>29361527.4</v>
      </c>
      <c r="JN104">
        <v>1.25244</v>
      </c>
      <c r="JO104">
        <v>2.62207</v>
      </c>
      <c r="JP104">
        <v>2.19849</v>
      </c>
      <c r="JQ104">
        <v>2.62451</v>
      </c>
      <c r="JR104">
        <v>2.44629</v>
      </c>
      <c r="JS104">
        <v>2.35596</v>
      </c>
      <c r="JT104">
        <v>33.3559</v>
      </c>
      <c r="JU104">
        <v>24.2013</v>
      </c>
      <c r="JV104">
        <v>18</v>
      </c>
      <c r="JW104">
        <v>504.009</v>
      </c>
      <c r="JX104">
        <v>792.431</v>
      </c>
      <c r="JY104">
        <v>20.463</v>
      </c>
      <c r="JZ104">
        <v>31.101</v>
      </c>
      <c r="KA104">
        <v>29.9997</v>
      </c>
      <c r="KB104">
        <v>31.0856</v>
      </c>
      <c r="KC104">
        <v>31.0232</v>
      </c>
      <c r="KD104">
        <v>25.0991</v>
      </c>
      <c r="KE104">
        <v>0</v>
      </c>
      <c r="KF104">
        <v>15.7445</v>
      </c>
      <c r="KG104">
        <v>20.4629</v>
      </c>
      <c r="KH104">
        <v>420</v>
      </c>
      <c r="KI104">
        <v>7.32973</v>
      </c>
      <c r="KJ104">
        <v>96.0502</v>
      </c>
      <c r="KK104">
        <v>93.9295</v>
      </c>
    </row>
    <row r="105" spans="1:297">
      <c r="A105">
        <v>89</v>
      </c>
      <c r="B105">
        <v>1761691772.1</v>
      </c>
      <c r="C105">
        <v>14423</v>
      </c>
      <c r="D105" t="s">
        <v>730</v>
      </c>
      <c r="E105" t="s">
        <v>731</v>
      </c>
      <c r="F105">
        <v>5</v>
      </c>
      <c r="G105" t="s">
        <v>705</v>
      </c>
      <c r="H105" t="s">
        <v>436</v>
      </c>
      <c r="I105">
        <v>1761691763.6</v>
      </c>
      <c r="J105">
        <f>(K105)/1000</f>
        <v>0</v>
      </c>
      <c r="K105">
        <f>IF(DP105, AN105, AH105)</f>
        <v>0</v>
      </c>
      <c r="L105">
        <f>IF(DP105, AI105, AG105)</f>
        <v>0</v>
      </c>
      <c r="M105">
        <f>DR105 - IF(AU105&gt;1, L105*DL105*100.0/(AW105), 0)</f>
        <v>0</v>
      </c>
      <c r="N105">
        <f>((T105-J105/2)*M105-L105)/(T105+J105/2)</f>
        <v>0</v>
      </c>
      <c r="O105">
        <f>N105*(DY105+DZ105)/1000.0</f>
        <v>0</v>
      </c>
      <c r="P105">
        <f>(DR105 - IF(AU105&gt;1, L105*DL105*100.0/(AW105), 0))*(DY105+DZ105)/1000.0</f>
        <v>0</v>
      </c>
      <c r="Q105">
        <f>2.0/((1/S105-1/R105)+SIGN(S105)*SQRT((1/S105-1/R105)*(1/S105-1/R105) + 4*DM105/((DM105+1)*(DM105+1))*(2*1/S105*1/R105-1/R105*1/R105)))</f>
        <v>0</v>
      </c>
      <c r="R105">
        <f>IF(LEFT(DN105,1)&lt;&gt;"0",IF(LEFT(DN105,1)="1",3.0,DO105),$D$5+$E$5*(EF105*DY105/($K$5*1000))+$F$5*(EF105*DY105/($K$5*1000))*MAX(MIN(DL105,$J$5),$I$5)*MAX(MIN(DL105,$J$5),$I$5)+$G$5*MAX(MIN(DL105,$J$5),$I$5)*(EF105*DY105/($K$5*1000))+$H$5*(EF105*DY105/($K$5*1000))*(EF105*DY105/($K$5*1000)))</f>
        <v>0</v>
      </c>
      <c r="S105">
        <f>J105*(1000-(1000*0.61365*exp(17.502*W105/(240.97+W105))/(DY105+DZ105)+DT105)/2)/(1000*0.61365*exp(17.502*W105/(240.97+W105))/(DY105+DZ105)-DT105)</f>
        <v>0</v>
      </c>
      <c r="T105">
        <f>1/((DM105+1)/(Q105/1.6)+1/(R105/1.37)) + DM105/((DM105+1)/(Q105/1.6) + DM105/(R105/1.37))</f>
        <v>0</v>
      </c>
      <c r="U105">
        <f>(DH105*DK105)</f>
        <v>0</v>
      </c>
      <c r="V105">
        <f>(EA105+(U105+2*0.95*5.67E-8*(((EA105+$B$7)+273)^4-(EA105+273)^4)-44100*J105)/(1.84*29.3*R105+8*0.95*5.67E-8*(EA105+273)^3))</f>
        <v>0</v>
      </c>
      <c r="W105">
        <f>($C$7*EB105+$D$7*EC105+$E$7*V105)</f>
        <v>0</v>
      </c>
      <c r="X105">
        <f>0.61365*exp(17.502*W105/(240.97+W105))</f>
        <v>0</v>
      </c>
      <c r="Y105">
        <f>(Z105/AA105*100)</f>
        <v>0</v>
      </c>
      <c r="Z105">
        <f>DT105*(DY105+DZ105)/1000</f>
        <v>0</v>
      </c>
      <c r="AA105">
        <f>0.61365*exp(17.502*EA105/(240.97+EA105))</f>
        <v>0</v>
      </c>
      <c r="AB105">
        <f>(X105-DT105*(DY105+DZ105)/1000)</f>
        <v>0</v>
      </c>
      <c r="AC105">
        <f>(-J105*44100)</f>
        <v>0</v>
      </c>
      <c r="AD105">
        <f>2*29.3*R105*0.92*(EA105-W105)</f>
        <v>0</v>
      </c>
      <c r="AE105">
        <f>2*0.95*5.67E-8*(((EA105+$B$7)+273)^4-(W105+273)^4)</f>
        <v>0</v>
      </c>
      <c r="AF105">
        <f>U105+AE105+AC105+AD105</f>
        <v>0</v>
      </c>
      <c r="AG105">
        <f>DX105*AU105*(DS105-DR105*(1000-AU105*DU105)/(1000-AU105*DT105))/(100*DL105)</f>
        <v>0</v>
      </c>
      <c r="AH105">
        <f>1000*DX105*AU105*(DT105-DU105)/(100*DL105*(1000-AU105*DT105))</f>
        <v>0</v>
      </c>
      <c r="AI105">
        <f>(AJ105 - AK105 - DY105*1E3/(8.314*(EA105+273.15)) * AM105/DX105 * AL105) * DX105/(100*DL105) * (1000 - DU105)/1000</f>
        <v>0</v>
      </c>
      <c r="AJ105">
        <v>423.0944935197</v>
      </c>
      <c r="AK105">
        <v>421.545981818182</v>
      </c>
      <c r="AL105">
        <v>0.000243693436173606</v>
      </c>
      <c r="AM105">
        <v>64.2052291954304</v>
      </c>
      <c r="AN105">
        <f>(AP105 - AO105 + DY105*1E3/(8.314*(EA105+273.15)) * AR105/DX105 * AQ105) * DX105/(100*DL105) * 1000/(1000 - AP105)</f>
        <v>0</v>
      </c>
      <c r="AO105">
        <v>7.26415700377184</v>
      </c>
      <c r="AP105">
        <v>8.99302790209791</v>
      </c>
      <c r="AQ105">
        <v>-3.86626537273781e-06</v>
      </c>
      <c r="AR105">
        <v>109.074219277654</v>
      </c>
      <c r="AS105">
        <v>0</v>
      </c>
      <c r="AT105">
        <v>0</v>
      </c>
      <c r="AU105">
        <f>IF(AS105*$H$13&gt;=AW105,1.0,(AW105/(AW105-AS105*$H$13)))</f>
        <v>0</v>
      </c>
      <c r="AV105">
        <f>(AU105-1)*100</f>
        <v>0</v>
      </c>
      <c r="AW105">
        <f>MAX(0,($B$13+$C$13*EF105)/(1+$D$13*EF105)*DY105/(EA105+273)*$E$13)</f>
        <v>0</v>
      </c>
      <c r="AX105" t="s">
        <v>702</v>
      </c>
      <c r="AY105">
        <v>5093.81</v>
      </c>
      <c r="AZ105">
        <v>603.288</v>
      </c>
      <c r="BA105">
        <v>2124.98712993236</v>
      </c>
      <c r="BB105">
        <f>1-AZ105/BA105</f>
        <v>0</v>
      </c>
      <c r="BC105">
        <v>-1.40064000645422</v>
      </c>
      <c r="BD105" t="s">
        <v>732</v>
      </c>
      <c r="BE105">
        <v>5124.72</v>
      </c>
      <c r="BF105">
        <v>811.617615384615</v>
      </c>
      <c r="BG105">
        <v>2344.04233669926</v>
      </c>
      <c r="BH105">
        <f>1-BF105/BG105</f>
        <v>0</v>
      </c>
      <c r="BI105">
        <v>0.5</v>
      </c>
      <c r="BJ105">
        <f>DI105</f>
        <v>0</v>
      </c>
      <c r="BK105">
        <f>L105</f>
        <v>0</v>
      </c>
      <c r="BL105">
        <f>BH105*BI105*BJ105</f>
        <v>0</v>
      </c>
      <c r="BM105">
        <f>(BK105-BC105)/BJ105</f>
        <v>0</v>
      </c>
      <c r="BN105">
        <f>(BA105-BG105)/BG105</f>
        <v>0</v>
      </c>
      <c r="BO105">
        <f>AZ105/(BB105+AZ105/BG105)</f>
        <v>0</v>
      </c>
      <c r="BP105" t="s">
        <v>733</v>
      </c>
      <c r="BQ105">
        <v>775.4</v>
      </c>
      <c r="BR105">
        <f>IF(BQ105&lt;&gt;0, BQ105, BO105)</f>
        <v>0</v>
      </c>
      <c r="BS105">
        <f>1-BR105/BG105</f>
        <v>0</v>
      </c>
      <c r="BT105">
        <f>(BG105-BF105)/(BG105-BR105)</f>
        <v>0</v>
      </c>
      <c r="BU105">
        <f>(BA105-BG105)/(BA105-BR105)</f>
        <v>0</v>
      </c>
      <c r="BV105">
        <f>(BG105-BF105)/(BG105-AZ105)</f>
        <v>0</v>
      </c>
      <c r="BW105">
        <f>(BA105-BG105)/(BA105-AZ105)</f>
        <v>0</v>
      </c>
      <c r="BX105">
        <f>(BT105*BR105/BF105)</f>
        <v>0</v>
      </c>
      <c r="BY105">
        <f>(1-BX105)</f>
        <v>0</v>
      </c>
      <c r="BZ105">
        <v>102</v>
      </c>
      <c r="CA105">
        <v>290</v>
      </c>
      <c r="CB105">
        <v>2224.05</v>
      </c>
      <c r="CC105">
        <v>275</v>
      </c>
      <c r="CD105">
        <v>5124.72</v>
      </c>
      <c r="CE105">
        <v>2224.85</v>
      </c>
      <c r="CF105">
        <v>-0.8</v>
      </c>
      <c r="CG105">
        <v>300</v>
      </c>
      <c r="CH105">
        <v>23.9</v>
      </c>
      <c r="CI105">
        <v>2344.04233669926</v>
      </c>
      <c r="CJ105">
        <v>1.59293363475904</v>
      </c>
      <c r="CK105">
        <v>-61.0805037509723</v>
      </c>
      <c r="CL105">
        <v>0.70849786123752</v>
      </c>
      <c r="CM105">
        <v>0.996246841929233</v>
      </c>
      <c r="CN105">
        <v>-0.00419578709677419</v>
      </c>
      <c r="CO105">
        <v>290</v>
      </c>
      <c r="CP105">
        <v>2235.28</v>
      </c>
      <c r="CQ105">
        <v>845</v>
      </c>
      <c r="CR105">
        <v>5122.85</v>
      </c>
      <c r="CS105">
        <v>2224.81</v>
      </c>
      <c r="CT105">
        <v>10.47</v>
      </c>
      <c r="DH105">
        <f>$B$11*EG105+$C$11*EH105+$F$11*ES105*(1-EV105)</f>
        <v>0</v>
      </c>
      <c r="DI105">
        <f>DH105*DJ105</f>
        <v>0</v>
      </c>
      <c r="DJ105">
        <f>($B$11*$D$9+$C$11*$D$9+$F$11*((FF105+EX105)/MAX(FF105+EX105+FG105, 0.1)*$I$9+FG105/MAX(FF105+EX105+FG105, 0.1)*$J$9))/($B$11+$C$11+$F$11)</f>
        <v>0</v>
      </c>
      <c r="DK105">
        <f>($B$11*$K$9+$C$11*$K$9+$F$11*((FF105+EX105)/MAX(FF105+EX105+FG105, 0.1)*$P$9+FG105/MAX(FF105+EX105+FG105, 0.1)*$Q$9))/($B$11+$C$11+$F$11)</f>
        <v>0</v>
      </c>
      <c r="DL105">
        <v>6</v>
      </c>
      <c r="DM105">
        <v>0.5</v>
      </c>
      <c r="DN105" t="s">
        <v>440</v>
      </c>
      <c r="DO105">
        <v>2</v>
      </c>
      <c r="DP105" t="b">
        <v>1</v>
      </c>
      <c r="DQ105">
        <v>1761691763.6</v>
      </c>
      <c r="DR105">
        <v>417.7168125</v>
      </c>
      <c r="DS105">
        <v>420.00125</v>
      </c>
      <c r="DT105">
        <v>8.99431</v>
      </c>
      <c r="DU105">
        <v>7.25153</v>
      </c>
      <c r="DV105">
        <v>414.809875</v>
      </c>
      <c r="DW105">
        <v>9.09397</v>
      </c>
      <c r="DX105">
        <v>500.038875</v>
      </c>
      <c r="DY105">
        <v>91.039825</v>
      </c>
      <c r="DZ105">
        <v>0.02182255</v>
      </c>
      <c r="EA105">
        <v>24.86196875</v>
      </c>
      <c r="EB105">
        <v>24.0182875</v>
      </c>
      <c r="EC105">
        <v>999.9</v>
      </c>
      <c r="ED105">
        <v>0</v>
      </c>
      <c r="EE105">
        <v>0</v>
      </c>
      <c r="EF105">
        <v>10008.51875</v>
      </c>
      <c r="EG105">
        <v>0</v>
      </c>
      <c r="EH105">
        <v>1300.71</v>
      </c>
      <c r="EI105">
        <v>-2.284441875</v>
      </c>
      <c r="EJ105">
        <v>421.5078125</v>
      </c>
      <c r="EK105">
        <v>423.069125</v>
      </c>
      <c r="EL105">
        <v>1.742781875</v>
      </c>
      <c r="EM105">
        <v>420.00125</v>
      </c>
      <c r="EN105">
        <v>7.25153</v>
      </c>
      <c r="EO105">
        <v>0.818840375</v>
      </c>
      <c r="EP105">
        <v>0.6601779375</v>
      </c>
      <c r="EQ105">
        <v>4.038175</v>
      </c>
      <c r="ER105">
        <v>1.0104079375</v>
      </c>
      <c r="ES105">
        <v>50.0031625</v>
      </c>
      <c r="ET105">
        <v>0.900374</v>
      </c>
      <c r="EU105">
        <v>0.0996263</v>
      </c>
      <c r="EV105">
        <v>0</v>
      </c>
      <c r="EW105">
        <v>811.5736875</v>
      </c>
      <c r="EX105">
        <v>5.00059</v>
      </c>
      <c r="EY105">
        <v>402.411</v>
      </c>
      <c r="EZ105">
        <v>382.36625</v>
      </c>
      <c r="FA105">
        <v>36.7303125</v>
      </c>
      <c r="FB105">
        <v>40.308125</v>
      </c>
      <c r="FC105">
        <v>38.16375</v>
      </c>
      <c r="FD105">
        <v>39.867125</v>
      </c>
      <c r="FE105">
        <v>38.6053125</v>
      </c>
      <c r="FF105">
        <v>40.52</v>
      </c>
      <c r="FG105">
        <v>4.48</v>
      </c>
      <c r="FH105">
        <v>0</v>
      </c>
      <c r="FI105">
        <v>127</v>
      </c>
      <c r="FJ105">
        <v>0</v>
      </c>
      <c r="FK105">
        <v>811.617615384615</v>
      </c>
      <c r="FL105">
        <v>2.48902564455069</v>
      </c>
      <c r="FM105">
        <v>-0.0693333419614221</v>
      </c>
      <c r="FN105">
        <v>402.368461538462</v>
      </c>
      <c r="FO105">
        <v>15</v>
      </c>
      <c r="FP105">
        <v>0</v>
      </c>
      <c r="FQ105" t="s">
        <v>441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-2.29582333333333</v>
      </c>
      <c r="GD105">
        <v>0.262186753246754</v>
      </c>
      <c r="GE105">
        <v>0.0329653255541166</v>
      </c>
      <c r="GF105">
        <v>1</v>
      </c>
      <c r="GG105">
        <v>811.481058823529</v>
      </c>
      <c r="GH105">
        <v>2.55938885111119</v>
      </c>
      <c r="GI105">
        <v>0.323229197608837</v>
      </c>
      <c r="GJ105">
        <v>-1</v>
      </c>
      <c r="GK105">
        <v>1.76090571428571</v>
      </c>
      <c r="GL105">
        <v>-0.324434025974025</v>
      </c>
      <c r="GM105">
        <v>0.0366153504852331</v>
      </c>
      <c r="GN105">
        <v>0</v>
      </c>
      <c r="GO105">
        <v>1</v>
      </c>
      <c r="GP105">
        <v>2</v>
      </c>
      <c r="GQ105" t="s">
        <v>461</v>
      </c>
      <c r="GR105">
        <v>3.12809</v>
      </c>
      <c r="GS105">
        <v>2.7</v>
      </c>
      <c r="GT105">
        <v>0.0887436</v>
      </c>
      <c r="GU105">
        <v>0.0897203</v>
      </c>
      <c r="GV105">
        <v>0.049329</v>
      </c>
      <c r="GW105">
        <v>0.0416358</v>
      </c>
      <c r="GX105">
        <v>34100.9</v>
      </c>
      <c r="GY105">
        <v>36471.2</v>
      </c>
      <c r="GZ105">
        <v>33873.9</v>
      </c>
      <c r="HA105">
        <v>36293.2</v>
      </c>
      <c r="HB105">
        <v>45516.7</v>
      </c>
      <c r="HC105">
        <v>49919</v>
      </c>
      <c r="HD105">
        <v>52839.6</v>
      </c>
      <c r="HE105">
        <v>57960</v>
      </c>
      <c r="HF105">
        <v>1.91575</v>
      </c>
      <c r="HG105">
        <v>2.2881</v>
      </c>
      <c r="HH105">
        <v>-0.0425801</v>
      </c>
      <c r="HI105">
        <v>0</v>
      </c>
      <c r="HJ105">
        <v>24.7094</v>
      </c>
      <c r="HK105">
        <v>999.9</v>
      </c>
      <c r="HL105">
        <v>21.194</v>
      </c>
      <c r="HM105">
        <v>30.001</v>
      </c>
      <c r="HN105">
        <v>9.9186</v>
      </c>
      <c r="HO105">
        <v>54.6995</v>
      </c>
      <c r="HP105">
        <v>30.645</v>
      </c>
      <c r="HQ105">
        <v>2</v>
      </c>
      <c r="HR105">
        <v>0.291923</v>
      </c>
      <c r="HS105">
        <v>3.55806</v>
      </c>
      <c r="HT105">
        <v>20.1136</v>
      </c>
      <c r="HU105">
        <v>5.19647</v>
      </c>
      <c r="HV105">
        <v>12.0091</v>
      </c>
      <c r="HW105">
        <v>4.9756</v>
      </c>
      <c r="HX105">
        <v>3.294</v>
      </c>
      <c r="HY105">
        <v>9999</v>
      </c>
      <c r="HZ105">
        <v>9999</v>
      </c>
      <c r="IA105">
        <v>9999</v>
      </c>
      <c r="IB105">
        <v>999.9</v>
      </c>
      <c r="IC105">
        <v>1.86319</v>
      </c>
      <c r="ID105">
        <v>1.86813</v>
      </c>
      <c r="IE105">
        <v>1.86783</v>
      </c>
      <c r="IF105">
        <v>1.86905</v>
      </c>
      <c r="IG105">
        <v>1.86981</v>
      </c>
      <c r="IH105">
        <v>1.86587</v>
      </c>
      <c r="II105">
        <v>1.86694</v>
      </c>
      <c r="IJ105">
        <v>1.86844</v>
      </c>
      <c r="IK105">
        <v>5</v>
      </c>
      <c r="IL105">
        <v>0</v>
      </c>
      <c r="IM105">
        <v>0</v>
      </c>
      <c r="IN105">
        <v>0</v>
      </c>
      <c r="IO105" t="s">
        <v>443</v>
      </c>
      <c r="IP105" t="s">
        <v>444</v>
      </c>
      <c r="IQ105" t="s">
        <v>445</v>
      </c>
      <c r="IR105" t="s">
        <v>445</v>
      </c>
      <c r="IS105" t="s">
        <v>445</v>
      </c>
      <c r="IT105" t="s">
        <v>445</v>
      </c>
      <c r="IU105">
        <v>0</v>
      </c>
      <c r="IV105">
        <v>100</v>
      </c>
      <c r="IW105">
        <v>100</v>
      </c>
      <c r="IX105">
        <v>2.907</v>
      </c>
      <c r="IY105">
        <v>-0.0997</v>
      </c>
      <c r="IZ105">
        <v>1.24656194001752</v>
      </c>
      <c r="JA105">
        <v>0.00408463137630218</v>
      </c>
      <c r="JB105">
        <v>-2.23906557180379e-07</v>
      </c>
      <c r="JC105">
        <v>6.23399102760906e-11</v>
      </c>
      <c r="JD105">
        <v>-0.0873394905990972</v>
      </c>
      <c r="JE105">
        <v>-0.0233348201324191</v>
      </c>
      <c r="JF105">
        <v>0.00274696999164489</v>
      </c>
      <c r="JG105">
        <v>-3.62864435074646e-05</v>
      </c>
      <c r="JH105">
        <v>5</v>
      </c>
      <c r="JI105">
        <v>2263</v>
      </c>
      <c r="JJ105">
        <v>1</v>
      </c>
      <c r="JK105">
        <v>24</v>
      </c>
      <c r="JL105">
        <v>29361529.5</v>
      </c>
      <c r="JM105">
        <v>29361529.5</v>
      </c>
      <c r="JN105">
        <v>1.25244</v>
      </c>
      <c r="JO105">
        <v>2.61841</v>
      </c>
      <c r="JP105">
        <v>2.19849</v>
      </c>
      <c r="JQ105">
        <v>2.62451</v>
      </c>
      <c r="JR105">
        <v>2.44507</v>
      </c>
      <c r="JS105">
        <v>2.32666</v>
      </c>
      <c r="JT105">
        <v>33.3784</v>
      </c>
      <c r="JU105">
        <v>24.2013</v>
      </c>
      <c r="JV105">
        <v>18</v>
      </c>
      <c r="JW105">
        <v>503.46</v>
      </c>
      <c r="JX105">
        <v>792.974</v>
      </c>
      <c r="JY105">
        <v>20.5369</v>
      </c>
      <c r="JZ105">
        <v>31.0643</v>
      </c>
      <c r="KA105">
        <v>29.9998</v>
      </c>
      <c r="KB105">
        <v>31.0459</v>
      </c>
      <c r="KC105">
        <v>30.9825</v>
      </c>
      <c r="KD105">
        <v>25.0981</v>
      </c>
      <c r="KE105">
        <v>3.13875</v>
      </c>
      <c r="KF105">
        <v>16.4959</v>
      </c>
      <c r="KG105">
        <v>20.5477</v>
      </c>
      <c r="KH105">
        <v>420</v>
      </c>
      <c r="KI105">
        <v>7.36991</v>
      </c>
      <c r="KJ105">
        <v>96.0538</v>
      </c>
      <c r="KK105">
        <v>93.9357</v>
      </c>
    </row>
    <row r="106" spans="1:297">
      <c r="A106">
        <v>90</v>
      </c>
      <c r="B106">
        <v>1761691893.1</v>
      </c>
      <c r="C106">
        <v>14544</v>
      </c>
      <c r="D106" t="s">
        <v>734</v>
      </c>
      <c r="E106" t="s">
        <v>735</v>
      </c>
      <c r="F106">
        <v>5</v>
      </c>
      <c r="G106" t="s">
        <v>705</v>
      </c>
      <c r="H106" t="s">
        <v>436</v>
      </c>
      <c r="I106">
        <v>1761691885.1</v>
      </c>
      <c r="J106">
        <f>(K106)/1000</f>
        <v>0</v>
      </c>
      <c r="K106">
        <f>IF(DP106, AN106, AH106)</f>
        <v>0</v>
      </c>
      <c r="L106">
        <f>IF(DP106, AI106, AG106)</f>
        <v>0</v>
      </c>
      <c r="M106">
        <f>DR106 - IF(AU106&gt;1, L106*DL106*100.0/(AW106), 0)</f>
        <v>0</v>
      </c>
      <c r="N106">
        <f>((T106-J106/2)*M106-L106)/(T106+J106/2)</f>
        <v>0</v>
      </c>
      <c r="O106">
        <f>N106*(DY106+DZ106)/1000.0</f>
        <v>0</v>
      </c>
      <c r="P106">
        <f>(DR106 - IF(AU106&gt;1, L106*DL106*100.0/(AW106), 0))*(DY106+DZ106)/1000.0</f>
        <v>0</v>
      </c>
      <c r="Q106">
        <f>2.0/((1/S106-1/R106)+SIGN(S106)*SQRT((1/S106-1/R106)*(1/S106-1/R106) + 4*DM106/((DM106+1)*(DM106+1))*(2*1/S106*1/R106-1/R106*1/R106)))</f>
        <v>0</v>
      </c>
      <c r="R106">
        <f>IF(LEFT(DN106,1)&lt;&gt;"0",IF(LEFT(DN106,1)="1",3.0,DO106),$D$5+$E$5*(EF106*DY106/($K$5*1000))+$F$5*(EF106*DY106/($K$5*1000))*MAX(MIN(DL106,$J$5),$I$5)*MAX(MIN(DL106,$J$5),$I$5)+$G$5*MAX(MIN(DL106,$J$5),$I$5)*(EF106*DY106/($K$5*1000))+$H$5*(EF106*DY106/($K$5*1000))*(EF106*DY106/($K$5*1000)))</f>
        <v>0</v>
      </c>
      <c r="S106">
        <f>J106*(1000-(1000*0.61365*exp(17.502*W106/(240.97+W106))/(DY106+DZ106)+DT106)/2)/(1000*0.61365*exp(17.502*W106/(240.97+W106))/(DY106+DZ106)-DT106)</f>
        <v>0</v>
      </c>
      <c r="T106">
        <f>1/((DM106+1)/(Q106/1.6)+1/(R106/1.37)) + DM106/((DM106+1)/(Q106/1.6) + DM106/(R106/1.37))</f>
        <v>0</v>
      </c>
      <c r="U106">
        <f>(DH106*DK106)</f>
        <v>0</v>
      </c>
      <c r="V106">
        <f>(EA106+(U106+2*0.95*5.67E-8*(((EA106+$B$7)+273)^4-(EA106+273)^4)-44100*J106)/(1.84*29.3*R106+8*0.95*5.67E-8*(EA106+273)^3))</f>
        <v>0</v>
      </c>
      <c r="W106">
        <f>($C$7*EB106+$D$7*EC106+$E$7*V106)</f>
        <v>0</v>
      </c>
      <c r="X106">
        <f>0.61365*exp(17.502*W106/(240.97+W106))</f>
        <v>0</v>
      </c>
      <c r="Y106">
        <f>(Z106/AA106*100)</f>
        <v>0</v>
      </c>
      <c r="Z106">
        <f>DT106*(DY106+DZ106)/1000</f>
        <v>0</v>
      </c>
      <c r="AA106">
        <f>0.61365*exp(17.502*EA106/(240.97+EA106))</f>
        <v>0</v>
      </c>
      <c r="AB106">
        <f>(X106-DT106*(DY106+DZ106)/1000)</f>
        <v>0</v>
      </c>
      <c r="AC106">
        <f>(-J106*44100)</f>
        <v>0</v>
      </c>
      <c r="AD106">
        <f>2*29.3*R106*0.92*(EA106-W106)</f>
        <v>0</v>
      </c>
      <c r="AE106">
        <f>2*0.95*5.67E-8*(((EA106+$B$7)+273)^4-(W106+273)^4)</f>
        <v>0</v>
      </c>
      <c r="AF106">
        <f>U106+AE106+AC106+AD106</f>
        <v>0</v>
      </c>
      <c r="AG106">
        <f>DX106*AU106*(DS106-DR106*(1000-AU106*DU106)/(1000-AU106*DT106))/(100*DL106)</f>
        <v>0</v>
      </c>
      <c r="AH106">
        <f>1000*DX106*AU106*(DT106-DU106)/(100*DL106*(1000-AU106*DT106))</f>
        <v>0</v>
      </c>
      <c r="AI106">
        <f>(AJ106 - AK106 - DY106*1E3/(8.314*(EA106+273.15)) * AM106/DX106 * AL106) * DX106/(100*DL106) * (1000 - DU106)/1000</f>
        <v>0</v>
      </c>
      <c r="AJ106">
        <v>423.255671950502</v>
      </c>
      <c r="AK106">
        <v>424.577818181818</v>
      </c>
      <c r="AL106">
        <v>0.00316608678146418</v>
      </c>
      <c r="AM106">
        <v>64.2052291954304</v>
      </c>
      <c r="AN106">
        <f>(AP106 - AO106 + DY106*1E3/(8.314*(EA106+273.15)) * AR106/DX106 * AQ106) * DX106/(100*DL106) * 1000/(1000 - AP106)</f>
        <v>0</v>
      </c>
      <c r="AO106">
        <v>7.71592616907463</v>
      </c>
      <c r="AP106">
        <v>9.05877307692308</v>
      </c>
      <c r="AQ106">
        <v>-1.78329926392424e-05</v>
      </c>
      <c r="AR106">
        <v>109.074219277654</v>
      </c>
      <c r="AS106">
        <v>0</v>
      </c>
      <c r="AT106">
        <v>0</v>
      </c>
      <c r="AU106">
        <f>IF(AS106*$H$13&gt;=AW106,1.0,(AW106/(AW106-AS106*$H$13)))</f>
        <v>0</v>
      </c>
      <c r="AV106">
        <f>(AU106-1)*100</f>
        <v>0</v>
      </c>
      <c r="AW106">
        <f>MAX(0,($B$13+$C$13*EF106)/(1+$D$13*EF106)*DY106/(EA106+273)*$E$13)</f>
        <v>0</v>
      </c>
      <c r="AX106" t="s">
        <v>736</v>
      </c>
      <c r="AY106">
        <v>5122.34</v>
      </c>
      <c r="AZ106">
        <v>745.280769230769</v>
      </c>
      <c r="BA106">
        <v>2455.23089761668</v>
      </c>
      <c r="BB106">
        <f>1-AZ106/BA106</f>
        <v>0</v>
      </c>
      <c r="BC106">
        <v>-1.10567321366113</v>
      </c>
      <c r="BD106" t="s">
        <v>448</v>
      </c>
      <c r="BE106" t="s">
        <v>448</v>
      </c>
      <c r="BF106">
        <v>0</v>
      </c>
      <c r="BG106">
        <v>0</v>
      </c>
      <c r="BH106">
        <f>1-BF106/BG106</f>
        <v>0</v>
      </c>
      <c r="BI106">
        <v>0.5</v>
      </c>
      <c r="BJ106">
        <f>DI106</f>
        <v>0</v>
      </c>
      <c r="BK106">
        <f>L106</f>
        <v>0</v>
      </c>
      <c r="BL106">
        <f>BH106*BI106*BJ106</f>
        <v>0</v>
      </c>
      <c r="BM106">
        <f>(BK106-BC106)/BJ106</f>
        <v>0</v>
      </c>
      <c r="BN106">
        <f>(BA106-BG106)/BG106</f>
        <v>0</v>
      </c>
      <c r="BO106">
        <f>AZ106/(BB106+AZ106/BG106)</f>
        <v>0</v>
      </c>
      <c r="BP106" t="s">
        <v>448</v>
      </c>
      <c r="BQ106">
        <v>0</v>
      </c>
      <c r="BR106">
        <f>IF(BQ106&lt;&gt;0, BQ106, BO106)</f>
        <v>0</v>
      </c>
      <c r="BS106">
        <f>1-BR106/BG106</f>
        <v>0</v>
      </c>
      <c r="BT106">
        <f>(BG106-BF106)/(BG106-BR106)</f>
        <v>0</v>
      </c>
      <c r="BU106">
        <f>(BA106-BG106)/(BA106-BR106)</f>
        <v>0</v>
      </c>
      <c r="BV106">
        <f>(BG106-BF106)/(BG106-AZ106)</f>
        <v>0</v>
      </c>
      <c r="BW106">
        <f>(BA106-BG106)/(BA106-AZ106)</f>
        <v>0</v>
      </c>
      <c r="BX106">
        <f>(BT106*BR106/BF106)</f>
        <v>0</v>
      </c>
      <c r="BY106">
        <f>(1-BX106)</f>
        <v>0</v>
      </c>
      <c r="BZ106">
        <v>104</v>
      </c>
      <c r="CA106">
        <v>290</v>
      </c>
      <c r="CB106">
        <v>2324.63</v>
      </c>
      <c r="CC106">
        <v>285</v>
      </c>
      <c r="CD106">
        <v>5122.34</v>
      </c>
      <c r="CE106">
        <v>2325.19</v>
      </c>
      <c r="CF106">
        <v>-0.56</v>
      </c>
      <c r="CG106">
        <v>300</v>
      </c>
      <c r="CH106">
        <v>23.8</v>
      </c>
      <c r="CI106">
        <v>2455.23089761668</v>
      </c>
      <c r="CJ106">
        <v>1.94239424002763</v>
      </c>
      <c r="CK106">
        <v>-66.6100148257252</v>
      </c>
      <c r="CL106">
        <v>0.862263524870178</v>
      </c>
      <c r="CM106">
        <v>0.995329901376066</v>
      </c>
      <c r="CN106">
        <v>-0.00423184115684093</v>
      </c>
      <c r="CO106">
        <v>290</v>
      </c>
      <c r="CP106">
        <v>2327.56</v>
      </c>
      <c r="CQ106">
        <v>875</v>
      </c>
      <c r="CR106">
        <v>5120.5</v>
      </c>
      <c r="CS106">
        <v>2325.15</v>
      </c>
      <c r="CT106">
        <v>2.41</v>
      </c>
      <c r="DH106">
        <f>$B$11*EG106+$C$11*EH106+$F$11*ES106*(1-EV106)</f>
        <v>0</v>
      </c>
      <c r="DI106">
        <f>DH106*DJ106</f>
        <v>0</v>
      </c>
      <c r="DJ106">
        <f>($B$11*$D$9+$C$11*$D$9+$F$11*((FF106+EX106)/MAX(FF106+EX106+FG106, 0.1)*$I$9+FG106/MAX(FF106+EX106+FG106, 0.1)*$J$9))/($B$11+$C$11+$F$11)</f>
        <v>0</v>
      </c>
      <c r="DK106">
        <f>($B$11*$K$9+$C$11*$K$9+$F$11*((FF106+EX106)/MAX(FF106+EX106+FG106, 0.1)*$P$9+FG106/MAX(FF106+EX106+FG106, 0.1)*$Q$9))/($B$11+$C$11+$F$11)</f>
        <v>0</v>
      </c>
      <c r="DL106">
        <v>6</v>
      </c>
      <c r="DM106">
        <v>0.5</v>
      </c>
      <c r="DN106" t="s">
        <v>440</v>
      </c>
      <c r="DO106">
        <v>2</v>
      </c>
      <c r="DP106" t="b">
        <v>1</v>
      </c>
      <c r="DQ106">
        <v>1761691885.1</v>
      </c>
      <c r="DR106">
        <v>420.6518</v>
      </c>
      <c r="DS106">
        <v>419.992333333333</v>
      </c>
      <c r="DT106">
        <v>9.06673466666667</v>
      </c>
      <c r="DU106">
        <v>7.71502</v>
      </c>
      <c r="DV106">
        <v>417.733466666667</v>
      </c>
      <c r="DW106">
        <v>9.165132</v>
      </c>
      <c r="DX106">
        <v>500.013666666667</v>
      </c>
      <c r="DY106">
        <v>91.0437</v>
      </c>
      <c r="DZ106">
        <v>0.0219974533333333</v>
      </c>
      <c r="EA106">
        <v>24.8190266666667</v>
      </c>
      <c r="EB106">
        <v>23.9966266666667</v>
      </c>
      <c r="EC106">
        <v>999.9</v>
      </c>
      <c r="ED106">
        <v>0</v>
      </c>
      <c r="EE106">
        <v>0</v>
      </c>
      <c r="EF106">
        <v>9996.66</v>
      </c>
      <c r="EG106">
        <v>0</v>
      </c>
      <c r="EH106">
        <v>1300.53666666667</v>
      </c>
      <c r="EI106">
        <v>0.659407533333333</v>
      </c>
      <c r="EJ106">
        <v>424.500466666667</v>
      </c>
      <c r="EK106">
        <v>423.257733333333</v>
      </c>
      <c r="EL106">
        <v>1.351714</v>
      </c>
      <c r="EM106">
        <v>419.992333333333</v>
      </c>
      <c r="EN106">
        <v>7.71502</v>
      </c>
      <c r="EO106">
        <v>0.825469</v>
      </c>
      <c r="EP106">
        <v>0.702404</v>
      </c>
      <c r="EQ106">
        <v>4.152984</v>
      </c>
      <c r="ER106">
        <v>1.87432066666667</v>
      </c>
      <c r="ES106">
        <v>0.00500059</v>
      </c>
      <c r="ET106">
        <v>0</v>
      </c>
      <c r="EU106">
        <v>0</v>
      </c>
      <c r="EV106">
        <v>0</v>
      </c>
      <c r="EW106">
        <v>744.74</v>
      </c>
      <c r="EX106">
        <v>0.00500059</v>
      </c>
      <c r="EY106">
        <v>31.06</v>
      </c>
      <c r="EZ106">
        <v>-0.0600000000000001</v>
      </c>
      <c r="FA106">
        <v>36.1082</v>
      </c>
      <c r="FB106">
        <v>39.8204</v>
      </c>
      <c r="FC106">
        <v>37.6124</v>
      </c>
      <c r="FD106">
        <v>39.3372</v>
      </c>
      <c r="FE106">
        <v>37.8832</v>
      </c>
      <c r="FF106">
        <v>0</v>
      </c>
      <c r="FG106">
        <v>0</v>
      </c>
      <c r="FH106">
        <v>0</v>
      </c>
      <c r="FI106">
        <v>118</v>
      </c>
      <c r="FJ106">
        <v>0</v>
      </c>
      <c r="FK106">
        <v>745.280769230769</v>
      </c>
      <c r="FL106">
        <v>2.46495755764224</v>
      </c>
      <c r="FM106">
        <v>7.72991404093435</v>
      </c>
      <c r="FN106">
        <v>30.6576923076923</v>
      </c>
      <c r="FO106">
        <v>15</v>
      </c>
      <c r="FP106">
        <v>0</v>
      </c>
      <c r="FQ106" t="s">
        <v>441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0.625050857142857</v>
      </c>
      <c r="GD106">
        <v>0.473145974025975</v>
      </c>
      <c r="GE106">
        <v>0.054787247921292</v>
      </c>
      <c r="GF106">
        <v>1</v>
      </c>
      <c r="GG106">
        <v>744.370588235294</v>
      </c>
      <c r="GH106">
        <v>-3.49274252872152</v>
      </c>
      <c r="GI106">
        <v>5.1068886240729</v>
      </c>
      <c r="GJ106">
        <v>-1</v>
      </c>
      <c r="GK106">
        <v>1.35702952380952</v>
      </c>
      <c r="GL106">
        <v>-0.0745262337662344</v>
      </c>
      <c r="GM106">
        <v>0.00765497689100458</v>
      </c>
      <c r="GN106">
        <v>1</v>
      </c>
      <c r="GO106">
        <v>2</v>
      </c>
      <c r="GP106">
        <v>2</v>
      </c>
      <c r="GQ106" t="s">
        <v>442</v>
      </c>
      <c r="GR106">
        <v>3.1283</v>
      </c>
      <c r="GS106">
        <v>2.69973</v>
      </c>
      <c r="GT106">
        <v>0.0892449</v>
      </c>
      <c r="GU106">
        <v>0.089732</v>
      </c>
      <c r="GV106">
        <v>0.0496231</v>
      </c>
      <c r="GW106">
        <v>0.0438397</v>
      </c>
      <c r="GX106">
        <v>34084.2</v>
      </c>
      <c r="GY106">
        <v>36472.4</v>
      </c>
      <c r="GZ106">
        <v>33875.9</v>
      </c>
      <c r="HA106">
        <v>36294.8</v>
      </c>
      <c r="HB106">
        <v>45504.7</v>
      </c>
      <c r="HC106">
        <v>49805.7</v>
      </c>
      <c r="HD106">
        <v>52841.9</v>
      </c>
      <c r="HE106">
        <v>57962.2</v>
      </c>
      <c r="HF106">
        <v>1.91577</v>
      </c>
      <c r="HG106">
        <v>2.28927</v>
      </c>
      <c r="HH106">
        <v>-0.0444427</v>
      </c>
      <c r="HI106">
        <v>0</v>
      </c>
      <c r="HJ106">
        <v>24.7303</v>
      </c>
      <c r="HK106">
        <v>999.9</v>
      </c>
      <c r="HL106">
        <v>21.951</v>
      </c>
      <c r="HM106">
        <v>30.011</v>
      </c>
      <c r="HN106">
        <v>10.278</v>
      </c>
      <c r="HO106">
        <v>54.2995</v>
      </c>
      <c r="HP106">
        <v>30.605</v>
      </c>
      <c r="HQ106">
        <v>2</v>
      </c>
      <c r="HR106">
        <v>0.28752</v>
      </c>
      <c r="HS106">
        <v>3.23182</v>
      </c>
      <c r="HT106">
        <v>20.1206</v>
      </c>
      <c r="HU106">
        <v>5.19872</v>
      </c>
      <c r="HV106">
        <v>12.0061</v>
      </c>
      <c r="HW106">
        <v>4.9754</v>
      </c>
      <c r="HX106">
        <v>3.294</v>
      </c>
      <c r="HY106">
        <v>9999</v>
      </c>
      <c r="HZ106">
        <v>9999</v>
      </c>
      <c r="IA106">
        <v>9999</v>
      </c>
      <c r="IB106">
        <v>999.9</v>
      </c>
      <c r="IC106">
        <v>1.86325</v>
      </c>
      <c r="ID106">
        <v>1.86811</v>
      </c>
      <c r="IE106">
        <v>1.86783</v>
      </c>
      <c r="IF106">
        <v>1.86905</v>
      </c>
      <c r="IG106">
        <v>1.86981</v>
      </c>
      <c r="IH106">
        <v>1.8659</v>
      </c>
      <c r="II106">
        <v>1.86699</v>
      </c>
      <c r="IJ106">
        <v>1.86842</v>
      </c>
      <c r="IK106">
        <v>5</v>
      </c>
      <c r="IL106">
        <v>0</v>
      </c>
      <c r="IM106">
        <v>0</v>
      </c>
      <c r="IN106">
        <v>0</v>
      </c>
      <c r="IO106" t="s">
        <v>443</v>
      </c>
      <c r="IP106" t="s">
        <v>444</v>
      </c>
      <c r="IQ106" t="s">
        <v>445</v>
      </c>
      <c r="IR106" t="s">
        <v>445</v>
      </c>
      <c r="IS106" t="s">
        <v>445</v>
      </c>
      <c r="IT106" t="s">
        <v>445</v>
      </c>
      <c r="IU106">
        <v>0</v>
      </c>
      <c r="IV106">
        <v>100</v>
      </c>
      <c r="IW106">
        <v>100</v>
      </c>
      <c r="IX106">
        <v>2.919</v>
      </c>
      <c r="IY106">
        <v>-0.0986</v>
      </c>
      <c r="IZ106">
        <v>1.24656194001752</v>
      </c>
      <c r="JA106">
        <v>0.00408463137630218</v>
      </c>
      <c r="JB106">
        <v>-2.23906557180379e-07</v>
      </c>
      <c r="JC106">
        <v>6.23399102760906e-11</v>
      </c>
      <c r="JD106">
        <v>-0.0873394905990972</v>
      </c>
      <c r="JE106">
        <v>-0.0233348201324191</v>
      </c>
      <c r="JF106">
        <v>0.00274696999164489</v>
      </c>
      <c r="JG106">
        <v>-3.62864435074646e-05</v>
      </c>
      <c r="JH106">
        <v>5</v>
      </c>
      <c r="JI106">
        <v>2263</v>
      </c>
      <c r="JJ106">
        <v>1</v>
      </c>
      <c r="JK106">
        <v>24</v>
      </c>
      <c r="JL106">
        <v>29361531.6</v>
      </c>
      <c r="JM106">
        <v>29361531.6</v>
      </c>
      <c r="JN106">
        <v>1.25366</v>
      </c>
      <c r="JO106">
        <v>2.62451</v>
      </c>
      <c r="JP106">
        <v>2.19849</v>
      </c>
      <c r="JQ106">
        <v>2.62451</v>
      </c>
      <c r="JR106">
        <v>2.44507</v>
      </c>
      <c r="JS106">
        <v>2.34009</v>
      </c>
      <c r="JT106">
        <v>33.4008</v>
      </c>
      <c r="JU106">
        <v>24.2013</v>
      </c>
      <c r="JV106">
        <v>18</v>
      </c>
      <c r="JW106">
        <v>503.219</v>
      </c>
      <c r="JX106">
        <v>793.682</v>
      </c>
      <c r="JY106">
        <v>20.7959</v>
      </c>
      <c r="JZ106">
        <v>31.0399</v>
      </c>
      <c r="KA106">
        <v>30</v>
      </c>
      <c r="KB106">
        <v>31.0151</v>
      </c>
      <c r="KC106">
        <v>30.9525</v>
      </c>
      <c r="KD106">
        <v>25.1106</v>
      </c>
      <c r="KE106">
        <v>0</v>
      </c>
      <c r="KF106">
        <v>18.3924</v>
      </c>
      <c r="KG106">
        <v>20.7926</v>
      </c>
      <c r="KH106">
        <v>420</v>
      </c>
      <c r="KI106">
        <v>7.80773</v>
      </c>
      <c r="KJ106">
        <v>96.0585</v>
      </c>
      <c r="KK106">
        <v>93.9394</v>
      </c>
    </row>
    <row r="107" spans="1:297">
      <c r="A107">
        <v>91</v>
      </c>
      <c r="B107">
        <v>1761692954.1</v>
      </c>
      <c r="C107">
        <v>15605</v>
      </c>
      <c r="D107" t="s">
        <v>737</v>
      </c>
      <c r="E107" t="s">
        <v>738</v>
      </c>
      <c r="F107">
        <v>5</v>
      </c>
      <c r="G107" t="s">
        <v>739</v>
      </c>
      <c r="H107" t="s">
        <v>436</v>
      </c>
      <c r="I107">
        <v>1761692946.1</v>
      </c>
      <c r="J107">
        <f>(K107)/1000</f>
        <v>0</v>
      </c>
      <c r="K107">
        <f>IF(DP107, AN107, AH107)</f>
        <v>0</v>
      </c>
      <c r="L107">
        <f>IF(DP107, AI107, AG107)</f>
        <v>0</v>
      </c>
      <c r="M107">
        <f>DR107 - IF(AU107&gt;1, L107*DL107*100.0/(AW107), 0)</f>
        <v>0</v>
      </c>
      <c r="N107">
        <f>((T107-J107/2)*M107-L107)/(T107+J107/2)</f>
        <v>0</v>
      </c>
      <c r="O107">
        <f>N107*(DY107+DZ107)/1000.0</f>
        <v>0</v>
      </c>
      <c r="P107">
        <f>(DR107 - IF(AU107&gt;1, L107*DL107*100.0/(AW107), 0))*(DY107+DZ107)/1000.0</f>
        <v>0</v>
      </c>
      <c r="Q107">
        <f>2.0/((1/S107-1/R107)+SIGN(S107)*SQRT((1/S107-1/R107)*(1/S107-1/R107) + 4*DM107/((DM107+1)*(DM107+1))*(2*1/S107*1/R107-1/R107*1/R107)))</f>
        <v>0</v>
      </c>
      <c r="R107">
        <f>IF(LEFT(DN107,1)&lt;&gt;"0",IF(LEFT(DN107,1)="1",3.0,DO107),$D$5+$E$5*(EF107*DY107/($K$5*1000))+$F$5*(EF107*DY107/($K$5*1000))*MAX(MIN(DL107,$J$5),$I$5)*MAX(MIN(DL107,$J$5),$I$5)+$G$5*MAX(MIN(DL107,$J$5),$I$5)*(EF107*DY107/($K$5*1000))+$H$5*(EF107*DY107/($K$5*1000))*(EF107*DY107/($K$5*1000)))</f>
        <v>0</v>
      </c>
      <c r="S107">
        <f>J107*(1000-(1000*0.61365*exp(17.502*W107/(240.97+W107))/(DY107+DZ107)+DT107)/2)/(1000*0.61365*exp(17.502*W107/(240.97+W107))/(DY107+DZ107)-DT107)</f>
        <v>0</v>
      </c>
      <c r="T107">
        <f>1/((DM107+1)/(Q107/1.6)+1/(R107/1.37)) + DM107/((DM107+1)/(Q107/1.6) + DM107/(R107/1.37))</f>
        <v>0</v>
      </c>
      <c r="U107">
        <f>(DH107*DK107)</f>
        <v>0</v>
      </c>
      <c r="V107">
        <f>(EA107+(U107+2*0.95*5.67E-8*(((EA107+$B$7)+273)^4-(EA107+273)^4)-44100*J107)/(1.84*29.3*R107+8*0.95*5.67E-8*(EA107+273)^3))</f>
        <v>0</v>
      </c>
      <c r="W107">
        <f>($C$7*EB107+$D$7*EC107+$E$7*V107)</f>
        <v>0</v>
      </c>
      <c r="X107">
        <f>0.61365*exp(17.502*W107/(240.97+W107))</f>
        <v>0</v>
      </c>
      <c r="Y107">
        <f>(Z107/AA107*100)</f>
        <v>0</v>
      </c>
      <c r="Z107">
        <f>DT107*(DY107+DZ107)/1000</f>
        <v>0</v>
      </c>
      <c r="AA107">
        <f>0.61365*exp(17.502*EA107/(240.97+EA107))</f>
        <v>0</v>
      </c>
      <c r="AB107">
        <f>(X107-DT107*(DY107+DZ107)/1000)</f>
        <v>0</v>
      </c>
      <c r="AC107">
        <f>(-J107*44100)</f>
        <v>0</v>
      </c>
      <c r="AD107">
        <f>2*29.3*R107*0.92*(EA107-W107)</f>
        <v>0</v>
      </c>
      <c r="AE107">
        <f>2*0.95*5.67E-8*(((EA107+$B$7)+273)^4-(W107+273)^4)</f>
        <v>0</v>
      </c>
      <c r="AF107">
        <f>U107+AE107+AC107+AD107</f>
        <v>0</v>
      </c>
      <c r="AG107">
        <f>DX107*AU107*(DS107-DR107*(1000-AU107*DU107)/(1000-AU107*DT107))/(100*DL107)</f>
        <v>0</v>
      </c>
      <c r="AH107">
        <f>1000*DX107*AU107*(DT107-DU107)/(100*DL107*(1000-AU107*DT107))</f>
        <v>0</v>
      </c>
      <c r="AI107">
        <f>(AJ107 - AK107 - DY107*1E3/(8.314*(EA107+273.15)) * AM107/DX107 * AL107) * DX107/(100*DL107) * (1000 - DU107)/1000</f>
        <v>0</v>
      </c>
      <c r="AJ107">
        <v>422.597298773893</v>
      </c>
      <c r="AK107">
        <v>416.030036363636</v>
      </c>
      <c r="AL107">
        <v>-2.6105756972224e-05</v>
      </c>
      <c r="AM107">
        <v>64.1617943531089</v>
      </c>
      <c r="AN107">
        <f>(AP107 - AO107 + DY107*1E3/(8.314*(EA107+273.15)) * AR107/DX107 * AQ107) * DX107/(100*DL107) * 1000/(1000 - AP107)</f>
        <v>0</v>
      </c>
      <c r="AO107">
        <v>6.21588748410411</v>
      </c>
      <c r="AP107">
        <v>8.23236881118882</v>
      </c>
      <c r="AQ107">
        <v>6.86945906419832e-06</v>
      </c>
      <c r="AR107">
        <v>108.963540837023</v>
      </c>
      <c r="AS107">
        <v>0</v>
      </c>
      <c r="AT107">
        <v>0</v>
      </c>
      <c r="AU107">
        <f>IF(AS107*$H$13&gt;=AW107,1.0,(AW107/(AW107-AS107*$H$13)))</f>
        <v>0</v>
      </c>
      <c r="AV107">
        <f>(AU107-1)*100</f>
        <v>0</v>
      </c>
      <c r="AW107">
        <f>MAX(0,($B$13+$C$13*EF107)/(1+$D$13*EF107)*DY107/(EA107+273)*$E$13)</f>
        <v>0</v>
      </c>
      <c r="AX107" t="s">
        <v>736</v>
      </c>
      <c r="AY107">
        <v>5122.34</v>
      </c>
      <c r="AZ107">
        <v>745.280769230769</v>
      </c>
      <c r="BA107">
        <v>2455.23089761668</v>
      </c>
      <c r="BB107">
        <f>1-AZ107/BA107</f>
        <v>0</v>
      </c>
      <c r="BC107">
        <v>-1.10567321366113</v>
      </c>
      <c r="BD107" t="s">
        <v>740</v>
      </c>
      <c r="BE107">
        <v>5131.99</v>
      </c>
      <c r="BF107">
        <v>1641.0012</v>
      </c>
      <c r="BG107">
        <v>1758.16082293479</v>
      </c>
      <c r="BH107">
        <f>1-BF107/BG107</f>
        <v>0</v>
      </c>
      <c r="BI107">
        <v>0.5</v>
      </c>
      <c r="BJ107">
        <f>DI107</f>
        <v>0</v>
      </c>
      <c r="BK107">
        <f>L107</f>
        <v>0</v>
      </c>
      <c r="BL107">
        <f>BH107*BI107*BJ107</f>
        <v>0</v>
      </c>
      <c r="BM107">
        <f>(BK107-BC107)/BJ107</f>
        <v>0</v>
      </c>
      <c r="BN107">
        <f>(BA107-BG107)/BG107</f>
        <v>0</v>
      </c>
      <c r="BO107">
        <f>AZ107/(BB107+AZ107/BG107)</f>
        <v>0</v>
      </c>
      <c r="BP107" t="s">
        <v>741</v>
      </c>
      <c r="BQ107">
        <v>858.07</v>
      </c>
      <c r="BR107">
        <f>IF(BQ107&lt;&gt;0, BQ107, BO107)</f>
        <v>0</v>
      </c>
      <c r="BS107">
        <f>1-BR107/BG107</f>
        <v>0</v>
      </c>
      <c r="BT107">
        <f>(BG107-BF107)/(BG107-BR107)</f>
        <v>0</v>
      </c>
      <c r="BU107">
        <f>(BA107-BG107)/(BA107-BR107)</f>
        <v>0</v>
      </c>
      <c r="BV107">
        <f>(BG107-BF107)/(BG107-AZ107)</f>
        <v>0</v>
      </c>
      <c r="BW107">
        <f>(BA107-BG107)/(BA107-AZ107)</f>
        <v>0</v>
      </c>
      <c r="BX107">
        <f>(BT107*BR107/BF107)</f>
        <v>0</v>
      </c>
      <c r="BY107">
        <f>(1-BX107)</f>
        <v>0</v>
      </c>
      <c r="BZ107">
        <v>105</v>
      </c>
      <c r="CA107">
        <v>290</v>
      </c>
      <c r="CB107">
        <v>1706.73</v>
      </c>
      <c r="CC107">
        <v>195</v>
      </c>
      <c r="CD107">
        <v>5131.99</v>
      </c>
      <c r="CE107">
        <v>1705</v>
      </c>
      <c r="CF107">
        <v>1.73</v>
      </c>
      <c r="CG107">
        <v>300</v>
      </c>
      <c r="CH107">
        <v>23.6</v>
      </c>
      <c r="CI107">
        <v>1758.16082293479</v>
      </c>
      <c r="CJ107">
        <v>2.32010403450299</v>
      </c>
      <c r="CK107">
        <v>-27.2845691487089</v>
      </c>
      <c r="CL107">
        <v>1.09721500187054</v>
      </c>
      <c r="CM107">
        <v>0.956681378731522</v>
      </c>
      <c r="CN107">
        <v>-0.00256194060066741</v>
      </c>
      <c r="CO107">
        <v>290</v>
      </c>
      <c r="CP107">
        <v>1703.52</v>
      </c>
      <c r="CQ107">
        <v>625</v>
      </c>
      <c r="CR107">
        <v>5130.69</v>
      </c>
      <c r="CS107">
        <v>1704.98</v>
      </c>
      <c r="CT107">
        <v>-1.46</v>
      </c>
      <c r="DH107">
        <f>$B$11*EG107+$C$11*EH107+$F$11*ES107*(1-EV107)</f>
        <v>0</v>
      </c>
      <c r="DI107">
        <f>DH107*DJ107</f>
        <v>0</v>
      </c>
      <c r="DJ107">
        <f>($B$11*$D$9+$C$11*$D$9+$F$11*((FF107+EX107)/MAX(FF107+EX107+FG107, 0.1)*$I$9+FG107/MAX(FF107+EX107+FG107, 0.1)*$J$9))/($B$11+$C$11+$F$11)</f>
        <v>0</v>
      </c>
      <c r="DK107">
        <f>($B$11*$K$9+$C$11*$K$9+$F$11*((FF107+EX107)/MAX(FF107+EX107+FG107, 0.1)*$P$9+FG107/MAX(FF107+EX107+FG107, 0.1)*$Q$9))/($B$11+$C$11+$F$11)</f>
        <v>0</v>
      </c>
      <c r="DL107">
        <v>6</v>
      </c>
      <c r="DM107">
        <v>0.5</v>
      </c>
      <c r="DN107" t="s">
        <v>440</v>
      </c>
      <c r="DO107">
        <v>2</v>
      </c>
      <c r="DP107" t="b">
        <v>1</v>
      </c>
      <c r="DQ107">
        <v>1761692946.1</v>
      </c>
      <c r="DR107">
        <v>412.625133333333</v>
      </c>
      <c r="DS107">
        <v>420.0024</v>
      </c>
      <c r="DT107">
        <v>8.22820866666667</v>
      </c>
      <c r="DU107">
        <v>6.21324466666667</v>
      </c>
      <c r="DV107">
        <v>409.738266666667</v>
      </c>
      <c r="DW107">
        <v>8.340142</v>
      </c>
      <c r="DX107">
        <v>500.010333333333</v>
      </c>
      <c r="DY107">
        <v>91.0459333333333</v>
      </c>
      <c r="DZ107">
        <v>0.0243683733333333</v>
      </c>
      <c r="EA107">
        <v>23.1001333333333</v>
      </c>
      <c r="EB107">
        <v>24.0203533333333</v>
      </c>
      <c r="EC107">
        <v>999.9</v>
      </c>
      <c r="ED107">
        <v>0</v>
      </c>
      <c r="EE107">
        <v>0</v>
      </c>
      <c r="EF107">
        <v>9999.074</v>
      </c>
      <c r="EG107">
        <v>0</v>
      </c>
      <c r="EH107">
        <v>1333.08333333333</v>
      </c>
      <c r="EI107">
        <v>-7.377244</v>
      </c>
      <c r="EJ107">
        <v>416.048466666667</v>
      </c>
      <c r="EK107">
        <v>422.628266666667</v>
      </c>
      <c r="EL107">
        <v>2.01496666666667</v>
      </c>
      <c r="EM107">
        <v>420.0024</v>
      </c>
      <c r="EN107">
        <v>6.21324466666667</v>
      </c>
      <c r="EO107">
        <v>0.749145066666667</v>
      </c>
      <c r="EP107">
        <v>0.565690666666667</v>
      </c>
      <c r="EQ107">
        <v>2.778524</v>
      </c>
      <c r="ER107">
        <v>-1.11524</v>
      </c>
      <c r="ES107">
        <v>1999.95733333333</v>
      </c>
      <c r="ET107">
        <v>0.9799978</v>
      </c>
      <c r="EU107">
        <v>0.0200022066666667</v>
      </c>
      <c r="EV107">
        <v>0</v>
      </c>
      <c r="EW107">
        <v>1641.044</v>
      </c>
      <c r="EX107">
        <v>5.00059</v>
      </c>
      <c r="EY107">
        <v>32715.9266666667</v>
      </c>
      <c r="EZ107">
        <v>17359.94</v>
      </c>
      <c r="FA107">
        <v>40.3414</v>
      </c>
      <c r="FB107">
        <v>41.125</v>
      </c>
      <c r="FC107">
        <v>40.0082666666667</v>
      </c>
      <c r="FD107">
        <v>40.4412</v>
      </c>
      <c r="FE107">
        <v>40.9287333333333</v>
      </c>
      <c r="FF107">
        <v>1955.05733333333</v>
      </c>
      <c r="FG107">
        <v>39.9</v>
      </c>
      <c r="FH107">
        <v>0</v>
      </c>
      <c r="FI107">
        <v>1059.5</v>
      </c>
      <c r="FJ107">
        <v>0</v>
      </c>
      <c r="FK107">
        <v>1641.0012</v>
      </c>
      <c r="FL107">
        <v>-10.3107692413786</v>
      </c>
      <c r="FM107">
        <v>-180.100000519912</v>
      </c>
      <c r="FN107">
        <v>32714.432</v>
      </c>
      <c r="FO107">
        <v>15</v>
      </c>
      <c r="FP107">
        <v>0</v>
      </c>
      <c r="FQ107" t="s">
        <v>441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-7.38255809523809</v>
      </c>
      <c r="GD107">
        <v>0.0679776623376675</v>
      </c>
      <c r="GE107">
        <v>0.0244287476276946</v>
      </c>
      <c r="GF107">
        <v>1</v>
      </c>
      <c r="GG107">
        <v>1641.56647058824</v>
      </c>
      <c r="GH107">
        <v>-10.2300993158457</v>
      </c>
      <c r="GI107">
        <v>1.02858521438556</v>
      </c>
      <c r="GJ107">
        <v>-1</v>
      </c>
      <c r="GK107">
        <v>2.01168095238095</v>
      </c>
      <c r="GL107">
        <v>0.0797735064935089</v>
      </c>
      <c r="GM107">
        <v>0.00946847848427912</v>
      </c>
      <c r="GN107">
        <v>1</v>
      </c>
      <c r="GO107">
        <v>2</v>
      </c>
      <c r="GP107">
        <v>2</v>
      </c>
      <c r="GQ107" t="s">
        <v>442</v>
      </c>
      <c r="GR107">
        <v>3.12766</v>
      </c>
      <c r="GS107">
        <v>2.70257</v>
      </c>
      <c r="GT107">
        <v>0.0878158</v>
      </c>
      <c r="GU107">
        <v>0.0896386</v>
      </c>
      <c r="GV107">
        <v>0.0459264</v>
      </c>
      <c r="GW107">
        <v>0.0363552</v>
      </c>
      <c r="GX107">
        <v>34104.6</v>
      </c>
      <c r="GY107">
        <v>36433.4</v>
      </c>
      <c r="GZ107">
        <v>33846.2</v>
      </c>
      <c r="HA107">
        <v>36255.5</v>
      </c>
      <c r="HB107">
        <v>45649.4</v>
      </c>
      <c r="HC107">
        <v>50145.7</v>
      </c>
      <c r="HD107">
        <v>52804.9</v>
      </c>
      <c r="HE107">
        <v>57905.2</v>
      </c>
      <c r="HF107">
        <v>1.91087</v>
      </c>
      <c r="HG107">
        <v>2.26977</v>
      </c>
      <c r="HH107">
        <v>0.0443235</v>
      </c>
      <c r="HI107">
        <v>0</v>
      </c>
      <c r="HJ107">
        <v>23.3262</v>
      </c>
      <c r="HK107">
        <v>999.9</v>
      </c>
      <c r="HL107">
        <v>21.249</v>
      </c>
      <c r="HM107">
        <v>30.101</v>
      </c>
      <c r="HN107">
        <v>10.0009</v>
      </c>
      <c r="HO107">
        <v>55.5996</v>
      </c>
      <c r="HP107">
        <v>30.8173</v>
      </c>
      <c r="HQ107">
        <v>2</v>
      </c>
      <c r="HR107">
        <v>0.353948</v>
      </c>
      <c r="HS107">
        <v>7.34335</v>
      </c>
      <c r="HT107">
        <v>19.9831</v>
      </c>
      <c r="HU107">
        <v>5.19902</v>
      </c>
      <c r="HV107">
        <v>12.0099</v>
      </c>
      <c r="HW107">
        <v>4.9757</v>
      </c>
      <c r="HX107">
        <v>3.294</v>
      </c>
      <c r="HY107">
        <v>9999</v>
      </c>
      <c r="HZ107">
        <v>9999</v>
      </c>
      <c r="IA107">
        <v>9999</v>
      </c>
      <c r="IB107">
        <v>999.9</v>
      </c>
      <c r="IC107">
        <v>1.86325</v>
      </c>
      <c r="ID107">
        <v>1.8681</v>
      </c>
      <c r="IE107">
        <v>1.86783</v>
      </c>
      <c r="IF107">
        <v>1.86905</v>
      </c>
      <c r="IG107">
        <v>1.86981</v>
      </c>
      <c r="IH107">
        <v>1.86586</v>
      </c>
      <c r="II107">
        <v>1.86694</v>
      </c>
      <c r="IJ107">
        <v>1.86839</v>
      </c>
      <c r="IK107">
        <v>5</v>
      </c>
      <c r="IL107">
        <v>0</v>
      </c>
      <c r="IM107">
        <v>0</v>
      </c>
      <c r="IN107">
        <v>0</v>
      </c>
      <c r="IO107" t="s">
        <v>443</v>
      </c>
      <c r="IP107" t="s">
        <v>444</v>
      </c>
      <c r="IQ107" t="s">
        <v>445</v>
      </c>
      <c r="IR107" t="s">
        <v>445</v>
      </c>
      <c r="IS107" t="s">
        <v>445</v>
      </c>
      <c r="IT107" t="s">
        <v>445</v>
      </c>
      <c r="IU107">
        <v>0</v>
      </c>
      <c r="IV107">
        <v>100</v>
      </c>
      <c r="IW107">
        <v>100</v>
      </c>
      <c r="IX107">
        <v>2.887</v>
      </c>
      <c r="IY107">
        <v>-0.1119</v>
      </c>
      <c r="IZ107">
        <v>1.24656194001752</v>
      </c>
      <c r="JA107">
        <v>0.00408463137630218</v>
      </c>
      <c r="JB107">
        <v>-2.23906557180379e-07</v>
      </c>
      <c r="JC107">
        <v>6.23399102760906e-11</v>
      </c>
      <c r="JD107">
        <v>-0.0873394905990972</v>
      </c>
      <c r="JE107">
        <v>-0.0233348201324191</v>
      </c>
      <c r="JF107">
        <v>0.00274696999164489</v>
      </c>
      <c r="JG107">
        <v>-3.62864435074646e-05</v>
      </c>
      <c r="JH107">
        <v>5</v>
      </c>
      <c r="JI107">
        <v>2263</v>
      </c>
      <c r="JJ107">
        <v>1</v>
      </c>
      <c r="JK107">
        <v>24</v>
      </c>
      <c r="JL107">
        <v>29361549.2</v>
      </c>
      <c r="JM107">
        <v>29361549.2</v>
      </c>
      <c r="JN107">
        <v>1.25244</v>
      </c>
      <c r="JO107">
        <v>2.61963</v>
      </c>
      <c r="JP107">
        <v>2.19849</v>
      </c>
      <c r="JQ107">
        <v>2.62573</v>
      </c>
      <c r="JR107">
        <v>2.44629</v>
      </c>
      <c r="JS107">
        <v>2.33765</v>
      </c>
      <c r="JT107">
        <v>33.558</v>
      </c>
      <c r="JU107">
        <v>24.1313</v>
      </c>
      <c r="JV107">
        <v>18</v>
      </c>
      <c r="JW107">
        <v>503.424</v>
      </c>
      <c r="JX107">
        <v>780.335</v>
      </c>
      <c r="JY107">
        <v>14.8803</v>
      </c>
      <c r="JZ107">
        <v>31.6127</v>
      </c>
      <c r="KA107">
        <v>30.0002</v>
      </c>
      <c r="KB107">
        <v>31.4337</v>
      </c>
      <c r="KC107">
        <v>31.3323</v>
      </c>
      <c r="KD107">
        <v>25.0908</v>
      </c>
      <c r="KE107">
        <v>20.1669</v>
      </c>
      <c r="KF107">
        <v>13.9352</v>
      </c>
      <c r="KG107">
        <v>14.8705</v>
      </c>
      <c r="KH107">
        <v>420</v>
      </c>
      <c r="KI107">
        <v>6.19412</v>
      </c>
      <c r="KJ107">
        <v>95.9846</v>
      </c>
      <c r="KK107">
        <v>93.8435</v>
      </c>
    </row>
    <row r="108" spans="1:297">
      <c r="A108">
        <v>92</v>
      </c>
      <c r="B108">
        <v>1761693025.1</v>
      </c>
      <c r="C108">
        <v>15676</v>
      </c>
      <c r="D108" t="s">
        <v>742</v>
      </c>
      <c r="E108" t="s">
        <v>743</v>
      </c>
      <c r="F108">
        <v>5</v>
      </c>
      <c r="G108" t="s">
        <v>739</v>
      </c>
      <c r="H108" t="s">
        <v>436</v>
      </c>
      <c r="I108">
        <v>1761693016.6</v>
      </c>
      <c r="J108">
        <f>(K108)/1000</f>
        <v>0</v>
      </c>
      <c r="K108">
        <f>IF(DP108, AN108, AH108)</f>
        <v>0</v>
      </c>
      <c r="L108">
        <f>IF(DP108, AI108, AG108)</f>
        <v>0</v>
      </c>
      <c r="M108">
        <f>DR108 - IF(AU108&gt;1, L108*DL108*100.0/(AW108), 0)</f>
        <v>0</v>
      </c>
      <c r="N108">
        <f>((T108-J108/2)*M108-L108)/(T108+J108/2)</f>
        <v>0</v>
      </c>
      <c r="O108">
        <f>N108*(DY108+DZ108)/1000.0</f>
        <v>0</v>
      </c>
      <c r="P108">
        <f>(DR108 - IF(AU108&gt;1, L108*DL108*100.0/(AW108), 0))*(DY108+DZ108)/1000.0</f>
        <v>0</v>
      </c>
      <c r="Q108">
        <f>2.0/((1/S108-1/R108)+SIGN(S108)*SQRT((1/S108-1/R108)*(1/S108-1/R108) + 4*DM108/((DM108+1)*(DM108+1))*(2*1/S108*1/R108-1/R108*1/R108)))</f>
        <v>0</v>
      </c>
      <c r="R108">
        <f>IF(LEFT(DN108,1)&lt;&gt;"0",IF(LEFT(DN108,1)="1",3.0,DO108),$D$5+$E$5*(EF108*DY108/($K$5*1000))+$F$5*(EF108*DY108/($K$5*1000))*MAX(MIN(DL108,$J$5),$I$5)*MAX(MIN(DL108,$J$5),$I$5)+$G$5*MAX(MIN(DL108,$J$5),$I$5)*(EF108*DY108/($K$5*1000))+$H$5*(EF108*DY108/($K$5*1000))*(EF108*DY108/($K$5*1000)))</f>
        <v>0</v>
      </c>
      <c r="S108">
        <f>J108*(1000-(1000*0.61365*exp(17.502*W108/(240.97+W108))/(DY108+DZ108)+DT108)/2)/(1000*0.61365*exp(17.502*W108/(240.97+W108))/(DY108+DZ108)-DT108)</f>
        <v>0</v>
      </c>
      <c r="T108">
        <f>1/((DM108+1)/(Q108/1.6)+1/(R108/1.37)) + DM108/((DM108+1)/(Q108/1.6) + DM108/(R108/1.37))</f>
        <v>0</v>
      </c>
      <c r="U108">
        <f>(DH108*DK108)</f>
        <v>0</v>
      </c>
      <c r="V108">
        <f>(EA108+(U108+2*0.95*5.67E-8*(((EA108+$B$7)+273)^4-(EA108+273)^4)-44100*J108)/(1.84*29.3*R108+8*0.95*5.67E-8*(EA108+273)^3))</f>
        <v>0</v>
      </c>
      <c r="W108">
        <f>($C$7*EB108+$D$7*EC108+$E$7*V108)</f>
        <v>0</v>
      </c>
      <c r="X108">
        <f>0.61365*exp(17.502*W108/(240.97+W108))</f>
        <v>0</v>
      </c>
      <c r="Y108">
        <f>(Z108/AA108*100)</f>
        <v>0</v>
      </c>
      <c r="Z108">
        <f>DT108*(DY108+DZ108)/1000</f>
        <v>0</v>
      </c>
      <c r="AA108">
        <f>0.61365*exp(17.502*EA108/(240.97+EA108))</f>
        <v>0</v>
      </c>
      <c r="AB108">
        <f>(X108-DT108*(DY108+DZ108)/1000)</f>
        <v>0</v>
      </c>
      <c r="AC108">
        <f>(-J108*44100)</f>
        <v>0</v>
      </c>
      <c r="AD108">
        <f>2*29.3*R108*0.92*(EA108-W108)</f>
        <v>0</v>
      </c>
      <c r="AE108">
        <f>2*0.95*5.67E-8*(((EA108+$B$7)+273)^4-(W108+273)^4)</f>
        <v>0</v>
      </c>
      <c r="AF108">
        <f>U108+AE108+AC108+AD108</f>
        <v>0</v>
      </c>
      <c r="AG108">
        <f>DX108*AU108*(DS108-DR108*(1000-AU108*DU108)/(1000-AU108*DT108))/(100*DL108)</f>
        <v>0</v>
      </c>
      <c r="AH108">
        <f>1000*DX108*AU108*(DT108-DU108)/(100*DL108*(1000-AU108*DT108))</f>
        <v>0</v>
      </c>
      <c r="AI108">
        <f>(AJ108 - AK108 - DY108*1E3/(8.314*(EA108+273.15)) * AM108/DX108 * AL108) * DX108/(100*DL108) * (1000 - DU108)/1000</f>
        <v>0</v>
      </c>
      <c r="AJ108">
        <v>422.618097639801</v>
      </c>
      <c r="AK108">
        <v>416.25476969697</v>
      </c>
      <c r="AL108">
        <v>0.000667226146407247</v>
      </c>
      <c r="AM108">
        <v>64.1617943531089</v>
      </c>
      <c r="AN108">
        <f>(AP108 - AO108 + DY108*1E3/(8.314*(EA108+273.15)) * AR108/DX108 * AQ108) * DX108/(100*DL108) * 1000/(1000 - AP108)</f>
        <v>0</v>
      </c>
      <c r="AO108">
        <v>6.17973147433597</v>
      </c>
      <c r="AP108">
        <v>8.23569377622379</v>
      </c>
      <c r="AQ108">
        <v>0.000157907614427321</v>
      </c>
      <c r="AR108">
        <v>108.963540837023</v>
      </c>
      <c r="AS108">
        <v>0</v>
      </c>
      <c r="AT108">
        <v>0</v>
      </c>
      <c r="AU108">
        <f>IF(AS108*$H$13&gt;=AW108,1.0,(AW108/(AW108-AS108*$H$13)))</f>
        <v>0</v>
      </c>
      <c r="AV108">
        <f>(AU108-1)*100</f>
        <v>0</v>
      </c>
      <c r="AW108">
        <f>MAX(0,($B$13+$C$13*EF108)/(1+$D$13*EF108)*DY108/(EA108+273)*$E$13)</f>
        <v>0</v>
      </c>
      <c r="AX108" t="s">
        <v>448</v>
      </c>
      <c r="AY108" t="s">
        <v>448</v>
      </c>
      <c r="AZ108">
        <v>0</v>
      </c>
      <c r="BA108">
        <v>0</v>
      </c>
      <c r="BB108">
        <f>1-AZ108/BA108</f>
        <v>0</v>
      </c>
      <c r="BC108">
        <v>0</v>
      </c>
      <c r="BD108" t="s">
        <v>448</v>
      </c>
      <c r="BE108" t="s">
        <v>448</v>
      </c>
      <c r="BF108">
        <v>0</v>
      </c>
      <c r="BG108">
        <v>0</v>
      </c>
      <c r="BH108">
        <f>1-BF108/BG108</f>
        <v>0</v>
      </c>
      <c r="BI108">
        <v>0.5</v>
      </c>
      <c r="BJ108">
        <f>DI108</f>
        <v>0</v>
      </c>
      <c r="BK108">
        <f>L108</f>
        <v>0</v>
      </c>
      <c r="BL108">
        <f>BH108*BI108*BJ108</f>
        <v>0</v>
      </c>
      <c r="BM108">
        <f>(BK108-BC108)/BJ108</f>
        <v>0</v>
      </c>
      <c r="BN108">
        <f>(BA108-BG108)/BG108</f>
        <v>0</v>
      </c>
      <c r="BO108">
        <f>AZ108/(BB108+AZ108/BG108)</f>
        <v>0</v>
      </c>
      <c r="BP108" t="s">
        <v>448</v>
      </c>
      <c r="BQ108">
        <v>0</v>
      </c>
      <c r="BR108">
        <f>IF(BQ108&lt;&gt;0, BQ108, BO108)</f>
        <v>0</v>
      </c>
      <c r="BS108">
        <f>1-BR108/BG108</f>
        <v>0</v>
      </c>
      <c r="BT108">
        <f>(BG108-BF108)/(BG108-BR108)</f>
        <v>0</v>
      </c>
      <c r="BU108">
        <f>(BA108-BG108)/(BA108-BR108)</f>
        <v>0</v>
      </c>
      <c r="BV108">
        <f>(BG108-BF108)/(BG108-AZ108)</f>
        <v>0</v>
      </c>
      <c r="BW108">
        <f>(BA108-BG108)/(BA108-AZ108)</f>
        <v>0</v>
      </c>
      <c r="BX108">
        <f>(BT108*BR108/BF108)</f>
        <v>0</v>
      </c>
      <c r="BY108">
        <f>(1-BX108)</f>
        <v>0</v>
      </c>
      <c r="BZ108">
        <v>105</v>
      </c>
      <c r="CA108">
        <v>290</v>
      </c>
      <c r="CB108">
        <v>1706.73</v>
      </c>
      <c r="CC108">
        <v>195</v>
      </c>
      <c r="CD108">
        <v>5131.99</v>
      </c>
      <c r="CE108">
        <v>1705</v>
      </c>
      <c r="CF108">
        <v>1.73</v>
      </c>
      <c r="CG108">
        <v>300</v>
      </c>
      <c r="CH108">
        <v>23.6</v>
      </c>
      <c r="CI108">
        <v>1758.16082293479</v>
      </c>
      <c r="CJ108">
        <v>2.32010403450299</v>
      </c>
      <c r="CK108">
        <v>-27.2845691487089</v>
      </c>
      <c r="CL108">
        <v>1.09721500187054</v>
      </c>
      <c r="CM108">
        <v>0.956681378731522</v>
      </c>
      <c r="CN108">
        <v>-0.00256194060066741</v>
      </c>
      <c r="CO108">
        <v>290</v>
      </c>
      <c r="CP108">
        <v>1703.52</v>
      </c>
      <c r="CQ108">
        <v>625</v>
      </c>
      <c r="CR108">
        <v>5130.69</v>
      </c>
      <c r="CS108">
        <v>1704.98</v>
      </c>
      <c r="CT108">
        <v>-1.46</v>
      </c>
      <c r="DH108">
        <f>$B$11*EG108+$C$11*EH108+$F$11*ES108*(1-EV108)</f>
        <v>0</v>
      </c>
      <c r="DI108">
        <f>DH108*DJ108</f>
        <v>0</v>
      </c>
      <c r="DJ108">
        <f>($B$11*$D$9+$C$11*$D$9+$F$11*((FF108+EX108)/MAX(FF108+EX108+FG108, 0.1)*$I$9+FG108/MAX(FF108+EX108+FG108, 0.1)*$J$9))/($B$11+$C$11+$F$11)</f>
        <v>0</v>
      </c>
      <c r="DK108">
        <f>($B$11*$K$9+$C$11*$K$9+$F$11*((FF108+EX108)/MAX(FF108+EX108+FG108, 0.1)*$P$9+FG108/MAX(FF108+EX108+FG108, 0.1)*$Q$9))/($B$11+$C$11+$F$11)</f>
        <v>0</v>
      </c>
      <c r="DL108">
        <v>6</v>
      </c>
      <c r="DM108">
        <v>0.5</v>
      </c>
      <c r="DN108" t="s">
        <v>440</v>
      </c>
      <c r="DO108">
        <v>2</v>
      </c>
      <c r="DP108" t="b">
        <v>1</v>
      </c>
      <c r="DQ108">
        <v>1761693016.6</v>
      </c>
      <c r="DR108">
        <v>412.84425</v>
      </c>
      <c r="DS108">
        <v>420.0145</v>
      </c>
      <c r="DT108">
        <v>8.22215625</v>
      </c>
      <c r="DU108">
        <v>6.172444375</v>
      </c>
      <c r="DV108">
        <v>409.9565</v>
      </c>
      <c r="DW108">
        <v>8.3341775</v>
      </c>
      <c r="DX108">
        <v>500.0703125</v>
      </c>
      <c r="DY108">
        <v>91.04751875</v>
      </c>
      <c r="DZ108">
        <v>0.02411975625</v>
      </c>
      <c r="EA108">
        <v>23.27593125</v>
      </c>
      <c r="EB108">
        <v>24.04736875</v>
      </c>
      <c r="EC108">
        <v>999.9</v>
      </c>
      <c r="ED108">
        <v>0</v>
      </c>
      <c r="EE108">
        <v>0</v>
      </c>
      <c r="EF108">
        <v>9994.889375</v>
      </c>
      <c r="EG108">
        <v>0</v>
      </c>
      <c r="EH108">
        <v>1332.830625</v>
      </c>
      <c r="EI108">
        <v>-7.170343125</v>
      </c>
      <c r="EJ108">
        <v>416.2668125</v>
      </c>
      <c r="EK108">
        <v>422.6230625</v>
      </c>
      <c r="EL108">
        <v>2.0497125</v>
      </c>
      <c r="EM108">
        <v>420.0145</v>
      </c>
      <c r="EN108">
        <v>6.172444375</v>
      </c>
      <c r="EO108">
        <v>0.7486070625</v>
      </c>
      <c r="EP108">
        <v>0.56198575</v>
      </c>
      <c r="EQ108">
        <v>2.76839375</v>
      </c>
      <c r="ER108">
        <v>-1.20484625</v>
      </c>
      <c r="ES108">
        <v>1800.001875</v>
      </c>
      <c r="ET108">
        <v>0.97799975</v>
      </c>
      <c r="EU108">
        <v>0.02200025</v>
      </c>
      <c r="EV108">
        <v>0</v>
      </c>
      <c r="EW108">
        <v>1621.824375</v>
      </c>
      <c r="EX108">
        <v>5.00059</v>
      </c>
      <c r="EY108">
        <v>29091.0875</v>
      </c>
      <c r="EZ108">
        <v>15610.7</v>
      </c>
      <c r="FA108">
        <v>40.5</v>
      </c>
      <c r="FB108">
        <v>41.406</v>
      </c>
      <c r="FC108">
        <v>40.281</v>
      </c>
      <c r="FD108">
        <v>40.73425</v>
      </c>
      <c r="FE108">
        <v>41.117125</v>
      </c>
      <c r="FF108">
        <v>1755.511875</v>
      </c>
      <c r="FG108">
        <v>39.49</v>
      </c>
      <c r="FH108">
        <v>0</v>
      </c>
      <c r="FI108">
        <v>67.9000000953674</v>
      </c>
      <c r="FJ108">
        <v>0</v>
      </c>
      <c r="FK108">
        <v>1621.58769230769</v>
      </c>
      <c r="FL108">
        <v>-12.8232478713048</v>
      </c>
      <c r="FM108">
        <v>-215.98290613011</v>
      </c>
      <c r="FN108">
        <v>29086.8961538462</v>
      </c>
      <c r="FO108">
        <v>15</v>
      </c>
      <c r="FP108">
        <v>0</v>
      </c>
      <c r="FQ108" t="s">
        <v>441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-7.14814809523809</v>
      </c>
      <c r="GD108">
        <v>-0.496960519480519</v>
      </c>
      <c r="GE108">
        <v>0.0564941161385558</v>
      </c>
      <c r="GF108">
        <v>1</v>
      </c>
      <c r="GG108">
        <v>1622.62088235294</v>
      </c>
      <c r="GH108">
        <v>-13.0766997667345</v>
      </c>
      <c r="GI108">
        <v>1.30106148438848</v>
      </c>
      <c r="GJ108">
        <v>-1</v>
      </c>
      <c r="GK108">
        <v>2.0496</v>
      </c>
      <c r="GL108">
        <v>0.00214285714286084</v>
      </c>
      <c r="GM108">
        <v>0.00456340829184669</v>
      </c>
      <c r="GN108">
        <v>1</v>
      </c>
      <c r="GO108">
        <v>2</v>
      </c>
      <c r="GP108">
        <v>2</v>
      </c>
      <c r="GQ108" t="s">
        <v>442</v>
      </c>
      <c r="GR108">
        <v>3.12698</v>
      </c>
      <c r="GS108">
        <v>2.70234</v>
      </c>
      <c r="GT108">
        <v>0.0878352</v>
      </c>
      <c r="GU108">
        <v>0.0896233</v>
      </c>
      <c r="GV108">
        <v>0.0459401</v>
      </c>
      <c r="GW108">
        <v>0.0363695</v>
      </c>
      <c r="GX108">
        <v>34100.1</v>
      </c>
      <c r="GY108">
        <v>36429.1</v>
      </c>
      <c r="GZ108">
        <v>33842.6</v>
      </c>
      <c r="HA108">
        <v>36250.7</v>
      </c>
      <c r="HB108">
        <v>45644.2</v>
      </c>
      <c r="HC108">
        <v>50138.5</v>
      </c>
      <c r="HD108">
        <v>52799.7</v>
      </c>
      <c r="HE108">
        <v>57897.8</v>
      </c>
      <c r="HF108">
        <v>1.90905</v>
      </c>
      <c r="HG108">
        <v>2.2763</v>
      </c>
      <c r="HH108">
        <v>0.035543</v>
      </c>
      <c r="HI108">
        <v>0</v>
      </c>
      <c r="HJ108">
        <v>23.5513</v>
      </c>
      <c r="HK108">
        <v>999.9</v>
      </c>
      <c r="HL108">
        <v>21.145</v>
      </c>
      <c r="HM108">
        <v>30.101</v>
      </c>
      <c r="HN108">
        <v>9.95183</v>
      </c>
      <c r="HO108">
        <v>55.5796</v>
      </c>
      <c r="HP108">
        <v>31.1739</v>
      </c>
      <c r="HQ108">
        <v>2</v>
      </c>
      <c r="HR108">
        <v>0.364517</v>
      </c>
      <c r="HS108">
        <v>8.89908</v>
      </c>
      <c r="HT108">
        <v>19.9069</v>
      </c>
      <c r="HU108">
        <v>5.19932</v>
      </c>
      <c r="HV108">
        <v>12.0099</v>
      </c>
      <c r="HW108">
        <v>4.9756</v>
      </c>
      <c r="HX108">
        <v>3.294</v>
      </c>
      <c r="HY108">
        <v>9999</v>
      </c>
      <c r="HZ108">
        <v>9999</v>
      </c>
      <c r="IA108">
        <v>9999</v>
      </c>
      <c r="IB108">
        <v>999.9</v>
      </c>
      <c r="IC108">
        <v>1.86321</v>
      </c>
      <c r="ID108">
        <v>1.86807</v>
      </c>
      <c r="IE108">
        <v>1.86783</v>
      </c>
      <c r="IF108">
        <v>1.86905</v>
      </c>
      <c r="IG108">
        <v>1.86981</v>
      </c>
      <c r="IH108">
        <v>1.86584</v>
      </c>
      <c r="II108">
        <v>1.86693</v>
      </c>
      <c r="IJ108">
        <v>1.86833</v>
      </c>
      <c r="IK108">
        <v>5</v>
      </c>
      <c r="IL108">
        <v>0</v>
      </c>
      <c r="IM108">
        <v>0</v>
      </c>
      <c r="IN108">
        <v>0</v>
      </c>
      <c r="IO108" t="s">
        <v>443</v>
      </c>
      <c r="IP108" t="s">
        <v>444</v>
      </c>
      <c r="IQ108" t="s">
        <v>445</v>
      </c>
      <c r="IR108" t="s">
        <v>445</v>
      </c>
      <c r="IS108" t="s">
        <v>445</v>
      </c>
      <c r="IT108" t="s">
        <v>445</v>
      </c>
      <c r="IU108">
        <v>0</v>
      </c>
      <c r="IV108">
        <v>100</v>
      </c>
      <c r="IW108">
        <v>100</v>
      </c>
      <c r="IX108">
        <v>2.888</v>
      </c>
      <c r="IY108">
        <v>-0.1118</v>
      </c>
      <c r="IZ108">
        <v>1.24656194001752</v>
      </c>
      <c r="JA108">
        <v>0.00408463137630218</v>
      </c>
      <c r="JB108">
        <v>-2.23906557180379e-07</v>
      </c>
      <c r="JC108">
        <v>6.23399102760906e-11</v>
      </c>
      <c r="JD108">
        <v>-0.0873394905990972</v>
      </c>
      <c r="JE108">
        <v>-0.0233348201324191</v>
      </c>
      <c r="JF108">
        <v>0.00274696999164489</v>
      </c>
      <c r="JG108">
        <v>-3.62864435074646e-05</v>
      </c>
      <c r="JH108">
        <v>5</v>
      </c>
      <c r="JI108">
        <v>2263</v>
      </c>
      <c r="JJ108">
        <v>1</v>
      </c>
      <c r="JK108">
        <v>24</v>
      </c>
      <c r="JL108">
        <v>29361550.4</v>
      </c>
      <c r="JM108">
        <v>29361550.4</v>
      </c>
      <c r="JN108">
        <v>1.25244</v>
      </c>
      <c r="JO108">
        <v>2.62451</v>
      </c>
      <c r="JP108">
        <v>2.19849</v>
      </c>
      <c r="JQ108">
        <v>2.62451</v>
      </c>
      <c r="JR108">
        <v>2.44507</v>
      </c>
      <c r="JS108">
        <v>2.31934</v>
      </c>
      <c r="JT108">
        <v>33.5355</v>
      </c>
      <c r="JU108">
        <v>24.0963</v>
      </c>
      <c r="JV108">
        <v>18</v>
      </c>
      <c r="JW108">
        <v>502.512</v>
      </c>
      <c r="JX108">
        <v>787.046</v>
      </c>
      <c r="JY108">
        <v>15.662</v>
      </c>
      <c r="JZ108">
        <v>31.6377</v>
      </c>
      <c r="KA108">
        <v>30.0083</v>
      </c>
      <c r="KB108">
        <v>31.4713</v>
      </c>
      <c r="KC108">
        <v>31.3736</v>
      </c>
      <c r="KD108">
        <v>25.0873</v>
      </c>
      <c r="KE108">
        <v>19.5956</v>
      </c>
      <c r="KF108">
        <v>13.9352</v>
      </c>
      <c r="KG108">
        <v>15.3938</v>
      </c>
      <c r="KH108">
        <v>420</v>
      </c>
      <c r="KI108">
        <v>6.24093</v>
      </c>
      <c r="KJ108">
        <v>95.9749</v>
      </c>
      <c r="KK108">
        <v>93.8314</v>
      </c>
    </row>
    <row r="109" spans="1:297">
      <c r="A109">
        <v>93</v>
      </c>
      <c r="B109">
        <v>1761693087</v>
      </c>
      <c r="C109">
        <v>15737.9000000954</v>
      </c>
      <c r="D109" t="s">
        <v>744</v>
      </c>
      <c r="E109" t="s">
        <v>745</v>
      </c>
      <c r="F109">
        <v>5</v>
      </c>
      <c r="G109" t="s">
        <v>739</v>
      </c>
      <c r="H109" t="s">
        <v>436</v>
      </c>
      <c r="I109">
        <v>1761693078.5</v>
      </c>
      <c r="J109">
        <f>(K109)/1000</f>
        <v>0</v>
      </c>
      <c r="K109">
        <f>IF(DP109, AN109, AH109)</f>
        <v>0</v>
      </c>
      <c r="L109">
        <f>IF(DP109, AI109, AG109)</f>
        <v>0</v>
      </c>
      <c r="M109">
        <f>DR109 - IF(AU109&gt;1, L109*DL109*100.0/(AW109), 0)</f>
        <v>0</v>
      </c>
      <c r="N109">
        <f>((T109-J109/2)*M109-L109)/(T109+J109/2)</f>
        <v>0</v>
      </c>
      <c r="O109">
        <f>N109*(DY109+DZ109)/1000.0</f>
        <v>0</v>
      </c>
      <c r="P109">
        <f>(DR109 - IF(AU109&gt;1, L109*DL109*100.0/(AW109), 0))*(DY109+DZ109)/1000.0</f>
        <v>0</v>
      </c>
      <c r="Q109">
        <f>2.0/((1/S109-1/R109)+SIGN(S109)*SQRT((1/S109-1/R109)*(1/S109-1/R109) + 4*DM109/((DM109+1)*(DM109+1))*(2*1/S109*1/R109-1/R109*1/R109)))</f>
        <v>0</v>
      </c>
      <c r="R109">
        <f>IF(LEFT(DN109,1)&lt;&gt;"0",IF(LEFT(DN109,1)="1",3.0,DO109),$D$5+$E$5*(EF109*DY109/($K$5*1000))+$F$5*(EF109*DY109/($K$5*1000))*MAX(MIN(DL109,$J$5),$I$5)*MAX(MIN(DL109,$J$5),$I$5)+$G$5*MAX(MIN(DL109,$J$5),$I$5)*(EF109*DY109/($K$5*1000))+$H$5*(EF109*DY109/($K$5*1000))*(EF109*DY109/($K$5*1000)))</f>
        <v>0</v>
      </c>
      <c r="S109">
        <f>J109*(1000-(1000*0.61365*exp(17.502*W109/(240.97+W109))/(DY109+DZ109)+DT109)/2)/(1000*0.61365*exp(17.502*W109/(240.97+W109))/(DY109+DZ109)-DT109)</f>
        <v>0</v>
      </c>
      <c r="T109">
        <f>1/((DM109+1)/(Q109/1.6)+1/(R109/1.37)) + DM109/((DM109+1)/(Q109/1.6) + DM109/(R109/1.37))</f>
        <v>0</v>
      </c>
      <c r="U109">
        <f>(DH109*DK109)</f>
        <v>0</v>
      </c>
      <c r="V109">
        <f>(EA109+(U109+2*0.95*5.67E-8*(((EA109+$B$7)+273)^4-(EA109+273)^4)-44100*J109)/(1.84*29.3*R109+8*0.95*5.67E-8*(EA109+273)^3))</f>
        <v>0</v>
      </c>
      <c r="W109">
        <f>($C$7*EB109+$D$7*EC109+$E$7*V109)</f>
        <v>0</v>
      </c>
      <c r="X109">
        <f>0.61365*exp(17.502*W109/(240.97+W109))</f>
        <v>0</v>
      </c>
      <c r="Y109">
        <f>(Z109/AA109*100)</f>
        <v>0</v>
      </c>
      <c r="Z109">
        <f>DT109*(DY109+DZ109)/1000</f>
        <v>0</v>
      </c>
      <c r="AA109">
        <f>0.61365*exp(17.502*EA109/(240.97+EA109))</f>
        <v>0</v>
      </c>
      <c r="AB109">
        <f>(X109-DT109*(DY109+DZ109)/1000)</f>
        <v>0</v>
      </c>
      <c r="AC109">
        <f>(-J109*44100)</f>
        <v>0</v>
      </c>
      <c r="AD109">
        <f>2*29.3*R109*0.92*(EA109-W109)</f>
        <v>0</v>
      </c>
      <c r="AE109">
        <f>2*0.95*5.67E-8*(((EA109+$B$7)+273)^4-(W109+273)^4)</f>
        <v>0</v>
      </c>
      <c r="AF109">
        <f>U109+AE109+AC109+AD109</f>
        <v>0</v>
      </c>
      <c r="AG109">
        <f>DX109*AU109*(DS109-DR109*(1000-AU109*DU109)/(1000-AU109*DT109))/(100*DL109)</f>
        <v>0</v>
      </c>
      <c r="AH109">
        <f>1000*DX109*AU109*(DT109-DU109)/(100*DL109*(1000-AU109*DT109))</f>
        <v>0</v>
      </c>
      <c r="AI109">
        <f>(AJ109 - AK109 - DY109*1E3/(8.314*(EA109+273.15)) * AM109/DX109 * AL109) * DX109/(100*DL109) * (1000 - DU109)/1000</f>
        <v>0</v>
      </c>
      <c r="AJ109">
        <v>422.661670206457</v>
      </c>
      <c r="AK109">
        <v>416.155812121212</v>
      </c>
      <c r="AL109">
        <v>-0.000349493680825635</v>
      </c>
      <c r="AM109">
        <v>64.1617943531089</v>
      </c>
      <c r="AN109">
        <f>(AP109 - AO109 + DY109*1E3/(8.314*(EA109+273.15)) * AR109/DX109 * AQ109) * DX109/(100*DL109) * 1000/(1000 - AP109)</f>
        <v>0</v>
      </c>
      <c r="AO109">
        <v>6.23874792465892</v>
      </c>
      <c r="AP109">
        <v>8.27923447552448</v>
      </c>
      <c r="AQ109">
        <v>4.08688107812954e-05</v>
      </c>
      <c r="AR109">
        <v>108.963540837023</v>
      </c>
      <c r="AS109">
        <v>0</v>
      </c>
      <c r="AT109">
        <v>0</v>
      </c>
      <c r="AU109">
        <f>IF(AS109*$H$13&gt;=AW109,1.0,(AW109/(AW109-AS109*$H$13)))</f>
        <v>0</v>
      </c>
      <c r="AV109">
        <f>(AU109-1)*100</f>
        <v>0</v>
      </c>
      <c r="AW109">
        <f>MAX(0,($B$13+$C$13*EF109)/(1+$D$13*EF109)*DY109/(EA109+273)*$E$13)</f>
        <v>0</v>
      </c>
      <c r="AX109" t="s">
        <v>736</v>
      </c>
      <c r="AY109">
        <v>5122.34</v>
      </c>
      <c r="AZ109">
        <v>745.280769230769</v>
      </c>
      <c r="BA109">
        <v>2455.23089761668</v>
      </c>
      <c r="BB109">
        <f>1-AZ109/BA109</f>
        <v>0</v>
      </c>
      <c r="BC109">
        <v>-1.10567321366113</v>
      </c>
      <c r="BD109" t="s">
        <v>746</v>
      </c>
      <c r="BE109">
        <v>5136.26</v>
      </c>
      <c r="BF109">
        <v>1594.118</v>
      </c>
      <c r="BG109">
        <v>1747.65904319795</v>
      </c>
      <c r="BH109">
        <f>1-BF109/BG109</f>
        <v>0</v>
      </c>
      <c r="BI109">
        <v>0.5</v>
      </c>
      <c r="BJ109">
        <f>DI109</f>
        <v>0</v>
      </c>
      <c r="BK109">
        <f>L109</f>
        <v>0</v>
      </c>
      <c r="BL109">
        <f>BH109*BI109*BJ109</f>
        <v>0</v>
      </c>
      <c r="BM109">
        <f>(BK109-BC109)/BJ109</f>
        <v>0</v>
      </c>
      <c r="BN109">
        <f>(BA109-BG109)/BG109</f>
        <v>0</v>
      </c>
      <c r="BO109">
        <f>AZ109/(BB109+AZ109/BG109)</f>
        <v>0</v>
      </c>
      <c r="BP109" t="s">
        <v>747</v>
      </c>
      <c r="BQ109">
        <v>859.27</v>
      </c>
      <c r="BR109">
        <f>IF(BQ109&lt;&gt;0, BQ109, BO109)</f>
        <v>0</v>
      </c>
      <c r="BS109">
        <f>1-BR109/BG109</f>
        <v>0</v>
      </c>
      <c r="BT109">
        <f>(BG109-BF109)/(BG109-BR109)</f>
        <v>0</v>
      </c>
      <c r="BU109">
        <f>(BA109-BG109)/(BA109-BR109)</f>
        <v>0</v>
      </c>
      <c r="BV109">
        <f>(BG109-BF109)/(BG109-AZ109)</f>
        <v>0</v>
      </c>
      <c r="BW109">
        <f>(BA109-BG109)/(BA109-AZ109)</f>
        <v>0</v>
      </c>
      <c r="BX109">
        <f>(BT109*BR109/BF109)</f>
        <v>0</v>
      </c>
      <c r="BY109">
        <f>(1-BX109)</f>
        <v>0</v>
      </c>
      <c r="BZ109">
        <v>107</v>
      </c>
      <c r="CA109">
        <v>290</v>
      </c>
      <c r="CB109">
        <v>1695.48</v>
      </c>
      <c r="CC109">
        <v>75</v>
      </c>
      <c r="CD109">
        <v>5136.26</v>
      </c>
      <c r="CE109">
        <v>1694.08</v>
      </c>
      <c r="CF109">
        <v>1.4</v>
      </c>
      <c r="CG109">
        <v>300</v>
      </c>
      <c r="CH109">
        <v>23.7</v>
      </c>
      <c r="CI109">
        <v>1747.65904319795</v>
      </c>
      <c r="CJ109">
        <v>2.25890457205964</v>
      </c>
      <c r="CK109">
        <v>-27.5220709369722</v>
      </c>
      <c r="CL109">
        <v>1.05299067804194</v>
      </c>
      <c r="CM109">
        <v>0.960626900132665</v>
      </c>
      <c r="CN109">
        <v>-0.00298391457174639</v>
      </c>
      <c r="CO109">
        <v>290</v>
      </c>
      <c r="CP109">
        <v>1692.12</v>
      </c>
      <c r="CQ109">
        <v>625</v>
      </c>
      <c r="CR109">
        <v>5132.42</v>
      </c>
      <c r="CS109">
        <v>1694.04</v>
      </c>
      <c r="CT109">
        <v>-1.92</v>
      </c>
      <c r="DH109">
        <f>$B$11*EG109+$C$11*EH109+$F$11*ES109*(1-EV109)</f>
        <v>0</v>
      </c>
      <c r="DI109">
        <f>DH109*DJ109</f>
        <v>0</v>
      </c>
      <c r="DJ109">
        <f>($B$11*$D$9+$C$11*$D$9+$F$11*((FF109+EX109)/MAX(FF109+EX109+FG109, 0.1)*$I$9+FG109/MAX(FF109+EX109+FG109, 0.1)*$J$9))/($B$11+$C$11+$F$11)</f>
        <v>0</v>
      </c>
      <c r="DK109">
        <f>($B$11*$K$9+$C$11*$K$9+$F$11*((FF109+EX109)/MAX(FF109+EX109+FG109, 0.1)*$P$9+FG109/MAX(FF109+EX109+FG109, 0.1)*$Q$9))/($B$11+$C$11+$F$11)</f>
        <v>0</v>
      </c>
      <c r="DL109">
        <v>6</v>
      </c>
      <c r="DM109">
        <v>0.5</v>
      </c>
      <c r="DN109" t="s">
        <v>440</v>
      </c>
      <c r="DO109">
        <v>2</v>
      </c>
      <c r="DP109" t="b">
        <v>1</v>
      </c>
      <c r="DQ109">
        <v>1761693078.5</v>
      </c>
      <c r="DR109">
        <v>412.7415625</v>
      </c>
      <c r="DS109">
        <v>419.9966875</v>
      </c>
      <c r="DT109">
        <v>8.269836875</v>
      </c>
      <c r="DU109">
        <v>6.238255625</v>
      </c>
      <c r="DV109">
        <v>409.8541875</v>
      </c>
      <c r="DW109">
        <v>8.381154375</v>
      </c>
      <c r="DX109">
        <v>500.03175</v>
      </c>
      <c r="DY109">
        <v>91.05133125</v>
      </c>
      <c r="DZ109">
        <v>0.0239070625</v>
      </c>
      <c r="EA109">
        <v>23.2651875</v>
      </c>
      <c r="EB109">
        <v>23.81095625</v>
      </c>
      <c r="EC109">
        <v>999.9</v>
      </c>
      <c r="ED109">
        <v>0</v>
      </c>
      <c r="EE109">
        <v>0</v>
      </c>
      <c r="EF109">
        <v>10004.28125</v>
      </c>
      <c r="EG109">
        <v>0</v>
      </c>
      <c r="EH109">
        <v>1332.754375</v>
      </c>
      <c r="EI109">
        <v>-7.255093125</v>
      </c>
      <c r="EJ109">
        <v>416.183375</v>
      </c>
      <c r="EK109">
        <v>422.6331875</v>
      </c>
      <c r="EL109">
        <v>2.031580625</v>
      </c>
      <c r="EM109">
        <v>419.9966875</v>
      </c>
      <c r="EN109">
        <v>6.238255625</v>
      </c>
      <c r="EO109">
        <v>0.752979625</v>
      </c>
      <c r="EP109">
        <v>0.5680015625</v>
      </c>
      <c r="EQ109">
        <v>2.850465</v>
      </c>
      <c r="ER109">
        <v>-1.05960625</v>
      </c>
      <c r="ES109">
        <v>1499.9875</v>
      </c>
      <c r="ET109">
        <v>0.9729949375</v>
      </c>
      <c r="EU109">
        <v>0.02700514375</v>
      </c>
      <c r="EV109">
        <v>0</v>
      </c>
      <c r="EW109">
        <v>1594.25625</v>
      </c>
      <c r="EX109">
        <v>5.00059</v>
      </c>
      <c r="EY109">
        <v>23783.53125</v>
      </c>
      <c r="EZ109">
        <v>12982.23125</v>
      </c>
      <c r="FA109">
        <v>40.402125</v>
      </c>
      <c r="FB109">
        <v>41.57775</v>
      </c>
      <c r="FC109">
        <v>40.394375</v>
      </c>
      <c r="FD109">
        <v>40.875</v>
      </c>
      <c r="FE109">
        <v>41.16375</v>
      </c>
      <c r="FF109">
        <v>1454.6175</v>
      </c>
      <c r="FG109">
        <v>40.37</v>
      </c>
      <c r="FH109">
        <v>0</v>
      </c>
      <c r="FI109">
        <v>129.700000047684</v>
      </c>
      <c r="FJ109">
        <v>0</v>
      </c>
      <c r="FK109">
        <v>1594.118</v>
      </c>
      <c r="FL109">
        <v>-7.70307690699458</v>
      </c>
      <c r="FM109">
        <v>-111.992307602599</v>
      </c>
      <c r="FN109">
        <v>23781.644</v>
      </c>
      <c r="FO109">
        <v>15</v>
      </c>
      <c r="FP109">
        <v>0</v>
      </c>
      <c r="FQ109" t="s">
        <v>441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-7.25577666666667</v>
      </c>
      <c r="GD109">
        <v>-0.0491618181818099</v>
      </c>
      <c r="GE109">
        <v>0.0230665507841845</v>
      </c>
      <c r="GF109">
        <v>1</v>
      </c>
      <c r="GG109">
        <v>1594.63147058824</v>
      </c>
      <c r="GH109">
        <v>-6.83590527577532</v>
      </c>
      <c r="GI109">
        <v>0.698081961953996</v>
      </c>
      <c r="GJ109">
        <v>-1</v>
      </c>
      <c r="GK109">
        <v>2.02651619047619</v>
      </c>
      <c r="GL109">
        <v>0.0819592207792259</v>
      </c>
      <c r="GM109">
        <v>0.00838136167831733</v>
      </c>
      <c r="GN109">
        <v>1</v>
      </c>
      <c r="GO109">
        <v>2</v>
      </c>
      <c r="GP109">
        <v>2</v>
      </c>
      <c r="GQ109" t="s">
        <v>442</v>
      </c>
      <c r="GR109">
        <v>3.12769</v>
      </c>
      <c r="GS109">
        <v>2.70175</v>
      </c>
      <c r="GT109">
        <v>0.0878184</v>
      </c>
      <c r="GU109">
        <v>0.0896225</v>
      </c>
      <c r="GV109">
        <v>0.046143</v>
      </c>
      <c r="GW109">
        <v>0.0366536</v>
      </c>
      <c r="GX109">
        <v>34099.4</v>
      </c>
      <c r="GY109">
        <v>36425.9</v>
      </c>
      <c r="GZ109">
        <v>33841.4</v>
      </c>
      <c r="HA109">
        <v>36247.7</v>
      </c>
      <c r="HB109">
        <v>45633.1</v>
      </c>
      <c r="HC109">
        <v>50120.2</v>
      </c>
      <c r="HD109">
        <v>52798.3</v>
      </c>
      <c r="HE109">
        <v>57893.9</v>
      </c>
      <c r="HF109">
        <v>1.90995</v>
      </c>
      <c r="HG109">
        <v>2.27575</v>
      </c>
      <c r="HH109">
        <v>0.011269</v>
      </c>
      <c r="HI109">
        <v>0</v>
      </c>
      <c r="HJ109">
        <v>23.6384</v>
      </c>
      <c r="HK109">
        <v>999.9</v>
      </c>
      <c r="HL109">
        <v>20.993</v>
      </c>
      <c r="HM109">
        <v>30.111</v>
      </c>
      <c r="HN109">
        <v>9.8854</v>
      </c>
      <c r="HO109">
        <v>54.9296</v>
      </c>
      <c r="HP109">
        <v>31.0657</v>
      </c>
      <c r="HQ109">
        <v>2</v>
      </c>
      <c r="HR109">
        <v>0.348981</v>
      </c>
      <c r="HS109">
        <v>4.98369</v>
      </c>
      <c r="HT109">
        <v>20.0696</v>
      </c>
      <c r="HU109">
        <v>5.19348</v>
      </c>
      <c r="HV109">
        <v>12.0067</v>
      </c>
      <c r="HW109">
        <v>4.97455</v>
      </c>
      <c r="HX109">
        <v>3.294</v>
      </c>
      <c r="HY109">
        <v>9999</v>
      </c>
      <c r="HZ109">
        <v>9999</v>
      </c>
      <c r="IA109">
        <v>9999</v>
      </c>
      <c r="IB109">
        <v>999.9</v>
      </c>
      <c r="IC109">
        <v>1.86324</v>
      </c>
      <c r="ID109">
        <v>1.86813</v>
      </c>
      <c r="IE109">
        <v>1.86784</v>
      </c>
      <c r="IF109">
        <v>1.86905</v>
      </c>
      <c r="IG109">
        <v>1.86981</v>
      </c>
      <c r="IH109">
        <v>1.86585</v>
      </c>
      <c r="II109">
        <v>1.86697</v>
      </c>
      <c r="IJ109">
        <v>1.86841</v>
      </c>
      <c r="IK109">
        <v>5</v>
      </c>
      <c r="IL109">
        <v>0</v>
      </c>
      <c r="IM109">
        <v>0</v>
      </c>
      <c r="IN109">
        <v>0</v>
      </c>
      <c r="IO109" t="s">
        <v>443</v>
      </c>
      <c r="IP109" t="s">
        <v>444</v>
      </c>
      <c r="IQ109" t="s">
        <v>445</v>
      </c>
      <c r="IR109" t="s">
        <v>445</v>
      </c>
      <c r="IS109" t="s">
        <v>445</v>
      </c>
      <c r="IT109" t="s">
        <v>445</v>
      </c>
      <c r="IU109">
        <v>0</v>
      </c>
      <c r="IV109">
        <v>100</v>
      </c>
      <c r="IW109">
        <v>100</v>
      </c>
      <c r="IX109">
        <v>2.887</v>
      </c>
      <c r="IY109">
        <v>-0.1112</v>
      </c>
      <c r="IZ109">
        <v>1.24656194001752</v>
      </c>
      <c r="JA109">
        <v>0.00408463137630218</v>
      </c>
      <c r="JB109">
        <v>-2.23906557180379e-07</v>
      </c>
      <c r="JC109">
        <v>6.23399102760906e-11</v>
      </c>
      <c r="JD109">
        <v>-0.0873394905990972</v>
      </c>
      <c r="JE109">
        <v>-0.0233348201324191</v>
      </c>
      <c r="JF109">
        <v>0.00274696999164489</v>
      </c>
      <c r="JG109">
        <v>-3.62864435074646e-05</v>
      </c>
      <c r="JH109">
        <v>5</v>
      </c>
      <c r="JI109">
        <v>2263</v>
      </c>
      <c r="JJ109">
        <v>1</v>
      </c>
      <c r="JK109">
        <v>24</v>
      </c>
      <c r="JL109">
        <v>29361551.4</v>
      </c>
      <c r="JM109">
        <v>29361551.4</v>
      </c>
      <c r="JN109">
        <v>1.25244</v>
      </c>
      <c r="JO109">
        <v>2.62451</v>
      </c>
      <c r="JP109">
        <v>2.19849</v>
      </c>
      <c r="JQ109">
        <v>2.62451</v>
      </c>
      <c r="JR109">
        <v>2.44507</v>
      </c>
      <c r="JS109">
        <v>2.31934</v>
      </c>
      <c r="JT109">
        <v>33.5355</v>
      </c>
      <c r="JU109">
        <v>24.1663</v>
      </c>
      <c r="JV109">
        <v>18</v>
      </c>
      <c r="JW109">
        <v>503.432</v>
      </c>
      <c r="JX109">
        <v>787.051</v>
      </c>
      <c r="JY109">
        <v>16.4318</v>
      </c>
      <c r="JZ109">
        <v>31.6711</v>
      </c>
      <c r="KA109">
        <v>30.0003</v>
      </c>
      <c r="KB109">
        <v>31.5095</v>
      </c>
      <c r="KC109">
        <v>31.4128</v>
      </c>
      <c r="KD109">
        <v>25.0891</v>
      </c>
      <c r="KE109">
        <v>18.0792</v>
      </c>
      <c r="KF109">
        <v>13.5643</v>
      </c>
      <c r="KG109">
        <v>16.4585</v>
      </c>
      <c r="KH109">
        <v>420</v>
      </c>
      <c r="KI109">
        <v>6.284</v>
      </c>
      <c r="KJ109">
        <v>95.972</v>
      </c>
      <c r="KK109">
        <v>93.8245</v>
      </c>
    </row>
    <row r="110" spans="1:297">
      <c r="A110">
        <v>94</v>
      </c>
      <c r="B110">
        <v>1761693157</v>
      </c>
      <c r="C110">
        <v>15807.9000000954</v>
      </c>
      <c r="D110" t="s">
        <v>748</v>
      </c>
      <c r="E110" t="s">
        <v>749</v>
      </c>
      <c r="F110">
        <v>5</v>
      </c>
      <c r="G110" t="s">
        <v>739</v>
      </c>
      <c r="H110" t="s">
        <v>436</v>
      </c>
      <c r="I110">
        <v>1761693148.5</v>
      </c>
      <c r="J110">
        <f>(K110)/1000</f>
        <v>0</v>
      </c>
      <c r="K110">
        <f>IF(DP110, AN110, AH110)</f>
        <v>0</v>
      </c>
      <c r="L110">
        <f>IF(DP110, AI110, AG110)</f>
        <v>0</v>
      </c>
      <c r="M110">
        <f>DR110 - IF(AU110&gt;1, L110*DL110*100.0/(AW110), 0)</f>
        <v>0</v>
      </c>
      <c r="N110">
        <f>((T110-J110/2)*M110-L110)/(T110+J110/2)</f>
        <v>0</v>
      </c>
      <c r="O110">
        <f>N110*(DY110+DZ110)/1000.0</f>
        <v>0</v>
      </c>
      <c r="P110">
        <f>(DR110 - IF(AU110&gt;1, L110*DL110*100.0/(AW110), 0))*(DY110+DZ110)/1000.0</f>
        <v>0</v>
      </c>
      <c r="Q110">
        <f>2.0/((1/S110-1/R110)+SIGN(S110)*SQRT((1/S110-1/R110)*(1/S110-1/R110) + 4*DM110/((DM110+1)*(DM110+1))*(2*1/S110*1/R110-1/R110*1/R110)))</f>
        <v>0</v>
      </c>
      <c r="R110">
        <f>IF(LEFT(DN110,1)&lt;&gt;"0",IF(LEFT(DN110,1)="1",3.0,DO110),$D$5+$E$5*(EF110*DY110/($K$5*1000))+$F$5*(EF110*DY110/($K$5*1000))*MAX(MIN(DL110,$J$5),$I$5)*MAX(MIN(DL110,$J$5),$I$5)+$G$5*MAX(MIN(DL110,$J$5),$I$5)*(EF110*DY110/($K$5*1000))+$H$5*(EF110*DY110/($K$5*1000))*(EF110*DY110/($K$5*1000)))</f>
        <v>0</v>
      </c>
      <c r="S110">
        <f>J110*(1000-(1000*0.61365*exp(17.502*W110/(240.97+W110))/(DY110+DZ110)+DT110)/2)/(1000*0.61365*exp(17.502*W110/(240.97+W110))/(DY110+DZ110)-DT110)</f>
        <v>0</v>
      </c>
      <c r="T110">
        <f>1/((DM110+1)/(Q110/1.6)+1/(R110/1.37)) + DM110/((DM110+1)/(Q110/1.6) + DM110/(R110/1.37))</f>
        <v>0</v>
      </c>
      <c r="U110">
        <f>(DH110*DK110)</f>
        <v>0</v>
      </c>
      <c r="V110">
        <f>(EA110+(U110+2*0.95*5.67E-8*(((EA110+$B$7)+273)^4-(EA110+273)^4)-44100*J110)/(1.84*29.3*R110+8*0.95*5.67E-8*(EA110+273)^3))</f>
        <v>0</v>
      </c>
      <c r="W110">
        <f>($C$7*EB110+$D$7*EC110+$E$7*V110)</f>
        <v>0</v>
      </c>
      <c r="X110">
        <f>0.61365*exp(17.502*W110/(240.97+W110))</f>
        <v>0</v>
      </c>
      <c r="Y110">
        <f>(Z110/AA110*100)</f>
        <v>0</v>
      </c>
      <c r="Z110">
        <f>DT110*(DY110+DZ110)/1000</f>
        <v>0</v>
      </c>
      <c r="AA110">
        <f>0.61365*exp(17.502*EA110/(240.97+EA110))</f>
        <v>0</v>
      </c>
      <c r="AB110">
        <f>(X110-DT110*(DY110+DZ110)/1000)</f>
        <v>0</v>
      </c>
      <c r="AC110">
        <f>(-J110*44100)</f>
        <v>0</v>
      </c>
      <c r="AD110">
        <f>2*29.3*R110*0.92*(EA110-W110)</f>
        <v>0</v>
      </c>
      <c r="AE110">
        <f>2*0.95*5.67E-8*(((EA110+$B$7)+273)^4-(W110+273)^4)</f>
        <v>0</v>
      </c>
      <c r="AF110">
        <f>U110+AE110+AC110+AD110</f>
        <v>0</v>
      </c>
      <c r="AG110">
        <f>DX110*AU110*(DS110-DR110*(1000-AU110*DU110)/(1000-AU110*DT110))/(100*DL110)</f>
        <v>0</v>
      </c>
      <c r="AH110">
        <f>1000*DX110*AU110*(DT110-DU110)/(100*DL110*(1000-AU110*DT110))</f>
        <v>0</v>
      </c>
      <c r="AI110">
        <f>(AJ110 - AK110 - DY110*1E3/(8.314*(EA110+273.15)) * AM110/DX110 * AL110) * DX110/(100*DL110) * (1000 - DU110)/1000</f>
        <v>0</v>
      </c>
      <c r="AJ110">
        <v>422.653656596891</v>
      </c>
      <c r="AK110">
        <v>416.470678787879</v>
      </c>
      <c r="AL110">
        <v>8.9825566554388e-05</v>
      </c>
      <c r="AM110">
        <v>64.1617943531089</v>
      </c>
      <c r="AN110">
        <f>(AP110 - AO110 + DY110*1E3/(8.314*(EA110+273.15)) * AR110/DX110 * AQ110) * DX110/(100*DL110) * 1000/(1000 - AP110)</f>
        <v>0</v>
      </c>
      <c r="AO110">
        <v>6.31704962383609</v>
      </c>
      <c r="AP110">
        <v>8.39101818181818</v>
      </c>
      <c r="AQ110">
        <v>6.4775499823722e-05</v>
      </c>
      <c r="AR110">
        <v>108.963540837023</v>
      </c>
      <c r="AS110">
        <v>0</v>
      </c>
      <c r="AT110">
        <v>0</v>
      </c>
      <c r="AU110">
        <f>IF(AS110*$H$13&gt;=AW110,1.0,(AW110/(AW110-AS110*$H$13)))</f>
        <v>0</v>
      </c>
      <c r="AV110">
        <f>(AU110-1)*100</f>
        <v>0</v>
      </c>
      <c r="AW110">
        <f>MAX(0,($B$13+$C$13*EF110)/(1+$D$13*EF110)*DY110/(EA110+273)*$E$13)</f>
        <v>0</v>
      </c>
      <c r="AX110" t="s">
        <v>448</v>
      </c>
      <c r="AY110" t="s">
        <v>448</v>
      </c>
      <c r="AZ110">
        <v>0</v>
      </c>
      <c r="BA110">
        <v>0</v>
      </c>
      <c r="BB110">
        <f>1-AZ110/BA110</f>
        <v>0</v>
      </c>
      <c r="BC110">
        <v>0</v>
      </c>
      <c r="BD110" t="s">
        <v>448</v>
      </c>
      <c r="BE110" t="s">
        <v>448</v>
      </c>
      <c r="BF110">
        <v>0</v>
      </c>
      <c r="BG110">
        <v>0</v>
      </c>
      <c r="BH110">
        <f>1-BF110/BG110</f>
        <v>0</v>
      </c>
      <c r="BI110">
        <v>0.5</v>
      </c>
      <c r="BJ110">
        <f>DI110</f>
        <v>0</v>
      </c>
      <c r="BK110">
        <f>L110</f>
        <v>0</v>
      </c>
      <c r="BL110">
        <f>BH110*BI110*BJ110</f>
        <v>0</v>
      </c>
      <c r="BM110">
        <f>(BK110-BC110)/BJ110</f>
        <v>0</v>
      </c>
      <c r="BN110">
        <f>(BA110-BG110)/BG110</f>
        <v>0</v>
      </c>
      <c r="BO110">
        <f>AZ110/(BB110+AZ110/BG110)</f>
        <v>0</v>
      </c>
      <c r="BP110" t="s">
        <v>448</v>
      </c>
      <c r="BQ110">
        <v>0</v>
      </c>
      <c r="BR110">
        <f>IF(BQ110&lt;&gt;0, BQ110, BO110)</f>
        <v>0</v>
      </c>
      <c r="BS110">
        <f>1-BR110/BG110</f>
        <v>0</v>
      </c>
      <c r="BT110">
        <f>(BG110-BF110)/(BG110-BR110)</f>
        <v>0</v>
      </c>
      <c r="BU110">
        <f>(BA110-BG110)/(BA110-BR110)</f>
        <v>0</v>
      </c>
      <c r="BV110">
        <f>(BG110-BF110)/(BG110-AZ110)</f>
        <v>0</v>
      </c>
      <c r="BW110">
        <f>(BA110-BG110)/(BA110-AZ110)</f>
        <v>0</v>
      </c>
      <c r="BX110">
        <f>(BT110*BR110/BF110)</f>
        <v>0</v>
      </c>
      <c r="BY110">
        <f>(1-BX110)</f>
        <v>0</v>
      </c>
      <c r="BZ110">
        <v>107</v>
      </c>
      <c r="CA110">
        <v>290</v>
      </c>
      <c r="CB110">
        <v>1695.48</v>
      </c>
      <c r="CC110">
        <v>75</v>
      </c>
      <c r="CD110">
        <v>5136.26</v>
      </c>
      <c r="CE110">
        <v>1694.08</v>
      </c>
      <c r="CF110">
        <v>1.4</v>
      </c>
      <c r="CG110">
        <v>300</v>
      </c>
      <c r="CH110">
        <v>23.7</v>
      </c>
      <c r="CI110">
        <v>1747.65904319795</v>
      </c>
      <c r="CJ110">
        <v>2.25890457205964</v>
      </c>
      <c r="CK110">
        <v>-27.5220709369722</v>
      </c>
      <c r="CL110">
        <v>1.05299067804194</v>
      </c>
      <c r="CM110">
        <v>0.960626900132665</v>
      </c>
      <c r="CN110">
        <v>-0.00298391457174639</v>
      </c>
      <c r="CO110">
        <v>290</v>
      </c>
      <c r="CP110">
        <v>1692.12</v>
      </c>
      <c r="CQ110">
        <v>625</v>
      </c>
      <c r="CR110">
        <v>5132.42</v>
      </c>
      <c r="CS110">
        <v>1694.04</v>
      </c>
      <c r="CT110">
        <v>-1.92</v>
      </c>
      <c r="DH110">
        <f>$B$11*EG110+$C$11*EH110+$F$11*ES110*(1-EV110)</f>
        <v>0</v>
      </c>
      <c r="DI110">
        <f>DH110*DJ110</f>
        <v>0</v>
      </c>
      <c r="DJ110">
        <f>($B$11*$D$9+$C$11*$D$9+$F$11*((FF110+EX110)/MAX(FF110+EX110+FG110, 0.1)*$I$9+FG110/MAX(FF110+EX110+FG110, 0.1)*$J$9))/($B$11+$C$11+$F$11)</f>
        <v>0</v>
      </c>
      <c r="DK110">
        <f>($B$11*$K$9+$C$11*$K$9+$F$11*((FF110+EX110)/MAX(FF110+EX110+FG110, 0.1)*$P$9+FG110/MAX(FF110+EX110+FG110, 0.1)*$Q$9))/($B$11+$C$11+$F$11)</f>
        <v>0</v>
      </c>
      <c r="DL110">
        <v>6</v>
      </c>
      <c r="DM110">
        <v>0.5</v>
      </c>
      <c r="DN110" t="s">
        <v>440</v>
      </c>
      <c r="DO110">
        <v>2</v>
      </c>
      <c r="DP110" t="b">
        <v>1</v>
      </c>
      <c r="DQ110">
        <v>1761693148.5</v>
      </c>
      <c r="DR110">
        <v>412.9853125</v>
      </c>
      <c r="DS110">
        <v>420.0024375</v>
      </c>
      <c r="DT110">
        <v>8.367623125</v>
      </c>
      <c r="DU110">
        <v>6.311379375</v>
      </c>
      <c r="DV110">
        <v>410.0968125</v>
      </c>
      <c r="DW110">
        <v>8.4774725</v>
      </c>
      <c r="DX110">
        <v>499.9924375</v>
      </c>
      <c r="DY110">
        <v>91.05451875</v>
      </c>
      <c r="DZ110">
        <v>0.0229550125</v>
      </c>
      <c r="EA110">
        <v>23.6304875</v>
      </c>
      <c r="EB110">
        <v>23.88645</v>
      </c>
      <c r="EC110">
        <v>999.9</v>
      </c>
      <c r="ED110">
        <v>0</v>
      </c>
      <c r="EE110">
        <v>0</v>
      </c>
      <c r="EF110">
        <v>9987.35</v>
      </c>
      <c r="EG110">
        <v>0</v>
      </c>
      <c r="EH110">
        <v>1332.864375</v>
      </c>
      <c r="EI110">
        <v>-7.017090625</v>
      </c>
      <c r="EJ110">
        <v>416.470125</v>
      </c>
      <c r="EK110">
        <v>422.67</v>
      </c>
      <c r="EL110">
        <v>2.056244375</v>
      </c>
      <c r="EM110">
        <v>420.0024375</v>
      </c>
      <c r="EN110">
        <v>6.311379375</v>
      </c>
      <c r="EO110">
        <v>0.76191</v>
      </c>
      <c r="EP110">
        <v>0.574679625</v>
      </c>
      <c r="EQ110">
        <v>3.016759375</v>
      </c>
      <c r="ER110">
        <v>-0.8999956875</v>
      </c>
      <c r="ES110">
        <v>1200.005</v>
      </c>
      <c r="ET110">
        <v>0.967008</v>
      </c>
      <c r="EU110">
        <v>0.032992475</v>
      </c>
      <c r="EV110">
        <v>0</v>
      </c>
      <c r="EW110">
        <v>1558.880625</v>
      </c>
      <c r="EX110">
        <v>5.00059</v>
      </c>
      <c r="EY110">
        <v>18559.28125</v>
      </c>
      <c r="EZ110">
        <v>10358.79375</v>
      </c>
      <c r="FA110">
        <v>40.1326875</v>
      </c>
      <c r="FB110">
        <v>41.636625</v>
      </c>
      <c r="FC110">
        <v>40.375</v>
      </c>
      <c r="FD110">
        <v>40.937</v>
      </c>
      <c r="FE110">
        <v>41.034875</v>
      </c>
      <c r="FF110">
        <v>1155.5775</v>
      </c>
      <c r="FG110">
        <v>39.4275</v>
      </c>
      <c r="FH110">
        <v>0</v>
      </c>
      <c r="FI110">
        <v>67</v>
      </c>
      <c r="FJ110">
        <v>0</v>
      </c>
      <c r="FK110">
        <v>1558.8048</v>
      </c>
      <c r="FL110">
        <v>-5.79923076232311</v>
      </c>
      <c r="FM110">
        <v>-103.823076926762</v>
      </c>
      <c r="FN110">
        <v>18557.328</v>
      </c>
      <c r="FO110">
        <v>15</v>
      </c>
      <c r="FP110">
        <v>0</v>
      </c>
      <c r="FQ110" t="s">
        <v>441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-7.01824</v>
      </c>
      <c r="GD110">
        <v>0.0298213533834647</v>
      </c>
      <c r="GE110">
        <v>0.0222538971867851</v>
      </c>
      <c r="GF110">
        <v>1</v>
      </c>
      <c r="GG110">
        <v>1559.23735294118</v>
      </c>
      <c r="GH110">
        <v>-7.42322383302628</v>
      </c>
      <c r="GI110">
        <v>0.757640722023216</v>
      </c>
      <c r="GJ110">
        <v>-1</v>
      </c>
      <c r="GK110">
        <v>2.0552075</v>
      </c>
      <c r="GL110">
        <v>0.0463330827067672</v>
      </c>
      <c r="GM110">
        <v>0.00574894153301284</v>
      </c>
      <c r="GN110">
        <v>1</v>
      </c>
      <c r="GO110">
        <v>2</v>
      </c>
      <c r="GP110">
        <v>2</v>
      </c>
      <c r="GQ110" t="s">
        <v>442</v>
      </c>
      <c r="GR110">
        <v>3.12756</v>
      </c>
      <c r="GS110">
        <v>2.7009</v>
      </c>
      <c r="GT110">
        <v>0.0878538</v>
      </c>
      <c r="GU110">
        <v>0.0896221</v>
      </c>
      <c r="GV110">
        <v>0.0466466</v>
      </c>
      <c r="GW110">
        <v>0.0371656</v>
      </c>
      <c r="GX110">
        <v>34097.1</v>
      </c>
      <c r="GY110">
        <v>36424.8</v>
      </c>
      <c r="GZ110">
        <v>33840.5</v>
      </c>
      <c r="HA110">
        <v>36246.6</v>
      </c>
      <c r="HB110">
        <v>45607.7</v>
      </c>
      <c r="HC110">
        <v>50092</v>
      </c>
      <c r="HD110">
        <v>52796.9</v>
      </c>
      <c r="HE110">
        <v>57892.3</v>
      </c>
      <c r="HF110">
        <v>1.90963</v>
      </c>
      <c r="HG110">
        <v>2.276</v>
      </c>
      <c r="HH110">
        <v>0.0151955</v>
      </c>
      <c r="HI110">
        <v>0</v>
      </c>
      <c r="HJ110">
        <v>23.7034</v>
      </c>
      <c r="HK110">
        <v>999.9</v>
      </c>
      <c r="HL110">
        <v>20.993</v>
      </c>
      <c r="HM110">
        <v>30.111</v>
      </c>
      <c r="HN110">
        <v>9.88648</v>
      </c>
      <c r="HO110">
        <v>54.4096</v>
      </c>
      <c r="HP110">
        <v>30.8934</v>
      </c>
      <c r="HQ110">
        <v>2</v>
      </c>
      <c r="HR110">
        <v>0.341537</v>
      </c>
      <c r="HS110">
        <v>3.54679</v>
      </c>
      <c r="HT110">
        <v>20.104</v>
      </c>
      <c r="HU110">
        <v>5.19887</v>
      </c>
      <c r="HV110">
        <v>12.0061</v>
      </c>
      <c r="HW110">
        <v>4.97395</v>
      </c>
      <c r="HX110">
        <v>3.29398</v>
      </c>
      <c r="HY110">
        <v>9999</v>
      </c>
      <c r="HZ110">
        <v>9999</v>
      </c>
      <c r="IA110">
        <v>9999</v>
      </c>
      <c r="IB110">
        <v>999.9</v>
      </c>
      <c r="IC110">
        <v>1.86324</v>
      </c>
      <c r="ID110">
        <v>1.86813</v>
      </c>
      <c r="IE110">
        <v>1.86783</v>
      </c>
      <c r="IF110">
        <v>1.86905</v>
      </c>
      <c r="IG110">
        <v>1.86981</v>
      </c>
      <c r="IH110">
        <v>1.86586</v>
      </c>
      <c r="II110">
        <v>1.867</v>
      </c>
      <c r="IJ110">
        <v>1.86842</v>
      </c>
      <c r="IK110">
        <v>5</v>
      </c>
      <c r="IL110">
        <v>0</v>
      </c>
      <c r="IM110">
        <v>0</v>
      </c>
      <c r="IN110">
        <v>0</v>
      </c>
      <c r="IO110" t="s">
        <v>443</v>
      </c>
      <c r="IP110" t="s">
        <v>444</v>
      </c>
      <c r="IQ110" t="s">
        <v>445</v>
      </c>
      <c r="IR110" t="s">
        <v>445</v>
      </c>
      <c r="IS110" t="s">
        <v>445</v>
      </c>
      <c r="IT110" t="s">
        <v>445</v>
      </c>
      <c r="IU110">
        <v>0</v>
      </c>
      <c r="IV110">
        <v>100</v>
      </c>
      <c r="IW110">
        <v>100</v>
      </c>
      <c r="IX110">
        <v>2.888</v>
      </c>
      <c r="IY110">
        <v>-0.1094</v>
      </c>
      <c r="IZ110">
        <v>1.24656194001752</v>
      </c>
      <c r="JA110">
        <v>0.00408463137630218</v>
      </c>
      <c r="JB110">
        <v>-2.23906557180379e-07</v>
      </c>
      <c r="JC110">
        <v>6.23399102760906e-11</v>
      </c>
      <c r="JD110">
        <v>-0.0873394905990972</v>
      </c>
      <c r="JE110">
        <v>-0.0233348201324191</v>
      </c>
      <c r="JF110">
        <v>0.00274696999164489</v>
      </c>
      <c r="JG110">
        <v>-3.62864435074646e-05</v>
      </c>
      <c r="JH110">
        <v>5</v>
      </c>
      <c r="JI110">
        <v>2263</v>
      </c>
      <c r="JJ110">
        <v>1</v>
      </c>
      <c r="JK110">
        <v>24</v>
      </c>
      <c r="JL110">
        <v>29361552.6</v>
      </c>
      <c r="JM110">
        <v>29361552.6</v>
      </c>
      <c r="JN110">
        <v>1.25244</v>
      </c>
      <c r="JO110">
        <v>2.61963</v>
      </c>
      <c r="JP110">
        <v>2.19849</v>
      </c>
      <c r="JQ110">
        <v>2.62451</v>
      </c>
      <c r="JR110">
        <v>2.44507</v>
      </c>
      <c r="JS110">
        <v>2.35229</v>
      </c>
      <c r="JT110">
        <v>33.5355</v>
      </c>
      <c r="JU110">
        <v>24.1926</v>
      </c>
      <c r="JV110">
        <v>18</v>
      </c>
      <c r="JW110">
        <v>503.431</v>
      </c>
      <c r="JX110">
        <v>787.66</v>
      </c>
      <c r="JY110">
        <v>18.8173</v>
      </c>
      <c r="JZ110">
        <v>31.6822</v>
      </c>
      <c r="KA110">
        <v>30.0005</v>
      </c>
      <c r="KB110">
        <v>31.5357</v>
      </c>
      <c r="KC110">
        <v>31.4406</v>
      </c>
      <c r="KD110">
        <v>25.0903</v>
      </c>
      <c r="KE110">
        <v>16.1937</v>
      </c>
      <c r="KF110">
        <v>13.5643</v>
      </c>
      <c r="KG110">
        <v>18.8233</v>
      </c>
      <c r="KH110">
        <v>420</v>
      </c>
      <c r="KI110">
        <v>6.42925</v>
      </c>
      <c r="KJ110">
        <v>95.9695</v>
      </c>
      <c r="KK110">
        <v>93.8218</v>
      </c>
    </row>
    <row r="111" spans="1:297">
      <c r="A111">
        <v>95</v>
      </c>
      <c r="B111">
        <v>1761693222</v>
      </c>
      <c r="C111">
        <v>15872.9000000954</v>
      </c>
      <c r="D111" t="s">
        <v>750</v>
      </c>
      <c r="E111" t="s">
        <v>751</v>
      </c>
      <c r="F111">
        <v>5</v>
      </c>
      <c r="G111" t="s">
        <v>739</v>
      </c>
      <c r="H111" t="s">
        <v>436</v>
      </c>
      <c r="I111">
        <v>1761693213.5</v>
      </c>
      <c r="J111">
        <f>(K111)/1000</f>
        <v>0</v>
      </c>
      <c r="K111">
        <f>IF(DP111, AN111, AH111)</f>
        <v>0</v>
      </c>
      <c r="L111">
        <f>IF(DP111, AI111, AG111)</f>
        <v>0</v>
      </c>
      <c r="M111">
        <f>DR111 - IF(AU111&gt;1, L111*DL111*100.0/(AW111), 0)</f>
        <v>0</v>
      </c>
      <c r="N111">
        <f>((T111-J111/2)*M111-L111)/(T111+J111/2)</f>
        <v>0</v>
      </c>
      <c r="O111">
        <f>N111*(DY111+DZ111)/1000.0</f>
        <v>0</v>
      </c>
      <c r="P111">
        <f>(DR111 - IF(AU111&gt;1, L111*DL111*100.0/(AW111), 0))*(DY111+DZ111)/1000.0</f>
        <v>0</v>
      </c>
      <c r="Q111">
        <f>2.0/((1/S111-1/R111)+SIGN(S111)*SQRT((1/S111-1/R111)*(1/S111-1/R111) + 4*DM111/((DM111+1)*(DM111+1))*(2*1/S111*1/R111-1/R111*1/R111)))</f>
        <v>0</v>
      </c>
      <c r="R111">
        <f>IF(LEFT(DN111,1)&lt;&gt;"0",IF(LEFT(DN111,1)="1",3.0,DO111),$D$5+$E$5*(EF111*DY111/($K$5*1000))+$F$5*(EF111*DY111/($K$5*1000))*MAX(MIN(DL111,$J$5),$I$5)*MAX(MIN(DL111,$J$5),$I$5)+$G$5*MAX(MIN(DL111,$J$5),$I$5)*(EF111*DY111/($K$5*1000))+$H$5*(EF111*DY111/($K$5*1000))*(EF111*DY111/($K$5*1000)))</f>
        <v>0</v>
      </c>
      <c r="S111">
        <f>J111*(1000-(1000*0.61365*exp(17.502*W111/(240.97+W111))/(DY111+DZ111)+DT111)/2)/(1000*0.61365*exp(17.502*W111/(240.97+W111))/(DY111+DZ111)-DT111)</f>
        <v>0</v>
      </c>
      <c r="T111">
        <f>1/((DM111+1)/(Q111/1.6)+1/(R111/1.37)) + DM111/((DM111+1)/(Q111/1.6) + DM111/(R111/1.37))</f>
        <v>0</v>
      </c>
      <c r="U111">
        <f>(DH111*DK111)</f>
        <v>0</v>
      </c>
      <c r="V111">
        <f>(EA111+(U111+2*0.95*5.67E-8*(((EA111+$B$7)+273)^4-(EA111+273)^4)-44100*J111)/(1.84*29.3*R111+8*0.95*5.67E-8*(EA111+273)^3))</f>
        <v>0</v>
      </c>
      <c r="W111">
        <f>($C$7*EB111+$D$7*EC111+$E$7*V111)</f>
        <v>0</v>
      </c>
      <c r="X111">
        <f>0.61365*exp(17.502*W111/(240.97+W111))</f>
        <v>0</v>
      </c>
      <c r="Y111">
        <f>(Z111/AA111*100)</f>
        <v>0</v>
      </c>
      <c r="Z111">
        <f>DT111*(DY111+DZ111)/1000</f>
        <v>0</v>
      </c>
      <c r="AA111">
        <f>0.61365*exp(17.502*EA111/(240.97+EA111))</f>
        <v>0</v>
      </c>
      <c r="AB111">
        <f>(X111-DT111*(DY111+DZ111)/1000)</f>
        <v>0</v>
      </c>
      <c r="AC111">
        <f>(-J111*44100)</f>
        <v>0</v>
      </c>
      <c r="AD111">
        <f>2*29.3*R111*0.92*(EA111-W111)</f>
        <v>0</v>
      </c>
      <c r="AE111">
        <f>2*0.95*5.67E-8*(((EA111+$B$7)+273)^4-(W111+273)^4)</f>
        <v>0</v>
      </c>
      <c r="AF111">
        <f>U111+AE111+AC111+AD111</f>
        <v>0</v>
      </c>
      <c r="AG111">
        <f>DX111*AU111*(DS111-DR111*(1000-AU111*DU111)/(1000-AU111*DT111))/(100*DL111)</f>
        <v>0</v>
      </c>
      <c r="AH111">
        <f>1000*DX111*AU111*(DT111-DU111)/(100*DL111*(1000-AU111*DT111))</f>
        <v>0</v>
      </c>
      <c r="AI111">
        <f>(AJ111 - AK111 - DY111*1E3/(8.314*(EA111+273.15)) * AM111/DX111 * AL111) * DX111/(100*DL111) * (1000 - DU111)/1000</f>
        <v>0</v>
      </c>
      <c r="AJ111">
        <v>422.748223265158</v>
      </c>
      <c r="AK111">
        <v>416.540272727273</v>
      </c>
      <c r="AL111">
        <v>0.000199329429621452</v>
      </c>
      <c r="AM111">
        <v>64.1617943531089</v>
      </c>
      <c r="AN111">
        <f>(AP111 - AO111 + DY111*1E3/(8.314*(EA111+273.15)) * AR111/DX111 * AQ111) * DX111/(100*DL111) * 1000/(1000 - AP111)</f>
        <v>0</v>
      </c>
      <c r="AO111">
        <v>6.48829754230439</v>
      </c>
      <c r="AP111">
        <v>8.56058307692309</v>
      </c>
      <c r="AQ111">
        <v>4.33831320617089e-05</v>
      </c>
      <c r="AR111">
        <v>108.963540837023</v>
      </c>
      <c r="AS111">
        <v>0</v>
      </c>
      <c r="AT111">
        <v>0</v>
      </c>
      <c r="AU111">
        <f>IF(AS111*$H$13&gt;=AW111,1.0,(AW111/(AW111-AS111*$H$13)))</f>
        <v>0</v>
      </c>
      <c r="AV111">
        <f>(AU111-1)*100</f>
        <v>0</v>
      </c>
      <c r="AW111">
        <f>MAX(0,($B$13+$C$13*EF111)/(1+$D$13*EF111)*DY111/(EA111+273)*$E$13)</f>
        <v>0</v>
      </c>
      <c r="AX111" t="s">
        <v>736</v>
      </c>
      <c r="AY111">
        <v>5122.34</v>
      </c>
      <c r="AZ111">
        <v>745.280769230769</v>
      </c>
      <c r="BA111">
        <v>2455.23089761668</v>
      </c>
      <c r="BB111">
        <f>1-AZ111/BA111</f>
        <v>0</v>
      </c>
      <c r="BC111">
        <v>-1.10567321366113</v>
      </c>
      <c r="BD111" t="s">
        <v>752</v>
      </c>
      <c r="BE111">
        <v>5137.23</v>
      </c>
      <c r="BF111">
        <v>1501.27576923077</v>
      </c>
      <c r="BG111">
        <v>1752.65046284365</v>
      </c>
      <c r="BH111">
        <f>1-BF111/BG111</f>
        <v>0</v>
      </c>
      <c r="BI111">
        <v>0.5</v>
      </c>
      <c r="BJ111">
        <f>DI111</f>
        <v>0</v>
      </c>
      <c r="BK111">
        <f>L111</f>
        <v>0</v>
      </c>
      <c r="BL111">
        <f>BH111*BI111*BJ111</f>
        <v>0</v>
      </c>
      <c r="BM111">
        <f>(BK111-BC111)/BJ111</f>
        <v>0</v>
      </c>
      <c r="BN111">
        <f>(BA111-BG111)/BG111</f>
        <v>0</v>
      </c>
      <c r="BO111">
        <f>AZ111/(BB111+AZ111/BG111)</f>
        <v>0</v>
      </c>
      <c r="BP111" t="s">
        <v>753</v>
      </c>
      <c r="BQ111">
        <v>847.93</v>
      </c>
      <c r="BR111">
        <f>IF(BQ111&lt;&gt;0, BQ111, BO111)</f>
        <v>0</v>
      </c>
      <c r="BS111">
        <f>1-BR111/BG111</f>
        <v>0</v>
      </c>
      <c r="BT111">
        <f>(BG111-BF111)/(BG111-BR111)</f>
        <v>0</v>
      </c>
      <c r="BU111">
        <f>(BA111-BG111)/(BA111-BR111)</f>
        <v>0</v>
      </c>
      <c r="BV111">
        <f>(BG111-BF111)/(BG111-AZ111)</f>
        <v>0</v>
      </c>
      <c r="BW111">
        <f>(BA111-BG111)/(BA111-AZ111)</f>
        <v>0</v>
      </c>
      <c r="BX111">
        <f>(BT111*BR111/BF111)</f>
        <v>0</v>
      </c>
      <c r="BY111">
        <f>(1-BX111)</f>
        <v>0</v>
      </c>
      <c r="BZ111">
        <v>109</v>
      </c>
      <c r="CA111">
        <v>290</v>
      </c>
      <c r="CB111">
        <v>1698.55</v>
      </c>
      <c r="CC111">
        <v>125</v>
      </c>
      <c r="CD111">
        <v>5137.23</v>
      </c>
      <c r="CE111">
        <v>1697.73</v>
      </c>
      <c r="CF111">
        <v>0.82</v>
      </c>
      <c r="CG111">
        <v>300</v>
      </c>
      <c r="CH111">
        <v>23.8</v>
      </c>
      <c r="CI111">
        <v>1752.65046284365</v>
      </c>
      <c r="CJ111">
        <v>1.37671701282261</v>
      </c>
      <c r="CK111">
        <v>-28.2129738944082</v>
      </c>
      <c r="CL111">
        <v>0.630375752971462</v>
      </c>
      <c r="CM111">
        <v>0.986214244609064</v>
      </c>
      <c r="CN111">
        <v>-0.00348984071190212</v>
      </c>
      <c r="CO111">
        <v>290</v>
      </c>
      <c r="CP111">
        <v>1695.32</v>
      </c>
      <c r="CQ111">
        <v>655</v>
      </c>
      <c r="CR111">
        <v>5134.06</v>
      </c>
      <c r="CS111">
        <v>1697.7</v>
      </c>
      <c r="CT111">
        <v>-2.38</v>
      </c>
      <c r="DH111">
        <f>$B$11*EG111+$C$11*EH111+$F$11*ES111*(1-EV111)</f>
        <v>0</v>
      </c>
      <c r="DI111">
        <f>DH111*DJ111</f>
        <v>0</v>
      </c>
      <c r="DJ111">
        <f>($B$11*$D$9+$C$11*$D$9+$F$11*((FF111+EX111)/MAX(FF111+EX111+FG111, 0.1)*$I$9+FG111/MAX(FF111+EX111+FG111, 0.1)*$J$9))/($B$11+$C$11+$F$11)</f>
        <v>0</v>
      </c>
      <c r="DK111">
        <f>($B$11*$K$9+$C$11*$K$9+$F$11*((FF111+EX111)/MAX(FF111+EX111+FG111, 0.1)*$P$9+FG111/MAX(FF111+EX111+FG111, 0.1)*$Q$9))/($B$11+$C$11+$F$11)</f>
        <v>0</v>
      </c>
      <c r="DL111">
        <v>6</v>
      </c>
      <c r="DM111">
        <v>0.5</v>
      </c>
      <c r="DN111" t="s">
        <v>440</v>
      </c>
      <c r="DO111">
        <v>2</v>
      </c>
      <c r="DP111" t="b">
        <v>1</v>
      </c>
      <c r="DQ111">
        <v>1761693213.5</v>
      </c>
      <c r="DR111">
        <v>412.9604375</v>
      </c>
      <c r="DS111">
        <v>419.9946875</v>
      </c>
      <c r="DT111">
        <v>8.539928125</v>
      </c>
      <c r="DU111">
        <v>6.47043125</v>
      </c>
      <c r="DV111">
        <v>410.0723125</v>
      </c>
      <c r="DW111">
        <v>8.64711</v>
      </c>
      <c r="DX111">
        <v>500.016375</v>
      </c>
      <c r="DY111">
        <v>91.05235</v>
      </c>
      <c r="DZ111">
        <v>0.0225718875</v>
      </c>
      <c r="EA111">
        <v>23.9578125</v>
      </c>
      <c r="EB111">
        <v>23.992175</v>
      </c>
      <c r="EC111">
        <v>999.9</v>
      </c>
      <c r="ED111">
        <v>0</v>
      </c>
      <c r="EE111">
        <v>0</v>
      </c>
      <c r="EF111">
        <v>10003.13</v>
      </c>
      <c r="EG111">
        <v>0</v>
      </c>
      <c r="EH111">
        <v>1333.090625</v>
      </c>
      <c r="EI111">
        <v>-7.033930625</v>
      </c>
      <c r="EJ111">
        <v>416.517625</v>
      </c>
      <c r="EK111">
        <v>422.7296875</v>
      </c>
      <c r="EL111">
        <v>2.06949625</v>
      </c>
      <c r="EM111">
        <v>419.9946875</v>
      </c>
      <c r="EN111">
        <v>6.47043125</v>
      </c>
      <c r="EO111">
        <v>0.7775805</v>
      </c>
      <c r="EP111">
        <v>0.5891479375</v>
      </c>
      <c r="EQ111">
        <v>3.304474375</v>
      </c>
      <c r="ER111">
        <v>-0.559784875</v>
      </c>
      <c r="ES111">
        <v>900.0098125</v>
      </c>
      <c r="ET111">
        <v>0.9560054375</v>
      </c>
      <c r="EU111">
        <v>0.043994425</v>
      </c>
      <c r="EV111">
        <v>0</v>
      </c>
      <c r="EW111">
        <v>1501.32</v>
      </c>
      <c r="EX111">
        <v>5.00059</v>
      </c>
      <c r="EY111">
        <v>13348.41875</v>
      </c>
      <c r="EZ111">
        <v>7732.905625</v>
      </c>
      <c r="FA111">
        <v>39.66375</v>
      </c>
      <c r="FB111">
        <v>41.585625</v>
      </c>
      <c r="FC111">
        <v>40.194875</v>
      </c>
      <c r="FD111">
        <v>40.875</v>
      </c>
      <c r="FE111">
        <v>40.769375</v>
      </c>
      <c r="FF111">
        <v>855.634375</v>
      </c>
      <c r="FG111">
        <v>39.373125</v>
      </c>
      <c r="FH111">
        <v>0</v>
      </c>
      <c r="FI111">
        <v>132.399999856949</v>
      </c>
      <c r="FJ111">
        <v>0</v>
      </c>
      <c r="FK111">
        <v>1501.27576923077</v>
      </c>
      <c r="FL111">
        <v>-1.02461538173049</v>
      </c>
      <c r="FM111">
        <v>-26.632478643129</v>
      </c>
      <c r="FN111">
        <v>13347.9692307692</v>
      </c>
      <c r="FO111">
        <v>15</v>
      </c>
      <c r="FP111">
        <v>0</v>
      </c>
      <c r="FQ111" t="s">
        <v>441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-7.0390565</v>
      </c>
      <c r="GD111">
        <v>-0.00221097744361122</v>
      </c>
      <c r="GE111">
        <v>0.026331436777168</v>
      </c>
      <c r="GF111">
        <v>1</v>
      </c>
      <c r="GG111">
        <v>1501.42705882353</v>
      </c>
      <c r="GH111">
        <v>-1.43346066094739</v>
      </c>
      <c r="GI111">
        <v>0.25983625399995</v>
      </c>
      <c r="GJ111">
        <v>-1</v>
      </c>
      <c r="GK111">
        <v>2.062949</v>
      </c>
      <c r="GL111">
        <v>0.053441503759395</v>
      </c>
      <c r="GM111">
        <v>0.0196418570659701</v>
      </c>
      <c r="GN111">
        <v>1</v>
      </c>
      <c r="GO111">
        <v>2</v>
      </c>
      <c r="GP111">
        <v>2</v>
      </c>
      <c r="GQ111" t="s">
        <v>442</v>
      </c>
      <c r="GR111">
        <v>3.12767</v>
      </c>
      <c r="GS111">
        <v>2.7007</v>
      </c>
      <c r="GT111">
        <v>0.0878614</v>
      </c>
      <c r="GU111">
        <v>0.089621</v>
      </c>
      <c r="GV111">
        <v>0.0473968</v>
      </c>
      <c r="GW111">
        <v>0.037966</v>
      </c>
      <c r="GX111">
        <v>34099.3</v>
      </c>
      <c r="GY111">
        <v>36429.2</v>
      </c>
      <c r="GZ111">
        <v>33842.8</v>
      </c>
      <c r="HA111">
        <v>36250.7</v>
      </c>
      <c r="HB111">
        <v>45574.5</v>
      </c>
      <c r="HC111">
        <v>50055.6</v>
      </c>
      <c r="HD111">
        <v>52800.2</v>
      </c>
      <c r="HE111">
        <v>57898.3</v>
      </c>
      <c r="HF111">
        <v>1.90968</v>
      </c>
      <c r="HG111">
        <v>2.27688</v>
      </c>
      <c r="HH111">
        <v>0.0166968</v>
      </c>
      <c r="HI111">
        <v>0</v>
      </c>
      <c r="HJ111">
        <v>23.8075</v>
      </c>
      <c r="HK111">
        <v>999.9</v>
      </c>
      <c r="HL111">
        <v>20.895</v>
      </c>
      <c r="HM111">
        <v>30.121</v>
      </c>
      <c r="HN111">
        <v>9.84541</v>
      </c>
      <c r="HO111">
        <v>55.1696</v>
      </c>
      <c r="HP111">
        <v>30.8373</v>
      </c>
      <c r="HQ111">
        <v>2</v>
      </c>
      <c r="HR111">
        <v>0.339746</v>
      </c>
      <c r="HS111">
        <v>6.37978</v>
      </c>
      <c r="HT111">
        <v>19.9931</v>
      </c>
      <c r="HU111">
        <v>5.20112</v>
      </c>
      <c r="HV111">
        <v>12.008</v>
      </c>
      <c r="HW111">
        <v>4.97545</v>
      </c>
      <c r="HX111">
        <v>3.29398</v>
      </c>
      <c r="HY111">
        <v>9999</v>
      </c>
      <c r="HZ111">
        <v>9999</v>
      </c>
      <c r="IA111">
        <v>9999</v>
      </c>
      <c r="IB111">
        <v>999.9</v>
      </c>
      <c r="IC111">
        <v>1.8632</v>
      </c>
      <c r="ID111">
        <v>1.86812</v>
      </c>
      <c r="IE111">
        <v>1.86783</v>
      </c>
      <c r="IF111">
        <v>1.86905</v>
      </c>
      <c r="IG111">
        <v>1.86981</v>
      </c>
      <c r="IH111">
        <v>1.86584</v>
      </c>
      <c r="II111">
        <v>1.86694</v>
      </c>
      <c r="IJ111">
        <v>1.86839</v>
      </c>
      <c r="IK111">
        <v>5</v>
      </c>
      <c r="IL111">
        <v>0</v>
      </c>
      <c r="IM111">
        <v>0</v>
      </c>
      <c r="IN111">
        <v>0</v>
      </c>
      <c r="IO111" t="s">
        <v>443</v>
      </c>
      <c r="IP111" t="s">
        <v>444</v>
      </c>
      <c r="IQ111" t="s">
        <v>445</v>
      </c>
      <c r="IR111" t="s">
        <v>445</v>
      </c>
      <c r="IS111" t="s">
        <v>445</v>
      </c>
      <c r="IT111" t="s">
        <v>445</v>
      </c>
      <c r="IU111">
        <v>0</v>
      </c>
      <c r="IV111">
        <v>100</v>
      </c>
      <c r="IW111">
        <v>100</v>
      </c>
      <c r="IX111">
        <v>2.888</v>
      </c>
      <c r="IY111">
        <v>-0.1068</v>
      </c>
      <c r="IZ111">
        <v>1.24656194001752</v>
      </c>
      <c r="JA111">
        <v>0.00408463137630218</v>
      </c>
      <c r="JB111">
        <v>-2.23906557180379e-07</v>
      </c>
      <c r="JC111">
        <v>6.23399102760906e-11</v>
      </c>
      <c r="JD111">
        <v>-0.0873394905990972</v>
      </c>
      <c r="JE111">
        <v>-0.0233348201324191</v>
      </c>
      <c r="JF111">
        <v>0.00274696999164489</v>
      </c>
      <c r="JG111">
        <v>-3.62864435074646e-05</v>
      </c>
      <c r="JH111">
        <v>5</v>
      </c>
      <c r="JI111">
        <v>2263</v>
      </c>
      <c r="JJ111">
        <v>1</v>
      </c>
      <c r="JK111">
        <v>24</v>
      </c>
      <c r="JL111">
        <v>29361553.7</v>
      </c>
      <c r="JM111">
        <v>29361553.7</v>
      </c>
      <c r="JN111">
        <v>1.25244</v>
      </c>
      <c r="JO111">
        <v>2.62207</v>
      </c>
      <c r="JP111">
        <v>2.19849</v>
      </c>
      <c r="JQ111">
        <v>2.62451</v>
      </c>
      <c r="JR111">
        <v>2.44507</v>
      </c>
      <c r="JS111">
        <v>2.33887</v>
      </c>
      <c r="JT111">
        <v>33.513</v>
      </c>
      <c r="JU111">
        <v>24.0963</v>
      </c>
      <c r="JV111">
        <v>18</v>
      </c>
      <c r="JW111">
        <v>503.421</v>
      </c>
      <c r="JX111">
        <v>788.503</v>
      </c>
      <c r="JY111">
        <v>19.5048</v>
      </c>
      <c r="JZ111">
        <v>31.6483</v>
      </c>
      <c r="KA111">
        <v>30.0021</v>
      </c>
      <c r="KB111">
        <v>31.5303</v>
      </c>
      <c r="KC111">
        <v>31.4415</v>
      </c>
      <c r="KD111">
        <v>25.0922</v>
      </c>
      <c r="KE111">
        <v>12.4914</v>
      </c>
      <c r="KF111">
        <v>13.1938</v>
      </c>
      <c r="KG111">
        <v>18.0473</v>
      </c>
      <c r="KH111">
        <v>420</v>
      </c>
      <c r="KI111">
        <v>6.62135</v>
      </c>
      <c r="KJ111">
        <v>95.9756</v>
      </c>
      <c r="KK111">
        <v>93.8319</v>
      </c>
    </row>
    <row r="112" spans="1:297">
      <c r="A112">
        <v>96</v>
      </c>
      <c r="B112">
        <v>1761693292</v>
      </c>
      <c r="C112">
        <v>15942.9000000954</v>
      </c>
      <c r="D112" t="s">
        <v>754</v>
      </c>
      <c r="E112" t="s">
        <v>755</v>
      </c>
      <c r="F112">
        <v>5</v>
      </c>
      <c r="G112" t="s">
        <v>739</v>
      </c>
      <c r="H112" t="s">
        <v>436</v>
      </c>
      <c r="I112">
        <v>1761693283.5</v>
      </c>
      <c r="J112">
        <f>(K112)/1000</f>
        <v>0</v>
      </c>
      <c r="K112">
        <f>IF(DP112, AN112, AH112)</f>
        <v>0</v>
      </c>
      <c r="L112">
        <f>IF(DP112, AI112, AG112)</f>
        <v>0</v>
      </c>
      <c r="M112">
        <f>DR112 - IF(AU112&gt;1, L112*DL112*100.0/(AW112), 0)</f>
        <v>0</v>
      </c>
      <c r="N112">
        <f>((T112-J112/2)*M112-L112)/(T112+J112/2)</f>
        <v>0</v>
      </c>
      <c r="O112">
        <f>N112*(DY112+DZ112)/1000.0</f>
        <v>0</v>
      </c>
      <c r="P112">
        <f>(DR112 - IF(AU112&gt;1, L112*DL112*100.0/(AW112), 0))*(DY112+DZ112)/1000.0</f>
        <v>0</v>
      </c>
      <c r="Q112">
        <f>2.0/((1/S112-1/R112)+SIGN(S112)*SQRT((1/S112-1/R112)*(1/S112-1/R112) + 4*DM112/((DM112+1)*(DM112+1))*(2*1/S112*1/R112-1/R112*1/R112)))</f>
        <v>0</v>
      </c>
      <c r="R112">
        <f>IF(LEFT(DN112,1)&lt;&gt;"0",IF(LEFT(DN112,1)="1",3.0,DO112),$D$5+$E$5*(EF112*DY112/($K$5*1000))+$F$5*(EF112*DY112/($K$5*1000))*MAX(MIN(DL112,$J$5),$I$5)*MAX(MIN(DL112,$J$5),$I$5)+$G$5*MAX(MIN(DL112,$J$5),$I$5)*(EF112*DY112/($K$5*1000))+$H$5*(EF112*DY112/($K$5*1000))*(EF112*DY112/($K$5*1000)))</f>
        <v>0</v>
      </c>
      <c r="S112">
        <f>J112*(1000-(1000*0.61365*exp(17.502*W112/(240.97+W112))/(DY112+DZ112)+DT112)/2)/(1000*0.61365*exp(17.502*W112/(240.97+W112))/(DY112+DZ112)-DT112)</f>
        <v>0</v>
      </c>
      <c r="T112">
        <f>1/((DM112+1)/(Q112/1.6)+1/(R112/1.37)) + DM112/((DM112+1)/(Q112/1.6) + DM112/(R112/1.37))</f>
        <v>0</v>
      </c>
      <c r="U112">
        <f>(DH112*DK112)</f>
        <v>0</v>
      </c>
      <c r="V112">
        <f>(EA112+(U112+2*0.95*5.67E-8*(((EA112+$B$7)+273)^4-(EA112+273)^4)-44100*J112)/(1.84*29.3*R112+8*0.95*5.67E-8*(EA112+273)^3))</f>
        <v>0</v>
      </c>
      <c r="W112">
        <f>($C$7*EB112+$D$7*EC112+$E$7*V112)</f>
        <v>0</v>
      </c>
      <c r="X112">
        <f>0.61365*exp(17.502*W112/(240.97+W112))</f>
        <v>0</v>
      </c>
      <c r="Y112">
        <f>(Z112/AA112*100)</f>
        <v>0</v>
      </c>
      <c r="Z112">
        <f>DT112*(DY112+DZ112)/1000</f>
        <v>0</v>
      </c>
      <c r="AA112">
        <f>0.61365*exp(17.502*EA112/(240.97+EA112))</f>
        <v>0</v>
      </c>
      <c r="AB112">
        <f>(X112-DT112*(DY112+DZ112)/1000)</f>
        <v>0</v>
      </c>
      <c r="AC112">
        <f>(-J112*44100)</f>
        <v>0</v>
      </c>
      <c r="AD112">
        <f>2*29.3*R112*0.92*(EA112-W112)</f>
        <v>0</v>
      </c>
      <c r="AE112">
        <f>2*0.95*5.67E-8*(((EA112+$B$7)+273)^4-(W112+273)^4)</f>
        <v>0</v>
      </c>
      <c r="AF112">
        <f>U112+AE112+AC112+AD112</f>
        <v>0</v>
      </c>
      <c r="AG112">
        <f>DX112*AU112*(DS112-DR112*(1000-AU112*DU112)/(1000-AU112*DT112))/(100*DL112)</f>
        <v>0</v>
      </c>
      <c r="AH112">
        <f>1000*DX112*AU112*(DT112-DU112)/(100*DL112*(1000-AU112*DT112))</f>
        <v>0</v>
      </c>
      <c r="AI112">
        <f>(AJ112 - AK112 - DY112*1E3/(8.314*(EA112+273.15)) * AM112/DX112 * AL112) * DX112/(100*DL112) * (1000 - DU112)/1000</f>
        <v>0</v>
      </c>
      <c r="AJ112">
        <v>422.803399831559</v>
      </c>
      <c r="AK112">
        <v>417.156042424242</v>
      </c>
      <c r="AL112">
        <v>0.000328729806898776</v>
      </c>
      <c r="AM112">
        <v>64.1617943531089</v>
      </c>
      <c r="AN112">
        <f>(AP112 - AO112 + DY112*1E3/(8.314*(EA112+273.15)) * AR112/DX112 * AQ112) * DX112/(100*DL112) * 1000/(1000 - AP112)</f>
        <v>0</v>
      </c>
      <c r="AO112">
        <v>6.60499475275109</v>
      </c>
      <c r="AP112">
        <v>8.67309818181818</v>
      </c>
      <c r="AQ112">
        <v>9.70962889117355e-05</v>
      </c>
      <c r="AR112">
        <v>108.963540837023</v>
      </c>
      <c r="AS112">
        <v>0</v>
      </c>
      <c r="AT112">
        <v>0</v>
      </c>
      <c r="AU112">
        <f>IF(AS112*$H$13&gt;=AW112,1.0,(AW112/(AW112-AS112*$H$13)))</f>
        <v>0</v>
      </c>
      <c r="AV112">
        <f>(AU112-1)*100</f>
        <v>0</v>
      </c>
      <c r="AW112">
        <f>MAX(0,($B$13+$C$13*EF112)/(1+$D$13*EF112)*DY112/(EA112+273)*$E$13)</f>
        <v>0</v>
      </c>
      <c r="AX112" t="s">
        <v>448</v>
      </c>
      <c r="AY112" t="s">
        <v>448</v>
      </c>
      <c r="AZ112">
        <v>0</v>
      </c>
      <c r="BA112">
        <v>0</v>
      </c>
      <c r="BB112">
        <f>1-AZ112/BA112</f>
        <v>0</v>
      </c>
      <c r="BC112">
        <v>0</v>
      </c>
      <c r="BD112" t="s">
        <v>448</v>
      </c>
      <c r="BE112" t="s">
        <v>448</v>
      </c>
      <c r="BF112">
        <v>0</v>
      </c>
      <c r="BG112">
        <v>0</v>
      </c>
      <c r="BH112">
        <f>1-BF112/BG112</f>
        <v>0</v>
      </c>
      <c r="BI112">
        <v>0.5</v>
      </c>
      <c r="BJ112">
        <f>DI112</f>
        <v>0</v>
      </c>
      <c r="BK112">
        <f>L112</f>
        <v>0</v>
      </c>
      <c r="BL112">
        <f>BH112*BI112*BJ112</f>
        <v>0</v>
      </c>
      <c r="BM112">
        <f>(BK112-BC112)/BJ112</f>
        <v>0</v>
      </c>
      <c r="BN112">
        <f>(BA112-BG112)/BG112</f>
        <v>0</v>
      </c>
      <c r="BO112">
        <f>AZ112/(BB112+AZ112/BG112)</f>
        <v>0</v>
      </c>
      <c r="BP112" t="s">
        <v>448</v>
      </c>
      <c r="BQ112">
        <v>0</v>
      </c>
      <c r="BR112">
        <f>IF(BQ112&lt;&gt;0, BQ112, BO112)</f>
        <v>0</v>
      </c>
      <c r="BS112">
        <f>1-BR112/BG112</f>
        <v>0</v>
      </c>
      <c r="BT112">
        <f>(BG112-BF112)/(BG112-BR112)</f>
        <v>0</v>
      </c>
      <c r="BU112">
        <f>(BA112-BG112)/(BA112-BR112)</f>
        <v>0</v>
      </c>
      <c r="BV112">
        <f>(BG112-BF112)/(BG112-AZ112)</f>
        <v>0</v>
      </c>
      <c r="BW112">
        <f>(BA112-BG112)/(BA112-AZ112)</f>
        <v>0</v>
      </c>
      <c r="BX112">
        <f>(BT112*BR112/BF112)</f>
        <v>0</v>
      </c>
      <c r="BY112">
        <f>(1-BX112)</f>
        <v>0</v>
      </c>
      <c r="BZ112">
        <v>109</v>
      </c>
      <c r="CA112">
        <v>290</v>
      </c>
      <c r="CB112">
        <v>1698.55</v>
      </c>
      <c r="CC112">
        <v>125</v>
      </c>
      <c r="CD112">
        <v>5137.23</v>
      </c>
      <c r="CE112">
        <v>1697.73</v>
      </c>
      <c r="CF112">
        <v>0.82</v>
      </c>
      <c r="CG112">
        <v>300</v>
      </c>
      <c r="CH112">
        <v>23.8</v>
      </c>
      <c r="CI112">
        <v>1752.65046284365</v>
      </c>
      <c r="CJ112">
        <v>1.37671701282261</v>
      </c>
      <c r="CK112">
        <v>-28.2129738944082</v>
      </c>
      <c r="CL112">
        <v>0.630375752971462</v>
      </c>
      <c r="CM112">
        <v>0.986214244609064</v>
      </c>
      <c r="CN112">
        <v>-0.00348984071190212</v>
      </c>
      <c r="CO112">
        <v>290</v>
      </c>
      <c r="CP112">
        <v>1695.32</v>
      </c>
      <c r="CQ112">
        <v>655</v>
      </c>
      <c r="CR112">
        <v>5134.06</v>
      </c>
      <c r="CS112">
        <v>1697.7</v>
      </c>
      <c r="CT112">
        <v>-2.38</v>
      </c>
      <c r="DH112">
        <f>$B$11*EG112+$C$11*EH112+$F$11*ES112*(1-EV112)</f>
        <v>0</v>
      </c>
      <c r="DI112">
        <f>DH112*DJ112</f>
        <v>0</v>
      </c>
      <c r="DJ112">
        <f>($B$11*$D$9+$C$11*$D$9+$F$11*((FF112+EX112)/MAX(FF112+EX112+FG112, 0.1)*$I$9+FG112/MAX(FF112+EX112+FG112, 0.1)*$J$9))/($B$11+$C$11+$F$11)</f>
        <v>0</v>
      </c>
      <c r="DK112">
        <f>($B$11*$K$9+$C$11*$K$9+$F$11*((FF112+EX112)/MAX(FF112+EX112+FG112, 0.1)*$P$9+FG112/MAX(FF112+EX112+FG112, 0.1)*$Q$9))/($B$11+$C$11+$F$11)</f>
        <v>0</v>
      </c>
      <c r="DL112">
        <v>6</v>
      </c>
      <c r="DM112">
        <v>0.5</v>
      </c>
      <c r="DN112" t="s">
        <v>440</v>
      </c>
      <c r="DO112">
        <v>2</v>
      </c>
      <c r="DP112" t="b">
        <v>1</v>
      </c>
      <c r="DQ112">
        <v>1761693283.5</v>
      </c>
      <c r="DR112">
        <v>413.49925</v>
      </c>
      <c r="DS112">
        <v>420.0161875</v>
      </c>
      <c r="DT112">
        <v>8.662236875</v>
      </c>
      <c r="DU112">
        <v>6.6019375</v>
      </c>
      <c r="DV112">
        <v>410.6089375</v>
      </c>
      <c r="DW112">
        <v>8.767464375</v>
      </c>
      <c r="DX112">
        <v>500.003125</v>
      </c>
      <c r="DY112">
        <v>91.05306875</v>
      </c>
      <c r="DZ112">
        <v>0.02287931875</v>
      </c>
      <c r="EA112">
        <v>24.142975</v>
      </c>
      <c r="EB112">
        <v>23.8866375</v>
      </c>
      <c r="EC112">
        <v>999.9</v>
      </c>
      <c r="ED112">
        <v>0</v>
      </c>
      <c r="EE112">
        <v>0</v>
      </c>
      <c r="EF112">
        <v>10003.12375</v>
      </c>
      <c r="EG112">
        <v>0</v>
      </c>
      <c r="EH112">
        <v>1333.355625</v>
      </c>
      <c r="EI112">
        <v>-6.516954375</v>
      </c>
      <c r="EJ112">
        <v>417.11225</v>
      </c>
      <c r="EK112">
        <v>422.8075</v>
      </c>
      <c r="EL112">
        <v>2.060299375</v>
      </c>
      <c r="EM112">
        <v>420.0161875</v>
      </c>
      <c r="EN112">
        <v>6.6019375</v>
      </c>
      <c r="EO112">
        <v>0.7887231875</v>
      </c>
      <c r="EP112">
        <v>0.60112675</v>
      </c>
      <c r="EQ112">
        <v>3.505951875</v>
      </c>
      <c r="ER112">
        <v>-0.28355275</v>
      </c>
      <c r="ES112">
        <v>599.9959375</v>
      </c>
      <c r="ET112">
        <v>0.9329919375</v>
      </c>
      <c r="EU112">
        <v>0.0670079625</v>
      </c>
      <c r="EV112">
        <v>0</v>
      </c>
      <c r="EW112">
        <v>1400.868125</v>
      </c>
      <c r="EX112">
        <v>5.00059</v>
      </c>
      <c r="EY112">
        <v>8247.888125</v>
      </c>
      <c r="EZ112">
        <v>5105.458125</v>
      </c>
      <c r="FA112">
        <v>39.1481875</v>
      </c>
      <c r="FB112">
        <v>41.433125</v>
      </c>
      <c r="FC112">
        <v>39.917625</v>
      </c>
      <c r="FD112">
        <v>40.75</v>
      </c>
      <c r="FE112">
        <v>40.429375</v>
      </c>
      <c r="FF112">
        <v>555.125625</v>
      </c>
      <c r="FG112">
        <v>39.87</v>
      </c>
      <c r="FH112">
        <v>0</v>
      </c>
      <c r="FI112">
        <v>67</v>
      </c>
      <c r="FJ112">
        <v>0</v>
      </c>
      <c r="FK112">
        <v>1400.83615384615</v>
      </c>
      <c r="FL112">
        <v>-1.15692306689116</v>
      </c>
      <c r="FM112">
        <v>-17.5569230955998</v>
      </c>
      <c r="FN112">
        <v>8247.49307692308</v>
      </c>
      <c r="FO112">
        <v>15</v>
      </c>
      <c r="FP112">
        <v>0</v>
      </c>
      <c r="FQ112" t="s">
        <v>441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-6.518027</v>
      </c>
      <c r="GD112">
        <v>0.155649924812017</v>
      </c>
      <c r="GE112">
        <v>0.0310761101330266</v>
      </c>
      <c r="GF112">
        <v>1</v>
      </c>
      <c r="GG112">
        <v>1400.86911764706</v>
      </c>
      <c r="GH112">
        <v>-0.388540867631753</v>
      </c>
      <c r="GI112">
        <v>0.168982554739342</v>
      </c>
      <c r="GJ112">
        <v>-1</v>
      </c>
      <c r="GK112">
        <v>2.0578915</v>
      </c>
      <c r="GL112">
        <v>0.0409484210526322</v>
      </c>
      <c r="GM112">
        <v>0.00428124079561052</v>
      </c>
      <c r="GN112">
        <v>1</v>
      </c>
      <c r="GO112">
        <v>2</v>
      </c>
      <c r="GP112">
        <v>2</v>
      </c>
      <c r="GQ112" t="s">
        <v>442</v>
      </c>
      <c r="GR112">
        <v>3.12777</v>
      </c>
      <c r="GS112">
        <v>2.70104</v>
      </c>
      <c r="GT112">
        <v>0.0879588</v>
      </c>
      <c r="GU112">
        <v>0.0896249</v>
      </c>
      <c r="GV112">
        <v>0.0478905</v>
      </c>
      <c r="GW112">
        <v>0.0384583</v>
      </c>
      <c r="GX112">
        <v>34100.8</v>
      </c>
      <c r="GY112">
        <v>36435.8</v>
      </c>
      <c r="GZ112">
        <v>33847.5</v>
      </c>
      <c r="HA112">
        <v>36257.1</v>
      </c>
      <c r="HB112">
        <v>45556.3</v>
      </c>
      <c r="HC112">
        <v>50038.5</v>
      </c>
      <c r="HD112">
        <v>52806.5</v>
      </c>
      <c r="HE112">
        <v>57908</v>
      </c>
      <c r="HF112">
        <v>1.91087</v>
      </c>
      <c r="HG112">
        <v>2.27803</v>
      </c>
      <c r="HH112">
        <v>0.00111014</v>
      </c>
      <c r="HI112">
        <v>0</v>
      </c>
      <c r="HJ112">
        <v>23.9036</v>
      </c>
      <c r="HK112">
        <v>999.9</v>
      </c>
      <c r="HL112">
        <v>20.84</v>
      </c>
      <c r="HM112">
        <v>30.121</v>
      </c>
      <c r="HN112">
        <v>9.81923</v>
      </c>
      <c r="HO112">
        <v>54.2596</v>
      </c>
      <c r="HP112">
        <v>30.7612</v>
      </c>
      <c r="HQ112">
        <v>2</v>
      </c>
      <c r="HR112">
        <v>0.329187</v>
      </c>
      <c r="HS112">
        <v>2.92295</v>
      </c>
      <c r="HT112">
        <v>20.1203</v>
      </c>
      <c r="HU112">
        <v>5.19692</v>
      </c>
      <c r="HV112">
        <v>12.0043</v>
      </c>
      <c r="HW112">
        <v>4.9754</v>
      </c>
      <c r="HX112">
        <v>3.294</v>
      </c>
      <c r="HY112">
        <v>9999</v>
      </c>
      <c r="HZ112">
        <v>9999</v>
      </c>
      <c r="IA112">
        <v>9999</v>
      </c>
      <c r="IB112">
        <v>999.9</v>
      </c>
      <c r="IC112">
        <v>1.86324</v>
      </c>
      <c r="ID112">
        <v>1.86813</v>
      </c>
      <c r="IE112">
        <v>1.86783</v>
      </c>
      <c r="IF112">
        <v>1.86905</v>
      </c>
      <c r="IG112">
        <v>1.86981</v>
      </c>
      <c r="IH112">
        <v>1.86589</v>
      </c>
      <c r="II112">
        <v>1.86695</v>
      </c>
      <c r="IJ112">
        <v>1.86843</v>
      </c>
      <c r="IK112">
        <v>5</v>
      </c>
      <c r="IL112">
        <v>0</v>
      </c>
      <c r="IM112">
        <v>0</v>
      </c>
      <c r="IN112">
        <v>0</v>
      </c>
      <c r="IO112" t="s">
        <v>443</v>
      </c>
      <c r="IP112" t="s">
        <v>444</v>
      </c>
      <c r="IQ112" t="s">
        <v>445</v>
      </c>
      <c r="IR112" t="s">
        <v>445</v>
      </c>
      <c r="IS112" t="s">
        <v>445</v>
      </c>
      <c r="IT112" t="s">
        <v>445</v>
      </c>
      <c r="IU112">
        <v>0</v>
      </c>
      <c r="IV112">
        <v>100</v>
      </c>
      <c r="IW112">
        <v>100</v>
      </c>
      <c r="IX112">
        <v>2.89</v>
      </c>
      <c r="IY112">
        <v>-0.105</v>
      </c>
      <c r="IZ112">
        <v>1.24656194001752</v>
      </c>
      <c r="JA112">
        <v>0.00408463137630218</v>
      </c>
      <c r="JB112">
        <v>-2.23906557180379e-07</v>
      </c>
      <c r="JC112">
        <v>6.23399102760906e-11</v>
      </c>
      <c r="JD112">
        <v>-0.0873394905990972</v>
      </c>
      <c r="JE112">
        <v>-0.0233348201324191</v>
      </c>
      <c r="JF112">
        <v>0.00274696999164489</v>
      </c>
      <c r="JG112">
        <v>-3.62864435074646e-05</v>
      </c>
      <c r="JH112">
        <v>5</v>
      </c>
      <c r="JI112">
        <v>2263</v>
      </c>
      <c r="JJ112">
        <v>1</v>
      </c>
      <c r="JK112">
        <v>24</v>
      </c>
      <c r="JL112">
        <v>29361554.9</v>
      </c>
      <c r="JM112">
        <v>29361554.9</v>
      </c>
      <c r="JN112">
        <v>1.25244</v>
      </c>
      <c r="JO112">
        <v>2.62451</v>
      </c>
      <c r="JP112">
        <v>2.19849</v>
      </c>
      <c r="JQ112">
        <v>2.62451</v>
      </c>
      <c r="JR112">
        <v>2.44507</v>
      </c>
      <c r="JS112">
        <v>2.32666</v>
      </c>
      <c r="JT112">
        <v>33.513</v>
      </c>
      <c r="JU112">
        <v>24.1926</v>
      </c>
      <c r="JV112">
        <v>18</v>
      </c>
      <c r="JW112">
        <v>503.976</v>
      </c>
      <c r="JX112">
        <v>789.267</v>
      </c>
      <c r="JY112">
        <v>19.9846</v>
      </c>
      <c r="JZ112">
        <v>31.5825</v>
      </c>
      <c r="KA112">
        <v>29.9998</v>
      </c>
      <c r="KB112">
        <v>31.5002</v>
      </c>
      <c r="KC112">
        <v>31.4171</v>
      </c>
      <c r="KD112">
        <v>25.0906</v>
      </c>
      <c r="KE112">
        <v>11.3744</v>
      </c>
      <c r="KF112">
        <v>13.1938</v>
      </c>
      <c r="KG112">
        <v>20.0093</v>
      </c>
      <c r="KH112">
        <v>420</v>
      </c>
      <c r="KI112">
        <v>6.67274</v>
      </c>
      <c r="KJ112">
        <v>95.9878</v>
      </c>
      <c r="KK112">
        <v>93.8479</v>
      </c>
    </row>
    <row r="113" spans="1:297">
      <c r="A113">
        <v>97</v>
      </c>
      <c r="B113">
        <v>1761693355</v>
      </c>
      <c r="C113">
        <v>16005.9000000954</v>
      </c>
      <c r="D113" t="s">
        <v>756</v>
      </c>
      <c r="E113" t="s">
        <v>757</v>
      </c>
      <c r="F113">
        <v>5</v>
      </c>
      <c r="G113" t="s">
        <v>739</v>
      </c>
      <c r="H113" t="s">
        <v>436</v>
      </c>
      <c r="I113">
        <v>1761693346.5</v>
      </c>
      <c r="J113">
        <f>(K113)/1000</f>
        <v>0</v>
      </c>
      <c r="K113">
        <f>IF(DP113, AN113, AH113)</f>
        <v>0</v>
      </c>
      <c r="L113">
        <f>IF(DP113, AI113, AG113)</f>
        <v>0</v>
      </c>
      <c r="M113">
        <f>DR113 - IF(AU113&gt;1, L113*DL113*100.0/(AW113), 0)</f>
        <v>0</v>
      </c>
      <c r="N113">
        <f>((T113-J113/2)*M113-L113)/(T113+J113/2)</f>
        <v>0</v>
      </c>
      <c r="O113">
        <f>N113*(DY113+DZ113)/1000.0</f>
        <v>0</v>
      </c>
      <c r="P113">
        <f>(DR113 - IF(AU113&gt;1, L113*DL113*100.0/(AW113), 0))*(DY113+DZ113)/1000.0</f>
        <v>0</v>
      </c>
      <c r="Q113">
        <f>2.0/((1/S113-1/R113)+SIGN(S113)*SQRT((1/S113-1/R113)*(1/S113-1/R113) + 4*DM113/((DM113+1)*(DM113+1))*(2*1/S113*1/R113-1/R113*1/R113)))</f>
        <v>0</v>
      </c>
      <c r="R113">
        <f>IF(LEFT(DN113,1)&lt;&gt;"0",IF(LEFT(DN113,1)="1",3.0,DO113),$D$5+$E$5*(EF113*DY113/($K$5*1000))+$F$5*(EF113*DY113/($K$5*1000))*MAX(MIN(DL113,$J$5),$I$5)*MAX(MIN(DL113,$J$5),$I$5)+$G$5*MAX(MIN(DL113,$J$5),$I$5)*(EF113*DY113/($K$5*1000))+$H$5*(EF113*DY113/($K$5*1000))*(EF113*DY113/($K$5*1000)))</f>
        <v>0</v>
      </c>
      <c r="S113">
        <f>J113*(1000-(1000*0.61365*exp(17.502*W113/(240.97+W113))/(DY113+DZ113)+DT113)/2)/(1000*0.61365*exp(17.502*W113/(240.97+W113))/(DY113+DZ113)-DT113)</f>
        <v>0</v>
      </c>
      <c r="T113">
        <f>1/((DM113+1)/(Q113/1.6)+1/(R113/1.37)) + DM113/((DM113+1)/(Q113/1.6) + DM113/(R113/1.37))</f>
        <v>0</v>
      </c>
      <c r="U113">
        <f>(DH113*DK113)</f>
        <v>0</v>
      </c>
      <c r="V113">
        <f>(EA113+(U113+2*0.95*5.67E-8*(((EA113+$B$7)+273)^4-(EA113+273)^4)-44100*J113)/(1.84*29.3*R113+8*0.95*5.67E-8*(EA113+273)^3))</f>
        <v>0</v>
      </c>
      <c r="W113">
        <f>($C$7*EB113+$D$7*EC113+$E$7*V113)</f>
        <v>0</v>
      </c>
      <c r="X113">
        <f>0.61365*exp(17.502*W113/(240.97+W113))</f>
        <v>0</v>
      </c>
      <c r="Y113">
        <f>(Z113/AA113*100)</f>
        <v>0</v>
      </c>
      <c r="Z113">
        <f>DT113*(DY113+DZ113)/1000</f>
        <v>0</v>
      </c>
      <c r="AA113">
        <f>0.61365*exp(17.502*EA113/(240.97+EA113))</f>
        <v>0</v>
      </c>
      <c r="AB113">
        <f>(X113-DT113*(DY113+DZ113)/1000)</f>
        <v>0</v>
      </c>
      <c r="AC113">
        <f>(-J113*44100)</f>
        <v>0</v>
      </c>
      <c r="AD113">
        <f>2*29.3*R113*0.92*(EA113-W113)</f>
        <v>0</v>
      </c>
      <c r="AE113">
        <f>2*0.95*5.67E-8*(((EA113+$B$7)+273)^4-(W113+273)^4)</f>
        <v>0</v>
      </c>
      <c r="AF113">
        <f>U113+AE113+AC113+AD113</f>
        <v>0</v>
      </c>
      <c r="AG113">
        <f>DX113*AU113*(DS113-DR113*(1000-AU113*DU113)/(1000-AU113*DT113))/(100*DL113)</f>
        <v>0</v>
      </c>
      <c r="AH113">
        <f>1000*DX113*AU113*(DT113-DU113)/(100*DL113*(1000-AU113*DT113))</f>
        <v>0</v>
      </c>
      <c r="AI113">
        <f>(AJ113 - AK113 - DY113*1E3/(8.314*(EA113+273.15)) * AM113/DX113 * AL113) * DX113/(100*DL113) * (1000 - DU113)/1000</f>
        <v>0</v>
      </c>
      <c r="AJ113">
        <v>422.883848990385</v>
      </c>
      <c r="AK113">
        <v>417.970296969697</v>
      </c>
      <c r="AL113">
        <v>-0.00276136130267617</v>
      </c>
      <c r="AM113">
        <v>64.1617943531089</v>
      </c>
      <c r="AN113">
        <f>(AP113 - AO113 + DY113*1E3/(8.314*(EA113+273.15)) * AR113/DX113 * AQ113) * DX113/(100*DL113) * 1000/(1000 - AP113)</f>
        <v>0</v>
      </c>
      <c r="AO113">
        <v>6.74723429211969</v>
      </c>
      <c r="AP113">
        <v>8.79954741258741</v>
      </c>
      <c r="AQ113">
        <v>6.98652154214821e-05</v>
      </c>
      <c r="AR113">
        <v>108.963540837023</v>
      </c>
      <c r="AS113">
        <v>0</v>
      </c>
      <c r="AT113">
        <v>0</v>
      </c>
      <c r="AU113">
        <f>IF(AS113*$H$13&gt;=AW113,1.0,(AW113/(AW113-AS113*$H$13)))</f>
        <v>0</v>
      </c>
      <c r="AV113">
        <f>(AU113-1)*100</f>
        <v>0</v>
      </c>
      <c r="AW113">
        <f>MAX(0,($B$13+$C$13*EF113)/(1+$D$13*EF113)*DY113/(EA113+273)*$E$13)</f>
        <v>0</v>
      </c>
      <c r="AX113" t="s">
        <v>736</v>
      </c>
      <c r="AY113">
        <v>5122.34</v>
      </c>
      <c r="AZ113">
        <v>745.280769230769</v>
      </c>
      <c r="BA113">
        <v>2455.23089761668</v>
      </c>
      <c r="BB113">
        <f>1-AZ113/BA113</f>
        <v>0</v>
      </c>
      <c r="BC113">
        <v>-1.10567321366113</v>
      </c>
      <c r="BD113" t="s">
        <v>758</v>
      </c>
      <c r="BE113">
        <v>5128.91</v>
      </c>
      <c r="BF113">
        <v>1146.026</v>
      </c>
      <c r="BG113">
        <v>1766.57116696335</v>
      </c>
      <c r="BH113">
        <f>1-BF113/BG113</f>
        <v>0</v>
      </c>
      <c r="BI113">
        <v>0.5</v>
      </c>
      <c r="BJ113">
        <f>DI113</f>
        <v>0</v>
      </c>
      <c r="BK113">
        <f>L113</f>
        <v>0</v>
      </c>
      <c r="BL113">
        <f>BH113*BI113*BJ113</f>
        <v>0</v>
      </c>
      <c r="BM113">
        <f>(BK113-BC113)/BJ113</f>
        <v>0</v>
      </c>
      <c r="BN113">
        <f>(BA113-BG113)/BG113</f>
        <v>0</v>
      </c>
      <c r="BO113">
        <f>AZ113/(BB113+AZ113/BG113)</f>
        <v>0</v>
      </c>
      <c r="BP113" t="s">
        <v>759</v>
      </c>
      <c r="BQ113">
        <v>794.47</v>
      </c>
      <c r="BR113">
        <f>IF(BQ113&lt;&gt;0, BQ113, BO113)</f>
        <v>0</v>
      </c>
      <c r="BS113">
        <f>1-BR113/BG113</f>
        <v>0</v>
      </c>
      <c r="BT113">
        <f>(BG113-BF113)/(BG113-BR113)</f>
        <v>0</v>
      </c>
      <c r="BU113">
        <f>(BA113-BG113)/(BA113-BR113)</f>
        <v>0</v>
      </c>
      <c r="BV113">
        <f>(BG113-BF113)/(BG113-AZ113)</f>
        <v>0</v>
      </c>
      <c r="BW113">
        <f>(BA113-BG113)/(BA113-AZ113)</f>
        <v>0</v>
      </c>
      <c r="BX113">
        <f>(BT113*BR113/BF113)</f>
        <v>0</v>
      </c>
      <c r="BY113">
        <f>(1-BX113)</f>
        <v>0</v>
      </c>
      <c r="BZ113">
        <v>111</v>
      </c>
      <c r="CA113">
        <v>290</v>
      </c>
      <c r="CB113">
        <v>1714.58</v>
      </c>
      <c r="CC113">
        <v>255</v>
      </c>
      <c r="CD113">
        <v>5128.91</v>
      </c>
      <c r="CE113">
        <v>1714.39</v>
      </c>
      <c r="CF113">
        <v>0.19</v>
      </c>
      <c r="CG113">
        <v>300</v>
      </c>
      <c r="CH113">
        <v>23.9</v>
      </c>
      <c r="CI113">
        <v>1766.57116696335</v>
      </c>
      <c r="CJ113">
        <v>1.45621534966654</v>
      </c>
      <c r="CK113">
        <v>-26.7616886242669</v>
      </c>
      <c r="CL113">
        <v>0.653484654930258</v>
      </c>
      <c r="CM113">
        <v>0.983578574568963</v>
      </c>
      <c r="CN113">
        <v>-0.00398842224694105</v>
      </c>
      <c r="CO113">
        <v>290</v>
      </c>
      <c r="CP113">
        <v>1712.45</v>
      </c>
      <c r="CQ113">
        <v>635</v>
      </c>
      <c r="CR113">
        <v>5128</v>
      </c>
      <c r="CS113">
        <v>1714.38</v>
      </c>
      <c r="CT113">
        <v>-1.93</v>
      </c>
      <c r="DH113">
        <f>$B$11*EG113+$C$11*EH113+$F$11*ES113*(1-EV113)</f>
        <v>0</v>
      </c>
      <c r="DI113">
        <f>DH113*DJ113</f>
        <v>0</v>
      </c>
      <c r="DJ113">
        <f>($B$11*$D$9+$C$11*$D$9+$F$11*((FF113+EX113)/MAX(FF113+EX113+FG113, 0.1)*$I$9+FG113/MAX(FF113+EX113+FG113, 0.1)*$J$9))/($B$11+$C$11+$F$11)</f>
        <v>0</v>
      </c>
      <c r="DK113">
        <f>($B$11*$K$9+$C$11*$K$9+$F$11*((FF113+EX113)/MAX(FF113+EX113+FG113, 0.1)*$P$9+FG113/MAX(FF113+EX113+FG113, 0.1)*$Q$9))/($B$11+$C$11+$F$11)</f>
        <v>0</v>
      </c>
      <c r="DL113">
        <v>6</v>
      </c>
      <c r="DM113">
        <v>0.5</v>
      </c>
      <c r="DN113" t="s">
        <v>440</v>
      </c>
      <c r="DO113">
        <v>2</v>
      </c>
      <c r="DP113" t="b">
        <v>1</v>
      </c>
      <c r="DQ113">
        <v>1761693346.5</v>
      </c>
      <c r="DR113">
        <v>414.270375</v>
      </c>
      <c r="DS113">
        <v>420.0136875</v>
      </c>
      <c r="DT113">
        <v>8.78270875</v>
      </c>
      <c r="DU113">
        <v>6.74299625</v>
      </c>
      <c r="DV113">
        <v>411.37725</v>
      </c>
      <c r="DW113">
        <v>8.8859575</v>
      </c>
      <c r="DX113">
        <v>500.0098125</v>
      </c>
      <c r="DY113">
        <v>91.04516875</v>
      </c>
      <c r="DZ113">
        <v>0.02284034375</v>
      </c>
      <c r="EA113">
        <v>24.40055625</v>
      </c>
      <c r="EB113">
        <v>23.9241375</v>
      </c>
      <c r="EC113">
        <v>999.9</v>
      </c>
      <c r="ED113">
        <v>0</v>
      </c>
      <c r="EE113">
        <v>0</v>
      </c>
      <c r="EF113">
        <v>9993.03625</v>
      </c>
      <c r="EG113">
        <v>0</v>
      </c>
      <c r="EH113">
        <v>1333.49875</v>
      </c>
      <c r="EI113">
        <v>-5.743020625</v>
      </c>
      <c r="EJ113">
        <v>417.941125</v>
      </c>
      <c r="EK113">
        <v>422.8648125</v>
      </c>
      <c r="EL113">
        <v>2.03971125</v>
      </c>
      <c r="EM113">
        <v>420.0136875</v>
      </c>
      <c r="EN113">
        <v>6.74299625</v>
      </c>
      <c r="EO113">
        <v>0.79962325</v>
      </c>
      <c r="EP113">
        <v>0.613917375</v>
      </c>
      <c r="EQ113">
        <v>3.70060625</v>
      </c>
      <c r="ER113">
        <v>0.0059872471875</v>
      </c>
      <c r="ES113">
        <v>299.9955</v>
      </c>
      <c r="ET113">
        <v>0.900001375</v>
      </c>
      <c r="EU113">
        <v>0.099998625</v>
      </c>
      <c r="EV113">
        <v>0</v>
      </c>
      <c r="EW113">
        <v>1146.069375</v>
      </c>
      <c r="EX113">
        <v>5.00059</v>
      </c>
      <c r="EY113">
        <v>3364.648125</v>
      </c>
      <c r="EZ113">
        <v>2506.15375</v>
      </c>
      <c r="FA113">
        <v>38.5114375</v>
      </c>
      <c r="FB113">
        <v>41.23425</v>
      </c>
      <c r="FC113">
        <v>39.569875</v>
      </c>
      <c r="FD113">
        <v>40.5816875</v>
      </c>
      <c r="FE113">
        <v>39.999875</v>
      </c>
      <c r="FF113">
        <v>265.495625</v>
      </c>
      <c r="FG113">
        <v>29.496875</v>
      </c>
      <c r="FH113">
        <v>0</v>
      </c>
      <c r="FI113">
        <v>130</v>
      </c>
      <c r="FJ113">
        <v>0</v>
      </c>
      <c r="FK113">
        <v>1146.026</v>
      </c>
      <c r="FL113">
        <v>-1.63461537677139</v>
      </c>
      <c r="FM113">
        <v>-4.88615383211554</v>
      </c>
      <c r="FN113">
        <v>3364.572</v>
      </c>
      <c r="FO113">
        <v>15</v>
      </c>
      <c r="FP113">
        <v>0</v>
      </c>
      <c r="FQ113" t="s">
        <v>441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-5.75757095238095</v>
      </c>
      <c r="GD113">
        <v>0.360701298701303</v>
      </c>
      <c r="GE113">
        <v>0.0572894779589347</v>
      </c>
      <c r="GF113">
        <v>1</v>
      </c>
      <c r="GG113">
        <v>1146.19205882353</v>
      </c>
      <c r="GH113">
        <v>-2.22566844427378</v>
      </c>
      <c r="GI113">
        <v>0.326170105491397</v>
      </c>
      <c r="GJ113">
        <v>-1</v>
      </c>
      <c r="GK113">
        <v>2.0356519047619</v>
      </c>
      <c r="GL113">
        <v>0.0718192207792214</v>
      </c>
      <c r="GM113">
        <v>0.00762682959723211</v>
      </c>
      <c r="GN113">
        <v>1</v>
      </c>
      <c r="GO113">
        <v>2</v>
      </c>
      <c r="GP113">
        <v>2</v>
      </c>
      <c r="GQ113" t="s">
        <v>442</v>
      </c>
      <c r="GR113">
        <v>3.12781</v>
      </c>
      <c r="GS113">
        <v>2.70073</v>
      </c>
      <c r="GT113">
        <v>0.0880936</v>
      </c>
      <c r="GU113">
        <v>0.0896329</v>
      </c>
      <c r="GV113">
        <v>0.0484493</v>
      </c>
      <c r="GW113">
        <v>0.0391858</v>
      </c>
      <c r="GX113">
        <v>34100.5</v>
      </c>
      <c r="GY113">
        <v>36442.1</v>
      </c>
      <c r="GZ113">
        <v>33851.8</v>
      </c>
      <c r="HA113">
        <v>36263.2</v>
      </c>
      <c r="HB113">
        <v>45534.5</v>
      </c>
      <c r="HC113">
        <v>50008.4</v>
      </c>
      <c r="HD113">
        <v>52812.1</v>
      </c>
      <c r="HE113">
        <v>57916.9</v>
      </c>
      <c r="HF113">
        <v>1.9115</v>
      </c>
      <c r="HG113">
        <v>2.27945</v>
      </c>
      <c r="HH113">
        <v>-0.00444055</v>
      </c>
      <c r="HI113">
        <v>0</v>
      </c>
      <c r="HJ113">
        <v>24.0546</v>
      </c>
      <c r="HK113">
        <v>999.9</v>
      </c>
      <c r="HL113">
        <v>20.816</v>
      </c>
      <c r="HM113">
        <v>30.121</v>
      </c>
      <c r="HN113">
        <v>9.80856</v>
      </c>
      <c r="HO113">
        <v>54.6796</v>
      </c>
      <c r="HP113">
        <v>30.7532</v>
      </c>
      <c r="HQ113">
        <v>2</v>
      </c>
      <c r="HR113">
        <v>0.320841</v>
      </c>
      <c r="HS113">
        <v>2.36818</v>
      </c>
      <c r="HT113">
        <v>20.1308</v>
      </c>
      <c r="HU113">
        <v>5.19857</v>
      </c>
      <c r="HV113">
        <v>12.0074</v>
      </c>
      <c r="HW113">
        <v>4.97375</v>
      </c>
      <c r="HX113">
        <v>3.29398</v>
      </c>
      <c r="HY113">
        <v>9999</v>
      </c>
      <c r="HZ113">
        <v>9999</v>
      </c>
      <c r="IA113">
        <v>9999</v>
      </c>
      <c r="IB113">
        <v>999.9</v>
      </c>
      <c r="IC113">
        <v>1.86324</v>
      </c>
      <c r="ID113">
        <v>1.86813</v>
      </c>
      <c r="IE113">
        <v>1.86783</v>
      </c>
      <c r="IF113">
        <v>1.86905</v>
      </c>
      <c r="IG113">
        <v>1.86981</v>
      </c>
      <c r="IH113">
        <v>1.86585</v>
      </c>
      <c r="II113">
        <v>1.86697</v>
      </c>
      <c r="IJ113">
        <v>1.86843</v>
      </c>
      <c r="IK113">
        <v>5</v>
      </c>
      <c r="IL113">
        <v>0</v>
      </c>
      <c r="IM113">
        <v>0</v>
      </c>
      <c r="IN113">
        <v>0</v>
      </c>
      <c r="IO113" t="s">
        <v>443</v>
      </c>
      <c r="IP113" t="s">
        <v>444</v>
      </c>
      <c r="IQ113" t="s">
        <v>445</v>
      </c>
      <c r="IR113" t="s">
        <v>445</v>
      </c>
      <c r="IS113" t="s">
        <v>445</v>
      </c>
      <c r="IT113" t="s">
        <v>445</v>
      </c>
      <c r="IU113">
        <v>0</v>
      </c>
      <c r="IV113">
        <v>100</v>
      </c>
      <c r="IW113">
        <v>100</v>
      </c>
      <c r="IX113">
        <v>2.894</v>
      </c>
      <c r="IY113">
        <v>-0.1029</v>
      </c>
      <c r="IZ113">
        <v>1.24656194001752</v>
      </c>
      <c r="JA113">
        <v>0.00408463137630218</v>
      </c>
      <c r="JB113">
        <v>-2.23906557180379e-07</v>
      </c>
      <c r="JC113">
        <v>6.23399102760906e-11</v>
      </c>
      <c r="JD113">
        <v>-0.0873394905990972</v>
      </c>
      <c r="JE113">
        <v>-0.0233348201324191</v>
      </c>
      <c r="JF113">
        <v>0.00274696999164489</v>
      </c>
      <c r="JG113">
        <v>-3.62864435074646e-05</v>
      </c>
      <c r="JH113">
        <v>5</v>
      </c>
      <c r="JI113">
        <v>2263</v>
      </c>
      <c r="JJ113">
        <v>1</v>
      </c>
      <c r="JK113">
        <v>24</v>
      </c>
      <c r="JL113">
        <v>29361555.9</v>
      </c>
      <c r="JM113">
        <v>29361555.9</v>
      </c>
      <c r="JN113">
        <v>1.25244</v>
      </c>
      <c r="JO113">
        <v>2.62207</v>
      </c>
      <c r="JP113">
        <v>2.19849</v>
      </c>
      <c r="JQ113">
        <v>2.62451</v>
      </c>
      <c r="JR113">
        <v>2.44507</v>
      </c>
      <c r="JS113">
        <v>2.34741</v>
      </c>
      <c r="JT113">
        <v>33.4906</v>
      </c>
      <c r="JU113">
        <v>24.2013</v>
      </c>
      <c r="JV113">
        <v>18</v>
      </c>
      <c r="JW113">
        <v>504.051</v>
      </c>
      <c r="JX113">
        <v>790.152</v>
      </c>
      <c r="JY113">
        <v>21.174</v>
      </c>
      <c r="JZ113">
        <v>31.5112</v>
      </c>
      <c r="KA113">
        <v>29.9998</v>
      </c>
      <c r="KB113">
        <v>31.4586</v>
      </c>
      <c r="KC113">
        <v>31.3822</v>
      </c>
      <c r="KD113">
        <v>25.0913</v>
      </c>
      <c r="KE113">
        <v>8.11768</v>
      </c>
      <c r="KF113">
        <v>13.1938</v>
      </c>
      <c r="KG113">
        <v>21.1759</v>
      </c>
      <c r="KH113">
        <v>420</v>
      </c>
      <c r="KI113">
        <v>6.84192</v>
      </c>
      <c r="KJ113">
        <v>95.9988</v>
      </c>
      <c r="KK113">
        <v>93.8629</v>
      </c>
    </row>
    <row r="114" spans="1:297">
      <c r="A114">
        <v>98</v>
      </c>
      <c r="B114">
        <v>1761693438</v>
      </c>
      <c r="C114">
        <v>16088.9000000954</v>
      </c>
      <c r="D114" t="s">
        <v>760</v>
      </c>
      <c r="E114" t="s">
        <v>761</v>
      </c>
      <c r="F114">
        <v>5</v>
      </c>
      <c r="G114" t="s">
        <v>739</v>
      </c>
      <c r="H114" t="s">
        <v>436</v>
      </c>
      <c r="I114">
        <v>1761693430</v>
      </c>
      <c r="J114">
        <f>(K114)/1000</f>
        <v>0</v>
      </c>
      <c r="K114">
        <f>IF(DP114, AN114, AH114)</f>
        <v>0</v>
      </c>
      <c r="L114">
        <f>IF(DP114, AI114, AG114)</f>
        <v>0</v>
      </c>
      <c r="M114">
        <f>DR114 - IF(AU114&gt;1, L114*DL114*100.0/(AW114), 0)</f>
        <v>0</v>
      </c>
      <c r="N114">
        <f>((T114-J114/2)*M114-L114)/(T114+J114/2)</f>
        <v>0</v>
      </c>
      <c r="O114">
        <f>N114*(DY114+DZ114)/1000.0</f>
        <v>0</v>
      </c>
      <c r="P114">
        <f>(DR114 - IF(AU114&gt;1, L114*DL114*100.0/(AW114), 0))*(DY114+DZ114)/1000.0</f>
        <v>0</v>
      </c>
      <c r="Q114">
        <f>2.0/((1/S114-1/R114)+SIGN(S114)*SQRT((1/S114-1/R114)*(1/S114-1/R114) + 4*DM114/((DM114+1)*(DM114+1))*(2*1/S114*1/R114-1/R114*1/R114)))</f>
        <v>0</v>
      </c>
      <c r="R114">
        <f>IF(LEFT(DN114,1)&lt;&gt;"0",IF(LEFT(DN114,1)="1",3.0,DO114),$D$5+$E$5*(EF114*DY114/($K$5*1000))+$F$5*(EF114*DY114/($K$5*1000))*MAX(MIN(DL114,$J$5),$I$5)*MAX(MIN(DL114,$J$5),$I$5)+$G$5*MAX(MIN(DL114,$J$5),$I$5)*(EF114*DY114/($K$5*1000))+$H$5*(EF114*DY114/($K$5*1000))*(EF114*DY114/($K$5*1000)))</f>
        <v>0</v>
      </c>
      <c r="S114">
        <f>J114*(1000-(1000*0.61365*exp(17.502*W114/(240.97+W114))/(DY114+DZ114)+DT114)/2)/(1000*0.61365*exp(17.502*W114/(240.97+W114))/(DY114+DZ114)-DT114)</f>
        <v>0</v>
      </c>
      <c r="T114">
        <f>1/((DM114+1)/(Q114/1.6)+1/(R114/1.37)) + DM114/((DM114+1)/(Q114/1.6) + DM114/(R114/1.37))</f>
        <v>0</v>
      </c>
      <c r="U114">
        <f>(DH114*DK114)</f>
        <v>0</v>
      </c>
      <c r="V114">
        <f>(EA114+(U114+2*0.95*5.67E-8*(((EA114+$B$7)+273)^4-(EA114+273)^4)-44100*J114)/(1.84*29.3*R114+8*0.95*5.67E-8*(EA114+273)^3))</f>
        <v>0</v>
      </c>
      <c r="W114">
        <f>($C$7*EB114+$D$7*EC114+$E$7*V114)</f>
        <v>0</v>
      </c>
      <c r="X114">
        <f>0.61365*exp(17.502*W114/(240.97+W114))</f>
        <v>0</v>
      </c>
      <c r="Y114">
        <f>(Z114/AA114*100)</f>
        <v>0</v>
      </c>
      <c r="Z114">
        <f>DT114*(DY114+DZ114)/1000</f>
        <v>0</v>
      </c>
      <c r="AA114">
        <f>0.61365*exp(17.502*EA114/(240.97+EA114))</f>
        <v>0</v>
      </c>
      <c r="AB114">
        <f>(X114-DT114*(DY114+DZ114)/1000)</f>
        <v>0</v>
      </c>
      <c r="AC114">
        <f>(-J114*44100)</f>
        <v>0</v>
      </c>
      <c r="AD114">
        <f>2*29.3*R114*0.92*(EA114-W114)</f>
        <v>0</v>
      </c>
      <c r="AE114">
        <f>2*0.95*5.67E-8*(((EA114+$B$7)+273)^4-(W114+273)^4)</f>
        <v>0</v>
      </c>
      <c r="AF114">
        <f>U114+AE114+AC114+AD114</f>
        <v>0</v>
      </c>
      <c r="AG114">
        <f>DX114*AU114*(DS114-DR114*(1000-AU114*DU114)/(1000-AU114*DT114))/(100*DL114)</f>
        <v>0</v>
      </c>
      <c r="AH114">
        <f>1000*DX114*AU114*(DT114-DU114)/(100*DL114*(1000-AU114*DT114))</f>
        <v>0</v>
      </c>
      <c r="AI114">
        <f>(AJ114 - AK114 - DY114*1E3/(8.314*(EA114+273.15)) * AM114/DX114 * AL114) * DX114/(100*DL114) * (1000 - DU114)/1000</f>
        <v>0</v>
      </c>
      <c r="AJ114">
        <v>422.941621540988</v>
      </c>
      <c r="AK114">
        <v>419.819648484848</v>
      </c>
      <c r="AL114">
        <v>0.00148508460960239</v>
      </c>
      <c r="AM114">
        <v>64.1617943531089</v>
      </c>
      <c r="AN114">
        <f>(AP114 - AO114 + DY114*1E3/(8.314*(EA114+273.15)) * AR114/DX114 * AQ114) * DX114/(100*DL114) * 1000/(1000 - AP114)</f>
        <v>0</v>
      </c>
      <c r="AO114">
        <v>6.92499448955362</v>
      </c>
      <c r="AP114">
        <v>8.94726545454546</v>
      </c>
      <c r="AQ114">
        <v>6.76857196052467e-05</v>
      </c>
      <c r="AR114">
        <v>108.963540837023</v>
      </c>
      <c r="AS114">
        <v>0</v>
      </c>
      <c r="AT114">
        <v>0</v>
      </c>
      <c r="AU114">
        <f>IF(AS114*$H$13&gt;=AW114,1.0,(AW114/(AW114-AS114*$H$13)))</f>
        <v>0</v>
      </c>
      <c r="AV114">
        <f>(AU114-1)*100</f>
        <v>0</v>
      </c>
      <c r="AW114">
        <f>MAX(0,($B$13+$C$13*EF114)/(1+$D$13*EF114)*DY114/(EA114+273)*$E$13)</f>
        <v>0</v>
      </c>
      <c r="AX114" t="s">
        <v>448</v>
      </c>
      <c r="AY114" t="s">
        <v>448</v>
      </c>
      <c r="AZ114">
        <v>0</v>
      </c>
      <c r="BA114">
        <v>0</v>
      </c>
      <c r="BB114">
        <f>1-AZ114/BA114</f>
        <v>0</v>
      </c>
      <c r="BC114">
        <v>0</v>
      </c>
      <c r="BD114" t="s">
        <v>448</v>
      </c>
      <c r="BE114" t="s">
        <v>448</v>
      </c>
      <c r="BF114">
        <v>0</v>
      </c>
      <c r="BG114">
        <v>0</v>
      </c>
      <c r="BH114">
        <f>1-BF114/BG114</f>
        <v>0</v>
      </c>
      <c r="BI114">
        <v>0.5</v>
      </c>
      <c r="BJ114">
        <f>DI114</f>
        <v>0</v>
      </c>
      <c r="BK114">
        <f>L114</f>
        <v>0</v>
      </c>
      <c r="BL114">
        <f>BH114*BI114*BJ114</f>
        <v>0</v>
      </c>
      <c r="BM114">
        <f>(BK114-BC114)/BJ114</f>
        <v>0</v>
      </c>
      <c r="BN114">
        <f>(BA114-BG114)/BG114</f>
        <v>0</v>
      </c>
      <c r="BO114">
        <f>AZ114/(BB114+AZ114/BG114)</f>
        <v>0</v>
      </c>
      <c r="BP114" t="s">
        <v>448</v>
      </c>
      <c r="BQ114">
        <v>0</v>
      </c>
      <c r="BR114">
        <f>IF(BQ114&lt;&gt;0, BQ114, BO114)</f>
        <v>0</v>
      </c>
      <c r="BS114">
        <f>1-BR114/BG114</f>
        <v>0</v>
      </c>
      <c r="BT114">
        <f>(BG114-BF114)/(BG114-BR114)</f>
        <v>0</v>
      </c>
      <c r="BU114">
        <f>(BA114-BG114)/(BA114-BR114)</f>
        <v>0</v>
      </c>
      <c r="BV114">
        <f>(BG114-BF114)/(BG114-AZ114)</f>
        <v>0</v>
      </c>
      <c r="BW114">
        <f>(BA114-BG114)/(BA114-AZ114)</f>
        <v>0</v>
      </c>
      <c r="BX114">
        <f>(BT114*BR114/BF114)</f>
        <v>0</v>
      </c>
      <c r="BY114">
        <f>(1-BX114)</f>
        <v>0</v>
      </c>
      <c r="BZ114">
        <v>111</v>
      </c>
      <c r="CA114">
        <v>290</v>
      </c>
      <c r="CB114">
        <v>1714.58</v>
      </c>
      <c r="CC114">
        <v>255</v>
      </c>
      <c r="CD114">
        <v>5128.91</v>
      </c>
      <c r="CE114">
        <v>1714.39</v>
      </c>
      <c r="CF114">
        <v>0.19</v>
      </c>
      <c r="CG114">
        <v>300</v>
      </c>
      <c r="CH114">
        <v>23.9</v>
      </c>
      <c r="CI114">
        <v>1766.57116696335</v>
      </c>
      <c r="CJ114">
        <v>1.45621534966654</v>
      </c>
      <c r="CK114">
        <v>-26.7616886242669</v>
      </c>
      <c r="CL114">
        <v>0.653484654930258</v>
      </c>
      <c r="CM114">
        <v>0.983578574568963</v>
      </c>
      <c r="CN114">
        <v>-0.00398842224694105</v>
      </c>
      <c r="CO114">
        <v>290</v>
      </c>
      <c r="CP114">
        <v>1712.45</v>
      </c>
      <c r="CQ114">
        <v>635</v>
      </c>
      <c r="CR114">
        <v>5128</v>
      </c>
      <c r="CS114">
        <v>1714.38</v>
      </c>
      <c r="CT114">
        <v>-1.93</v>
      </c>
      <c r="DH114">
        <f>$B$11*EG114+$C$11*EH114+$F$11*ES114*(1-EV114)</f>
        <v>0</v>
      </c>
      <c r="DI114">
        <f>DH114*DJ114</f>
        <v>0</v>
      </c>
      <c r="DJ114">
        <f>($B$11*$D$9+$C$11*$D$9+$F$11*((FF114+EX114)/MAX(FF114+EX114+FG114, 0.1)*$I$9+FG114/MAX(FF114+EX114+FG114, 0.1)*$J$9))/($B$11+$C$11+$F$11)</f>
        <v>0</v>
      </c>
      <c r="DK114">
        <f>($B$11*$K$9+$C$11*$K$9+$F$11*((FF114+EX114)/MAX(FF114+EX114+FG114, 0.1)*$P$9+FG114/MAX(FF114+EX114+FG114, 0.1)*$Q$9))/($B$11+$C$11+$F$11)</f>
        <v>0</v>
      </c>
      <c r="DL114">
        <v>6</v>
      </c>
      <c r="DM114">
        <v>0.5</v>
      </c>
      <c r="DN114" t="s">
        <v>440</v>
      </c>
      <c r="DO114">
        <v>2</v>
      </c>
      <c r="DP114" t="b">
        <v>1</v>
      </c>
      <c r="DQ114">
        <v>1761693430</v>
      </c>
      <c r="DR114">
        <v>416.014133333333</v>
      </c>
      <c r="DS114">
        <v>420.001733333333</v>
      </c>
      <c r="DT114">
        <v>8.93835866666666</v>
      </c>
      <c r="DU114">
        <v>6.91902066666667</v>
      </c>
      <c r="DV114">
        <v>413.114</v>
      </c>
      <c r="DW114">
        <v>9.03898266666667</v>
      </c>
      <c r="DX114">
        <v>499.987733333333</v>
      </c>
      <c r="DY114">
        <v>91.0379666666667</v>
      </c>
      <c r="DZ114">
        <v>0.0225796866666667</v>
      </c>
      <c r="EA114">
        <v>24.6518666666667</v>
      </c>
      <c r="EB114">
        <v>24.0814933333333</v>
      </c>
      <c r="EC114">
        <v>999.9</v>
      </c>
      <c r="ED114">
        <v>0</v>
      </c>
      <c r="EE114">
        <v>0</v>
      </c>
      <c r="EF114">
        <v>9997.82866666667</v>
      </c>
      <c r="EG114">
        <v>0</v>
      </c>
      <c r="EH114">
        <v>1333.56933333333</v>
      </c>
      <c r="EI114">
        <v>-3.98757266666667</v>
      </c>
      <c r="EJ114">
        <v>419.7662</v>
      </c>
      <c r="EK114">
        <v>422.928066666667</v>
      </c>
      <c r="EL114">
        <v>2.01933866666667</v>
      </c>
      <c r="EM114">
        <v>420.001733333333</v>
      </c>
      <c r="EN114">
        <v>6.91902066666667</v>
      </c>
      <c r="EO114">
        <v>0.813729933333333</v>
      </c>
      <c r="EP114">
        <v>0.6298936</v>
      </c>
      <c r="EQ114">
        <v>3.94909533333333</v>
      </c>
      <c r="ER114">
        <v>0.360240866666667</v>
      </c>
      <c r="ES114">
        <v>150.007466666667</v>
      </c>
      <c r="ET114">
        <v>0.9000038</v>
      </c>
      <c r="EU114">
        <v>0.0999962466666667</v>
      </c>
      <c r="EV114">
        <v>0</v>
      </c>
      <c r="EW114">
        <v>890.512733333333</v>
      </c>
      <c r="EX114">
        <v>5.00059</v>
      </c>
      <c r="EY114">
        <v>1325.722</v>
      </c>
      <c r="EZ114">
        <v>1231.91733333333</v>
      </c>
      <c r="FA114">
        <v>37.8580666666667</v>
      </c>
      <c r="FB114">
        <v>40.9246</v>
      </c>
      <c r="FC114">
        <v>39.0872</v>
      </c>
      <c r="FD114">
        <v>40.3498</v>
      </c>
      <c r="FE114">
        <v>39.4956666666667</v>
      </c>
      <c r="FF114">
        <v>130.506</v>
      </c>
      <c r="FG114">
        <v>14.5033333333333</v>
      </c>
      <c r="FH114">
        <v>0</v>
      </c>
      <c r="FI114">
        <v>80</v>
      </c>
      <c r="FJ114">
        <v>0</v>
      </c>
      <c r="FK114">
        <v>890.49444</v>
      </c>
      <c r="FL114">
        <v>-3.22538463809757</v>
      </c>
      <c r="FM114">
        <v>-10.386923156416</v>
      </c>
      <c r="FN114">
        <v>1325.8696</v>
      </c>
      <c r="FO114">
        <v>15</v>
      </c>
      <c r="FP114">
        <v>0</v>
      </c>
      <c r="FQ114" t="s">
        <v>441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-4.019505</v>
      </c>
      <c r="GD114">
        <v>0.446610225563911</v>
      </c>
      <c r="GE114">
        <v>0.0543175246582537</v>
      </c>
      <c r="GF114">
        <v>1</v>
      </c>
      <c r="GG114">
        <v>890.887088235294</v>
      </c>
      <c r="GH114">
        <v>-4.74635600449888</v>
      </c>
      <c r="GI114">
        <v>0.512338948448074</v>
      </c>
      <c r="GJ114">
        <v>-1</v>
      </c>
      <c r="GK114">
        <v>2.0205545</v>
      </c>
      <c r="GL114">
        <v>-0.0228987969924808</v>
      </c>
      <c r="GM114">
        <v>0.00234054155058186</v>
      </c>
      <c r="GN114">
        <v>1</v>
      </c>
      <c r="GO114">
        <v>2</v>
      </c>
      <c r="GP114">
        <v>2</v>
      </c>
      <c r="GQ114" t="s">
        <v>442</v>
      </c>
      <c r="GR114">
        <v>3.12785</v>
      </c>
      <c r="GS114">
        <v>2.7006</v>
      </c>
      <c r="GT114">
        <v>0.0883871</v>
      </c>
      <c r="GU114">
        <v>0.0896403</v>
      </c>
      <c r="GV114">
        <v>0.04909</v>
      </c>
      <c r="GW114">
        <v>0.0399949</v>
      </c>
      <c r="GX114">
        <v>34094.4</v>
      </c>
      <c r="GY114">
        <v>36448</v>
      </c>
      <c r="GZ114">
        <v>33856.1</v>
      </c>
      <c r="HA114">
        <v>36268.9</v>
      </c>
      <c r="HB114">
        <v>45508.4</v>
      </c>
      <c r="HC114">
        <v>49973.3</v>
      </c>
      <c r="HD114">
        <v>52817.4</v>
      </c>
      <c r="HE114">
        <v>57924.9</v>
      </c>
      <c r="HF114">
        <v>1.91217</v>
      </c>
      <c r="HG114">
        <v>2.2812</v>
      </c>
      <c r="HH114">
        <v>-0.0145882</v>
      </c>
      <c r="HI114">
        <v>0</v>
      </c>
      <c r="HJ114">
        <v>24.3196</v>
      </c>
      <c r="HK114">
        <v>999.9</v>
      </c>
      <c r="HL114">
        <v>20.791</v>
      </c>
      <c r="HM114">
        <v>30.121</v>
      </c>
      <c r="HN114">
        <v>9.79746</v>
      </c>
      <c r="HO114">
        <v>54.2696</v>
      </c>
      <c r="HP114">
        <v>30.7372</v>
      </c>
      <c r="HQ114">
        <v>2</v>
      </c>
      <c r="HR114">
        <v>0.319558</v>
      </c>
      <c r="HS114">
        <v>3.83487</v>
      </c>
      <c r="HT114">
        <v>20.1052</v>
      </c>
      <c r="HU114">
        <v>5.19782</v>
      </c>
      <c r="HV114">
        <v>12.0086</v>
      </c>
      <c r="HW114">
        <v>4.97525</v>
      </c>
      <c r="HX114">
        <v>3.294</v>
      </c>
      <c r="HY114">
        <v>9999</v>
      </c>
      <c r="HZ114">
        <v>9999</v>
      </c>
      <c r="IA114">
        <v>9999</v>
      </c>
      <c r="IB114">
        <v>999.9</v>
      </c>
      <c r="IC114">
        <v>1.86325</v>
      </c>
      <c r="ID114">
        <v>1.86813</v>
      </c>
      <c r="IE114">
        <v>1.86785</v>
      </c>
      <c r="IF114">
        <v>1.86905</v>
      </c>
      <c r="IG114">
        <v>1.86981</v>
      </c>
      <c r="IH114">
        <v>1.86587</v>
      </c>
      <c r="II114">
        <v>1.86701</v>
      </c>
      <c r="IJ114">
        <v>1.8684</v>
      </c>
      <c r="IK114">
        <v>5</v>
      </c>
      <c r="IL114">
        <v>0</v>
      </c>
      <c r="IM114">
        <v>0</v>
      </c>
      <c r="IN114">
        <v>0</v>
      </c>
      <c r="IO114" t="s">
        <v>443</v>
      </c>
      <c r="IP114" t="s">
        <v>444</v>
      </c>
      <c r="IQ114" t="s">
        <v>445</v>
      </c>
      <c r="IR114" t="s">
        <v>445</v>
      </c>
      <c r="IS114" t="s">
        <v>445</v>
      </c>
      <c r="IT114" t="s">
        <v>445</v>
      </c>
      <c r="IU114">
        <v>0</v>
      </c>
      <c r="IV114">
        <v>100</v>
      </c>
      <c r="IW114">
        <v>100</v>
      </c>
      <c r="IX114">
        <v>2.9</v>
      </c>
      <c r="IY114">
        <v>-0.1005</v>
      </c>
      <c r="IZ114">
        <v>1.24656194001752</v>
      </c>
      <c r="JA114">
        <v>0.00408463137630218</v>
      </c>
      <c r="JB114">
        <v>-2.23906557180379e-07</v>
      </c>
      <c r="JC114">
        <v>6.23399102760906e-11</v>
      </c>
      <c r="JD114">
        <v>-0.0873394905990972</v>
      </c>
      <c r="JE114">
        <v>-0.0233348201324191</v>
      </c>
      <c r="JF114">
        <v>0.00274696999164489</v>
      </c>
      <c r="JG114">
        <v>-3.62864435074646e-05</v>
      </c>
      <c r="JH114">
        <v>5</v>
      </c>
      <c r="JI114">
        <v>2263</v>
      </c>
      <c r="JJ114">
        <v>1</v>
      </c>
      <c r="JK114">
        <v>24</v>
      </c>
      <c r="JL114">
        <v>29361557.3</v>
      </c>
      <c r="JM114">
        <v>29361557.3</v>
      </c>
      <c r="JN114">
        <v>1.25244</v>
      </c>
      <c r="JO114">
        <v>2.62329</v>
      </c>
      <c r="JP114">
        <v>2.19849</v>
      </c>
      <c r="JQ114">
        <v>2.62451</v>
      </c>
      <c r="JR114">
        <v>2.44507</v>
      </c>
      <c r="JS114">
        <v>2.31323</v>
      </c>
      <c r="JT114">
        <v>33.4906</v>
      </c>
      <c r="JU114">
        <v>24.1926</v>
      </c>
      <c r="JV114">
        <v>18</v>
      </c>
      <c r="JW114">
        <v>503.992</v>
      </c>
      <c r="JX114">
        <v>791.097</v>
      </c>
      <c r="JY114">
        <v>20.4697</v>
      </c>
      <c r="JZ114">
        <v>31.419</v>
      </c>
      <c r="KA114">
        <v>30.0003</v>
      </c>
      <c r="KB114">
        <v>31.3971</v>
      </c>
      <c r="KC114">
        <v>31.3287</v>
      </c>
      <c r="KD114">
        <v>25.0934</v>
      </c>
      <c r="KE114">
        <v>1.78043</v>
      </c>
      <c r="KF114">
        <v>13.1938</v>
      </c>
      <c r="KG114">
        <v>20.4397</v>
      </c>
      <c r="KH114">
        <v>420</v>
      </c>
      <c r="KI114">
        <v>7.02466</v>
      </c>
      <c r="KJ114">
        <v>96.0095</v>
      </c>
      <c r="KK114">
        <v>93.8765</v>
      </c>
    </row>
    <row r="115" spans="1:297">
      <c r="A115">
        <v>99</v>
      </c>
      <c r="B115">
        <v>1761693547</v>
      </c>
      <c r="C115">
        <v>16197.9000000954</v>
      </c>
      <c r="D115" t="s">
        <v>762</v>
      </c>
      <c r="E115" t="s">
        <v>763</v>
      </c>
      <c r="F115">
        <v>5</v>
      </c>
      <c r="G115" t="s">
        <v>739</v>
      </c>
      <c r="H115" t="s">
        <v>436</v>
      </c>
      <c r="I115">
        <v>1761693538.5</v>
      </c>
      <c r="J115">
        <f>(K115)/1000</f>
        <v>0</v>
      </c>
      <c r="K115">
        <f>IF(DP115, AN115, AH115)</f>
        <v>0</v>
      </c>
      <c r="L115">
        <f>IF(DP115, AI115, AG115)</f>
        <v>0</v>
      </c>
      <c r="M115">
        <f>DR115 - IF(AU115&gt;1, L115*DL115*100.0/(AW115), 0)</f>
        <v>0</v>
      </c>
      <c r="N115">
        <f>((T115-J115/2)*M115-L115)/(T115+J115/2)</f>
        <v>0</v>
      </c>
      <c r="O115">
        <f>N115*(DY115+DZ115)/1000.0</f>
        <v>0</v>
      </c>
      <c r="P115">
        <f>(DR115 - IF(AU115&gt;1, L115*DL115*100.0/(AW115), 0))*(DY115+DZ115)/1000.0</f>
        <v>0</v>
      </c>
      <c r="Q115">
        <f>2.0/((1/S115-1/R115)+SIGN(S115)*SQRT((1/S115-1/R115)*(1/S115-1/R115) + 4*DM115/((DM115+1)*(DM115+1))*(2*1/S115*1/R115-1/R115*1/R115)))</f>
        <v>0</v>
      </c>
      <c r="R115">
        <f>IF(LEFT(DN115,1)&lt;&gt;"0",IF(LEFT(DN115,1)="1",3.0,DO115),$D$5+$E$5*(EF115*DY115/($K$5*1000))+$F$5*(EF115*DY115/($K$5*1000))*MAX(MIN(DL115,$J$5),$I$5)*MAX(MIN(DL115,$J$5),$I$5)+$G$5*MAX(MIN(DL115,$J$5),$I$5)*(EF115*DY115/($K$5*1000))+$H$5*(EF115*DY115/($K$5*1000))*(EF115*DY115/($K$5*1000)))</f>
        <v>0</v>
      </c>
      <c r="S115">
        <f>J115*(1000-(1000*0.61365*exp(17.502*W115/(240.97+W115))/(DY115+DZ115)+DT115)/2)/(1000*0.61365*exp(17.502*W115/(240.97+W115))/(DY115+DZ115)-DT115)</f>
        <v>0</v>
      </c>
      <c r="T115">
        <f>1/((DM115+1)/(Q115/1.6)+1/(R115/1.37)) + DM115/((DM115+1)/(Q115/1.6) + DM115/(R115/1.37))</f>
        <v>0</v>
      </c>
      <c r="U115">
        <f>(DH115*DK115)</f>
        <v>0</v>
      </c>
      <c r="V115">
        <f>(EA115+(U115+2*0.95*5.67E-8*(((EA115+$B$7)+273)^4-(EA115+273)^4)-44100*J115)/(1.84*29.3*R115+8*0.95*5.67E-8*(EA115+273)^3))</f>
        <v>0</v>
      </c>
      <c r="W115">
        <f>($C$7*EB115+$D$7*EC115+$E$7*V115)</f>
        <v>0</v>
      </c>
      <c r="X115">
        <f>0.61365*exp(17.502*W115/(240.97+W115))</f>
        <v>0</v>
      </c>
      <c r="Y115">
        <f>(Z115/AA115*100)</f>
        <v>0</v>
      </c>
      <c r="Z115">
        <f>DT115*(DY115+DZ115)/1000</f>
        <v>0</v>
      </c>
      <c r="AA115">
        <f>0.61365*exp(17.502*EA115/(240.97+EA115))</f>
        <v>0</v>
      </c>
      <c r="AB115">
        <f>(X115-DT115*(DY115+DZ115)/1000)</f>
        <v>0</v>
      </c>
      <c r="AC115">
        <f>(-J115*44100)</f>
        <v>0</v>
      </c>
      <c r="AD115">
        <f>2*29.3*R115*0.92*(EA115-W115)</f>
        <v>0</v>
      </c>
      <c r="AE115">
        <f>2*0.95*5.67E-8*(((EA115+$B$7)+273)^4-(W115+273)^4)</f>
        <v>0</v>
      </c>
      <c r="AF115">
        <f>U115+AE115+AC115+AD115</f>
        <v>0</v>
      </c>
      <c r="AG115">
        <f>DX115*AU115*(DS115-DR115*(1000-AU115*DU115)/(1000-AU115*DT115))/(100*DL115)</f>
        <v>0</v>
      </c>
      <c r="AH115">
        <f>1000*DX115*AU115*(DT115-DU115)/(100*DL115*(1000-AU115*DT115))</f>
        <v>0</v>
      </c>
      <c r="AI115">
        <f>(AJ115 - AK115 - DY115*1E3/(8.314*(EA115+273.15)) * AM115/DX115 * AL115) * DX115/(100*DL115) * (1000 - DU115)/1000</f>
        <v>0</v>
      </c>
      <c r="AJ115">
        <v>422.984458776178</v>
      </c>
      <c r="AK115">
        <v>422.965412121212</v>
      </c>
      <c r="AL115">
        <v>-4.51836944256949e-06</v>
      </c>
      <c r="AM115">
        <v>64.1617943531089</v>
      </c>
      <c r="AN115">
        <f>(AP115 - AO115 + DY115*1E3/(8.314*(EA115+273.15)) * AR115/DX115 * AQ115) * DX115/(100*DL115) * 1000/(1000 - AP115)</f>
        <v>0</v>
      </c>
      <c r="AO115">
        <v>6.96858866940676</v>
      </c>
      <c r="AP115">
        <v>8.9164448951049</v>
      </c>
      <c r="AQ115">
        <v>-2.56130079478402e-05</v>
      </c>
      <c r="AR115">
        <v>108.963540837023</v>
      </c>
      <c r="AS115">
        <v>0</v>
      </c>
      <c r="AT115">
        <v>0</v>
      </c>
      <c r="AU115">
        <f>IF(AS115*$H$13&gt;=AW115,1.0,(AW115/(AW115-AS115*$H$13)))</f>
        <v>0</v>
      </c>
      <c r="AV115">
        <f>(AU115-1)*100</f>
        <v>0</v>
      </c>
      <c r="AW115">
        <f>MAX(0,($B$13+$C$13*EF115)/(1+$D$13*EF115)*DY115/(EA115+273)*$E$13)</f>
        <v>0</v>
      </c>
      <c r="AX115" t="s">
        <v>736</v>
      </c>
      <c r="AY115">
        <v>5122.34</v>
      </c>
      <c r="AZ115">
        <v>745.280769230769</v>
      </c>
      <c r="BA115">
        <v>2455.23089761668</v>
      </c>
      <c r="BB115">
        <f>1-AZ115/BA115</f>
        <v>0</v>
      </c>
      <c r="BC115">
        <v>-1.10567321366113</v>
      </c>
      <c r="BD115" t="s">
        <v>764</v>
      </c>
      <c r="BE115">
        <v>5107.19</v>
      </c>
      <c r="BF115">
        <v>793.821923076923</v>
      </c>
      <c r="BG115">
        <v>1828.22284917603</v>
      </c>
      <c r="BH115">
        <f>1-BF115/BG115</f>
        <v>0</v>
      </c>
      <c r="BI115">
        <v>0.5</v>
      </c>
      <c r="BJ115">
        <f>DI115</f>
        <v>0</v>
      </c>
      <c r="BK115">
        <f>L115</f>
        <v>0</v>
      </c>
      <c r="BL115">
        <f>BH115*BI115*BJ115</f>
        <v>0</v>
      </c>
      <c r="BM115">
        <f>(BK115-BC115)/BJ115</f>
        <v>0</v>
      </c>
      <c r="BN115">
        <f>(BA115-BG115)/BG115</f>
        <v>0</v>
      </c>
      <c r="BO115">
        <f>AZ115/(BB115+AZ115/BG115)</f>
        <v>0</v>
      </c>
      <c r="BP115" t="s">
        <v>765</v>
      </c>
      <c r="BQ115">
        <v>738.6</v>
      </c>
      <c r="BR115">
        <f>IF(BQ115&lt;&gt;0, BQ115, BO115)</f>
        <v>0</v>
      </c>
      <c r="BS115">
        <f>1-BR115/BG115</f>
        <v>0</v>
      </c>
      <c r="BT115">
        <f>(BG115-BF115)/(BG115-BR115)</f>
        <v>0</v>
      </c>
      <c r="BU115">
        <f>(BA115-BG115)/(BA115-BR115)</f>
        <v>0</v>
      </c>
      <c r="BV115">
        <f>(BG115-BF115)/(BG115-AZ115)</f>
        <v>0</v>
      </c>
      <c r="BW115">
        <f>(BA115-BG115)/(BA115-AZ115)</f>
        <v>0</v>
      </c>
      <c r="BX115">
        <f>(BT115*BR115/BF115)</f>
        <v>0</v>
      </c>
      <c r="BY115">
        <f>(1-BX115)</f>
        <v>0</v>
      </c>
      <c r="BZ115">
        <v>113</v>
      </c>
      <c r="CA115">
        <v>290</v>
      </c>
      <c r="CB115">
        <v>1771.93</v>
      </c>
      <c r="CC115">
        <v>235</v>
      </c>
      <c r="CD115">
        <v>5107.19</v>
      </c>
      <c r="CE115">
        <v>1773.21</v>
      </c>
      <c r="CF115">
        <v>-1.28</v>
      </c>
      <c r="CG115">
        <v>300</v>
      </c>
      <c r="CH115">
        <v>23.9</v>
      </c>
      <c r="CI115">
        <v>1828.22284917603</v>
      </c>
      <c r="CJ115">
        <v>1.40666503058309</v>
      </c>
      <c r="CK115">
        <v>-28.0960111146774</v>
      </c>
      <c r="CL115">
        <v>0.623463354834028</v>
      </c>
      <c r="CM115">
        <v>0.986399854241003</v>
      </c>
      <c r="CN115">
        <v>-0.00418078109010011</v>
      </c>
      <c r="CO115">
        <v>290</v>
      </c>
      <c r="CP115">
        <v>1771.29</v>
      </c>
      <c r="CQ115">
        <v>625</v>
      </c>
      <c r="CR115">
        <v>5106.23</v>
      </c>
      <c r="CS115">
        <v>1773.2</v>
      </c>
      <c r="CT115">
        <v>-1.91</v>
      </c>
      <c r="DH115">
        <f>$B$11*EG115+$C$11*EH115+$F$11*ES115*(1-EV115)</f>
        <v>0</v>
      </c>
      <c r="DI115">
        <f>DH115*DJ115</f>
        <v>0</v>
      </c>
      <c r="DJ115">
        <f>($B$11*$D$9+$C$11*$D$9+$F$11*((FF115+EX115)/MAX(FF115+EX115+FG115, 0.1)*$I$9+FG115/MAX(FF115+EX115+FG115, 0.1)*$J$9))/($B$11+$C$11+$F$11)</f>
        <v>0</v>
      </c>
      <c r="DK115">
        <f>($B$11*$K$9+$C$11*$K$9+$F$11*((FF115+EX115)/MAX(FF115+EX115+FG115, 0.1)*$P$9+FG115/MAX(FF115+EX115+FG115, 0.1)*$Q$9))/($B$11+$C$11+$F$11)</f>
        <v>0</v>
      </c>
      <c r="DL115">
        <v>6</v>
      </c>
      <c r="DM115">
        <v>0.5</v>
      </c>
      <c r="DN115" t="s">
        <v>440</v>
      </c>
      <c r="DO115">
        <v>2</v>
      </c>
      <c r="DP115" t="b">
        <v>1</v>
      </c>
      <c r="DQ115">
        <v>1761693538.5</v>
      </c>
      <c r="DR115">
        <v>419.1550625</v>
      </c>
      <c r="DS115">
        <v>420.007</v>
      </c>
      <c r="DT115">
        <v>8.925071875</v>
      </c>
      <c r="DU115">
        <v>6.969930625</v>
      </c>
      <c r="DV115">
        <v>416.2426875</v>
      </c>
      <c r="DW115">
        <v>9.025923125</v>
      </c>
      <c r="DX115">
        <v>500.0116875</v>
      </c>
      <c r="DY115">
        <v>91.04434375</v>
      </c>
      <c r="DZ115">
        <v>0.02231995625</v>
      </c>
      <c r="EA115">
        <v>24.67403125</v>
      </c>
      <c r="EB115">
        <v>24.07185625</v>
      </c>
      <c r="EC115">
        <v>999.9</v>
      </c>
      <c r="ED115">
        <v>0</v>
      </c>
      <c r="EE115">
        <v>0</v>
      </c>
      <c r="EF115">
        <v>9999.341875</v>
      </c>
      <c r="EG115">
        <v>0</v>
      </c>
      <c r="EH115">
        <v>1333.615</v>
      </c>
      <c r="EI115">
        <v>-0.85192675</v>
      </c>
      <c r="EJ115">
        <v>422.9296875</v>
      </c>
      <c r="EK115">
        <v>422.955</v>
      </c>
      <c r="EL115">
        <v>1.955140625</v>
      </c>
      <c r="EM115">
        <v>420.007</v>
      </c>
      <c r="EN115">
        <v>6.969930625</v>
      </c>
      <c r="EO115">
        <v>0.812577375</v>
      </c>
      <c r="EP115">
        <v>0.6345728125</v>
      </c>
      <c r="EQ115">
        <v>3.928935</v>
      </c>
      <c r="ER115">
        <v>0.4624925</v>
      </c>
      <c r="ES115">
        <v>49.98760625</v>
      </c>
      <c r="ET115">
        <v>0.89995225</v>
      </c>
      <c r="EU115">
        <v>0.10004776875</v>
      </c>
      <c r="EV115">
        <v>0</v>
      </c>
      <c r="EW115">
        <v>793.786125</v>
      </c>
      <c r="EX115">
        <v>5.00059</v>
      </c>
      <c r="EY115">
        <v>396.380625</v>
      </c>
      <c r="EZ115">
        <v>382.1851875</v>
      </c>
      <c r="FA115">
        <v>37.031</v>
      </c>
      <c r="FB115">
        <v>40.4645625</v>
      </c>
      <c r="FC115">
        <v>38.4449375</v>
      </c>
      <c r="FD115">
        <v>39.976375</v>
      </c>
      <c r="FE115">
        <v>38.835625</v>
      </c>
      <c r="FF115">
        <v>40.485625</v>
      </c>
      <c r="FG115">
        <v>4.5</v>
      </c>
      <c r="FH115">
        <v>0</v>
      </c>
      <c r="FI115">
        <v>188.600000143051</v>
      </c>
      <c r="FJ115">
        <v>0</v>
      </c>
      <c r="FK115">
        <v>793.821923076923</v>
      </c>
      <c r="FL115">
        <v>2.06598289815433</v>
      </c>
      <c r="FM115">
        <v>-0.136683694075377</v>
      </c>
      <c r="FN115">
        <v>396.422153846154</v>
      </c>
      <c r="FO115">
        <v>15</v>
      </c>
      <c r="FP115">
        <v>0</v>
      </c>
      <c r="FQ115" t="s">
        <v>441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-0.8678619</v>
      </c>
      <c r="GD115">
        <v>0.394304481203007</v>
      </c>
      <c r="GE115">
        <v>0.0418733136005499</v>
      </c>
      <c r="GF115">
        <v>1</v>
      </c>
      <c r="GG115">
        <v>793.739970588235</v>
      </c>
      <c r="GH115">
        <v>1.55741787194484</v>
      </c>
      <c r="GI115">
        <v>0.223741774123412</v>
      </c>
      <c r="GJ115">
        <v>-1</v>
      </c>
      <c r="GK115">
        <v>1.9574815</v>
      </c>
      <c r="GL115">
        <v>-0.0755409022556399</v>
      </c>
      <c r="GM115">
        <v>0.00752499785714254</v>
      </c>
      <c r="GN115">
        <v>1</v>
      </c>
      <c r="GO115">
        <v>2</v>
      </c>
      <c r="GP115">
        <v>2</v>
      </c>
      <c r="GQ115" t="s">
        <v>442</v>
      </c>
      <c r="GR115">
        <v>3.12794</v>
      </c>
      <c r="GS115">
        <v>2.70053</v>
      </c>
      <c r="GT115">
        <v>0.0889239</v>
      </c>
      <c r="GU115">
        <v>0.0896592</v>
      </c>
      <c r="GV115">
        <v>0.0489637</v>
      </c>
      <c r="GW115">
        <v>0.0403111</v>
      </c>
      <c r="GX115">
        <v>34079.7</v>
      </c>
      <c r="GY115">
        <v>36455.1</v>
      </c>
      <c r="GZ115">
        <v>33861</v>
      </c>
      <c r="HA115">
        <v>36276.2</v>
      </c>
      <c r="HB115">
        <v>45520.1</v>
      </c>
      <c r="HC115">
        <v>49966.4</v>
      </c>
      <c r="HD115">
        <v>52823.6</v>
      </c>
      <c r="HE115">
        <v>57935.6</v>
      </c>
      <c r="HF115">
        <v>1.91325</v>
      </c>
      <c r="HG115">
        <v>2.2829</v>
      </c>
      <c r="HH115">
        <v>-0.0280887</v>
      </c>
      <c r="HI115">
        <v>0</v>
      </c>
      <c r="HJ115">
        <v>24.5195</v>
      </c>
      <c r="HK115">
        <v>999.9</v>
      </c>
      <c r="HL115">
        <v>20.791</v>
      </c>
      <c r="HM115">
        <v>30.121</v>
      </c>
      <c r="HN115">
        <v>9.7967</v>
      </c>
      <c r="HO115">
        <v>54.3496</v>
      </c>
      <c r="HP115">
        <v>30.649</v>
      </c>
      <c r="HQ115">
        <v>2</v>
      </c>
      <c r="HR115">
        <v>0.314383</v>
      </c>
      <c r="HS115">
        <v>4.19754</v>
      </c>
      <c r="HT115">
        <v>20.0991</v>
      </c>
      <c r="HU115">
        <v>5.19378</v>
      </c>
      <c r="HV115">
        <v>12.0098</v>
      </c>
      <c r="HW115">
        <v>4.9751</v>
      </c>
      <c r="HX115">
        <v>3.294</v>
      </c>
      <c r="HY115">
        <v>9999</v>
      </c>
      <c r="HZ115">
        <v>9999</v>
      </c>
      <c r="IA115">
        <v>9999</v>
      </c>
      <c r="IB115">
        <v>999.9</v>
      </c>
      <c r="IC115">
        <v>1.86322</v>
      </c>
      <c r="ID115">
        <v>1.86813</v>
      </c>
      <c r="IE115">
        <v>1.86783</v>
      </c>
      <c r="IF115">
        <v>1.86905</v>
      </c>
      <c r="IG115">
        <v>1.86982</v>
      </c>
      <c r="IH115">
        <v>1.86585</v>
      </c>
      <c r="II115">
        <v>1.86695</v>
      </c>
      <c r="IJ115">
        <v>1.86842</v>
      </c>
      <c r="IK115">
        <v>5</v>
      </c>
      <c r="IL115">
        <v>0</v>
      </c>
      <c r="IM115">
        <v>0</v>
      </c>
      <c r="IN115">
        <v>0</v>
      </c>
      <c r="IO115" t="s">
        <v>443</v>
      </c>
      <c r="IP115" t="s">
        <v>444</v>
      </c>
      <c r="IQ115" t="s">
        <v>445</v>
      </c>
      <c r="IR115" t="s">
        <v>445</v>
      </c>
      <c r="IS115" t="s">
        <v>445</v>
      </c>
      <c r="IT115" t="s">
        <v>445</v>
      </c>
      <c r="IU115">
        <v>0</v>
      </c>
      <c r="IV115">
        <v>100</v>
      </c>
      <c r="IW115">
        <v>100</v>
      </c>
      <c r="IX115">
        <v>2.913</v>
      </c>
      <c r="IY115">
        <v>-0.101</v>
      </c>
      <c r="IZ115">
        <v>1.24656194001752</v>
      </c>
      <c r="JA115">
        <v>0.00408463137630218</v>
      </c>
      <c r="JB115">
        <v>-2.23906557180379e-07</v>
      </c>
      <c r="JC115">
        <v>6.23399102760906e-11</v>
      </c>
      <c r="JD115">
        <v>-0.0873394905990972</v>
      </c>
      <c r="JE115">
        <v>-0.0233348201324191</v>
      </c>
      <c r="JF115">
        <v>0.00274696999164489</v>
      </c>
      <c r="JG115">
        <v>-3.62864435074646e-05</v>
      </c>
      <c r="JH115">
        <v>5</v>
      </c>
      <c r="JI115">
        <v>2263</v>
      </c>
      <c r="JJ115">
        <v>1</v>
      </c>
      <c r="JK115">
        <v>24</v>
      </c>
      <c r="JL115">
        <v>29361559.1</v>
      </c>
      <c r="JM115">
        <v>29361559.1</v>
      </c>
      <c r="JN115">
        <v>1.25244</v>
      </c>
      <c r="JO115">
        <v>2.61841</v>
      </c>
      <c r="JP115">
        <v>2.19849</v>
      </c>
      <c r="JQ115">
        <v>2.62573</v>
      </c>
      <c r="JR115">
        <v>2.44507</v>
      </c>
      <c r="JS115">
        <v>2.36816</v>
      </c>
      <c r="JT115">
        <v>33.4681</v>
      </c>
      <c r="JU115">
        <v>24.1926</v>
      </c>
      <c r="JV115">
        <v>18</v>
      </c>
      <c r="JW115">
        <v>504.07</v>
      </c>
      <c r="JX115">
        <v>791.74</v>
      </c>
      <c r="JY115">
        <v>19.963</v>
      </c>
      <c r="JZ115">
        <v>31.3268</v>
      </c>
      <c r="KA115">
        <v>29.9999</v>
      </c>
      <c r="KB115">
        <v>31.3197</v>
      </c>
      <c r="KC115">
        <v>31.2566</v>
      </c>
      <c r="KD115">
        <v>25.092</v>
      </c>
      <c r="KE115">
        <v>0</v>
      </c>
      <c r="KF115">
        <v>13.9352</v>
      </c>
      <c r="KG115">
        <v>19.9378</v>
      </c>
      <c r="KH115">
        <v>420</v>
      </c>
      <c r="KI115">
        <v>7.25441</v>
      </c>
      <c r="KJ115">
        <v>96.0218</v>
      </c>
      <c r="KK115">
        <v>93.8945</v>
      </c>
    </row>
    <row r="116" spans="1:297">
      <c r="A116">
        <v>100</v>
      </c>
      <c r="B116">
        <v>1761693677</v>
      </c>
      <c r="C116">
        <v>16327.9000000954</v>
      </c>
      <c r="D116" t="s">
        <v>766</v>
      </c>
      <c r="E116" t="s">
        <v>767</v>
      </c>
      <c r="F116">
        <v>5</v>
      </c>
      <c r="G116" t="s">
        <v>739</v>
      </c>
      <c r="H116" t="s">
        <v>436</v>
      </c>
      <c r="I116">
        <v>1761693668.5</v>
      </c>
      <c r="J116">
        <f>(K116)/1000</f>
        <v>0</v>
      </c>
      <c r="K116">
        <f>IF(DP116, AN116, AH116)</f>
        <v>0</v>
      </c>
      <c r="L116">
        <f>IF(DP116, AI116, AG116)</f>
        <v>0</v>
      </c>
      <c r="M116">
        <f>DR116 - IF(AU116&gt;1, L116*DL116*100.0/(AW116), 0)</f>
        <v>0</v>
      </c>
      <c r="N116">
        <f>((T116-J116/2)*M116-L116)/(T116+J116/2)</f>
        <v>0</v>
      </c>
      <c r="O116">
        <f>N116*(DY116+DZ116)/1000.0</f>
        <v>0</v>
      </c>
      <c r="P116">
        <f>(DR116 - IF(AU116&gt;1, L116*DL116*100.0/(AW116), 0))*(DY116+DZ116)/1000.0</f>
        <v>0</v>
      </c>
      <c r="Q116">
        <f>2.0/((1/S116-1/R116)+SIGN(S116)*SQRT((1/S116-1/R116)*(1/S116-1/R116) + 4*DM116/((DM116+1)*(DM116+1))*(2*1/S116*1/R116-1/R116*1/R116)))</f>
        <v>0</v>
      </c>
      <c r="R116">
        <f>IF(LEFT(DN116,1)&lt;&gt;"0",IF(LEFT(DN116,1)="1",3.0,DO116),$D$5+$E$5*(EF116*DY116/($K$5*1000))+$F$5*(EF116*DY116/($K$5*1000))*MAX(MIN(DL116,$J$5),$I$5)*MAX(MIN(DL116,$J$5),$I$5)+$G$5*MAX(MIN(DL116,$J$5),$I$5)*(EF116*DY116/($K$5*1000))+$H$5*(EF116*DY116/($K$5*1000))*(EF116*DY116/($K$5*1000)))</f>
        <v>0</v>
      </c>
      <c r="S116">
        <f>J116*(1000-(1000*0.61365*exp(17.502*W116/(240.97+W116))/(DY116+DZ116)+DT116)/2)/(1000*0.61365*exp(17.502*W116/(240.97+W116))/(DY116+DZ116)-DT116)</f>
        <v>0</v>
      </c>
      <c r="T116">
        <f>1/((DM116+1)/(Q116/1.6)+1/(R116/1.37)) + DM116/((DM116+1)/(Q116/1.6) + DM116/(R116/1.37))</f>
        <v>0</v>
      </c>
      <c r="U116">
        <f>(DH116*DK116)</f>
        <v>0</v>
      </c>
      <c r="V116">
        <f>(EA116+(U116+2*0.95*5.67E-8*(((EA116+$B$7)+273)^4-(EA116+273)^4)-44100*J116)/(1.84*29.3*R116+8*0.95*5.67E-8*(EA116+273)^3))</f>
        <v>0</v>
      </c>
      <c r="W116">
        <f>($C$7*EB116+$D$7*EC116+$E$7*V116)</f>
        <v>0</v>
      </c>
      <c r="X116">
        <f>0.61365*exp(17.502*W116/(240.97+W116))</f>
        <v>0</v>
      </c>
      <c r="Y116">
        <f>(Z116/AA116*100)</f>
        <v>0</v>
      </c>
      <c r="Z116">
        <f>DT116*(DY116+DZ116)/1000</f>
        <v>0</v>
      </c>
      <c r="AA116">
        <f>0.61365*exp(17.502*EA116/(240.97+EA116))</f>
        <v>0</v>
      </c>
      <c r="AB116">
        <f>(X116-DT116*(DY116+DZ116)/1000)</f>
        <v>0</v>
      </c>
      <c r="AC116">
        <f>(-J116*44100)</f>
        <v>0</v>
      </c>
      <c r="AD116">
        <f>2*29.3*R116*0.92*(EA116-W116)</f>
        <v>0</v>
      </c>
      <c r="AE116">
        <f>2*0.95*5.67E-8*(((EA116+$B$7)+273)^4-(W116+273)^4)</f>
        <v>0</v>
      </c>
      <c r="AF116">
        <f>U116+AE116+AC116+AD116</f>
        <v>0</v>
      </c>
      <c r="AG116">
        <f>DX116*AU116*(DS116-DR116*(1000-AU116*DU116)/(1000-AU116*DT116))/(100*DL116)</f>
        <v>0</v>
      </c>
      <c r="AH116">
        <f>1000*DX116*AU116*(DT116-DU116)/(100*DL116*(1000-AU116*DT116))</f>
        <v>0</v>
      </c>
      <c r="AI116">
        <f>(AJ116 - AK116 - DY116*1E3/(8.314*(EA116+273.15)) * AM116/DX116 * AL116) * DX116/(100*DL116) * (1000 - DU116)/1000</f>
        <v>0</v>
      </c>
      <c r="AJ116">
        <v>423.06830779548</v>
      </c>
      <c r="AK116">
        <v>425.484727272727</v>
      </c>
      <c r="AL116">
        <v>0.00109879685465479</v>
      </c>
      <c r="AM116">
        <v>64.1617943531089</v>
      </c>
      <c r="AN116">
        <f>(AP116 - AO116 + DY116*1E3/(8.314*(EA116+273.15)) * AR116/DX116 * AQ116) * DX116/(100*DL116) * 1000/(1000 - AP116)</f>
        <v>0</v>
      </c>
      <c r="AO116">
        <v>7.18732683113125</v>
      </c>
      <c r="AP116">
        <v>8.96059846153847</v>
      </c>
      <c r="AQ116">
        <v>-3.62173860322272e-05</v>
      </c>
      <c r="AR116">
        <v>108.963540837023</v>
      </c>
      <c r="AS116">
        <v>0</v>
      </c>
      <c r="AT116">
        <v>0</v>
      </c>
      <c r="AU116">
        <f>IF(AS116*$H$13&gt;=AW116,1.0,(AW116/(AW116-AS116*$H$13)))</f>
        <v>0</v>
      </c>
      <c r="AV116">
        <f>(AU116-1)*100</f>
        <v>0</v>
      </c>
      <c r="AW116">
        <f>MAX(0,($B$13+$C$13*EF116)/(1+$D$13*EF116)*DY116/(EA116+273)*$E$13)</f>
        <v>0</v>
      </c>
      <c r="AX116" t="s">
        <v>768</v>
      </c>
      <c r="AY116">
        <v>5104.3</v>
      </c>
      <c r="AZ116">
        <v>722.876</v>
      </c>
      <c r="BA116">
        <v>1889.64433762298</v>
      </c>
      <c r="BB116">
        <f>1-AZ116/BA116</f>
        <v>0</v>
      </c>
      <c r="BC116">
        <v>-2.00335770411315</v>
      </c>
      <c r="BD116" t="s">
        <v>448</v>
      </c>
      <c r="BE116" t="s">
        <v>448</v>
      </c>
      <c r="BF116">
        <v>0</v>
      </c>
      <c r="BG116">
        <v>0</v>
      </c>
      <c r="BH116">
        <f>1-BF116/BG116</f>
        <v>0</v>
      </c>
      <c r="BI116">
        <v>0.5</v>
      </c>
      <c r="BJ116">
        <f>DI116</f>
        <v>0</v>
      </c>
      <c r="BK116">
        <f>L116</f>
        <v>0</v>
      </c>
      <c r="BL116">
        <f>BH116*BI116*BJ116</f>
        <v>0</v>
      </c>
      <c r="BM116">
        <f>(BK116-BC116)/BJ116</f>
        <v>0</v>
      </c>
      <c r="BN116">
        <f>(BA116-BG116)/BG116</f>
        <v>0</v>
      </c>
      <c r="BO116">
        <f>AZ116/(BB116+AZ116/BG116)</f>
        <v>0</v>
      </c>
      <c r="BP116" t="s">
        <v>448</v>
      </c>
      <c r="BQ116">
        <v>0</v>
      </c>
      <c r="BR116">
        <f>IF(BQ116&lt;&gt;0, BQ116, BO116)</f>
        <v>0</v>
      </c>
      <c r="BS116">
        <f>1-BR116/BG116</f>
        <v>0</v>
      </c>
      <c r="BT116">
        <f>(BG116-BF116)/(BG116-BR116)</f>
        <v>0</v>
      </c>
      <c r="BU116">
        <f>(BA116-BG116)/(BA116-BR116)</f>
        <v>0</v>
      </c>
      <c r="BV116">
        <f>(BG116-BF116)/(BG116-AZ116)</f>
        <v>0</v>
      </c>
      <c r="BW116">
        <f>(BA116-BG116)/(BA116-AZ116)</f>
        <v>0</v>
      </c>
      <c r="BX116">
        <f>(BT116*BR116/BF116)</f>
        <v>0</v>
      </c>
      <c r="BY116">
        <f>(1-BX116)</f>
        <v>0</v>
      </c>
      <c r="BZ116">
        <v>115</v>
      </c>
      <c r="CA116">
        <v>290</v>
      </c>
      <c r="CB116">
        <v>1828.12</v>
      </c>
      <c r="CC116">
        <v>275</v>
      </c>
      <c r="CD116">
        <v>5104.3</v>
      </c>
      <c r="CE116">
        <v>1828.05</v>
      </c>
      <c r="CF116">
        <v>0.07</v>
      </c>
      <c r="CG116">
        <v>300</v>
      </c>
      <c r="CH116">
        <v>23.8</v>
      </c>
      <c r="CI116">
        <v>1889.64433762298</v>
      </c>
      <c r="CJ116">
        <v>1.26345379911376</v>
      </c>
      <c r="CK116">
        <v>-31.4390200713906</v>
      </c>
      <c r="CL116">
        <v>0.558892742392684</v>
      </c>
      <c r="CM116">
        <v>0.991228962804743</v>
      </c>
      <c r="CN116">
        <v>-0.00421663025583983</v>
      </c>
      <c r="CO116">
        <v>290</v>
      </c>
      <c r="CP116">
        <v>1824.8</v>
      </c>
      <c r="CQ116">
        <v>635</v>
      </c>
      <c r="CR116">
        <v>5103.71</v>
      </c>
      <c r="CS116">
        <v>1828.04</v>
      </c>
      <c r="CT116">
        <v>-3.24</v>
      </c>
      <c r="DH116">
        <f>$B$11*EG116+$C$11*EH116+$F$11*ES116*(1-EV116)</f>
        <v>0</v>
      </c>
      <c r="DI116">
        <f>DH116*DJ116</f>
        <v>0</v>
      </c>
      <c r="DJ116">
        <f>($B$11*$D$9+$C$11*$D$9+$F$11*((FF116+EX116)/MAX(FF116+EX116+FG116, 0.1)*$I$9+FG116/MAX(FF116+EX116+FG116, 0.1)*$J$9))/($B$11+$C$11+$F$11)</f>
        <v>0</v>
      </c>
      <c r="DK116">
        <f>($B$11*$K$9+$C$11*$K$9+$F$11*((FF116+EX116)/MAX(FF116+EX116+FG116, 0.1)*$P$9+FG116/MAX(FF116+EX116+FG116, 0.1)*$Q$9))/($B$11+$C$11+$F$11)</f>
        <v>0</v>
      </c>
      <c r="DL116">
        <v>6</v>
      </c>
      <c r="DM116">
        <v>0.5</v>
      </c>
      <c r="DN116" t="s">
        <v>440</v>
      </c>
      <c r="DO116">
        <v>2</v>
      </c>
      <c r="DP116" t="b">
        <v>1</v>
      </c>
      <c r="DQ116">
        <v>1761693668.5</v>
      </c>
      <c r="DR116">
        <v>421.59125</v>
      </c>
      <c r="DS116">
        <v>420.02475</v>
      </c>
      <c r="DT116">
        <v>8.968493125</v>
      </c>
      <c r="DU116">
        <v>7.18645375</v>
      </c>
      <c r="DV116">
        <v>418.6695</v>
      </c>
      <c r="DW116">
        <v>9.0686</v>
      </c>
      <c r="DX116">
        <v>499.9638125</v>
      </c>
      <c r="DY116">
        <v>91.04519375</v>
      </c>
      <c r="DZ116">
        <v>0.02237754375</v>
      </c>
      <c r="EA116">
        <v>24.58186875</v>
      </c>
      <c r="EB116">
        <v>23.9841875</v>
      </c>
      <c r="EC116">
        <v>999.9</v>
      </c>
      <c r="ED116">
        <v>0</v>
      </c>
      <c r="EE116">
        <v>0</v>
      </c>
      <c r="EF116">
        <v>10000.30125</v>
      </c>
      <c r="EG116">
        <v>0</v>
      </c>
      <c r="EH116">
        <v>1333.6925</v>
      </c>
      <c r="EI116">
        <v>1.5667225</v>
      </c>
      <c r="EJ116">
        <v>425.40675</v>
      </c>
      <c r="EK116">
        <v>423.065125</v>
      </c>
      <c r="EL116">
        <v>1.782039375</v>
      </c>
      <c r="EM116">
        <v>420.02475</v>
      </c>
      <c r="EN116">
        <v>7.18645375</v>
      </c>
      <c r="EO116">
        <v>0.8165381875</v>
      </c>
      <c r="EP116">
        <v>0.6542919375</v>
      </c>
      <c r="EQ116">
        <v>3.998105</v>
      </c>
      <c r="ER116">
        <v>0.886185125</v>
      </c>
      <c r="ES116">
        <v>0.00500059</v>
      </c>
      <c r="ET116">
        <v>0</v>
      </c>
      <c r="EU116">
        <v>0</v>
      </c>
      <c r="EV116">
        <v>0</v>
      </c>
      <c r="EW116">
        <v>723.94375</v>
      </c>
      <c r="EX116">
        <v>0.00500059</v>
      </c>
      <c r="EY116">
        <v>30.4</v>
      </c>
      <c r="EZ116">
        <v>-0.125</v>
      </c>
      <c r="FA116">
        <v>36.2965</v>
      </c>
      <c r="FB116">
        <v>39.906</v>
      </c>
      <c r="FC116">
        <v>37.77325</v>
      </c>
      <c r="FD116">
        <v>39.402125</v>
      </c>
      <c r="FE116">
        <v>38.027125</v>
      </c>
      <c r="FF116">
        <v>0</v>
      </c>
      <c r="FG116">
        <v>0</v>
      </c>
      <c r="FH116">
        <v>0</v>
      </c>
      <c r="FI116">
        <v>127.400000095367</v>
      </c>
      <c r="FJ116">
        <v>0</v>
      </c>
      <c r="FK116">
        <v>722.876</v>
      </c>
      <c r="FL116">
        <v>-5.83076933102642</v>
      </c>
      <c r="FM116">
        <v>-0.738461849017023</v>
      </c>
      <c r="FN116">
        <v>29.732</v>
      </c>
      <c r="FO116">
        <v>15</v>
      </c>
      <c r="FP116">
        <v>0</v>
      </c>
      <c r="FQ116" t="s">
        <v>441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1.53010761904762</v>
      </c>
      <c r="GD116">
        <v>0.739047272727271</v>
      </c>
      <c r="GE116">
        <v>0.0806578509687835</v>
      </c>
      <c r="GF116">
        <v>0</v>
      </c>
      <c r="GG116">
        <v>723.523529411765</v>
      </c>
      <c r="GH116">
        <v>-1.72650892218553</v>
      </c>
      <c r="GI116">
        <v>5.94455058527553</v>
      </c>
      <c r="GJ116">
        <v>-1</v>
      </c>
      <c r="GK116">
        <v>1.7845680952381</v>
      </c>
      <c r="GL116">
        <v>-0.0461633766233803</v>
      </c>
      <c r="GM116">
        <v>0.00478439887157815</v>
      </c>
      <c r="GN116">
        <v>1</v>
      </c>
      <c r="GO116">
        <v>1</v>
      </c>
      <c r="GP116">
        <v>2</v>
      </c>
      <c r="GQ116" t="s">
        <v>461</v>
      </c>
      <c r="GR116">
        <v>3.12801</v>
      </c>
      <c r="GS116">
        <v>2.70059</v>
      </c>
      <c r="GT116">
        <v>0.0893477</v>
      </c>
      <c r="GU116">
        <v>0.0896778</v>
      </c>
      <c r="GV116">
        <v>0.0491714</v>
      </c>
      <c r="GW116">
        <v>0.0412325</v>
      </c>
      <c r="GX116">
        <v>34068.5</v>
      </c>
      <c r="GY116">
        <v>36461.5</v>
      </c>
      <c r="GZ116">
        <v>33865.2</v>
      </c>
      <c r="HA116">
        <v>36282.9</v>
      </c>
      <c r="HB116">
        <v>45514.9</v>
      </c>
      <c r="HC116">
        <v>49927.5</v>
      </c>
      <c r="HD116">
        <v>52829</v>
      </c>
      <c r="HE116">
        <v>57946.1</v>
      </c>
      <c r="HF116">
        <v>1.91408</v>
      </c>
      <c r="HG116">
        <v>2.2843</v>
      </c>
      <c r="HH116">
        <v>-0.0351444</v>
      </c>
      <c r="HI116">
        <v>0</v>
      </c>
      <c r="HJ116">
        <v>24.5708</v>
      </c>
      <c r="HK116">
        <v>999.9</v>
      </c>
      <c r="HL116">
        <v>21.121</v>
      </c>
      <c r="HM116">
        <v>30.142</v>
      </c>
      <c r="HN116">
        <v>9.96423</v>
      </c>
      <c r="HO116">
        <v>54.5796</v>
      </c>
      <c r="HP116">
        <v>30.7532</v>
      </c>
      <c r="HQ116">
        <v>2</v>
      </c>
      <c r="HR116">
        <v>0.304294</v>
      </c>
      <c r="HS116">
        <v>3.4685</v>
      </c>
      <c r="HT116">
        <v>20.1164</v>
      </c>
      <c r="HU116">
        <v>5.19827</v>
      </c>
      <c r="HV116">
        <v>12.0082</v>
      </c>
      <c r="HW116">
        <v>4.9752</v>
      </c>
      <c r="HX116">
        <v>3.294</v>
      </c>
      <c r="HY116">
        <v>9999</v>
      </c>
      <c r="HZ116">
        <v>9999</v>
      </c>
      <c r="IA116">
        <v>9999</v>
      </c>
      <c r="IB116">
        <v>999.9</v>
      </c>
      <c r="IC116">
        <v>1.86323</v>
      </c>
      <c r="ID116">
        <v>1.86813</v>
      </c>
      <c r="IE116">
        <v>1.86783</v>
      </c>
      <c r="IF116">
        <v>1.86905</v>
      </c>
      <c r="IG116">
        <v>1.86981</v>
      </c>
      <c r="IH116">
        <v>1.86589</v>
      </c>
      <c r="II116">
        <v>1.86699</v>
      </c>
      <c r="IJ116">
        <v>1.86844</v>
      </c>
      <c r="IK116">
        <v>5</v>
      </c>
      <c r="IL116">
        <v>0</v>
      </c>
      <c r="IM116">
        <v>0</v>
      </c>
      <c r="IN116">
        <v>0</v>
      </c>
      <c r="IO116" t="s">
        <v>443</v>
      </c>
      <c r="IP116" t="s">
        <v>444</v>
      </c>
      <c r="IQ116" t="s">
        <v>445</v>
      </c>
      <c r="IR116" t="s">
        <v>445</v>
      </c>
      <c r="IS116" t="s">
        <v>445</v>
      </c>
      <c r="IT116" t="s">
        <v>445</v>
      </c>
      <c r="IU116">
        <v>0</v>
      </c>
      <c r="IV116">
        <v>100</v>
      </c>
      <c r="IW116">
        <v>100</v>
      </c>
      <c r="IX116">
        <v>2.923</v>
      </c>
      <c r="IY116">
        <v>-0.1002</v>
      </c>
      <c r="IZ116">
        <v>1.24656194001752</v>
      </c>
      <c r="JA116">
        <v>0.00408463137630218</v>
      </c>
      <c r="JB116">
        <v>-2.23906557180379e-07</v>
      </c>
      <c r="JC116">
        <v>6.23399102760906e-11</v>
      </c>
      <c r="JD116">
        <v>-0.0873394905990972</v>
      </c>
      <c r="JE116">
        <v>-0.0233348201324191</v>
      </c>
      <c r="JF116">
        <v>0.00274696999164489</v>
      </c>
      <c r="JG116">
        <v>-3.62864435074646e-05</v>
      </c>
      <c r="JH116">
        <v>5</v>
      </c>
      <c r="JI116">
        <v>2263</v>
      </c>
      <c r="JJ116">
        <v>1</v>
      </c>
      <c r="JK116">
        <v>24</v>
      </c>
      <c r="JL116">
        <v>29361561.3</v>
      </c>
      <c r="JM116">
        <v>29361561.3</v>
      </c>
      <c r="JN116">
        <v>1.25244</v>
      </c>
      <c r="JO116">
        <v>2.62207</v>
      </c>
      <c r="JP116">
        <v>2.19849</v>
      </c>
      <c r="JQ116">
        <v>2.62451</v>
      </c>
      <c r="JR116">
        <v>2.44507</v>
      </c>
      <c r="JS116">
        <v>2.34131</v>
      </c>
      <c r="JT116">
        <v>33.4456</v>
      </c>
      <c r="JU116">
        <v>24.2013</v>
      </c>
      <c r="JV116">
        <v>18</v>
      </c>
      <c r="JW116">
        <v>503.972</v>
      </c>
      <c r="JX116">
        <v>792.026</v>
      </c>
      <c r="JY116">
        <v>20.2499</v>
      </c>
      <c r="JZ116">
        <v>31.2509</v>
      </c>
      <c r="KA116">
        <v>29.9998</v>
      </c>
      <c r="KB116">
        <v>31.2415</v>
      </c>
      <c r="KC116">
        <v>31.1792</v>
      </c>
      <c r="KD116">
        <v>25.0994</v>
      </c>
      <c r="KE116">
        <v>0</v>
      </c>
      <c r="KF116">
        <v>14.6814</v>
      </c>
      <c r="KG116">
        <v>20.2505</v>
      </c>
      <c r="KH116">
        <v>420</v>
      </c>
      <c r="KI116">
        <v>7.33629</v>
      </c>
      <c r="KJ116">
        <v>96.0324</v>
      </c>
      <c r="KK116">
        <v>93.9116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2025-10-28T18:21:21Z</dcterms:created>
  <dcterms:modified xsi:type="dcterms:W3CDTF">2025-10-28T18:21:21Z</dcterms:modified>
</cp:coreProperties>
</file>