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<sst xmlns="http://schemas.openxmlformats.org/spreadsheetml/2006/main" count="2870" uniqueCount="820">
  <si>
    <t>File opened</t>
  </si>
  <si>
    <t>2025-10-19 11:19:01</t>
  </si>
  <si>
    <t>Console s/n</t>
  </si>
  <si>
    <t>68C-901364</t>
  </si>
  <si>
    <t>Console ver</t>
  </si>
  <si>
    <t>Bluestem v.2.1.11</t>
  </si>
  <si>
    <t>Scripts ver</t>
  </si>
  <si>
    <t>2023.02  2.1.11, Jun 2023</t>
  </si>
  <si>
    <t>Head s/n</t>
  </si>
  <si>
    <t>68H-581364</t>
  </si>
  <si>
    <t>Head ver</t>
  </si>
  <si>
    <t>1.4.23</t>
  </si>
  <si>
    <t>Head cal</t>
  </si>
  <si>
    <t>{"h2oaspanconc1": "11.69", "co2bspanconc2": "301.4", "tazero": "0.20418", "h2oaspan2b": "0.0649319", "co2azero": "0.900515", "tbzero": "0.339216", "co2aspanconc1": "2473", "flowmeterzero": "2.49091", "ssa_ref": "45138", "flowbzero": "0.28105", "co2bzero": "0.901409", "h2obspan2a": "0.0647193", "ssb_ref": "50169", "co2bspanconc1": "2473", "co2bspan1": "1.00051", "co2aspanconc2": "301.4", "h2obzero": "1.10982", "h2obspan2": "0", "co2aspan2": "-0.0352407", "h2oazero": "1.10043", "h2obspan1": "1.01187", "h2oaspan1": "1.01062", "h2oaspanconc2": "0", "co2bspan2b": "0.297586", "chamberpressurezero": "2.62959", "h2oaspan2": "0", "co2bspan2a": "0.300636", "co2aspan1": "1.00063", "oxygen": "21", "co2aspan2b": "0.297984", "h2obspanconc1": "11.69", "h2oaspan2a": "0.0642495", "co2bspan2": "-0.0354637", "h2obspan2b": "0.0654872", "co2aspan2a": "0.300986", "flowazero": "0.29401", "h2obspanconc2": "0"}</t>
  </si>
  <si>
    <t>Factory cal date</t>
  </si>
  <si>
    <t>19 Oct 2023</t>
  </si>
  <si>
    <t>CO2 rangematch</t>
  </si>
  <si>
    <t>Sat Oct 18 11:32</t>
  </si>
  <si>
    <t>H2O rangematch</t>
  </si>
  <si>
    <t>Sat Oct 18 11:43</t>
  </si>
  <si>
    <t>Chamber type</t>
  </si>
  <si>
    <t>6800-01A</t>
  </si>
  <si>
    <t>Chamber s/n</t>
  </si>
  <si>
    <t>MPF-282120</t>
  </si>
  <si>
    <t>Chamber rev</t>
  </si>
  <si>
    <t>0</t>
  </si>
  <si>
    <t>Chamber cal</t>
  </si>
  <si>
    <t>Fluorometer</t>
  </si>
  <si>
    <t>Flr. Version</t>
  </si>
  <si>
    <t>11:19:01</t>
  </si>
  <si>
    <t>Stability Definition:	ΔCO2 (Meas2): Slp&lt;0.5 Per=20	ΔH2O (Meas2): Slp&lt;0.1 Per=20	F (FlrLS): Per=20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</si>
  <si>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</si>
  <si>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</si>
  <si>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</si>
  <si>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</si>
  <si>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</si>
  <si>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</si>
  <si>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</si>
  <si>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</si>
  <si>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</si>
  <si>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</si>
  <si>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</si>
  <si>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</si>
  <si>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</si>
  <si>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</si>
  <si>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</si>
  <si>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</si>
  <si>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</si>
  <si>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</si>
  <si>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</si>
  <si>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</si>
  <si>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</si>
  <si>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</si>
  <si>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</si>
  <si>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</si>
  <si>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</si>
  <si>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</si>
  <si>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</si>
  <si>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</si>
  <si>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</si>
  <si>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</si>
  <si>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</si>
  <si>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</si>
  <si>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</si>
  <si>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</si>
  <si>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</si>
  <si>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</si>
  <si>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</si>
  <si>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</si>
  <si>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</si>
  <si>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</si>
  <si>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</si>
  <si>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</si>
  <si>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</si>
  <si>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</si>
  <si>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</si>
  <si>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</si>
  <si>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</si>
  <si>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</si>
  <si>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</si>
  <si>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</si>
  <si>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</si>
  <si>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3.79211 185.366 347.213 637.66 880.275 1093.32 1258.18 1423.39</t>
  </si>
  <si>
    <t>Fs_true</t>
  </si>
  <si>
    <t>-0.538984 215.558 373.713 616.032 800.673 1006.94 1201.46 1401.48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</si>
  <si>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</si>
  <si>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</si>
  <si>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</si>
  <si>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</si>
  <si>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</si>
  <si>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</si>
  <si>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</si>
  <si>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</si>
  <si>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</si>
  <si>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</si>
  <si>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</si>
  <si>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</si>
  <si>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</si>
  <si>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</si>
  <si>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</si>
  <si>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</si>
  <si>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</si>
  <si>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</si>
  <si>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</si>
  <si>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</si>
  <si>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</si>
  <si>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</si>
  <si>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</si>
  <si>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</si>
  <si>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</si>
  <si>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</si>
  <si>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</si>
  <si>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</si>
  <si>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</si>
  <si>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</si>
  <si>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</si>
  <si>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</si>
  <si>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</si>
  <si>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</si>
  <si>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</si>
  <si>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</si>
  <si>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</si>
  <si>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</si>
  <si>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</si>
  <si>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</si>
  <si>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</si>
  <si>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</si>
  <si>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</si>
  <si>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</si>
  <si>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</si>
  <si>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</si>
  <si>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</si>
  <si>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</si>
  <si>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</si>
  <si>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</si>
  <si>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</si>
  <si>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</si>
  <si>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</si>
  <si>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</si>
  <si>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</si>
  <si>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</si>
  <si>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</si>
  <si>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</si>
  <si>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</si>
  <si>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</si>
  <si>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</si>
  <si>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</si>
  <si>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</si>
  <si>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</si>
  <si>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</si>
  <si>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</si>
  <si>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</si>
  <si>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</si>
  <si>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</si>
  <si>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</si>
  <si>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</si>
  <si>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</si>
  <si>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</si>
  <si>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</si>
  <si>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</si>
  <si>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</si>
  <si>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</si>
  <si>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</si>
  <si>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</si>
  <si>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</si>
  <si>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</si>
  <si>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</si>
  <si>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</si>
  <si>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</si>
  <si>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</si>
  <si>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</si>
  <si>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</si>
  <si>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</si>
  <si>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</si>
  <si>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</si>
  <si>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</si>
  <si>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</si>
  <si>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</si>
  <si>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</si>
  <si>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</si>
  <si>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</si>
  <si>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</si>
  <si>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</si>
  <si>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</si>
  <si>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</si>
  <si>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</si>
  <si>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</si>
  <si>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</si>
  <si>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</si>
  <si>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</si>
  <si>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</si>
  <si>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</si>
  <si>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</si>
  <si>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</si>
  <si>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</si>
  <si>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</si>
  <si>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</si>
  <si>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</si>
  <si>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</si>
  <si>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</si>
  <si>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</si>
  <si>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</si>
  <si>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</si>
  <si>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</si>
  <si>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</si>
  <si>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</si>
  <si>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</si>
  <si>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</si>
  <si>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</si>
  <si>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</si>
  <si>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</si>
  <si>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</si>
  <si>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</si>
  <si>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</si>
  <si>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</si>
  <si>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</si>
  <si>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</si>
  <si>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</si>
  <si>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</si>
  <si>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</si>
  <si>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</si>
  <si>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</si>
  <si>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</si>
  <si>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</si>
  <si>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</si>
  <si>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</si>
  <si>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</si>
  <si>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</si>
  <si>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</si>
  <si>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</si>
  <si>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</si>
  <si>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</si>
  <si>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</si>
  <si>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</si>
  <si>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</si>
  <si>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</si>
  <si>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</si>
  <si>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</si>
  <si>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</si>
  <si>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</si>
  <si>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</si>
  <si>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</si>
  <si>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</si>
  <si>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</si>
  <si>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</si>
  <si>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</si>
  <si>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</si>
  <si>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</si>
  <si>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</si>
  <si>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</si>
  <si>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</si>
  <si>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</si>
  <si>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</si>
  <si>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</si>
  <si>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</si>
  <si>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</si>
  <si>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</si>
  <si>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</si>
  <si>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</si>
  <si>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</si>
  <si>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</si>
  <si>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</si>
  <si>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</si>
  <si>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</si>
  <si>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</si>
  <si>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</si>
  <si>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</si>
  <si>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</si>
  <si>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</si>
  <si>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</si>
  <si>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</si>
  <si>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</si>
  <si>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</si>
  <si>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</si>
  <si>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</si>
  <si>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</si>
  <si>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</si>
  <si>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</si>
  <si>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</si>
  <si>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</si>
  <si>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</si>
  <si>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</si>
  <si>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</si>
  <si>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</si>
  <si>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</si>
  <si>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</si>
  <si>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</si>
  <si>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</si>
  <si>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</si>
  <si>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</si>
  <si>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</si>
  <si>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</si>
  <si>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</si>
  <si>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</si>
  <si>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</si>
  <si>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</si>
  <si>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</si>
  <si>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</si>
  <si>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</si>
  <si>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</si>
  <si>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</si>
  <si>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</si>
  <si>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</si>
  <si>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</si>
  <si>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</si>
  <si>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</si>
  <si>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</si>
  <si>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</si>
  <si>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</si>
  <si>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</si>
  <si>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</si>
  <si>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</si>
  <si>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</si>
  <si>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</si>
  <si>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</si>
  <si>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</si>
  <si>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</si>
  <si>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</si>
  <si>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</si>
  <si>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</si>
  <si>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</si>
  <si>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</si>
  <si>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</si>
  <si>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</si>
  <si>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</si>
  <si>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</si>
  <si>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</si>
  <si>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</si>
  <si>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</si>
  <si>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</si>
  <si>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</si>
  <si>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</si>
  <si>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</si>
  <si>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</si>
  <si>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AccH2O_hum</t>
  </si>
  <si>
    <t>CO2_hrs</t>
  </si>
  <si>
    <t>AccCO2_soda</t>
  </si>
  <si>
    <t>AccH2O_des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</si>
  <si>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</si>
  <si>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</si>
  <si>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</si>
  <si>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</si>
  <si>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</si>
  <si>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</si>
  <si>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</si>
  <si>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</si>
  <si>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</si>
  <si>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</si>
  <si>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</si>
  <si>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</si>
  <si>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</si>
  <si>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</si>
  <si>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</si>
  <si>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</si>
  <si>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</si>
  <si>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</si>
  <si>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</si>
  <si>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</si>
  <si>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</si>
  <si>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</si>
  <si>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</si>
  <si>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</si>
  <si>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</si>
  <si>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</si>
  <si>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</si>
  <si>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</si>
  <si>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</si>
  <si>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</si>
  <si>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</si>
  <si>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</si>
  <si>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</si>
  <si>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</si>
  <si>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</si>
  <si>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</si>
  <si>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</si>
  <si>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</si>
  <si>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</si>
  <si>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</si>
  <si>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</si>
  <si>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</si>
  <si>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</si>
  <si>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</si>
  <si>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</si>
  <si>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</si>
  <si>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</si>
  <si>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</si>
  <si>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</si>
  <si>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</si>
  <si>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</si>
  <si>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</si>
  <si>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</si>
  <si>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</si>
  <si>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</si>
  <si>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</si>
  <si>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</si>
  <si>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</si>
  <si>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</si>
  <si>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</si>
  <si>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</si>
  <si>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</si>
  <si>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</si>
  <si>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</si>
  <si>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</si>
  <si>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</si>
  <si>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</si>
  <si>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</si>
  <si>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</si>
  <si>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</si>
  <si>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</si>
  <si>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</si>
  <si>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</si>
  <si>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</si>
  <si>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</si>
  <si>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</si>
  <si>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</si>
  <si>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</si>
  <si>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</si>
  <si>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</si>
  <si>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</si>
  <si>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</si>
  <si>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</si>
  <si>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</si>
  <si>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</si>
  <si>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</si>
  <si>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</si>
  <si>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</si>
  <si>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</si>
  <si>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</si>
  <si>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</si>
  <si>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</si>
  <si>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</si>
  <si>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</si>
  <si>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</si>
  <si>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20251019 12:09:24</t>
  </si>
  <si>
    <t>12:09:24</t>
  </si>
  <si>
    <t>gg_40</t>
  </si>
  <si>
    <t>ozzie</t>
  </si>
  <si>
    <t>RECT-97-20251018-18_09_30</t>
  </si>
  <si>
    <t>MPF-98-20251019-12_08_47</t>
  </si>
  <si>
    <t>DARK-99-20251019-12_08_54</t>
  </si>
  <si>
    <t>0: Broadleaf</t>
  </si>
  <si>
    <t>--:--:--</t>
  </si>
  <si>
    <t>2/2</t>
  </si>
  <si>
    <t>11111111</t>
  </si>
  <si>
    <t>oooooooo</t>
  </si>
  <si>
    <t>off</t>
  </si>
  <si>
    <t>20251019 12:12:56</t>
  </si>
  <si>
    <t>12:12:56</t>
  </si>
  <si>
    <t>MPF-100-20251019-12_12_20</t>
  </si>
  <si>
    <t>DARK-101-20251019-12_12_26</t>
  </si>
  <si>
    <t>20251019 12:15:02</t>
  </si>
  <si>
    <t>12:15:02</t>
  </si>
  <si>
    <t>MPF-102-20251019-12_14_26</t>
  </si>
  <si>
    <t>DARK-103-20251019-12_14_32</t>
  </si>
  <si>
    <t>1/2</t>
  </si>
  <si>
    <t>20251019 12:22:39</t>
  </si>
  <si>
    <t>12:22:39</t>
  </si>
  <si>
    <t>gg_22</t>
  </si>
  <si>
    <t>MPF-104-20251019-12_22_03</t>
  </si>
  <si>
    <t>DARK-105-20251019-12_22_09</t>
  </si>
  <si>
    <t>20251019 12:24:09</t>
  </si>
  <si>
    <t>12:24:09</t>
  </si>
  <si>
    <t>-</t>
  </si>
  <si>
    <t>20251019 12:27:09</t>
  </si>
  <si>
    <t>12:27:09</t>
  </si>
  <si>
    <t>MPF-106-20251019-12_26_33</t>
  </si>
  <si>
    <t>DARK-107-20251019-12_26_39</t>
  </si>
  <si>
    <t>20251019 12:35:56</t>
  </si>
  <si>
    <t>12:35:56</t>
  </si>
  <si>
    <t>gg_2</t>
  </si>
  <si>
    <t>MPF-108-20251019-12_35_19</t>
  </si>
  <si>
    <t>DARK-109-20251019-12_35_26</t>
  </si>
  <si>
    <t>20251019 12:38:54</t>
  </si>
  <si>
    <t>12:38:54</t>
  </si>
  <si>
    <t>MPF-110-20251019-12_38_19</t>
  </si>
  <si>
    <t>DARK-111-20251019-12_38_26</t>
  </si>
  <si>
    <t>20251019 12:42:38</t>
  </si>
  <si>
    <t>12:42:38</t>
  </si>
  <si>
    <t>MPF-112-20251019-12_42_02</t>
  </si>
  <si>
    <t>DARK-113-20251019-12_42_08</t>
  </si>
  <si>
    <t>20251019 12:49:02</t>
  </si>
  <si>
    <t>12:49:02</t>
  </si>
  <si>
    <t>gg_26</t>
  </si>
  <si>
    <t>MPF-114-20251019-12_48_26</t>
  </si>
  <si>
    <t>DARK-115-20251019-12_48_33</t>
  </si>
  <si>
    <t>20251019 12:52:19</t>
  </si>
  <si>
    <t>12:52:19</t>
  </si>
  <si>
    <t>MPF-116-20251019-12_51_43</t>
  </si>
  <si>
    <t>DARK-117-20251019-12_51_50</t>
  </si>
  <si>
    <t>20251019 12:54:41</t>
  </si>
  <si>
    <t>12:54:41</t>
  </si>
  <si>
    <t>MPF-118-20251019-12_54_05</t>
  </si>
  <si>
    <t>DARK-119-20251019-12_54_12</t>
  </si>
  <si>
    <t>20251019 13:01:34</t>
  </si>
  <si>
    <t>13:01:34</t>
  </si>
  <si>
    <t>gg_4</t>
  </si>
  <si>
    <t>MPF-120-20251019-13_00_58</t>
  </si>
  <si>
    <t>DARK-121-20251019-13_01_05</t>
  </si>
  <si>
    <t>20251019 13:04:39</t>
  </si>
  <si>
    <t>13:04:39</t>
  </si>
  <si>
    <t>MPF-122-20251019-13_04_03</t>
  </si>
  <si>
    <t>DARK-123-20251019-13_04_10</t>
  </si>
  <si>
    <t>20251019 13:07:09</t>
  </si>
  <si>
    <t>13:07:09</t>
  </si>
  <si>
    <t>MPF-124-20251019-13_06_33</t>
  </si>
  <si>
    <t>DARK-125-20251019-13_06_40</t>
  </si>
  <si>
    <t>20251019 13:17:05</t>
  </si>
  <si>
    <t>13:17:05</t>
  </si>
  <si>
    <t>gg_6</t>
  </si>
  <si>
    <t>MPF-126-20251019-13_16_29</t>
  </si>
  <si>
    <t>DARK-127-20251019-13_16_36</t>
  </si>
  <si>
    <t>20251019 13:19:26</t>
  </si>
  <si>
    <t>13:19:26</t>
  </si>
  <si>
    <t>MPF-128-20251019-13_18_50</t>
  </si>
  <si>
    <t>DARK-129-20251019-13_18_57</t>
  </si>
  <si>
    <t>20251019 13:22:10</t>
  </si>
  <si>
    <t>13:22:10</t>
  </si>
  <si>
    <t>MPF-130-20251019-13_21_34</t>
  </si>
  <si>
    <t>DARK-131-20251019-13_21_41</t>
  </si>
  <si>
    <t>20251019 13:29:21</t>
  </si>
  <si>
    <t>13:29:21</t>
  </si>
  <si>
    <t>gg_16</t>
  </si>
  <si>
    <t>MPF-132-20251019-13_28_45</t>
  </si>
  <si>
    <t>DARK-133-20251019-13_28_52</t>
  </si>
  <si>
    <t>20251019 13:32:35</t>
  </si>
  <si>
    <t>13:32:35</t>
  </si>
  <si>
    <t>MPF-134-20251019-13_31_59</t>
  </si>
  <si>
    <t>DARK-135-20251019-13_32_06</t>
  </si>
  <si>
    <t>20251019 13:35:04</t>
  </si>
  <si>
    <t>13:35:04</t>
  </si>
  <si>
    <t>MPF-136-20251019-13_34_28</t>
  </si>
  <si>
    <t>DARK-137-20251019-13_34_35</t>
  </si>
  <si>
    <t>20251019 13:42:52</t>
  </si>
  <si>
    <t>13:42:52</t>
  </si>
  <si>
    <t>gg_34</t>
  </si>
  <si>
    <t>MPF-138-20251019-13_42_16</t>
  </si>
  <si>
    <t>DARK-139-20251019-13_42_23</t>
  </si>
  <si>
    <t>20251019 13:45:09</t>
  </si>
  <si>
    <t>13:45:09</t>
  </si>
  <si>
    <t>MPF-140-20251019-13_44_33</t>
  </si>
  <si>
    <t>DARK-141-20251019-13_44_40</t>
  </si>
  <si>
    <t>20251019 13:47:21</t>
  </si>
  <si>
    <t>13:47:21</t>
  </si>
  <si>
    <t>MPF-142-20251019-13_46_45</t>
  </si>
  <si>
    <t>DARK-143-20251019-13_46_52</t>
  </si>
  <si>
    <t>20251019 13:52:39</t>
  </si>
  <si>
    <t>13:52:39</t>
  </si>
  <si>
    <t>gg_28</t>
  </si>
  <si>
    <t>MPF-144-20251019-13_52_03</t>
  </si>
  <si>
    <t>DARK-145-20251019-13_52_10</t>
  </si>
  <si>
    <t>20251019 13:54:41</t>
  </si>
  <si>
    <t>13:54:41</t>
  </si>
  <si>
    <t>MPF-146-20251019-13_54_06</t>
  </si>
  <si>
    <t>DARK-147-20251019-13_54_12</t>
  </si>
  <si>
    <t>20251019 13:56:50</t>
  </si>
  <si>
    <t>13:56:50</t>
  </si>
  <si>
    <t>MPF-148-20251019-13_56_15</t>
  </si>
  <si>
    <t>DARK-149-20251019-13_56_21</t>
  </si>
  <si>
    <t>20251019 14:03:30</t>
  </si>
  <si>
    <t>14:03:30</t>
  </si>
  <si>
    <t>gg_36</t>
  </si>
  <si>
    <t>MPF-150-20251019-14_02_55</t>
  </si>
  <si>
    <t>DARK-151-20251019-14_03_01</t>
  </si>
  <si>
    <t>20251019 14:06:34</t>
  </si>
  <si>
    <t>14:06:34</t>
  </si>
  <si>
    <t>MPF-152-20251019-14_05_59</t>
  </si>
  <si>
    <t>DARK-153-20251019-14_06_05</t>
  </si>
  <si>
    <t>20251019 14:09:46</t>
  </si>
  <si>
    <t>14:09:46</t>
  </si>
  <si>
    <t>MPF-154-20251019-14_09_10</t>
  </si>
  <si>
    <t>DARK-155-20251019-14_09_17</t>
  </si>
  <si>
    <t>20251019 14:23:20</t>
  </si>
  <si>
    <t>14:23:20</t>
  </si>
  <si>
    <t>gg_12</t>
  </si>
  <si>
    <t>MPF-156-20251019-14_22_44</t>
  </si>
  <si>
    <t>DARK-157-20251019-14_22_51</t>
  </si>
  <si>
    <t>20251019 14:26:26</t>
  </si>
  <si>
    <t>14:26:26</t>
  </si>
  <si>
    <t>MPF-158-20251019-14_25_51</t>
  </si>
  <si>
    <t>DARK-159-20251019-14_25_57</t>
  </si>
  <si>
    <t>20251019 14:28:35</t>
  </si>
  <si>
    <t>14:28:35</t>
  </si>
  <si>
    <t>MPF-160-20251019-14_28_00</t>
  </si>
  <si>
    <t>DARK-161-20251019-14_28_06</t>
  </si>
  <si>
    <t>20251019 14:39:09</t>
  </si>
  <si>
    <t>14:39:09</t>
  </si>
  <si>
    <t>gg_8</t>
  </si>
  <si>
    <t>MPF-162-20251019-14_38_34</t>
  </si>
  <si>
    <t>DARK-163-20251019-14_38_41</t>
  </si>
  <si>
    <t>20251019 14:41:34</t>
  </si>
  <si>
    <t>14:41:34</t>
  </si>
  <si>
    <t>MPF-164-20251019-14_40_58</t>
  </si>
  <si>
    <t>DARK-165-20251019-14_41_05</t>
  </si>
  <si>
    <t>20251019 14:44:31</t>
  </si>
  <si>
    <t>14:44:31</t>
  </si>
  <si>
    <t>MPF-166-20251019-14_43_57</t>
  </si>
  <si>
    <t>DARK-167-20251019-14_44_04</t>
  </si>
  <si>
    <t>20251019 14:51:25</t>
  </si>
  <si>
    <t>14:51:25</t>
  </si>
  <si>
    <t>gg_14</t>
  </si>
  <si>
    <t>MPF-168-20251019-14_50_50</t>
  </si>
  <si>
    <t>DARK-169-20251019-14_50_56</t>
  </si>
  <si>
    <t>20251019 14:53:43</t>
  </si>
  <si>
    <t>14:53:43</t>
  </si>
  <si>
    <t>MPF-170-20251019-14_53_07</t>
  </si>
  <si>
    <t>DARK-171-20251019-14_53_14</t>
  </si>
  <si>
    <t>20251019 14:56:34</t>
  </si>
  <si>
    <t>14:56:34</t>
  </si>
  <si>
    <t>MPF-172-20251019-14_55_59</t>
  </si>
  <si>
    <t>DARK-173-20251019-14_56_05</t>
  </si>
  <si>
    <t>20251019 15:03:40</t>
  </si>
  <si>
    <t>15:03:40</t>
  </si>
  <si>
    <t>gg_20</t>
  </si>
  <si>
    <t>MPF-174-20251019-15_03_05</t>
  </si>
  <si>
    <t>DARK-175-20251019-15_03_12</t>
  </si>
  <si>
    <t>20251019 15:08:12</t>
  </si>
  <si>
    <t>15:08:12</t>
  </si>
  <si>
    <t>MPF-176-20251019-15_07_37</t>
  </si>
  <si>
    <t>DARK-177-20251019-15_07_43</t>
  </si>
  <si>
    <t>20251019 15:09:53</t>
  </si>
  <si>
    <t>15:09:53</t>
  </si>
  <si>
    <t>MPF-178-20251019-15_09_19</t>
  </si>
  <si>
    <t>DARK-179-20251019-15_09_26</t>
  </si>
  <si>
    <t>20251019 15:21:44</t>
  </si>
  <si>
    <t>15:21:44</t>
  </si>
  <si>
    <t>gg_30</t>
  </si>
  <si>
    <t>MPF-180-20251019-15_21_09</t>
  </si>
  <si>
    <t>DARK-181-20251019-15_21_16</t>
  </si>
  <si>
    <t>20251019 15:24:19</t>
  </si>
  <si>
    <t>15:24:19</t>
  </si>
  <si>
    <t>MPF-182-20251019-15_23_44</t>
  </si>
  <si>
    <t>DARK-183-20251019-15_23_51</t>
  </si>
  <si>
    <t>20251019 15:27:22</t>
  </si>
  <si>
    <t>15:27:22</t>
  </si>
  <si>
    <t>MPF-184-20251019-15_26_47</t>
  </si>
  <si>
    <t>DARK-185-20251019-15_26_54</t>
  </si>
  <si>
    <t>20251019 15:50:45</t>
  </si>
  <si>
    <t>15:50:45</t>
  </si>
  <si>
    <t>gg_10</t>
  </si>
  <si>
    <t>MPF-186-20251019-15_50_10</t>
  </si>
  <si>
    <t>DARK-187-20251019-15_50_17</t>
  </si>
  <si>
    <t>20251019 15:52:48</t>
  </si>
  <si>
    <t>15:52:48</t>
  </si>
  <si>
    <t>MPF-188-20251019-15_52_13</t>
  </si>
  <si>
    <t>DARK-189-20251019-15_52_20</t>
  </si>
  <si>
    <t>20251019 15:55:01</t>
  </si>
  <si>
    <t>15:55:01</t>
  </si>
  <si>
    <t>MPF-190-20251019-15_54_26</t>
  </si>
  <si>
    <t>DARK-191-20251019-15_54_33</t>
  </si>
  <si>
    <t>20251019 16:00:19</t>
  </si>
  <si>
    <t>16:00:19</t>
  </si>
  <si>
    <t>gg_18</t>
  </si>
  <si>
    <t>MPF-192-20251019-15_59_44</t>
  </si>
  <si>
    <t>DARK-193-20251019-15_59_51</t>
  </si>
  <si>
    <t>0/2</t>
  </si>
  <si>
    <t>20251019 16:03:02</t>
  </si>
  <si>
    <t>16:03:02</t>
  </si>
  <si>
    <t>MPF-194-20251019-16_02_27</t>
  </si>
  <si>
    <t>DARK-195-20251019-16_02_34</t>
  </si>
  <si>
    <t>20251019 16:05:27</t>
  </si>
  <si>
    <t>16:05:27</t>
  </si>
  <si>
    <t>MPF-196-20251019-16_04_52</t>
  </si>
  <si>
    <t>DARK-197-20251019-16_04_59</t>
  </si>
  <si>
    <t>20251019 16:14:22</t>
  </si>
  <si>
    <t>16:14:22</t>
  </si>
  <si>
    <t>gg_32</t>
  </si>
  <si>
    <t>MPF-198-20251019-16_13_47</t>
  </si>
  <si>
    <t>DARK-199-20251019-16_13_54</t>
  </si>
  <si>
    <t>20251019 16:16:59</t>
  </si>
  <si>
    <t>16:16:59</t>
  </si>
  <si>
    <t>MPF-200-20251019-16_16_24</t>
  </si>
  <si>
    <t>DARK-201-20251019-16_16_31</t>
  </si>
  <si>
    <t>20251019 16:18:57</t>
  </si>
  <si>
    <t>16:18:57</t>
  </si>
  <si>
    <t>MPF-202-20251019-16_18_22</t>
  </si>
  <si>
    <t>DARK-203-20251019-16_18_29</t>
  </si>
  <si>
    <t>20251019 16:27:17</t>
  </si>
  <si>
    <t>16:27:17</t>
  </si>
  <si>
    <t>gg_38</t>
  </si>
  <si>
    <t>MPF-204-20251019-16_26_42</t>
  </si>
  <si>
    <t>DARK-205-20251019-16_26_49</t>
  </si>
  <si>
    <t>20251019 16:29:13</t>
  </si>
  <si>
    <t>16:29:13</t>
  </si>
  <si>
    <t>MPF-206-20251019-16_28_38</t>
  </si>
  <si>
    <t>DARK-207-20251019-16_28_46</t>
  </si>
  <si>
    <t>20251019 16:32:05</t>
  </si>
  <si>
    <t>16:32:05</t>
  </si>
  <si>
    <t>MPF-208-20251019-16_31_31</t>
  </si>
  <si>
    <t>DARK-209-20251019-16_31_37</t>
  </si>
  <si>
    <t>20251019 16:39:57</t>
  </si>
  <si>
    <t>16:39:57</t>
  </si>
  <si>
    <t>gg_24</t>
  </si>
  <si>
    <t>MPF-210-20251019-16_39_22</t>
  </si>
  <si>
    <t>DARK-211-20251019-16_39_29</t>
  </si>
  <si>
    <t>20251019 16:43:33</t>
  </si>
  <si>
    <t>16:43:33</t>
  </si>
  <si>
    <t>MPF-212-20251019-16_42_58</t>
  </si>
  <si>
    <t>DARK-213-20251019-16_43_05</t>
  </si>
  <si>
    <t>20251019 16:45:19</t>
  </si>
  <si>
    <t>16:45:19</t>
  </si>
  <si>
    <t>MPF-214-20251019-16_44_45</t>
  </si>
  <si>
    <t>DARK-215-20251019-16_44_51</t>
  </si>
  <si>
    <t>20251019 17:07:49</t>
  </si>
  <si>
    <t>17:07:49</t>
  </si>
  <si>
    <t>MPF-216-20251019-17_07_15</t>
  </si>
  <si>
    <t>DARK-217-20251019-17_07_22</t>
  </si>
  <si>
    <t>20251019 17:12:04</t>
  </si>
  <si>
    <t>17:12:04</t>
  </si>
  <si>
    <t>MPF-218-20251019-17_11_30</t>
  </si>
  <si>
    <t>DARK-219-20251019-17_11_37</t>
  </si>
  <si>
    <t>20251019 17:15:41</t>
  </si>
  <si>
    <t>17:15:41</t>
  </si>
  <si>
    <t>MPF-220-20251019-17_15_07</t>
  </si>
  <si>
    <t>DARK-221-20251019-17_15_14</t>
  </si>
  <si>
    <t>20251019 17:29:41</t>
  </si>
  <si>
    <t>17:29:41</t>
  </si>
  <si>
    <t>MPF-222-20251019-17_29_07</t>
  </si>
  <si>
    <t>DARK-223-20251019-17_29_14</t>
  </si>
  <si>
    <t>20251019 17:32:07</t>
  </si>
  <si>
    <t>17:32:07</t>
  </si>
  <si>
    <t>MPF-224-20251019-17_31_33</t>
  </si>
  <si>
    <t>DARK-225-20251019-17_31_40</t>
  </si>
  <si>
    <t>20251019 17:34:09</t>
  </si>
  <si>
    <t>17:34:09</t>
  </si>
  <si>
    <t>MPF-226-20251019-17_33_36</t>
  </si>
  <si>
    <t>DARK-227-20251019-17_33_42</t>
  </si>
  <si>
    <t>20251019 17:45:15</t>
  </si>
  <si>
    <t>17:45:15</t>
  </si>
  <si>
    <t>MPF-228-20251019-17_44_41</t>
  </si>
  <si>
    <t>DARK-229-20251019-17_44_47</t>
  </si>
  <si>
    <t>20251019 17:46:50</t>
  </si>
  <si>
    <t>17:46:50</t>
  </si>
  <si>
    <t>MPF-230-20251019-17_46_16</t>
  </si>
  <si>
    <t>DARK-231-20251019-17_46_23</t>
  </si>
  <si>
    <t>20251019 17:49:03</t>
  </si>
  <si>
    <t>17:49:03</t>
  </si>
  <si>
    <t>MPF-232-20251019-17_48_29</t>
  </si>
  <si>
    <t>DARK-233-20251019-17_48_36</t>
  </si>
  <si>
    <t>20251019 17:56:49</t>
  </si>
  <si>
    <t>17:56:49</t>
  </si>
  <si>
    <t>MPF-234-20251019-17_56_15</t>
  </si>
  <si>
    <t>DARK-235-20251019-17_56_22</t>
  </si>
  <si>
    <t>20251019 17:59:14</t>
  </si>
  <si>
    <t>17:59:14</t>
  </si>
  <si>
    <t>MPF-236-20251019-17_58_40</t>
  </si>
  <si>
    <t>DARK-237-20251019-17_58_47</t>
  </si>
  <si>
    <t>20251019 18:01:12</t>
  </si>
  <si>
    <t>18:01:12</t>
  </si>
  <si>
    <t>MPF-238-20251019-18_00_39</t>
  </si>
  <si>
    <t>DARK-239-20251019-18_00_45</t>
  </si>
  <si>
    <t>20251019 18:09:27</t>
  </si>
  <si>
    <t>18:09:27</t>
  </si>
  <si>
    <t>MPF-240-20251019-18_08_53</t>
  </si>
  <si>
    <t>DARK-241-20251019-18_09_00</t>
  </si>
  <si>
    <t>20251019 18:10:59</t>
  </si>
  <si>
    <t>18:10:59</t>
  </si>
  <si>
    <t>20251019 18:13:32</t>
  </si>
  <si>
    <t>18:13:32</t>
  </si>
  <si>
    <t>MPF-242-20251019-18_12_58</t>
  </si>
  <si>
    <t>DARK-243-20251019-18_13_05</t>
  </si>
  <si>
    <t>20251019 18:23:15</t>
  </si>
  <si>
    <t>18:23:15</t>
  </si>
  <si>
    <t>MPF-244-20251019-18_22_41</t>
  </si>
  <si>
    <t>DARK-245-20251019-18_22_48</t>
  </si>
  <si>
    <t>20251019 18:27:55</t>
  </si>
  <si>
    <t>18:27:55</t>
  </si>
  <si>
    <t>MPF-246-20251019-18_27_21</t>
  </si>
  <si>
    <t>DARK-247-20251019-18_27_28</t>
  </si>
  <si>
    <t>20251019 18:29:33</t>
  </si>
  <si>
    <t>18:29:33</t>
  </si>
  <si>
    <t>MPF-248-20251019-18_29_00</t>
  </si>
  <si>
    <t>DARK-249-20251019-18_29_06</t>
  </si>
  <si>
    <t>20251019 18:37:58</t>
  </si>
  <si>
    <t>18:37:58</t>
  </si>
  <si>
    <t>MPF-250-20251019-18_37_25</t>
  </si>
  <si>
    <t>DARK-251-20251019-18_37_31</t>
  </si>
  <si>
    <t>20251019 18:40:34</t>
  </si>
  <si>
    <t>18:40:34</t>
  </si>
  <si>
    <t>MPF-252-20251019-18_40_01</t>
  </si>
  <si>
    <t>DARK-253-20251019-18_40_07</t>
  </si>
  <si>
    <t>20251019 18:43:03</t>
  </si>
  <si>
    <t>18:43:03</t>
  </si>
  <si>
    <t>MPF-254-20251019-18_42_30</t>
  </si>
  <si>
    <t>DARK-255-20251019-18_42_36</t>
  </si>
  <si>
    <t>20251019 18:47:53</t>
  </si>
  <si>
    <t>18:47:53</t>
  </si>
  <si>
    <t>MPF-256-20251019-18_47_20</t>
  </si>
  <si>
    <t>DARK-257-20251019-18_47_26</t>
  </si>
  <si>
    <t>20251019 18:49:54</t>
  </si>
  <si>
    <t>18:49:54</t>
  </si>
  <si>
    <t>MPF-258-20251019-18_49_21</t>
  </si>
  <si>
    <t>DARK-259-20251019-18_49_28</t>
  </si>
  <si>
    <t>20251019 18:53:10</t>
  </si>
  <si>
    <t>18:53:10</t>
  </si>
  <si>
    <t>MPF-260-20251019-18_52_37</t>
  </si>
  <si>
    <t>DARK-261-20251019-18_52_43</t>
  </si>
  <si>
    <t>20251019 19:01:48</t>
  </si>
  <si>
    <t>19:01:48</t>
  </si>
  <si>
    <t>MPF-262-20251019-19_01_15</t>
  </si>
  <si>
    <t>DARK-263-20251019-19_01_21</t>
  </si>
  <si>
    <t>20251019 19:03:40</t>
  </si>
  <si>
    <t>19:03:40</t>
  </si>
  <si>
    <t>MPF-264-20251019-19_03_06</t>
  </si>
  <si>
    <t>DARK-265-20251019-19_03_13</t>
  </si>
  <si>
    <t>20251019 19:07:53</t>
  </si>
  <si>
    <t>19:07:53</t>
  </si>
  <si>
    <t>MPF-266-20251019-19_07_20</t>
  </si>
  <si>
    <t>DARK-267-20251019-19_07_26</t>
  </si>
  <si>
    <t>20251019 19:16:14</t>
  </si>
  <si>
    <t>19:16:14</t>
  </si>
  <si>
    <t>MPF-268-20251019-19_15_41</t>
  </si>
  <si>
    <t>DARK-269-20251019-19_15_48</t>
  </si>
  <si>
    <t>20251019 19:19:10</t>
  </si>
  <si>
    <t>19:19:10</t>
  </si>
  <si>
    <t>MPF-270-20251019-19_18_37</t>
  </si>
  <si>
    <t>DARK-271-20251019-19_18_43</t>
  </si>
  <si>
    <t>20251019 19:21:27</t>
  </si>
  <si>
    <t>19:21:27</t>
  </si>
  <si>
    <t>MPF-272-20251019-19_20_54</t>
  </si>
  <si>
    <t>DARK-273-20251019-19_21_01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</si>
</sst>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106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33</v>
      </c>
    </row>
    <row r="3" spans="1:297">
      <c r="B3">
        <v>4</v>
      </c>
      <c r="C3">
        <v>21</v>
      </c>
    </row>
    <row r="4" spans="1:297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97">
      <c r="B5" t="s">
        <v>21</v>
      </c>
      <c r="C5" t="s">
        <v>37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</v>
      </c>
    </row>
    <row r="6" spans="1:297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97">
      <c r="B7">
        <v>0</v>
      </c>
      <c r="C7">
        <v>0</v>
      </c>
      <c r="D7">
        <v>0</v>
      </c>
      <c r="E7">
        <v>1</v>
      </c>
    </row>
    <row r="8" spans="1:297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97">
      <c r="B9" t="s">
        <v>53</v>
      </c>
      <c r="C9" t="s">
        <v>55</v>
      </c>
      <c r="D9">
        <v>0.76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0.1725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97">
      <c r="B11">
        <v>0</v>
      </c>
      <c r="C11">
        <v>0</v>
      </c>
      <c r="D11">
        <v>0</v>
      </c>
      <c r="E11">
        <v>0</v>
      </c>
      <c r="F11">
        <v>1</v>
      </c>
    </row>
    <row r="12" spans="1:297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82</v>
      </c>
      <c r="G13" t="s">
        <v>84</v>
      </c>
      <c r="H13">
        <v>0</v>
      </c>
    </row>
    <row r="14" spans="1:297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88</v>
      </c>
      <c r="AH14" t="s">
        <v>88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91</v>
      </c>
      <c r="AY14" t="s">
        <v>91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91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92</v>
      </c>
      <c r="CA14" t="s">
        <v>92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92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94</v>
      </c>
      <c r="DI14" t="s">
        <v>94</v>
      </c>
      <c r="DJ14" t="s">
        <v>94</v>
      </c>
      <c r="DK14" t="s">
        <v>94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96</v>
      </c>
      <c r="DR14" t="s">
        <v>96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102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103</v>
      </c>
      <c r="HK14" t="s">
        <v>103</v>
      </c>
      <c r="HL14" t="s">
        <v>103</v>
      </c>
      <c r="HM14" t="s">
        <v>103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104</v>
      </c>
      <c r="ID14" t="s">
        <v>104</v>
      </c>
      <c r="IE14" t="s">
        <v>104</v>
      </c>
      <c r="IF14" t="s">
        <v>104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105</v>
      </c>
      <c r="IW14" t="s">
        <v>105</v>
      </c>
      <c r="IX14" t="s">
        <v>105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107</v>
      </c>
      <c r="JW14" t="s">
        <v>107</v>
      </c>
      <c r="JX14" t="s">
        <v>107</v>
      </c>
      <c r="JY14" t="s">
        <v>107</v>
      </c>
      <c r="JZ14" t="s">
        <v>107</v>
      </c>
      <c r="KA14" t="s">
        <v>107</v>
      </c>
      <c r="KB14" t="s">
        <v>107</v>
      </c>
      <c r="KC14" t="s">
        <v>107</v>
      </c>
      <c r="KD14" t="s">
        <v>107</v>
      </c>
      <c r="KE14" t="s">
        <v>107</v>
      </c>
      <c r="KF14" t="s">
        <v>107</v>
      </c>
      <c r="KG14" t="s">
        <v>107</v>
      </c>
      <c r="KH14" t="s">
        <v>107</v>
      </c>
      <c r="KI14" t="s">
        <v>107</v>
      </c>
      <c r="KJ14" t="s">
        <v>107</v>
      </c>
      <c r="KK14" t="s">
        <v>107</v>
      </c>
    </row>
    <row r="15" spans="1:297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139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147</v>
      </c>
      <c r="AO15" t="s">
        <v>148</v>
      </c>
      <c r="AP15" t="s">
        <v>149</v>
      </c>
      <c r="AQ15" t="s">
        <v>150</v>
      </c>
      <c r="AR15" t="s">
        <v>151</v>
      </c>
      <c r="AS15" t="s">
        <v>90</v>
      </c>
      <c r="AT15" t="s">
        <v>152</v>
      </c>
      <c r="AU15" t="s">
        <v>153</v>
      </c>
      <c r="AV15" t="s">
        <v>154</v>
      </c>
      <c r="AW15" t="s">
        <v>155</v>
      </c>
      <c r="AX15" t="s">
        <v>156</v>
      </c>
      <c r="AY15" t="s">
        <v>157</v>
      </c>
      <c r="AZ15" t="s">
        <v>158</v>
      </c>
      <c r="BA15" t="s">
        <v>159</v>
      </c>
      <c r="BB15" t="s">
        <v>160</v>
      </c>
      <c r="BC15" t="s">
        <v>161</v>
      </c>
      <c r="BD15" t="s">
        <v>162</v>
      </c>
      <c r="BE15" t="s">
        <v>163</v>
      </c>
      <c r="BF15" t="s">
        <v>164</v>
      </c>
      <c r="BG15" t="s">
        <v>165</v>
      </c>
      <c r="BH15" t="s">
        <v>166</v>
      </c>
      <c r="BI15" t="s">
        <v>167</v>
      </c>
      <c r="BJ15" t="s">
        <v>168</v>
      </c>
      <c r="BK15" t="s">
        <v>169</v>
      </c>
      <c r="BL15" t="s">
        <v>170</v>
      </c>
      <c r="BM15" t="s">
        <v>171</v>
      </c>
      <c r="BN15" t="s">
        <v>172</v>
      </c>
      <c r="BO15" t="s">
        <v>173</v>
      </c>
      <c r="BP15" t="s">
        <v>174</v>
      </c>
      <c r="BQ15" t="s">
        <v>175</v>
      </c>
      <c r="BR15" t="s">
        <v>176</v>
      </c>
      <c r="BS15" t="s">
        <v>177</v>
      </c>
      <c r="BT15" t="s">
        <v>178</v>
      </c>
      <c r="BU15" t="s">
        <v>179</v>
      </c>
      <c r="BV15" t="s">
        <v>180</v>
      </c>
      <c r="BW15" t="s">
        <v>181</v>
      </c>
      <c r="BX15" t="s">
        <v>182</v>
      </c>
      <c r="BY15" t="s">
        <v>183</v>
      </c>
      <c r="BZ15" t="s">
        <v>184</v>
      </c>
      <c r="CA15" t="s">
        <v>185</v>
      </c>
      <c r="CB15" t="s">
        <v>186</v>
      </c>
      <c r="CC15" t="s">
        <v>187</v>
      </c>
      <c r="CD15" t="s">
        <v>188</v>
      </c>
      <c r="CE15" t="s">
        <v>189</v>
      </c>
      <c r="CF15" t="s">
        <v>190</v>
      </c>
      <c r="CG15" t="s">
        <v>191</v>
      </c>
      <c r="CH15" t="s">
        <v>192</v>
      </c>
      <c r="CI15" t="s">
        <v>193</v>
      </c>
      <c r="CJ15" t="s">
        <v>194</v>
      </c>
      <c r="CK15" t="s">
        <v>195</v>
      </c>
      <c r="CL15" t="s">
        <v>196</v>
      </c>
      <c r="CM15" t="s">
        <v>197</v>
      </c>
      <c r="CN15" t="s">
        <v>198</v>
      </c>
      <c r="CO15" t="s">
        <v>199</v>
      </c>
      <c r="CP15" t="s">
        <v>200</v>
      </c>
      <c r="CQ15" t="s">
        <v>201</v>
      </c>
      <c r="CR15" t="s">
        <v>202</v>
      </c>
      <c r="CS15" t="s">
        <v>203</v>
      </c>
      <c r="CT15" t="s">
        <v>204</v>
      </c>
      <c r="CU15" t="s">
        <v>184</v>
      </c>
      <c r="CV15" t="s">
        <v>205</v>
      </c>
      <c r="CW15" t="s">
        <v>206</v>
      </c>
      <c r="CX15" t="s">
        <v>207</v>
      </c>
      <c r="CY15" t="s">
        <v>158</v>
      </c>
      <c r="CZ15" t="s">
        <v>208</v>
      </c>
      <c r="DA15" t="s">
        <v>209</v>
      </c>
      <c r="DB15" t="s">
        <v>210</v>
      </c>
      <c r="DC15" t="s">
        <v>211</v>
      </c>
      <c r="DD15" t="s">
        <v>212</v>
      </c>
      <c r="DE15" t="s">
        <v>213</v>
      </c>
      <c r="DF15" t="s">
        <v>214</v>
      </c>
      <c r="DG15" t="s">
        <v>215</v>
      </c>
      <c r="DH15" t="s">
        <v>216</v>
      </c>
      <c r="DI15" t="s">
        <v>217</v>
      </c>
      <c r="DJ15" t="s">
        <v>218</v>
      </c>
      <c r="DK15" t="s">
        <v>219</v>
      </c>
      <c r="DL15" t="s">
        <v>220</v>
      </c>
      <c r="DM15" t="s">
        <v>221</v>
      </c>
      <c r="DN15" t="s">
        <v>222</v>
      </c>
      <c r="DO15" t="s">
        <v>223</v>
      </c>
      <c r="DP15" t="s">
        <v>224</v>
      </c>
      <c r="DQ15" t="s">
        <v>116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109</v>
      </c>
      <c r="FQ15" t="s">
        <v>112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  <c r="GD15" t="s">
        <v>287</v>
      </c>
      <c r="GE15" t="s">
        <v>288</v>
      </c>
      <c r="GF15" t="s">
        <v>289</v>
      </c>
      <c r="GG15" t="s">
        <v>290</v>
      </c>
      <c r="GH15" t="s">
        <v>291</v>
      </c>
      <c r="GI15" t="s">
        <v>292</v>
      </c>
      <c r="GJ15" t="s">
        <v>293</v>
      </c>
      <c r="GK15" t="s">
        <v>294</v>
      </c>
      <c r="GL15" t="s">
        <v>295</v>
      </c>
      <c r="GM15" t="s">
        <v>296</v>
      </c>
      <c r="GN15" t="s">
        <v>297</v>
      </c>
      <c r="GO15" t="s">
        <v>298</v>
      </c>
      <c r="GP15" t="s">
        <v>299</v>
      </c>
      <c r="GQ15" t="s">
        <v>300</v>
      </c>
      <c r="GR15" t="s">
        <v>301</v>
      </c>
      <c r="GS15" t="s">
        <v>302</v>
      </c>
      <c r="GT15" t="s">
        <v>303</v>
      </c>
      <c r="GU15" t="s">
        <v>304</v>
      </c>
      <c r="GV15" t="s">
        <v>305</v>
      </c>
      <c r="GW15" t="s">
        <v>306</v>
      </c>
      <c r="GX15" t="s">
        <v>307</v>
      </c>
      <c r="GY15" t="s">
        <v>308</v>
      </c>
      <c r="GZ15" t="s">
        <v>309</v>
      </c>
      <c r="HA15" t="s">
        <v>310</v>
      </c>
      <c r="HB15" t="s">
        <v>311</v>
      </c>
      <c r="HC15" t="s">
        <v>312</v>
      </c>
      <c r="HD15" t="s">
        <v>313</v>
      </c>
      <c r="HE15" t="s">
        <v>314</v>
      </c>
      <c r="HF15" t="s">
        <v>315</v>
      </c>
      <c r="HG15" t="s">
        <v>316</v>
      </c>
      <c r="HH15" t="s">
        <v>317</v>
      </c>
      <c r="HI15" t="s">
        <v>318</v>
      </c>
      <c r="HJ15" t="s">
        <v>319</v>
      </c>
      <c r="HK15" t="s">
        <v>320</v>
      </c>
      <c r="HL15" t="s">
        <v>321</v>
      </c>
      <c r="HM15" t="s">
        <v>322</v>
      </c>
      <c r="HN15" t="s">
        <v>323</v>
      </c>
      <c r="HO15" t="s">
        <v>324</v>
      </c>
      <c r="HP15" t="s">
        <v>325</v>
      </c>
      <c r="HQ15" t="s">
        <v>326</v>
      </c>
      <c r="HR15" t="s">
        <v>327</v>
      </c>
      <c r="HS15" t="s">
        <v>328</v>
      </c>
      <c r="HT15" t="s">
        <v>329</v>
      </c>
      <c r="HU15" t="s">
        <v>330</v>
      </c>
      <c r="HV15" t="s">
        <v>331</v>
      </c>
      <c r="HW15" t="s">
        <v>332</v>
      </c>
      <c r="HX15" t="s">
        <v>333</v>
      </c>
      <c r="HY15" t="s">
        <v>334</v>
      </c>
      <c r="HZ15" t="s">
        <v>335</v>
      </c>
      <c r="IA15" t="s">
        <v>336</v>
      </c>
      <c r="IB15" t="s">
        <v>337</v>
      </c>
      <c r="IC15" t="s">
        <v>338</v>
      </c>
      <c r="ID15" t="s">
        <v>339</v>
      </c>
      <c r="IE15" t="s">
        <v>340</v>
      </c>
      <c r="IF15" t="s">
        <v>341</v>
      </c>
      <c r="IG15" t="s">
        <v>342</v>
      </c>
      <c r="IH15" t="s">
        <v>343</v>
      </c>
      <c r="II15" t="s">
        <v>344</v>
      </c>
      <c r="IJ15" t="s">
        <v>345</v>
      </c>
      <c r="IK15" t="s">
        <v>346</v>
      </c>
      <c r="IL15" t="s">
        <v>347</v>
      </c>
      <c r="IM15" t="s">
        <v>348</v>
      </c>
      <c r="IN15" t="s">
        <v>349</v>
      </c>
      <c r="IO15" t="s">
        <v>350</v>
      </c>
      <c r="IP15" t="s">
        <v>351</v>
      </c>
      <c r="IQ15" t="s">
        <v>352</v>
      </c>
      <c r="IR15" t="s">
        <v>353</v>
      </c>
      <c r="IS15" t="s">
        <v>354</v>
      </c>
      <c r="IT15" t="s">
        <v>355</v>
      </c>
      <c r="IU15" t="s">
        <v>356</v>
      </c>
      <c r="IV15" t="s">
        <v>357</v>
      </c>
      <c r="IW15" t="s">
        <v>358</v>
      </c>
      <c r="IX15" t="s">
        <v>359</v>
      </c>
      <c r="IY15" t="s">
        <v>360</v>
      </c>
      <c r="IZ15" t="s">
        <v>361</v>
      </c>
      <c r="JA15" t="s">
        <v>362</v>
      </c>
      <c r="JB15" t="s">
        <v>363</v>
      </c>
      <c r="JC15" t="s">
        <v>364</v>
      </c>
      <c r="JD15" t="s">
        <v>365</v>
      </c>
      <c r="JE15" t="s">
        <v>366</v>
      </c>
      <c r="JF15" t="s">
        <v>367</v>
      </c>
      <c r="JG15" t="s">
        <v>368</v>
      </c>
      <c r="JH15" t="s">
        <v>369</v>
      </c>
      <c r="JI15" t="s">
        <v>370</v>
      </c>
      <c r="JJ15" t="s">
        <v>371</v>
      </c>
      <c r="JK15" t="s">
        <v>372</v>
      </c>
      <c r="JL15" t="s">
        <v>373</v>
      </c>
      <c r="JM15" t="s">
        <v>374</v>
      </c>
      <c r="JN15" t="s">
        <v>375</v>
      </c>
      <c r="JO15" t="s">
        <v>376</v>
      </c>
      <c r="JP15" t="s">
        <v>377</v>
      </c>
      <c r="JQ15" t="s">
        <v>378</v>
      </c>
      <c r="JR15" t="s">
        <v>379</v>
      </c>
      <c r="JS15" t="s">
        <v>380</v>
      </c>
      <c r="JT15" t="s">
        <v>381</v>
      </c>
      <c r="JU15" t="s">
        <v>382</v>
      </c>
      <c r="JV15" t="s">
        <v>383</v>
      </c>
      <c r="JW15" t="s">
        <v>384</v>
      </c>
      <c r="JX15" t="s">
        <v>385</v>
      </c>
      <c r="JY15" t="s">
        <v>386</v>
      </c>
      <c r="JZ15" t="s">
        <v>387</v>
      </c>
      <c r="KA15" t="s">
        <v>388</v>
      </c>
      <c r="KB15" t="s">
        <v>389</v>
      </c>
      <c r="KC15" t="s">
        <v>390</v>
      </c>
      <c r="KD15" t="s">
        <v>391</v>
      </c>
      <c r="KE15" t="s">
        <v>392</v>
      </c>
      <c r="KF15" t="s">
        <v>393</v>
      </c>
      <c r="KG15" t="s">
        <v>394</v>
      </c>
      <c r="KH15" t="s">
        <v>395</v>
      </c>
      <c r="KI15" t="s">
        <v>396</v>
      </c>
      <c r="KJ15" t="s">
        <v>397</v>
      </c>
      <c r="KK15" t="s">
        <v>398</v>
      </c>
    </row>
    <row r="16" spans="1:297">
      <c r="B16" t="s">
        <v>399</v>
      </c>
      <c r="C16" t="s">
        <v>399</v>
      </c>
      <c r="F16" t="s">
        <v>399</v>
      </c>
      <c r="I16" t="s">
        <v>399</v>
      </c>
      <c r="J16" t="s">
        <v>400</v>
      </c>
      <c r="K16" t="s">
        <v>401</v>
      </c>
      <c r="L16" t="s">
        <v>402</v>
      </c>
      <c r="M16" t="s">
        <v>403</v>
      </c>
      <c r="N16" t="s">
        <v>403</v>
      </c>
      <c r="O16" t="s">
        <v>232</v>
      </c>
      <c r="P16" t="s">
        <v>232</v>
      </c>
      <c r="Q16" t="s">
        <v>400</v>
      </c>
      <c r="R16" t="s">
        <v>400</v>
      </c>
      <c r="S16" t="s">
        <v>400</v>
      </c>
      <c r="T16" t="s">
        <v>400</v>
      </c>
      <c r="U16" t="s">
        <v>404</v>
      </c>
      <c r="V16" t="s">
        <v>405</v>
      </c>
      <c r="W16" t="s">
        <v>405</v>
      </c>
      <c r="X16" t="s">
        <v>406</v>
      </c>
      <c r="Y16" t="s">
        <v>407</v>
      </c>
      <c r="Z16" t="s">
        <v>406</v>
      </c>
      <c r="AA16" t="s">
        <v>406</v>
      </c>
      <c r="AB16" t="s">
        <v>406</v>
      </c>
      <c r="AC16" t="s">
        <v>404</v>
      </c>
      <c r="AD16" t="s">
        <v>404</v>
      </c>
      <c r="AE16" t="s">
        <v>404</v>
      </c>
      <c r="AF16" t="s">
        <v>404</v>
      </c>
      <c r="AG16" t="s">
        <v>402</v>
      </c>
      <c r="AH16" t="s">
        <v>401</v>
      </c>
      <c r="AI16" t="s">
        <v>402</v>
      </c>
      <c r="AJ16" t="s">
        <v>403</v>
      </c>
      <c r="AK16" t="s">
        <v>403</v>
      </c>
      <c r="AL16" t="s">
        <v>408</v>
      </c>
      <c r="AM16" t="s">
        <v>409</v>
      </c>
      <c r="AN16" t="s">
        <v>401</v>
      </c>
      <c r="AO16" t="s">
        <v>410</v>
      </c>
      <c r="AP16" t="s">
        <v>410</v>
      </c>
      <c r="AQ16" t="s">
        <v>411</v>
      </c>
      <c r="AR16" t="s">
        <v>409</v>
      </c>
      <c r="AS16" t="s">
        <v>412</v>
      </c>
      <c r="AT16" t="s">
        <v>407</v>
      </c>
      <c r="AV16" t="s">
        <v>407</v>
      </c>
      <c r="AW16" t="s">
        <v>412</v>
      </c>
      <c r="BC16" t="s">
        <v>402</v>
      </c>
      <c r="BJ16" t="s">
        <v>402</v>
      </c>
      <c r="BK16" t="s">
        <v>402</v>
      </c>
      <c r="BL16" t="s">
        <v>402</v>
      </c>
      <c r="BM16" t="s">
        <v>413</v>
      </c>
      <c r="CA16" t="s">
        <v>414</v>
      </c>
      <c r="CC16" t="s">
        <v>414</v>
      </c>
      <c r="CD16" t="s">
        <v>402</v>
      </c>
      <c r="CG16" t="s">
        <v>414</v>
      </c>
      <c r="CH16" t="s">
        <v>407</v>
      </c>
      <c r="CK16" t="s">
        <v>415</v>
      </c>
      <c r="CL16" t="s">
        <v>415</v>
      </c>
      <c r="CN16" t="s">
        <v>416</v>
      </c>
      <c r="CO16" t="s">
        <v>414</v>
      </c>
      <c r="CQ16" t="s">
        <v>414</v>
      </c>
      <c r="CR16" t="s">
        <v>402</v>
      </c>
      <c r="CV16" t="s">
        <v>414</v>
      </c>
      <c r="CX16" t="s">
        <v>417</v>
      </c>
      <c r="DA16" t="s">
        <v>414</v>
      </c>
      <c r="DB16" t="s">
        <v>414</v>
      </c>
      <c r="DD16" t="s">
        <v>414</v>
      </c>
      <c r="DF16" t="s">
        <v>414</v>
      </c>
      <c r="DH16" t="s">
        <v>402</v>
      </c>
      <c r="DI16" t="s">
        <v>402</v>
      </c>
      <c r="DK16" t="s">
        <v>418</v>
      </c>
      <c r="DL16" t="s">
        <v>419</v>
      </c>
      <c r="DO16" t="s">
        <v>400</v>
      </c>
      <c r="DQ16" t="s">
        <v>399</v>
      </c>
      <c r="DR16" t="s">
        <v>403</v>
      </c>
      <c r="DS16" t="s">
        <v>403</v>
      </c>
      <c r="DT16" t="s">
        <v>410</v>
      </c>
      <c r="DU16" t="s">
        <v>410</v>
      </c>
      <c r="DV16" t="s">
        <v>403</v>
      </c>
      <c r="DW16" t="s">
        <v>410</v>
      </c>
      <c r="DX16" t="s">
        <v>412</v>
      </c>
      <c r="DY16" t="s">
        <v>406</v>
      </c>
      <c r="DZ16" t="s">
        <v>406</v>
      </c>
      <c r="EA16" t="s">
        <v>405</v>
      </c>
      <c r="EB16" t="s">
        <v>405</v>
      </c>
      <c r="EC16" t="s">
        <v>405</v>
      </c>
      <c r="ED16" t="s">
        <v>405</v>
      </c>
      <c r="EE16" t="s">
        <v>405</v>
      </c>
      <c r="EF16" t="s">
        <v>420</v>
      </c>
      <c r="EG16" t="s">
        <v>402</v>
      </c>
      <c r="EH16" t="s">
        <v>402</v>
      </c>
      <c r="EI16" t="s">
        <v>403</v>
      </c>
      <c r="EJ16" t="s">
        <v>403</v>
      </c>
      <c r="EK16" t="s">
        <v>403</v>
      </c>
      <c r="EL16" t="s">
        <v>410</v>
      </c>
      <c r="EM16" t="s">
        <v>403</v>
      </c>
      <c r="EN16" t="s">
        <v>410</v>
      </c>
      <c r="EO16" t="s">
        <v>406</v>
      </c>
      <c r="EP16" t="s">
        <v>406</v>
      </c>
      <c r="EQ16" t="s">
        <v>405</v>
      </c>
      <c r="ER16" t="s">
        <v>405</v>
      </c>
      <c r="ES16" t="s">
        <v>402</v>
      </c>
      <c r="EX16" t="s">
        <v>402</v>
      </c>
      <c r="FA16" t="s">
        <v>405</v>
      </c>
      <c r="FB16" t="s">
        <v>405</v>
      </c>
      <c r="FC16" t="s">
        <v>405</v>
      </c>
      <c r="FD16" t="s">
        <v>405</v>
      </c>
      <c r="FE16" t="s">
        <v>405</v>
      </c>
      <c r="FF16" t="s">
        <v>402</v>
      </c>
      <c r="FG16" t="s">
        <v>402</v>
      </c>
      <c r="FH16" t="s">
        <v>402</v>
      </c>
      <c r="FI16" t="s">
        <v>399</v>
      </c>
      <c r="FL16" t="s">
        <v>421</v>
      </c>
      <c r="FM16" t="s">
        <v>421</v>
      </c>
      <c r="FO16" t="s">
        <v>399</v>
      </c>
      <c r="FP16" t="s">
        <v>422</v>
      </c>
      <c r="FR16" t="s">
        <v>399</v>
      </c>
      <c r="FS16" t="s">
        <v>399</v>
      </c>
      <c r="FU16" t="s">
        <v>423</v>
      </c>
      <c r="FV16" t="s">
        <v>424</v>
      </c>
      <c r="FW16" t="s">
        <v>423</v>
      </c>
      <c r="FX16" t="s">
        <v>424</v>
      </c>
      <c r="FY16" t="s">
        <v>423</v>
      </c>
      <c r="FZ16" t="s">
        <v>424</v>
      </c>
      <c r="GA16" t="s">
        <v>407</v>
      </c>
      <c r="GB16" t="s">
        <v>407</v>
      </c>
      <c r="GC16" t="s">
        <v>403</v>
      </c>
      <c r="GD16" t="s">
        <v>425</v>
      </c>
      <c r="GE16" t="s">
        <v>403</v>
      </c>
      <c r="GH16" t="s">
        <v>426</v>
      </c>
      <c r="GK16" t="s">
        <v>410</v>
      </c>
      <c r="GL16" t="s">
        <v>427</v>
      </c>
      <c r="GM16" t="s">
        <v>410</v>
      </c>
      <c r="GR16" t="s">
        <v>428</v>
      </c>
      <c r="GS16" t="s">
        <v>428</v>
      </c>
      <c r="HF16" t="s">
        <v>428</v>
      </c>
      <c r="HG16" t="s">
        <v>428</v>
      </c>
      <c r="HH16" t="s">
        <v>429</v>
      </c>
      <c r="HI16" t="s">
        <v>429</v>
      </c>
      <c r="HJ16" t="s">
        <v>405</v>
      </c>
      <c r="HK16" t="s">
        <v>405</v>
      </c>
      <c r="HL16" t="s">
        <v>407</v>
      </c>
      <c r="HM16" t="s">
        <v>405</v>
      </c>
      <c r="HN16" t="s">
        <v>410</v>
      </c>
      <c r="HO16" t="s">
        <v>407</v>
      </c>
      <c r="HP16" t="s">
        <v>407</v>
      </c>
      <c r="HR16" t="s">
        <v>428</v>
      </c>
      <c r="HS16" t="s">
        <v>428</v>
      </c>
      <c r="HT16" t="s">
        <v>428</v>
      </c>
      <c r="HU16" t="s">
        <v>428</v>
      </c>
      <c r="HV16" t="s">
        <v>428</v>
      </c>
      <c r="HW16" t="s">
        <v>428</v>
      </c>
      <c r="HX16" t="s">
        <v>428</v>
      </c>
      <c r="HY16" t="s">
        <v>430</v>
      </c>
      <c r="HZ16" t="s">
        <v>431</v>
      </c>
      <c r="IA16" t="s">
        <v>430</v>
      </c>
      <c r="IB16" t="s">
        <v>430</v>
      </c>
      <c r="IC16" t="s">
        <v>428</v>
      </c>
      <c r="ID16" t="s">
        <v>428</v>
      </c>
      <c r="IE16" t="s">
        <v>428</v>
      </c>
      <c r="IF16" t="s">
        <v>428</v>
      </c>
      <c r="IG16" t="s">
        <v>428</v>
      </c>
      <c r="IH16" t="s">
        <v>428</v>
      </c>
      <c r="II16" t="s">
        <v>428</v>
      </c>
      <c r="IJ16" t="s">
        <v>428</v>
      </c>
      <c r="IK16" t="s">
        <v>428</v>
      </c>
      <c r="IL16" t="s">
        <v>428</v>
      </c>
      <c r="IM16" t="s">
        <v>428</v>
      </c>
      <c r="IN16" t="s">
        <v>428</v>
      </c>
      <c r="IU16" t="s">
        <v>428</v>
      </c>
      <c r="IV16" t="s">
        <v>407</v>
      </c>
      <c r="IW16" t="s">
        <v>407</v>
      </c>
      <c r="IX16" t="s">
        <v>423</v>
      </c>
      <c r="IY16" t="s">
        <v>424</v>
      </c>
      <c r="IZ16" t="s">
        <v>423</v>
      </c>
      <c r="JD16" t="s">
        <v>424</v>
      </c>
      <c r="JH16" t="s">
        <v>403</v>
      </c>
      <c r="JI16" t="s">
        <v>403</v>
      </c>
      <c r="JJ16" t="s">
        <v>410</v>
      </c>
      <c r="JK16" t="s">
        <v>410</v>
      </c>
      <c r="JL16" t="s">
        <v>432</v>
      </c>
      <c r="JM16" t="s">
        <v>432</v>
      </c>
      <c r="JN16" t="s">
        <v>428</v>
      </c>
      <c r="JO16" t="s">
        <v>428</v>
      </c>
      <c r="JP16" t="s">
        <v>428</v>
      </c>
      <c r="JQ16" t="s">
        <v>428</v>
      </c>
      <c r="JR16" t="s">
        <v>428</v>
      </c>
      <c r="JS16" t="s">
        <v>428</v>
      </c>
      <c r="JT16" t="s">
        <v>405</v>
      </c>
      <c r="JU16" t="s">
        <v>428</v>
      </c>
      <c r="JW16" t="s">
        <v>412</v>
      </c>
      <c r="JX16" t="s">
        <v>412</v>
      </c>
      <c r="JY16" t="s">
        <v>405</v>
      </c>
      <c r="JZ16" t="s">
        <v>405</v>
      </c>
      <c r="KA16" t="s">
        <v>405</v>
      </c>
      <c r="KB16" t="s">
        <v>405</v>
      </c>
      <c r="KC16" t="s">
        <v>405</v>
      </c>
      <c r="KD16" t="s">
        <v>407</v>
      </c>
      <c r="KE16" t="s">
        <v>407</v>
      </c>
      <c r="KF16" t="s">
        <v>407</v>
      </c>
      <c r="KG16" t="s">
        <v>405</v>
      </c>
      <c r="KH16" t="s">
        <v>403</v>
      </c>
      <c r="KI16" t="s">
        <v>410</v>
      </c>
      <c r="KJ16" t="s">
        <v>407</v>
      </c>
      <c r="KK16" t="s">
        <v>407</v>
      </c>
    </row>
    <row r="17" spans="1:297">
      <c r="A17">
        <v>1</v>
      </c>
      <c r="B17">
        <v>1760893764.1</v>
      </c>
      <c r="C17">
        <v>0</v>
      </c>
      <c r="D17" t="s">
        <v>433</v>
      </c>
      <c r="E17" t="s">
        <v>434</v>
      </c>
      <c r="F17">
        <v>5</v>
      </c>
      <c r="G17" t="s">
        <v>435</v>
      </c>
      <c r="H17" t="s">
        <v>436</v>
      </c>
      <c r="I17">
        <v>1760893756.1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423.419656486824</v>
      </c>
      <c r="AK17">
        <v>415.908612121212</v>
      </c>
      <c r="AL17">
        <v>0.000331899319790011</v>
      </c>
      <c r="AM17">
        <v>64.8563819423597</v>
      </c>
      <c r="AN17">
        <f>(AP17 - AO17 + DY17*1E3/(8.314*(EA17+273.15)) * AR17/DX17 * AQ17) * DX17/(100*DL17) * 1000/(1000 - AP17)</f>
        <v>0</v>
      </c>
      <c r="AO17">
        <v>8.03748904084141</v>
      </c>
      <c r="AP17">
        <v>11.4911551515152</v>
      </c>
      <c r="AQ17">
        <v>-6.38334421261138e-06</v>
      </c>
      <c r="AR17">
        <v>118.626750756435</v>
      </c>
      <c r="AS17">
        <v>0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437</v>
      </c>
      <c r="AY17">
        <v>5082.33</v>
      </c>
      <c r="AZ17">
        <v>690.032</v>
      </c>
      <c r="BA17">
        <v>1612.68</v>
      </c>
      <c r="BB17">
        <f>1-AZ17/BA17</f>
        <v>0</v>
      </c>
      <c r="BC17">
        <v>-9.7270689171713</v>
      </c>
      <c r="BD17" t="s">
        <v>438</v>
      </c>
      <c r="BE17">
        <v>5159.13</v>
      </c>
      <c r="BF17">
        <v>1390.66115384615</v>
      </c>
      <c r="BG17">
        <v>1513.26675166444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439</v>
      </c>
      <c r="BQ17">
        <v>739.53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BZ17">
        <v>98</v>
      </c>
      <c r="CA17">
        <v>290</v>
      </c>
      <c r="CB17">
        <v>1479.48</v>
      </c>
      <c r="CC17">
        <v>135</v>
      </c>
      <c r="CD17">
        <v>5159.13</v>
      </c>
      <c r="CE17">
        <v>1477.37</v>
      </c>
      <c r="CF17">
        <v>2.11</v>
      </c>
      <c r="CG17">
        <v>300</v>
      </c>
      <c r="CH17">
        <v>23.7</v>
      </c>
      <c r="CI17">
        <v>1513.26675166444</v>
      </c>
      <c r="CJ17">
        <v>1.56114636011617</v>
      </c>
      <c r="CK17">
        <v>-18.519550575703</v>
      </c>
      <c r="CL17">
        <v>0.724594348340522</v>
      </c>
      <c r="CM17">
        <v>0.958898318769816</v>
      </c>
      <c r="CN17">
        <v>-0.00325154193548387</v>
      </c>
      <c r="CO17">
        <v>290</v>
      </c>
      <c r="CP17">
        <v>1475.38</v>
      </c>
      <c r="CQ17">
        <v>635</v>
      </c>
      <c r="CR17">
        <v>5156.72</v>
      </c>
      <c r="CS17">
        <v>1477.35</v>
      </c>
      <c r="CT17">
        <v>-1.97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3.21</v>
      </c>
      <c r="DM17">
        <v>0.5</v>
      </c>
      <c r="DN17" t="s">
        <v>440</v>
      </c>
      <c r="DO17">
        <v>2</v>
      </c>
      <c r="DP17" t="b">
        <v>1</v>
      </c>
      <c r="DQ17">
        <v>1760893756.1</v>
      </c>
      <c r="DR17">
        <v>411.114</v>
      </c>
      <c r="DS17">
        <v>419.977066666667</v>
      </c>
      <c r="DT17">
        <v>11.4922266666667</v>
      </c>
      <c r="DU17">
        <v>8.050918</v>
      </c>
      <c r="DV17">
        <v>408.699333333333</v>
      </c>
      <c r="DW17">
        <v>11.5409066666667</v>
      </c>
      <c r="DX17">
        <v>499.999133333333</v>
      </c>
      <c r="DY17">
        <v>91.09444</v>
      </c>
      <c r="DZ17">
        <v>0.03345546</v>
      </c>
      <c r="EA17">
        <v>18.24344</v>
      </c>
      <c r="EB17">
        <v>18.0054133333333</v>
      </c>
      <c r="EC17">
        <v>999.9</v>
      </c>
      <c r="ED17">
        <v>0</v>
      </c>
      <c r="EE17">
        <v>0</v>
      </c>
      <c r="EF17">
        <v>9999.788</v>
      </c>
      <c r="EG17">
        <v>0</v>
      </c>
      <c r="EH17">
        <v>1258.01266666667</v>
      </c>
      <c r="EI17">
        <v>-8.863032</v>
      </c>
      <c r="EJ17">
        <v>415.893466666667</v>
      </c>
      <c r="EK17">
        <v>423.385733333333</v>
      </c>
      <c r="EL17">
        <v>3.44130266666667</v>
      </c>
      <c r="EM17">
        <v>419.977066666667</v>
      </c>
      <c r="EN17">
        <v>8.050918</v>
      </c>
      <c r="EO17">
        <v>1.046878</v>
      </c>
      <c r="EP17">
        <v>0.733394</v>
      </c>
      <c r="EQ17">
        <v>7.585654</v>
      </c>
      <c r="ER17">
        <v>2.47950866666667</v>
      </c>
      <c r="ES17">
        <v>1200.024</v>
      </c>
      <c r="ET17">
        <v>0.966992333333333</v>
      </c>
      <c r="EU17">
        <v>0.0330075133333333</v>
      </c>
      <c r="EV17">
        <v>0</v>
      </c>
      <c r="EW17">
        <v>1390.77933333333</v>
      </c>
      <c r="EX17">
        <v>5.00059</v>
      </c>
      <c r="EY17">
        <v>16404.1666666667</v>
      </c>
      <c r="EZ17">
        <v>10358.88</v>
      </c>
      <c r="FA17">
        <v>37.8331333333333</v>
      </c>
      <c r="FB17">
        <v>41.1288666666667</v>
      </c>
      <c r="FC17">
        <v>38.4955333333333</v>
      </c>
      <c r="FD17">
        <v>41.0080666666667</v>
      </c>
      <c r="FE17">
        <v>39.0664666666667</v>
      </c>
      <c r="FF17">
        <v>1155.576</v>
      </c>
      <c r="FG17">
        <v>39.448</v>
      </c>
      <c r="FH17">
        <v>0</v>
      </c>
      <c r="FI17">
        <v>1760893734.8</v>
      </c>
      <c r="FJ17">
        <v>0</v>
      </c>
      <c r="FK17">
        <v>1390.66115384615</v>
      </c>
      <c r="FL17">
        <v>-9.12307694106473</v>
      </c>
      <c r="FM17">
        <v>-66.2905983353434</v>
      </c>
      <c r="FN17">
        <v>16403.7461538462</v>
      </c>
      <c r="FO17">
        <v>15</v>
      </c>
      <c r="FP17">
        <v>0</v>
      </c>
      <c r="FQ17" t="s">
        <v>441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-8.87522</v>
      </c>
      <c r="GD17">
        <v>0.0540779220779173</v>
      </c>
      <c r="GE17">
        <v>0.0472352988467614</v>
      </c>
      <c r="GF17">
        <v>1</v>
      </c>
      <c r="GG17">
        <v>1391.13411764706</v>
      </c>
      <c r="GH17">
        <v>-9.2293353823271</v>
      </c>
      <c r="GI17">
        <v>0.938719771651048</v>
      </c>
      <c r="GJ17">
        <v>-1</v>
      </c>
      <c r="GK17">
        <v>3.44068523809524</v>
      </c>
      <c r="GL17">
        <v>0.00436129870129964</v>
      </c>
      <c r="GM17">
        <v>0.0182778986025271</v>
      </c>
      <c r="GN17">
        <v>1</v>
      </c>
      <c r="GO17">
        <v>2</v>
      </c>
      <c r="GP17">
        <v>2</v>
      </c>
      <c r="GQ17" t="s">
        <v>442</v>
      </c>
      <c r="GR17">
        <v>3.12923</v>
      </c>
      <c r="GS17">
        <v>2.71163</v>
      </c>
      <c r="GT17">
        <v>0.0886856</v>
      </c>
      <c r="GU17">
        <v>0.090676</v>
      </c>
      <c r="GV17">
        <v>0.060407</v>
      </c>
      <c r="GW17">
        <v>0.0456141</v>
      </c>
      <c r="GX17">
        <v>34381.6</v>
      </c>
      <c r="GY17">
        <v>36758</v>
      </c>
      <c r="GZ17">
        <v>34129.2</v>
      </c>
      <c r="HA17">
        <v>36595.4</v>
      </c>
      <c r="HB17">
        <v>45288.4</v>
      </c>
      <c r="HC17">
        <v>50123.4</v>
      </c>
      <c r="HD17">
        <v>53194.7</v>
      </c>
      <c r="HE17">
        <v>58427.7</v>
      </c>
      <c r="HF17">
        <v>1.9621</v>
      </c>
      <c r="HG17">
        <v>1.8231</v>
      </c>
      <c r="HH17">
        <v>-0.0284426</v>
      </c>
      <c r="HI17">
        <v>0</v>
      </c>
      <c r="HJ17">
        <v>18.4906</v>
      </c>
      <c r="HK17">
        <v>999.9</v>
      </c>
      <c r="HL17">
        <v>34.929</v>
      </c>
      <c r="HM17">
        <v>27.885</v>
      </c>
      <c r="HN17">
        <v>14.4536</v>
      </c>
      <c r="HO17">
        <v>56.0495</v>
      </c>
      <c r="HP17">
        <v>47.2556</v>
      </c>
      <c r="HQ17">
        <v>1</v>
      </c>
      <c r="HR17">
        <v>0.000630081</v>
      </c>
      <c r="HS17">
        <v>6.63581</v>
      </c>
      <c r="HT17">
        <v>20.0158</v>
      </c>
      <c r="HU17">
        <v>5.19992</v>
      </c>
      <c r="HV17">
        <v>12.0097</v>
      </c>
      <c r="HW17">
        <v>4.97585</v>
      </c>
      <c r="HX17">
        <v>3.294</v>
      </c>
      <c r="HY17">
        <v>9999</v>
      </c>
      <c r="HZ17">
        <v>999.9</v>
      </c>
      <c r="IA17">
        <v>9999</v>
      </c>
      <c r="IB17">
        <v>9999</v>
      </c>
      <c r="IC17">
        <v>1.86313</v>
      </c>
      <c r="ID17">
        <v>1.86798</v>
      </c>
      <c r="IE17">
        <v>1.86781</v>
      </c>
      <c r="IF17">
        <v>1.86902</v>
      </c>
      <c r="IG17">
        <v>1.86981</v>
      </c>
      <c r="IH17">
        <v>1.86584</v>
      </c>
      <c r="II17">
        <v>1.86691</v>
      </c>
      <c r="IJ17">
        <v>1.86836</v>
      </c>
      <c r="IK17">
        <v>5</v>
      </c>
      <c r="IL17">
        <v>0</v>
      </c>
      <c r="IM17">
        <v>0</v>
      </c>
      <c r="IN17">
        <v>0</v>
      </c>
      <c r="IO17" t="s">
        <v>443</v>
      </c>
      <c r="IP17" t="s">
        <v>444</v>
      </c>
      <c r="IQ17" t="s">
        <v>445</v>
      </c>
      <c r="IR17" t="s">
        <v>445</v>
      </c>
      <c r="IS17" t="s">
        <v>445</v>
      </c>
      <c r="IT17" t="s">
        <v>445</v>
      </c>
      <c r="IU17">
        <v>0</v>
      </c>
      <c r="IV17">
        <v>100</v>
      </c>
      <c r="IW17">
        <v>100</v>
      </c>
      <c r="IX17">
        <v>2.415</v>
      </c>
      <c r="IY17">
        <v>-0.0488</v>
      </c>
      <c r="IZ17">
        <v>0.833350075594679</v>
      </c>
      <c r="JA17">
        <v>0.00412825224050377</v>
      </c>
      <c r="JB17">
        <v>-7.34426573386615e-07</v>
      </c>
      <c r="JC17">
        <v>2.46800082545482e-10</v>
      </c>
      <c r="JD17">
        <v>-0.0848433440729365</v>
      </c>
      <c r="JE17">
        <v>-0.0240557196358944</v>
      </c>
      <c r="JF17">
        <v>0.0027855358087715</v>
      </c>
      <c r="JG17">
        <v>-3.72349365099102e-05</v>
      </c>
      <c r="JH17">
        <v>5</v>
      </c>
      <c r="JI17">
        <v>2250</v>
      </c>
      <c r="JJ17">
        <v>0</v>
      </c>
      <c r="JK17">
        <v>24</v>
      </c>
      <c r="JL17">
        <v>29348229.4</v>
      </c>
      <c r="JM17">
        <v>29348229.4</v>
      </c>
      <c r="JN17">
        <v>0.998535</v>
      </c>
      <c r="JO17">
        <v>2.6001</v>
      </c>
      <c r="JP17">
        <v>1.54785</v>
      </c>
      <c r="JQ17">
        <v>2.31323</v>
      </c>
      <c r="JR17">
        <v>1.64673</v>
      </c>
      <c r="JS17">
        <v>2.34863</v>
      </c>
      <c r="JT17">
        <v>32.1124</v>
      </c>
      <c r="JU17">
        <v>24.1575</v>
      </c>
      <c r="JV17">
        <v>18</v>
      </c>
      <c r="JW17">
        <v>499.966</v>
      </c>
      <c r="JX17">
        <v>409.509</v>
      </c>
      <c r="JY17">
        <v>10.687</v>
      </c>
      <c r="JZ17">
        <v>27.1359</v>
      </c>
      <c r="KA17">
        <v>29.9999</v>
      </c>
      <c r="KB17">
        <v>27.1039</v>
      </c>
      <c r="KC17">
        <v>27.0553</v>
      </c>
      <c r="KD17">
        <v>20.0175</v>
      </c>
      <c r="KE17">
        <v>31.9462</v>
      </c>
      <c r="KF17">
        <v>27.283</v>
      </c>
      <c r="KG17">
        <v>10.6818</v>
      </c>
      <c r="KH17">
        <v>420</v>
      </c>
      <c r="KI17">
        <v>8.11977</v>
      </c>
      <c r="KJ17">
        <v>96.7299</v>
      </c>
      <c r="KK17">
        <v>94.703</v>
      </c>
    </row>
    <row r="18" spans="1:297">
      <c r="A18">
        <v>2</v>
      </c>
      <c r="B18">
        <v>1760893976.1</v>
      </c>
      <c r="C18">
        <v>212</v>
      </c>
      <c r="D18" t="s">
        <v>446</v>
      </c>
      <c r="E18" t="s">
        <v>447</v>
      </c>
      <c r="F18">
        <v>5</v>
      </c>
      <c r="G18" t="s">
        <v>435</v>
      </c>
      <c r="H18" t="s">
        <v>436</v>
      </c>
      <c r="I18">
        <v>1760893968.1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423.419996994595</v>
      </c>
      <c r="AK18">
        <v>415.874448484848</v>
      </c>
      <c r="AL18">
        <v>-0.0014454690717059</v>
      </c>
      <c r="AM18">
        <v>64.8563819423597</v>
      </c>
      <c r="AN18">
        <f>(AP18 - AO18 + DY18*1E3/(8.314*(EA18+273.15)) * AR18/DX18 * AQ18) * DX18/(100*DL18) * 1000/(1000 - AP18)</f>
        <v>0</v>
      </c>
      <c r="AO18">
        <v>8.22596421705774</v>
      </c>
      <c r="AP18">
        <v>11.5426527272727</v>
      </c>
      <c r="AQ18">
        <v>-5.87645012456938e-06</v>
      </c>
      <c r="AR18">
        <v>118.626750756435</v>
      </c>
      <c r="AS18">
        <v>0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437</v>
      </c>
      <c r="AY18">
        <v>5082.33</v>
      </c>
      <c r="AZ18">
        <v>690.032</v>
      </c>
      <c r="BA18">
        <v>1612.68</v>
      </c>
      <c r="BB18">
        <f>1-AZ18/BA18</f>
        <v>0</v>
      </c>
      <c r="BC18">
        <v>-9.7270689171713</v>
      </c>
      <c r="BD18" t="s">
        <v>448</v>
      </c>
      <c r="BE18">
        <v>5160.34</v>
      </c>
      <c r="BF18">
        <v>1370.5092</v>
      </c>
      <c r="BG18">
        <v>1490.48133152305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449</v>
      </c>
      <c r="BQ18">
        <v>740.67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BZ18">
        <v>100</v>
      </c>
      <c r="CA18">
        <v>290</v>
      </c>
      <c r="CB18">
        <v>1457.5</v>
      </c>
      <c r="CC18">
        <v>185</v>
      </c>
      <c r="CD18">
        <v>5160.34</v>
      </c>
      <c r="CE18">
        <v>1456.01</v>
      </c>
      <c r="CF18">
        <v>1.49</v>
      </c>
      <c r="CG18">
        <v>300</v>
      </c>
      <c r="CH18">
        <v>23.7</v>
      </c>
      <c r="CI18">
        <v>1490.48133152305</v>
      </c>
      <c r="CJ18">
        <v>1.84760147340616</v>
      </c>
      <c r="CK18">
        <v>-17.7858722785396</v>
      </c>
      <c r="CL18">
        <v>0.85791562858484</v>
      </c>
      <c r="CM18">
        <v>0.938837228808133</v>
      </c>
      <c r="CN18">
        <v>-0.00325215461624027</v>
      </c>
      <c r="CO18">
        <v>290</v>
      </c>
      <c r="CP18">
        <v>1454.22</v>
      </c>
      <c r="CQ18">
        <v>625</v>
      </c>
      <c r="CR18">
        <v>5158.92</v>
      </c>
      <c r="CS18">
        <v>1456.01</v>
      </c>
      <c r="CT18">
        <v>-1.79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3.21</v>
      </c>
      <c r="DM18">
        <v>0.5</v>
      </c>
      <c r="DN18" t="s">
        <v>440</v>
      </c>
      <c r="DO18">
        <v>2</v>
      </c>
      <c r="DP18" t="b">
        <v>1</v>
      </c>
      <c r="DQ18">
        <v>1760893968.1</v>
      </c>
      <c r="DR18">
        <v>411.094466666667</v>
      </c>
      <c r="DS18">
        <v>419.987333333333</v>
      </c>
      <c r="DT18">
        <v>11.5483266666667</v>
      </c>
      <c r="DU18">
        <v>8.21517066666667</v>
      </c>
      <c r="DV18">
        <v>408.679866666667</v>
      </c>
      <c r="DW18">
        <v>11.5956266666667</v>
      </c>
      <c r="DX18">
        <v>499.979533333333</v>
      </c>
      <c r="DY18">
        <v>91.0898466666667</v>
      </c>
      <c r="DZ18">
        <v>0.0329888933333333</v>
      </c>
      <c r="EA18">
        <v>18.2437333333333</v>
      </c>
      <c r="EB18">
        <v>18.0135</v>
      </c>
      <c r="EC18">
        <v>999.9</v>
      </c>
      <c r="ED18">
        <v>0</v>
      </c>
      <c r="EE18">
        <v>0</v>
      </c>
      <c r="EF18">
        <v>9997.37666666667</v>
      </c>
      <c r="EG18">
        <v>0</v>
      </c>
      <c r="EH18">
        <v>1258.02533333333</v>
      </c>
      <c r="EI18">
        <v>-8.89289666666667</v>
      </c>
      <c r="EJ18">
        <v>415.897533333333</v>
      </c>
      <c r="EK18">
        <v>423.466266666667</v>
      </c>
      <c r="EL18">
        <v>3.33315933333333</v>
      </c>
      <c r="EM18">
        <v>419.987333333333</v>
      </c>
      <c r="EN18">
        <v>8.21517066666667</v>
      </c>
      <c r="EO18">
        <v>1.051936</v>
      </c>
      <c r="EP18">
        <v>0.748318866666667</v>
      </c>
      <c r="EQ18">
        <v>7.65628066666667</v>
      </c>
      <c r="ER18">
        <v>2.762958</v>
      </c>
      <c r="ES18">
        <v>1200.02933333333</v>
      </c>
      <c r="ET18">
        <v>0.9669924</v>
      </c>
      <c r="EU18">
        <v>0.0330075533333333</v>
      </c>
      <c r="EV18">
        <v>0</v>
      </c>
      <c r="EW18">
        <v>1370.56333333333</v>
      </c>
      <c r="EX18">
        <v>5.00059</v>
      </c>
      <c r="EY18">
        <v>16144.4933333333</v>
      </c>
      <c r="EZ18">
        <v>10358.9533333333</v>
      </c>
      <c r="FA18">
        <v>37.3914666666667</v>
      </c>
      <c r="FB18">
        <v>39.2748</v>
      </c>
      <c r="FC18">
        <v>37.8456</v>
      </c>
      <c r="FD18">
        <v>38.6122</v>
      </c>
      <c r="FE18">
        <v>38.2332</v>
      </c>
      <c r="FF18">
        <v>1155.58066666667</v>
      </c>
      <c r="FG18">
        <v>39.444</v>
      </c>
      <c r="FH18">
        <v>0</v>
      </c>
      <c r="FI18">
        <v>209.200000047684</v>
      </c>
      <c r="FJ18">
        <v>0</v>
      </c>
      <c r="FK18">
        <v>1370.5092</v>
      </c>
      <c r="FL18">
        <v>-3.65230768521856</v>
      </c>
      <c r="FM18">
        <v>-61.3307692484647</v>
      </c>
      <c r="FN18">
        <v>16143.28</v>
      </c>
      <c r="FO18">
        <v>15</v>
      </c>
      <c r="FP18">
        <v>0</v>
      </c>
      <c r="FQ18" t="s">
        <v>441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-8.90779380952381</v>
      </c>
      <c r="GD18">
        <v>0.276053766233751</v>
      </c>
      <c r="GE18">
        <v>0.0499600135800232</v>
      </c>
      <c r="GF18">
        <v>1</v>
      </c>
      <c r="GG18">
        <v>1370.72970588235</v>
      </c>
      <c r="GH18">
        <v>-3.85378151053685</v>
      </c>
      <c r="GI18">
        <v>0.431948290029632</v>
      </c>
      <c r="GJ18">
        <v>-1</v>
      </c>
      <c r="GK18">
        <v>3.32967142857143</v>
      </c>
      <c r="GL18">
        <v>0.0343316883116914</v>
      </c>
      <c r="GM18">
        <v>0.0137288102650054</v>
      </c>
      <c r="GN18">
        <v>1</v>
      </c>
      <c r="GO18">
        <v>2</v>
      </c>
      <c r="GP18">
        <v>2</v>
      </c>
      <c r="GQ18" t="s">
        <v>442</v>
      </c>
      <c r="GR18">
        <v>3.12925</v>
      </c>
      <c r="GS18">
        <v>2.71124</v>
      </c>
      <c r="GT18">
        <v>0.0886876</v>
      </c>
      <c r="GU18">
        <v>0.090672</v>
      </c>
      <c r="GV18">
        <v>0.060634</v>
      </c>
      <c r="GW18">
        <v>0.0466596</v>
      </c>
      <c r="GX18">
        <v>34383.1</v>
      </c>
      <c r="GY18">
        <v>36761.9</v>
      </c>
      <c r="GZ18">
        <v>34130.5</v>
      </c>
      <c r="HA18">
        <v>36598.9</v>
      </c>
      <c r="HB18">
        <v>45278.6</v>
      </c>
      <c r="HC18">
        <v>50073.1</v>
      </c>
      <c r="HD18">
        <v>53196.1</v>
      </c>
      <c r="HE18">
        <v>58433.5</v>
      </c>
      <c r="HF18">
        <v>1.96275</v>
      </c>
      <c r="HG18">
        <v>1.81935</v>
      </c>
      <c r="HH18">
        <v>-0.0286251</v>
      </c>
      <c r="HI18">
        <v>0</v>
      </c>
      <c r="HJ18">
        <v>18.4803</v>
      </c>
      <c r="HK18">
        <v>999.9</v>
      </c>
      <c r="HL18">
        <v>32.713</v>
      </c>
      <c r="HM18">
        <v>28.097</v>
      </c>
      <c r="HN18">
        <v>13.7057</v>
      </c>
      <c r="HO18">
        <v>56.1495</v>
      </c>
      <c r="HP18">
        <v>47.1675</v>
      </c>
      <c r="HQ18">
        <v>1</v>
      </c>
      <c r="HR18">
        <v>-0.00046748</v>
      </c>
      <c r="HS18">
        <v>7.09236</v>
      </c>
      <c r="HT18">
        <v>19.9958</v>
      </c>
      <c r="HU18">
        <v>5.20022</v>
      </c>
      <c r="HV18">
        <v>12.0099</v>
      </c>
      <c r="HW18">
        <v>4.97565</v>
      </c>
      <c r="HX18">
        <v>3.294</v>
      </c>
      <c r="HY18">
        <v>9999</v>
      </c>
      <c r="HZ18">
        <v>999.9</v>
      </c>
      <c r="IA18">
        <v>9999</v>
      </c>
      <c r="IB18">
        <v>9999</v>
      </c>
      <c r="IC18">
        <v>1.86319</v>
      </c>
      <c r="ID18">
        <v>1.868</v>
      </c>
      <c r="IE18">
        <v>1.86783</v>
      </c>
      <c r="IF18">
        <v>1.86899</v>
      </c>
      <c r="IG18">
        <v>1.86981</v>
      </c>
      <c r="IH18">
        <v>1.86584</v>
      </c>
      <c r="II18">
        <v>1.86691</v>
      </c>
      <c r="IJ18">
        <v>1.86831</v>
      </c>
      <c r="IK18">
        <v>5</v>
      </c>
      <c r="IL18">
        <v>0</v>
      </c>
      <c r="IM18">
        <v>0</v>
      </c>
      <c r="IN18">
        <v>0</v>
      </c>
      <c r="IO18" t="s">
        <v>443</v>
      </c>
      <c r="IP18" t="s">
        <v>444</v>
      </c>
      <c r="IQ18" t="s">
        <v>445</v>
      </c>
      <c r="IR18" t="s">
        <v>445</v>
      </c>
      <c r="IS18" t="s">
        <v>445</v>
      </c>
      <c r="IT18" t="s">
        <v>445</v>
      </c>
      <c r="IU18">
        <v>0</v>
      </c>
      <c r="IV18">
        <v>100</v>
      </c>
      <c r="IW18">
        <v>100</v>
      </c>
      <c r="IX18">
        <v>2.415</v>
      </c>
      <c r="IY18">
        <v>-0.0474</v>
      </c>
      <c r="IZ18">
        <v>0.833350075594679</v>
      </c>
      <c r="JA18">
        <v>0.00412825224050377</v>
      </c>
      <c r="JB18">
        <v>-7.34426573386615e-07</v>
      </c>
      <c r="JC18">
        <v>2.46800082545482e-10</v>
      </c>
      <c r="JD18">
        <v>-0.0848433440729365</v>
      </c>
      <c r="JE18">
        <v>-0.0240557196358944</v>
      </c>
      <c r="JF18">
        <v>0.0027855358087715</v>
      </c>
      <c r="JG18">
        <v>-3.72349365099102e-05</v>
      </c>
      <c r="JH18">
        <v>5</v>
      </c>
      <c r="JI18">
        <v>2250</v>
      </c>
      <c r="JJ18">
        <v>0</v>
      </c>
      <c r="JK18">
        <v>24</v>
      </c>
      <c r="JL18">
        <v>29348232.9</v>
      </c>
      <c r="JM18">
        <v>29348232.9</v>
      </c>
      <c r="JN18">
        <v>0.999756</v>
      </c>
      <c r="JO18">
        <v>2.60742</v>
      </c>
      <c r="JP18">
        <v>1.54785</v>
      </c>
      <c r="JQ18">
        <v>2.31201</v>
      </c>
      <c r="JR18">
        <v>1.64673</v>
      </c>
      <c r="JS18">
        <v>2.28394</v>
      </c>
      <c r="JT18">
        <v>32.2887</v>
      </c>
      <c r="JU18">
        <v>24.14</v>
      </c>
      <c r="JV18">
        <v>18</v>
      </c>
      <c r="JW18">
        <v>500.062</v>
      </c>
      <c r="JX18">
        <v>407.178</v>
      </c>
      <c r="JY18">
        <v>10.2961</v>
      </c>
      <c r="JZ18">
        <v>27.0981</v>
      </c>
      <c r="KA18">
        <v>30</v>
      </c>
      <c r="KB18">
        <v>27.0671</v>
      </c>
      <c r="KC18">
        <v>27.0192</v>
      </c>
      <c r="KD18">
        <v>20.02</v>
      </c>
      <c r="KE18">
        <v>25.8017</v>
      </c>
      <c r="KF18">
        <v>23.1654</v>
      </c>
      <c r="KG18">
        <v>10.2927</v>
      </c>
      <c r="KH18">
        <v>420</v>
      </c>
      <c r="KI18">
        <v>8.29868</v>
      </c>
      <c r="KJ18">
        <v>96.733</v>
      </c>
      <c r="KK18">
        <v>94.7122</v>
      </c>
    </row>
    <row r="19" spans="1:297">
      <c r="A19">
        <v>3</v>
      </c>
      <c r="B19">
        <v>1760894102.1</v>
      </c>
      <c r="C19">
        <v>338</v>
      </c>
      <c r="D19" t="s">
        <v>450</v>
      </c>
      <c r="E19" t="s">
        <v>451</v>
      </c>
      <c r="F19">
        <v>5</v>
      </c>
      <c r="G19" t="s">
        <v>435</v>
      </c>
      <c r="H19" t="s">
        <v>436</v>
      </c>
      <c r="I19">
        <v>1760894094.1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423.384626765411</v>
      </c>
      <c r="AK19">
        <v>415.918375757575</v>
      </c>
      <c r="AL19">
        <v>-0.000290133295435919</v>
      </c>
      <c r="AM19">
        <v>64.8563819423597</v>
      </c>
      <c r="AN19">
        <f>(AP19 - AO19 + DY19*1E3/(8.314*(EA19+273.15)) * AR19/DX19 * AQ19) * DX19/(100*DL19) * 1000/(1000 - AP19)</f>
        <v>0</v>
      </c>
      <c r="AO19">
        <v>8.07520303976101</v>
      </c>
      <c r="AP19">
        <v>11.4792927272727</v>
      </c>
      <c r="AQ19">
        <v>-0.000163464736357547</v>
      </c>
      <c r="AR19">
        <v>118.626750756435</v>
      </c>
      <c r="AS19">
        <v>0</v>
      </c>
      <c r="AT19">
        <v>0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437</v>
      </c>
      <c r="AY19">
        <v>5082.33</v>
      </c>
      <c r="AZ19">
        <v>690.032</v>
      </c>
      <c r="BA19">
        <v>1612.68</v>
      </c>
      <c r="BB19">
        <f>1-AZ19/BA19</f>
        <v>0</v>
      </c>
      <c r="BC19">
        <v>-9.7270689171713</v>
      </c>
      <c r="BD19" t="s">
        <v>452</v>
      </c>
      <c r="BE19">
        <v>5162.91</v>
      </c>
      <c r="BF19">
        <v>1364.5256</v>
      </c>
      <c r="BG19">
        <v>1486.13328819442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453</v>
      </c>
      <c r="BQ19">
        <v>747.13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BZ19">
        <v>102</v>
      </c>
      <c r="CA19">
        <v>290</v>
      </c>
      <c r="CB19">
        <v>1450.71</v>
      </c>
      <c r="CC19">
        <v>105</v>
      </c>
      <c r="CD19">
        <v>5162.91</v>
      </c>
      <c r="CE19">
        <v>1449.17</v>
      </c>
      <c r="CF19">
        <v>1.54</v>
      </c>
      <c r="CG19">
        <v>300</v>
      </c>
      <c r="CH19">
        <v>23.7</v>
      </c>
      <c r="CI19">
        <v>1486.13328819442</v>
      </c>
      <c r="CJ19">
        <v>1.39771893620055</v>
      </c>
      <c r="CK19">
        <v>-19.0836162354969</v>
      </c>
      <c r="CL19">
        <v>0.649166206076048</v>
      </c>
      <c r="CM19">
        <v>0.96861657166358</v>
      </c>
      <c r="CN19">
        <v>-0.00325290812013348</v>
      </c>
      <c r="CO19">
        <v>290</v>
      </c>
      <c r="CP19">
        <v>1446.98</v>
      </c>
      <c r="CQ19">
        <v>615</v>
      </c>
      <c r="CR19">
        <v>5160.24</v>
      </c>
      <c r="CS19">
        <v>1449.15</v>
      </c>
      <c r="CT19">
        <v>-2.17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3.21</v>
      </c>
      <c r="DM19">
        <v>0.5</v>
      </c>
      <c r="DN19" t="s">
        <v>440</v>
      </c>
      <c r="DO19">
        <v>2</v>
      </c>
      <c r="DP19" t="b">
        <v>1</v>
      </c>
      <c r="DQ19">
        <v>1760894094.1</v>
      </c>
      <c r="DR19">
        <v>411.1582</v>
      </c>
      <c r="DS19">
        <v>419.990666666667</v>
      </c>
      <c r="DT19">
        <v>11.4863533333333</v>
      </c>
      <c r="DU19">
        <v>8.11047866666667</v>
      </c>
      <c r="DV19">
        <v>408.743333333333</v>
      </c>
      <c r="DW19">
        <v>11.5351666666667</v>
      </c>
      <c r="DX19">
        <v>500.004733333333</v>
      </c>
      <c r="DY19">
        <v>91.08326</v>
      </c>
      <c r="DZ19">
        <v>0.0328678733333333</v>
      </c>
      <c r="EA19">
        <v>18.1889733333333</v>
      </c>
      <c r="EB19">
        <v>17.9884866666667</v>
      </c>
      <c r="EC19">
        <v>999.9</v>
      </c>
      <c r="ED19">
        <v>0</v>
      </c>
      <c r="EE19">
        <v>0</v>
      </c>
      <c r="EF19">
        <v>10002.8306666667</v>
      </c>
      <c r="EG19">
        <v>0</v>
      </c>
      <c r="EH19">
        <v>1258.172</v>
      </c>
      <c r="EI19">
        <v>-8.83260733333333</v>
      </c>
      <c r="EJ19">
        <v>415.9356</v>
      </c>
      <c r="EK19">
        <v>423.425</v>
      </c>
      <c r="EL19">
        <v>3.37585533333333</v>
      </c>
      <c r="EM19">
        <v>419.990666666667</v>
      </c>
      <c r="EN19">
        <v>8.11047866666667</v>
      </c>
      <c r="EO19">
        <v>1.04621333333333</v>
      </c>
      <c r="EP19">
        <v>0.738728933333333</v>
      </c>
      <c r="EQ19">
        <v>7.576352</v>
      </c>
      <c r="ER19">
        <v>2.58139266666667</v>
      </c>
      <c r="ES19">
        <v>1200.002</v>
      </c>
      <c r="ET19">
        <v>0.966986</v>
      </c>
      <c r="EU19">
        <v>0.0330145</v>
      </c>
      <c r="EV19">
        <v>0</v>
      </c>
      <c r="EW19">
        <v>1364.69066666667</v>
      </c>
      <c r="EX19">
        <v>5.00059</v>
      </c>
      <c r="EY19">
        <v>16046.8933333333</v>
      </c>
      <c r="EZ19">
        <v>10358.6933333333</v>
      </c>
      <c r="FA19">
        <v>36.7164</v>
      </c>
      <c r="FB19">
        <v>38.6124</v>
      </c>
      <c r="FC19">
        <v>37.1498</v>
      </c>
      <c r="FD19">
        <v>37.937</v>
      </c>
      <c r="FE19">
        <v>37.6082</v>
      </c>
      <c r="FF19">
        <v>1155.552</v>
      </c>
      <c r="FG19">
        <v>39.45</v>
      </c>
      <c r="FH19">
        <v>0</v>
      </c>
      <c r="FI19">
        <v>122.799999952316</v>
      </c>
      <c r="FJ19">
        <v>0</v>
      </c>
      <c r="FK19">
        <v>1364.5256</v>
      </c>
      <c r="FL19">
        <v>-8.14923077240867</v>
      </c>
      <c r="FM19">
        <v>-102.361538465204</v>
      </c>
      <c r="FN19">
        <v>16045.128</v>
      </c>
      <c r="FO19">
        <v>15</v>
      </c>
      <c r="FP19">
        <v>0</v>
      </c>
      <c r="FQ19" t="s">
        <v>441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-8.82883285714286</v>
      </c>
      <c r="GD19">
        <v>-0.00461688311689326</v>
      </c>
      <c r="GE19">
        <v>0.0317061111944501</v>
      </c>
      <c r="GF19">
        <v>1</v>
      </c>
      <c r="GG19">
        <v>1365.06</v>
      </c>
      <c r="GH19">
        <v>-7.89854851514429</v>
      </c>
      <c r="GI19">
        <v>0.81370973289729</v>
      </c>
      <c r="GJ19">
        <v>-1</v>
      </c>
      <c r="GK19">
        <v>3.37168714285714</v>
      </c>
      <c r="GL19">
        <v>0.137969610389611</v>
      </c>
      <c r="GM19">
        <v>0.0182844118211732</v>
      </c>
      <c r="GN19">
        <v>0</v>
      </c>
      <c r="GO19">
        <v>1</v>
      </c>
      <c r="GP19">
        <v>2</v>
      </c>
      <c r="GQ19" t="s">
        <v>454</v>
      </c>
      <c r="GR19">
        <v>3.1293</v>
      </c>
      <c r="GS19">
        <v>2.71079</v>
      </c>
      <c r="GT19">
        <v>0.0886925</v>
      </c>
      <c r="GU19">
        <v>0.0906829</v>
      </c>
      <c r="GV19">
        <v>0.0603633</v>
      </c>
      <c r="GW19">
        <v>0.0458943</v>
      </c>
      <c r="GX19">
        <v>34382.9</v>
      </c>
      <c r="GY19">
        <v>36762.5</v>
      </c>
      <c r="GZ19">
        <v>34130.4</v>
      </c>
      <c r="HA19">
        <v>36599.9</v>
      </c>
      <c r="HB19">
        <v>45291.8</v>
      </c>
      <c r="HC19">
        <v>50114.9</v>
      </c>
      <c r="HD19">
        <v>53196</v>
      </c>
      <c r="HE19">
        <v>58434.8</v>
      </c>
      <c r="HF19">
        <v>1.96305</v>
      </c>
      <c r="HG19">
        <v>1.81953</v>
      </c>
      <c r="HH19">
        <v>-0.0286773</v>
      </c>
      <c r="HI19">
        <v>0</v>
      </c>
      <c r="HJ19">
        <v>18.4649</v>
      </c>
      <c r="HK19">
        <v>999.9</v>
      </c>
      <c r="HL19">
        <v>31.644</v>
      </c>
      <c r="HM19">
        <v>28.228</v>
      </c>
      <c r="HN19">
        <v>13.3585</v>
      </c>
      <c r="HO19">
        <v>56.1796</v>
      </c>
      <c r="HP19">
        <v>47.4038</v>
      </c>
      <c r="HQ19">
        <v>1</v>
      </c>
      <c r="HR19">
        <v>-0.00267276</v>
      </c>
      <c r="HS19">
        <v>6.7257</v>
      </c>
      <c r="HT19">
        <v>20.0108</v>
      </c>
      <c r="HU19">
        <v>5.19977</v>
      </c>
      <c r="HV19">
        <v>12.0099</v>
      </c>
      <c r="HW19">
        <v>4.9758</v>
      </c>
      <c r="HX19">
        <v>3.29395</v>
      </c>
      <c r="HY19">
        <v>9999</v>
      </c>
      <c r="HZ19">
        <v>999.9</v>
      </c>
      <c r="IA19">
        <v>9999</v>
      </c>
      <c r="IB19">
        <v>9999</v>
      </c>
      <c r="IC19">
        <v>1.86318</v>
      </c>
      <c r="ID19">
        <v>1.86801</v>
      </c>
      <c r="IE19">
        <v>1.86781</v>
      </c>
      <c r="IF19">
        <v>1.86903</v>
      </c>
      <c r="IG19">
        <v>1.86981</v>
      </c>
      <c r="IH19">
        <v>1.86584</v>
      </c>
      <c r="II19">
        <v>1.86691</v>
      </c>
      <c r="IJ19">
        <v>1.86839</v>
      </c>
      <c r="IK19">
        <v>5</v>
      </c>
      <c r="IL19">
        <v>0</v>
      </c>
      <c r="IM19">
        <v>0</v>
      </c>
      <c r="IN19">
        <v>0</v>
      </c>
      <c r="IO19" t="s">
        <v>443</v>
      </c>
      <c r="IP19" t="s">
        <v>444</v>
      </c>
      <c r="IQ19" t="s">
        <v>445</v>
      </c>
      <c r="IR19" t="s">
        <v>445</v>
      </c>
      <c r="IS19" t="s">
        <v>445</v>
      </c>
      <c r="IT19" t="s">
        <v>445</v>
      </c>
      <c r="IU19">
        <v>0</v>
      </c>
      <c r="IV19">
        <v>100</v>
      </c>
      <c r="IW19">
        <v>100</v>
      </c>
      <c r="IX19">
        <v>2.414</v>
      </c>
      <c r="IY19">
        <v>-0.0491</v>
      </c>
      <c r="IZ19">
        <v>0.833350075594679</v>
      </c>
      <c r="JA19">
        <v>0.00412825224050377</v>
      </c>
      <c r="JB19">
        <v>-7.34426573386615e-07</v>
      </c>
      <c r="JC19">
        <v>2.46800082545482e-10</v>
      </c>
      <c r="JD19">
        <v>-0.0848433440729365</v>
      </c>
      <c r="JE19">
        <v>-0.0240557196358944</v>
      </c>
      <c r="JF19">
        <v>0.0027855358087715</v>
      </c>
      <c r="JG19">
        <v>-3.72349365099102e-05</v>
      </c>
      <c r="JH19">
        <v>5</v>
      </c>
      <c r="JI19">
        <v>2250</v>
      </c>
      <c r="JJ19">
        <v>0</v>
      </c>
      <c r="JK19">
        <v>24</v>
      </c>
      <c r="JL19">
        <v>29348235</v>
      </c>
      <c r="JM19">
        <v>29348235</v>
      </c>
      <c r="JN19">
        <v>0.998535</v>
      </c>
      <c r="JO19">
        <v>2.60742</v>
      </c>
      <c r="JP19">
        <v>1.54785</v>
      </c>
      <c r="JQ19">
        <v>2.31201</v>
      </c>
      <c r="JR19">
        <v>1.64551</v>
      </c>
      <c r="JS19">
        <v>2.36938</v>
      </c>
      <c r="JT19">
        <v>32.3991</v>
      </c>
      <c r="JU19">
        <v>24.1575</v>
      </c>
      <c r="JV19">
        <v>18</v>
      </c>
      <c r="JW19">
        <v>500.159</v>
      </c>
      <c r="JX19">
        <v>407.194</v>
      </c>
      <c r="JY19">
        <v>10.5002</v>
      </c>
      <c r="JZ19">
        <v>27.0894</v>
      </c>
      <c r="KA19">
        <v>30.0002</v>
      </c>
      <c r="KB19">
        <v>27.0562</v>
      </c>
      <c r="KC19">
        <v>27.0079</v>
      </c>
      <c r="KD19">
        <v>20.0196</v>
      </c>
      <c r="KE19">
        <v>24.6021</v>
      </c>
      <c r="KF19">
        <v>20.9118</v>
      </c>
      <c r="KG19">
        <v>10.5073</v>
      </c>
      <c r="KH19">
        <v>420</v>
      </c>
      <c r="KI19">
        <v>8.16351</v>
      </c>
      <c r="KJ19">
        <v>96.7327</v>
      </c>
      <c r="KK19">
        <v>94.7146</v>
      </c>
    </row>
    <row r="20" spans="1:297">
      <c r="A20">
        <v>4</v>
      </c>
      <c r="B20">
        <v>1760894559</v>
      </c>
      <c r="C20">
        <v>794.900000095367</v>
      </c>
      <c r="D20" t="s">
        <v>455</v>
      </c>
      <c r="E20" t="s">
        <v>456</v>
      </c>
      <c r="F20">
        <v>5</v>
      </c>
      <c r="G20" t="s">
        <v>457</v>
      </c>
      <c r="H20" t="s">
        <v>436</v>
      </c>
      <c r="I20">
        <v>1760894551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422.687865581518</v>
      </c>
      <c r="AK20">
        <v>401.502084848485</v>
      </c>
      <c r="AL20">
        <v>-0.000246261299509247</v>
      </c>
      <c r="AM20">
        <v>64.8563819423597</v>
      </c>
      <c r="AN20">
        <f>(AP20 - AO20 + DY20*1E3/(8.314*(EA20+273.15)) * AR20/DX20 * AQ20) * DX20/(100*DL20) * 1000/(1000 - AP20)</f>
        <v>0</v>
      </c>
      <c r="AO20">
        <v>6.44125990519552</v>
      </c>
      <c r="AP20">
        <v>11.6353818181818</v>
      </c>
      <c r="AQ20">
        <v>4.21629259571244e-05</v>
      </c>
      <c r="AR20">
        <v>118.626750756435</v>
      </c>
      <c r="AS20">
        <v>0</v>
      </c>
      <c r="AT20">
        <v>0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437</v>
      </c>
      <c r="AY20">
        <v>5082.33</v>
      </c>
      <c r="AZ20">
        <v>690.032</v>
      </c>
      <c r="BA20">
        <v>1612.68</v>
      </c>
      <c r="BB20">
        <f>1-AZ20/BA20</f>
        <v>0</v>
      </c>
      <c r="BC20">
        <v>-9.7270689171713</v>
      </c>
      <c r="BD20" t="s">
        <v>458</v>
      </c>
      <c r="BE20">
        <v>5158.41</v>
      </c>
      <c r="BF20">
        <v>1361.02769230769</v>
      </c>
      <c r="BG20">
        <v>1675.27335420915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459</v>
      </c>
      <c r="BQ20">
        <v>738.67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BZ20">
        <v>104</v>
      </c>
      <c r="CA20">
        <v>290</v>
      </c>
      <c r="CB20">
        <v>1587.28</v>
      </c>
      <c r="CC20">
        <v>135</v>
      </c>
      <c r="CD20">
        <v>5158.41</v>
      </c>
      <c r="CE20">
        <v>1587.09</v>
      </c>
      <c r="CF20">
        <v>0.19</v>
      </c>
      <c r="CG20">
        <v>300</v>
      </c>
      <c r="CH20">
        <v>23.7</v>
      </c>
      <c r="CI20">
        <v>1675.27335420915</v>
      </c>
      <c r="CJ20">
        <v>1.65026039876704</v>
      </c>
      <c r="CK20">
        <v>-45.4868641274794</v>
      </c>
      <c r="CL20">
        <v>0.765862920012897</v>
      </c>
      <c r="CM20">
        <v>0.992124928873236</v>
      </c>
      <c r="CN20">
        <v>-0.00325064582869855</v>
      </c>
      <c r="CO20">
        <v>290</v>
      </c>
      <c r="CP20">
        <v>1584.97</v>
      </c>
      <c r="CQ20">
        <v>715</v>
      </c>
      <c r="CR20">
        <v>5155.45</v>
      </c>
      <c r="CS20">
        <v>1587.04</v>
      </c>
      <c r="CT20">
        <v>-2.07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3.21</v>
      </c>
      <c r="DM20">
        <v>0.5</v>
      </c>
      <c r="DN20" t="s">
        <v>440</v>
      </c>
      <c r="DO20">
        <v>2</v>
      </c>
      <c r="DP20" t="b">
        <v>1</v>
      </c>
      <c r="DQ20">
        <v>1760894551</v>
      </c>
      <c r="DR20">
        <v>396.830066666667</v>
      </c>
      <c r="DS20">
        <v>419.992266666667</v>
      </c>
      <c r="DT20">
        <v>11.6283533333333</v>
      </c>
      <c r="DU20">
        <v>6.416104</v>
      </c>
      <c r="DV20">
        <v>394.467666666667</v>
      </c>
      <c r="DW20">
        <v>11.6736666666667</v>
      </c>
      <c r="DX20">
        <v>499.994066666667</v>
      </c>
      <c r="DY20">
        <v>91.08074</v>
      </c>
      <c r="DZ20">
        <v>0.0336322666666667</v>
      </c>
      <c r="EA20">
        <v>18.45268</v>
      </c>
      <c r="EB20">
        <v>18.02326</v>
      </c>
      <c r="EC20">
        <v>999.9</v>
      </c>
      <c r="ED20">
        <v>0</v>
      </c>
      <c r="EE20">
        <v>0</v>
      </c>
      <c r="EF20">
        <v>9997.79</v>
      </c>
      <c r="EG20">
        <v>0</v>
      </c>
      <c r="EH20">
        <v>1266.05133333333</v>
      </c>
      <c r="EI20">
        <v>-23.1619533333333</v>
      </c>
      <c r="EJ20">
        <v>401.499</v>
      </c>
      <c r="EK20">
        <v>422.704266666667</v>
      </c>
      <c r="EL20">
        <v>5.21225866666667</v>
      </c>
      <c r="EM20">
        <v>419.992266666667</v>
      </c>
      <c r="EN20">
        <v>6.416104</v>
      </c>
      <c r="EO20">
        <v>1.05912066666667</v>
      </c>
      <c r="EP20">
        <v>0.584383666666667</v>
      </c>
      <c r="EQ20">
        <v>7.75608266666667</v>
      </c>
      <c r="ER20">
        <v>-0.670998266666667</v>
      </c>
      <c r="ES20">
        <v>1200.01</v>
      </c>
      <c r="ET20">
        <v>0.9669918</v>
      </c>
      <c r="EU20">
        <v>0.0330078</v>
      </c>
      <c r="EV20">
        <v>0</v>
      </c>
      <c r="EW20">
        <v>1361.13733333333</v>
      </c>
      <c r="EX20">
        <v>5.00059</v>
      </c>
      <c r="EY20">
        <v>16051.56</v>
      </c>
      <c r="EZ20">
        <v>10358.76</v>
      </c>
      <c r="FA20">
        <v>38.0956</v>
      </c>
      <c r="FB20">
        <v>40.2497333333333</v>
      </c>
      <c r="FC20">
        <v>38.5538666666667</v>
      </c>
      <c r="FD20">
        <v>39.8956</v>
      </c>
      <c r="FE20">
        <v>38.9664</v>
      </c>
      <c r="FF20">
        <v>1155.566</v>
      </c>
      <c r="FG20">
        <v>39.444</v>
      </c>
      <c r="FH20">
        <v>0</v>
      </c>
      <c r="FI20">
        <v>453.200000047684</v>
      </c>
      <c r="FJ20">
        <v>0</v>
      </c>
      <c r="FK20">
        <v>1361.02769230769</v>
      </c>
      <c r="FL20">
        <v>-20.9080341932522</v>
      </c>
      <c r="FM20">
        <v>-255.93504289589</v>
      </c>
      <c r="FN20">
        <v>16050.1884615385</v>
      </c>
      <c r="FO20">
        <v>15</v>
      </c>
      <c r="FP20">
        <v>0</v>
      </c>
      <c r="FQ20" t="s">
        <v>441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-23.1653857142857</v>
      </c>
      <c r="GD20">
        <v>0.0871792207792129</v>
      </c>
      <c r="GE20">
        <v>0.0427525803812086</v>
      </c>
      <c r="GF20">
        <v>1</v>
      </c>
      <c r="GG20">
        <v>1362.05117647059</v>
      </c>
      <c r="GH20">
        <v>-20.5946524135296</v>
      </c>
      <c r="GI20">
        <v>2.02980840113758</v>
      </c>
      <c r="GJ20">
        <v>-1</v>
      </c>
      <c r="GK20">
        <v>5.21950523809524</v>
      </c>
      <c r="GL20">
        <v>-0.180045974025973</v>
      </c>
      <c r="GM20">
        <v>0.0205257665291696</v>
      </c>
      <c r="GN20">
        <v>0</v>
      </c>
      <c r="GO20">
        <v>1</v>
      </c>
      <c r="GP20">
        <v>2</v>
      </c>
      <c r="GQ20" t="s">
        <v>454</v>
      </c>
      <c r="GR20">
        <v>3.1289</v>
      </c>
      <c r="GS20">
        <v>2.71171</v>
      </c>
      <c r="GT20">
        <v>0.0862725</v>
      </c>
      <c r="GU20">
        <v>0.090634</v>
      </c>
      <c r="GV20">
        <v>0.0609838</v>
      </c>
      <c r="GW20">
        <v>0.0381109</v>
      </c>
      <c r="GX20">
        <v>34462.8</v>
      </c>
      <c r="GY20">
        <v>36750</v>
      </c>
      <c r="GZ20">
        <v>34119.9</v>
      </c>
      <c r="HA20">
        <v>36586.5</v>
      </c>
      <c r="HB20">
        <v>45249.4</v>
      </c>
      <c r="HC20">
        <v>50510.3</v>
      </c>
      <c r="HD20">
        <v>53182.4</v>
      </c>
      <c r="HE20">
        <v>58416.3</v>
      </c>
      <c r="HF20">
        <v>1.97</v>
      </c>
      <c r="HG20">
        <v>1.80935</v>
      </c>
      <c r="HH20">
        <v>-0.0551417</v>
      </c>
      <c r="HI20">
        <v>0</v>
      </c>
      <c r="HJ20">
        <v>18.9255</v>
      </c>
      <c r="HK20">
        <v>999.9</v>
      </c>
      <c r="HL20">
        <v>27.512</v>
      </c>
      <c r="HM20">
        <v>28.611</v>
      </c>
      <c r="HN20">
        <v>11.8762</v>
      </c>
      <c r="HO20">
        <v>56.0497</v>
      </c>
      <c r="HP20">
        <v>47.3037</v>
      </c>
      <c r="HQ20">
        <v>1</v>
      </c>
      <c r="HR20">
        <v>0.0147459</v>
      </c>
      <c r="HS20">
        <v>7.61947</v>
      </c>
      <c r="HT20">
        <v>19.9745</v>
      </c>
      <c r="HU20">
        <v>5.20037</v>
      </c>
      <c r="HV20">
        <v>12.0099</v>
      </c>
      <c r="HW20">
        <v>4.97575</v>
      </c>
      <c r="HX20">
        <v>3.294</v>
      </c>
      <c r="HY20">
        <v>9999</v>
      </c>
      <c r="HZ20">
        <v>999.9</v>
      </c>
      <c r="IA20">
        <v>9999</v>
      </c>
      <c r="IB20">
        <v>9999</v>
      </c>
      <c r="IC20">
        <v>1.86315</v>
      </c>
      <c r="ID20">
        <v>1.868</v>
      </c>
      <c r="IE20">
        <v>1.86782</v>
      </c>
      <c r="IF20">
        <v>1.86904</v>
      </c>
      <c r="IG20">
        <v>1.86981</v>
      </c>
      <c r="IH20">
        <v>1.86584</v>
      </c>
      <c r="II20">
        <v>1.86693</v>
      </c>
      <c r="IJ20">
        <v>1.86833</v>
      </c>
      <c r="IK20">
        <v>5</v>
      </c>
      <c r="IL20">
        <v>0</v>
      </c>
      <c r="IM20">
        <v>0</v>
      </c>
      <c r="IN20">
        <v>0</v>
      </c>
      <c r="IO20" t="s">
        <v>443</v>
      </c>
      <c r="IP20" t="s">
        <v>444</v>
      </c>
      <c r="IQ20" t="s">
        <v>445</v>
      </c>
      <c r="IR20" t="s">
        <v>445</v>
      </c>
      <c r="IS20" t="s">
        <v>445</v>
      </c>
      <c r="IT20" t="s">
        <v>445</v>
      </c>
      <c r="IU20">
        <v>0</v>
      </c>
      <c r="IV20">
        <v>100</v>
      </c>
      <c r="IW20">
        <v>100</v>
      </c>
      <c r="IX20">
        <v>2.362</v>
      </c>
      <c r="IY20">
        <v>-0.0451</v>
      </c>
      <c r="IZ20">
        <v>0.833350075594679</v>
      </c>
      <c r="JA20">
        <v>0.00412825224050377</v>
      </c>
      <c r="JB20">
        <v>-7.34426573386615e-07</v>
      </c>
      <c r="JC20">
        <v>2.46800082545482e-10</v>
      </c>
      <c r="JD20">
        <v>-0.0848433440729365</v>
      </c>
      <c r="JE20">
        <v>-0.0240557196358944</v>
      </c>
      <c r="JF20">
        <v>0.0027855358087715</v>
      </c>
      <c r="JG20">
        <v>-3.72349365099102e-05</v>
      </c>
      <c r="JH20">
        <v>5</v>
      </c>
      <c r="JI20">
        <v>2250</v>
      </c>
      <c r="JJ20">
        <v>0</v>
      </c>
      <c r="JK20">
        <v>24</v>
      </c>
      <c r="JL20">
        <v>29348242.6</v>
      </c>
      <c r="JM20">
        <v>29348242.6</v>
      </c>
      <c r="JN20">
        <v>0.998535</v>
      </c>
      <c r="JO20">
        <v>2.6062</v>
      </c>
      <c r="JP20">
        <v>1.54785</v>
      </c>
      <c r="JQ20">
        <v>2.31201</v>
      </c>
      <c r="JR20">
        <v>1.64673</v>
      </c>
      <c r="JS20">
        <v>2.38403</v>
      </c>
      <c r="JT20">
        <v>32.5982</v>
      </c>
      <c r="JU20">
        <v>24.14</v>
      </c>
      <c r="JV20">
        <v>18</v>
      </c>
      <c r="JW20">
        <v>505.84</v>
      </c>
      <c r="JX20">
        <v>402.493</v>
      </c>
      <c r="JY20">
        <v>10.1938</v>
      </c>
      <c r="JZ20">
        <v>27.2469</v>
      </c>
      <c r="KA20">
        <v>30</v>
      </c>
      <c r="KB20">
        <v>27.1824</v>
      </c>
      <c r="KC20">
        <v>27.1331</v>
      </c>
      <c r="KD20">
        <v>20.0077</v>
      </c>
      <c r="KE20">
        <v>28.497</v>
      </c>
      <c r="KF20">
        <v>11.5268</v>
      </c>
      <c r="KG20">
        <v>10.2101</v>
      </c>
      <c r="KH20">
        <v>420</v>
      </c>
      <c r="KI20">
        <v>6.49145</v>
      </c>
      <c r="KJ20">
        <v>96.706</v>
      </c>
      <c r="KK20">
        <v>94.6828</v>
      </c>
    </row>
    <row r="21" spans="1:297">
      <c r="A21">
        <v>5</v>
      </c>
      <c r="B21">
        <v>1760894649</v>
      </c>
      <c r="C21">
        <v>884.900000095367</v>
      </c>
      <c r="D21" t="s">
        <v>460</v>
      </c>
      <c r="E21" t="s">
        <v>461</v>
      </c>
      <c r="F21">
        <v>5</v>
      </c>
      <c r="G21" t="s">
        <v>457</v>
      </c>
      <c r="H21" t="s">
        <v>436</v>
      </c>
      <c r="I21">
        <v>1760894641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422.687463591326</v>
      </c>
      <c r="AK21">
        <v>401.63</v>
      </c>
      <c r="AL21">
        <v>-0.00333531115148986</v>
      </c>
      <c r="AM21">
        <v>64.8563819423597</v>
      </c>
      <c r="AN21">
        <f>(AP21 - AO21 + DY21*1E3/(8.314*(EA21+273.15)) * AR21/DX21 * AQ21) * DX21/(100*DL21) * 1000/(1000 - AP21)</f>
        <v>0</v>
      </c>
      <c r="AO21">
        <v>6.42019953753084</v>
      </c>
      <c r="AP21">
        <v>11.7020236363636</v>
      </c>
      <c r="AQ21">
        <v>0.00020514049009868</v>
      </c>
      <c r="AR21">
        <v>118.626750756435</v>
      </c>
      <c r="AS21">
        <v>0</v>
      </c>
      <c r="AT21">
        <v>0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462</v>
      </c>
      <c r="AY21" t="s">
        <v>462</v>
      </c>
      <c r="AZ21">
        <v>0</v>
      </c>
      <c r="BA21">
        <v>0</v>
      </c>
      <c r="BB21">
        <f>1-AZ21/BA21</f>
        <v>0</v>
      </c>
      <c r="BC21">
        <v>0</v>
      </c>
      <c r="BD21" t="s">
        <v>462</v>
      </c>
      <c r="BE21" t="s">
        <v>462</v>
      </c>
      <c r="BF21">
        <v>0</v>
      </c>
      <c r="BG21">
        <v>0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462</v>
      </c>
      <c r="BQ21">
        <v>0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BZ21">
        <v>104</v>
      </c>
      <c r="CA21">
        <v>290</v>
      </c>
      <c r="CB21">
        <v>1587.28</v>
      </c>
      <c r="CC21">
        <v>135</v>
      </c>
      <c r="CD21">
        <v>5158.41</v>
      </c>
      <c r="CE21">
        <v>1587.09</v>
      </c>
      <c r="CF21">
        <v>0.19</v>
      </c>
      <c r="CG21">
        <v>300</v>
      </c>
      <c r="CH21">
        <v>23.7</v>
      </c>
      <c r="CI21">
        <v>1675.27335420915</v>
      </c>
      <c r="CJ21">
        <v>1.65026039876704</v>
      </c>
      <c r="CK21">
        <v>-45.4868641274794</v>
      </c>
      <c r="CL21">
        <v>0.765862920012897</v>
      </c>
      <c r="CM21">
        <v>0.992124928873236</v>
      </c>
      <c r="CN21">
        <v>-0.00325064582869855</v>
      </c>
      <c r="CO21">
        <v>290</v>
      </c>
      <c r="CP21">
        <v>1584.97</v>
      </c>
      <c r="CQ21">
        <v>715</v>
      </c>
      <c r="CR21">
        <v>5155.45</v>
      </c>
      <c r="CS21">
        <v>1587.04</v>
      </c>
      <c r="CT21">
        <v>-2.07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3.21</v>
      </c>
      <c r="DM21">
        <v>0.5</v>
      </c>
      <c r="DN21" t="s">
        <v>440</v>
      </c>
      <c r="DO21">
        <v>2</v>
      </c>
      <c r="DP21" t="b">
        <v>1</v>
      </c>
      <c r="DQ21">
        <v>1760894641</v>
      </c>
      <c r="DR21">
        <v>396.969</v>
      </c>
      <c r="DS21">
        <v>419.997533333333</v>
      </c>
      <c r="DT21">
        <v>11.6911066666667</v>
      </c>
      <c r="DU21">
        <v>6.41526733333333</v>
      </c>
      <c r="DV21">
        <v>394.605933333333</v>
      </c>
      <c r="DW21">
        <v>11.73482</v>
      </c>
      <c r="DX21">
        <v>499.9534</v>
      </c>
      <c r="DY21">
        <v>91.0775666666667</v>
      </c>
      <c r="DZ21">
        <v>0.0335870266666667</v>
      </c>
      <c r="EA21">
        <v>18.4068066666667</v>
      </c>
      <c r="EB21">
        <v>17.9751066666667</v>
      </c>
      <c r="EC21">
        <v>999.9</v>
      </c>
      <c r="ED21">
        <v>0</v>
      </c>
      <c r="EE21">
        <v>0</v>
      </c>
      <c r="EF21">
        <v>10002.416</v>
      </c>
      <c r="EG21">
        <v>0</v>
      </c>
      <c r="EH21">
        <v>1266.03533333333</v>
      </c>
      <c r="EI21">
        <v>-23.02842</v>
      </c>
      <c r="EJ21">
        <v>401.665</v>
      </c>
      <c r="EK21">
        <v>422.7092</v>
      </c>
      <c r="EL21">
        <v>5.275844</v>
      </c>
      <c r="EM21">
        <v>419.997533333333</v>
      </c>
      <c r="EN21">
        <v>6.41526733333333</v>
      </c>
      <c r="EO21">
        <v>1.06479666666667</v>
      </c>
      <c r="EP21">
        <v>0.584286933333333</v>
      </c>
      <c r="EQ21">
        <v>7.83453333333333</v>
      </c>
      <c r="ER21">
        <v>-0.6732084</v>
      </c>
      <c r="ES21">
        <v>1199.98</v>
      </c>
      <c r="ET21">
        <v>0.967005666666667</v>
      </c>
      <c r="EU21">
        <v>0.0329943266666667</v>
      </c>
      <c r="EV21">
        <v>0</v>
      </c>
      <c r="EW21">
        <v>1344.77666666667</v>
      </c>
      <c r="EX21">
        <v>5.00059</v>
      </c>
      <c r="EY21">
        <v>15842.7866666667</v>
      </c>
      <c r="EZ21">
        <v>10358.56</v>
      </c>
      <c r="FA21">
        <v>37.5704666666667</v>
      </c>
      <c r="FB21">
        <v>39.4288</v>
      </c>
      <c r="FC21">
        <v>38.0040666666667</v>
      </c>
      <c r="FD21">
        <v>38.8205333333333</v>
      </c>
      <c r="FE21">
        <v>38.4204666666667</v>
      </c>
      <c r="FF21">
        <v>1155.55</v>
      </c>
      <c r="FG21">
        <v>39.43</v>
      </c>
      <c r="FH21">
        <v>0</v>
      </c>
      <c r="FI21">
        <v>86.5</v>
      </c>
      <c r="FJ21">
        <v>0</v>
      </c>
      <c r="FK21">
        <v>1344.5292</v>
      </c>
      <c r="FL21">
        <v>-28.2000000333791</v>
      </c>
      <c r="FM21">
        <v>-343.300000535177</v>
      </c>
      <c r="FN21">
        <v>15839.804</v>
      </c>
      <c r="FO21">
        <v>15</v>
      </c>
      <c r="FP21">
        <v>0</v>
      </c>
      <c r="FQ21" t="s">
        <v>441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-23.0152904761905</v>
      </c>
      <c r="GD21">
        <v>-0.105779220779268</v>
      </c>
      <c r="GE21">
        <v>0.0400404189212885</v>
      </c>
      <c r="GF21">
        <v>1</v>
      </c>
      <c r="GG21">
        <v>1346.12735294118</v>
      </c>
      <c r="GH21">
        <v>-29.0803667036062</v>
      </c>
      <c r="GI21">
        <v>2.86328617133565</v>
      </c>
      <c r="GJ21">
        <v>-1</v>
      </c>
      <c r="GK21">
        <v>5.27637476190476</v>
      </c>
      <c r="GL21">
        <v>0.00843896103896715</v>
      </c>
      <c r="GM21">
        <v>0.00624806531507193</v>
      </c>
      <c r="GN21">
        <v>1</v>
      </c>
      <c r="GO21">
        <v>2</v>
      </c>
      <c r="GP21">
        <v>2</v>
      </c>
      <c r="GQ21" t="s">
        <v>442</v>
      </c>
      <c r="GR21">
        <v>3.12862</v>
      </c>
      <c r="GS21">
        <v>2.71145</v>
      </c>
      <c r="GT21">
        <v>0.0862709</v>
      </c>
      <c r="GU21">
        <v>0.090609</v>
      </c>
      <c r="GV21">
        <v>0.061244</v>
      </c>
      <c r="GW21">
        <v>0.0379975</v>
      </c>
      <c r="GX21">
        <v>34459.4</v>
      </c>
      <c r="GY21">
        <v>36746.5</v>
      </c>
      <c r="GZ21">
        <v>34116.9</v>
      </c>
      <c r="HA21">
        <v>36582.4</v>
      </c>
      <c r="HB21">
        <v>45233.2</v>
      </c>
      <c r="HC21">
        <v>50511.4</v>
      </c>
      <c r="HD21">
        <v>53178.4</v>
      </c>
      <c r="HE21">
        <v>58410.9</v>
      </c>
      <c r="HF21">
        <v>1.9688</v>
      </c>
      <c r="HG21">
        <v>1.80707</v>
      </c>
      <c r="HH21">
        <v>-0.0575185</v>
      </c>
      <c r="HI21">
        <v>0</v>
      </c>
      <c r="HJ21">
        <v>18.9097</v>
      </c>
      <c r="HK21">
        <v>999.9</v>
      </c>
      <c r="HL21">
        <v>26.914</v>
      </c>
      <c r="HM21">
        <v>28.691</v>
      </c>
      <c r="HN21">
        <v>11.6745</v>
      </c>
      <c r="HO21">
        <v>56.0197</v>
      </c>
      <c r="HP21">
        <v>47.524</v>
      </c>
      <c r="HQ21">
        <v>1</v>
      </c>
      <c r="HR21">
        <v>0.0167073</v>
      </c>
      <c r="HS21">
        <v>7.0917</v>
      </c>
      <c r="HT21">
        <v>19.9972</v>
      </c>
      <c r="HU21">
        <v>5.19932</v>
      </c>
      <c r="HV21">
        <v>12.0097</v>
      </c>
      <c r="HW21">
        <v>4.97575</v>
      </c>
      <c r="HX21">
        <v>3.29398</v>
      </c>
      <c r="HY21">
        <v>9999</v>
      </c>
      <c r="HZ21">
        <v>999.9</v>
      </c>
      <c r="IA21">
        <v>9999</v>
      </c>
      <c r="IB21">
        <v>9999</v>
      </c>
      <c r="IC21">
        <v>1.86319</v>
      </c>
      <c r="ID21">
        <v>1.86803</v>
      </c>
      <c r="IE21">
        <v>1.86781</v>
      </c>
      <c r="IF21">
        <v>1.86903</v>
      </c>
      <c r="IG21">
        <v>1.86981</v>
      </c>
      <c r="IH21">
        <v>1.86584</v>
      </c>
      <c r="II21">
        <v>1.86692</v>
      </c>
      <c r="IJ21">
        <v>1.86837</v>
      </c>
      <c r="IK21">
        <v>5</v>
      </c>
      <c r="IL21">
        <v>0</v>
      </c>
      <c r="IM21">
        <v>0</v>
      </c>
      <c r="IN21">
        <v>0</v>
      </c>
      <c r="IO21" t="s">
        <v>443</v>
      </c>
      <c r="IP21" t="s">
        <v>444</v>
      </c>
      <c r="IQ21" t="s">
        <v>445</v>
      </c>
      <c r="IR21" t="s">
        <v>445</v>
      </c>
      <c r="IS21" t="s">
        <v>445</v>
      </c>
      <c r="IT21" t="s">
        <v>445</v>
      </c>
      <c r="IU21">
        <v>0</v>
      </c>
      <c r="IV21">
        <v>100</v>
      </c>
      <c r="IW21">
        <v>100</v>
      </c>
      <c r="IX21">
        <v>2.363</v>
      </c>
      <c r="IY21">
        <v>-0.0434</v>
      </c>
      <c r="IZ21">
        <v>0.833350075594679</v>
      </c>
      <c r="JA21">
        <v>0.00412825224050377</v>
      </c>
      <c r="JB21">
        <v>-7.34426573386615e-07</v>
      </c>
      <c r="JC21">
        <v>2.46800082545482e-10</v>
      </c>
      <c r="JD21">
        <v>-0.0848433440729365</v>
      </c>
      <c r="JE21">
        <v>-0.0240557196358944</v>
      </c>
      <c r="JF21">
        <v>0.0027855358087715</v>
      </c>
      <c r="JG21">
        <v>-3.72349365099102e-05</v>
      </c>
      <c r="JH21">
        <v>5</v>
      </c>
      <c r="JI21">
        <v>2250</v>
      </c>
      <c r="JJ21">
        <v>0</v>
      </c>
      <c r="JK21">
        <v>24</v>
      </c>
      <c r="JL21">
        <v>29348244.1</v>
      </c>
      <c r="JM21">
        <v>29348244.1</v>
      </c>
      <c r="JN21">
        <v>0.998535</v>
      </c>
      <c r="JO21">
        <v>2.6123</v>
      </c>
      <c r="JP21">
        <v>1.54785</v>
      </c>
      <c r="JQ21">
        <v>2.31201</v>
      </c>
      <c r="JR21">
        <v>1.64673</v>
      </c>
      <c r="JS21">
        <v>2.32422</v>
      </c>
      <c r="JT21">
        <v>32.6426</v>
      </c>
      <c r="JU21">
        <v>24.1488</v>
      </c>
      <c r="JV21">
        <v>18</v>
      </c>
      <c r="JW21">
        <v>505.49</v>
      </c>
      <c r="JX21">
        <v>401.577</v>
      </c>
      <c r="JY21">
        <v>10.3703</v>
      </c>
      <c r="JZ21">
        <v>27.3099</v>
      </c>
      <c r="KA21">
        <v>30.0001</v>
      </c>
      <c r="KB21">
        <v>27.231</v>
      </c>
      <c r="KC21">
        <v>27.1796</v>
      </c>
      <c r="KD21">
        <v>20.0107</v>
      </c>
      <c r="KE21">
        <v>27.3813</v>
      </c>
      <c r="KF21">
        <v>10.0351</v>
      </c>
      <c r="KG21">
        <v>10.4028</v>
      </c>
      <c r="KH21">
        <v>420</v>
      </c>
      <c r="KI21">
        <v>6.46304</v>
      </c>
      <c r="KJ21">
        <v>96.6983</v>
      </c>
      <c r="KK21">
        <v>94.6733</v>
      </c>
    </row>
    <row r="22" spans="1:297">
      <c r="A22">
        <v>6</v>
      </c>
      <c r="B22">
        <v>1760894829</v>
      </c>
      <c r="C22">
        <v>1064.90000009537</v>
      </c>
      <c r="D22" t="s">
        <v>463</v>
      </c>
      <c r="E22" t="s">
        <v>464</v>
      </c>
      <c r="F22">
        <v>5</v>
      </c>
      <c r="G22" t="s">
        <v>457</v>
      </c>
      <c r="H22" t="s">
        <v>436</v>
      </c>
      <c r="I22">
        <v>1760894820.5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422.67311414682</v>
      </c>
      <c r="AK22">
        <v>401.518090909091</v>
      </c>
      <c r="AL22">
        <v>0.000354261092801824</v>
      </c>
      <c r="AM22">
        <v>64.8563819423597</v>
      </c>
      <c r="AN22">
        <f>(AP22 - AO22 + DY22*1E3/(8.314*(EA22+273.15)) * AR22/DX22 * AQ22) * DX22/(100*DL22) * 1000/(1000 - AP22)</f>
        <v>0</v>
      </c>
      <c r="AO22">
        <v>6.30751162118672</v>
      </c>
      <c r="AP22">
        <v>11.6805296969697</v>
      </c>
      <c r="AQ22">
        <v>1.73788037229828e-05</v>
      </c>
      <c r="AR22">
        <v>118.626750756435</v>
      </c>
      <c r="AS22">
        <v>0</v>
      </c>
      <c r="AT22">
        <v>0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437</v>
      </c>
      <c r="AY22">
        <v>5082.33</v>
      </c>
      <c r="AZ22">
        <v>690.032</v>
      </c>
      <c r="BA22">
        <v>1612.68</v>
      </c>
      <c r="BB22">
        <f>1-AZ22/BA22</f>
        <v>0</v>
      </c>
      <c r="BC22">
        <v>-9.7270689171713</v>
      </c>
      <c r="BD22" t="s">
        <v>465</v>
      </c>
      <c r="BE22">
        <v>5158.86</v>
      </c>
      <c r="BF22">
        <v>1297.7388</v>
      </c>
      <c r="BG22">
        <v>1596.45529950413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466</v>
      </c>
      <c r="BQ22">
        <v>725.47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BZ22">
        <v>106</v>
      </c>
      <c r="CA22">
        <v>290</v>
      </c>
      <c r="CB22">
        <v>1511.58</v>
      </c>
      <c r="CC22">
        <v>265</v>
      </c>
      <c r="CD22">
        <v>5158.86</v>
      </c>
      <c r="CE22">
        <v>1511.26</v>
      </c>
      <c r="CF22">
        <v>0.32</v>
      </c>
      <c r="CG22">
        <v>300</v>
      </c>
      <c r="CH22">
        <v>23.7</v>
      </c>
      <c r="CI22">
        <v>1596.45529950413</v>
      </c>
      <c r="CJ22">
        <v>1.89054874838834</v>
      </c>
      <c r="CK22">
        <v>-43.9512727076579</v>
      </c>
      <c r="CL22">
        <v>0.877754276718151</v>
      </c>
      <c r="CM22">
        <v>0.988955708262022</v>
      </c>
      <c r="CN22">
        <v>-0.00325190300333704</v>
      </c>
      <c r="CO22">
        <v>290</v>
      </c>
      <c r="CP22">
        <v>1509.16</v>
      </c>
      <c r="CQ22">
        <v>675</v>
      </c>
      <c r="CR22">
        <v>5157.93</v>
      </c>
      <c r="CS22">
        <v>1511.24</v>
      </c>
      <c r="CT22">
        <v>-2.08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3.21</v>
      </c>
      <c r="DM22">
        <v>0.5</v>
      </c>
      <c r="DN22" t="s">
        <v>440</v>
      </c>
      <c r="DO22">
        <v>2</v>
      </c>
      <c r="DP22" t="b">
        <v>1</v>
      </c>
      <c r="DQ22">
        <v>1760894820.5</v>
      </c>
      <c r="DR22">
        <v>396.82025</v>
      </c>
      <c r="DS22">
        <v>420.00475</v>
      </c>
      <c r="DT22">
        <v>11.67885625</v>
      </c>
      <c r="DU22">
        <v>6.30595125</v>
      </c>
      <c r="DV22">
        <v>394.457625</v>
      </c>
      <c r="DW22">
        <v>11.72288125</v>
      </c>
      <c r="DX22">
        <v>500.01075</v>
      </c>
      <c r="DY22">
        <v>91.08070625</v>
      </c>
      <c r="DZ22">
        <v>0.03417015</v>
      </c>
      <c r="EA22">
        <v>18.3448</v>
      </c>
      <c r="EB22">
        <v>17.96245</v>
      </c>
      <c r="EC22">
        <v>999.9</v>
      </c>
      <c r="ED22">
        <v>0</v>
      </c>
      <c r="EE22">
        <v>0</v>
      </c>
      <c r="EF22">
        <v>9996.473125</v>
      </c>
      <c r="EG22">
        <v>0</v>
      </c>
      <c r="EH22">
        <v>1265.99875</v>
      </c>
      <c r="EI22">
        <v>-23.18440625</v>
      </c>
      <c r="EJ22">
        <v>401.5095625</v>
      </c>
      <c r="EK22">
        <v>422.67</v>
      </c>
      <c r="EL22">
        <v>5.3729025</v>
      </c>
      <c r="EM22">
        <v>420.00475</v>
      </c>
      <c r="EN22">
        <v>6.30595125</v>
      </c>
      <c r="EO22">
        <v>1.0637175</v>
      </c>
      <c r="EP22">
        <v>0.5743505</v>
      </c>
      <c r="EQ22">
        <v>7.819645625</v>
      </c>
      <c r="ER22">
        <v>-0.9078099375</v>
      </c>
      <c r="ES22">
        <v>1200.015625</v>
      </c>
      <c r="ET22">
        <v>0.966999625</v>
      </c>
      <c r="EU22">
        <v>0.03300045</v>
      </c>
      <c r="EV22">
        <v>0</v>
      </c>
      <c r="EW22">
        <v>1297.8875</v>
      </c>
      <c r="EX22">
        <v>5.00059</v>
      </c>
      <c r="EY22">
        <v>15268.50625</v>
      </c>
      <c r="EZ22">
        <v>10358.85625</v>
      </c>
      <c r="FA22">
        <v>36.761625</v>
      </c>
      <c r="FB22">
        <v>38.675375</v>
      </c>
      <c r="FC22">
        <v>37.2066875</v>
      </c>
      <c r="FD22">
        <v>38.050375</v>
      </c>
      <c r="FE22">
        <v>37.6715</v>
      </c>
      <c r="FF22">
        <v>1155.575625</v>
      </c>
      <c r="FG22">
        <v>39.44</v>
      </c>
      <c r="FH22">
        <v>0</v>
      </c>
      <c r="FI22">
        <v>266.5</v>
      </c>
      <c r="FJ22">
        <v>0</v>
      </c>
      <c r="FK22">
        <v>1297.7388</v>
      </c>
      <c r="FL22">
        <v>-11.1846154007082</v>
      </c>
      <c r="FM22">
        <v>-127.392307954535</v>
      </c>
      <c r="FN22">
        <v>15266.148</v>
      </c>
      <c r="FO22">
        <v>15</v>
      </c>
      <c r="FP22">
        <v>0</v>
      </c>
      <c r="FQ22" t="s">
        <v>441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-23.185635</v>
      </c>
      <c r="GD22">
        <v>-0.131273684210524</v>
      </c>
      <c r="GE22">
        <v>0.0378656080764591</v>
      </c>
      <c r="GF22">
        <v>1</v>
      </c>
      <c r="GG22">
        <v>1298.44911764706</v>
      </c>
      <c r="GH22">
        <v>-9.75019098484695</v>
      </c>
      <c r="GI22">
        <v>0.978790873677541</v>
      </c>
      <c r="GJ22">
        <v>-1</v>
      </c>
      <c r="GK22">
        <v>5.3741135</v>
      </c>
      <c r="GL22">
        <v>-0.0147351879699258</v>
      </c>
      <c r="GM22">
        <v>0.00213751789466184</v>
      </c>
      <c r="GN22">
        <v>1</v>
      </c>
      <c r="GO22">
        <v>2</v>
      </c>
      <c r="GP22">
        <v>2</v>
      </c>
      <c r="GQ22" t="s">
        <v>442</v>
      </c>
      <c r="GR22">
        <v>3.12875</v>
      </c>
      <c r="GS22">
        <v>2.712</v>
      </c>
      <c r="GT22">
        <v>0.0862371</v>
      </c>
      <c r="GU22">
        <v>0.0905938</v>
      </c>
      <c r="GV22">
        <v>0.0611408</v>
      </c>
      <c r="GW22">
        <v>0.0374369</v>
      </c>
      <c r="GX22">
        <v>34456.2</v>
      </c>
      <c r="GY22">
        <v>36742.2</v>
      </c>
      <c r="GZ22">
        <v>34112.9</v>
      </c>
      <c r="HA22">
        <v>36577.9</v>
      </c>
      <c r="HB22">
        <v>45234.3</v>
      </c>
      <c r="HC22">
        <v>50535.4</v>
      </c>
      <c r="HD22">
        <v>53173.9</v>
      </c>
      <c r="HE22">
        <v>58404.8</v>
      </c>
      <c r="HF22">
        <v>1.96802</v>
      </c>
      <c r="HG22">
        <v>1.80658</v>
      </c>
      <c r="HH22">
        <v>-0.051409</v>
      </c>
      <c r="HI22">
        <v>0</v>
      </c>
      <c r="HJ22">
        <v>18.8383</v>
      </c>
      <c r="HK22">
        <v>999.9</v>
      </c>
      <c r="HL22">
        <v>25.833</v>
      </c>
      <c r="HM22">
        <v>28.822</v>
      </c>
      <c r="HN22">
        <v>11.2894</v>
      </c>
      <c r="HO22">
        <v>56.0798</v>
      </c>
      <c r="HP22">
        <v>47.3958</v>
      </c>
      <c r="HQ22">
        <v>1</v>
      </c>
      <c r="HR22">
        <v>0.0201474</v>
      </c>
      <c r="HS22">
        <v>6.60667</v>
      </c>
      <c r="HT22">
        <v>20.0162</v>
      </c>
      <c r="HU22">
        <v>5.19962</v>
      </c>
      <c r="HV22">
        <v>12.0099</v>
      </c>
      <c r="HW22">
        <v>4.9757</v>
      </c>
      <c r="HX22">
        <v>3.294</v>
      </c>
      <c r="HY22">
        <v>9999</v>
      </c>
      <c r="HZ22">
        <v>999.9</v>
      </c>
      <c r="IA22">
        <v>9999</v>
      </c>
      <c r="IB22">
        <v>9999</v>
      </c>
      <c r="IC22">
        <v>1.86324</v>
      </c>
      <c r="ID22">
        <v>1.86805</v>
      </c>
      <c r="IE22">
        <v>1.86783</v>
      </c>
      <c r="IF22">
        <v>1.86905</v>
      </c>
      <c r="IG22">
        <v>1.86981</v>
      </c>
      <c r="IH22">
        <v>1.86584</v>
      </c>
      <c r="II22">
        <v>1.86693</v>
      </c>
      <c r="IJ22">
        <v>1.86839</v>
      </c>
      <c r="IK22">
        <v>5</v>
      </c>
      <c r="IL22">
        <v>0</v>
      </c>
      <c r="IM22">
        <v>0</v>
      </c>
      <c r="IN22">
        <v>0</v>
      </c>
      <c r="IO22" t="s">
        <v>443</v>
      </c>
      <c r="IP22" t="s">
        <v>444</v>
      </c>
      <c r="IQ22" t="s">
        <v>445</v>
      </c>
      <c r="IR22" t="s">
        <v>445</v>
      </c>
      <c r="IS22" t="s">
        <v>445</v>
      </c>
      <c r="IT22" t="s">
        <v>445</v>
      </c>
      <c r="IU22">
        <v>0</v>
      </c>
      <c r="IV22">
        <v>100</v>
      </c>
      <c r="IW22">
        <v>100</v>
      </c>
      <c r="IX22">
        <v>2.363</v>
      </c>
      <c r="IY22">
        <v>-0.044</v>
      </c>
      <c r="IZ22">
        <v>0.833350075594679</v>
      </c>
      <c r="JA22">
        <v>0.00412825224050377</v>
      </c>
      <c r="JB22">
        <v>-7.34426573386615e-07</v>
      </c>
      <c r="JC22">
        <v>2.46800082545482e-10</v>
      </c>
      <c r="JD22">
        <v>-0.0848433440729365</v>
      </c>
      <c r="JE22">
        <v>-0.0240557196358944</v>
      </c>
      <c r="JF22">
        <v>0.0027855358087715</v>
      </c>
      <c r="JG22">
        <v>-3.72349365099102e-05</v>
      </c>
      <c r="JH22">
        <v>5</v>
      </c>
      <c r="JI22">
        <v>2250</v>
      </c>
      <c r="JJ22">
        <v>0</v>
      </c>
      <c r="JK22">
        <v>24</v>
      </c>
      <c r="JL22">
        <v>29348247.1</v>
      </c>
      <c r="JM22">
        <v>29348247.1</v>
      </c>
      <c r="JN22">
        <v>0.998535</v>
      </c>
      <c r="JO22">
        <v>2.6062</v>
      </c>
      <c r="JP22">
        <v>1.54785</v>
      </c>
      <c r="JQ22">
        <v>2.31201</v>
      </c>
      <c r="JR22">
        <v>1.64673</v>
      </c>
      <c r="JS22">
        <v>2.37671</v>
      </c>
      <c r="JT22">
        <v>32.7535</v>
      </c>
      <c r="JU22">
        <v>24.1575</v>
      </c>
      <c r="JV22">
        <v>18</v>
      </c>
      <c r="JW22">
        <v>505.69</v>
      </c>
      <c r="JX22">
        <v>401.844</v>
      </c>
      <c r="JY22">
        <v>10.7258</v>
      </c>
      <c r="JZ22">
        <v>27.3918</v>
      </c>
      <c r="KA22">
        <v>29.9999</v>
      </c>
      <c r="KB22">
        <v>27.3096</v>
      </c>
      <c r="KC22">
        <v>27.2569</v>
      </c>
      <c r="KD22">
        <v>20.0104</v>
      </c>
      <c r="KE22">
        <v>25.965</v>
      </c>
      <c r="KF22">
        <v>7.42441</v>
      </c>
      <c r="KG22">
        <v>10.7441</v>
      </c>
      <c r="KH22">
        <v>420</v>
      </c>
      <c r="KI22">
        <v>6.30634</v>
      </c>
      <c r="KJ22">
        <v>96.6888</v>
      </c>
      <c r="KK22">
        <v>94.6627</v>
      </c>
    </row>
    <row r="23" spans="1:297">
      <c r="A23">
        <v>7</v>
      </c>
      <c r="B23">
        <v>1760895356</v>
      </c>
      <c r="C23">
        <v>1591.90000009537</v>
      </c>
      <c r="D23" t="s">
        <v>467</v>
      </c>
      <c r="E23" t="s">
        <v>468</v>
      </c>
      <c r="F23">
        <v>5</v>
      </c>
      <c r="G23" t="s">
        <v>469</v>
      </c>
      <c r="H23" t="s">
        <v>436</v>
      </c>
      <c r="I23">
        <v>1760895347.5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423.467039633202</v>
      </c>
      <c r="AK23">
        <v>411.93483030303</v>
      </c>
      <c r="AL23">
        <v>-0.000106199879698787</v>
      </c>
      <c r="AM23">
        <v>64.8563819423597</v>
      </c>
      <c r="AN23">
        <f>(AP23 - AO23 + DY23*1E3/(8.314*(EA23+273.15)) * AR23/DX23 * AQ23) * DX23/(100*DL23) * 1000/(1000 - AP23)</f>
        <v>0</v>
      </c>
      <c r="AO23">
        <v>8.17514110168731</v>
      </c>
      <c r="AP23">
        <v>11.6346381818182</v>
      </c>
      <c r="AQ23">
        <v>-1.23802537038855e-05</v>
      </c>
      <c r="AR23">
        <v>118.626750756435</v>
      </c>
      <c r="AS23">
        <v>0</v>
      </c>
      <c r="AT23">
        <v>0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437</v>
      </c>
      <c r="AY23">
        <v>5082.33</v>
      </c>
      <c r="AZ23">
        <v>690.032</v>
      </c>
      <c r="BA23">
        <v>1612.68</v>
      </c>
      <c r="BB23">
        <f>1-AZ23/BA23</f>
        <v>0</v>
      </c>
      <c r="BC23">
        <v>-9.7270689171713</v>
      </c>
      <c r="BD23" t="s">
        <v>470</v>
      </c>
      <c r="BE23">
        <v>5160.4</v>
      </c>
      <c r="BF23">
        <v>1443.084</v>
      </c>
      <c r="BG23">
        <v>1638.88531544495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471</v>
      </c>
      <c r="BQ23">
        <v>751.93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BZ23">
        <v>108</v>
      </c>
      <c r="CA23">
        <v>290</v>
      </c>
      <c r="CB23">
        <v>1587.11</v>
      </c>
      <c r="CC23">
        <v>215</v>
      </c>
      <c r="CD23">
        <v>5160.4</v>
      </c>
      <c r="CE23">
        <v>1585.69</v>
      </c>
      <c r="CF23">
        <v>1.42</v>
      </c>
      <c r="CG23">
        <v>300</v>
      </c>
      <c r="CH23">
        <v>23.7</v>
      </c>
      <c r="CI23">
        <v>1638.88531544495</v>
      </c>
      <c r="CJ23">
        <v>1.56131696657572</v>
      </c>
      <c r="CK23">
        <v>-27.4518450056059</v>
      </c>
      <c r="CL23">
        <v>0.725038866470403</v>
      </c>
      <c r="CM23">
        <v>0.980842587730688</v>
      </c>
      <c r="CN23">
        <v>-0.00325253192436041</v>
      </c>
      <c r="CO23">
        <v>290</v>
      </c>
      <c r="CP23">
        <v>1583.38</v>
      </c>
      <c r="CQ23">
        <v>645</v>
      </c>
      <c r="CR23">
        <v>5159.15</v>
      </c>
      <c r="CS23">
        <v>1585.68</v>
      </c>
      <c r="CT23">
        <v>-2.3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3.21</v>
      </c>
      <c r="DM23">
        <v>0.5</v>
      </c>
      <c r="DN23" t="s">
        <v>440</v>
      </c>
      <c r="DO23">
        <v>2</v>
      </c>
      <c r="DP23" t="b">
        <v>1</v>
      </c>
      <c r="DQ23">
        <v>1760895347.5</v>
      </c>
      <c r="DR23">
        <v>407.1709375</v>
      </c>
      <c r="DS23">
        <v>420.007125</v>
      </c>
      <c r="DT23">
        <v>11.638825</v>
      </c>
      <c r="DU23">
        <v>8.1857125</v>
      </c>
      <c r="DV23">
        <v>404.7704375</v>
      </c>
      <c r="DW23">
        <v>11.68385</v>
      </c>
      <c r="DX23">
        <v>500.0104375</v>
      </c>
      <c r="DY23">
        <v>91.061675</v>
      </c>
      <c r="DZ23">
        <v>0.03362898125</v>
      </c>
      <c r="EA23">
        <v>18.37758125</v>
      </c>
      <c r="EB23">
        <v>18.0066375</v>
      </c>
      <c r="EC23">
        <v>999.9</v>
      </c>
      <c r="ED23">
        <v>0</v>
      </c>
      <c r="EE23">
        <v>0</v>
      </c>
      <c r="EF23">
        <v>10002.7825</v>
      </c>
      <c r="EG23">
        <v>0</v>
      </c>
      <c r="EH23">
        <v>1281.65125</v>
      </c>
      <c r="EI23">
        <v>-12.83626875</v>
      </c>
      <c r="EJ23">
        <v>411.9656875</v>
      </c>
      <c r="EK23">
        <v>423.4736875</v>
      </c>
      <c r="EL23">
        <v>3.453110625</v>
      </c>
      <c r="EM23">
        <v>420.007125</v>
      </c>
      <c r="EN23">
        <v>8.1857125</v>
      </c>
      <c r="EO23">
        <v>1.05985125</v>
      </c>
      <c r="EP23">
        <v>0.74540475</v>
      </c>
      <c r="EQ23">
        <v>7.76620125</v>
      </c>
      <c r="ER23">
        <v>2.708030625</v>
      </c>
      <c r="ES23">
        <v>1199.9625</v>
      </c>
      <c r="ET23">
        <v>0.9669905</v>
      </c>
      <c r="EU23">
        <v>0.0330097375</v>
      </c>
      <c r="EV23">
        <v>0</v>
      </c>
      <c r="EW23">
        <v>1443.256875</v>
      </c>
      <c r="EX23">
        <v>5.00059</v>
      </c>
      <c r="EY23">
        <v>16962.875</v>
      </c>
      <c r="EZ23">
        <v>10358.3625</v>
      </c>
      <c r="FA23">
        <v>37.835625</v>
      </c>
      <c r="FB23">
        <v>39.820125</v>
      </c>
      <c r="FC23">
        <v>38.288875</v>
      </c>
      <c r="FD23">
        <v>39.324</v>
      </c>
      <c r="FE23">
        <v>38.68725</v>
      </c>
      <c r="FF23">
        <v>1155.514375</v>
      </c>
      <c r="FG23">
        <v>39.448125</v>
      </c>
      <c r="FH23">
        <v>0</v>
      </c>
      <c r="FI23">
        <v>523.400000095367</v>
      </c>
      <c r="FJ23">
        <v>0</v>
      </c>
      <c r="FK23">
        <v>1443.084</v>
      </c>
      <c r="FL23">
        <v>-8.37307691329059</v>
      </c>
      <c r="FM23">
        <v>-113.053846389811</v>
      </c>
      <c r="FN23">
        <v>16961.296</v>
      </c>
      <c r="FO23">
        <v>15</v>
      </c>
      <c r="FP23">
        <v>0</v>
      </c>
      <c r="FQ23" t="s">
        <v>441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-12.8331428571429</v>
      </c>
      <c r="GD23">
        <v>-0.0140103896104131</v>
      </c>
      <c r="GE23">
        <v>0.0165657009806284</v>
      </c>
      <c r="GF23">
        <v>1</v>
      </c>
      <c r="GG23">
        <v>1443.68235294118</v>
      </c>
      <c r="GH23">
        <v>-8.57662336619666</v>
      </c>
      <c r="GI23">
        <v>0.87737931572827</v>
      </c>
      <c r="GJ23">
        <v>-1</v>
      </c>
      <c r="GK23">
        <v>3.45329095238095</v>
      </c>
      <c r="GL23">
        <v>0.00753116883116756</v>
      </c>
      <c r="GM23">
        <v>0.00370689949349526</v>
      </c>
      <c r="GN23">
        <v>1</v>
      </c>
      <c r="GO23">
        <v>2</v>
      </c>
      <c r="GP23">
        <v>2</v>
      </c>
      <c r="GQ23" t="s">
        <v>442</v>
      </c>
      <c r="GR23">
        <v>3.12929</v>
      </c>
      <c r="GS23">
        <v>2.71146</v>
      </c>
      <c r="GT23">
        <v>0.0879723</v>
      </c>
      <c r="GU23">
        <v>0.0906101</v>
      </c>
      <c r="GV23">
        <v>0.0609611</v>
      </c>
      <c r="GW23">
        <v>0.046306</v>
      </c>
      <c r="GX23">
        <v>34401.2</v>
      </c>
      <c r="GY23">
        <v>36758.2</v>
      </c>
      <c r="GZ23">
        <v>34122.5</v>
      </c>
      <c r="HA23">
        <v>36593.6</v>
      </c>
      <c r="HB23">
        <v>45254.3</v>
      </c>
      <c r="HC23">
        <v>50087.1</v>
      </c>
      <c r="HD23">
        <v>53186.7</v>
      </c>
      <c r="HE23">
        <v>58428.4</v>
      </c>
      <c r="HF23">
        <v>1.96833</v>
      </c>
      <c r="HG23">
        <v>1.80695</v>
      </c>
      <c r="HH23">
        <v>-0.028871</v>
      </c>
      <c r="HI23">
        <v>0</v>
      </c>
      <c r="HJ23">
        <v>18.4761</v>
      </c>
      <c r="HK23">
        <v>999.9</v>
      </c>
      <c r="HL23">
        <v>25.778</v>
      </c>
      <c r="HM23">
        <v>29.134</v>
      </c>
      <c r="HN23">
        <v>11.4734</v>
      </c>
      <c r="HO23">
        <v>56.24</v>
      </c>
      <c r="HP23">
        <v>47.2476</v>
      </c>
      <c r="HQ23">
        <v>1</v>
      </c>
      <c r="HR23">
        <v>0.00930386</v>
      </c>
      <c r="HS23">
        <v>7.09103</v>
      </c>
      <c r="HT23">
        <v>19.9969</v>
      </c>
      <c r="HU23">
        <v>5.19947</v>
      </c>
      <c r="HV23">
        <v>12.0099</v>
      </c>
      <c r="HW23">
        <v>4.9754</v>
      </c>
      <c r="HX23">
        <v>3.294</v>
      </c>
      <c r="HY23">
        <v>9999</v>
      </c>
      <c r="HZ23">
        <v>999.9</v>
      </c>
      <c r="IA23">
        <v>9999</v>
      </c>
      <c r="IB23">
        <v>9999</v>
      </c>
      <c r="IC23">
        <v>1.86322</v>
      </c>
      <c r="ID23">
        <v>1.868</v>
      </c>
      <c r="IE23">
        <v>1.86783</v>
      </c>
      <c r="IF23">
        <v>1.86899</v>
      </c>
      <c r="IG23">
        <v>1.8698</v>
      </c>
      <c r="IH23">
        <v>1.86584</v>
      </c>
      <c r="II23">
        <v>1.86691</v>
      </c>
      <c r="IJ23">
        <v>1.86836</v>
      </c>
      <c r="IK23">
        <v>5</v>
      </c>
      <c r="IL23">
        <v>0</v>
      </c>
      <c r="IM23">
        <v>0</v>
      </c>
      <c r="IN23">
        <v>0</v>
      </c>
      <c r="IO23" t="s">
        <v>443</v>
      </c>
      <c r="IP23" t="s">
        <v>444</v>
      </c>
      <c r="IQ23" t="s">
        <v>445</v>
      </c>
      <c r="IR23" t="s">
        <v>445</v>
      </c>
      <c r="IS23" t="s">
        <v>445</v>
      </c>
      <c r="IT23" t="s">
        <v>445</v>
      </c>
      <c r="IU23">
        <v>0</v>
      </c>
      <c r="IV23">
        <v>100</v>
      </c>
      <c r="IW23">
        <v>100</v>
      </c>
      <c r="IX23">
        <v>2.401</v>
      </c>
      <c r="IY23">
        <v>-0.0452</v>
      </c>
      <c r="IZ23">
        <v>0.833350075594679</v>
      </c>
      <c r="JA23">
        <v>0.00412825224050377</v>
      </c>
      <c r="JB23">
        <v>-7.34426573386615e-07</v>
      </c>
      <c r="JC23">
        <v>2.46800082545482e-10</v>
      </c>
      <c r="JD23">
        <v>-0.0848433440729365</v>
      </c>
      <c r="JE23">
        <v>-0.0240557196358944</v>
      </c>
      <c r="JF23">
        <v>0.0027855358087715</v>
      </c>
      <c r="JG23">
        <v>-3.72349365099102e-05</v>
      </c>
      <c r="JH23">
        <v>5</v>
      </c>
      <c r="JI23">
        <v>2250</v>
      </c>
      <c r="JJ23">
        <v>0</v>
      </c>
      <c r="JK23">
        <v>24</v>
      </c>
      <c r="JL23">
        <v>29348255.9</v>
      </c>
      <c r="JM23">
        <v>29348255.9</v>
      </c>
      <c r="JN23">
        <v>1.00098</v>
      </c>
      <c r="JO23">
        <v>2.61719</v>
      </c>
      <c r="JP23">
        <v>1.54785</v>
      </c>
      <c r="JQ23">
        <v>2.31079</v>
      </c>
      <c r="JR23">
        <v>1.64673</v>
      </c>
      <c r="JS23">
        <v>2.30469</v>
      </c>
      <c r="JT23">
        <v>32.8869</v>
      </c>
      <c r="JU23">
        <v>24.1488</v>
      </c>
      <c r="JV23">
        <v>18</v>
      </c>
      <c r="JW23">
        <v>505.161</v>
      </c>
      <c r="JX23">
        <v>401.524</v>
      </c>
      <c r="JY23">
        <v>10.4292</v>
      </c>
      <c r="JZ23">
        <v>27.25</v>
      </c>
      <c r="KA23">
        <v>30</v>
      </c>
      <c r="KB23">
        <v>27.2289</v>
      </c>
      <c r="KC23">
        <v>27.1818</v>
      </c>
      <c r="KD23">
        <v>20.0415</v>
      </c>
      <c r="KE23">
        <v>8.39452</v>
      </c>
      <c r="KF23">
        <v>10.4428</v>
      </c>
      <c r="KG23">
        <v>10.4321</v>
      </c>
      <c r="KH23">
        <v>420</v>
      </c>
      <c r="KI23">
        <v>8.13513</v>
      </c>
      <c r="KJ23">
        <v>96.7137</v>
      </c>
      <c r="KK23">
        <v>94.7019</v>
      </c>
    </row>
    <row r="24" spans="1:297">
      <c r="A24">
        <v>8</v>
      </c>
      <c r="B24">
        <v>1760895534</v>
      </c>
      <c r="C24">
        <v>1769.90000009537</v>
      </c>
      <c r="D24" t="s">
        <v>472</v>
      </c>
      <c r="E24" t="s">
        <v>473</v>
      </c>
      <c r="F24">
        <v>5</v>
      </c>
      <c r="G24" t="s">
        <v>469</v>
      </c>
      <c r="H24" t="s">
        <v>436</v>
      </c>
      <c r="I24">
        <v>1760895528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423.424456593294</v>
      </c>
      <c r="AK24">
        <v>411.798587878788</v>
      </c>
      <c r="AL24">
        <v>-0.020294043475267</v>
      </c>
      <c r="AM24">
        <v>64.8563819423597</v>
      </c>
      <c r="AN24">
        <f>(AP24 - AO24 + DY24*1E3/(8.314*(EA24+273.15)) * AR24/DX24 * AQ24) * DX24/(100*DL24) * 1000/(1000 - AP24)</f>
        <v>0</v>
      </c>
      <c r="AO24">
        <v>8.163258340084</v>
      </c>
      <c r="AP24">
        <v>11.6368145454545</v>
      </c>
      <c r="AQ24">
        <v>9.20880592444036e-06</v>
      </c>
      <c r="AR24">
        <v>118.626750756435</v>
      </c>
      <c r="AS24">
        <v>0</v>
      </c>
      <c r="AT24">
        <v>0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437</v>
      </c>
      <c r="AY24">
        <v>5082.33</v>
      </c>
      <c r="AZ24">
        <v>690.032</v>
      </c>
      <c r="BA24">
        <v>1612.68</v>
      </c>
      <c r="BB24">
        <f>1-AZ24/BA24</f>
        <v>0</v>
      </c>
      <c r="BC24">
        <v>-9.7270689171713</v>
      </c>
      <c r="BD24" t="s">
        <v>474</v>
      </c>
      <c r="BE24">
        <v>5163.55</v>
      </c>
      <c r="BF24">
        <v>1424.1396</v>
      </c>
      <c r="BG24">
        <v>1615.54106610124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475</v>
      </c>
      <c r="BQ24">
        <v>748.53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BZ24">
        <v>110</v>
      </c>
      <c r="CA24">
        <v>290</v>
      </c>
      <c r="CB24">
        <v>1565.21</v>
      </c>
      <c r="CC24">
        <v>115</v>
      </c>
      <c r="CD24">
        <v>5163.55</v>
      </c>
      <c r="CE24">
        <v>1563.78</v>
      </c>
      <c r="CF24">
        <v>1.43</v>
      </c>
      <c r="CG24">
        <v>300</v>
      </c>
      <c r="CH24">
        <v>23.7</v>
      </c>
      <c r="CI24">
        <v>1615.54106610124</v>
      </c>
      <c r="CJ24">
        <v>1.85666903198573</v>
      </c>
      <c r="CK24">
        <v>-26.7256368345301</v>
      </c>
      <c r="CL24">
        <v>0.862467689836669</v>
      </c>
      <c r="CM24">
        <v>0.971666209733161</v>
      </c>
      <c r="CN24">
        <v>-0.00325354082313683</v>
      </c>
      <c r="CO24">
        <v>290</v>
      </c>
      <c r="CP24">
        <v>1562.04</v>
      </c>
      <c r="CQ24">
        <v>645</v>
      </c>
      <c r="CR24">
        <v>5160.82</v>
      </c>
      <c r="CS24">
        <v>1563.76</v>
      </c>
      <c r="CT24">
        <v>-1.72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3.21</v>
      </c>
      <c r="DM24">
        <v>0.5</v>
      </c>
      <c r="DN24" t="s">
        <v>440</v>
      </c>
      <c r="DO24">
        <v>2</v>
      </c>
      <c r="DP24" t="b">
        <v>1</v>
      </c>
      <c r="DQ24">
        <v>1760895528</v>
      </c>
      <c r="DR24">
        <v>407.071181818182</v>
      </c>
      <c r="DS24">
        <v>420.008545454545</v>
      </c>
      <c r="DT24">
        <v>11.6360727272727</v>
      </c>
      <c r="DU24">
        <v>8.16422636363636</v>
      </c>
      <c r="DV24">
        <v>404.671181818182</v>
      </c>
      <c r="DW24">
        <v>11.6811727272727</v>
      </c>
      <c r="DX24">
        <v>499.968636363636</v>
      </c>
      <c r="DY24">
        <v>91.0554818181818</v>
      </c>
      <c r="DZ24">
        <v>0.0335271636363636</v>
      </c>
      <c r="EA24">
        <v>18.2977636363636</v>
      </c>
      <c r="EB24">
        <v>17.9912272727273</v>
      </c>
      <c r="EC24">
        <v>999.9</v>
      </c>
      <c r="ED24">
        <v>0</v>
      </c>
      <c r="EE24">
        <v>0</v>
      </c>
      <c r="EF24">
        <v>9999.08727272727</v>
      </c>
      <c r="EG24">
        <v>0</v>
      </c>
      <c r="EH24">
        <v>1281.67636363636</v>
      </c>
      <c r="EI24">
        <v>-12.9374090909091</v>
      </c>
      <c r="EJ24">
        <v>411.863545454545</v>
      </c>
      <c r="EK24">
        <v>423.465818181818</v>
      </c>
      <c r="EL24">
        <v>3.47183818181818</v>
      </c>
      <c r="EM24">
        <v>420.008545454545</v>
      </c>
      <c r="EN24">
        <v>8.16422636363636</v>
      </c>
      <c r="EO24">
        <v>1.05952727272727</v>
      </c>
      <c r="EP24">
        <v>0.743397636363636</v>
      </c>
      <c r="EQ24">
        <v>7.76172727272727</v>
      </c>
      <c r="ER24">
        <v>2.67007909090909</v>
      </c>
      <c r="ES24">
        <v>1200.07545454545</v>
      </c>
      <c r="ET24">
        <v>0.967007363636364</v>
      </c>
      <c r="EU24">
        <v>0.0329927545454545</v>
      </c>
      <c r="EV24">
        <v>0</v>
      </c>
      <c r="EW24">
        <v>1424.01454545455</v>
      </c>
      <c r="EX24">
        <v>5.00059</v>
      </c>
      <c r="EY24">
        <v>16694.7727272727</v>
      </c>
      <c r="EZ24">
        <v>10359.3909090909</v>
      </c>
      <c r="FA24">
        <v>36.8349090909091</v>
      </c>
      <c r="FB24">
        <v>38.75</v>
      </c>
      <c r="FC24">
        <v>37.2669090909091</v>
      </c>
      <c r="FD24">
        <v>38.062</v>
      </c>
      <c r="FE24">
        <v>37.7385454545455</v>
      </c>
      <c r="FF24">
        <v>1155.64545454545</v>
      </c>
      <c r="FG24">
        <v>39.43</v>
      </c>
      <c r="FH24">
        <v>0</v>
      </c>
      <c r="FI24">
        <v>175.200000047684</v>
      </c>
      <c r="FJ24">
        <v>0</v>
      </c>
      <c r="FK24">
        <v>1424.1396</v>
      </c>
      <c r="FL24">
        <v>-7.65076922382556</v>
      </c>
      <c r="FM24">
        <v>-98.8307689836246</v>
      </c>
      <c r="FN24">
        <v>16695.536</v>
      </c>
      <c r="FO24">
        <v>15</v>
      </c>
      <c r="FP24">
        <v>0</v>
      </c>
      <c r="FQ24" t="s">
        <v>441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-12.92828</v>
      </c>
      <c r="GD24">
        <v>-0.0463218045112862</v>
      </c>
      <c r="GE24">
        <v>0.0462101460720477</v>
      </c>
      <c r="GF24">
        <v>1</v>
      </c>
      <c r="GG24">
        <v>1424.65235294118</v>
      </c>
      <c r="GH24">
        <v>-7.67364400919614</v>
      </c>
      <c r="GI24">
        <v>0.788054412959828</v>
      </c>
      <c r="GJ24">
        <v>-1</v>
      </c>
      <c r="GK24">
        <v>3.4702</v>
      </c>
      <c r="GL24">
        <v>0.0196403007518789</v>
      </c>
      <c r="GM24">
        <v>0.00207352115976662</v>
      </c>
      <c r="GN24">
        <v>1</v>
      </c>
      <c r="GO24">
        <v>2</v>
      </c>
      <c r="GP24">
        <v>2</v>
      </c>
      <c r="GQ24" t="s">
        <v>442</v>
      </c>
      <c r="GR24">
        <v>3.12931</v>
      </c>
      <c r="GS24">
        <v>2.71166</v>
      </c>
      <c r="GT24">
        <v>0.0879598</v>
      </c>
      <c r="GU24">
        <v>0.0906129</v>
      </c>
      <c r="GV24">
        <v>0.0609716</v>
      </c>
      <c r="GW24">
        <v>0.0462591</v>
      </c>
      <c r="GX24">
        <v>34404.3</v>
      </c>
      <c r="GY24">
        <v>36762.4</v>
      </c>
      <c r="GZ24">
        <v>34124.8</v>
      </c>
      <c r="HA24">
        <v>36597.6</v>
      </c>
      <c r="HB24">
        <v>45256.4</v>
      </c>
      <c r="HC24">
        <v>50095.1</v>
      </c>
      <c r="HD24">
        <v>53189.8</v>
      </c>
      <c r="HE24">
        <v>58434.7</v>
      </c>
      <c r="HF24">
        <v>1.96915</v>
      </c>
      <c r="HG24">
        <v>1.80887</v>
      </c>
      <c r="HH24">
        <v>-0.0305772</v>
      </c>
      <c r="HI24">
        <v>0</v>
      </c>
      <c r="HJ24">
        <v>18.4955</v>
      </c>
      <c r="HK24">
        <v>999.9</v>
      </c>
      <c r="HL24">
        <v>25.632</v>
      </c>
      <c r="HM24">
        <v>29.215</v>
      </c>
      <c r="HN24">
        <v>11.4635</v>
      </c>
      <c r="HO24">
        <v>56.26</v>
      </c>
      <c r="HP24">
        <v>47.2556</v>
      </c>
      <c r="HQ24">
        <v>1</v>
      </c>
      <c r="HR24">
        <v>0.00485772</v>
      </c>
      <c r="HS24">
        <v>6.88837</v>
      </c>
      <c r="HT24">
        <v>20.0053</v>
      </c>
      <c r="HU24">
        <v>5.19932</v>
      </c>
      <c r="HV24">
        <v>12.0095</v>
      </c>
      <c r="HW24">
        <v>4.976</v>
      </c>
      <c r="HX24">
        <v>3.294</v>
      </c>
      <c r="HY24">
        <v>9999</v>
      </c>
      <c r="HZ24">
        <v>999.9</v>
      </c>
      <c r="IA24">
        <v>9999</v>
      </c>
      <c r="IB24">
        <v>9999</v>
      </c>
      <c r="IC24">
        <v>1.86322</v>
      </c>
      <c r="ID24">
        <v>1.86803</v>
      </c>
      <c r="IE24">
        <v>1.86779</v>
      </c>
      <c r="IF24">
        <v>1.86902</v>
      </c>
      <c r="IG24">
        <v>1.86981</v>
      </c>
      <c r="IH24">
        <v>1.86584</v>
      </c>
      <c r="II24">
        <v>1.86691</v>
      </c>
      <c r="IJ24">
        <v>1.86836</v>
      </c>
      <c r="IK24">
        <v>5</v>
      </c>
      <c r="IL24">
        <v>0</v>
      </c>
      <c r="IM24">
        <v>0</v>
      </c>
      <c r="IN24">
        <v>0</v>
      </c>
      <c r="IO24" t="s">
        <v>443</v>
      </c>
      <c r="IP24" t="s">
        <v>444</v>
      </c>
      <c r="IQ24" t="s">
        <v>445</v>
      </c>
      <c r="IR24" t="s">
        <v>445</v>
      </c>
      <c r="IS24" t="s">
        <v>445</v>
      </c>
      <c r="IT24" t="s">
        <v>445</v>
      </c>
      <c r="IU24">
        <v>0</v>
      </c>
      <c r="IV24">
        <v>100</v>
      </c>
      <c r="IW24">
        <v>100</v>
      </c>
      <c r="IX24">
        <v>2.4</v>
      </c>
      <c r="IY24">
        <v>-0.045</v>
      </c>
      <c r="IZ24">
        <v>0.833350075594679</v>
      </c>
      <c r="JA24">
        <v>0.00412825224050377</v>
      </c>
      <c r="JB24">
        <v>-7.34426573386615e-07</v>
      </c>
      <c r="JC24">
        <v>2.46800082545482e-10</v>
      </c>
      <c r="JD24">
        <v>-0.0848433440729365</v>
      </c>
      <c r="JE24">
        <v>-0.0240557196358944</v>
      </c>
      <c r="JF24">
        <v>0.0027855358087715</v>
      </c>
      <c r="JG24">
        <v>-3.72349365099102e-05</v>
      </c>
      <c r="JH24">
        <v>5</v>
      </c>
      <c r="JI24">
        <v>2250</v>
      </c>
      <c r="JJ24">
        <v>0</v>
      </c>
      <c r="JK24">
        <v>24</v>
      </c>
      <c r="JL24">
        <v>29348258.9</v>
      </c>
      <c r="JM24">
        <v>29348258.9</v>
      </c>
      <c r="JN24">
        <v>0.999756</v>
      </c>
      <c r="JO24">
        <v>2.61108</v>
      </c>
      <c r="JP24">
        <v>1.54785</v>
      </c>
      <c r="JQ24">
        <v>2.31079</v>
      </c>
      <c r="JR24">
        <v>1.64673</v>
      </c>
      <c r="JS24">
        <v>2.34497</v>
      </c>
      <c r="JT24">
        <v>32.9092</v>
      </c>
      <c r="JU24">
        <v>24.1488</v>
      </c>
      <c r="JV24">
        <v>18</v>
      </c>
      <c r="JW24">
        <v>505.165</v>
      </c>
      <c r="JX24">
        <v>402.164</v>
      </c>
      <c r="JY24">
        <v>10.5279</v>
      </c>
      <c r="JZ24">
        <v>27.1951</v>
      </c>
      <c r="KA24">
        <v>29.9999</v>
      </c>
      <c r="KB24">
        <v>27.1695</v>
      </c>
      <c r="KC24">
        <v>27.1232</v>
      </c>
      <c r="KD24">
        <v>20.0466</v>
      </c>
      <c r="KE24">
        <v>8.39452</v>
      </c>
      <c r="KF24">
        <v>10.4428</v>
      </c>
      <c r="KG24">
        <v>10.5352</v>
      </c>
      <c r="KH24">
        <v>420</v>
      </c>
      <c r="KI24">
        <v>8.12433</v>
      </c>
      <c r="KJ24">
        <v>96.7195</v>
      </c>
      <c r="KK24">
        <v>94.7121</v>
      </c>
    </row>
    <row r="25" spans="1:297">
      <c r="A25">
        <v>9</v>
      </c>
      <c r="B25">
        <v>1760895758</v>
      </c>
      <c r="C25">
        <v>1993.90000009537</v>
      </c>
      <c r="D25" t="s">
        <v>476</v>
      </c>
      <c r="E25" t="s">
        <v>477</v>
      </c>
      <c r="F25">
        <v>5</v>
      </c>
      <c r="G25" t="s">
        <v>469</v>
      </c>
      <c r="H25" t="s">
        <v>436</v>
      </c>
      <c r="I25">
        <v>1760895749.5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423.38665342825</v>
      </c>
      <c r="AK25">
        <v>411.681957575757</v>
      </c>
      <c r="AL25">
        <v>-0.000341077718966412</v>
      </c>
      <c r="AM25">
        <v>64.8563819423597</v>
      </c>
      <c r="AN25">
        <f>(AP25 - AO25 + DY25*1E3/(8.314*(EA25+273.15)) * AR25/DX25 * AQ25) * DX25/(100*DL25) * 1000/(1000 - AP25)</f>
        <v>0</v>
      </c>
      <c r="AO25">
        <v>8.02348331357745</v>
      </c>
      <c r="AP25">
        <v>11.5345157575758</v>
      </c>
      <c r="AQ25">
        <v>-5.51042792701623e-05</v>
      </c>
      <c r="AR25">
        <v>118.626750756435</v>
      </c>
      <c r="AS25">
        <v>0</v>
      </c>
      <c r="AT25">
        <v>0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437</v>
      </c>
      <c r="AY25">
        <v>5082.33</v>
      </c>
      <c r="AZ25">
        <v>690.032</v>
      </c>
      <c r="BA25">
        <v>1612.68</v>
      </c>
      <c r="BB25">
        <f>1-AZ25/BA25</f>
        <v>0</v>
      </c>
      <c r="BC25">
        <v>-9.7270689171713</v>
      </c>
      <c r="BD25" t="s">
        <v>478</v>
      </c>
      <c r="BE25">
        <v>5165.06</v>
      </c>
      <c r="BF25">
        <v>1405.6528</v>
      </c>
      <c r="BG25">
        <v>1595.30013531331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479</v>
      </c>
      <c r="BQ25">
        <v>751.13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BZ25">
        <v>112</v>
      </c>
      <c r="CA25">
        <v>290</v>
      </c>
      <c r="CB25">
        <v>1544.38</v>
      </c>
      <c r="CC25">
        <v>105</v>
      </c>
      <c r="CD25">
        <v>5165.06</v>
      </c>
      <c r="CE25">
        <v>1543.5</v>
      </c>
      <c r="CF25">
        <v>0.88</v>
      </c>
      <c r="CG25">
        <v>300</v>
      </c>
      <c r="CH25">
        <v>23.7</v>
      </c>
      <c r="CI25">
        <v>1595.30013531331</v>
      </c>
      <c r="CJ25">
        <v>1.75771784016428</v>
      </c>
      <c r="CK25">
        <v>-26.7562380902834</v>
      </c>
      <c r="CL25">
        <v>0.816715912476775</v>
      </c>
      <c r="CM25">
        <v>0.974574756542636</v>
      </c>
      <c r="CN25">
        <v>-0.00325430322580645</v>
      </c>
      <c r="CO25">
        <v>290</v>
      </c>
      <c r="CP25">
        <v>1541.5</v>
      </c>
      <c r="CQ25">
        <v>675</v>
      </c>
      <c r="CR25">
        <v>5161.96</v>
      </c>
      <c r="CS25">
        <v>1543.47</v>
      </c>
      <c r="CT25">
        <v>-1.97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3.21</v>
      </c>
      <c r="DM25">
        <v>0.5</v>
      </c>
      <c r="DN25" t="s">
        <v>440</v>
      </c>
      <c r="DO25">
        <v>2</v>
      </c>
      <c r="DP25" t="b">
        <v>1</v>
      </c>
      <c r="DQ25">
        <v>1760895749.5</v>
      </c>
      <c r="DR25">
        <v>406.9438125</v>
      </c>
      <c r="DS25">
        <v>420.003875</v>
      </c>
      <c r="DT25">
        <v>11.5528375</v>
      </c>
      <c r="DU25">
        <v>8.026695</v>
      </c>
      <c r="DV25">
        <v>404.544125</v>
      </c>
      <c r="DW25">
        <v>11.60001875</v>
      </c>
      <c r="DX25">
        <v>500.0200625</v>
      </c>
      <c r="DY25">
        <v>91.04541875</v>
      </c>
      <c r="DZ25">
        <v>0.0333748375</v>
      </c>
      <c r="EA25">
        <v>18.27271875</v>
      </c>
      <c r="EB25">
        <v>18.02928125</v>
      </c>
      <c r="EC25">
        <v>999.9</v>
      </c>
      <c r="ED25">
        <v>0</v>
      </c>
      <c r="EE25">
        <v>0</v>
      </c>
      <c r="EF25">
        <v>10003.159375</v>
      </c>
      <c r="EG25">
        <v>0</v>
      </c>
      <c r="EH25">
        <v>1281.808125</v>
      </c>
      <c r="EI25">
        <v>-13.0602</v>
      </c>
      <c r="EJ25">
        <v>411.7001875</v>
      </c>
      <c r="EK25">
        <v>423.4025</v>
      </c>
      <c r="EL25">
        <v>3.526133125</v>
      </c>
      <c r="EM25">
        <v>420.003875</v>
      </c>
      <c r="EN25">
        <v>8.026695</v>
      </c>
      <c r="EO25">
        <v>1.051831875</v>
      </c>
      <c r="EP25">
        <v>0.7307938125</v>
      </c>
      <c r="EQ25">
        <v>7.654830625</v>
      </c>
      <c r="ER25">
        <v>2.429638125</v>
      </c>
      <c r="ES25">
        <v>1200.028125</v>
      </c>
      <c r="ET25">
        <v>0.96699875</v>
      </c>
      <c r="EU25">
        <v>0.03300115</v>
      </c>
      <c r="EV25">
        <v>0</v>
      </c>
      <c r="EW25">
        <v>1405.81125</v>
      </c>
      <c r="EX25">
        <v>5.00059</v>
      </c>
      <c r="EY25">
        <v>16448.31875</v>
      </c>
      <c r="EZ25">
        <v>10358.94375</v>
      </c>
      <c r="FA25">
        <v>36.062</v>
      </c>
      <c r="FB25">
        <v>38.062</v>
      </c>
      <c r="FC25">
        <v>36.4881875</v>
      </c>
      <c r="FD25">
        <v>37.444875</v>
      </c>
      <c r="FE25">
        <v>37.0155</v>
      </c>
      <c r="FF25">
        <v>1155.588125</v>
      </c>
      <c r="FG25">
        <v>39.44</v>
      </c>
      <c r="FH25">
        <v>0</v>
      </c>
      <c r="FI25">
        <v>219</v>
      </c>
      <c r="FJ25">
        <v>0</v>
      </c>
      <c r="FK25">
        <v>1405.6528</v>
      </c>
      <c r="FL25">
        <v>-5.92846154557822</v>
      </c>
      <c r="FM25">
        <v>-69.1538462600715</v>
      </c>
      <c r="FN25">
        <v>16446.596</v>
      </c>
      <c r="FO25">
        <v>15</v>
      </c>
      <c r="FP25">
        <v>0</v>
      </c>
      <c r="FQ25" t="s">
        <v>441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-13.0667333333333</v>
      </c>
      <c r="GD25">
        <v>0.131641558441533</v>
      </c>
      <c r="GE25">
        <v>0.0207795992750522</v>
      </c>
      <c r="GF25">
        <v>1</v>
      </c>
      <c r="GG25">
        <v>1406.03264705882</v>
      </c>
      <c r="GH25">
        <v>-5.01711230071424</v>
      </c>
      <c r="GI25">
        <v>0.53052309825818</v>
      </c>
      <c r="GJ25">
        <v>-1</v>
      </c>
      <c r="GK25">
        <v>3.53148142857143</v>
      </c>
      <c r="GL25">
        <v>-0.100202337662337</v>
      </c>
      <c r="GM25">
        <v>0.0104371813772704</v>
      </c>
      <c r="GN25">
        <v>0</v>
      </c>
      <c r="GO25">
        <v>1</v>
      </c>
      <c r="GP25">
        <v>2</v>
      </c>
      <c r="GQ25" t="s">
        <v>454</v>
      </c>
      <c r="GR25">
        <v>3.12921</v>
      </c>
      <c r="GS25">
        <v>2.7116</v>
      </c>
      <c r="GT25">
        <v>0.0879452</v>
      </c>
      <c r="GU25">
        <v>0.090621</v>
      </c>
      <c r="GV25">
        <v>0.060552</v>
      </c>
      <c r="GW25">
        <v>0.0456147</v>
      </c>
      <c r="GX25">
        <v>34406.5</v>
      </c>
      <c r="GY25">
        <v>36765.3</v>
      </c>
      <c r="GZ25">
        <v>34126.1</v>
      </c>
      <c r="HA25">
        <v>36600.5</v>
      </c>
      <c r="HB25">
        <v>45277.8</v>
      </c>
      <c r="HC25">
        <v>50133.4</v>
      </c>
      <c r="HD25">
        <v>53190.6</v>
      </c>
      <c r="HE25">
        <v>58439.3</v>
      </c>
      <c r="HF25">
        <v>1.96987</v>
      </c>
      <c r="HG25">
        <v>1.80845</v>
      </c>
      <c r="HH25">
        <v>-0.0279471</v>
      </c>
      <c r="HI25">
        <v>0</v>
      </c>
      <c r="HJ25">
        <v>18.489</v>
      </c>
      <c r="HK25">
        <v>999.9</v>
      </c>
      <c r="HL25">
        <v>25.302</v>
      </c>
      <c r="HM25">
        <v>29.285</v>
      </c>
      <c r="HN25">
        <v>11.3623</v>
      </c>
      <c r="HO25">
        <v>56.1801</v>
      </c>
      <c r="HP25">
        <v>47.5401</v>
      </c>
      <c r="HQ25">
        <v>1</v>
      </c>
      <c r="HR25">
        <v>0.00198171</v>
      </c>
      <c r="HS25">
        <v>7.01792</v>
      </c>
      <c r="HT25">
        <v>19.9987</v>
      </c>
      <c r="HU25">
        <v>5.20202</v>
      </c>
      <c r="HV25">
        <v>12.0099</v>
      </c>
      <c r="HW25">
        <v>4.9757</v>
      </c>
      <c r="HX25">
        <v>3.29395</v>
      </c>
      <c r="HY25">
        <v>9999</v>
      </c>
      <c r="HZ25">
        <v>999.9</v>
      </c>
      <c r="IA25">
        <v>9999</v>
      </c>
      <c r="IB25">
        <v>9999</v>
      </c>
      <c r="IC25">
        <v>1.86322</v>
      </c>
      <c r="ID25">
        <v>1.86802</v>
      </c>
      <c r="IE25">
        <v>1.86783</v>
      </c>
      <c r="IF25">
        <v>1.86904</v>
      </c>
      <c r="IG25">
        <v>1.86981</v>
      </c>
      <c r="IH25">
        <v>1.86584</v>
      </c>
      <c r="II25">
        <v>1.86691</v>
      </c>
      <c r="IJ25">
        <v>1.86834</v>
      </c>
      <c r="IK25">
        <v>5</v>
      </c>
      <c r="IL25">
        <v>0</v>
      </c>
      <c r="IM25">
        <v>0</v>
      </c>
      <c r="IN25">
        <v>0</v>
      </c>
      <c r="IO25" t="s">
        <v>443</v>
      </c>
      <c r="IP25" t="s">
        <v>444</v>
      </c>
      <c r="IQ25" t="s">
        <v>445</v>
      </c>
      <c r="IR25" t="s">
        <v>445</v>
      </c>
      <c r="IS25" t="s">
        <v>445</v>
      </c>
      <c r="IT25" t="s">
        <v>445</v>
      </c>
      <c r="IU25">
        <v>0</v>
      </c>
      <c r="IV25">
        <v>100</v>
      </c>
      <c r="IW25">
        <v>100</v>
      </c>
      <c r="IX25">
        <v>2.399</v>
      </c>
      <c r="IY25">
        <v>-0.0477</v>
      </c>
      <c r="IZ25">
        <v>0.833350075594679</v>
      </c>
      <c r="JA25">
        <v>0.00412825224050377</v>
      </c>
      <c r="JB25">
        <v>-7.34426573386615e-07</v>
      </c>
      <c r="JC25">
        <v>2.46800082545482e-10</v>
      </c>
      <c r="JD25">
        <v>-0.0848433440729365</v>
      </c>
      <c r="JE25">
        <v>-0.0240557196358944</v>
      </c>
      <c r="JF25">
        <v>0.0027855358087715</v>
      </c>
      <c r="JG25">
        <v>-3.72349365099102e-05</v>
      </c>
      <c r="JH25">
        <v>5</v>
      </c>
      <c r="JI25">
        <v>2250</v>
      </c>
      <c r="JJ25">
        <v>0</v>
      </c>
      <c r="JK25">
        <v>24</v>
      </c>
      <c r="JL25">
        <v>29348262.6</v>
      </c>
      <c r="JM25">
        <v>29348262.6</v>
      </c>
      <c r="JN25">
        <v>0.999756</v>
      </c>
      <c r="JO25">
        <v>2.61353</v>
      </c>
      <c r="JP25">
        <v>1.54785</v>
      </c>
      <c r="JQ25">
        <v>2.31079</v>
      </c>
      <c r="JR25">
        <v>1.64673</v>
      </c>
      <c r="JS25">
        <v>2.31812</v>
      </c>
      <c r="JT25">
        <v>32.9315</v>
      </c>
      <c r="JU25">
        <v>24.1575</v>
      </c>
      <c r="JV25">
        <v>18</v>
      </c>
      <c r="JW25">
        <v>505.122</v>
      </c>
      <c r="JX25">
        <v>401.525</v>
      </c>
      <c r="JY25">
        <v>10.6805</v>
      </c>
      <c r="JZ25">
        <v>27.1405</v>
      </c>
      <c r="KA25">
        <v>30.0001</v>
      </c>
      <c r="KB25">
        <v>27.112</v>
      </c>
      <c r="KC25">
        <v>27.0652</v>
      </c>
      <c r="KD25">
        <v>20.0474</v>
      </c>
      <c r="KE25">
        <v>8.93592</v>
      </c>
      <c r="KF25">
        <v>10.0719</v>
      </c>
      <c r="KG25">
        <v>10.6735</v>
      </c>
      <c r="KH25">
        <v>420</v>
      </c>
      <c r="KI25">
        <v>8.00723</v>
      </c>
      <c r="KJ25">
        <v>96.7219</v>
      </c>
      <c r="KK25">
        <v>94.7197</v>
      </c>
    </row>
    <row r="26" spans="1:297">
      <c r="A26">
        <v>10</v>
      </c>
      <c r="B26">
        <v>1760896142.1</v>
      </c>
      <c r="C26">
        <v>2378</v>
      </c>
      <c r="D26" t="s">
        <v>480</v>
      </c>
      <c r="E26" t="s">
        <v>481</v>
      </c>
      <c r="F26">
        <v>5</v>
      </c>
      <c r="G26" t="s">
        <v>482</v>
      </c>
      <c r="H26" t="s">
        <v>436</v>
      </c>
      <c r="I26">
        <v>1760896133.6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422.94449358638</v>
      </c>
      <c r="AK26">
        <v>412.543218181818</v>
      </c>
      <c r="AL26">
        <v>0.0001542183271368</v>
      </c>
      <c r="AM26">
        <v>65.1637404474853</v>
      </c>
      <c r="AN26">
        <f>(AP26 - AO26 + DY26*1E3/(8.314*(EA26+273.15)) * AR26/DX26 * AQ26) * DX26/(100*DL26) * 1000/(1000 - AP26)</f>
        <v>0</v>
      </c>
      <c r="AO26">
        <v>6.9935892845086</v>
      </c>
      <c r="AP26">
        <v>11.9463078787879</v>
      </c>
      <c r="AQ26">
        <v>0.000112355682550231</v>
      </c>
      <c r="AR26">
        <v>116.164578841237</v>
      </c>
      <c r="AS26">
        <v>0</v>
      </c>
      <c r="AT26">
        <v>0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437</v>
      </c>
      <c r="AY26">
        <v>5082.33</v>
      </c>
      <c r="AZ26">
        <v>690.032</v>
      </c>
      <c r="BA26">
        <v>1612.68</v>
      </c>
      <c r="BB26">
        <f>1-AZ26/BA26</f>
        <v>0</v>
      </c>
      <c r="BC26">
        <v>-9.7270689171713</v>
      </c>
      <c r="BD26" t="s">
        <v>483</v>
      </c>
      <c r="BE26">
        <v>5164.9</v>
      </c>
      <c r="BF26">
        <v>1564.22538461538</v>
      </c>
      <c r="BG26">
        <v>1728.56943918274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484</v>
      </c>
      <c r="BQ26">
        <v>811.13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BZ26">
        <v>114</v>
      </c>
      <c r="CA26">
        <v>290</v>
      </c>
      <c r="CB26">
        <v>1682.85</v>
      </c>
      <c r="CC26">
        <v>105</v>
      </c>
      <c r="CD26">
        <v>5164.9</v>
      </c>
      <c r="CE26">
        <v>1681.4</v>
      </c>
      <c r="CF26">
        <v>1.45</v>
      </c>
      <c r="CG26">
        <v>300</v>
      </c>
      <c r="CH26">
        <v>23.7</v>
      </c>
      <c r="CI26">
        <v>1728.56943918274</v>
      </c>
      <c r="CJ26">
        <v>1.90170826716619</v>
      </c>
      <c r="CK26">
        <v>-24.3649332099188</v>
      </c>
      <c r="CL26">
        <v>0.883579555253318</v>
      </c>
      <c r="CM26">
        <v>0.964484798378032</v>
      </c>
      <c r="CN26">
        <v>-0.00325403848720801</v>
      </c>
      <c r="CO26">
        <v>290</v>
      </c>
      <c r="CP26">
        <v>1678.81</v>
      </c>
      <c r="CQ26">
        <v>685</v>
      </c>
      <c r="CR26">
        <v>5161.61</v>
      </c>
      <c r="CS26">
        <v>1681.37</v>
      </c>
      <c r="CT26">
        <v>-2.56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3.21</v>
      </c>
      <c r="DM26">
        <v>0.5</v>
      </c>
      <c r="DN26" t="s">
        <v>440</v>
      </c>
      <c r="DO26">
        <v>2</v>
      </c>
      <c r="DP26" t="b">
        <v>1</v>
      </c>
      <c r="DQ26">
        <v>1760896133.6</v>
      </c>
      <c r="DR26">
        <v>407.6145</v>
      </c>
      <c r="DS26">
        <v>419.993125</v>
      </c>
      <c r="DT26">
        <v>11.9384375</v>
      </c>
      <c r="DU26">
        <v>6.99174375</v>
      </c>
      <c r="DV26">
        <v>405.2125625</v>
      </c>
      <c r="DW26">
        <v>11.9758</v>
      </c>
      <c r="DX26">
        <v>500.0133125</v>
      </c>
      <c r="DY26">
        <v>91.0358875</v>
      </c>
      <c r="DZ26">
        <v>0.0325211625</v>
      </c>
      <c r="EA26">
        <v>18.81371875</v>
      </c>
      <c r="EB26">
        <v>17.98394375</v>
      </c>
      <c r="EC26">
        <v>999.9</v>
      </c>
      <c r="ED26">
        <v>0</v>
      </c>
      <c r="EE26">
        <v>0</v>
      </c>
      <c r="EF26">
        <v>10002.5375</v>
      </c>
      <c r="EG26">
        <v>0</v>
      </c>
      <c r="EH26">
        <v>1296.815625</v>
      </c>
      <c r="EI26">
        <v>-12.3784875</v>
      </c>
      <c r="EJ26">
        <v>412.539625</v>
      </c>
      <c r="EK26">
        <v>422.9501875</v>
      </c>
      <c r="EL26">
        <v>4.94668625</v>
      </c>
      <c r="EM26">
        <v>419.993125</v>
      </c>
      <c r="EN26">
        <v>6.99174375</v>
      </c>
      <c r="EO26">
        <v>1.086825</v>
      </c>
      <c r="EP26">
        <v>0.6364995625</v>
      </c>
      <c r="EQ26">
        <v>8.13544375</v>
      </c>
      <c r="ER26">
        <v>0.5043973125</v>
      </c>
      <c r="ES26">
        <v>1200</v>
      </c>
      <c r="ET26">
        <v>0.966995375</v>
      </c>
      <c r="EU26">
        <v>0.0330043625</v>
      </c>
      <c r="EV26">
        <v>0</v>
      </c>
      <c r="EW26">
        <v>1564.39125</v>
      </c>
      <c r="EX26">
        <v>5.00059</v>
      </c>
      <c r="EY26">
        <v>18405.59375</v>
      </c>
      <c r="EZ26">
        <v>10358.70625</v>
      </c>
      <c r="FA26">
        <v>37.0974375</v>
      </c>
      <c r="FB26">
        <v>38.9490625</v>
      </c>
      <c r="FC26">
        <v>37.585625</v>
      </c>
      <c r="FD26">
        <v>38.2301875</v>
      </c>
      <c r="FE26">
        <v>37.995875</v>
      </c>
      <c r="FF26">
        <v>1155.56</v>
      </c>
      <c r="FG26">
        <v>39.44</v>
      </c>
      <c r="FH26">
        <v>0</v>
      </c>
      <c r="FI26">
        <v>380.200000047684</v>
      </c>
      <c r="FJ26">
        <v>0</v>
      </c>
      <c r="FK26">
        <v>1564.22538461538</v>
      </c>
      <c r="FL26">
        <v>-11.0071795028157</v>
      </c>
      <c r="FM26">
        <v>-148.694017226413</v>
      </c>
      <c r="FN26">
        <v>18403.6192307692</v>
      </c>
      <c r="FO26">
        <v>15</v>
      </c>
      <c r="FP26">
        <v>0</v>
      </c>
      <c r="FQ26" t="s">
        <v>441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-12.3851523809524</v>
      </c>
      <c r="GD26">
        <v>-0.00569610389612016</v>
      </c>
      <c r="GE26">
        <v>0.0376470149205259</v>
      </c>
      <c r="GF26">
        <v>1</v>
      </c>
      <c r="GG26">
        <v>1564.915</v>
      </c>
      <c r="GH26">
        <v>-10.023682204036</v>
      </c>
      <c r="GI26">
        <v>1.00454042755294</v>
      </c>
      <c r="GJ26">
        <v>-1</v>
      </c>
      <c r="GK26">
        <v>4.94928095238095</v>
      </c>
      <c r="GL26">
        <v>-0.0385449350649397</v>
      </c>
      <c r="GM26">
        <v>0.00599167430671373</v>
      </c>
      <c r="GN26">
        <v>1</v>
      </c>
      <c r="GO26">
        <v>2</v>
      </c>
      <c r="GP26">
        <v>2</v>
      </c>
      <c r="GQ26" t="s">
        <v>442</v>
      </c>
      <c r="GR26">
        <v>3.12894</v>
      </c>
      <c r="GS26">
        <v>2.71008</v>
      </c>
      <c r="GT26">
        <v>0.0881001</v>
      </c>
      <c r="GU26">
        <v>0.0906499</v>
      </c>
      <c r="GV26">
        <v>0.062237</v>
      </c>
      <c r="GW26">
        <v>0.040794</v>
      </c>
      <c r="GX26">
        <v>34417.8</v>
      </c>
      <c r="GY26">
        <v>36789.8</v>
      </c>
      <c r="GZ26">
        <v>34141.5</v>
      </c>
      <c r="HA26">
        <v>36624.5</v>
      </c>
      <c r="HB26">
        <v>45212.7</v>
      </c>
      <c r="HC26">
        <v>50421</v>
      </c>
      <c r="HD26">
        <v>53211</v>
      </c>
      <c r="HE26">
        <v>58475.9</v>
      </c>
      <c r="HF26">
        <v>1.9744</v>
      </c>
      <c r="HG26">
        <v>1.81035</v>
      </c>
      <c r="HH26">
        <v>-0.0242293</v>
      </c>
      <c r="HI26">
        <v>0</v>
      </c>
      <c r="HJ26">
        <v>18.4013</v>
      </c>
      <c r="HK26">
        <v>999.9</v>
      </c>
      <c r="HL26">
        <v>24.246</v>
      </c>
      <c r="HM26">
        <v>29.356</v>
      </c>
      <c r="HN26">
        <v>10.9346</v>
      </c>
      <c r="HO26">
        <v>55.602</v>
      </c>
      <c r="HP26">
        <v>47.5761</v>
      </c>
      <c r="HQ26">
        <v>1</v>
      </c>
      <c r="HR26">
        <v>-0.0315193</v>
      </c>
      <c r="HS26">
        <v>4.99686</v>
      </c>
      <c r="HT26">
        <v>20.0674</v>
      </c>
      <c r="HU26">
        <v>5.19692</v>
      </c>
      <c r="HV26">
        <v>12.0053</v>
      </c>
      <c r="HW26">
        <v>4.97565</v>
      </c>
      <c r="HX26">
        <v>3.294</v>
      </c>
      <c r="HY26">
        <v>9999</v>
      </c>
      <c r="HZ26">
        <v>999.9</v>
      </c>
      <c r="IA26">
        <v>9999</v>
      </c>
      <c r="IB26">
        <v>9999</v>
      </c>
      <c r="IC26">
        <v>1.86318</v>
      </c>
      <c r="ID26">
        <v>1.86798</v>
      </c>
      <c r="IE26">
        <v>1.86781</v>
      </c>
      <c r="IF26">
        <v>1.86904</v>
      </c>
      <c r="IG26">
        <v>1.86981</v>
      </c>
      <c r="IH26">
        <v>1.86584</v>
      </c>
      <c r="II26">
        <v>1.86691</v>
      </c>
      <c r="IJ26">
        <v>1.8683</v>
      </c>
      <c r="IK26">
        <v>5</v>
      </c>
      <c r="IL26">
        <v>0</v>
      </c>
      <c r="IM26">
        <v>0</v>
      </c>
      <c r="IN26">
        <v>0</v>
      </c>
      <c r="IO26" t="s">
        <v>443</v>
      </c>
      <c r="IP26" t="s">
        <v>444</v>
      </c>
      <c r="IQ26" t="s">
        <v>445</v>
      </c>
      <c r="IR26" t="s">
        <v>445</v>
      </c>
      <c r="IS26" t="s">
        <v>445</v>
      </c>
      <c r="IT26" t="s">
        <v>445</v>
      </c>
      <c r="IU26">
        <v>0</v>
      </c>
      <c r="IV26">
        <v>100</v>
      </c>
      <c r="IW26">
        <v>100</v>
      </c>
      <c r="IX26">
        <v>2.402</v>
      </c>
      <c r="IY26">
        <v>-0.0372</v>
      </c>
      <c r="IZ26">
        <v>0.833350075594679</v>
      </c>
      <c r="JA26">
        <v>0.00412825224050377</v>
      </c>
      <c r="JB26">
        <v>-7.34426573386615e-07</v>
      </c>
      <c r="JC26">
        <v>2.46800082545482e-10</v>
      </c>
      <c r="JD26">
        <v>-0.0848433440729365</v>
      </c>
      <c r="JE26">
        <v>-0.0240557196358944</v>
      </c>
      <c r="JF26">
        <v>0.0027855358087715</v>
      </c>
      <c r="JG26">
        <v>-3.72349365099102e-05</v>
      </c>
      <c r="JH26">
        <v>5</v>
      </c>
      <c r="JI26">
        <v>2250</v>
      </c>
      <c r="JJ26">
        <v>0</v>
      </c>
      <c r="JK26">
        <v>24</v>
      </c>
      <c r="JL26">
        <v>29348269</v>
      </c>
      <c r="JM26">
        <v>29348269</v>
      </c>
      <c r="JN26">
        <v>0.999756</v>
      </c>
      <c r="JO26">
        <v>2.61841</v>
      </c>
      <c r="JP26">
        <v>1.54785</v>
      </c>
      <c r="JQ26">
        <v>2.31079</v>
      </c>
      <c r="JR26">
        <v>1.64673</v>
      </c>
      <c r="JS26">
        <v>2.30591</v>
      </c>
      <c r="JT26">
        <v>32.8202</v>
      </c>
      <c r="JU26">
        <v>24.1751</v>
      </c>
      <c r="JV26">
        <v>18</v>
      </c>
      <c r="JW26">
        <v>506.13</v>
      </c>
      <c r="JX26">
        <v>401.089</v>
      </c>
      <c r="JY26">
        <v>12.3038</v>
      </c>
      <c r="JZ26">
        <v>26.8522</v>
      </c>
      <c r="KA26">
        <v>29.9995</v>
      </c>
      <c r="KB26">
        <v>26.8957</v>
      </c>
      <c r="KC26">
        <v>26.8556</v>
      </c>
      <c r="KD26">
        <v>20.04</v>
      </c>
      <c r="KE26">
        <v>17.6409</v>
      </c>
      <c r="KF26">
        <v>7.46361</v>
      </c>
      <c r="KG26">
        <v>12.3133</v>
      </c>
      <c r="KH26">
        <v>420</v>
      </c>
      <c r="KI26">
        <v>7.03583</v>
      </c>
      <c r="KJ26">
        <v>96.7616</v>
      </c>
      <c r="KK26">
        <v>94.7801</v>
      </c>
    </row>
    <row r="27" spans="1:297">
      <c r="A27">
        <v>11</v>
      </c>
      <c r="B27">
        <v>1760896339.1</v>
      </c>
      <c r="C27">
        <v>2575</v>
      </c>
      <c r="D27" t="s">
        <v>485</v>
      </c>
      <c r="E27" t="s">
        <v>486</v>
      </c>
      <c r="F27">
        <v>5</v>
      </c>
      <c r="G27" t="s">
        <v>482</v>
      </c>
      <c r="H27" t="s">
        <v>436</v>
      </c>
      <c r="I27">
        <v>1760896330.6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422.956009998859</v>
      </c>
      <c r="AK27">
        <v>412.549078787879</v>
      </c>
      <c r="AL27">
        <v>0.00088946521451281</v>
      </c>
      <c r="AM27">
        <v>65.1637404474853</v>
      </c>
      <c r="AN27">
        <f>(AP27 - AO27 + DY27*1E3/(8.314*(EA27+273.15)) * AR27/DX27 * AQ27) * DX27/(100*DL27) * 1000/(1000 - AP27)</f>
        <v>0</v>
      </c>
      <c r="AO27">
        <v>7.03369699983204</v>
      </c>
      <c r="AP27">
        <v>11.9254587878788</v>
      </c>
      <c r="AQ27">
        <v>-1.46472512399639e-05</v>
      </c>
      <c r="AR27">
        <v>116.164578841237</v>
      </c>
      <c r="AS27">
        <v>0</v>
      </c>
      <c r="AT27">
        <v>0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437</v>
      </c>
      <c r="AY27">
        <v>5082.33</v>
      </c>
      <c r="AZ27">
        <v>690.032</v>
      </c>
      <c r="BA27">
        <v>1612.68</v>
      </c>
      <c r="BB27">
        <f>1-AZ27/BA27</f>
        <v>0</v>
      </c>
      <c r="BC27">
        <v>-9.7270689171713</v>
      </c>
      <c r="BD27" t="s">
        <v>487</v>
      </c>
      <c r="BE27">
        <v>5161.69</v>
      </c>
      <c r="BF27">
        <v>1532.8552</v>
      </c>
      <c r="BG27">
        <v>1695.3590361511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488</v>
      </c>
      <c r="BQ27">
        <v>813.87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BZ27">
        <v>116</v>
      </c>
      <c r="CA27">
        <v>290</v>
      </c>
      <c r="CB27">
        <v>1648.01</v>
      </c>
      <c r="CC27">
        <v>245</v>
      </c>
      <c r="CD27">
        <v>5161.69</v>
      </c>
      <c r="CE27">
        <v>1647.06</v>
      </c>
      <c r="CF27">
        <v>0.95</v>
      </c>
      <c r="CG27">
        <v>300</v>
      </c>
      <c r="CH27">
        <v>23.7</v>
      </c>
      <c r="CI27">
        <v>1695.3590361511</v>
      </c>
      <c r="CJ27">
        <v>1.67801763868361</v>
      </c>
      <c r="CK27">
        <v>-24.9308424333695</v>
      </c>
      <c r="CL27">
        <v>0.779465058370468</v>
      </c>
      <c r="CM27">
        <v>0.973359002813924</v>
      </c>
      <c r="CN27">
        <v>-0.00325401512791991</v>
      </c>
      <c r="CO27">
        <v>290</v>
      </c>
      <c r="CP27">
        <v>1644.43</v>
      </c>
      <c r="CQ27">
        <v>695</v>
      </c>
      <c r="CR27">
        <v>5160.44</v>
      </c>
      <c r="CS27">
        <v>1647.05</v>
      </c>
      <c r="CT27">
        <v>-2.62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3.21</v>
      </c>
      <c r="DM27">
        <v>0.5</v>
      </c>
      <c r="DN27" t="s">
        <v>440</v>
      </c>
      <c r="DO27">
        <v>2</v>
      </c>
      <c r="DP27" t="b">
        <v>1</v>
      </c>
      <c r="DQ27">
        <v>1760896330.6</v>
      </c>
      <c r="DR27">
        <v>407.606125</v>
      </c>
      <c r="DS27">
        <v>419.9955625</v>
      </c>
      <c r="DT27">
        <v>11.93076875</v>
      </c>
      <c r="DU27">
        <v>7.033739375</v>
      </c>
      <c r="DV27">
        <v>405.204125</v>
      </c>
      <c r="DW27">
        <v>11.96834375</v>
      </c>
      <c r="DX27">
        <v>499.99</v>
      </c>
      <c r="DY27">
        <v>91.02968125</v>
      </c>
      <c r="DZ27">
        <v>0.03232258125</v>
      </c>
      <c r="EA27">
        <v>18.7396</v>
      </c>
      <c r="EB27">
        <v>17.99965625</v>
      </c>
      <c r="EC27">
        <v>999.9</v>
      </c>
      <c r="ED27">
        <v>0</v>
      </c>
      <c r="EE27">
        <v>0</v>
      </c>
      <c r="EF27">
        <v>10001.795625</v>
      </c>
      <c r="EG27">
        <v>0</v>
      </c>
      <c r="EH27">
        <v>1297.551875</v>
      </c>
      <c r="EI27">
        <v>-12.3894625</v>
      </c>
      <c r="EJ27">
        <v>412.52775</v>
      </c>
      <c r="EK27">
        <v>422.9705625</v>
      </c>
      <c r="EL27">
        <v>4.89703</v>
      </c>
      <c r="EM27">
        <v>419.9955625</v>
      </c>
      <c r="EN27">
        <v>7.033739375</v>
      </c>
      <c r="EO27">
        <v>1.08605375</v>
      </c>
      <c r="EP27">
        <v>0.640279</v>
      </c>
      <c r="EQ27">
        <v>8.12499875</v>
      </c>
      <c r="ER27">
        <v>0.5862821875</v>
      </c>
      <c r="ES27">
        <v>1199.944375</v>
      </c>
      <c r="ET27">
        <v>0.967</v>
      </c>
      <c r="EU27">
        <v>0.033000325</v>
      </c>
      <c r="EV27">
        <v>0</v>
      </c>
      <c r="EW27">
        <v>1533.114375</v>
      </c>
      <c r="EX27">
        <v>5.00059</v>
      </c>
      <c r="EY27">
        <v>18034.34375</v>
      </c>
      <c r="EZ27">
        <v>10358.23125</v>
      </c>
      <c r="FA27">
        <v>36.8083125</v>
      </c>
      <c r="FB27">
        <v>39.3981875</v>
      </c>
      <c r="FC27">
        <v>37.409875</v>
      </c>
      <c r="FD27">
        <v>38.7770625</v>
      </c>
      <c r="FE27">
        <v>37.9880625</v>
      </c>
      <c r="FF27">
        <v>1155.51125</v>
      </c>
      <c r="FG27">
        <v>39.433125</v>
      </c>
      <c r="FH27">
        <v>0</v>
      </c>
      <c r="FI27">
        <v>193.599999904633</v>
      </c>
      <c r="FJ27">
        <v>0</v>
      </c>
      <c r="FK27">
        <v>1532.8552</v>
      </c>
      <c r="FL27">
        <v>-11.8738461775522</v>
      </c>
      <c r="FM27">
        <v>-82.3538462857958</v>
      </c>
      <c r="FN27">
        <v>18032.292</v>
      </c>
      <c r="FO27">
        <v>15</v>
      </c>
      <c r="FP27">
        <v>0</v>
      </c>
      <c r="FQ27" t="s">
        <v>441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-12.386875</v>
      </c>
      <c r="GD27">
        <v>-0.0661939849624237</v>
      </c>
      <c r="GE27">
        <v>0.0283116561684404</v>
      </c>
      <c r="GF27">
        <v>1</v>
      </c>
      <c r="GG27">
        <v>1533.81823529412</v>
      </c>
      <c r="GH27">
        <v>-11.4267379584953</v>
      </c>
      <c r="GI27">
        <v>1.14237490134583</v>
      </c>
      <c r="GJ27">
        <v>-1</v>
      </c>
      <c r="GK27">
        <v>4.8977865</v>
      </c>
      <c r="GL27">
        <v>-0.00896436090225208</v>
      </c>
      <c r="GM27">
        <v>0.00149083625861465</v>
      </c>
      <c r="GN27">
        <v>1</v>
      </c>
      <c r="GO27">
        <v>2</v>
      </c>
      <c r="GP27">
        <v>2</v>
      </c>
      <c r="GQ27" t="s">
        <v>442</v>
      </c>
      <c r="GR27">
        <v>3.12918</v>
      </c>
      <c r="GS27">
        <v>2.71063</v>
      </c>
      <c r="GT27">
        <v>0.0881475</v>
      </c>
      <c r="GU27">
        <v>0.0906891</v>
      </c>
      <c r="GV27">
        <v>0.0621933</v>
      </c>
      <c r="GW27">
        <v>0.0410512</v>
      </c>
      <c r="GX27">
        <v>34431</v>
      </c>
      <c r="GY27">
        <v>36809.7</v>
      </c>
      <c r="GZ27">
        <v>34155</v>
      </c>
      <c r="HA27">
        <v>36644.5</v>
      </c>
      <c r="HB27">
        <v>45229.6</v>
      </c>
      <c r="HC27">
        <v>50433.8</v>
      </c>
      <c r="HD27">
        <v>53228.1</v>
      </c>
      <c r="HE27">
        <v>58505.6</v>
      </c>
      <c r="HF27">
        <v>1.9779</v>
      </c>
      <c r="HG27">
        <v>1.81355</v>
      </c>
      <c r="HH27">
        <v>-0.0271872</v>
      </c>
      <c r="HI27">
        <v>0</v>
      </c>
      <c r="HJ27">
        <v>18.4394</v>
      </c>
      <c r="HK27">
        <v>999.9</v>
      </c>
      <c r="HL27">
        <v>23.746</v>
      </c>
      <c r="HM27">
        <v>29.386</v>
      </c>
      <c r="HN27">
        <v>10.7286</v>
      </c>
      <c r="HO27">
        <v>55.792</v>
      </c>
      <c r="HP27">
        <v>47.2877</v>
      </c>
      <c r="HQ27">
        <v>1</v>
      </c>
      <c r="HR27">
        <v>-0.0517937</v>
      </c>
      <c r="HS27">
        <v>5.01229</v>
      </c>
      <c r="HT27">
        <v>20.0685</v>
      </c>
      <c r="HU27">
        <v>5.19947</v>
      </c>
      <c r="HV27">
        <v>12.0059</v>
      </c>
      <c r="HW27">
        <v>4.97565</v>
      </c>
      <c r="HX27">
        <v>3.29385</v>
      </c>
      <c r="HY27">
        <v>9999</v>
      </c>
      <c r="HZ27">
        <v>999.9</v>
      </c>
      <c r="IA27">
        <v>9999</v>
      </c>
      <c r="IB27">
        <v>9999</v>
      </c>
      <c r="IC27">
        <v>1.8632</v>
      </c>
      <c r="ID27">
        <v>1.86799</v>
      </c>
      <c r="IE27">
        <v>1.86783</v>
      </c>
      <c r="IF27">
        <v>1.86905</v>
      </c>
      <c r="IG27">
        <v>1.86982</v>
      </c>
      <c r="IH27">
        <v>1.86584</v>
      </c>
      <c r="II27">
        <v>1.86691</v>
      </c>
      <c r="IJ27">
        <v>1.86832</v>
      </c>
      <c r="IK27">
        <v>5</v>
      </c>
      <c r="IL27">
        <v>0</v>
      </c>
      <c r="IM27">
        <v>0</v>
      </c>
      <c r="IN27">
        <v>0</v>
      </c>
      <c r="IO27" t="s">
        <v>443</v>
      </c>
      <c r="IP27" t="s">
        <v>444</v>
      </c>
      <c r="IQ27" t="s">
        <v>445</v>
      </c>
      <c r="IR27" t="s">
        <v>445</v>
      </c>
      <c r="IS27" t="s">
        <v>445</v>
      </c>
      <c r="IT27" t="s">
        <v>445</v>
      </c>
      <c r="IU27">
        <v>0</v>
      </c>
      <c r="IV27">
        <v>100</v>
      </c>
      <c r="IW27">
        <v>100</v>
      </c>
      <c r="IX27">
        <v>2.402</v>
      </c>
      <c r="IY27">
        <v>-0.0377</v>
      </c>
      <c r="IZ27">
        <v>0.833350075594679</v>
      </c>
      <c r="JA27">
        <v>0.00412825224050377</v>
      </c>
      <c r="JB27">
        <v>-7.34426573386615e-07</v>
      </c>
      <c r="JC27">
        <v>2.46800082545482e-10</v>
      </c>
      <c r="JD27">
        <v>-0.0848433440729365</v>
      </c>
      <c r="JE27">
        <v>-0.0240557196358944</v>
      </c>
      <c r="JF27">
        <v>0.0027855358087715</v>
      </c>
      <c r="JG27">
        <v>-3.72349365099102e-05</v>
      </c>
      <c r="JH27">
        <v>5</v>
      </c>
      <c r="JI27">
        <v>2250</v>
      </c>
      <c r="JJ27">
        <v>0</v>
      </c>
      <c r="JK27">
        <v>24</v>
      </c>
      <c r="JL27">
        <v>29348272.3</v>
      </c>
      <c r="JM27">
        <v>29348272.3</v>
      </c>
      <c r="JN27">
        <v>1.00098</v>
      </c>
      <c r="JO27">
        <v>2.61841</v>
      </c>
      <c r="JP27">
        <v>1.54785</v>
      </c>
      <c r="JQ27">
        <v>2.31079</v>
      </c>
      <c r="JR27">
        <v>1.64673</v>
      </c>
      <c r="JS27">
        <v>2.35596</v>
      </c>
      <c r="JT27">
        <v>32.7758</v>
      </c>
      <c r="JU27">
        <v>24.1838</v>
      </c>
      <c r="JV27">
        <v>18</v>
      </c>
      <c r="JW27">
        <v>506.377</v>
      </c>
      <c r="JX27">
        <v>401.29</v>
      </c>
      <c r="JY27">
        <v>12.0256</v>
      </c>
      <c r="JZ27">
        <v>26.5913</v>
      </c>
      <c r="KA27">
        <v>29.9993</v>
      </c>
      <c r="KB27">
        <v>26.6711</v>
      </c>
      <c r="KC27">
        <v>26.6372</v>
      </c>
      <c r="KD27">
        <v>20.0444</v>
      </c>
      <c r="KE27">
        <v>14.7879</v>
      </c>
      <c r="KF27">
        <v>6.72308</v>
      </c>
      <c r="KG27">
        <v>12.1028</v>
      </c>
      <c r="KH27">
        <v>420</v>
      </c>
      <c r="KI27">
        <v>7.0914</v>
      </c>
      <c r="KJ27">
        <v>96.7955</v>
      </c>
      <c r="KK27">
        <v>94.8296</v>
      </c>
    </row>
    <row r="28" spans="1:297">
      <c r="A28">
        <v>12</v>
      </c>
      <c r="B28">
        <v>1760896481.1</v>
      </c>
      <c r="C28">
        <v>2717</v>
      </c>
      <c r="D28" t="s">
        <v>489</v>
      </c>
      <c r="E28" t="s">
        <v>490</v>
      </c>
      <c r="F28">
        <v>5</v>
      </c>
      <c r="G28" t="s">
        <v>482</v>
      </c>
      <c r="H28" t="s">
        <v>436</v>
      </c>
      <c r="I28">
        <v>1760896473.1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423.010175660398</v>
      </c>
      <c r="AK28">
        <v>412.471727272727</v>
      </c>
      <c r="AL28">
        <v>0.000608083741120822</v>
      </c>
      <c r="AM28">
        <v>65.1637404474853</v>
      </c>
      <c r="AN28">
        <f>(AP28 - AO28 + DY28*1E3/(8.314*(EA28+273.15)) * AR28/DX28 * AQ28) * DX28/(100*DL28) * 1000/(1000 - AP28)</f>
        <v>0</v>
      </c>
      <c r="AO28">
        <v>7.08200346068994</v>
      </c>
      <c r="AP28">
        <v>11.9094921212121</v>
      </c>
      <c r="AQ28">
        <v>4.487239879182e-05</v>
      </c>
      <c r="AR28">
        <v>116.164578841237</v>
      </c>
      <c r="AS28">
        <v>0</v>
      </c>
      <c r="AT28">
        <v>0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437</v>
      </c>
      <c r="AY28">
        <v>5082.33</v>
      </c>
      <c r="AZ28">
        <v>690.032</v>
      </c>
      <c r="BA28">
        <v>1612.68</v>
      </c>
      <c r="BB28">
        <f>1-AZ28/BA28</f>
        <v>0</v>
      </c>
      <c r="BC28">
        <v>-9.7270689171713</v>
      </c>
      <c r="BD28" t="s">
        <v>491</v>
      </c>
      <c r="BE28">
        <v>5162.37</v>
      </c>
      <c r="BF28">
        <v>1512.12</v>
      </c>
      <c r="BG28">
        <v>1665.93749877923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492</v>
      </c>
      <c r="BQ28">
        <v>810.87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BZ28">
        <v>118</v>
      </c>
      <c r="CA28">
        <v>290</v>
      </c>
      <c r="CB28">
        <v>1624.58</v>
      </c>
      <c r="CC28">
        <v>75</v>
      </c>
      <c r="CD28">
        <v>5162.37</v>
      </c>
      <c r="CE28">
        <v>1623.6</v>
      </c>
      <c r="CF28">
        <v>0.98</v>
      </c>
      <c r="CG28">
        <v>300</v>
      </c>
      <c r="CH28">
        <v>23.7</v>
      </c>
      <c r="CI28">
        <v>1665.93749877923</v>
      </c>
      <c r="CJ28">
        <v>1.80323496620745</v>
      </c>
      <c r="CK28">
        <v>-21.8543757700495</v>
      </c>
      <c r="CL28">
        <v>0.83725033095525</v>
      </c>
      <c r="CM28">
        <v>0.960526884996191</v>
      </c>
      <c r="CN28">
        <v>-0.00325225494994439</v>
      </c>
      <c r="CO28">
        <v>290</v>
      </c>
      <c r="CP28">
        <v>1621.42</v>
      </c>
      <c r="CQ28">
        <v>755</v>
      </c>
      <c r="CR28">
        <v>5157.71</v>
      </c>
      <c r="CS28">
        <v>1623.57</v>
      </c>
      <c r="CT28">
        <v>-2.15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3.21</v>
      </c>
      <c r="DM28">
        <v>0.5</v>
      </c>
      <c r="DN28" t="s">
        <v>440</v>
      </c>
      <c r="DO28">
        <v>2</v>
      </c>
      <c r="DP28" t="b">
        <v>1</v>
      </c>
      <c r="DQ28">
        <v>1760896473.1</v>
      </c>
      <c r="DR28">
        <v>407.583266666667</v>
      </c>
      <c r="DS28">
        <v>419.987933333333</v>
      </c>
      <c r="DT28">
        <v>11.90502</v>
      </c>
      <c r="DU28">
        <v>7.07053066666667</v>
      </c>
      <c r="DV28">
        <v>405.1814</v>
      </c>
      <c r="DW28">
        <v>11.9432466666667</v>
      </c>
      <c r="DX28">
        <v>500.0488</v>
      </c>
      <c r="DY28">
        <v>91.0230666666667</v>
      </c>
      <c r="DZ28">
        <v>0.03163892</v>
      </c>
      <c r="EA28">
        <v>18.7660666666667</v>
      </c>
      <c r="EB28">
        <v>18.00466</v>
      </c>
      <c r="EC28">
        <v>999.9</v>
      </c>
      <c r="ED28">
        <v>0</v>
      </c>
      <c r="EE28">
        <v>0</v>
      </c>
      <c r="EF28">
        <v>10011.792</v>
      </c>
      <c r="EG28">
        <v>0</v>
      </c>
      <c r="EH28">
        <v>1297.66866666667</v>
      </c>
      <c r="EI28">
        <v>-12.40454</v>
      </c>
      <c r="EJ28">
        <v>412.493933333333</v>
      </c>
      <c r="EK28">
        <v>422.978533333333</v>
      </c>
      <c r="EL28">
        <v>4.834482</v>
      </c>
      <c r="EM28">
        <v>419.987933333333</v>
      </c>
      <c r="EN28">
        <v>7.07053066666667</v>
      </c>
      <c r="EO28">
        <v>1.08363066666667</v>
      </c>
      <c r="EP28">
        <v>0.6435814</v>
      </c>
      <c r="EQ28">
        <v>8.09213866666667</v>
      </c>
      <c r="ER28">
        <v>0.657471933333333</v>
      </c>
      <c r="ES28">
        <v>1200.07</v>
      </c>
      <c r="ET28">
        <v>0.9670056</v>
      </c>
      <c r="EU28">
        <v>0.03299436</v>
      </c>
      <c r="EV28">
        <v>0</v>
      </c>
      <c r="EW28">
        <v>1512.242</v>
      </c>
      <c r="EX28">
        <v>5.00059</v>
      </c>
      <c r="EY28">
        <v>17885.24</v>
      </c>
      <c r="EZ28">
        <v>10359.3333333333</v>
      </c>
      <c r="FA28">
        <v>38.6955333333333</v>
      </c>
      <c r="FB28">
        <v>41.6206</v>
      </c>
      <c r="FC28">
        <v>39.2580666666667</v>
      </c>
      <c r="FD28">
        <v>41.7205333333333</v>
      </c>
      <c r="FE28">
        <v>39.7956</v>
      </c>
      <c r="FF28">
        <v>1155.63866666667</v>
      </c>
      <c r="FG28">
        <v>39.43</v>
      </c>
      <c r="FH28">
        <v>0</v>
      </c>
      <c r="FI28">
        <v>138.200000047684</v>
      </c>
      <c r="FJ28">
        <v>0</v>
      </c>
      <c r="FK28">
        <v>1512.12</v>
      </c>
      <c r="FL28">
        <v>-10.7346153530229</v>
      </c>
      <c r="FM28">
        <v>-163.084615070694</v>
      </c>
      <c r="FN28">
        <v>17883.244</v>
      </c>
      <c r="FO28">
        <v>15</v>
      </c>
      <c r="FP28">
        <v>0</v>
      </c>
      <c r="FQ28" t="s">
        <v>441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-12.4075333333333</v>
      </c>
      <c r="GD28">
        <v>-0.0977376623376698</v>
      </c>
      <c r="GE28">
        <v>0.0470444301984668</v>
      </c>
      <c r="GF28">
        <v>1</v>
      </c>
      <c r="GG28">
        <v>1512.765</v>
      </c>
      <c r="GH28">
        <v>-11.4440030494305</v>
      </c>
      <c r="GI28">
        <v>1.14051136621719</v>
      </c>
      <c r="GJ28">
        <v>-1</v>
      </c>
      <c r="GK28">
        <v>4.83450761904762</v>
      </c>
      <c r="GL28">
        <v>-0.0259402597402507</v>
      </c>
      <c r="GM28">
        <v>0.00568513760336205</v>
      </c>
      <c r="GN28">
        <v>1</v>
      </c>
      <c r="GO28">
        <v>2</v>
      </c>
      <c r="GP28">
        <v>2</v>
      </c>
      <c r="GQ28" t="s">
        <v>442</v>
      </c>
      <c r="GR28">
        <v>3.12919</v>
      </c>
      <c r="GS28">
        <v>2.70954</v>
      </c>
      <c r="GT28">
        <v>0.0881529</v>
      </c>
      <c r="GU28">
        <v>0.0907128</v>
      </c>
      <c r="GV28">
        <v>0.062148</v>
      </c>
      <c r="GW28">
        <v>0.0412499</v>
      </c>
      <c r="GX28">
        <v>34437.6</v>
      </c>
      <c r="GY28">
        <v>36818.9</v>
      </c>
      <c r="GZ28">
        <v>34160.9</v>
      </c>
      <c r="HA28">
        <v>36653.8</v>
      </c>
      <c r="HB28">
        <v>45238.2</v>
      </c>
      <c r="HC28">
        <v>50435.6</v>
      </c>
      <c r="HD28">
        <v>53235.5</v>
      </c>
      <c r="HE28">
        <v>58519.3</v>
      </c>
      <c r="HF28">
        <v>1.97983</v>
      </c>
      <c r="HG28">
        <v>1.81533</v>
      </c>
      <c r="HH28">
        <v>-0.0303015</v>
      </c>
      <c r="HI28">
        <v>0</v>
      </c>
      <c r="HJ28">
        <v>18.4981</v>
      </c>
      <c r="HK28">
        <v>999.9</v>
      </c>
      <c r="HL28">
        <v>23.465</v>
      </c>
      <c r="HM28">
        <v>29.416</v>
      </c>
      <c r="HN28">
        <v>10.6209</v>
      </c>
      <c r="HO28">
        <v>55.722</v>
      </c>
      <c r="HP28">
        <v>47.492</v>
      </c>
      <c r="HQ28">
        <v>1</v>
      </c>
      <c r="HR28">
        <v>-0.0610366</v>
      </c>
      <c r="HS28">
        <v>5.49299</v>
      </c>
      <c r="HT28">
        <v>20.0521</v>
      </c>
      <c r="HU28">
        <v>5.19932</v>
      </c>
      <c r="HV28">
        <v>12.0065</v>
      </c>
      <c r="HW28">
        <v>4.97575</v>
      </c>
      <c r="HX28">
        <v>3.29383</v>
      </c>
      <c r="HY28">
        <v>9999</v>
      </c>
      <c r="HZ28">
        <v>999.9</v>
      </c>
      <c r="IA28">
        <v>9999</v>
      </c>
      <c r="IB28">
        <v>9999</v>
      </c>
      <c r="IC28">
        <v>1.86322</v>
      </c>
      <c r="ID28">
        <v>1.868</v>
      </c>
      <c r="IE28">
        <v>1.86782</v>
      </c>
      <c r="IF28">
        <v>1.86904</v>
      </c>
      <c r="IG28">
        <v>1.86981</v>
      </c>
      <c r="IH28">
        <v>1.86584</v>
      </c>
      <c r="II28">
        <v>1.86691</v>
      </c>
      <c r="IJ28">
        <v>1.86832</v>
      </c>
      <c r="IK28">
        <v>5</v>
      </c>
      <c r="IL28">
        <v>0</v>
      </c>
      <c r="IM28">
        <v>0</v>
      </c>
      <c r="IN28">
        <v>0</v>
      </c>
      <c r="IO28" t="s">
        <v>443</v>
      </c>
      <c r="IP28" t="s">
        <v>444</v>
      </c>
      <c r="IQ28" t="s">
        <v>445</v>
      </c>
      <c r="IR28" t="s">
        <v>445</v>
      </c>
      <c r="IS28" t="s">
        <v>445</v>
      </c>
      <c r="IT28" t="s">
        <v>445</v>
      </c>
      <c r="IU28">
        <v>0</v>
      </c>
      <c r="IV28">
        <v>100</v>
      </c>
      <c r="IW28">
        <v>100</v>
      </c>
      <c r="IX28">
        <v>2.402</v>
      </c>
      <c r="IY28">
        <v>-0.0381</v>
      </c>
      <c r="IZ28">
        <v>0.833350075594679</v>
      </c>
      <c r="JA28">
        <v>0.00412825224050377</v>
      </c>
      <c r="JB28">
        <v>-7.34426573386615e-07</v>
      </c>
      <c r="JC28">
        <v>2.46800082545482e-10</v>
      </c>
      <c r="JD28">
        <v>-0.0848433440729365</v>
      </c>
      <c r="JE28">
        <v>-0.0240557196358944</v>
      </c>
      <c r="JF28">
        <v>0.0027855358087715</v>
      </c>
      <c r="JG28">
        <v>-3.72349365099102e-05</v>
      </c>
      <c r="JH28">
        <v>5</v>
      </c>
      <c r="JI28">
        <v>2250</v>
      </c>
      <c r="JJ28">
        <v>0</v>
      </c>
      <c r="JK28">
        <v>24</v>
      </c>
      <c r="JL28">
        <v>29348274.7</v>
      </c>
      <c r="JM28">
        <v>29348274.7</v>
      </c>
      <c r="JN28">
        <v>0.999756</v>
      </c>
      <c r="JO28">
        <v>2.6123</v>
      </c>
      <c r="JP28">
        <v>1.54785</v>
      </c>
      <c r="JQ28">
        <v>2.31079</v>
      </c>
      <c r="JR28">
        <v>1.64673</v>
      </c>
      <c r="JS28">
        <v>2.32544</v>
      </c>
      <c r="JT28">
        <v>32.7758</v>
      </c>
      <c r="JU28">
        <v>24.1751</v>
      </c>
      <c r="JV28">
        <v>18</v>
      </c>
      <c r="JW28">
        <v>506.348</v>
      </c>
      <c r="JX28">
        <v>401.27</v>
      </c>
      <c r="JY28">
        <v>11.7201</v>
      </c>
      <c r="JZ28">
        <v>26.4485</v>
      </c>
      <c r="KA28">
        <v>29.9999</v>
      </c>
      <c r="KB28">
        <v>26.5302</v>
      </c>
      <c r="KC28">
        <v>26.4981</v>
      </c>
      <c r="KD28">
        <v>20.0448</v>
      </c>
      <c r="KE28">
        <v>13.0612</v>
      </c>
      <c r="KF28">
        <v>6.35297</v>
      </c>
      <c r="KG28">
        <v>11.7208</v>
      </c>
      <c r="KH28">
        <v>420</v>
      </c>
      <c r="KI28">
        <v>7.12286</v>
      </c>
      <c r="KJ28">
        <v>96.8102</v>
      </c>
      <c r="KK28">
        <v>94.8526</v>
      </c>
    </row>
    <row r="29" spans="1:297">
      <c r="A29">
        <v>13</v>
      </c>
      <c r="B29">
        <v>1760896894.1</v>
      </c>
      <c r="C29">
        <v>3130</v>
      </c>
      <c r="D29" t="s">
        <v>493</v>
      </c>
      <c r="E29" t="s">
        <v>494</v>
      </c>
      <c r="F29">
        <v>5</v>
      </c>
      <c r="G29" t="s">
        <v>495</v>
      </c>
      <c r="H29" t="s">
        <v>436</v>
      </c>
      <c r="I29">
        <v>1760896885.6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422.770133498038</v>
      </c>
      <c r="AK29">
        <v>409.108060606061</v>
      </c>
      <c r="AL29">
        <v>0.000306420254091963</v>
      </c>
      <c r="AM29">
        <v>65.1722758320237</v>
      </c>
      <c r="AN29">
        <f>(AP29 - AO29 + DY29*1E3/(8.314*(EA29+273.15)) * AR29/DX29 * AQ29) * DX29/(100*DL29) * 1000/(1000 - AP29)</f>
        <v>0</v>
      </c>
      <c r="AO29">
        <v>6.55028395198503</v>
      </c>
      <c r="AP29">
        <v>11.6693636363636</v>
      </c>
      <c r="AQ29">
        <v>3.67951573626602e-05</v>
      </c>
      <c r="AR29">
        <v>116.100156231084</v>
      </c>
      <c r="AS29">
        <v>0</v>
      </c>
      <c r="AT29">
        <v>0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437</v>
      </c>
      <c r="AY29">
        <v>5082.33</v>
      </c>
      <c r="AZ29">
        <v>690.032</v>
      </c>
      <c r="BA29">
        <v>1612.68</v>
      </c>
      <c r="BB29">
        <f>1-AZ29/BA29</f>
        <v>0</v>
      </c>
      <c r="BC29">
        <v>-9.7270689171713</v>
      </c>
      <c r="BD29" t="s">
        <v>496</v>
      </c>
      <c r="BE29">
        <v>5156.97</v>
      </c>
      <c r="BF29">
        <v>1606.3132</v>
      </c>
      <c r="BG29">
        <v>1834.93244649368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497</v>
      </c>
      <c r="BQ29">
        <v>795.93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BZ29">
        <v>120</v>
      </c>
      <c r="CA29">
        <v>290</v>
      </c>
      <c r="CB29">
        <v>1774.74</v>
      </c>
      <c r="CC29">
        <v>165</v>
      </c>
      <c r="CD29">
        <v>5156.97</v>
      </c>
      <c r="CE29">
        <v>1773.18</v>
      </c>
      <c r="CF29">
        <v>1.56</v>
      </c>
      <c r="CG29">
        <v>300</v>
      </c>
      <c r="CH29">
        <v>23.7</v>
      </c>
      <c r="CI29">
        <v>1834.93244649368</v>
      </c>
      <c r="CJ29">
        <v>1.97767924007227</v>
      </c>
      <c r="CK29">
        <v>-31.8472922200182</v>
      </c>
      <c r="CL29">
        <v>0.917675590382755</v>
      </c>
      <c r="CM29">
        <v>0.97727989522001</v>
      </c>
      <c r="CN29">
        <v>-0.00324986941045606</v>
      </c>
      <c r="CO29">
        <v>290</v>
      </c>
      <c r="CP29">
        <v>1771.47</v>
      </c>
      <c r="CQ29">
        <v>655</v>
      </c>
      <c r="CR29">
        <v>5155.09</v>
      </c>
      <c r="CS29">
        <v>1773.15</v>
      </c>
      <c r="CT29">
        <v>-1.68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3.21</v>
      </c>
      <c r="DM29">
        <v>0.5</v>
      </c>
      <c r="DN29" t="s">
        <v>440</v>
      </c>
      <c r="DO29">
        <v>2</v>
      </c>
      <c r="DP29" t="b">
        <v>1</v>
      </c>
      <c r="DQ29">
        <v>1760896885.6</v>
      </c>
      <c r="DR29">
        <v>404.302375</v>
      </c>
      <c r="DS29">
        <v>420.0206875</v>
      </c>
      <c r="DT29">
        <v>11.6507375</v>
      </c>
      <c r="DU29">
        <v>6.554885625</v>
      </c>
      <c r="DV29">
        <v>401.912375</v>
      </c>
      <c r="DW29">
        <v>11.695475</v>
      </c>
      <c r="DX29">
        <v>499.905125</v>
      </c>
      <c r="DY29">
        <v>91.00475625</v>
      </c>
      <c r="DZ29">
        <v>0.0326775125</v>
      </c>
      <c r="EA29">
        <v>18.3201875</v>
      </c>
      <c r="EB29">
        <v>17.99788125</v>
      </c>
      <c r="EC29">
        <v>999.9</v>
      </c>
      <c r="ED29">
        <v>0</v>
      </c>
      <c r="EE29">
        <v>0</v>
      </c>
      <c r="EF29">
        <v>10001.51875</v>
      </c>
      <c r="EG29">
        <v>0</v>
      </c>
      <c r="EH29">
        <v>1318.148125</v>
      </c>
      <c r="EI29">
        <v>-15.71838125</v>
      </c>
      <c r="EJ29">
        <v>409.0683125</v>
      </c>
      <c r="EK29">
        <v>422.7920625</v>
      </c>
      <c r="EL29">
        <v>5.095844375</v>
      </c>
      <c r="EM29">
        <v>420.0206875</v>
      </c>
      <c r="EN29">
        <v>6.554885625</v>
      </c>
      <c r="EO29">
        <v>1.06027125</v>
      </c>
      <c r="EP29">
        <v>0.596525875</v>
      </c>
      <c r="EQ29">
        <v>7.77201875</v>
      </c>
      <c r="ER29">
        <v>-0.3890463125</v>
      </c>
      <c r="ES29">
        <v>1199.998125</v>
      </c>
      <c r="ET29">
        <v>0.96699325</v>
      </c>
      <c r="EU29">
        <v>0.0330067125</v>
      </c>
      <c r="EV29">
        <v>0</v>
      </c>
      <c r="EW29">
        <v>1606.66125</v>
      </c>
      <c r="EX29">
        <v>5.00059</v>
      </c>
      <c r="EY29">
        <v>18765.5375</v>
      </c>
      <c r="EZ29">
        <v>10358.6875</v>
      </c>
      <c r="FA29">
        <v>36.5</v>
      </c>
      <c r="FB29">
        <v>38.375</v>
      </c>
      <c r="FC29">
        <v>36.9215</v>
      </c>
      <c r="FD29">
        <v>37.70275</v>
      </c>
      <c r="FE29">
        <v>37.39825</v>
      </c>
      <c r="FF29">
        <v>1155.558125</v>
      </c>
      <c r="FG29">
        <v>39.44</v>
      </c>
      <c r="FH29">
        <v>0</v>
      </c>
      <c r="FI29">
        <v>409.599999904633</v>
      </c>
      <c r="FJ29">
        <v>0</v>
      </c>
      <c r="FK29">
        <v>1606.3132</v>
      </c>
      <c r="FL29">
        <v>-14.831538474099</v>
      </c>
      <c r="FM29">
        <v>-194.315384881679</v>
      </c>
      <c r="FN29">
        <v>18760.612</v>
      </c>
      <c r="FO29">
        <v>15</v>
      </c>
      <c r="FP29">
        <v>0</v>
      </c>
      <c r="FQ29" t="s">
        <v>441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-15.712185</v>
      </c>
      <c r="GD29">
        <v>-0.104305263157889</v>
      </c>
      <c r="GE29">
        <v>0.0362320890234058</v>
      </c>
      <c r="GF29">
        <v>1</v>
      </c>
      <c r="GG29">
        <v>1607.23058823529</v>
      </c>
      <c r="GH29">
        <v>-14.1592055044282</v>
      </c>
      <c r="GI29">
        <v>1.40193970915191</v>
      </c>
      <c r="GJ29">
        <v>-1</v>
      </c>
      <c r="GK29">
        <v>5.088105</v>
      </c>
      <c r="GL29">
        <v>0.235736842105263</v>
      </c>
      <c r="GM29">
        <v>0.0230036743804117</v>
      </c>
      <c r="GN29">
        <v>0</v>
      </c>
      <c r="GO29">
        <v>1</v>
      </c>
      <c r="GP29">
        <v>2</v>
      </c>
      <c r="GQ29" t="s">
        <v>454</v>
      </c>
      <c r="GR29">
        <v>3.12922</v>
      </c>
      <c r="GS29">
        <v>2.71068</v>
      </c>
      <c r="GT29">
        <v>0.0875832</v>
      </c>
      <c r="GU29">
        <v>0.090682</v>
      </c>
      <c r="GV29">
        <v>0.0611574</v>
      </c>
      <c r="GW29">
        <v>0.038669</v>
      </c>
      <c r="GX29">
        <v>34442.6</v>
      </c>
      <c r="GY29">
        <v>36797.9</v>
      </c>
      <c r="GZ29">
        <v>34146.1</v>
      </c>
      <c r="HA29">
        <v>36633.2</v>
      </c>
      <c r="HB29">
        <v>45269.7</v>
      </c>
      <c r="HC29">
        <v>50546.1</v>
      </c>
      <c r="HD29">
        <v>53215.6</v>
      </c>
      <c r="HE29">
        <v>58489.9</v>
      </c>
      <c r="HF29">
        <v>1.9764</v>
      </c>
      <c r="HG29">
        <v>1.80833</v>
      </c>
      <c r="HH29">
        <v>-0.0613928</v>
      </c>
      <c r="HI29">
        <v>0</v>
      </c>
      <c r="HJ29">
        <v>19.0259</v>
      </c>
      <c r="HK29">
        <v>999.9</v>
      </c>
      <c r="HL29">
        <v>22.787</v>
      </c>
      <c r="HM29">
        <v>29.437</v>
      </c>
      <c r="HN29">
        <v>10.3289</v>
      </c>
      <c r="HO29">
        <v>56.0921</v>
      </c>
      <c r="HP29">
        <v>47.2236</v>
      </c>
      <c r="HQ29">
        <v>1</v>
      </c>
      <c r="HR29">
        <v>-0.0312525</v>
      </c>
      <c r="HS29">
        <v>7.12486</v>
      </c>
      <c r="HT29">
        <v>19.9954</v>
      </c>
      <c r="HU29">
        <v>5.19947</v>
      </c>
      <c r="HV29">
        <v>12.0089</v>
      </c>
      <c r="HW29">
        <v>4.97575</v>
      </c>
      <c r="HX29">
        <v>3.29378</v>
      </c>
      <c r="HY29">
        <v>9999</v>
      </c>
      <c r="HZ29">
        <v>999.9</v>
      </c>
      <c r="IA29">
        <v>9999</v>
      </c>
      <c r="IB29">
        <v>9999</v>
      </c>
      <c r="IC29">
        <v>1.8632</v>
      </c>
      <c r="ID29">
        <v>1.86799</v>
      </c>
      <c r="IE29">
        <v>1.86782</v>
      </c>
      <c r="IF29">
        <v>1.86905</v>
      </c>
      <c r="IG29">
        <v>1.86981</v>
      </c>
      <c r="IH29">
        <v>1.86584</v>
      </c>
      <c r="II29">
        <v>1.86691</v>
      </c>
      <c r="IJ29">
        <v>1.86831</v>
      </c>
      <c r="IK29">
        <v>5</v>
      </c>
      <c r="IL29">
        <v>0</v>
      </c>
      <c r="IM29">
        <v>0</v>
      </c>
      <c r="IN29">
        <v>0</v>
      </c>
      <c r="IO29" t="s">
        <v>443</v>
      </c>
      <c r="IP29" t="s">
        <v>444</v>
      </c>
      <c r="IQ29" t="s">
        <v>445</v>
      </c>
      <c r="IR29" t="s">
        <v>445</v>
      </c>
      <c r="IS29" t="s">
        <v>445</v>
      </c>
      <c r="IT29" t="s">
        <v>445</v>
      </c>
      <c r="IU29">
        <v>0</v>
      </c>
      <c r="IV29">
        <v>100</v>
      </c>
      <c r="IW29">
        <v>100</v>
      </c>
      <c r="IX29">
        <v>2.39</v>
      </c>
      <c r="IY29">
        <v>-0.0442</v>
      </c>
      <c r="IZ29">
        <v>0.833350075594679</v>
      </c>
      <c r="JA29">
        <v>0.00412825224050377</v>
      </c>
      <c r="JB29">
        <v>-7.34426573386615e-07</v>
      </c>
      <c r="JC29">
        <v>2.46800082545482e-10</v>
      </c>
      <c r="JD29">
        <v>-0.0848433440729365</v>
      </c>
      <c r="JE29">
        <v>-0.0240557196358944</v>
      </c>
      <c r="JF29">
        <v>0.0027855358087715</v>
      </c>
      <c r="JG29">
        <v>-3.72349365099102e-05</v>
      </c>
      <c r="JH29">
        <v>5</v>
      </c>
      <c r="JI29">
        <v>2250</v>
      </c>
      <c r="JJ29">
        <v>0</v>
      </c>
      <c r="JK29">
        <v>24</v>
      </c>
      <c r="JL29">
        <v>29348281.6</v>
      </c>
      <c r="JM29">
        <v>29348281.6</v>
      </c>
      <c r="JN29">
        <v>1.00098</v>
      </c>
      <c r="JO29">
        <v>2.61475</v>
      </c>
      <c r="JP29">
        <v>1.54785</v>
      </c>
      <c r="JQ29">
        <v>2.31079</v>
      </c>
      <c r="JR29">
        <v>1.64673</v>
      </c>
      <c r="JS29">
        <v>2.36572</v>
      </c>
      <c r="JT29">
        <v>32.7091</v>
      </c>
      <c r="JU29">
        <v>24.1488</v>
      </c>
      <c r="JV29">
        <v>18</v>
      </c>
      <c r="JW29">
        <v>504.919</v>
      </c>
      <c r="JX29">
        <v>397.991</v>
      </c>
      <c r="JY29">
        <v>10.309</v>
      </c>
      <c r="JZ29">
        <v>26.7091</v>
      </c>
      <c r="KA29">
        <v>30.001</v>
      </c>
      <c r="KB29">
        <v>26.6194</v>
      </c>
      <c r="KC29">
        <v>26.5709</v>
      </c>
      <c r="KD29">
        <v>20.0514</v>
      </c>
      <c r="KE29">
        <v>17.2103</v>
      </c>
      <c r="KF29">
        <v>4.48747</v>
      </c>
      <c r="KG29">
        <v>10.2837</v>
      </c>
      <c r="KH29">
        <v>420</v>
      </c>
      <c r="KI29">
        <v>6.57069</v>
      </c>
      <c r="KJ29">
        <v>96.7718</v>
      </c>
      <c r="KK29">
        <v>94.8027</v>
      </c>
    </row>
    <row r="30" spans="1:297">
      <c r="A30">
        <v>14</v>
      </c>
      <c r="B30">
        <v>1760897079.1</v>
      </c>
      <c r="C30">
        <v>3315</v>
      </c>
      <c r="D30" t="s">
        <v>498</v>
      </c>
      <c r="E30" t="s">
        <v>499</v>
      </c>
      <c r="F30">
        <v>5</v>
      </c>
      <c r="G30" t="s">
        <v>495</v>
      </c>
      <c r="H30" t="s">
        <v>436</v>
      </c>
      <c r="I30">
        <v>1760897070.6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422.688564931784</v>
      </c>
      <c r="AK30">
        <v>409.065612121212</v>
      </c>
      <c r="AL30">
        <v>6.07353393696679e-05</v>
      </c>
      <c r="AM30">
        <v>65.1722758320237</v>
      </c>
      <c r="AN30">
        <f>(AP30 - AO30 + DY30*1E3/(8.314*(EA30+273.15)) * AR30/DX30 * AQ30) * DX30/(100*DL30) * 1000/(1000 - AP30)</f>
        <v>0</v>
      </c>
      <c r="AO30">
        <v>6.41414255103668</v>
      </c>
      <c r="AP30">
        <v>11.5427812121212</v>
      </c>
      <c r="AQ30">
        <v>8.81175719598463e-05</v>
      </c>
      <c r="AR30">
        <v>116.100156231084</v>
      </c>
      <c r="AS30">
        <v>0</v>
      </c>
      <c r="AT30">
        <v>0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437</v>
      </c>
      <c r="AY30">
        <v>5082.33</v>
      </c>
      <c r="AZ30">
        <v>690.032</v>
      </c>
      <c r="BA30">
        <v>1612.68</v>
      </c>
      <c r="BB30">
        <f>1-AZ30/BA30</f>
        <v>0</v>
      </c>
      <c r="BC30">
        <v>-9.7270689171713</v>
      </c>
      <c r="BD30" t="s">
        <v>500</v>
      </c>
      <c r="BE30">
        <v>5157.25</v>
      </c>
      <c r="BF30">
        <v>1568.0028</v>
      </c>
      <c r="BG30">
        <v>1796.26779596853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501</v>
      </c>
      <c r="BQ30">
        <v>790.67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BZ30">
        <v>122</v>
      </c>
      <c r="CA30">
        <v>290</v>
      </c>
      <c r="CB30">
        <v>1730.96</v>
      </c>
      <c r="CC30">
        <v>175</v>
      </c>
      <c r="CD30">
        <v>5157.25</v>
      </c>
      <c r="CE30">
        <v>1730.35</v>
      </c>
      <c r="CF30">
        <v>0.61</v>
      </c>
      <c r="CG30">
        <v>300</v>
      </c>
      <c r="CH30">
        <v>23.7</v>
      </c>
      <c r="CI30">
        <v>1796.26779596853</v>
      </c>
      <c r="CJ30">
        <v>1.94394946819196</v>
      </c>
      <c r="CK30">
        <v>-33.9943483861251</v>
      </c>
      <c r="CL30">
        <v>0.902102460750266</v>
      </c>
      <c r="CM30">
        <v>0.980663566875212</v>
      </c>
      <c r="CN30">
        <v>-0.00325011034482759</v>
      </c>
      <c r="CO30">
        <v>290</v>
      </c>
      <c r="CP30">
        <v>1727.99</v>
      </c>
      <c r="CQ30">
        <v>665</v>
      </c>
      <c r="CR30">
        <v>5155.48</v>
      </c>
      <c r="CS30">
        <v>1730.33</v>
      </c>
      <c r="CT30">
        <v>-2.34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3.21</v>
      </c>
      <c r="DM30">
        <v>0.5</v>
      </c>
      <c r="DN30" t="s">
        <v>440</v>
      </c>
      <c r="DO30">
        <v>2</v>
      </c>
      <c r="DP30" t="b">
        <v>1</v>
      </c>
      <c r="DQ30">
        <v>1760897070.6</v>
      </c>
      <c r="DR30">
        <v>404.3595625</v>
      </c>
      <c r="DS30">
        <v>419.99425</v>
      </c>
      <c r="DT30">
        <v>11.535225</v>
      </c>
      <c r="DU30">
        <v>6.41367</v>
      </c>
      <c r="DV30">
        <v>401.9693125</v>
      </c>
      <c r="DW30">
        <v>11.58284375</v>
      </c>
      <c r="DX30">
        <v>499.9176875</v>
      </c>
      <c r="DY30">
        <v>90.9945125</v>
      </c>
      <c r="DZ30">
        <v>0.0328243875</v>
      </c>
      <c r="EA30">
        <v>18.2718625</v>
      </c>
      <c r="EB30">
        <v>17.9864</v>
      </c>
      <c r="EC30">
        <v>999.9</v>
      </c>
      <c r="ED30">
        <v>0</v>
      </c>
      <c r="EE30">
        <v>0</v>
      </c>
      <c r="EF30">
        <v>9998.2425</v>
      </c>
      <c r="EG30">
        <v>0</v>
      </c>
      <c r="EH30">
        <v>1318.274375</v>
      </c>
      <c r="EI30">
        <v>-15.63469375</v>
      </c>
      <c r="EJ30">
        <v>409.078375</v>
      </c>
      <c r="EK30">
        <v>422.7053125</v>
      </c>
      <c r="EL30">
        <v>5.121549375</v>
      </c>
      <c r="EM30">
        <v>419.99425</v>
      </c>
      <c r="EN30">
        <v>6.41367</v>
      </c>
      <c r="EO30">
        <v>1.049641875</v>
      </c>
      <c r="EP30">
        <v>0.5836089375</v>
      </c>
      <c r="EQ30">
        <v>7.62428625</v>
      </c>
      <c r="ER30">
        <v>-0.6890990625</v>
      </c>
      <c r="ES30">
        <v>1200.03</v>
      </c>
      <c r="ET30">
        <v>0.966993</v>
      </c>
      <c r="EU30">
        <v>0.03300680625</v>
      </c>
      <c r="EV30">
        <v>0</v>
      </c>
      <c r="EW30">
        <v>1568.23875</v>
      </c>
      <c r="EX30">
        <v>5.00059</v>
      </c>
      <c r="EY30">
        <v>18304.88125</v>
      </c>
      <c r="EZ30">
        <v>10358.9375</v>
      </c>
      <c r="FA30">
        <v>36.183125</v>
      </c>
      <c r="FB30">
        <v>38.0816875</v>
      </c>
      <c r="FC30">
        <v>36.57775</v>
      </c>
      <c r="FD30">
        <v>37.4685</v>
      </c>
      <c r="FE30">
        <v>37.125</v>
      </c>
      <c r="FF30">
        <v>1155.581875</v>
      </c>
      <c r="FG30">
        <v>39.448125</v>
      </c>
      <c r="FH30">
        <v>0</v>
      </c>
      <c r="FI30">
        <v>181.5</v>
      </c>
      <c r="FJ30">
        <v>0</v>
      </c>
      <c r="FK30">
        <v>1568.0028</v>
      </c>
      <c r="FL30">
        <v>-10.28230768106</v>
      </c>
      <c r="FM30">
        <v>-124.47692307137</v>
      </c>
      <c r="FN30">
        <v>18301.28</v>
      </c>
      <c r="FO30">
        <v>15</v>
      </c>
      <c r="FP30">
        <v>0</v>
      </c>
      <c r="FQ30" t="s">
        <v>441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-15.63757</v>
      </c>
      <c r="GD30">
        <v>0.0821503759398273</v>
      </c>
      <c r="GE30">
        <v>0.0236983986800795</v>
      </c>
      <c r="GF30">
        <v>1</v>
      </c>
      <c r="GG30">
        <v>1568.92764705882</v>
      </c>
      <c r="GH30">
        <v>-11.0847975532395</v>
      </c>
      <c r="GI30">
        <v>1.11171054956799</v>
      </c>
      <c r="GJ30">
        <v>-1</v>
      </c>
      <c r="GK30">
        <v>5.120292</v>
      </c>
      <c r="GL30">
        <v>0.0355551879699192</v>
      </c>
      <c r="GM30">
        <v>0.00443825483720801</v>
      </c>
      <c r="GN30">
        <v>1</v>
      </c>
      <c r="GO30">
        <v>2</v>
      </c>
      <c r="GP30">
        <v>2</v>
      </c>
      <c r="GQ30" t="s">
        <v>442</v>
      </c>
      <c r="GR30">
        <v>3.12905</v>
      </c>
      <c r="GS30">
        <v>2.71103</v>
      </c>
      <c r="GT30">
        <v>0.0875344</v>
      </c>
      <c r="GU30">
        <v>0.0906335</v>
      </c>
      <c r="GV30">
        <v>0.0606175</v>
      </c>
      <c r="GW30">
        <v>0.0379785</v>
      </c>
      <c r="GX30">
        <v>34430.7</v>
      </c>
      <c r="GY30">
        <v>36781.6</v>
      </c>
      <c r="GZ30">
        <v>34133.6</v>
      </c>
      <c r="HA30">
        <v>36616.2</v>
      </c>
      <c r="HB30">
        <v>45282.5</v>
      </c>
      <c r="HC30">
        <v>50560.2</v>
      </c>
      <c r="HD30">
        <v>53199.7</v>
      </c>
      <c r="HE30">
        <v>58464.8</v>
      </c>
      <c r="HF30">
        <v>1.97378</v>
      </c>
      <c r="HG30">
        <v>1.80432</v>
      </c>
      <c r="HH30">
        <v>-0.0632331</v>
      </c>
      <c r="HI30">
        <v>0</v>
      </c>
      <c r="HJ30">
        <v>19.0233</v>
      </c>
      <c r="HK30">
        <v>999.9</v>
      </c>
      <c r="HL30">
        <v>22.586</v>
      </c>
      <c r="HM30">
        <v>29.457</v>
      </c>
      <c r="HN30">
        <v>10.25</v>
      </c>
      <c r="HO30">
        <v>56.1921</v>
      </c>
      <c r="HP30">
        <v>47.2716</v>
      </c>
      <c r="HQ30">
        <v>1</v>
      </c>
      <c r="HR30">
        <v>-0.0130742</v>
      </c>
      <c r="HS30">
        <v>7.08319</v>
      </c>
      <c r="HT30">
        <v>19.9972</v>
      </c>
      <c r="HU30">
        <v>5.19917</v>
      </c>
      <c r="HV30">
        <v>12.0097</v>
      </c>
      <c r="HW30">
        <v>4.9757</v>
      </c>
      <c r="HX30">
        <v>3.294</v>
      </c>
      <c r="HY30">
        <v>9999</v>
      </c>
      <c r="HZ30">
        <v>999.9</v>
      </c>
      <c r="IA30">
        <v>9999</v>
      </c>
      <c r="IB30">
        <v>9999</v>
      </c>
      <c r="IC30">
        <v>1.86324</v>
      </c>
      <c r="ID30">
        <v>1.86798</v>
      </c>
      <c r="IE30">
        <v>1.86781</v>
      </c>
      <c r="IF30">
        <v>1.86905</v>
      </c>
      <c r="IG30">
        <v>1.86981</v>
      </c>
      <c r="IH30">
        <v>1.86584</v>
      </c>
      <c r="II30">
        <v>1.86691</v>
      </c>
      <c r="IJ30">
        <v>1.86829</v>
      </c>
      <c r="IK30">
        <v>5</v>
      </c>
      <c r="IL30">
        <v>0</v>
      </c>
      <c r="IM30">
        <v>0</v>
      </c>
      <c r="IN30">
        <v>0</v>
      </c>
      <c r="IO30" t="s">
        <v>443</v>
      </c>
      <c r="IP30" t="s">
        <v>444</v>
      </c>
      <c r="IQ30" t="s">
        <v>445</v>
      </c>
      <c r="IR30" t="s">
        <v>445</v>
      </c>
      <c r="IS30" t="s">
        <v>445</v>
      </c>
      <c r="IT30" t="s">
        <v>445</v>
      </c>
      <c r="IU30">
        <v>0</v>
      </c>
      <c r="IV30">
        <v>100</v>
      </c>
      <c r="IW30">
        <v>100</v>
      </c>
      <c r="IX30">
        <v>2.39</v>
      </c>
      <c r="IY30">
        <v>-0.0474</v>
      </c>
      <c r="IZ30">
        <v>0.833350075594679</v>
      </c>
      <c r="JA30">
        <v>0.00412825224050377</v>
      </c>
      <c r="JB30">
        <v>-7.34426573386615e-07</v>
      </c>
      <c r="JC30">
        <v>2.46800082545482e-10</v>
      </c>
      <c r="JD30">
        <v>-0.0848433440729365</v>
      </c>
      <c r="JE30">
        <v>-0.0240557196358944</v>
      </c>
      <c r="JF30">
        <v>0.0027855358087715</v>
      </c>
      <c r="JG30">
        <v>-3.72349365099102e-05</v>
      </c>
      <c r="JH30">
        <v>5</v>
      </c>
      <c r="JI30">
        <v>2250</v>
      </c>
      <c r="JJ30">
        <v>0</v>
      </c>
      <c r="JK30">
        <v>24</v>
      </c>
      <c r="JL30">
        <v>29348284.7</v>
      </c>
      <c r="JM30">
        <v>29348284.7</v>
      </c>
      <c r="JN30">
        <v>1.00098</v>
      </c>
      <c r="JO30">
        <v>2.61963</v>
      </c>
      <c r="JP30">
        <v>1.54785</v>
      </c>
      <c r="JQ30">
        <v>2.31079</v>
      </c>
      <c r="JR30">
        <v>1.64673</v>
      </c>
      <c r="JS30">
        <v>2.323</v>
      </c>
      <c r="JT30">
        <v>32.798</v>
      </c>
      <c r="JU30">
        <v>24.1488</v>
      </c>
      <c r="JV30">
        <v>18</v>
      </c>
      <c r="JW30">
        <v>504.878</v>
      </c>
      <c r="JX30">
        <v>397.076</v>
      </c>
      <c r="JY30">
        <v>10.324</v>
      </c>
      <c r="JZ30">
        <v>26.9268</v>
      </c>
      <c r="KA30">
        <v>30.0003</v>
      </c>
      <c r="KB30">
        <v>26.8035</v>
      </c>
      <c r="KC30">
        <v>26.7488</v>
      </c>
      <c r="KD30">
        <v>20.0507</v>
      </c>
      <c r="KE30">
        <v>18.6757</v>
      </c>
      <c r="KF30">
        <v>3.74267</v>
      </c>
      <c r="KG30">
        <v>10.344</v>
      </c>
      <c r="KH30">
        <v>420</v>
      </c>
      <c r="KI30">
        <v>6.37393</v>
      </c>
      <c r="KJ30">
        <v>96.7404</v>
      </c>
      <c r="KK30">
        <v>94.7607</v>
      </c>
    </row>
    <row r="31" spans="1:297">
      <c r="A31">
        <v>15</v>
      </c>
      <c r="B31">
        <v>1760897229.1</v>
      </c>
      <c r="C31">
        <v>3465</v>
      </c>
      <c r="D31" t="s">
        <v>502</v>
      </c>
      <c r="E31" t="s">
        <v>503</v>
      </c>
      <c r="F31">
        <v>5</v>
      </c>
      <c r="G31" t="s">
        <v>495</v>
      </c>
      <c r="H31" t="s">
        <v>436</v>
      </c>
      <c r="I31">
        <v>1760897221.1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422.827662916121</v>
      </c>
      <c r="AK31">
        <v>409.026381818182</v>
      </c>
      <c r="AL31">
        <v>-0.00102356148500294</v>
      </c>
      <c r="AM31">
        <v>65.1722758320237</v>
      </c>
      <c r="AN31">
        <f>(AP31 - AO31 + DY31*1E3/(8.314*(EA31+273.15)) * AR31/DX31 * AQ31) * DX31/(100*DL31) * 1000/(1000 - AP31)</f>
        <v>0</v>
      </c>
      <c r="AO31">
        <v>6.58284086781379</v>
      </c>
      <c r="AP31">
        <v>11.6542806060606</v>
      </c>
      <c r="AQ31">
        <v>-0.000271775316901078</v>
      </c>
      <c r="AR31">
        <v>116.100156231084</v>
      </c>
      <c r="AS31">
        <v>0</v>
      </c>
      <c r="AT31">
        <v>0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437</v>
      </c>
      <c r="AY31">
        <v>5082.33</v>
      </c>
      <c r="AZ31">
        <v>690.032</v>
      </c>
      <c r="BA31">
        <v>1612.68</v>
      </c>
      <c r="BB31">
        <f>1-AZ31/BA31</f>
        <v>0</v>
      </c>
      <c r="BC31">
        <v>-9.7270689171713</v>
      </c>
      <c r="BD31" t="s">
        <v>504</v>
      </c>
      <c r="BE31">
        <v>5154.33</v>
      </c>
      <c r="BF31">
        <v>1548.0188</v>
      </c>
      <c r="BG31">
        <v>1769.52284060008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505</v>
      </c>
      <c r="BQ31">
        <v>798.27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BZ31">
        <v>124</v>
      </c>
      <c r="CA31">
        <v>290</v>
      </c>
      <c r="CB31">
        <v>1707.49</v>
      </c>
      <c r="CC31">
        <v>175</v>
      </c>
      <c r="CD31">
        <v>5154.33</v>
      </c>
      <c r="CE31">
        <v>1706.84</v>
      </c>
      <c r="CF31">
        <v>0.65</v>
      </c>
      <c r="CG31">
        <v>300</v>
      </c>
      <c r="CH31">
        <v>23.7</v>
      </c>
      <c r="CI31">
        <v>1769.52284060008</v>
      </c>
      <c r="CJ31">
        <v>2.00694056749562</v>
      </c>
      <c r="CK31">
        <v>-32.307534845292</v>
      </c>
      <c r="CL31">
        <v>0.930779377076108</v>
      </c>
      <c r="CM31">
        <v>0.977287433731519</v>
      </c>
      <c r="CN31">
        <v>-0.00324889054505006</v>
      </c>
      <c r="CO31">
        <v>290</v>
      </c>
      <c r="CP31">
        <v>1704.39</v>
      </c>
      <c r="CQ31">
        <v>695</v>
      </c>
      <c r="CR31">
        <v>5152.26</v>
      </c>
      <c r="CS31">
        <v>1706.82</v>
      </c>
      <c r="CT31">
        <v>-2.43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3.21</v>
      </c>
      <c r="DM31">
        <v>0.5</v>
      </c>
      <c r="DN31" t="s">
        <v>440</v>
      </c>
      <c r="DO31">
        <v>2</v>
      </c>
      <c r="DP31" t="b">
        <v>1</v>
      </c>
      <c r="DQ31">
        <v>1760897221.1</v>
      </c>
      <c r="DR31">
        <v>404.292066666667</v>
      </c>
      <c r="DS31">
        <v>420.021466666667</v>
      </c>
      <c r="DT31">
        <v>11.6529</v>
      </c>
      <c r="DU31">
        <v>6.60325733333333</v>
      </c>
      <c r="DV31">
        <v>401.9022</v>
      </c>
      <c r="DW31">
        <v>11.6975866666667</v>
      </c>
      <c r="DX31">
        <v>499.992</v>
      </c>
      <c r="DY31">
        <v>90.98914</v>
      </c>
      <c r="DZ31">
        <v>0.03300892</v>
      </c>
      <c r="EA31">
        <v>18.2596</v>
      </c>
      <c r="EB31">
        <v>17.9754733333333</v>
      </c>
      <c r="EC31">
        <v>999.9</v>
      </c>
      <c r="ED31">
        <v>0</v>
      </c>
      <c r="EE31">
        <v>0</v>
      </c>
      <c r="EF31">
        <v>9999.28266666667</v>
      </c>
      <c r="EG31">
        <v>0</v>
      </c>
      <c r="EH31">
        <v>1318.33733333333</v>
      </c>
      <c r="EI31">
        <v>-15.72928</v>
      </c>
      <c r="EJ31">
        <v>409.058866666667</v>
      </c>
      <c r="EK31">
        <v>422.813466666667</v>
      </c>
      <c r="EL31">
        <v>5.04964266666667</v>
      </c>
      <c r="EM31">
        <v>420.021466666667</v>
      </c>
      <c r="EN31">
        <v>6.60325733333333</v>
      </c>
      <c r="EO31">
        <v>1.06028666666667</v>
      </c>
      <c r="EP31">
        <v>0.600824733333333</v>
      </c>
      <c r="EQ31">
        <v>7.77223933333333</v>
      </c>
      <c r="ER31">
        <v>-0.2904766</v>
      </c>
      <c r="ES31">
        <v>1199.952</v>
      </c>
      <c r="ET31">
        <v>0.9669908</v>
      </c>
      <c r="EU31">
        <v>0.0330090533333333</v>
      </c>
      <c r="EV31">
        <v>0</v>
      </c>
      <c r="EW31">
        <v>1548.20333333333</v>
      </c>
      <c r="EX31">
        <v>5.00059</v>
      </c>
      <c r="EY31">
        <v>18124.1666666667</v>
      </c>
      <c r="EZ31">
        <v>10358.2733333333</v>
      </c>
      <c r="FA31">
        <v>37.0706</v>
      </c>
      <c r="FB31">
        <v>39.9247333333333</v>
      </c>
      <c r="FC31">
        <v>37.6706</v>
      </c>
      <c r="FD31">
        <v>39.5122666666667</v>
      </c>
      <c r="FE31">
        <v>38.2872666666667</v>
      </c>
      <c r="FF31">
        <v>1155.506</v>
      </c>
      <c r="FG31">
        <v>39.4426666666667</v>
      </c>
      <c r="FH31">
        <v>0</v>
      </c>
      <c r="FI31">
        <v>146.599999904633</v>
      </c>
      <c r="FJ31">
        <v>0</v>
      </c>
      <c r="FK31">
        <v>1548.0188</v>
      </c>
      <c r="FL31">
        <v>-14.4792307809693</v>
      </c>
      <c r="FM31">
        <v>-120.753846280264</v>
      </c>
      <c r="FN31">
        <v>18122.608</v>
      </c>
      <c r="FO31">
        <v>15</v>
      </c>
      <c r="FP31">
        <v>0</v>
      </c>
      <c r="FQ31" t="s">
        <v>441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-15.7164761904762</v>
      </c>
      <c r="GD31">
        <v>-0.398587012987013</v>
      </c>
      <c r="GE31">
        <v>0.0501840033776834</v>
      </c>
      <c r="GF31">
        <v>1</v>
      </c>
      <c r="GG31">
        <v>1548.95529411765</v>
      </c>
      <c r="GH31">
        <v>-14.8461420902398</v>
      </c>
      <c r="GI31">
        <v>1.4672848780979</v>
      </c>
      <c r="GJ31">
        <v>-1</v>
      </c>
      <c r="GK31">
        <v>5.0372680952381</v>
      </c>
      <c r="GL31">
        <v>0.238073766233772</v>
      </c>
      <c r="GM31">
        <v>0.0243171514268169</v>
      </c>
      <c r="GN31">
        <v>0</v>
      </c>
      <c r="GO31">
        <v>1</v>
      </c>
      <c r="GP31">
        <v>2</v>
      </c>
      <c r="GQ31" t="s">
        <v>454</v>
      </c>
      <c r="GR31">
        <v>3.12894</v>
      </c>
      <c r="GS31">
        <v>2.71162</v>
      </c>
      <c r="GT31">
        <v>0.0874955</v>
      </c>
      <c r="GU31">
        <v>0.0905987</v>
      </c>
      <c r="GV31">
        <v>0.0610315</v>
      </c>
      <c r="GW31">
        <v>0.0387328</v>
      </c>
      <c r="GX31">
        <v>34426.2</v>
      </c>
      <c r="GY31">
        <v>36775.3</v>
      </c>
      <c r="GZ31">
        <v>34128.3</v>
      </c>
      <c r="HA31">
        <v>36609.1</v>
      </c>
      <c r="HB31">
        <v>45256.6</v>
      </c>
      <c r="HC31">
        <v>50511</v>
      </c>
      <c r="HD31">
        <v>53193.3</v>
      </c>
      <c r="HE31">
        <v>58454.4</v>
      </c>
      <c r="HF31">
        <v>1.9722</v>
      </c>
      <c r="HG31">
        <v>1.80565</v>
      </c>
      <c r="HH31">
        <v>-0.0578761</v>
      </c>
      <c r="HI31">
        <v>0</v>
      </c>
      <c r="HJ31">
        <v>18.9566</v>
      </c>
      <c r="HK31">
        <v>999.9</v>
      </c>
      <c r="HL31">
        <v>22.458</v>
      </c>
      <c r="HM31">
        <v>29.487</v>
      </c>
      <c r="HN31">
        <v>10.211</v>
      </c>
      <c r="HO31">
        <v>56.2822</v>
      </c>
      <c r="HP31">
        <v>47.2556</v>
      </c>
      <c r="HQ31">
        <v>1</v>
      </c>
      <c r="HR31">
        <v>-0.00583841</v>
      </c>
      <c r="HS31">
        <v>6.74619</v>
      </c>
      <c r="HT31">
        <v>20.0124</v>
      </c>
      <c r="HU31">
        <v>5.19962</v>
      </c>
      <c r="HV31">
        <v>12.0097</v>
      </c>
      <c r="HW31">
        <v>4.97565</v>
      </c>
      <c r="HX31">
        <v>3.29395</v>
      </c>
      <c r="HY31">
        <v>9999</v>
      </c>
      <c r="HZ31">
        <v>999.9</v>
      </c>
      <c r="IA31">
        <v>9999</v>
      </c>
      <c r="IB31">
        <v>9999</v>
      </c>
      <c r="IC31">
        <v>1.86323</v>
      </c>
      <c r="ID31">
        <v>1.868</v>
      </c>
      <c r="IE31">
        <v>1.86782</v>
      </c>
      <c r="IF31">
        <v>1.86904</v>
      </c>
      <c r="IG31">
        <v>1.86981</v>
      </c>
      <c r="IH31">
        <v>1.86584</v>
      </c>
      <c r="II31">
        <v>1.86691</v>
      </c>
      <c r="IJ31">
        <v>1.86829</v>
      </c>
      <c r="IK31">
        <v>5</v>
      </c>
      <c r="IL31">
        <v>0</v>
      </c>
      <c r="IM31">
        <v>0</v>
      </c>
      <c r="IN31">
        <v>0</v>
      </c>
      <c r="IO31" t="s">
        <v>443</v>
      </c>
      <c r="IP31" t="s">
        <v>444</v>
      </c>
      <c r="IQ31" t="s">
        <v>445</v>
      </c>
      <c r="IR31" t="s">
        <v>445</v>
      </c>
      <c r="IS31" t="s">
        <v>445</v>
      </c>
      <c r="IT31" t="s">
        <v>445</v>
      </c>
      <c r="IU31">
        <v>0</v>
      </c>
      <c r="IV31">
        <v>100</v>
      </c>
      <c r="IW31">
        <v>100</v>
      </c>
      <c r="IX31">
        <v>2.39</v>
      </c>
      <c r="IY31">
        <v>-0.0447</v>
      </c>
      <c r="IZ31">
        <v>0.833350075594679</v>
      </c>
      <c r="JA31">
        <v>0.00412825224050377</v>
      </c>
      <c r="JB31">
        <v>-7.34426573386615e-07</v>
      </c>
      <c r="JC31">
        <v>2.46800082545482e-10</v>
      </c>
      <c r="JD31">
        <v>-0.0848433440729365</v>
      </c>
      <c r="JE31">
        <v>-0.0240557196358944</v>
      </c>
      <c r="JF31">
        <v>0.0027855358087715</v>
      </c>
      <c r="JG31">
        <v>-3.72349365099102e-05</v>
      </c>
      <c r="JH31">
        <v>5</v>
      </c>
      <c r="JI31">
        <v>2250</v>
      </c>
      <c r="JJ31">
        <v>0</v>
      </c>
      <c r="JK31">
        <v>24</v>
      </c>
      <c r="JL31">
        <v>29348287.2</v>
      </c>
      <c r="JM31">
        <v>29348287.2</v>
      </c>
      <c r="JN31">
        <v>1.00098</v>
      </c>
      <c r="JO31">
        <v>2.62085</v>
      </c>
      <c r="JP31">
        <v>1.54785</v>
      </c>
      <c r="JQ31">
        <v>2.31079</v>
      </c>
      <c r="JR31">
        <v>1.64673</v>
      </c>
      <c r="JS31">
        <v>2.33276</v>
      </c>
      <c r="JT31">
        <v>32.9092</v>
      </c>
      <c r="JU31">
        <v>24.1575</v>
      </c>
      <c r="JV31">
        <v>18</v>
      </c>
      <c r="JW31">
        <v>504.938</v>
      </c>
      <c r="JX31">
        <v>398.622</v>
      </c>
      <c r="JY31">
        <v>10.5409</v>
      </c>
      <c r="JZ31">
        <v>27.0411</v>
      </c>
      <c r="KA31">
        <v>30.0007</v>
      </c>
      <c r="KB31">
        <v>26.9236</v>
      </c>
      <c r="KC31">
        <v>26.8679</v>
      </c>
      <c r="KD31">
        <v>20.0506</v>
      </c>
      <c r="KE31">
        <v>16.9872</v>
      </c>
      <c r="KF31">
        <v>2.99935</v>
      </c>
      <c r="KG31">
        <v>10.5345</v>
      </c>
      <c r="KH31">
        <v>420</v>
      </c>
      <c r="KI31">
        <v>6.46982</v>
      </c>
      <c r="KJ31">
        <v>96.7274</v>
      </c>
      <c r="KK31">
        <v>94.7433</v>
      </c>
    </row>
    <row r="32" spans="1:297">
      <c r="A32">
        <v>16</v>
      </c>
      <c r="B32">
        <v>1760897825</v>
      </c>
      <c r="C32">
        <v>4060.90000009537</v>
      </c>
      <c r="D32" t="s">
        <v>506</v>
      </c>
      <c r="E32" t="s">
        <v>507</v>
      </c>
      <c r="F32">
        <v>5</v>
      </c>
      <c r="G32" t="s">
        <v>508</v>
      </c>
      <c r="H32" t="s">
        <v>436</v>
      </c>
      <c r="I32">
        <v>1760897816.5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426.144308763649</v>
      </c>
      <c r="AK32">
        <v>410.530145454545</v>
      </c>
      <c r="AL32">
        <v>0.00395366433712295</v>
      </c>
      <c r="AM32">
        <v>65.2458301114441</v>
      </c>
      <c r="AN32">
        <f>(AP32 - AO32 + DY32*1E3/(8.314*(EA32+273.15)) * AR32/DX32 * AQ32) * DX32/(100*DL32) * 1000/(1000 - AP32)</f>
        <v>0</v>
      </c>
      <c r="AO32">
        <v>14.5489866716836</v>
      </c>
      <c r="AP32">
        <v>16.3746442424242</v>
      </c>
      <c r="AQ32">
        <v>0.00508206302521904</v>
      </c>
      <c r="AR32">
        <v>115.571024908783</v>
      </c>
      <c r="AS32">
        <v>0</v>
      </c>
      <c r="AT32">
        <v>0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437</v>
      </c>
      <c r="AY32">
        <v>5082.33</v>
      </c>
      <c r="AZ32">
        <v>690.032</v>
      </c>
      <c r="BA32">
        <v>1612.68</v>
      </c>
      <c r="BB32">
        <f>1-AZ32/BA32</f>
        <v>0</v>
      </c>
      <c r="BC32">
        <v>-9.7270689171713</v>
      </c>
      <c r="BD32" t="s">
        <v>509</v>
      </c>
      <c r="BE32">
        <v>5159.3</v>
      </c>
      <c r="BF32">
        <v>1174.04307692308</v>
      </c>
      <c r="BG32">
        <v>1519.55945810574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510</v>
      </c>
      <c r="BQ32">
        <v>746.33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BZ32">
        <v>126</v>
      </c>
      <c r="CA32">
        <v>290</v>
      </c>
      <c r="CB32">
        <v>1427.82</v>
      </c>
      <c r="CC32">
        <v>295</v>
      </c>
      <c r="CD32">
        <v>5159.3</v>
      </c>
      <c r="CE32">
        <v>1427.56</v>
      </c>
      <c r="CF32">
        <v>0.26</v>
      </c>
      <c r="CG32">
        <v>300</v>
      </c>
      <c r="CH32">
        <v>23.7</v>
      </c>
      <c r="CI32">
        <v>1519.55945810574</v>
      </c>
      <c r="CJ32">
        <v>1.58698154347239</v>
      </c>
      <c r="CK32">
        <v>-47.4668379609297</v>
      </c>
      <c r="CL32">
        <v>0.736884449094031</v>
      </c>
      <c r="CM32">
        <v>0.99329721286476</v>
      </c>
      <c r="CN32">
        <v>-0.00325264516129033</v>
      </c>
      <c r="CO32">
        <v>290</v>
      </c>
      <c r="CP32">
        <v>1427.64</v>
      </c>
      <c r="CQ32">
        <v>665</v>
      </c>
      <c r="CR32">
        <v>5158.5</v>
      </c>
      <c r="CS32">
        <v>1427.54</v>
      </c>
      <c r="CT32">
        <v>0.1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3.21</v>
      </c>
      <c r="DM32">
        <v>0.5</v>
      </c>
      <c r="DN32" t="s">
        <v>440</v>
      </c>
      <c r="DO32">
        <v>2</v>
      </c>
      <c r="DP32" t="b">
        <v>1</v>
      </c>
      <c r="DQ32">
        <v>1760897816.5</v>
      </c>
      <c r="DR32">
        <v>403.7559375</v>
      </c>
      <c r="DS32">
        <v>419.9605625</v>
      </c>
      <c r="DT32">
        <v>16.34015</v>
      </c>
      <c r="DU32">
        <v>14.4334625</v>
      </c>
      <c r="DV32">
        <v>401.368</v>
      </c>
      <c r="DW32">
        <v>16.2404625</v>
      </c>
      <c r="DX32">
        <v>499.9985625</v>
      </c>
      <c r="DY32">
        <v>90.95339375</v>
      </c>
      <c r="DZ32">
        <v>0.0340327125</v>
      </c>
      <c r="EA32">
        <v>24.1404</v>
      </c>
      <c r="EB32">
        <v>24.34740625</v>
      </c>
      <c r="EC32">
        <v>999.9</v>
      </c>
      <c r="ED32">
        <v>0</v>
      </c>
      <c r="EE32">
        <v>0</v>
      </c>
      <c r="EF32">
        <v>9996.87125</v>
      </c>
      <c r="EG32">
        <v>0</v>
      </c>
      <c r="EH32">
        <v>1253.575625</v>
      </c>
      <c r="EI32">
        <v>-16.2046375</v>
      </c>
      <c r="EJ32">
        <v>410.4629375</v>
      </c>
      <c r="EK32">
        <v>426.110875</v>
      </c>
      <c r="EL32">
        <v>1.906675</v>
      </c>
      <c r="EM32">
        <v>419.9605625</v>
      </c>
      <c r="EN32">
        <v>14.4334625</v>
      </c>
      <c r="EO32">
        <v>1.48619125</v>
      </c>
      <c r="EP32">
        <v>1.31277375</v>
      </c>
      <c r="EQ32">
        <v>12.82683125</v>
      </c>
      <c r="ER32">
        <v>10.94568125</v>
      </c>
      <c r="ES32">
        <v>1200.025</v>
      </c>
      <c r="ET32">
        <v>0.9669956875</v>
      </c>
      <c r="EU32">
        <v>0.0330042</v>
      </c>
      <c r="EV32">
        <v>0</v>
      </c>
      <c r="EW32">
        <v>1173.945</v>
      </c>
      <c r="EX32">
        <v>5.00059</v>
      </c>
      <c r="EY32">
        <v>13903.625</v>
      </c>
      <c r="EZ32">
        <v>10358.91875</v>
      </c>
      <c r="FA32">
        <v>38.625</v>
      </c>
      <c r="FB32">
        <v>40.437</v>
      </c>
      <c r="FC32">
        <v>38.902125</v>
      </c>
      <c r="FD32">
        <v>40</v>
      </c>
      <c r="FE32">
        <v>39.75</v>
      </c>
      <c r="FF32">
        <v>1155.585</v>
      </c>
      <c r="FG32">
        <v>39.44</v>
      </c>
      <c r="FH32">
        <v>0</v>
      </c>
      <c r="FI32">
        <v>592.5</v>
      </c>
      <c r="FJ32">
        <v>0</v>
      </c>
      <c r="FK32">
        <v>1174.04307692308</v>
      </c>
      <c r="FL32">
        <v>3.30666667197271</v>
      </c>
      <c r="FM32">
        <v>51.5076923660411</v>
      </c>
      <c r="FN32">
        <v>13904.3230769231</v>
      </c>
      <c r="FO32">
        <v>15</v>
      </c>
      <c r="FP32">
        <v>0</v>
      </c>
      <c r="FQ32" t="s">
        <v>441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-16.2276333333333</v>
      </c>
      <c r="GD32">
        <v>0.438451948051949</v>
      </c>
      <c r="GE32">
        <v>0.0489747489196834</v>
      </c>
      <c r="GF32">
        <v>1</v>
      </c>
      <c r="GG32">
        <v>1173.80617647059</v>
      </c>
      <c r="GH32">
        <v>3.44766997849401</v>
      </c>
      <c r="GI32">
        <v>0.401116197818337</v>
      </c>
      <c r="GJ32">
        <v>-1</v>
      </c>
      <c r="GK32">
        <v>1.95465666666667</v>
      </c>
      <c r="GL32">
        <v>-0.849246233766231</v>
      </c>
      <c r="GM32">
        <v>0.0860867280481245</v>
      </c>
      <c r="GN32">
        <v>0</v>
      </c>
      <c r="GO32">
        <v>1</v>
      </c>
      <c r="GP32">
        <v>2</v>
      </c>
      <c r="GQ32" t="s">
        <v>454</v>
      </c>
      <c r="GR32">
        <v>3.13046</v>
      </c>
      <c r="GS32">
        <v>2.71207</v>
      </c>
      <c r="GT32">
        <v>0.0870576</v>
      </c>
      <c r="GU32">
        <v>0.0902761</v>
      </c>
      <c r="GV32">
        <v>0.0784686</v>
      </c>
      <c r="GW32">
        <v>0.0723906</v>
      </c>
      <c r="GX32">
        <v>34320.1</v>
      </c>
      <c r="GY32">
        <v>36618.1</v>
      </c>
      <c r="GZ32">
        <v>34017.1</v>
      </c>
      <c r="HA32">
        <v>36449.7</v>
      </c>
      <c r="HB32">
        <v>44282.6</v>
      </c>
      <c r="HC32">
        <v>48527.5</v>
      </c>
      <c r="HD32">
        <v>53049.9</v>
      </c>
      <c r="HE32">
        <v>58219.9</v>
      </c>
      <c r="HF32">
        <v>1.94435</v>
      </c>
      <c r="HG32">
        <v>1.79805</v>
      </c>
      <c r="HH32">
        <v>0.00380352</v>
      </c>
      <c r="HI32">
        <v>0</v>
      </c>
      <c r="HJ32">
        <v>24.2417</v>
      </c>
      <c r="HK32">
        <v>999.9</v>
      </c>
      <c r="HL32">
        <v>38.774</v>
      </c>
      <c r="HM32">
        <v>29.598</v>
      </c>
      <c r="HN32">
        <v>17.7484</v>
      </c>
      <c r="HO32">
        <v>55.9622</v>
      </c>
      <c r="HP32">
        <v>46.5946</v>
      </c>
      <c r="HQ32">
        <v>1</v>
      </c>
      <c r="HR32">
        <v>0.158539</v>
      </c>
      <c r="HS32">
        <v>9.28105</v>
      </c>
      <c r="HT32">
        <v>19.8938</v>
      </c>
      <c r="HU32">
        <v>5.20187</v>
      </c>
      <c r="HV32">
        <v>12.0099</v>
      </c>
      <c r="HW32">
        <v>4.9758</v>
      </c>
      <c r="HX32">
        <v>3.294</v>
      </c>
      <c r="HY32">
        <v>9999</v>
      </c>
      <c r="HZ32">
        <v>999.9</v>
      </c>
      <c r="IA32">
        <v>9999</v>
      </c>
      <c r="IB32">
        <v>9999</v>
      </c>
      <c r="IC32">
        <v>1.86313</v>
      </c>
      <c r="ID32">
        <v>1.86798</v>
      </c>
      <c r="IE32">
        <v>1.8678</v>
      </c>
      <c r="IF32">
        <v>1.869</v>
      </c>
      <c r="IG32">
        <v>1.86981</v>
      </c>
      <c r="IH32">
        <v>1.86584</v>
      </c>
      <c r="II32">
        <v>1.86691</v>
      </c>
      <c r="IJ32">
        <v>1.8683</v>
      </c>
      <c r="IK32">
        <v>5</v>
      </c>
      <c r="IL32">
        <v>0</v>
      </c>
      <c r="IM32">
        <v>0</v>
      </c>
      <c r="IN32">
        <v>0</v>
      </c>
      <c r="IO32" t="s">
        <v>443</v>
      </c>
      <c r="IP32" t="s">
        <v>444</v>
      </c>
      <c r="IQ32" t="s">
        <v>445</v>
      </c>
      <c r="IR32" t="s">
        <v>445</v>
      </c>
      <c r="IS32" t="s">
        <v>445</v>
      </c>
      <c r="IT32" t="s">
        <v>445</v>
      </c>
      <c r="IU32">
        <v>0</v>
      </c>
      <c r="IV32">
        <v>100</v>
      </c>
      <c r="IW32">
        <v>100</v>
      </c>
      <c r="IX32">
        <v>2.388</v>
      </c>
      <c r="IY32">
        <v>0.101</v>
      </c>
      <c r="IZ32">
        <v>0.833350075594679</v>
      </c>
      <c r="JA32">
        <v>0.00412825224050377</v>
      </c>
      <c r="JB32">
        <v>-7.34426573386615e-07</v>
      </c>
      <c r="JC32">
        <v>2.46800082545482e-10</v>
      </c>
      <c r="JD32">
        <v>-0.0848433440729365</v>
      </c>
      <c r="JE32">
        <v>-0.0240557196358944</v>
      </c>
      <c r="JF32">
        <v>0.0027855358087715</v>
      </c>
      <c r="JG32">
        <v>-3.72349365099102e-05</v>
      </c>
      <c r="JH32">
        <v>5</v>
      </c>
      <c r="JI32">
        <v>2250</v>
      </c>
      <c r="JJ32">
        <v>0</v>
      </c>
      <c r="JK32">
        <v>24</v>
      </c>
      <c r="JL32">
        <v>29348297.1</v>
      </c>
      <c r="JM32">
        <v>29348297.1</v>
      </c>
      <c r="JN32">
        <v>1.0083</v>
      </c>
      <c r="JO32">
        <v>2.61963</v>
      </c>
      <c r="JP32">
        <v>1.54785</v>
      </c>
      <c r="JQ32">
        <v>2.31079</v>
      </c>
      <c r="JR32">
        <v>1.64673</v>
      </c>
      <c r="JS32">
        <v>2.36084</v>
      </c>
      <c r="JT32">
        <v>33.1099</v>
      </c>
      <c r="JU32">
        <v>24.105</v>
      </c>
      <c r="JV32">
        <v>18</v>
      </c>
      <c r="JW32">
        <v>501.089</v>
      </c>
      <c r="JX32">
        <v>405.48</v>
      </c>
      <c r="JY32">
        <v>16.4978</v>
      </c>
      <c r="JZ32">
        <v>29.0101</v>
      </c>
      <c r="KA32">
        <v>30.0018</v>
      </c>
      <c r="KB32">
        <v>28.5462</v>
      </c>
      <c r="KC32">
        <v>28.4566</v>
      </c>
      <c r="KD32">
        <v>20.2</v>
      </c>
      <c r="KE32">
        <v>20.9845</v>
      </c>
      <c r="KF32">
        <v>45.1615</v>
      </c>
      <c r="KG32">
        <v>16.2256</v>
      </c>
      <c r="KH32">
        <v>420</v>
      </c>
      <c r="KI32">
        <v>14.6277</v>
      </c>
      <c r="KJ32">
        <v>96.4453</v>
      </c>
      <c r="KK32">
        <v>94.3507</v>
      </c>
    </row>
    <row r="33" spans="1:297">
      <c r="A33">
        <v>17</v>
      </c>
      <c r="B33">
        <v>1760897966</v>
      </c>
      <c r="C33">
        <v>4201.90000009537</v>
      </c>
      <c r="D33" t="s">
        <v>511</v>
      </c>
      <c r="E33" t="s">
        <v>512</v>
      </c>
      <c r="F33">
        <v>5</v>
      </c>
      <c r="G33" t="s">
        <v>508</v>
      </c>
      <c r="H33" t="s">
        <v>436</v>
      </c>
      <c r="I33">
        <v>1760897957.5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425.942026925818</v>
      </c>
      <c r="AK33">
        <v>409.899109090909</v>
      </c>
      <c r="AL33">
        <v>1.90472016818881e-05</v>
      </c>
      <c r="AM33">
        <v>65.2458301114441</v>
      </c>
      <c r="AN33">
        <f>(AP33 - AO33 + DY33*1E3/(8.314*(EA33+273.15)) * AR33/DX33 * AQ33) * DX33/(100*DL33) * 1000/(1000 - AP33)</f>
        <v>0</v>
      </c>
      <c r="AO33">
        <v>14.0282015057328</v>
      </c>
      <c r="AP33">
        <v>16.3243351515151</v>
      </c>
      <c r="AQ33">
        <v>-5.38736802512796e-05</v>
      </c>
      <c r="AR33">
        <v>115.571024908783</v>
      </c>
      <c r="AS33">
        <v>0</v>
      </c>
      <c r="AT33">
        <v>0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437</v>
      </c>
      <c r="AY33">
        <v>5082.33</v>
      </c>
      <c r="AZ33">
        <v>690.032</v>
      </c>
      <c r="BA33">
        <v>1612.68</v>
      </c>
      <c r="BB33">
        <f>1-AZ33/BA33</f>
        <v>0</v>
      </c>
      <c r="BC33">
        <v>-9.7270689171713</v>
      </c>
      <c r="BD33" t="s">
        <v>513</v>
      </c>
      <c r="BE33">
        <v>5159.04</v>
      </c>
      <c r="BF33">
        <v>1169.94461538462</v>
      </c>
      <c r="BG33">
        <v>1513.79047724913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514</v>
      </c>
      <c r="BQ33">
        <v>737.4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BZ33">
        <v>128</v>
      </c>
      <c r="CA33">
        <v>290</v>
      </c>
      <c r="CB33">
        <v>1421.63</v>
      </c>
      <c r="CC33">
        <v>275</v>
      </c>
      <c r="CD33">
        <v>5159.04</v>
      </c>
      <c r="CE33">
        <v>1421.72</v>
      </c>
      <c r="CF33">
        <v>-0.09</v>
      </c>
      <c r="CG33">
        <v>300</v>
      </c>
      <c r="CH33">
        <v>23.7</v>
      </c>
      <c r="CI33">
        <v>1513.79047724913</v>
      </c>
      <c r="CJ33">
        <v>2.11224154393304</v>
      </c>
      <c r="CK33">
        <v>-47.4999337271268</v>
      </c>
      <c r="CL33">
        <v>0.980709703938991</v>
      </c>
      <c r="CM33">
        <v>0.988204944420832</v>
      </c>
      <c r="CN33">
        <v>-0.00325236573971079</v>
      </c>
      <c r="CO33">
        <v>290</v>
      </c>
      <c r="CP33">
        <v>1421.47</v>
      </c>
      <c r="CQ33">
        <v>805</v>
      </c>
      <c r="CR33">
        <v>5157.41</v>
      </c>
      <c r="CS33">
        <v>1421.69</v>
      </c>
      <c r="CT33">
        <v>-0.22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3.21</v>
      </c>
      <c r="DM33">
        <v>0.5</v>
      </c>
      <c r="DN33" t="s">
        <v>440</v>
      </c>
      <c r="DO33">
        <v>2</v>
      </c>
      <c r="DP33" t="b">
        <v>1</v>
      </c>
      <c r="DQ33">
        <v>1760897957.5</v>
      </c>
      <c r="DR33">
        <v>403.2450625</v>
      </c>
      <c r="DS33">
        <v>419.989</v>
      </c>
      <c r="DT33">
        <v>16.33335</v>
      </c>
      <c r="DU33">
        <v>14.0260375</v>
      </c>
      <c r="DV33">
        <v>400.859</v>
      </c>
      <c r="DW33">
        <v>16.2339</v>
      </c>
      <c r="DX33">
        <v>499.9946875</v>
      </c>
      <c r="DY33">
        <v>90.95905</v>
      </c>
      <c r="DZ33">
        <v>0.03434260625</v>
      </c>
      <c r="EA33">
        <v>23.835925</v>
      </c>
      <c r="EB33">
        <v>23.9795625</v>
      </c>
      <c r="EC33">
        <v>999.9</v>
      </c>
      <c r="ED33">
        <v>0</v>
      </c>
      <c r="EE33">
        <v>0</v>
      </c>
      <c r="EF33">
        <v>9995.85125</v>
      </c>
      <c r="EG33">
        <v>0</v>
      </c>
      <c r="EH33">
        <v>1252.34375</v>
      </c>
      <c r="EI33">
        <v>-16.7438625</v>
      </c>
      <c r="EJ33">
        <v>409.94075</v>
      </c>
      <c r="EK33">
        <v>425.9635</v>
      </c>
      <c r="EL33">
        <v>2.307313125</v>
      </c>
      <c r="EM33">
        <v>419.989</v>
      </c>
      <c r="EN33">
        <v>14.0260375</v>
      </c>
      <c r="EO33">
        <v>1.485665625</v>
      </c>
      <c r="EP33">
        <v>1.275794375</v>
      </c>
      <c r="EQ33">
        <v>12.82143125</v>
      </c>
      <c r="ER33">
        <v>10.51669375</v>
      </c>
      <c r="ES33">
        <v>1200.006875</v>
      </c>
      <c r="ET33">
        <v>0.966997375</v>
      </c>
      <c r="EU33">
        <v>0.0330025875</v>
      </c>
      <c r="EV33">
        <v>0</v>
      </c>
      <c r="EW33">
        <v>1169.8075</v>
      </c>
      <c r="EX33">
        <v>5.00059</v>
      </c>
      <c r="EY33">
        <v>13865.08125</v>
      </c>
      <c r="EZ33">
        <v>10358.775</v>
      </c>
      <c r="FA33">
        <v>38.800375</v>
      </c>
      <c r="FB33">
        <v>40.625</v>
      </c>
      <c r="FC33">
        <v>39.0816875</v>
      </c>
      <c r="FD33">
        <v>40.2185</v>
      </c>
      <c r="FE33">
        <v>39.917625</v>
      </c>
      <c r="FF33">
        <v>1155.566875</v>
      </c>
      <c r="FG33">
        <v>39.44</v>
      </c>
      <c r="FH33">
        <v>0</v>
      </c>
      <c r="FI33">
        <v>137.599999904633</v>
      </c>
      <c r="FJ33">
        <v>0</v>
      </c>
      <c r="FK33">
        <v>1169.94461538462</v>
      </c>
      <c r="FL33">
        <v>5.02837606925305</v>
      </c>
      <c r="FM33">
        <v>70.6495726269123</v>
      </c>
      <c r="FN33">
        <v>13866.0730769231</v>
      </c>
      <c r="FO33">
        <v>15</v>
      </c>
      <c r="FP33">
        <v>0</v>
      </c>
      <c r="FQ33" t="s">
        <v>441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-16.7362857142857</v>
      </c>
      <c r="GD33">
        <v>-0.159023376623414</v>
      </c>
      <c r="GE33">
        <v>0.0303253514204788</v>
      </c>
      <c r="GF33">
        <v>1</v>
      </c>
      <c r="GG33">
        <v>1169.67029411765</v>
      </c>
      <c r="GH33">
        <v>4.49702063105272</v>
      </c>
      <c r="GI33">
        <v>0.477058914194531</v>
      </c>
      <c r="GJ33">
        <v>-1</v>
      </c>
      <c r="GK33">
        <v>2.31165523809524</v>
      </c>
      <c r="GL33">
        <v>-0.101968051948053</v>
      </c>
      <c r="GM33">
        <v>0.0103347115604911</v>
      </c>
      <c r="GN33">
        <v>0</v>
      </c>
      <c r="GO33">
        <v>1</v>
      </c>
      <c r="GP33">
        <v>2</v>
      </c>
      <c r="GQ33" t="s">
        <v>454</v>
      </c>
      <c r="GR33">
        <v>3.1301</v>
      </c>
      <c r="GS33">
        <v>2.71257</v>
      </c>
      <c r="GT33">
        <v>0.086831</v>
      </c>
      <c r="GU33">
        <v>0.0901547</v>
      </c>
      <c r="GV33">
        <v>0.0781701</v>
      </c>
      <c r="GW33">
        <v>0.0702361</v>
      </c>
      <c r="GX33">
        <v>34298.3</v>
      </c>
      <c r="GY33">
        <v>36580.9</v>
      </c>
      <c r="GZ33">
        <v>33990</v>
      </c>
      <c r="HA33">
        <v>36410.9</v>
      </c>
      <c r="HB33">
        <v>44270.2</v>
      </c>
      <c r="HC33">
        <v>48593.7</v>
      </c>
      <c r="HD33">
        <v>53016.8</v>
      </c>
      <c r="HE33">
        <v>58163.6</v>
      </c>
      <c r="HF33">
        <v>1.93817</v>
      </c>
      <c r="HG33">
        <v>1.79042</v>
      </c>
      <c r="HH33">
        <v>-0.00720099</v>
      </c>
      <c r="HI33">
        <v>0</v>
      </c>
      <c r="HJ33">
        <v>24.0449</v>
      </c>
      <c r="HK33">
        <v>999.9</v>
      </c>
      <c r="HL33">
        <v>39.073</v>
      </c>
      <c r="HM33">
        <v>29.628</v>
      </c>
      <c r="HN33">
        <v>17.9134</v>
      </c>
      <c r="HO33">
        <v>55.4822</v>
      </c>
      <c r="HP33">
        <v>46.5745</v>
      </c>
      <c r="HQ33">
        <v>1</v>
      </c>
      <c r="HR33">
        <v>0.18374</v>
      </c>
      <c r="HS33">
        <v>5.24322</v>
      </c>
      <c r="HT33">
        <v>20.0617</v>
      </c>
      <c r="HU33">
        <v>5.19827</v>
      </c>
      <c r="HV33">
        <v>12.0099</v>
      </c>
      <c r="HW33">
        <v>4.9754</v>
      </c>
      <c r="HX33">
        <v>3.294</v>
      </c>
      <c r="HY33">
        <v>9999</v>
      </c>
      <c r="HZ33">
        <v>999.9</v>
      </c>
      <c r="IA33">
        <v>9999</v>
      </c>
      <c r="IB33">
        <v>9999</v>
      </c>
      <c r="IC33">
        <v>1.86322</v>
      </c>
      <c r="ID33">
        <v>1.868</v>
      </c>
      <c r="IE33">
        <v>1.86783</v>
      </c>
      <c r="IF33">
        <v>1.86904</v>
      </c>
      <c r="IG33">
        <v>1.86981</v>
      </c>
      <c r="IH33">
        <v>1.86584</v>
      </c>
      <c r="II33">
        <v>1.86693</v>
      </c>
      <c r="IJ33">
        <v>1.86833</v>
      </c>
      <c r="IK33">
        <v>5</v>
      </c>
      <c r="IL33">
        <v>0</v>
      </c>
      <c r="IM33">
        <v>0</v>
      </c>
      <c r="IN33">
        <v>0</v>
      </c>
      <c r="IO33" t="s">
        <v>443</v>
      </c>
      <c r="IP33" t="s">
        <v>444</v>
      </c>
      <c r="IQ33" t="s">
        <v>445</v>
      </c>
      <c r="IR33" t="s">
        <v>445</v>
      </c>
      <c r="IS33" t="s">
        <v>445</v>
      </c>
      <c r="IT33" t="s">
        <v>445</v>
      </c>
      <c r="IU33">
        <v>0</v>
      </c>
      <c r="IV33">
        <v>100</v>
      </c>
      <c r="IW33">
        <v>100</v>
      </c>
      <c r="IX33">
        <v>2.386</v>
      </c>
      <c r="IY33">
        <v>0.099</v>
      </c>
      <c r="IZ33">
        <v>0.833350075594679</v>
      </c>
      <c r="JA33">
        <v>0.00412825224050377</v>
      </c>
      <c r="JB33">
        <v>-7.34426573386615e-07</v>
      </c>
      <c r="JC33">
        <v>2.46800082545482e-10</v>
      </c>
      <c r="JD33">
        <v>-0.0848433440729365</v>
      </c>
      <c r="JE33">
        <v>-0.0240557196358944</v>
      </c>
      <c r="JF33">
        <v>0.0027855358087715</v>
      </c>
      <c r="JG33">
        <v>-3.72349365099102e-05</v>
      </c>
      <c r="JH33">
        <v>5</v>
      </c>
      <c r="JI33">
        <v>2250</v>
      </c>
      <c r="JJ33">
        <v>0</v>
      </c>
      <c r="JK33">
        <v>24</v>
      </c>
      <c r="JL33">
        <v>29348299.4</v>
      </c>
      <c r="JM33">
        <v>29348299.4</v>
      </c>
      <c r="JN33">
        <v>1.0083</v>
      </c>
      <c r="JO33">
        <v>2.61719</v>
      </c>
      <c r="JP33">
        <v>1.54785</v>
      </c>
      <c r="JQ33">
        <v>2.31079</v>
      </c>
      <c r="JR33">
        <v>1.64673</v>
      </c>
      <c r="JS33">
        <v>2.38403</v>
      </c>
      <c r="JT33">
        <v>33.1769</v>
      </c>
      <c r="JU33">
        <v>24.1751</v>
      </c>
      <c r="JV33">
        <v>18</v>
      </c>
      <c r="JW33">
        <v>501.895</v>
      </c>
      <c r="JX33">
        <v>405.078</v>
      </c>
      <c r="JY33">
        <v>17.4799</v>
      </c>
      <c r="JZ33">
        <v>29.5537</v>
      </c>
      <c r="KA33">
        <v>30.0016</v>
      </c>
      <c r="KB33">
        <v>29.1079</v>
      </c>
      <c r="KC33">
        <v>29.0154</v>
      </c>
      <c r="KD33">
        <v>20.1982</v>
      </c>
      <c r="KE33">
        <v>24.4762</v>
      </c>
      <c r="KF33">
        <v>44.7891</v>
      </c>
      <c r="KG33">
        <v>17.5002</v>
      </c>
      <c r="KH33">
        <v>420</v>
      </c>
      <c r="KI33">
        <v>14.0356</v>
      </c>
      <c r="KJ33">
        <v>96.3787</v>
      </c>
      <c r="KK33">
        <v>94.2559</v>
      </c>
    </row>
    <row r="34" spans="1:297">
      <c r="A34">
        <v>18</v>
      </c>
      <c r="B34">
        <v>1760898130</v>
      </c>
      <c r="C34">
        <v>4365.90000009537</v>
      </c>
      <c r="D34" t="s">
        <v>515</v>
      </c>
      <c r="E34" t="s">
        <v>516</v>
      </c>
      <c r="F34">
        <v>5</v>
      </c>
      <c r="G34" t="s">
        <v>508</v>
      </c>
      <c r="H34" t="s">
        <v>436</v>
      </c>
      <c r="I34">
        <v>1760898122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425.821166469889</v>
      </c>
      <c r="AK34">
        <v>408.343642424242</v>
      </c>
      <c r="AL34">
        <v>-0.0153192408789444</v>
      </c>
      <c r="AM34">
        <v>65.2458301114441</v>
      </c>
      <c r="AN34">
        <f>(AP34 - AO34 + DY34*1E3/(8.314*(EA34+273.15)) * AR34/DX34 * AQ34) * DX34/(100*DL34) * 1000/(1000 - AP34)</f>
        <v>0</v>
      </c>
      <c r="AO34">
        <v>13.7964931214294</v>
      </c>
      <c r="AP34">
        <v>16.424536969697</v>
      </c>
      <c r="AQ34">
        <v>-0.000152678968276585</v>
      </c>
      <c r="AR34">
        <v>115.571024908783</v>
      </c>
      <c r="AS34">
        <v>0</v>
      </c>
      <c r="AT34">
        <v>0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437</v>
      </c>
      <c r="AY34">
        <v>5082.33</v>
      </c>
      <c r="AZ34">
        <v>690.032</v>
      </c>
      <c r="BA34">
        <v>1612.68</v>
      </c>
      <c r="BB34">
        <f>1-AZ34/BA34</f>
        <v>0</v>
      </c>
      <c r="BC34">
        <v>-9.7270689171713</v>
      </c>
      <c r="BD34" t="s">
        <v>517</v>
      </c>
      <c r="BE34">
        <v>5159.65</v>
      </c>
      <c r="BF34">
        <v>1177.248</v>
      </c>
      <c r="BG34">
        <v>1531.86221714956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518</v>
      </c>
      <c r="BQ34">
        <v>732.2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BZ34">
        <v>130</v>
      </c>
      <c r="CA34">
        <v>290</v>
      </c>
      <c r="CB34">
        <v>1435.22</v>
      </c>
      <c r="CC34">
        <v>195</v>
      </c>
      <c r="CD34">
        <v>5159.65</v>
      </c>
      <c r="CE34">
        <v>1435.3</v>
      </c>
      <c r="CF34">
        <v>-0.08</v>
      </c>
      <c r="CG34">
        <v>300</v>
      </c>
      <c r="CH34">
        <v>23.7</v>
      </c>
      <c r="CI34">
        <v>1531.86221714956</v>
      </c>
      <c r="CJ34">
        <v>1.8818711683258</v>
      </c>
      <c r="CK34">
        <v>-49.8203450889763</v>
      </c>
      <c r="CL34">
        <v>0.873701399495927</v>
      </c>
      <c r="CM34">
        <v>0.991462184109958</v>
      </c>
      <c r="CN34">
        <v>-0.00325225072302558</v>
      </c>
      <c r="CO34">
        <v>290</v>
      </c>
      <c r="CP34">
        <v>1435.4</v>
      </c>
      <c r="CQ34">
        <v>695</v>
      </c>
      <c r="CR34">
        <v>5157.65</v>
      </c>
      <c r="CS34">
        <v>1435.27</v>
      </c>
      <c r="CT34">
        <v>0.13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3.21</v>
      </c>
      <c r="DM34">
        <v>0.5</v>
      </c>
      <c r="DN34" t="s">
        <v>440</v>
      </c>
      <c r="DO34">
        <v>2</v>
      </c>
      <c r="DP34" t="b">
        <v>1</v>
      </c>
      <c r="DQ34">
        <v>1760898122</v>
      </c>
      <c r="DR34">
        <v>401.740733333333</v>
      </c>
      <c r="DS34">
        <v>419.987733333333</v>
      </c>
      <c r="DT34">
        <v>16.43776</v>
      </c>
      <c r="DU34">
        <v>13.7971</v>
      </c>
      <c r="DV34">
        <v>399.360066666667</v>
      </c>
      <c r="DW34">
        <v>16.3346</v>
      </c>
      <c r="DX34">
        <v>500.0184</v>
      </c>
      <c r="DY34">
        <v>90.9490733333333</v>
      </c>
      <c r="DZ34">
        <v>0.0348324933333333</v>
      </c>
      <c r="EA34">
        <v>23.9502333333333</v>
      </c>
      <c r="EB34">
        <v>24.0532733333333</v>
      </c>
      <c r="EC34">
        <v>999.9</v>
      </c>
      <c r="ED34">
        <v>0</v>
      </c>
      <c r="EE34">
        <v>0</v>
      </c>
      <c r="EF34">
        <v>10009.8693333333</v>
      </c>
      <c r="EG34">
        <v>0</v>
      </c>
      <c r="EH34">
        <v>1251.36266666667</v>
      </c>
      <c r="EI34">
        <v>-18.2470666666667</v>
      </c>
      <c r="EJ34">
        <v>408.454733333333</v>
      </c>
      <c r="EK34">
        <v>425.8634</v>
      </c>
      <c r="EL34">
        <v>2.64066266666667</v>
      </c>
      <c r="EM34">
        <v>419.987733333333</v>
      </c>
      <c r="EN34">
        <v>13.7971</v>
      </c>
      <c r="EO34">
        <v>1.49499933333333</v>
      </c>
      <c r="EP34">
        <v>1.254834</v>
      </c>
      <c r="EQ34">
        <v>12.9171133333333</v>
      </c>
      <c r="ER34">
        <v>10.2685133333333</v>
      </c>
      <c r="ES34">
        <v>1200.02066666667</v>
      </c>
      <c r="ET34">
        <v>0.9669994</v>
      </c>
      <c r="EU34">
        <v>0.0330006133333333</v>
      </c>
      <c r="EV34">
        <v>0</v>
      </c>
      <c r="EW34">
        <v>1177.19066666667</v>
      </c>
      <c r="EX34">
        <v>5.00059</v>
      </c>
      <c r="EY34">
        <v>13958.7333333333</v>
      </c>
      <c r="EZ34">
        <v>10358.9</v>
      </c>
      <c r="FA34">
        <v>38.9328666666667</v>
      </c>
      <c r="FB34">
        <v>40.812</v>
      </c>
      <c r="FC34">
        <v>39.25</v>
      </c>
      <c r="FD34">
        <v>40.375</v>
      </c>
      <c r="FE34">
        <v>40.0578666666667</v>
      </c>
      <c r="FF34">
        <v>1155.58066666667</v>
      </c>
      <c r="FG34">
        <v>39.44</v>
      </c>
      <c r="FH34">
        <v>0</v>
      </c>
      <c r="FI34">
        <v>160.399999856949</v>
      </c>
      <c r="FJ34">
        <v>0</v>
      </c>
      <c r="FK34">
        <v>1177.248</v>
      </c>
      <c r="FL34">
        <v>6.44846155138806</v>
      </c>
      <c r="FM34">
        <v>68.5230769124681</v>
      </c>
      <c r="FN34">
        <v>13959.292</v>
      </c>
      <c r="FO34">
        <v>15</v>
      </c>
      <c r="FP34">
        <v>0</v>
      </c>
      <c r="FQ34" t="s">
        <v>441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-18.2213</v>
      </c>
      <c r="GD34">
        <v>-0.337163909774462</v>
      </c>
      <c r="GE34">
        <v>0.0444244302158174</v>
      </c>
      <c r="GF34">
        <v>1</v>
      </c>
      <c r="GG34">
        <v>1176.79294117647</v>
      </c>
      <c r="GH34">
        <v>5.71122994216425</v>
      </c>
      <c r="GI34">
        <v>0.617235437070054</v>
      </c>
      <c r="GJ34">
        <v>-1</v>
      </c>
      <c r="GK34">
        <v>2.651294</v>
      </c>
      <c r="GL34">
        <v>-0.175920902255636</v>
      </c>
      <c r="GM34">
        <v>0.0177647396265749</v>
      </c>
      <c r="GN34">
        <v>0</v>
      </c>
      <c r="GO34">
        <v>1</v>
      </c>
      <c r="GP34">
        <v>2</v>
      </c>
      <c r="GQ34" t="s">
        <v>454</v>
      </c>
      <c r="GR34">
        <v>3.12984</v>
      </c>
      <c r="GS34">
        <v>2.71305</v>
      </c>
      <c r="GT34">
        <v>0.0864557</v>
      </c>
      <c r="GU34">
        <v>0.0900178</v>
      </c>
      <c r="GV34">
        <v>0.0784191</v>
      </c>
      <c r="GW34">
        <v>0.0692661</v>
      </c>
      <c r="GX34">
        <v>34289</v>
      </c>
      <c r="GY34">
        <v>36553.8</v>
      </c>
      <c r="GZ34">
        <v>33968.9</v>
      </c>
      <c r="HA34">
        <v>36380.6</v>
      </c>
      <c r="HB34">
        <v>44237.1</v>
      </c>
      <c r="HC34">
        <v>48607.7</v>
      </c>
      <c r="HD34">
        <v>52991.3</v>
      </c>
      <c r="HE34">
        <v>58119.8</v>
      </c>
      <c r="HF34">
        <v>1.93333</v>
      </c>
      <c r="HG34">
        <v>1.78537</v>
      </c>
      <c r="HH34">
        <v>0.000141561</v>
      </c>
      <c r="HI34">
        <v>0</v>
      </c>
      <c r="HJ34">
        <v>24.0449</v>
      </c>
      <c r="HK34">
        <v>999.9</v>
      </c>
      <c r="HL34">
        <v>39</v>
      </c>
      <c r="HM34">
        <v>29.658</v>
      </c>
      <c r="HN34">
        <v>17.9141</v>
      </c>
      <c r="HO34">
        <v>55.4023</v>
      </c>
      <c r="HP34">
        <v>46.1498</v>
      </c>
      <c r="HQ34">
        <v>1</v>
      </c>
      <c r="HR34">
        <v>0.217015</v>
      </c>
      <c r="HS34">
        <v>5.60056</v>
      </c>
      <c r="HT34">
        <v>20.0492</v>
      </c>
      <c r="HU34">
        <v>5.19722</v>
      </c>
      <c r="HV34">
        <v>12.0099</v>
      </c>
      <c r="HW34">
        <v>4.9753</v>
      </c>
      <c r="HX34">
        <v>3.294</v>
      </c>
      <c r="HY34">
        <v>9999</v>
      </c>
      <c r="HZ34">
        <v>999.9</v>
      </c>
      <c r="IA34">
        <v>9999</v>
      </c>
      <c r="IB34">
        <v>9999</v>
      </c>
      <c r="IC34">
        <v>1.86323</v>
      </c>
      <c r="ID34">
        <v>1.868</v>
      </c>
      <c r="IE34">
        <v>1.86782</v>
      </c>
      <c r="IF34">
        <v>1.86904</v>
      </c>
      <c r="IG34">
        <v>1.86981</v>
      </c>
      <c r="IH34">
        <v>1.86584</v>
      </c>
      <c r="II34">
        <v>1.86691</v>
      </c>
      <c r="IJ34">
        <v>1.86834</v>
      </c>
      <c r="IK34">
        <v>5</v>
      </c>
      <c r="IL34">
        <v>0</v>
      </c>
      <c r="IM34">
        <v>0</v>
      </c>
      <c r="IN34">
        <v>0</v>
      </c>
      <c r="IO34" t="s">
        <v>443</v>
      </c>
      <c r="IP34" t="s">
        <v>444</v>
      </c>
      <c r="IQ34" t="s">
        <v>445</v>
      </c>
      <c r="IR34" t="s">
        <v>445</v>
      </c>
      <c r="IS34" t="s">
        <v>445</v>
      </c>
      <c r="IT34" t="s">
        <v>445</v>
      </c>
      <c r="IU34">
        <v>0</v>
      </c>
      <c r="IV34">
        <v>100</v>
      </c>
      <c r="IW34">
        <v>100</v>
      </c>
      <c r="IX34">
        <v>2.381</v>
      </c>
      <c r="IY34">
        <v>0.1027</v>
      </c>
      <c r="IZ34">
        <v>0.833350075594679</v>
      </c>
      <c r="JA34">
        <v>0.00412825224050377</v>
      </c>
      <c r="JB34">
        <v>-7.34426573386615e-07</v>
      </c>
      <c r="JC34">
        <v>2.46800082545482e-10</v>
      </c>
      <c r="JD34">
        <v>-0.0848433440729365</v>
      </c>
      <c r="JE34">
        <v>-0.0240557196358944</v>
      </c>
      <c r="JF34">
        <v>0.0027855358087715</v>
      </c>
      <c r="JG34">
        <v>-3.72349365099102e-05</v>
      </c>
      <c r="JH34">
        <v>5</v>
      </c>
      <c r="JI34">
        <v>2250</v>
      </c>
      <c r="JJ34">
        <v>0</v>
      </c>
      <c r="JK34">
        <v>24</v>
      </c>
      <c r="JL34">
        <v>29348302.2</v>
      </c>
      <c r="JM34">
        <v>29348302.2</v>
      </c>
      <c r="JN34">
        <v>1.00708</v>
      </c>
      <c r="JO34">
        <v>2.61475</v>
      </c>
      <c r="JP34">
        <v>1.54785</v>
      </c>
      <c r="JQ34">
        <v>2.31079</v>
      </c>
      <c r="JR34">
        <v>1.64673</v>
      </c>
      <c r="JS34">
        <v>2.37061</v>
      </c>
      <c r="JT34">
        <v>33.244</v>
      </c>
      <c r="JU34">
        <v>24.1751</v>
      </c>
      <c r="JV34">
        <v>18</v>
      </c>
      <c r="JW34">
        <v>502.962</v>
      </c>
      <c r="JX34">
        <v>405.709</v>
      </c>
      <c r="JY34">
        <v>17.4196</v>
      </c>
      <c r="JZ34">
        <v>29.9484</v>
      </c>
      <c r="KA34">
        <v>30.0012</v>
      </c>
      <c r="KB34">
        <v>29.6046</v>
      </c>
      <c r="KC34">
        <v>29.5228</v>
      </c>
      <c r="KD34">
        <v>20.1917</v>
      </c>
      <c r="KE34">
        <v>24.6918</v>
      </c>
      <c r="KF34">
        <v>43.6724</v>
      </c>
      <c r="KG34">
        <v>17.401</v>
      </c>
      <c r="KH34">
        <v>420</v>
      </c>
      <c r="KI34">
        <v>13.8372</v>
      </c>
      <c r="KJ34">
        <v>96.327</v>
      </c>
      <c r="KK34">
        <v>94.1821</v>
      </c>
    </row>
    <row r="35" spans="1:297">
      <c r="A35">
        <v>19</v>
      </c>
      <c r="B35">
        <v>1760898561</v>
      </c>
      <c r="C35">
        <v>4796.90000009537</v>
      </c>
      <c r="D35" t="s">
        <v>519</v>
      </c>
      <c r="E35" t="s">
        <v>520</v>
      </c>
      <c r="F35">
        <v>5</v>
      </c>
      <c r="G35" t="s">
        <v>521</v>
      </c>
      <c r="H35" t="s">
        <v>436</v>
      </c>
      <c r="I35">
        <v>1760898552.5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426.082330984318</v>
      </c>
      <c r="AK35">
        <v>412.996496969697</v>
      </c>
      <c r="AL35">
        <v>-9.12815986852453e-05</v>
      </c>
      <c r="AM35">
        <v>65.0723333309843</v>
      </c>
      <c r="AN35">
        <f>(AP35 - AO35 + DY35*1E3/(8.314*(EA35+273.15)) * AR35/DX35 * AQ35) * DX35/(100*DL35) * 1000/(1000 - AP35)</f>
        <v>0</v>
      </c>
      <c r="AO35">
        <v>14.3516160267439</v>
      </c>
      <c r="AP35">
        <v>16.4945503030303</v>
      </c>
      <c r="AQ35">
        <v>1.96501193318792e-05</v>
      </c>
      <c r="AR35">
        <v>116.87178445962</v>
      </c>
      <c r="AS35">
        <v>0</v>
      </c>
      <c r="AT35">
        <v>0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437</v>
      </c>
      <c r="AY35">
        <v>5082.33</v>
      </c>
      <c r="AZ35">
        <v>690.032</v>
      </c>
      <c r="BA35">
        <v>1612.68</v>
      </c>
      <c r="BB35">
        <f>1-AZ35/BA35</f>
        <v>0</v>
      </c>
      <c r="BC35">
        <v>-9.7270689171713</v>
      </c>
      <c r="BD35" t="s">
        <v>522</v>
      </c>
      <c r="BE35">
        <v>5156.51</v>
      </c>
      <c r="BF35">
        <v>1588.896</v>
      </c>
      <c r="BG35">
        <v>1943.95134576562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523</v>
      </c>
      <c r="BQ35">
        <v>799.27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BZ35">
        <v>132</v>
      </c>
      <c r="CA35">
        <v>290</v>
      </c>
      <c r="CB35">
        <v>1848.93</v>
      </c>
      <c r="CC35">
        <v>195</v>
      </c>
      <c r="CD35">
        <v>5156.51</v>
      </c>
      <c r="CE35">
        <v>1848.72</v>
      </c>
      <c r="CF35">
        <v>0.21</v>
      </c>
      <c r="CG35">
        <v>300</v>
      </c>
      <c r="CH35">
        <v>23.7</v>
      </c>
      <c r="CI35">
        <v>1943.95134576562</v>
      </c>
      <c r="CJ35">
        <v>2.13065345025522</v>
      </c>
      <c r="CK35">
        <v>-49.1063333136081</v>
      </c>
      <c r="CL35">
        <v>0.988602724801318</v>
      </c>
      <c r="CM35">
        <v>0.98877914575203</v>
      </c>
      <c r="CN35">
        <v>-0.00325026006674082</v>
      </c>
      <c r="CO35">
        <v>290</v>
      </c>
      <c r="CP35">
        <v>1846.51</v>
      </c>
      <c r="CQ35">
        <v>685</v>
      </c>
      <c r="CR35">
        <v>5154.57</v>
      </c>
      <c r="CS35">
        <v>1848.68</v>
      </c>
      <c r="CT35">
        <v>-2.17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3.21</v>
      </c>
      <c r="DM35">
        <v>0.5</v>
      </c>
      <c r="DN35" t="s">
        <v>440</v>
      </c>
      <c r="DO35">
        <v>2</v>
      </c>
      <c r="DP35" t="b">
        <v>1</v>
      </c>
      <c r="DQ35">
        <v>1760898552.5</v>
      </c>
      <c r="DR35">
        <v>406.1883125</v>
      </c>
      <c r="DS35">
        <v>420.008875</v>
      </c>
      <c r="DT35">
        <v>16.4935875</v>
      </c>
      <c r="DU35">
        <v>14.347925</v>
      </c>
      <c r="DV35">
        <v>403.7915</v>
      </c>
      <c r="DW35">
        <v>16.388425</v>
      </c>
      <c r="DX35">
        <v>500.0038125</v>
      </c>
      <c r="DY35">
        <v>90.92979375</v>
      </c>
      <c r="DZ35">
        <v>0.03580555</v>
      </c>
      <c r="EA35">
        <v>24.0304</v>
      </c>
      <c r="EB35">
        <v>24.009425</v>
      </c>
      <c r="EC35">
        <v>999.9</v>
      </c>
      <c r="ED35">
        <v>0</v>
      </c>
      <c r="EE35">
        <v>0</v>
      </c>
      <c r="EF35">
        <v>9999.565625</v>
      </c>
      <c r="EG35">
        <v>0</v>
      </c>
      <c r="EH35">
        <v>1262.728125</v>
      </c>
      <c r="EI35">
        <v>-13.82055</v>
      </c>
      <c r="EJ35">
        <v>413</v>
      </c>
      <c r="EK35">
        <v>426.1228125</v>
      </c>
      <c r="EL35">
        <v>2.14567625</v>
      </c>
      <c r="EM35">
        <v>420.008875</v>
      </c>
      <c r="EN35">
        <v>14.347925</v>
      </c>
      <c r="EO35">
        <v>1.49975875</v>
      </c>
      <c r="EP35">
        <v>1.3046525</v>
      </c>
      <c r="EQ35">
        <v>12.96570625</v>
      </c>
      <c r="ER35">
        <v>10.8525875</v>
      </c>
      <c r="ES35">
        <v>1200.02</v>
      </c>
      <c r="ET35">
        <v>0.966994875</v>
      </c>
      <c r="EU35">
        <v>0.0330051</v>
      </c>
      <c r="EV35">
        <v>0</v>
      </c>
      <c r="EW35">
        <v>1588.843125</v>
      </c>
      <c r="EX35">
        <v>5.00059</v>
      </c>
      <c r="EY35">
        <v>18762.54375</v>
      </c>
      <c r="EZ35">
        <v>10358.875</v>
      </c>
      <c r="FA35">
        <v>38.875</v>
      </c>
      <c r="FB35">
        <v>40.75</v>
      </c>
      <c r="FC35">
        <v>39.187</v>
      </c>
      <c r="FD35">
        <v>40.300375</v>
      </c>
      <c r="FE35">
        <v>40</v>
      </c>
      <c r="FF35">
        <v>1155.58</v>
      </c>
      <c r="FG35">
        <v>39.44</v>
      </c>
      <c r="FH35">
        <v>0</v>
      </c>
      <c r="FI35">
        <v>427.5</v>
      </c>
      <c r="FJ35">
        <v>0</v>
      </c>
      <c r="FK35">
        <v>1588.896</v>
      </c>
      <c r="FL35">
        <v>0.800769232484284</v>
      </c>
      <c r="FM35">
        <v>5.26923069733678</v>
      </c>
      <c r="FN35">
        <v>18762.212</v>
      </c>
      <c r="FO35">
        <v>15</v>
      </c>
      <c r="FP35">
        <v>0</v>
      </c>
      <c r="FQ35" t="s">
        <v>441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-13.7987047619048</v>
      </c>
      <c r="GD35">
        <v>-0.0933740259740579</v>
      </c>
      <c r="GE35">
        <v>0.064112137445264</v>
      </c>
      <c r="GF35">
        <v>1</v>
      </c>
      <c r="GG35">
        <v>1588.86088235294</v>
      </c>
      <c r="GH35">
        <v>0.217417877167908</v>
      </c>
      <c r="GI35">
        <v>0.194276450194943</v>
      </c>
      <c r="GJ35">
        <v>-1</v>
      </c>
      <c r="GK35">
        <v>2.14641095238095</v>
      </c>
      <c r="GL35">
        <v>-0.0203875324675293</v>
      </c>
      <c r="GM35">
        <v>0.00270362526418898</v>
      </c>
      <c r="GN35">
        <v>1</v>
      </c>
      <c r="GO35">
        <v>2</v>
      </c>
      <c r="GP35">
        <v>2</v>
      </c>
      <c r="GQ35" t="s">
        <v>442</v>
      </c>
      <c r="GR35">
        <v>3.12981</v>
      </c>
      <c r="GS35">
        <v>2.71385</v>
      </c>
      <c r="GT35">
        <v>0.0870271</v>
      </c>
      <c r="GU35">
        <v>0.08983</v>
      </c>
      <c r="GV35">
        <v>0.0784997</v>
      </c>
      <c r="GW35">
        <v>0.0712086</v>
      </c>
      <c r="GX35">
        <v>34235.5</v>
      </c>
      <c r="GY35">
        <v>36515.6</v>
      </c>
      <c r="GZ35">
        <v>33940.3</v>
      </c>
      <c r="HA35">
        <v>36338.3</v>
      </c>
      <c r="HB35">
        <v>44205.3</v>
      </c>
      <c r="HC35">
        <v>48453.9</v>
      </c>
      <c r="HD35">
        <v>52956.9</v>
      </c>
      <c r="HE35">
        <v>58058.8</v>
      </c>
      <c r="HF35">
        <v>1.92572</v>
      </c>
      <c r="HG35">
        <v>1.77803</v>
      </c>
      <c r="HH35">
        <v>0.00501052</v>
      </c>
      <c r="HI35">
        <v>0</v>
      </c>
      <c r="HJ35">
        <v>23.9279</v>
      </c>
      <c r="HK35">
        <v>999.9</v>
      </c>
      <c r="HL35">
        <v>38.677</v>
      </c>
      <c r="HM35">
        <v>29.789</v>
      </c>
      <c r="HN35">
        <v>17.9032</v>
      </c>
      <c r="HO35">
        <v>55.6523</v>
      </c>
      <c r="HP35">
        <v>46.1498</v>
      </c>
      <c r="HQ35">
        <v>1</v>
      </c>
      <c r="HR35">
        <v>0.259787</v>
      </c>
      <c r="HS35">
        <v>4.97929</v>
      </c>
      <c r="HT35">
        <v>20.0687</v>
      </c>
      <c r="HU35">
        <v>5.19483</v>
      </c>
      <c r="HV35">
        <v>12.0099</v>
      </c>
      <c r="HW35">
        <v>4.97565</v>
      </c>
      <c r="HX35">
        <v>3.294</v>
      </c>
      <c r="HY35">
        <v>9999</v>
      </c>
      <c r="HZ35">
        <v>999.9</v>
      </c>
      <c r="IA35">
        <v>9999</v>
      </c>
      <c r="IB35">
        <v>9999</v>
      </c>
      <c r="IC35">
        <v>1.86324</v>
      </c>
      <c r="ID35">
        <v>1.868</v>
      </c>
      <c r="IE35">
        <v>1.86783</v>
      </c>
      <c r="IF35">
        <v>1.86905</v>
      </c>
      <c r="IG35">
        <v>1.86981</v>
      </c>
      <c r="IH35">
        <v>1.86584</v>
      </c>
      <c r="II35">
        <v>1.86691</v>
      </c>
      <c r="IJ35">
        <v>1.86831</v>
      </c>
      <c r="IK35">
        <v>5</v>
      </c>
      <c r="IL35">
        <v>0</v>
      </c>
      <c r="IM35">
        <v>0</v>
      </c>
      <c r="IN35">
        <v>0</v>
      </c>
      <c r="IO35" t="s">
        <v>443</v>
      </c>
      <c r="IP35" t="s">
        <v>444</v>
      </c>
      <c r="IQ35" t="s">
        <v>445</v>
      </c>
      <c r="IR35" t="s">
        <v>445</v>
      </c>
      <c r="IS35" t="s">
        <v>445</v>
      </c>
      <c r="IT35" t="s">
        <v>445</v>
      </c>
      <c r="IU35">
        <v>0</v>
      </c>
      <c r="IV35">
        <v>100</v>
      </c>
      <c r="IW35">
        <v>100</v>
      </c>
      <c r="IX35">
        <v>2.397</v>
      </c>
      <c r="IY35">
        <v>0.1052</v>
      </c>
      <c r="IZ35">
        <v>0.833350075594679</v>
      </c>
      <c r="JA35">
        <v>0.00412825224050377</v>
      </c>
      <c r="JB35">
        <v>-7.34426573386615e-07</v>
      </c>
      <c r="JC35">
        <v>2.46800082545482e-10</v>
      </c>
      <c r="JD35">
        <v>-0.0848433440729365</v>
      </c>
      <c r="JE35">
        <v>-0.0240557196358944</v>
      </c>
      <c r="JF35">
        <v>0.0027855358087715</v>
      </c>
      <c r="JG35">
        <v>-3.72349365099102e-05</v>
      </c>
      <c r="JH35">
        <v>5</v>
      </c>
      <c r="JI35">
        <v>2250</v>
      </c>
      <c r="JJ35">
        <v>0</v>
      </c>
      <c r="JK35">
        <v>24</v>
      </c>
      <c r="JL35">
        <v>29348309.4</v>
      </c>
      <c r="JM35">
        <v>29348309.4</v>
      </c>
      <c r="JN35">
        <v>1.0083</v>
      </c>
      <c r="JO35">
        <v>2.62451</v>
      </c>
      <c r="JP35">
        <v>1.54785</v>
      </c>
      <c r="JQ35">
        <v>2.30957</v>
      </c>
      <c r="JR35">
        <v>1.64673</v>
      </c>
      <c r="JS35">
        <v>2.31567</v>
      </c>
      <c r="JT35">
        <v>33.4232</v>
      </c>
      <c r="JU35">
        <v>24.1751</v>
      </c>
      <c r="JV35">
        <v>18</v>
      </c>
      <c r="JW35">
        <v>504.416</v>
      </c>
      <c r="JX35">
        <v>406.823</v>
      </c>
      <c r="JY35">
        <v>17.7923</v>
      </c>
      <c r="JZ35">
        <v>30.5471</v>
      </c>
      <c r="KA35">
        <v>30.0004</v>
      </c>
      <c r="KB35">
        <v>30.3678</v>
      </c>
      <c r="KC35">
        <v>30.3012</v>
      </c>
      <c r="KD35">
        <v>20.1888</v>
      </c>
      <c r="KE35">
        <v>19.7328</v>
      </c>
      <c r="KF35">
        <v>42.1848</v>
      </c>
      <c r="KG35">
        <v>17.7878</v>
      </c>
      <c r="KH35">
        <v>420</v>
      </c>
      <c r="KI35">
        <v>14.3599</v>
      </c>
      <c r="KJ35">
        <v>96.2573</v>
      </c>
      <c r="KK35">
        <v>94.0791</v>
      </c>
    </row>
    <row r="36" spans="1:297">
      <c r="A36">
        <v>20</v>
      </c>
      <c r="B36">
        <v>1760898755</v>
      </c>
      <c r="C36">
        <v>4990.90000009537</v>
      </c>
      <c r="D36" t="s">
        <v>524</v>
      </c>
      <c r="E36" t="s">
        <v>525</v>
      </c>
      <c r="F36">
        <v>5</v>
      </c>
      <c r="G36" t="s">
        <v>521</v>
      </c>
      <c r="H36" t="s">
        <v>436</v>
      </c>
      <c r="I36">
        <v>1760898747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426.059916452216</v>
      </c>
      <c r="AK36">
        <v>412.660593939394</v>
      </c>
      <c r="AL36">
        <v>-0.000156030409732282</v>
      </c>
      <c r="AM36">
        <v>65.0723333309843</v>
      </c>
      <c r="AN36">
        <f>(AP36 - AO36 + DY36*1E3/(8.314*(EA36+273.15)) * AR36/DX36 * AQ36) * DX36/(100*DL36) * 1000/(1000 - AP36)</f>
        <v>0</v>
      </c>
      <c r="AO36">
        <v>14.2658030287333</v>
      </c>
      <c r="AP36">
        <v>16.498523030303</v>
      </c>
      <c r="AQ36">
        <v>3.59822827903199e-05</v>
      </c>
      <c r="AR36">
        <v>116.87178445962</v>
      </c>
      <c r="AS36">
        <v>0</v>
      </c>
      <c r="AT36">
        <v>0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437</v>
      </c>
      <c r="AY36">
        <v>5082.33</v>
      </c>
      <c r="AZ36">
        <v>690.032</v>
      </c>
      <c r="BA36">
        <v>1612.68</v>
      </c>
      <c r="BB36">
        <f>1-AZ36/BA36</f>
        <v>0</v>
      </c>
      <c r="BC36">
        <v>-9.7270689171713</v>
      </c>
      <c r="BD36" t="s">
        <v>526</v>
      </c>
      <c r="BE36">
        <v>5155.83</v>
      </c>
      <c r="BF36">
        <v>1588.03961538461</v>
      </c>
      <c r="BG36">
        <v>1937.81832962728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527</v>
      </c>
      <c r="BQ36">
        <v>804.87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BZ36">
        <v>134</v>
      </c>
      <c r="CA36">
        <v>290</v>
      </c>
      <c r="CB36">
        <v>1848.09</v>
      </c>
      <c r="CC36">
        <v>245</v>
      </c>
      <c r="CD36">
        <v>5155.83</v>
      </c>
      <c r="CE36">
        <v>1846.7</v>
      </c>
      <c r="CF36">
        <v>1.39</v>
      </c>
      <c r="CG36">
        <v>300</v>
      </c>
      <c r="CH36">
        <v>23.7</v>
      </c>
      <c r="CI36">
        <v>1937.81832962728</v>
      </c>
      <c r="CJ36">
        <v>1.6153743074056</v>
      </c>
      <c r="CK36">
        <v>-46.980697724923</v>
      </c>
      <c r="CL36">
        <v>0.749507078248046</v>
      </c>
      <c r="CM36">
        <v>0.992924019933007</v>
      </c>
      <c r="CN36">
        <v>-0.00325019332591769</v>
      </c>
      <c r="CO36">
        <v>290</v>
      </c>
      <c r="CP36">
        <v>1845.42</v>
      </c>
      <c r="CQ36">
        <v>675</v>
      </c>
      <c r="CR36">
        <v>5154.56</v>
      </c>
      <c r="CS36">
        <v>1846.67</v>
      </c>
      <c r="CT36">
        <v>-1.25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3.21</v>
      </c>
      <c r="DM36">
        <v>0.5</v>
      </c>
      <c r="DN36" t="s">
        <v>440</v>
      </c>
      <c r="DO36">
        <v>2</v>
      </c>
      <c r="DP36" t="b">
        <v>1</v>
      </c>
      <c r="DQ36">
        <v>1760898747</v>
      </c>
      <c r="DR36">
        <v>405.876866666667</v>
      </c>
      <c r="DS36">
        <v>420.007733333333</v>
      </c>
      <c r="DT36">
        <v>16.4930866666667</v>
      </c>
      <c r="DU36">
        <v>14.2643</v>
      </c>
      <c r="DV36">
        <v>403.481266666667</v>
      </c>
      <c r="DW36">
        <v>16.3879333333333</v>
      </c>
      <c r="DX36">
        <v>500.0588</v>
      </c>
      <c r="DY36">
        <v>90.9232466666667</v>
      </c>
      <c r="DZ36">
        <v>0.03522966</v>
      </c>
      <c r="EA36">
        <v>23.9926466666667</v>
      </c>
      <c r="EB36">
        <v>23.9973466666667</v>
      </c>
      <c r="EC36">
        <v>999.9</v>
      </c>
      <c r="ED36">
        <v>0</v>
      </c>
      <c r="EE36">
        <v>0</v>
      </c>
      <c r="EF36">
        <v>10013.9526666667</v>
      </c>
      <c r="EG36">
        <v>0</v>
      </c>
      <c r="EH36">
        <v>1262.49666666667</v>
      </c>
      <c r="EI36">
        <v>-14.1308933333333</v>
      </c>
      <c r="EJ36">
        <v>412.6832</v>
      </c>
      <c r="EK36">
        <v>426.085533333333</v>
      </c>
      <c r="EL36">
        <v>2.228784</v>
      </c>
      <c r="EM36">
        <v>420.007733333333</v>
      </c>
      <c r="EN36">
        <v>14.2643</v>
      </c>
      <c r="EO36">
        <v>1.49960466666667</v>
      </c>
      <c r="EP36">
        <v>1.296956</v>
      </c>
      <c r="EQ36">
        <v>12.9641333333333</v>
      </c>
      <c r="ER36">
        <v>10.7636333333333</v>
      </c>
      <c r="ES36">
        <v>1199.99266666667</v>
      </c>
      <c r="ET36">
        <v>0.9669948</v>
      </c>
      <c r="EU36">
        <v>0.03300516</v>
      </c>
      <c r="EV36">
        <v>0</v>
      </c>
      <c r="EW36">
        <v>1588.054</v>
      </c>
      <c r="EX36">
        <v>5.00059</v>
      </c>
      <c r="EY36">
        <v>18756.56</v>
      </c>
      <c r="EZ36">
        <v>10358.62</v>
      </c>
      <c r="FA36">
        <v>38.875</v>
      </c>
      <c r="FB36">
        <v>40.75</v>
      </c>
      <c r="FC36">
        <v>39.187</v>
      </c>
      <c r="FD36">
        <v>40.25</v>
      </c>
      <c r="FE36">
        <v>39.9958</v>
      </c>
      <c r="FF36">
        <v>1155.55266666667</v>
      </c>
      <c r="FG36">
        <v>39.44</v>
      </c>
      <c r="FH36">
        <v>0</v>
      </c>
      <c r="FI36">
        <v>190</v>
      </c>
      <c r="FJ36">
        <v>0</v>
      </c>
      <c r="FK36">
        <v>1588.03961538461</v>
      </c>
      <c r="FL36">
        <v>1.70495725661755</v>
      </c>
      <c r="FM36">
        <v>22.7179488262319</v>
      </c>
      <c r="FN36">
        <v>18756.55</v>
      </c>
      <c r="FO36">
        <v>15</v>
      </c>
      <c r="FP36">
        <v>0</v>
      </c>
      <c r="FQ36" t="s">
        <v>441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-14.11945</v>
      </c>
      <c r="GD36">
        <v>-0.115272180451133</v>
      </c>
      <c r="GE36">
        <v>0.0451995409268722</v>
      </c>
      <c r="GF36">
        <v>1</v>
      </c>
      <c r="GG36">
        <v>1587.93</v>
      </c>
      <c r="GH36">
        <v>1.94132925756582</v>
      </c>
      <c r="GI36">
        <v>0.308773665442183</v>
      </c>
      <c r="GJ36">
        <v>-1</v>
      </c>
      <c r="GK36">
        <v>2.228372</v>
      </c>
      <c r="GL36">
        <v>0.0187488721804523</v>
      </c>
      <c r="GM36">
        <v>0.00217316727381949</v>
      </c>
      <c r="GN36">
        <v>1</v>
      </c>
      <c r="GO36">
        <v>2</v>
      </c>
      <c r="GP36">
        <v>2</v>
      </c>
      <c r="GQ36" t="s">
        <v>442</v>
      </c>
      <c r="GR36">
        <v>3.12982</v>
      </c>
      <c r="GS36">
        <v>2.7131</v>
      </c>
      <c r="GT36">
        <v>0.0869222</v>
      </c>
      <c r="GU36">
        <v>0.0897799</v>
      </c>
      <c r="GV36">
        <v>0.07848</v>
      </c>
      <c r="GW36">
        <v>0.0708506</v>
      </c>
      <c r="GX36">
        <v>34230.9</v>
      </c>
      <c r="GY36">
        <v>36505.9</v>
      </c>
      <c r="GZ36">
        <v>33932.6</v>
      </c>
      <c r="HA36">
        <v>36327.5</v>
      </c>
      <c r="HB36">
        <v>44198.8</v>
      </c>
      <c r="HC36">
        <v>48459.2</v>
      </c>
      <c r="HD36">
        <v>52947.8</v>
      </c>
      <c r="HE36">
        <v>58042.7</v>
      </c>
      <c r="HF36">
        <v>1.92358</v>
      </c>
      <c r="HG36">
        <v>1.77603</v>
      </c>
      <c r="HH36">
        <v>0.00649318</v>
      </c>
      <c r="HI36">
        <v>0</v>
      </c>
      <c r="HJ36">
        <v>23.8856</v>
      </c>
      <c r="HK36">
        <v>999.9</v>
      </c>
      <c r="HL36">
        <v>38.579</v>
      </c>
      <c r="HM36">
        <v>29.839</v>
      </c>
      <c r="HN36">
        <v>17.911</v>
      </c>
      <c r="HO36">
        <v>55.3323</v>
      </c>
      <c r="HP36">
        <v>45.8734</v>
      </c>
      <c r="HQ36">
        <v>1</v>
      </c>
      <c r="HR36">
        <v>0.270221</v>
      </c>
      <c r="HS36">
        <v>4.81517</v>
      </c>
      <c r="HT36">
        <v>20.074</v>
      </c>
      <c r="HU36">
        <v>5.19498</v>
      </c>
      <c r="HV36">
        <v>12.0099</v>
      </c>
      <c r="HW36">
        <v>4.97535</v>
      </c>
      <c r="HX36">
        <v>3.294</v>
      </c>
      <c r="HY36">
        <v>9999</v>
      </c>
      <c r="HZ36">
        <v>999.9</v>
      </c>
      <c r="IA36">
        <v>9999</v>
      </c>
      <c r="IB36">
        <v>9999</v>
      </c>
      <c r="IC36">
        <v>1.86325</v>
      </c>
      <c r="ID36">
        <v>1.86799</v>
      </c>
      <c r="IE36">
        <v>1.86783</v>
      </c>
      <c r="IF36">
        <v>1.86905</v>
      </c>
      <c r="IG36">
        <v>1.86981</v>
      </c>
      <c r="IH36">
        <v>1.86584</v>
      </c>
      <c r="II36">
        <v>1.86691</v>
      </c>
      <c r="IJ36">
        <v>1.86835</v>
      </c>
      <c r="IK36">
        <v>5</v>
      </c>
      <c r="IL36">
        <v>0</v>
      </c>
      <c r="IM36">
        <v>0</v>
      </c>
      <c r="IN36">
        <v>0</v>
      </c>
      <c r="IO36" t="s">
        <v>443</v>
      </c>
      <c r="IP36" t="s">
        <v>444</v>
      </c>
      <c r="IQ36" t="s">
        <v>445</v>
      </c>
      <c r="IR36" t="s">
        <v>445</v>
      </c>
      <c r="IS36" t="s">
        <v>445</v>
      </c>
      <c r="IT36" t="s">
        <v>445</v>
      </c>
      <c r="IU36">
        <v>0</v>
      </c>
      <c r="IV36">
        <v>100</v>
      </c>
      <c r="IW36">
        <v>100</v>
      </c>
      <c r="IX36">
        <v>2.395</v>
      </c>
      <c r="IY36">
        <v>0.1054</v>
      </c>
      <c r="IZ36">
        <v>0.833350075594679</v>
      </c>
      <c r="JA36">
        <v>0.00412825224050377</v>
      </c>
      <c r="JB36">
        <v>-7.34426573386615e-07</v>
      </c>
      <c r="JC36">
        <v>2.46800082545482e-10</v>
      </c>
      <c r="JD36">
        <v>-0.0848433440729365</v>
      </c>
      <c r="JE36">
        <v>-0.0240557196358944</v>
      </c>
      <c r="JF36">
        <v>0.0027855358087715</v>
      </c>
      <c r="JG36">
        <v>-3.72349365099102e-05</v>
      </c>
      <c r="JH36">
        <v>5</v>
      </c>
      <c r="JI36">
        <v>2250</v>
      </c>
      <c r="JJ36">
        <v>0</v>
      </c>
      <c r="JK36">
        <v>24</v>
      </c>
      <c r="JL36">
        <v>29348312.6</v>
      </c>
      <c r="JM36">
        <v>29348312.6</v>
      </c>
      <c r="JN36">
        <v>1.00708</v>
      </c>
      <c r="JO36">
        <v>2.62207</v>
      </c>
      <c r="JP36">
        <v>1.54785</v>
      </c>
      <c r="JQ36">
        <v>2.31079</v>
      </c>
      <c r="JR36">
        <v>1.64673</v>
      </c>
      <c r="JS36">
        <v>2.34863</v>
      </c>
      <c r="JT36">
        <v>33.4681</v>
      </c>
      <c r="JU36">
        <v>24.1838</v>
      </c>
      <c r="JV36">
        <v>18</v>
      </c>
      <c r="JW36">
        <v>504.607</v>
      </c>
      <c r="JX36">
        <v>407.013</v>
      </c>
      <c r="JY36">
        <v>17.7254</v>
      </c>
      <c r="JZ36">
        <v>30.695</v>
      </c>
      <c r="KA36">
        <v>30</v>
      </c>
      <c r="KB36">
        <v>30.56</v>
      </c>
      <c r="KC36">
        <v>30.4983</v>
      </c>
      <c r="KD36">
        <v>20.1856</v>
      </c>
      <c r="KE36">
        <v>20.0061</v>
      </c>
      <c r="KF36">
        <v>41.4425</v>
      </c>
      <c r="KG36">
        <v>17.7292</v>
      </c>
      <c r="KH36">
        <v>420</v>
      </c>
      <c r="KI36">
        <v>14.2604</v>
      </c>
      <c r="KJ36">
        <v>96.2387</v>
      </c>
      <c r="KK36">
        <v>94.0524</v>
      </c>
    </row>
    <row r="37" spans="1:297">
      <c r="A37">
        <v>21</v>
      </c>
      <c r="B37">
        <v>1760898904</v>
      </c>
      <c r="C37">
        <v>5139.90000009537</v>
      </c>
      <c r="D37" t="s">
        <v>528</v>
      </c>
      <c r="E37" t="s">
        <v>529</v>
      </c>
      <c r="F37">
        <v>5</v>
      </c>
      <c r="G37" t="s">
        <v>521</v>
      </c>
      <c r="H37" t="s">
        <v>436</v>
      </c>
      <c r="I37">
        <v>1760898895.5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426.035555623422</v>
      </c>
      <c r="AK37">
        <v>412.392133333333</v>
      </c>
      <c r="AL37">
        <v>-0.00058970726698459</v>
      </c>
      <c r="AM37">
        <v>65.0723333309843</v>
      </c>
      <c r="AN37">
        <f>(AP37 - AO37 + DY37*1E3/(8.314*(EA37+273.15)) * AR37/DX37 * AQ37) * DX37/(100*DL37) * 1000/(1000 - AP37)</f>
        <v>0</v>
      </c>
      <c r="AO37">
        <v>14.1400530994392</v>
      </c>
      <c r="AP37">
        <v>16.4773024242424</v>
      </c>
      <c r="AQ37">
        <v>-0.000299281985825732</v>
      </c>
      <c r="AR37">
        <v>116.87178445962</v>
      </c>
      <c r="AS37">
        <v>0</v>
      </c>
      <c r="AT37">
        <v>0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437</v>
      </c>
      <c r="AY37">
        <v>5082.33</v>
      </c>
      <c r="AZ37">
        <v>690.032</v>
      </c>
      <c r="BA37">
        <v>1612.68</v>
      </c>
      <c r="BB37">
        <f>1-AZ37/BA37</f>
        <v>0</v>
      </c>
      <c r="BC37">
        <v>-9.7270689171713</v>
      </c>
      <c r="BD37" t="s">
        <v>530</v>
      </c>
      <c r="BE37">
        <v>5156.79</v>
      </c>
      <c r="BF37">
        <v>1581.91423076923</v>
      </c>
      <c r="BG37">
        <v>1933.94834513131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531</v>
      </c>
      <c r="BQ37">
        <v>810.67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BZ37">
        <v>136</v>
      </c>
      <c r="CA37">
        <v>290</v>
      </c>
      <c r="CB37">
        <v>1840.5</v>
      </c>
      <c r="CC37">
        <v>165</v>
      </c>
      <c r="CD37">
        <v>5156.79</v>
      </c>
      <c r="CE37">
        <v>1839.68</v>
      </c>
      <c r="CF37">
        <v>0.82</v>
      </c>
      <c r="CG37">
        <v>300</v>
      </c>
      <c r="CH37">
        <v>23.7</v>
      </c>
      <c r="CI37">
        <v>1933.94834513131</v>
      </c>
      <c r="CJ37">
        <v>2.29924222394985</v>
      </c>
      <c r="CK37">
        <v>-48.6146402095845</v>
      </c>
      <c r="CL37">
        <v>1.06679465372057</v>
      </c>
      <c r="CM37">
        <v>0.986696402848169</v>
      </c>
      <c r="CN37">
        <v>-0.00325014616240266</v>
      </c>
      <c r="CO37">
        <v>290</v>
      </c>
      <c r="CP37">
        <v>1837.14</v>
      </c>
      <c r="CQ37">
        <v>705</v>
      </c>
      <c r="CR37">
        <v>5154.28</v>
      </c>
      <c r="CS37">
        <v>1839.63</v>
      </c>
      <c r="CT37">
        <v>-2.49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3.21</v>
      </c>
      <c r="DM37">
        <v>0.5</v>
      </c>
      <c r="DN37" t="s">
        <v>440</v>
      </c>
      <c r="DO37">
        <v>2</v>
      </c>
      <c r="DP37" t="b">
        <v>1</v>
      </c>
      <c r="DQ37">
        <v>1760898895.5</v>
      </c>
      <c r="DR37">
        <v>405.626125</v>
      </c>
      <c r="DS37">
        <v>420.0089375</v>
      </c>
      <c r="DT37">
        <v>16.4942875</v>
      </c>
      <c r="DU37">
        <v>14.13281875</v>
      </c>
      <c r="DV37">
        <v>403.231375</v>
      </c>
      <c r="DW37">
        <v>16.38909375</v>
      </c>
      <c r="DX37">
        <v>499.97875</v>
      </c>
      <c r="DY37">
        <v>90.91208125</v>
      </c>
      <c r="DZ37">
        <v>0.0356270875</v>
      </c>
      <c r="EA37">
        <v>23.9925625</v>
      </c>
      <c r="EB37">
        <v>24.0151875</v>
      </c>
      <c r="EC37">
        <v>999.9</v>
      </c>
      <c r="ED37">
        <v>0</v>
      </c>
      <c r="EE37">
        <v>0</v>
      </c>
      <c r="EF37">
        <v>9981.330625</v>
      </c>
      <c r="EG37">
        <v>0</v>
      </c>
      <c r="EH37">
        <v>1262.265</v>
      </c>
      <c r="EI37">
        <v>-14.38273125</v>
      </c>
      <c r="EJ37">
        <v>412.429</v>
      </c>
      <c r="EK37">
        <v>426.0299375</v>
      </c>
      <c r="EL37">
        <v>2.361465625</v>
      </c>
      <c r="EM37">
        <v>420.0089375</v>
      </c>
      <c r="EN37">
        <v>14.13281875</v>
      </c>
      <c r="EO37">
        <v>1.499530625</v>
      </c>
      <c r="EP37">
        <v>1.28484375</v>
      </c>
      <c r="EQ37">
        <v>12.96336875</v>
      </c>
      <c r="ER37">
        <v>10.6227375</v>
      </c>
      <c r="ES37">
        <v>1199.995625</v>
      </c>
      <c r="ET37">
        <v>0.9669954375</v>
      </c>
      <c r="EU37">
        <v>0.0330045375</v>
      </c>
      <c r="EV37">
        <v>0</v>
      </c>
      <c r="EW37">
        <v>1581.96625</v>
      </c>
      <c r="EX37">
        <v>5.00059</v>
      </c>
      <c r="EY37">
        <v>18685.08125</v>
      </c>
      <c r="EZ37">
        <v>10358.675</v>
      </c>
      <c r="FA37">
        <v>38.8710625</v>
      </c>
      <c r="FB37">
        <v>40.7066875</v>
      </c>
      <c r="FC37">
        <v>39.175375</v>
      </c>
      <c r="FD37">
        <v>40.25</v>
      </c>
      <c r="FE37">
        <v>40</v>
      </c>
      <c r="FF37">
        <v>1155.555625</v>
      </c>
      <c r="FG37">
        <v>39.44</v>
      </c>
      <c r="FH37">
        <v>0</v>
      </c>
      <c r="FI37">
        <v>145.600000143051</v>
      </c>
      <c r="FJ37">
        <v>0</v>
      </c>
      <c r="FK37">
        <v>1581.91423076923</v>
      </c>
      <c r="FL37">
        <v>0.178119666763565</v>
      </c>
      <c r="FM37">
        <v>13.1760683550069</v>
      </c>
      <c r="FN37">
        <v>18685.3692307692</v>
      </c>
      <c r="FO37">
        <v>15</v>
      </c>
      <c r="FP37">
        <v>0</v>
      </c>
      <c r="FQ37" t="s">
        <v>441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-14.381575</v>
      </c>
      <c r="GD37">
        <v>-0.05135187969924</v>
      </c>
      <c r="GE37">
        <v>0.0235533410581173</v>
      </c>
      <c r="GF37">
        <v>1</v>
      </c>
      <c r="GG37">
        <v>1581.87264705882</v>
      </c>
      <c r="GH37">
        <v>0.120855620861852</v>
      </c>
      <c r="GI37">
        <v>0.207382976548072</v>
      </c>
      <c r="GJ37">
        <v>-1</v>
      </c>
      <c r="GK37">
        <v>2.360011</v>
      </c>
      <c r="GL37">
        <v>-0.0198920300751899</v>
      </c>
      <c r="GM37">
        <v>0.0173793405801255</v>
      </c>
      <c r="GN37">
        <v>1</v>
      </c>
      <c r="GO37">
        <v>2</v>
      </c>
      <c r="GP37">
        <v>2</v>
      </c>
      <c r="GQ37" t="s">
        <v>442</v>
      </c>
      <c r="GR37">
        <v>3.12972</v>
      </c>
      <c r="GS37">
        <v>2.71346</v>
      </c>
      <c r="GT37">
        <v>0.0868419</v>
      </c>
      <c r="GU37">
        <v>0.0897357</v>
      </c>
      <c r="GV37">
        <v>0.0783673</v>
      </c>
      <c r="GW37">
        <v>0.0703775</v>
      </c>
      <c r="GX37">
        <v>34229.4</v>
      </c>
      <c r="GY37">
        <v>36502</v>
      </c>
      <c r="GZ37">
        <v>33928.6</v>
      </c>
      <c r="HA37">
        <v>36322.3</v>
      </c>
      <c r="HB37">
        <v>44200.2</v>
      </c>
      <c r="HC37">
        <v>48477.9</v>
      </c>
      <c r="HD37">
        <v>52942.9</v>
      </c>
      <c r="HE37">
        <v>58035.6</v>
      </c>
      <c r="HF37">
        <v>1.923</v>
      </c>
      <c r="HG37">
        <v>1.77415</v>
      </c>
      <c r="HH37">
        <v>0.00869483</v>
      </c>
      <c r="HI37">
        <v>0</v>
      </c>
      <c r="HJ37">
        <v>23.8755</v>
      </c>
      <c r="HK37">
        <v>999.9</v>
      </c>
      <c r="HL37">
        <v>38.426</v>
      </c>
      <c r="HM37">
        <v>29.89</v>
      </c>
      <c r="HN37">
        <v>17.8933</v>
      </c>
      <c r="HO37">
        <v>55.6723</v>
      </c>
      <c r="HP37">
        <v>45.9696</v>
      </c>
      <c r="HQ37">
        <v>1</v>
      </c>
      <c r="HR37">
        <v>0.277777</v>
      </c>
      <c r="HS37">
        <v>4.99087</v>
      </c>
      <c r="HT37">
        <v>20.0684</v>
      </c>
      <c r="HU37">
        <v>5.19902</v>
      </c>
      <c r="HV37">
        <v>12.0099</v>
      </c>
      <c r="HW37">
        <v>4.97555</v>
      </c>
      <c r="HX37">
        <v>3.294</v>
      </c>
      <c r="HY37">
        <v>9999</v>
      </c>
      <c r="HZ37">
        <v>999.9</v>
      </c>
      <c r="IA37">
        <v>9999</v>
      </c>
      <c r="IB37">
        <v>9999</v>
      </c>
      <c r="IC37">
        <v>1.86325</v>
      </c>
      <c r="ID37">
        <v>1.86799</v>
      </c>
      <c r="IE37">
        <v>1.86783</v>
      </c>
      <c r="IF37">
        <v>1.86904</v>
      </c>
      <c r="IG37">
        <v>1.86981</v>
      </c>
      <c r="IH37">
        <v>1.86584</v>
      </c>
      <c r="II37">
        <v>1.86692</v>
      </c>
      <c r="IJ37">
        <v>1.86841</v>
      </c>
      <c r="IK37">
        <v>5</v>
      </c>
      <c r="IL37">
        <v>0</v>
      </c>
      <c r="IM37">
        <v>0</v>
      </c>
      <c r="IN37">
        <v>0</v>
      </c>
      <c r="IO37" t="s">
        <v>443</v>
      </c>
      <c r="IP37" t="s">
        <v>444</v>
      </c>
      <c r="IQ37" t="s">
        <v>445</v>
      </c>
      <c r="IR37" t="s">
        <v>445</v>
      </c>
      <c r="IS37" t="s">
        <v>445</v>
      </c>
      <c r="IT37" t="s">
        <v>445</v>
      </c>
      <c r="IU37">
        <v>0</v>
      </c>
      <c r="IV37">
        <v>100</v>
      </c>
      <c r="IW37">
        <v>100</v>
      </c>
      <c r="IX37">
        <v>2.395</v>
      </c>
      <c r="IY37">
        <v>0.1046</v>
      </c>
      <c r="IZ37">
        <v>0.833350075594679</v>
      </c>
      <c r="JA37">
        <v>0.00412825224050377</v>
      </c>
      <c r="JB37">
        <v>-7.34426573386615e-07</v>
      </c>
      <c r="JC37">
        <v>2.46800082545482e-10</v>
      </c>
      <c r="JD37">
        <v>-0.0848433440729365</v>
      </c>
      <c r="JE37">
        <v>-0.0240557196358944</v>
      </c>
      <c r="JF37">
        <v>0.0027855358087715</v>
      </c>
      <c r="JG37">
        <v>-3.72349365099102e-05</v>
      </c>
      <c r="JH37">
        <v>5</v>
      </c>
      <c r="JI37">
        <v>2250</v>
      </c>
      <c r="JJ37">
        <v>0</v>
      </c>
      <c r="JK37">
        <v>24</v>
      </c>
      <c r="JL37">
        <v>29348315.1</v>
      </c>
      <c r="JM37">
        <v>29348315.1</v>
      </c>
      <c r="JN37">
        <v>1.00708</v>
      </c>
      <c r="JO37">
        <v>2.62207</v>
      </c>
      <c r="JP37">
        <v>1.54785</v>
      </c>
      <c r="JQ37">
        <v>2.30957</v>
      </c>
      <c r="JR37">
        <v>1.64673</v>
      </c>
      <c r="JS37">
        <v>2.2876</v>
      </c>
      <c r="JT37">
        <v>33.4906</v>
      </c>
      <c r="JU37">
        <v>24.1751</v>
      </c>
      <c r="JV37">
        <v>18</v>
      </c>
      <c r="JW37">
        <v>505.119</v>
      </c>
      <c r="JX37">
        <v>406.678</v>
      </c>
      <c r="JY37">
        <v>17.7542</v>
      </c>
      <c r="JZ37">
        <v>30.7779</v>
      </c>
      <c r="KA37">
        <v>30.0005</v>
      </c>
      <c r="KB37">
        <v>30.6661</v>
      </c>
      <c r="KC37">
        <v>30.6069</v>
      </c>
      <c r="KD37">
        <v>20.1832</v>
      </c>
      <c r="KE37">
        <v>19.7263</v>
      </c>
      <c r="KF37">
        <v>40.7009</v>
      </c>
      <c r="KG37">
        <v>17.7455</v>
      </c>
      <c r="KH37">
        <v>420</v>
      </c>
      <c r="KI37">
        <v>14.2017</v>
      </c>
      <c r="KJ37">
        <v>96.2288</v>
      </c>
      <c r="KK37">
        <v>94.04</v>
      </c>
    </row>
    <row r="38" spans="1:297">
      <c r="A38">
        <v>22</v>
      </c>
      <c r="B38">
        <v>1760899372.1</v>
      </c>
      <c r="C38">
        <v>5608</v>
      </c>
      <c r="D38" t="s">
        <v>532</v>
      </c>
      <c r="E38" t="s">
        <v>533</v>
      </c>
      <c r="F38">
        <v>5</v>
      </c>
      <c r="G38" t="s">
        <v>534</v>
      </c>
      <c r="H38" t="s">
        <v>436</v>
      </c>
      <c r="I38">
        <v>1760899364.1</v>
      </c>
      <c r="J38">
        <f>(K38)/1000</f>
        <v>0</v>
      </c>
      <c r="K38">
        <f>IF(DP38, AN38, AH38)</f>
        <v>0</v>
      </c>
      <c r="L38">
        <f>IF(DP38, AI38, AG38)</f>
        <v>0</v>
      </c>
      <c r="M38">
        <f>DR38 - IF(AU38&gt;1, L38*DL38*100.0/(AW38), 0)</f>
        <v>0</v>
      </c>
      <c r="N38">
        <f>((T38-J38/2)*M38-L38)/(T38+J38/2)</f>
        <v>0</v>
      </c>
      <c r="O38">
        <f>N38*(DY38+DZ38)/1000.0</f>
        <v>0</v>
      </c>
      <c r="P38">
        <f>(DR38 - IF(AU38&gt;1, L38*DL38*100.0/(AW38), 0))*(DY38+DZ38)/1000.0</f>
        <v>0</v>
      </c>
      <c r="Q38">
        <f>2.0/((1/S38-1/R38)+SIGN(S38)*SQRT((1/S38-1/R38)*(1/S38-1/R38) + 4*DM38/((DM38+1)*(DM38+1))*(2*1/S38*1/R38-1/R38*1/R38)))</f>
        <v>0</v>
      </c>
      <c r="R38">
        <f>IF(LEFT(DN38,1)&lt;&gt;"0",IF(LEFT(DN38,1)="1",3.0,DO38),$D$5+$E$5*(EF38*DY38/($K$5*1000))+$F$5*(EF38*DY38/($K$5*1000))*MAX(MIN(DL38,$J$5),$I$5)*MAX(MIN(DL38,$J$5),$I$5)+$G$5*MAX(MIN(DL38,$J$5),$I$5)*(EF38*DY38/($K$5*1000))+$H$5*(EF38*DY38/($K$5*1000))*(EF38*DY38/($K$5*1000)))</f>
        <v>0</v>
      </c>
      <c r="S38">
        <f>J38*(1000-(1000*0.61365*exp(17.502*W38/(240.97+W38))/(DY38+DZ38)+DT38)/2)/(1000*0.61365*exp(17.502*W38/(240.97+W38))/(DY38+DZ38)-DT38)</f>
        <v>0</v>
      </c>
      <c r="T38">
        <f>1/((DM38+1)/(Q38/1.6)+1/(R38/1.37)) + DM38/((DM38+1)/(Q38/1.6) + DM38/(R38/1.37))</f>
        <v>0</v>
      </c>
      <c r="U38">
        <f>(DH38*DK38)</f>
        <v>0</v>
      </c>
      <c r="V38">
        <f>(EA38+(U38+2*0.95*5.67E-8*(((EA38+$B$7)+273)^4-(EA38+273)^4)-44100*J38)/(1.84*29.3*R38+8*0.95*5.67E-8*(EA38+273)^3))</f>
        <v>0</v>
      </c>
      <c r="W38">
        <f>($C$7*EB38+$D$7*EC38+$E$7*V38)</f>
        <v>0</v>
      </c>
      <c r="X38">
        <f>0.61365*exp(17.502*W38/(240.97+W38))</f>
        <v>0</v>
      </c>
      <c r="Y38">
        <f>(Z38/AA38*100)</f>
        <v>0</v>
      </c>
      <c r="Z38">
        <f>DT38*(DY38+DZ38)/1000</f>
        <v>0</v>
      </c>
      <c r="AA38">
        <f>0.61365*exp(17.502*EA38/(240.97+EA38))</f>
        <v>0</v>
      </c>
      <c r="AB38">
        <f>(X38-DT38*(DY38+DZ38)/1000)</f>
        <v>0</v>
      </c>
      <c r="AC38">
        <f>(-J38*44100)</f>
        <v>0</v>
      </c>
      <c r="AD38">
        <f>2*29.3*R38*0.92*(EA38-W38)</f>
        <v>0</v>
      </c>
      <c r="AE38">
        <f>2*0.95*5.67E-8*(((EA38+$B$7)+273)^4-(W38+273)^4)</f>
        <v>0</v>
      </c>
      <c r="AF38">
        <f>U38+AE38+AC38+AD38</f>
        <v>0</v>
      </c>
      <c r="AG38">
        <f>DX38*AU38*(DS38-DR38*(1000-AU38*DU38)/(1000-AU38*DT38))/(100*DL38)</f>
        <v>0</v>
      </c>
      <c r="AH38">
        <f>1000*DX38*AU38*(DT38-DU38)/(100*DL38*(1000-AU38*DT38))</f>
        <v>0</v>
      </c>
      <c r="AI38">
        <f>(AJ38 - AK38 - DY38*1E3/(8.314*(EA38+273.15)) * AM38/DX38 * AL38) * DX38/(100*DL38) * (1000 - DU38)/1000</f>
        <v>0</v>
      </c>
      <c r="AJ38">
        <v>425.902691569394</v>
      </c>
      <c r="AK38">
        <v>414.567187878788</v>
      </c>
      <c r="AL38">
        <v>-0.00040784620762984</v>
      </c>
      <c r="AM38">
        <v>65.0107984890964</v>
      </c>
      <c r="AN38">
        <f>(AP38 - AO38 + DY38*1E3/(8.314*(EA38+273.15)) * AR38/DX38 * AQ38) * DX38/(100*DL38) * 1000/(1000 - AP38)</f>
        <v>0</v>
      </c>
      <c r="AO38">
        <v>13.8804864085109</v>
      </c>
      <c r="AP38">
        <v>16.8567648484848</v>
      </c>
      <c r="AQ38">
        <v>-7.61144520393222e-05</v>
      </c>
      <c r="AR38">
        <v>117.184790762705</v>
      </c>
      <c r="AS38">
        <v>0</v>
      </c>
      <c r="AT38">
        <v>0</v>
      </c>
      <c r="AU38">
        <f>IF(AS38*$H$13&gt;=AW38,1.0,(AW38/(AW38-AS38*$H$13)))</f>
        <v>0</v>
      </c>
      <c r="AV38">
        <f>(AU38-1)*100</f>
        <v>0</v>
      </c>
      <c r="AW38">
        <f>MAX(0,($B$13+$C$13*EF38)/(1+$D$13*EF38)*DY38/(EA38+273)*$E$13)</f>
        <v>0</v>
      </c>
      <c r="AX38" t="s">
        <v>437</v>
      </c>
      <c r="AY38">
        <v>5082.33</v>
      </c>
      <c r="AZ38">
        <v>690.032</v>
      </c>
      <c r="BA38">
        <v>1612.68</v>
      </c>
      <c r="BB38">
        <f>1-AZ38/BA38</f>
        <v>0</v>
      </c>
      <c r="BC38">
        <v>-9.7270689171713</v>
      </c>
      <c r="BD38" t="s">
        <v>535</v>
      </c>
      <c r="BE38">
        <v>5164.17</v>
      </c>
      <c r="BF38">
        <v>1592.44038461538</v>
      </c>
      <c r="BG38">
        <v>1866.81763174933</v>
      </c>
      <c r="BH38">
        <f>1-BF38/BG38</f>
        <v>0</v>
      </c>
      <c r="BI38">
        <v>0.5</v>
      </c>
      <c r="BJ38">
        <f>DI38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536</v>
      </c>
      <c r="BQ38">
        <v>814.27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BZ38">
        <v>138</v>
      </c>
      <c r="CA38">
        <v>290</v>
      </c>
      <c r="CB38">
        <v>1797.18</v>
      </c>
      <c r="CC38">
        <v>165</v>
      </c>
      <c r="CD38">
        <v>5164.17</v>
      </c>
      <c r="CE38">
        <v>1795.39</v>
      </c>
      <c r="CF38">
        <v>1.79</v>
      </c>
      <c r="CG38">
        <v>300</v>
      </c>
      <c r="CH38">
        <v>23.7</v>
      </c>
      <c r="CI38">
        <v>1866.81763174933</v>
      </c>
      <c r="CJ38">
        <v>1.86590771857653</v>
      </c>
      <c r="CK38">
        <v>-36.8860461334443</v>
      </c>
      <c r="CL38">
        <v>0.866973116129109</v>
      </c>
      <c r="CM38">
        <v>0.984767237389961</v>
      </c>
      <c r="CN38">
        <v>-0.00325480400444939</v>
      </c>
      <c r="CO38">
        <v>290</v>
      </c>
      <c r="CP38">
        <v>1793.13</v>
      </c>
      <c r="CQ38">
        <v>655</v>
      </c>
      <c r="CR38">
        <v>5162</v>
      </c>
      <c r="CS38">
        <v>1795.36</v>
      </c>
      <c r="CT38">
        <v>-2.23</v>
      </c>
      <c r="DH38">
        <f>$B$11*EG38+$C$11*EH38+$F$11*ES38*(1-EV38)</f>
        <v>0</v>
      </c>
      <c r="DI38">
        <f>DH38*DJ38</f>
        <v>0</v>
      </c>
      <c r="DJ38">
        <f>($B$11*$D$9+$C$11*$D$9+$F$11*((FF38+EX38)/MAX(FF38+EX38+FG38, 0.1)*$I$9+FG38/MAX(FF38+EX38+FG38, 0.1)*$J$9))/($B$11+$C$11+$F$11)</f>
        <v>0</v>
      </c>
      <c r="DK38">
        <f>($B$11*$K$9+$C$11*$K$9+$F$11*((FF38+EX38)/MAX(FF38+EX38+FG38, 0.1)*$P$9+FG38/MAX(FF38+EX38+FG38, 0.1)*$Q$9))/($B$11+$C$11+$F$11)</f>
        <v>0</v>
      </c>
      <c r="DL38">
        <v>3.21</v>
      </c>
      <c r="DM38">
        <v>0.5</v>
      </c>
      <c r="DN38" t="s">
        <v>440</v>
      </c>
      <c r="DO38">
        <v>2</v>
      </c>
      <c r="DP38" t="b">
        <v>1</v>
      </c>
      <c r="DQ38">
        <v>1760899364.1</v>
      </c>
      <c r="DR38">
        <v>407.614133333333</v>
      </c>
      <c r="DS38">
        <v>420.011466666667</v>
      </c>
      <c r="DT38">
        <v>16.8623533333333</v>
      </c>
      <c r="DU38">
        <v>13.8805066666667</v>
      </c>
      <c r="DV38">
        <v>405.2122</v>
      </c>
      <c r="DW38">
        <v>16.74384</v>
      </c>
      <c r="DX38">
        <v>499.972333333333</v>
      </c>
      <c r="DY38">
        <v>90.8971533333333</v>
      </c>
      <c r="DZ38">
        <v>0.03594536</v>
      </c>
      <c r="EA38">
        <v>24.45112</v>
      </c>
      <c r="EB38">
        <v>24.03764</v>
      </c>
      <c r="EC38">
        <v>999.9</v>
      </c>
      <c r="ED38">
        <v>0</v>
      </c>
      <c r="EE38">
        <v>0</v>
      </c>
      <c r="EF38">
        <v>9993.74</v>
      </c>
      <c r="EG38">
        <v>0</v>
      </c>
      <c r="EH38">
        <v>1274.14333333333</v>
      </c>
      <c r="EI38">
        <v>-12.3975133333333</v>
      </c>
      <c r="EJ38">
        <v>414.605266666667</v>
      </c>
      <c r="EK38">
        <v>425.923666666667</v>
      </c>
      <c r="EL38">
        <v>2.98186066666667</v>
      </c>
      <c r="EM38">
        <v>420.011466666667</v>
      </c>
      <c r="EN38">
        <v>13.8805066666667</v>
      </c>
      <c r="EO38">
        <v>1.53273933333333</v>
      </c>
      <c r="EP38">
        <v>1.261698</v>
      </c>
      <c r="EQ38">
        <v>13.2987466666667</v>
      </c>
      <c r="ER38">
        <v>10.35018</v>
      </c>
      <c r="ES38">
        <v>1200.04066666667</v>
      </c>
      <c r="ET38">
        <v>0.9669974</v>
      </c>
      <c r="EU38">
        <v>0.0330025066666667</v>
      </c>
      <c r="EV38">
        <v>0</v>
      </c>
      <c r="EW38">
        <v>1592.478</v>
      </c>
      <c r="EX38">
        <v>5.00059</v>
      </c>
      <c r="EY38">
        <v>18786.0533333333</v>
      </c>
      <c r="EZ38">
        <v>10359.06</v>
      </c>
      <c r="FA38">
        <v>38.937</v>
      </c>
      <c r="FB38">
        <v>40.812</v>
      </c>
      <c r="FC38">
        <v>39.25</v>
      </c>
      <c r="FD38">
        <v>40.375</v>
      </c>
      <c r="FE38">
        <v>40.0746</v>
      </c>
      <c r="FF38">
        <v>1155.60066666667</v>
      </c>
      <c r="FG38">
        <v>39.44</v>
      </c>
      <c r="FH38">
        <v>0</v>
      </c>
      <c r="FI38">
        <v>464.599999904633</v>
      </c>
      <c r="FJ38">
        <v>0</v>
      </c>
      <c r="FK38">
        <v>1592.44038461538</v>
      </c>
      <c r="FL38">
        <v>-1.80615384225198</v>
      </c>
      <c r="FM38">
        <v>-13.3914527936657</v>
      </c>
      <c r="FN38">
        <v>18785.3576923077</v>
      </c>
      <c r="FO38">
        <v>15</v>
      </c>
      <c r="FP38">
        <v>0</v>
      </c>
      <c r="FQ38" t="s">
        <v>441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-12.3937761904762</v>
      </c>
      <c r="GD38">
        <v>-0.112644155844143</v>
      </c>
      <c r="GE38">
        <v>0.044784924172165</v>
      </c>
      <c r="GF38">
        <v>1</v>
      </c>
      <c r="GG38">
        <v>1592.48764705882</v>
      </c>
      <c r="GH38">
        <v>-1.38181818030435</v>
      </c>
      <c r="GI38">
        <v>0.273647033533966</v>
      </c>
      <c r="GJ38">
        <v>-1</v>
      </c>
      <c r="GK38">
        <v>2.98519666666667</v>
      </c>
      <c r="GL38">
        <v>-0.0614197402597423</v>
      </c>
      <c r="GM38">
        <v>0.00636770447786802</v>
      </c>
      <c r="GN38">
        <v>1</v>
      </c>
      <c r="GO38">
        <v>2</v>
      </c>
      <c r="GP38">
        <v>2</v>
      </c>
      <c r="GQ38" t="s">
        <v>442</v>
      </c>
      <c r="GR38">
        <v>3.12965</v>
      </c>
      <c r="GS38">
        <v>2.71401</v>
      </c>
      <c r="GT38">
        <v>0.0871294</v>
      </c>
      <c r="GU38">
        <v>0.0896934</v>
      </c>
      <c r="GV38">
        <v>0.0796322</v>
      </c>
      <c r="GW38">
        <v>0.0693113</v>
      </c>
      <c r="GX38">
        <v>34210.4</v>
      </c>
      <c r="GY38">
        <v>36493</v>
      </c>
      <c r="GZ38">
        <v>33921.2</v>
      </c>
      <c r="HA38">
        <v>36312.5</v>
      </c>
      <c r="HB38">
        <v>44131.4</v>
      </c>
      <c r="HC38">
        <v>48522.2</v>
      </c>
      <c r="HD38">
        <v>52933.7</v>
      </c>
      <c r="HE38">
        <v>58021.7</v>
      </c>
      <c r="HF38">
        <v>1.9214</v>
      </c>
      <c r="HG38">
        <v>1.7705</v>
      </c>
      <c r="HH38">
        <v>-0.0143871</v>
      </c>
      <c r="HI38">
        <v>0</v>
      </c>
      <c r="HJ38">
        <v>24.2623</v>
      </c>
      <c r="HK38">
        <v>999.9</v>
      </c>
      <c r="HL38">
        <v>37.437</v>
      </c>
      <c r="HM38">
        <v>30.001</v>
      </c>
      <c r="HN38">
        <v>17.5487</v>
      </c>
      <c r="HO38">
        <v>55.776</v>
      </c>
      <c r="HP38">
        <v>45.9615</v>
      </c>
      <c r="HQ38">
        <v>1</v>
      </c>
      <c r="HR38">
        <v>0.288255</v>
      </c>
      <c r="HS38">
        <v>5.0386</v>
      </c>
      <c r="HT38">
        <v>20.0667</v>
      </c>
      <c r="HU38">
        <v>5.19842</v>
      </c>
      <c r="HV38">
        <v>12.0099</v>
      </c>
      <c r="HW38">
        <v>4.97535</v>
      </c>
      <c r="HX38">
        <v>3.294</v>
      </c>
      <c r="HY38">
        <v>9999</v>
      </c>
      <c r="HZ38">
        <v>999.9</v>
      </c>
      <c r="IA38">
        <v>9999</v>
      </c>
      <c r="IB38">
        <v>9999</v>
      </c>
      <c r="IC38">
        <v>1.86319</v>
      </c>
      <c r="ID38">
        <v>1.86799</v>
      </c>
      <c r="IE38">
        <v>1.86783</v>
      </c>
      <c r="IF38">
        <v>1.86903</v>
      </c>
      <c r="IG38">
        <v>1.86981</v>
      </c>
      <c r="IH38">
        <v>1.86584</v>
      </c>
      <c r="II38">
        <v>1.86692</v>
      </c>
      <c r="IJ38">
        <v>1.8683</v>
      </c>
      <c r="IK38">
        <v>5</v>
      </c>
      <c r="IL38">
        <v>0</v>
      </c>
      <c r="IM38">
        <v>0</v>
      </c>
      <c r="IN38">
        <v>0</v>
      </c>
      <c r="IO38" t="s">
        <v>443</v>
      </c>
      <c r="IP38" t="s">
        <v>444</v>
      </c>
      <c r="IQ38" t="s">
        <v>445</v>
      </c>
      <c r="IR38" t="s">
        <v>445</v>
      </c>
      <c r="IS38" t="s">
        <v>445</v>
      </c>
      <c r="IT38" t="s">
        <v>445</v>
      </c>
      <c r="IU38">
        <v>0</v>
      </c>
      <c r="IV38">
        <v>100</v>
      </c>
      <c r="IW38">
        <v>100</v>
      </c>
      <c r="IX38">
        <v>2.402</v>
      </c>
      <c r="IY38">
        <v>0.1182</v>
      </c>
      <c r="IZ38">
        <v>0.833350075594679</v>
      </c>
      <c r="JA38">
        <v>0.00412825224050377</v>
      </c>
      <c r="JB38">
        <v>-7.34426573386615e-07</v>
      </c>
      <c r="JC38">
        <v>2.46800082545482e-10</v>
      </c>
      <c r="JD38">
        <v>-0.0848433440729365</v>
      </c>
      <c r="JE38">
        <v>-0.0240557196358944</v>
      </c>
      <c r="JF38">
        <v>0.0027855358087715</v>
      </c>
      <c r="JG38">
        <v>-3.72349365099102e-05</v>
      </c>
      <c r="JH38">
        <v>5</v>
      </c>
      <c r="JI38">
        <v>2250</v>
      </c>
      <c r="JJ38">
        <v>0</v>
      </c>
      <c r="JK38">
        <v>24</v>
      </c>
      <c r="JL38">
        <v>29348322.9</v>
      </c>
      <c r="JM38">
        <v>29348322.9</v>
      </c>
      <c r="JN38">
        <v>1.00708</v>
      </c>
      <c r="JO38">
        <v>2.61719</v>
      </c>
      <c r="JP38">
        <v>1.54785</v>
      </c>
      <c r="JQ38">
        <v>2.30957</v>
      </c>
      <c r="JR38">
        <v>1.64673</v>
      </c>
      <c r="JS38">
        <v>2.38647</v>
      </c>
      <c r="JT38">
        <v>33.4906</v>
      </c>
      <c r="JU38">
        <v>24.1838</v>
      </c>
      <c r="JV38">
        <v>18</v>
      </c>
      <c r="JW38">
        <v>505.527</v>
      </c>
      <c r="JX38">
        <v>405.805</v>
      </c>
      <c r="JY38">
        <v>18.1613</v>
      </c>
      <c r="JZ38">
        <v>30.9157</v>
      </c>
      <c r="KA38">
        <v>30.0003</v>
      </c>
      <c r="KB38">
        <v>30.8414</v>
      </c>
      <c r="KC38">
        <v>30.7855</v>
      </c>
      <c r="KD38">
        <v>20.1802</v>
      </c>
      <c r="KE38">
        <v>18.1816</v>
      </c>
      <c r="KF38">
        <v>38.0981</v>
      </c>
      <c r="KG38">
        <v>18.1291</v>
      </c>
      <c r="KH38">
        <v>420</v>
      </c>
      <c r="KI38">
        <v>13.9596</v>
      </c>
      <c r="KJ38">
        <v>96.2104</v>
      </c>
      <c r="KK38">
        <v>94.0164</v>
      </c>
    </row>
    <row r="39" spans="1:297">
      <c r="A39">
        <v>23</v>
      </c>
      <c r="B39">
        <v>1760899509.1</v>
      </c>
      <c r="C39">
        <v>5745</v>
      </c>
      <c r="D39" t="s">
        <v>537</v>
      </c>
      <c r="E39" t="s">
        <v>538</v>
      </c>
      <c r="F39">
        <v>5</v>
      </c>
      <c r="G39" t="s">
        <v>534</v>
      </c>
      <c r="H39" t="s">
        <v>436</v>
      </c>
      <c r="I39">
        <v>1760899500.6</v>
      </c>
      <c r="J39">
        <f>(K39)/1000</f>
        <v>0</v>
      </c>
      <c r="K39">
        <f>IF(DP39, AN39, AH39)</f>
        <v>0</v>
      </c>
      <c r="L39">
        <f>IF(DP39, AI39, AG39)</f>
        <v>0</v>
      </c>
      <c r="M39">
        <f>DR39 - IF(AU39&gt;1, L39*DL39*100.0/(AW39), 0)</f>
        <v>0</v>
      </c>
      <c r="N39">
        <f>((T39-J39/2)*M39-L39)/(T39+J39/2)</f>
        <v>0</v>
      </c>
      <c r="O39">
        <f>N39*(DY39+DZ39)/1000.0</f>
        <v>0</v>
      </c>
      <c r="P39">
        <f>(DR39 - IF(AU39&gt;1, L39*DL39*100.0/(AW39), 0))*(DY39+DZ39)/1000.0</f>
        <v>0</v>
      </c>
      <c r="Q39">
        <f>2.0/((1/S39-1/R39)+SIGN(S39)*SQRT((1/S39-1/R39)*(1/S39-1/R39) + 4*DM39/((DM39+1)*(DM39+1))*(2*1/S39*1/R39-1/R39*1/R39)))</f>
        <v>0</v>
      </c>
      <c r="R39">
        <f>IF(LEFT(DN39,1)&lt;&gt;"0",IF(LEFT(DN39,1)="1",3.0,DO39),$D$5+$E$5*(EF39*DY39/($K$5*1000))+$F$5*(EF39*DY39/($K$5*1000))*MAX(MIN(DL39,$J$5),$I$5)*MAX(MIN(DL39,$J$5),$I$5)+$G$5*MAX(MIN(DL39,$J$5),$I$5)*(EF39*DY39/($K$5*1000))+$H$5*(EF39*DY39/($K$5*1000))*(EF39*DY39/($K$5*1000)))</f>
        <v>0</v>
      </c>
      <c r="S39">
        <f>J39*(1000-(1000*0.61365*exp(17.502*W39/(240.97+W39))/(DY39+DZ39)+DT39)/2)/(1000*0.61365*exp(17.502*W39/(240.97+W39))/(DY39+DZ39)-DT39)</f>
        <v>0</v>
      </c>
      <c r="T39">
        <f>1/((DM39+1)/(Q39/1.6)+1/(R39/1.37)) + DM39/((DM39+1)/(Q39/1.6) + DM39/(R39/1.37))</f>
        <v>0</v>
      </c>
      <c r="U39">
        <f>(DH39*DK39)</f>
        <v>0</v>
      </c>
      <c r="V39">
        <f>(EA39+(U39+2*0.95*5.67E-8*(((EA39+$B$7)+273)^4-(EA39+273)^4)-44100*J39)/(1.84*29.3*R39+8*0.95*5.67E-8*(EA39+273)^3))</f>
        <v>0</v>
      </c>
      <c r="W39">
        <f>($C$7*EB39+$D$7*EC39+$E$7*V39)</f>
        <v>0</v>
      </c>
      <c r="X39">
        <f>0.61365*exp(17.502*W39/(240.97+W39))</f>
        <v>0</v>
      </c>
      <c r="Y39">
        <f>(Z39/AA39*100)</f>
        <v>0</v>
      </c>
      <c r="Z39">
        <f>DT39*(DY39+DZ39)/1000</f>
        <v>0</v>
      </c>
      <c r="AA39">
        <f>0.61365*exp(17.502*EA39/(240.97+EA39))</f>
        <v>0</v>
      </c>
      <c r="AB39">
        <f>(X39-DT39*(DY39+DZ39)/1000)</f>
        <v>0</v>
      </c>
      <c r="AC39">
        <f>(-J39*44100)</f>
        <v>0</v>
      </c>
      <c r="AD39">
        <f>2*29.3*R39*0.92*(EA39-W39)</f>
        <v>0</v>
      </c>
      <c r="AE39">
        <f>2*0.95*5.67E-8*(((EA39+$B$7)+273)^4-(W39+273)^4)</f>
        <v>0</v>
      </c>
      <c r="AF39">
        <f>U39+AE39+AC39+AD39</f>
        <v>0</v>
      </c>
      <c r="AG39">
        <f>DX39*AU39*(DS39-DR39*(1000-AU39*DU39)/(1000-AU39*DT39))/(100*DL39)</f>
        <v>0</v>
      </c>
      <c r="AH39">
        <f>1000*DX39*AU39*(DT39-DU39)/(100*DL39*(1000-AU39*DT39))</f>
        <v>0</v>
      </c>
      <c r="AI39">
        <f>(AJ39 - AK39 - DY39*1E3/(8.314*(EA39+273.15)) * AM39/DX39 * AL39) * DX39/(100*DL39) * (1000 - DU39)/1000</f>
        <v>0</v>
      </c>
      <c r="AJ39">
        <v>425.973484925161</v>
      </c>
      <c r="AK39">
        <v>414.457824242424</v>
      </c>
      <c r="AL39">
        <v>-0.000556207962265709</v>
      </c>
      <c r="AM39">
        <v>65.0107984890964</v>
      </c>
      <c r="AN39">
        <f>(AP39 - AO39 + DY39*1E3/(8.314*(EA39+273.15)) * AR39/DX39 * AQ39) * DX39/(100*DL39) * 1000/(1000 - AP39)</f>
        <v>0</v>
      </c>
      <c r="AO39">
        <v>13.953721375512</v>
      </c>
      <c r="AP39">
        <v>16.9570272727273</v>
      </c>
      <c r="AQ39">
        <v>-6.48943185215461e-05</v>
      </c>
      <c r="AR39">
        <v>117.184790762705</v>
      </c>
      <c r="AS39">
        <v>0</v>
      </c>
      <c r="AT39">
        <v>0</v>
      </c>
      <c r="AU39">
        <f>IF(AS39*$H$13&gt;=AW39,1.0,(AW39/(AW39-AS39*$H$13)))</f>
        <v>0</v>
      </c>
      <c r="AV39">
        <f>(AU39-1)*100</f>
        <v>0</v>
      </c>
      <c r="AW39">
        <f>MAX(0,($B$13+$C$13*EF39)/(1+$D$13*EF39)*DY39/(EA39+273)*$E$13)</f>
        <v>0</v>
      </c>
      <c r="AX39" t="s">
        <v>437</v>
      </c>
      <c r="AY39">
        <v>5082.33</v>
      </c>
      <c r="AZ39">
        <v>690.032</v>
      </c>
      <c r="BA39">
        <v>1612.68</v>
      </c>
      <c r="BB39">
        <f>1-AZ39/BA39</f>
        <v>0</v>
      </c>
      <c r="BC39">
        <v>-9.7270689171713</v>
      </c>
      <c r="BD39" t="s">
        <v>539</v>
      </c>
      <c r="BE39">
        <v>5165.9</v>
      </c>
      <c r="BF39">
        <v>1583.19615384615</v>
      </c>
      <c r="BG39">
        <v>1856.43647405732</v>
      </c>
      <c r="BH39">
        <f>1-BF39/BG39</f>
        <v>0</v>
      </c>
      <c r="BI39">
        <v>0.5</v>
      </c>
      <c r="BJ39">
        <f>DI39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540</v>
      </c>
      <c r="BQ39">
        <v>811.47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BZ39">
        <v>140</v>
      </c>
      <c r="CA39">
        <v>290</v>
      </c>
      <c r="CB39">
        <v>1785.35</v>
      </c>
      <c r="CC39">
        <v>75</v>
      </c>
      <c r="CD39">
        <v>5165.9</v>
      </c>
      <c r="CE39">
        <v>1785.08</v>
      </c>
      <c r="CF39">
        <v>0.27</v>
      </c>
      <c r="CG39">
        <v>300</v>
      </c>
      <c r="CH39">
        <v>23.7</v>
      </c>
      <c r="CI39">
        <v>1856.43647405732</v>
      </c>
      <c r="CJ39">
        <v>1.59000847228874</v>
      </c>
      <c r="CK39">
        <v>-36.8600147211926</v>
      </c>
      <c r="CL39">
        <v>0.738735185254737</v>
      </c>
      <c r="CM39">
        <v>0.988878394648955</v>
      </c>
      <c r="CN39">
        <v>-0.00325458865406007</v>
      </c>
      <c r="CO39">
        <v>290</v>
      </c>
      <c r="CP39">
        <v>1783.21</v>
      </c>
      <c r="CQ39">
        <v>635</v>
      </c>
      <c r="CR39">
        <v>5161.86</v>
      </c>
      <c r="CS39">
        <v>1785.03</v>
      </c>
      <c r="CT39">
        <v>-1.82</v>
      </c>
      <c r="DH39">
        <f>$B$11*EG39+$C$11*EH39+$F$11*ES39*(1-EV39)</f>
        <v>0</v>
      </c>
      <c r="DI39">
        <f>DH39*DJ39</f>
        <v>0</v>
      </c>
      <c r="DJ39">
        <f>($B$11*$D$9+$C$11*$D$9+$F$11*((FF39+EX39)/MAX(FF39+EX39+FG39, 0.1)*$I$9+FG39/MAX(FF39+EX39+FG39, 0.1)*$J$9))/($B$11+$C$11+$F$11)</f>
        <v>0</v>
      </c>
      <c r="DK39">
        <f>($B$11*$K$9+$C$11*$K$9+$F$11*((FF39+EX39)/MAX(FF39+EX39+FG39, 0.1)*$P$9+FG39/MAX(FF39+EX39+FG39, 0.1)*$Q$9))/($B$11+$C$11+$F$11)</f>
        <v>0</v>
      </c>
      <c r="DL39">
        <v>3.21</v>
      </c>
      <c r="DM39">
        <v>0.5</v>
      </c>
      <c r="DN39" t="s">
        <v>440</v>
      </c>
      <c r="DO39">
        <v>2</v>
      </c>
      <c r="DP39" t="b">
        <v>1</v>
      </c>
      <c r="DQ39">
        <v>1760899500.6</v>
      </c>
      <c r="DR39">
        <v>407.4634375</v>
      </c>
      <c r="DS39">
        <v>420.0306875</v>
      </c>
      <c r="DT39">
        <v>16.9735625</v>
      </c>
      <c r="DU39">
        <v>13.967225</v>
      </c>
      <c r="DV39">
        <v>405.0619375</v>
      </c>
      <c r="DW39">
        <v>16.85098125</v>
      </c>
      <c r="DX39">
        <v>499.9585625</v>
      </c>
      <c r="DY39">
        <v>90.897025</v>
      </c>
      <c r="DZ39">
        <v>0.0353888625</v>
      </c>
      <c r="EA39">
        <v>24.40500625</v>
      </c>
      <c r="EB39">
        <v>23.99896875</v>
      </c>
      <c r="EC39">
        <v>999.9</v>
      </c>
      <c r="ED39">
        <v>0</v>
      </c>
      <c r="EE39">
        <v>0</v>
      </c>
      <c r="EF39">
        <v>9986.596875</v>
      </c>
      <c r="EG39">
        <v>0</v>
      </c>
      <c r="EH39">
        <v>1274.14875</v>
      </c>
      <c r="EI39">
        <v>-12.5673375</v>
      </c>
      <c r="EJ39">
        <v>414.4989375</v>
      </c>
      <c r="EK39">
        <v>425.9805625</v>
      </c>
      <c r="EL39">
        <v>3.00633125</v>
      </c>
      <c r="EM39">
        <v>420.0306875</v>
      </c>
      <c r="EN39">
        <v>13.967225</v>
      </c>
      <c r="EO39">
        <v>1.54284625</v>
      </c>
      <c r="EP39">
        <v>1.269579375</v>
      </c>
      <c r="EQ39">
        <v>13.39951875</v>
      </c>
      <c r="ER39">
        <v>10.44348125</v>
      </c>
      <c r="ES39">
        <v>1200.025625</v>
      </c>
      <c r="ET39">
        <v>0.96699875</v>
      </c>
      <c r="EU39">
        <v>0.03300118125</v>
      </c>
      <c r="EV39">
        <v>0</v>
      </c>
      <c r="EW39">
        <v>1583.216875</v>
      </c>
      <c r="EX39">
        <v>5.00059</v>
      </c>
      <c r="EY39">
        <v>18685.16875</v>
      </c>
      <c r="EZ39">
        <v>10358.9375</v>
      </c>
      <c r="FA39">
        <v>39</v>
      </c>
      <c r="FB39">
        <v>40.875</v>
      </c>
      <c r="FC39">
        <v>39.312</v>
      </c>
      <c r="FD39">
        <v>40.437</v>
      </c>
      <c r="FE39">
        <v>40.144375</v>
      </c>
      <c r="FF39">
        <v>1155.585625</v>
      </c>
      <c r="FG39">
        <v>39.44</v>
      </c>
      <c r="FH39">
        <v>0</v>
      </c>
      <c r="FI39">
        <v>133.400000095367</v>
      </c>
      <c r="FJ39">
        <v>0</v>
      </c>
      <c r="FK39">
        <v>1583.19615384615</v>
      </c>
      <c r="FL39">
        <v>-3.39213676095697</v>
      </c>
      <c r="FM39">
        <v>-39.5623931548679</v>
      </c>
      <c r="FN39">
        <v>18684.5230769231</v>
      </c>
      <c r="FO39">
        <v>15</v>
      </c>
      <c r="FP39">
        <v>0</v>
      </c>
      <c r="FQ39" t="s">
        <v>441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-12.5320666666667</v>
      </c>
      <c r="GD39">
        <v>-0.406558441558442</v>
      </c>
      <c r="GE39">
        <v>0.0608537382608288</v>
      </c>
      <c r="GF39">
        <v>1</v>
      </c>
      <c r="GG39">
        <v>1583.48735294118</v>
      </c>
      <c r="GH39">
        <v>-4.4148204757317</v>
      </c>
      <c r="GI39">
        <v>0.497199858167658</v>
      </c>
      <c r="GJ39">
        <v>-1</v>
      </c>
      <c r="GK39">
        <v>2.99898523809524</v>
      </c>
      <c r="GL39">
        <v>0.128368051948057</v>
      </c>
      <c r="GM39">
        <v>0.0163140505084093</v>
      </c>
      <c r="GN39">
        <v>0</v>
      </c>
      <c r="GO39">
        <v>1</v>
      </c>
      <c r="GP39">
        <v>2</v>
      </c>
      <c r="GQ39" t="s">
        <v>454</v>
      </c>
      <c r="GR39">
        <v>3.12964</v>
      </c>
      <c r="GS39">
        <v>2.71363</v>
      </c>
      <c r="GT39">
        <v>0.0870951</v>
      </c>
      <c r="GU39">
        <v>0.0896804</v>
      </c>
      <c r="GV39">
        <v>0.0799736</v>
      </c>
      <c r="GW39">
        <v>0.0695938</v>
      </c>
      <c r="GX39">
        <v>34210.7</v>
      </c>
      <c r="GY39">
        <v>36492.1</v>
      </c>
      <c r="GZ39">
        <v>33920.3</v>
      </c>
      <c r="HA39">
        <v>36311.1</v>
      </c>
      <c r="HB39">
        <v>44114</v>
      </c>
      <c r="HC39">
        <v>48505.8</v>
      </c>
      <c r="HD39">
        <v>52932.7</v>
      </c>
      <c r="HE39">
        <v>58019.9</v>
      </c>
      <c r="HF39">
        <v>1.92132</v>
      </c>
      <c r="HG39">
        <v>1.7705</v>
      </c>
      <c r="HH39">
        <v>-0.016246</v>
      </c>
      <c r="HI39">
        <v>0</v>
      </c>
      <c r="HJ39">
        <v>24.2603</v>
      </c>
      <c r="HK39">
        <v>999.9</v>
      </c>
      <c r="HL39">
        <v>37.212</v>
      </c>
      <c r="HM39">
        <v>30.031</v>
      </c>
      <c r="HN39">
        <v>17.4731</v>
      </c>
      <c r="HO39">
        <v>54.976</v>
      </c>
      <c r="HP39">
        <v>46.1579</v>
      </c>
      <c r="HQ39">
        <v>1</v>
      </c>
      <c r="HR39">
        <v>0.288615</v>
      </c>
      <c r="HS39">
        <v>4.81894</v>
      </c>
      <c r="HT39">
        <v>20.0743</v>
      </c>
      <c r="HU39">
        <v>5.19722</v>
      </c>
      <c r="HV39">
        <v>12.0099</v>
      </c>
      <c r="HW39">
        <v>4.9742</v>
      </c>
      <c r="HX39">
        <v>3.294</v>
      </c>
      <c r="HY39">
        <v>9999</v>
      </c>
      <c r="HZ39">
        <v>999.9</v>
      </c>
      <c r="IA39">
        <v>9999</v>
      </c>
      <c r="IB39">
        <v>9999</v>
      </c>
      <c r="IC39">
        <v>1.86322</v>
      </c>
      <c r="ID39">
        <v>1.86801</v>
      </c>
      <c r="IE39">
        <v>1.86783</v>
      </c>
      <c r="IF39">
        <v>1.86905</v>
      </c>
      <c r="IG39">
        <v>1.86981</v>
      </c>
      <c r="IH39">
        <v>1.86584</v>
      </c>
      <c r="II39">
        <v>1.86691</v>
      </c>
      <c r="IJ39">
        <v>1.86832</v>
      </c>
      <c r="IK39">
        <v>5</v>
      </c>
      <c r="IL39">
        <v>0</v>
      </c>
      <c r="IM39">
        <v>0</v>
      </c>
      <c r="IN39">
        <v>0</v>
      </c>
      <c r="IO39" t="s">
        <v>443</v>
      </c>
      <c r="IP39" t="s">
        <v>444</v>
      </c>
      <c r="IQ39" t="s">
        <v>445</v>
      </c>
      <c r="IR39" t="s">
        <v>445</v>
      </c>
      <c r="IS39" t="s">
        <v>445</v>
      </c>
      <c r="IT39" t="s">
        <v>445</v>
      </c>
      <c r="IU39">
        <v>0</v>
      </c>
      <c r="IV39">
        <v>100</v>
      </c>
      <c r="IW39">
        <v>100</v>
      </c>
      <c r="IX39">
        <v>2.402</v>
      </c>
      <c r="IY39">
        <v>0.1219</v>
      </c>
      <c r="IZ39">
        <v>0.833350075594679</v>
      </c>
      <c r="JA39">
        <v>0.00412825224050377</v>
      </c>
      <c r="JB39">
        <v>-7.34426573386615e-07</v>
      </c>
      <c r="JC39">
        <v>2.46800082545482e-10</v>
      </c>
      <c r="JD39">
        <v>-0.0848433440729365</v>
      </c>
      <c r="JE39">
        <v>-0.0240557196358944</v>
      </c>
      <c r="JF39">
        <v>0.0027855358087715</v>
      </c>
      <c r="JG39">
        <v>-3.72349365099102e-05</v>
      </c>
      <c r="JH39">
        <v>5</v>
      </c>
      <c r="JI39">
        <v>2250</v>
      </c>
      <c r="JJ39">
        <v>0</v>
      </c>
      <c r="JK39">
        <v>24</v>
      </c>
      <c r="JL39">
        <v>29348325.2</v>
      </c>
      <c r="JM39">
        <v>29348325.2</v>
      </c>
      <c r="JN39">
        <v>1.00708</v>
      </c>
      <c r="JO39">
        <v>2.62451</v>
      </c>
      <c r="JP39">
        <v>1.54785</v>
      </c>
      <c r="JQ39">
        <v>2.30957</v>
      </c>
      <c r="JR39">
        <v>1.64673</v>
      </c>
      <c r="JS39">
        <v>2.36938</v>
      </c>
      <c r="JT39">
        <v>33.513</v>
      </c>
      <c r="JU39">
        <v>24.1838</v>
      </c>
      <c r="JV39">
        <v>18</v>
      </c>
      <c r="JW39">
        <v>505.724</v>
      </c>
      <c r="JX39">
        <v>406.012</v>
      </c>
      <c r="JY39">
        <v>18.0982</v>
      </c>
      <c r="JZ39">
        <v>30.9373</v>
      </c>
      <c r="KA39">
        <v>30.0001</v>
      </c>
      <c r="KB39">
        <v>30.8707</v>
      </c>
      <c r="KC39">
        <v>30.8169</v>
      </c>
      <c r="KD39">
        <v>20.1818</v>
      </c>
      <c r="KE39">
        <v>17.0162</v>
      </c>
      <c r="KF39">
        <v>38.0981</v>
      </c>
      <c r="KG39">
        <v>18.0975</v>
      </c>
      <c r="KH39">
        <v>420</v>
      </c>
      <c r="KI39">
        <v>13.9375</v>
      </c>
      <c r="KJ39">
        <v>96.2082</v>
      </c>
      <c r="KK39">
        <v>94.0133</v>
      </c>
    </row>
    <row r="40" spans="1:297">
      <c r="A40">
        <v>24</v>
      </c>
      <c r="B40">
        <v>1760899641.1</v>
      </c>
      <c r="C40">
        <v>5877</v>
      </c>
      <c r="D40" t="s">
        <v>541</v>
      </c>
      <c r="E40" t="s">
        <v>542</v>
      </c>
      <c r="F40">
        <v>5</v>
      </c>
      <c r="G40" t="s">
        <v>534</v>
      </c>
      <c r="H40" t="s">
        <v>436</v>
      </c>
      <c r="I40">
        <v>1760899633.1</v>
      </c>
      <c r="J40">
        <f>(K40)/1000</f>
        <v>0</v>
      </c>
      <c r="K40">
        <f>IF(DP40, AN40, AH40)</f>
        <v>0</v>
      </c>
      <c r="L40">
        <f>IF(DP40, AI40, AG40)</f>
        <v>0</v>
      </c>
      <c r="M40">
        <f>DR40 - IF(AU40&gt;1, L40*DL40*100.0/(AW40), 0)</f>
        <v>0</v>
      </c>
      <c r="N40">
        <f>((T40-J40/2)*M40-L40)/(T40+J40/2)</f>
        <v>0</v>
      </c>
      <c r="O40">
        <f>N40*(DY40+DZ40)/1000.0</f>
        <v>0</v>
      </c>
      <c r="P40">
        <f>(DR40 - IF(AU40&gt;1, L40*DL40*100.0/(AW40), 0))*(DY40+DZ40)/1000.0</f>
        <v>0</v>
      </c>
      <c r="Q40">
        <f>2.0/((1/S40-1/R40)+SIGN(S40)*SQRT((1/S40-1/R40)*(1/S40-1/R40) + 4*DM40/((DM40+1)*(DM40+1))*(2*1/S40*1/R40-1/R40*1/R40)))</f>
        <v>0</v>
      </c>
      <c r="R40">
        <f>IF(LEFT(DN40,1)&lt;&gt;"0",IF(LEFT(DN40,1)="1",3.0,DO40),$D$5+$E$5*(EF40*DY40/($K$5*1000))+$F$5*(EF40*DY40/($K$5*1000))*MAX(MIN(DL40,$J$5),$I$5)*MAX(MIN(DL40,$J$5),$I$5)+$G$5*MAX(MIN(DL40,$J$5),$I$5)*(EF40*DY40/($K$5*1000))+$H$5*(EF40*DY40/($K$5*1000))*(EF40*DY40/($K$5*1000)))</f>
        <v>0</v>
      </c>
      <c r="S40">
        <f>J40*(1000-(1000*0.61365*exp(17.502*W40/(240.97+W40))/(DY40+DZ40)+DT40)/2)/(1000*0.61365*exp(17.502*W40/(240.97+W40))/(DY40+DZ40)-DT40)</f>
        <v>0</v>
      </c>
      <c r="T40">
        <f>1/((DM40+1)/(Q40/1.6)+1/(R40/1.37)) + DM40/((DM40+1)/(Q40/1.6) + DM40/(R40/1.37))</f>
        <v>0</v>
      </c>
      <c r="U40">
        <f>(DH40*DK40)</f>
        <v>0</v>
      </c>
      <c r="V40">
        <f>(EA40+(U40+2*0.95*5.67E-8*(((EA40+$B$7)+273)^4-(EA40+273)^4)-44100*J40)/(1.84*29.3*R40+8*0.95*5.67E-8*(EA40+273)^3))</f>
        <v>0</v>
      </c>
      <c r="W40">
        <f>($C$7*EB40+$D$7*EC40+$E$7*V40)</f>
        <v>0</v>
      </c>
      <c r="X40">
        <f>0.61365*exp(17.502*W40/(240.97+W40))</f>
        <v>0</v>
      </c>
      <c r="Y40">
        <f>(Z40/AA40*100)</f>
        <v>0</v>
      </c>
      <c r="Z40">
        <f>DT40*(DY40+DZ40)/1000</f>
        <v>0</v>
      </c>
      <c r="AA40">
        <f>0.61365*exp(17.502*EA40/(240.97+EA40))</f>
        <v>0</v>
      </c>
      <c r="AB40">
        <f>(X40-DT40*(DY40+DZ40)/1000)</f>
        <v>0</v>
      </c>
      <c r="AC40">
        <f>(-J40*44100)</f>
        <v>0</v>
      </c>
      <c r="AD40">
        <f>2*29.3*R40*0.92*(EA40-W40)</f>
        <v>0</v>
      </c>
      <c r="AE40">
        <f>2*0.95*5.67E-8*(((EA40+$B$7)+273)^4-(W40+273)^4)</f>
        <v>0</v>
      </c>
      <c r="AF40">
        <f>U40+AE40+AC40+AD40</f>
        <v>0</v>
      </c>
      <c r="AG40">
        <f>DX40*AU40*(DS40-DR40*(1000-AU40*DU40)/(1000-AU40*DT40))/(100*DL40)</f>
        <v>0</v>
      </c>
      <c r="AH40">
        <f>1000*DX40*AU40*(DT40-DU40)/(100*DL40*(1000-AU40*DT40))</f>
        <v>0</v>
      </c>
      <c r="AI40">
        <f>(AJ40 - AK40 - DY40*1E3/(8.314*(EA40+273.15)) * AM40/DX40 * AL40) * DX40/(100*DL40) * (1000 - DU40)/1000</f>
        <v>0</v>
      </c>
      <c r="AJ40">
        <v>425.844580841635</v>
      </c>
      <c r="AK40">
        <v>414.329284848485</v>
      </c>
      <c r="AL40">
        <v>-0.00302156945796088</v>
      </c>
      <c r="AM40">
        <v>65.0107984890964</v>
      </c>
      <c r="AN40">
        <f>(AP40 - AO40 + DY40*1E3/(8.314*(EA40+273.15)) * AR40/DX40 * AQ40) * DX40/(100*DL40) * 1000/(1000 - AP40)</f>
        <v>0</v>
      </c>
      <c r="AO40">
        <v>13.7635240733216</v>
      </c>
      <c r="AP40">
        <v>16.8642733333333</v>
      </c>
      <c r="AQ40">
        <v>-1.6574049198365e-05</v>
      </c>
      <c r="AR40">
        <v>117.184790762705</v>
      </c>
      <c r="AS40">
        <v>0</v>
      </c>
      <c r="AT40">
        <v>0</v>
      </c>
      <c r="AU40">
        <f>IF(AS40*$H$13&gt;=AW40,1.0,(AW40/(AW40-AS40*$H$13)))</f>
        <v>0</v>
      </c>
      <c r="AV40">
        <f>(AU40-1)*100</f>
        <v>0</v>
      </c>
      <c r="AW40">
        <f>MAX(0,($B$13+$C$13*EF40)/(1+$D$13*EF40)*DY40/(EA40+273)*$E$13)</f>
        <v>0</v>
      </c>
      <c r="AX40" t="s">
        <v>437</v>
      </c>
      <c r="AY40">
        <v>5082.33</v>
      </c>
      <c r="AZ40">
        <v>690.032</v>
      </c>
      <c r="BA40">
        <v>1612.68</v>
      </c>
      <c r="BB40">
        <f>1-AZ40/BA40</f>
        <v>0</v>
      </c>
      <c r="BC40">
        <v>-9.7270689171713</v>
      </c>
      <c r="BD40" t="s">
        <v>543</v>
      </c>
      <c r="BE40">
        <v>5164.23</v>
      </c>
      <c r="BF40">
        <v>1576.9528</v>
      </c>
      <c r="BG40">
        <v>1847.22352382702</v>
      </c>
      <c r="BH40">
        <f>1-BF40/BG40</f>
        <v>0</v>
      </c>
      <c r="BI40">
        <v>0.5</v>
      </c>
      <c r="BJ40">
        <f>DI40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544</v>
      </c>
      <c r="BQ40">
        <v>817.87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BZ40">
        <v>142</v>
      </c>
      <c r="CA40">
        <v>290</v>
      </c>
      <c r="CB40">
        <v>1778.72</v>
      </c>
      <c r="CC40">
        <v>135</v>
      </c>
      <c r="CD40">
        <v>5164.23</v>
      </c>
      <c r="CE40">
        <v>1776.81</v>
      </c>
      <c r="CF40">
        <v>1.91</v>
      </c>
      <c r="CG40">
        <v>300</v>
      </c>
      <c r="CH40">
        <v>23.7</v>
      </c>
      <c r="CI40">
        <v>1847.22352382702</v>
      </c>
      <c r="CJ40">
        <v>2.16632101183014</v>
      </c>
      <c r="CK40">
        <v>-36.3657013806976</v>
      </c>
      <c r="CL40">
        <v>1.00645706943386</v>
      </c>
      <c r="CM40">
        <v>0.979003408054876</v>
      </c>
      <c r="CN40">
        <v>-0.00325449210233592</v>
      </c>
      <c r="CO40">
        <v>290</v>
      </c>
      <c r="CP40">
        <v>1775.22</v>
      </c>
      <c r="CQ40">
        <v>675</v>
      </c>
      <c r="CR40">
        <v>5161.32</v>
      </c>
      <c r="CS40">
        <v>1776.77</v>
      </c>
      <c r="CT40">
        <v>-1.55</v>
      </c>
      <c r="DH40">
        <f>$B$11*EG40+$C$11*EH40+$F$11*ES40*(1-EV40)</f>
        <v>0</v>
      </c>
      <c r="DI40">
        <f>DH40*DJ40</f>
        <v>0</v>
      </c>
      <c r="DJ40">
        <f>($B$11*$D$9+$C$11*$D$9+$F$11*((FF40+EX40)/MAX(FF40+EX40+FG40, 0.1)*$I$9+FG40/MAX(FF40+EX40+FG40, 0.1)*$J$9))/($B$11+$C$11+$F$11)</f>
        <v>0</v>
      </c>
      <c r="DK40">
        <f>($B$11*$K$9+$C$11*$K$9+$F$11*((FF40+EX40)/MAX(FF40+EX40+FG40, 0.1)*$P$9+FG40/MAX(FF40+EX40+FG40, 0.1)*$Q$9))/($B$11+$C$11+$F$11)</f>
        <v>0</v>
      </c>
      <c r="DL40">
        <v>3.21</v>
      </c>
      <c r="DM40">
        <v>0.5</v>
      </c>
      <c r="DN40" t="s">
        <v>440</v>
      </c>
      <c r="DO40">
        <v>2</v>
      </c>
      <c r="DP40" t="b">
        <v>1</v>
      </c>
      <c r="DQ40">
        <v>1760899633.1</v>
      </c>
      <c r="DR40">
        <v>407.396533333333</v>
      </c>
      <c r="DS40">
        <v>420.000466666667</v>
      </c>
      <c r="DT40">
        <v>16.8671266666667</v>
      </c>
      <c r="DU40">
        <v>13.7649933333333</v>
      </c>
      <c r="DV40">
        <v>404.995466666667</v>
      </c>
      <c r="DW40">
        <v>16.7484333333333</v>
      </c>
      <c r="DX40">
        <v>500.017066666667</v>
      </c>
      <c r="DY40">
        <v>90.8925933333333</v>
      </c>
      <c r="DZ40">
        <v>0.0351243733333333</v>
      </c>
      <c r="EA40">
        <v>24.4037333333333</v>
      </c>
      <c r="EB40">
        <v>24.0019333333333</v>
      </c>
      <c r="EC40">
        <v>999.9</v>
      </c>
      <c r="ED40">
        <v>0</v>
      </c>
      <c r="EE40">
        <v>0</v>
      </c>
      <c r="EF40">
        <v>9993.12733333333</v>
      </c>
      <c r="EG40">
        <v>0</v>
      </c>
      <c r="EH40">
        <v>1273.99333333333</v>
      </c>
      <c r="EI40">
        <v>-12.6038</v>
      </c>
      <c r="EJ40">
        <v>414.3862</v>
      </c>
      <c r="EK40">
        <v>425.862466666667</v>
      </c>
      <c r="EL40">
        <v>3.10213066666667</v>
      </c>
      <c r="EM40">
        <v>420.000466666667</v>
      </c>
      <c r="EN40">
        <v>13.7649933333333</v>
      </c>
      <c r="EO40">
        <v>1.533098</v>
      </c>
      <c r="EP40">
        <v>1.251138</v>
      </c>
      <c r="EQ40">
        <v>13.3022866666667</v>
      </c>
      <c r="ER40">
        <v>10.2243666666667</v>
      </c>
      <c r="ES40">
        <v>1200.00933333333</v>
      </c>
      <c r="ET40">
        <v>0.966999333333333</v>
      </c>
      <c r="EU40">
        <v>0.03300068</v>
      </c>
      <c r="EV40">
        <v>0</v>
      </c>
      <c r="EW40">
        <v>1577.07666666667</v>
      </c>
      <c r="EX40">
        <v>5.00059</v>
      </c>
      <c r="EY40">
        <v>18617.8266666667</v>
      </c>
      <c r="EZ40">
        <v>10358.78</v>
      </c>
      <c r="FA40">
        <v>39.062</v>
      </c>
      <c r="FB40">
        <v>40.937</v>
      </c>
      <c r="FC40">
        <v>39.375</v>
      </c>
      <c r="FD40">
        <v>40.5</v>
      </c>
      <c r="FE40">
        <v>40.187</v>
      </c>
      <c r="FF40">
        <v>1155.56933333333</v>
      </c>
      <c r="FG40">
        <v>39.44</v>
      </c>
      <c r="FH40">
        <v>0</v>
      </c>
      <c r="FI40">
        <v>128.600000143051</v>
      </c>
      <c r="FJ40">
        <v>0</v>
      </c>
      <c r="FK40">
        <v>1576.9528</v>
      </c>
      <c r="FL40">
        <v>-7.4253846132858</v>
      </c>
      <c r="FM40">
        <v>-75.2692306369425</v>
      </c>
      <c r="FN40">
        <v>18615.96</v>
      </c>
      <c r="FO40">
        <v>15</v>
      </c>
      <c r="FP40">
        <v>0</v>
      </c>
      <c r="FQ40" t="s">
        <v>441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-12.587895</v>
      </c>
      <c r="GD40">
        <v>-0.33922556390979</v>
      </c>
      <c r="GE40">
        <v>0.0419781428245702</v>
      </c>
      <c r="GF40">
        <v>1</v>
      </c>
      <c r="GG40">
        <v>1577.51882352941</v>
      </c>
      <c r="GH40">
        <v>-8.2542398794883</v>
      </c>
      <c r="GI40">
        <v>0.85327660747153</v>
      </c>
      <c r="GJ40">
        <v>-1</v>
      </c>
      <c r="GK40">
        <v>3.102799</v>
      </c>
      <c r="GL40">
        <v>-0.0144396992481209</v>
      </c>
      <c r="GM40">
        <v>0.00185819240123301</v>
      </c>
      <c r="GN40">
        <v>1</v>
      </c>
      <c r="GO40">
        <v>2</v>
      </c>
      <c r="GP40">
        <v>2</v>
      </c>
      <c r="GQ40" t="s">
        <v>442</v>
      </c>
      <c r="GR40">
        <v>3.12969</v>
      </c>
      <c r="GS40">
        <v>2.71342</v>
      </c>
      <c r="GT40">
        <v>0.0870714</v>
      </c>
      <c r="GU40">
        <v>0.0896639</v>
      </c>
      <c r="GV40">
        <v>0.0796498</v>
      </c>
      <c r="GW40">
        <v>0.0688649</v>
      </c>
      <c r="GX40">
        <v>34211.3</v>
      </c>
      <c r="GY40">
        <v>36491.6</v>
      </c>
      <c r="GZ40">
        <v>33920.1</v>
      </c>
      <c r="HA40">
        <v>36310.1</v>
      </c>
      <c r="HB40">
        <v>44129.7</v>
      </c>
      <c r="HC40">
        <v>48542.9</v>
      </c>
      <c r="HD40">
        <v>52932.6</v>
      </c>
      <c r="HE40">
        <v>58018.6</v>
      </c>
      <c r="HF40">
        <v>1.92118</v>
      </c>
      <c r="HG40">
        <v>1.76975</v>
      </c>
      <c r="HH40">
        <v>-0.0160821</v>
      </c>
      <c r="HI40">
        <v>0</v>
      </c>
      <c r="HJ40">
        <v>24.2603</v>
      </c>
      <c r="HK40">
        <v>999.9</v>
      </c>
      <c r="HL40">
        <v>36.992</v>
      </c>
      <c r="HM40">
        <v>30.031</v>
      </c>
      <c r="HN40">
        <v>17.3703</v>
      </c>
      <c r="HO40">
        <v>54.916</v>
      </c>
      <c r="HP40">
        <v>45.8173</v>
      </c>
      <c r="HQ40">
        <v>1</v>
      </c>
      <c r="HR40">
        <v>0.289944</v>
      </c>
      <c r="HS40">
        <v>4.805</v>
      </c>
      <c r="HT40">
        <v>20.0743</v>
      </c>
      <c r="HU40">
        <v>5.19393</v>
      </c>
      <c r="HV40">
        <v>12.0099</v>
      </c>
      <c r="HW40">
        <v>4.9756</v>
      </c>
      <c r="HX40">
        <v>3.294</v>
      </c>
      <c r="HY40">
        <v>9999</v>
      </c>
      <c r="HZ40">
        <v>999.9</v>
      </c>
      <c r="IA40">
        <v>9999</v>
      </c>
      <c r="IB40">
        <v>9999</v>
      </c>
      <c r="IC40">
        <v>1.86323</v>
      </c>
      <c r="ID40">
        <v>1.86798</v>
      </c>
      <c r="IE40">
        <v>1.86783</v>
      </c>
      <c r="IF40">
        <v>1.86903</v>
      </c>
      <c r="IG40">
        <v>1.86981</v>
      </c>
      <c r="IH40">
        <v>1.86584</v>
      </c>
      <c r="II40">
        <v>1.86691</v>
      </c>
      <c r="IJ40">
        <v>1.86832</v>
      </c>
      <c r="IK40">
        <v>5</v>
      </c>
      <c r="IL40">
        <v>0</v>
      </c>
      <c r="IM40">
        <v>0</v>
      </c>
      <c r="IN40">
        <v>0</v>
      </c>
      <c r="IO40" t="s">
        <v>443</v>
      </c>
      <c r="IP40" t="s">
        <v>444</v>
      </c>
      <c r="IQ40" t="s">
        <v>445</v>
      </c>
      <c r="IR40" t="s">
        <v>445</v>
      </c>
      <c r="IS40" t="s">
        <v>445</v>
      </c>
      <c r="IT40" t="s">
        <v>445</v>
      </c>
      <c r="IU40">
        <v>0</v>
      </c>
      <c r="IV40">
        <v>100</v>
      </c>
      <c r="IW40">
        <v>100</v>
      </c>
      <c r="IX40">
        <v>2.401</v>
      </c>
      <c r="IY40">
        <v>0.1186</v>
      </c>
      <c r="IZ40">
        <v>0.833350075594679</v>
      </c>
      <c r="JA40">
        <v>0.00412825224050377</v>
      </c>
      <c r="JB40">
        <v>-7.34426573386615e-07</v>
      </c>
      <c r="JC40">
        <v>2.46800082545482e-10</v>
      </c>
      <c r="JD40">
        <v>-0.0848433440729365</v>
      </c>
      <c r="JE40">
        <v>-0.0240557196358944</v>
      </c>
      <c r="JF40">
        <v>0.0027855358087715</v>
      </c>
      <c r="JG40">
        <v>-3.72349365099102e-05</v>
      </c>
      <c r="JH40">
        <v>5</v>
      </c>
      <c r="JI40">
        <v>2250</v>
      </c>
      <c r="JJ40">
        <v>0</v>
      </c>
      <c r="JK40">
        <v>24</v>
      </c>
      <c r="JL40">
        <v>29348327.4</v>
      </c>
      <c r="JM40">
        <v>29348327.4</v>
      </c>
      <c r="JN40">
        <v>1.00708</v>
      </c>
      <c r="JO40">
        <v>2.63062</v>
      </c>
      <c r="JP40">
        <v>1.54785</v>
      </c>
      <c r="JQ40">
        <v>2.30957</v>
      </c>
      <c r="JR40">
        <v>1.64673</v>
      </c>
      <c r="JS40">
        <v>2.24365</v>
      </c>
      <c r="JT40">
        <v>33.4906</v>
      </c>
      <c r="JU40">
        <v>24.1751</v>
      </c>
      <c r="JV40">
        <v>18</v>
      </c>
      <c r="JW40">
        <v>505.818</v>
      </c>
      <c r="JX40">
        <v>405.732</v>
      </c>
      <c r="JY40">
        <v>18.1234</v>
      </c>
      <c r="JZ40">
        <v>30.9535</v>
      </c>
      <c r="KA40">
        <v>30.0003</v>
      </c>
      <c r="KB40">
        <v>30.8938</v>
      </c>
      <c r="KC40">
        <v>30.8384</v>
      </c>
      <c r="KD40">
        <v>20.1818</v>
      </c>
      <c r="KE40">
        <v>17.5668</v>
      </c>
      <c r="KF40">
        <v>37.3524</v>
      </c>
      <c r="KG40">
        <v>18.1189</v>
      </c>
      <c r="KH40">
        <v>420</v>
      </c>
      <c r="KI40">
        <v>13.7429</v>
      </c>
      <c r="KJ40">
        <v>96.208</v>
      </c>
      <c r="KK40">
        <v>94.0109</v>
      </c>
    </row>
    <row r="41" spans="1:297">
      <c r="A41">
        <v>25</v>
      </c>
      <c r="B41">
        <v>1760899959.1</v>
      </c>
      <c r="C41">
        <v>6195</v>
      </c>
      <c r="D41" t="s">
        <v>545</v>
      </c>
      <c r="E41" t="s">
        <v>546</v>
      </c>
      <c r="F41">
        <v>5</v>
      </c>
      <c r="G41" t="s">
        <v>547</v>
      </c>
      <c r="H41" t="s">
        <v>436</v>
      </c>
      <c r="I41">
        <v>1760899951.1</v>
      </c>
      <c r="J41">
        <f>(K41)/1000</f>
        <v>0</v>
      </c>
      <c r="K41">
        <f>IF(DP41, AN41, AH41)</f>
        <v>0</v>
      </c>
      <c r="L41">
        <f>IF(DP41, AI41, AG41)</f>
        <v>0</v>
      </c>
      <c r="M41">
        <f>DR41 - IF(AU41&gt;1, L41*DL41*100.0/(AW41), 0)</f>
        <v>0</v>
      </c>
      <c r="N41">
        <f>((T41-J41/2)*M41-L41)/(T41+J41/2)</f>
        <v>0</v>
      </c>
      <c r="O41">
        <f>N41*(DY41+DZ41)/1000.0</f>
        <v>0</v>
      </c>
      <c r="P41">
        <f>(DR41 - IF(AU41&gt;1, L41*DL41*100.0/(AW41), 0))*(DY41+DZ41)/1000.0</f>
        <v>0</v>
      </c>
      <c r="Q41">
        <f>2.0/((1/S41-1/R41)+SIGN(S41)*SQRT((1/S41-1/R41)*(1/S41-1/R41) + 4*DM41/((DM41+1)*(DM41+1))*(2*1/S41*1/R41-1/R41*1/R41)))</f>
        <v>0</v>
      </c>
      <c r="R41">
        <f>IF(LEFT(DN41,1)&lt;&gt;"0",IF(LEFT(DN41,1)="1",3.0,DO41),$D$5+$E$5*(EF41*DY41/($K$5*1000))+$F$5*(EF41*DY41/($K$5*1000))*MAX(MIN(DL41,$J$5),$I$5)*MAX(MIN(DL41,$J$5),$I$5)+$G$5*MAX(MIN(DL41,$J$5),$I$5)*(EF41*DY41/($K$5*1000))+$H$5*(EF41*DY41/($K$5*1000))*(EF41*DY41/($K$5*1000)))</f>
        <v>0</v>
      </c>
      <c r="S41">
        <f>J41*(1000-(1000*0.61365*exp(17.502*W41/(240.97+W41))/(DY41+DZ41)+DT41)/2)/(1000*0.61365*exp(17.502*W41/(240.97+W41))/(DY41+DZ41)-DT41)</f>
        <v>0</v>
      </c>
      <c r="T41">
        <f>1/((DM41+1)/(Q41/1.6)+1/(R41/1.37)) + DM41/((DM41+1)/(Q41/1.6) + DM41/(R41/1.37))</f>
        <v>0</v>
      </c>
      <c r="U41">
        <f>(DH41*DK41)</f>
        <v>0</v>
      </c>
      <c r="V41">
        <f>(EA41+(U41+2*0.95*5.67E-8*(((EA41+$B$7)+273)^4-(EA41+273)^4)-44100*J41)/(1.84*29.3*R41+8*0.95*5.67E-8*(EA41+273)^3))</f>
        <v>0</v>
      </c>
      <c r="W41">
        <f>($C$7*EB41+$D$7*EC41+$E$7*V41)</f>
        <v>0</v>
      </c>
      <c r="X41">
        <f>0.61365*exp(17.502*W41/(240.97+W41))</f>
        <v>0</v>
      </c>
      <c r="Y41">
        <f>(Z41/AA41*100)</f>
        <v>0</v>
      </c>
      <c r="Z41">
        <f>DT41*(DY41+DZ41)/1000</f>
        <v>0</v>
      </c>
      <c r="AA41">
        <f>0.61365*exp(17.502*EA41/(240.97+EA41))</f>
        <v>0</v>
      </c>
      <c r="AB41">
        <f>(X41-DT41*(DY41+DZ41)/1000)</f>
        <v>0</v>
      </c>
      <c r="AC41">
        <f>(-J41*44100)</f>
        <v>0</v>
      </c>
      <c r="AD41">
        <f>2*29.3*R41*0.92*(EA41-W41)</f>
        <v>0</v>
      </c>
      <c r="AE41">
        <f>2*0.95*5.67E-8*(((EA41+$B$7)+273)^4-(W41+273)^4)</f>
        <v>0</v>
      </c>
      <c r="AF41">
        <f>U41+AE41+AC41+AD41</f>
        <v>0</v>
      </c>
      <c r="AG41">
        <f>DX41*AU41*(DS41-DR41*(1000-AU41*DU41)/(1000-AU41*DT41))/(100*DL41)</f>
        <v>0</v>
      </c>
      <c r="AH41">
        <f>1000*DX41*AU41*(DT41-DU41)/(100*DL41*(1000-AU41*DT41))</f>
        <v>0</v>
      </c>
      <c r="AI41">
        <f>(AJ41 - AK41 - DY41*1E3/(8.314*(EA41+273.15)) * AM41/DX41 * AL41) * DX41/(100*DL41) * (1000 - DU41)/1000</f>
        <v>0</v>
      </c>
      <c r="AJ41">
        <v>425.352743210829</v>
      </c>
      <c r="AK41">
        <v>403.307424242424</v>
      </c>
      <c r="AL41">
        <v>-9.57983545427725e-05</v>
      </c>
      <c r="AM41">
        <v>65.0284696476713</v>
      </c>
      <c r="AN41">
        <f>(AP41 - AO41 + DY41*1E3/(8.314*(EA41+273.15)) * AR41/DX41 * AQ41) * DX41/(100*DL41) * 1000/(1000 - AP41)</f>
        <v>0</v>
      </c>
      <c r="AO41">
        <v>12.5834875630597</v>
      </c>
      <c r="AP41">
        <v>17.1282957575758</v>
      </c>
      <c r="AQ41">
        <v>-6.56865265994227e-05</v>
      </c>
      <c r="AR41">
        <v>117.022356917866</v>
      </c>
      <c r="AS41">
        <v>0</v>
      </c>
      <c r="AT41">
        <v>0</v>
      </c>
      <c r="AU41">
        <f>IF(AS41*$H$13&gt;=AW41,1.0,(AW41/(AW41-AS41*$H$13)))</f>
        <v>0</v>
      </c>
      <c r="AV41">
        <f>(AU41-1)*100</f>
        <v>0</v>
      </c>
      <c r="AW41">
        <f>MAX(0,($B$13+$C$13*EF41)/(1+$D$13*EF41)*DY41/(EA41+273)*$E$13)</f>
        <v>0</v>
      </c>
      <c r="AX41" t="s">
        <v>437</v>
      </c>
      <c r="AY41">
        <v>5082.33</v>
      </c>
      <c r="AZ41">
        <v>690.032</v>
      </c>
      <c r="BA41">
        <v>1612.68</v>
      </c>
      <c r="BB41">
        <f>1-AZ41/BA41</f>
        <v>0</v>
      </c>
      <c r="BC41">
        <v>-9.7270689171713</v>
      </c>
      <c r="BD41" t="s">
        <v>548</v>
      </c>
      <c r="BE41">
        <v>5161.78</v>
      </c>
      <c r="BF41">
        <v>1513.3204</v>
      </c>
      <c r="BG41">
        <v>2015.18933340505</v>
      </c>
      <c r="BH41">
        <f>1-BF41/BG41</f>
        <v>0</v>
      </c>
      <c r="BI41">
        <v>0.5</v>
      </c>
      <c r="BJ41">
        <f>DI41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549</v>
      </c>
      <c r="BQ41">
        <v>807.47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BZ41">
        <v>144</v>
      </c>
      <c r="CA41">
        <v>290</v>
      </c>
      <c r="CB41">
        <v>1881.31</v>
      </c>
      <c r="CC41">
        <v>265</v>
      </c>
      <c r="CD41">
        <v>5161.78</v>
      </c>
      <c r="CE41">
        <v>1881.05</v>
      </c>
      <c r="CF41">
        <v>0.26</v>
      </c>
      <c r="CG41">
        <v>300</v>
      </c>
      <c r="CH41">
        <v>23.7</v>
      </c>
      <c r="CI41">
        <v>2015.18933340505</v>
      </c>
      <c r="CJ41">
        <v>2.06304554849348</v>
      </c>
      <c r="CK41">
        <v>-69.2422408859824</v>
      </c>
      <c r="CL41">
        <v>0.958355212491065</v>
      </c>
      <c r="CM41">
        <v>0.99466486273773</v>
      </c>
      <c r="CN41">
        <v>-0.00325422469410456</v>
      </c>
      <c r="CO41">
        <v>290</v>
      </c>
      <c r="CP41">
        <v>1881.26</v>
      </c>
      <c r="CQ41">
        <v>875</v>
      </c>
      <c r="CR41">
        <v>5159.84</v>
      </c>
      <c r="CS41">
        <v>1880.99</v>
      </c>
      <c r="CT41">
        <v>0.27</v>
      </c>
      <c r="DH41">
        <f>$B$11*EG41+$C$11*EH41+$F$11*ES41*(1-EV41)</f>
        <v>0</v>
      </c>
      <c r="DI41">
        <f>DH41*DJ41</f>
        <v>0</v>
      </c>
      <c r="DJ41">
        <f>($B$11*$D$9+$C$11*$D$9+$F$11*((FF41+EX41)/MAX(FF41+EX41+FG41, 0.1)*$I$9+FG41/MAX(FF41+EX41+FG41, 0.1)*$J$9))/($B$11+$C$11+$F$11)</f>
        <v>0</v>
      </c>
      <c r="DK41">
        <f>($B$11*$K$9+$C$11*$K$9+$F$11*((FF41+EX41)/MAX(FF41+EX41+FG41, 0.1)*$P$9+FG41/MAX(FF41+EX41+FG41, 0.1)*$Q$9))/($B$11+$C$11+$F$11)</f>
        <v>0</v>
      </c>
      <c r="DL41">
        <v>3.21</v>
      </c>
      <c r="DM41">
        <v>0.5</v>
      </c>
      <c r="DN41" t="s">
        <v>440</v>
      </c>
      <c r="DO41">
        <v>2</v>
      </c>
      <c r="DP41" t="b">
        <v>1</v>
      </c>
      <c r="DQ41">
        <v>1760899951.1</v>
      </c>
      <c r="DR41">
        <v>396.398933333333</v>
      </c>
      <c r="DS41">
        <v>420.007666666667</v>
      </c>
      <c r="DT41">
        <v>17.1387266666667</v>
      </c>
      <c r="DU41">
        <v>12.5829066666667</v>
      </c>
      <c r="DV41">
        <v>394.037866666667</v>
      </c>
      <c r="DW41">
        <v>17.0100466666667</v>
      </c>
      <c r="DX41">
        <v>499.980666666667</v>
      </c>
      <c r="DY41">
        <v>90.8761666666667</v>
      </c>
      <c r="DZ41">
        <v>0.0353265733333333</v>
      </c>
      <c r="EA41">
        <v>24.64544</v>
      </c>
      <c r="EB41">
        <v>24.03134</v>
      </c>
      <c r="EC41">
        <v>999.9</v>
      </c>
      <c r="ED41">
        <v>0</v>
      </c>
      <c r="EE41">
        <v>0</v>
      </c>
      <c r="EF41">
        <v>9990.09866666666</v>
      </c>
      <c r="EG41">
        <v>0</v>
      </c>
      <c r="EH41">
        <v>1287.15133333333</v>
      </c>
      <c r="EI41">
        <v>-23.60868</v>
      </c>
      <c r="EJ41">
        <v>403.311133333333</v>
      </c>
      <c r="EK41">
        <v>425.359933333333</v>
      </c>
      <c r="EL41">
        <v>4.55582066666667</v>
      </c>
      <c r="EM41">
        <v>420.007666666667</v>
      </c>
      <c r="EN41">
        <v>12.5829066666667</v>
      </c>
      <c r="EO41">
        <v>1.55750066666667</v>
      </c>
      <c r="EP41">
        <v>1.14348533333333</v>
      </c>
      <c r="EQ41">
        <v>13.5446333333333</v>
      </c>
      <c r="ER41">
        <v>8.88544266666667</v>
      </c>
      <c r="ES41">
        <v>1200.01133333333</v>
      </c>
      <c r="ET41">
        <v>0.9670074</v>
      </c>
      <c r="EU41">
        <v>0.0329927466666667</v>
      </c>
      <c r="EV41">
        <v>0</v>
      </c>
      <c r="EW41">
        <v>1513.556</v>
      </c>
      <c r="EX41">
        <v>5.00059</v>
      </c>
      <c r="EY41">
        <v>17895.9866666667</v>
      </c>
      <c r="EZ41">
        <v>10358.8533333333</v>
      </c>
      <c r="FA41">
        <v>39</v>
      </c>
      <c r="FB41">
        <v>40.875</v>
      </c>
      <c r="FC41">
        <v>39.312</v>
      </c>
      <c r="FD41">
        <v>40.3874</v>
      </c>
      <c r="FE41">
        <v>40.1498</v>
      </c>
      <c r="FF41">
        <v>1155.58133333333</v>
      </c>
      <c r="FG41">
        <v>39.43</v>
      </c>
      <c r="FH41">
        <v>0</v>
      </c>
      <c r="FI41">
        <v>314.600000143051</v>
      </c>
      <c r="FJ41">
        <v>0</v>
      </c>
      <c r="FK41">
        <v>1513.3204</v>
      </c>
      <c r="FL41">
        <v>-16.8707692265753</v>
      </c>
      <c r="FM41">
        <v>-194.130768938153</v>
      </c>
      <c r="FN41">
        <v>17892.996</v>
      </c>
      <c r="FO41">
        <v>15</v>
      </c>
      <c r="FP41">
        <v>0</v>
      </c>
      <c r="FQ41" t="s">
        <v>441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-23.605165</v>
      </c>
      <c r="GD41">
        <v>0.0164075187969722</v>
      </c>
      <c r="GE41">
        <v>0.0198829895890932</v>
      </c>
      <c r="GF41">
        <v>1</v>
      </c>
      <c r="GG41">
        <v>1514.44882352941</v>
      </c>
      <c r="GH41">
        <v>-17.3695951272795</v>
      </c>
      <c r="GI41">
        <v>1.71705247565479</v>
      </c>
      <c r="GJ41">
        <v>-1</v>
      </c>
      <c r="GK41">
        <v>4.556669</v>
      </c>
      <c r="GL41">
        <v>-0.0523010526315818</v>
      </c>
      <c r="GM41">
        <v>0.00651495886402979</v>
      </c>
      <c r="GN41">
        <v>1</v>
      </c>
      <c r="GO41">
        <v>2</v>
      </c>
      <c r="GP41">
        <v>2</v>
      </c>
      <c r="GQ41" t="s">
        <v>442</v>
      </c>
      <c r="GR41">
        <v>3.1294</v>
      </c>
      <c r="GS41">
        <v>2.71291</v>
      </c>
      <c r="GT41">
        <v>0.085225</v>
      </c>
      <c r="GU41">
        <v>0.089635</v>
      </c>
      <c r="GV41">
        <v>0.0805456</v>
      </c>
      <c r="GW41">
        <v>0.0642912</v>
      </c>
      <c r="GX41">
        <v>34279.4</v>
      </c>
      <c r="GY41">
        <v>36493.9</v>
      </c>
      <c r="GZ41">
        <v>33919</v>
      </c>
      <c r="HA41">
        <v>36311.3</v>
      </c>
      <c r="HB41">
        <v>44085.1</v>
      </c>
      <c r="HC41">
        <v>48784.6</v>
      </c>
      <c r="HD41">
        <v>52931.5</v>
      </c>
      <c r="HE41">
        <v>58020.7</v>
      </c>
      <c r="HF41">
        <v>1.92202</v>
      </c>
      <c r="HG41">
        <v>1.7666</v>
      </c>
      <c r="HH41">
        <v>-0.0225343</v>
      </c>
      <c r="HI41">
        <v>0</v>
      </c>
      <c r="HJ41">
        <v>24.4123</v>
      </c>
      <c r="HK41">
        <v>999.9</v>
      </c>
      <c r="HL41">
        <v>35.698</v>
      </c>
      <c r="HM41">
        <v>30.071</v>
      </c>
      <c r="HN41">
        <v>16.8055</v>
      </c>
      <c r="HO41">
        <v>54.826</v>
      </c>
      <c r="HP41">
        <v>46.1098</v>
      </c>
      <c r="HQ41">
        <v>1</v>
      </c>
      <c r="HR41">
        <v>0.289474</v>
      </c>
      <c r="HS41">
        <v>4.63393</v>
      </c>
      <c r="HT41">
        <v>20.0778</v>
      </c>
      <c r="HU41">
        <v>5.19902</v>
      </c>
      <c r="HV41">
        <v>12.0099</v>
      </c>
      <c r="HW41">
        <v>4.9757</v>
      </c>
      <c r="HX41">
        <v>3.294</v>
      </c>
      <c r="HY41">
        <v>9999</v>
      </c>
      <c r="HZ41">
        <v>999.9</v>
      </c>
      <c r="IA41">
        <v>9999</v>
      </c>
      <c r="IB41">
        <v>9999</v>
      </c>
      <c r="IC41">
        <v>1.86324</v>
      </c>
      <c r="ID41">
        <v>1.86799</v>
      </c>
      <c r="IE41">
        <v>1.86783</v>
      </c>
      <c r="IF41">
        <v>1.86904</v>
      </c>
      <c r="IG41">
        <v>1.86981</v>
      </c>
      <c r="IH41">
        <v>1.86584</v>
      </c>
      <c r="II41">
        <v>1.86691</v>
      </c>
      <c r="IJ41">
        <v>1.86831</v>
      </c>
      <c r="IK41">
        <v>5</v>
      </c>
      <c r="IL41">
        <v>0</v>
      </c>
      <c r="IM41">
        <v>0</v>
      </c>
      <c r="IN41">
        <v>0</v>
      </c>
      <c r="IO41" t="s">
        <v>443</v>
      </c>
      <c r="IP41" t="s">
        <v>444</v>
      </c>
      <c r="IQ41" t="s">
        <v>445</v>
      </c>
      <c r="IR41" t="s">
        <v>445</v>
      </c>
      <c r="IS41" t="s">
        <v>445</v>
      </c>
      <c r="IT41" t="s">
        <v>445</v>
      </c>
      <c r="IU41">
        <v>0</v>
      </c>
      <c r="IV41">
        <v>100</v>
      </c>
      <c r="IW41">
        <v>100</v>
      </c>
      <c r="IX41">
        <v>2.361</v>
      </c>
      <c r="IY41">
        <v>0.1283</v>
      </c>
      <c r="IZ41">
        <v>0.833350075594679</v>
      </c>
      <c r="JA41">
        <v>0.00412825224050377</v>
      </c>
      <c r="JB41">
        <v>-7.34426573386615e-07</v>
      </c>
      <c r="JC41">
        <v>2.46800082545482e-10</v>
      </c>
      <c r="JD41">
        <v>-0.0848433440729365</v>
      </c>
      <c r="JE41">
        <v>-0.0240557196358944</v>
      </c>
      <c r="JF41">
        <v>0.0027855358087715</v>
      </c>
      <c r="JG41">
        <v>-3.72349365099102e-05</v>
      </c>
      <c r="JH41">
        <v>5</v>
      </c>
      <c r="JI41">
        <v>2250</v>
      </c>
      <c r="JJ41">
        <v>0</v>
      </c>
      <c r="JK41">
        <v>24</v>
      </c>
      <c r="JL41">
        <v>29348332.7</v>
      </c>
      <c r="JM41">
        <v>29348332.7</v>
      </c>
      <c r="JN41">
        <v>1.00586</v>
      </c>
      <c r="JO41">
        <v>2.62939</v>
      </c>
      <c r="JP41">
        <v>1.54785</v>
      </c>
      <c r="JQ41">
        <v>2.30957</v>
      </c>
      <c r="JR41">
        <v>1.64551</v>
      </c>
      <c r="JS41">
        <v>2.31567</v>
      </c>
      <c r="JT41">
        <v>33.4906</v>
      </c>
      <c r="JU41">
        <v>24.1751</v>
      </c>
      <c r="JV41">
        <v>18</v>
      </c>
      <c r="JW41">
        <v>506.554</v>
      </c>
      <c r="JX41">
        <v>404.1</v>
      </c>
      <c r="JY41">
        <v>18.8645</v>
      </c>
      <c r="JZ41">
        <v>30.9562</v>
      </c>
      <c r="KA41">
        <v>29.9999</v>
      </c>
      <c r="KB41">
        <v>30.9133</v>
      </c>
      <c r="KC41">
        <v>30.8596</v>
      </c>
      <c r="KD41">
        <v>20.1648</v>
      </c>
      <c r="KE41">
        <v>20.9195</v>
      </c>
      <c r="KF41">
        <v>35.1091</v>
      </c>
      <c r="KG41">
        <v>18.8571</v>
      </c>
      <c r="KH41">
        <v>420</v>
      </c>
      <c r="KI41">
        <v>12.6098</v>
      </c>
      <c r="KJ41">
        <v>96.2055</v>
      </c>
      <c r="KK41">
        <v>94.0143</v>
      </c>
    </row>
    <row r="42" spans="1:297">
      <c r="A42">
        <v>26</v>
      </c>
      <c r="B42">
        <v>1760900081.1</v>
      </c>
      <c r="C42">
        <v>6317</v>
      </c>
      <c r="D42" t="s">
        <v>550</v>
      </c>
      <c r="E42" t="s">
        <v>551</v>
      </c>
      <c r="F42">
        <v>5</v>
      </c>
      <c r="G42" t="s">
        <v>547</v>
      </c>
      <c r="H42" t="s">
        <v>436</v>
      </c>
      <c r="I42">
        <v>1760900073.1</v>
      </c>
      <c r="J42">
        <f>(K42)/1000</f>
        <v>0</v>
      </c>
      <c r="K42">
        <f>IF(DP42, AN42, AH42)</f>
        <v>0</v>
      </c>
      <c r="L42">
        <f>IF(DP42, AI42, AG42)</f>
        <v>0</v>
      </c>
      <c r="M42">
        <f>DR42 - IF(AU42&gt;1, L42*DL42*100.0/(AW42), 0)</f>
        <v>0</v>
      </c>
      <c r="N42">
        <f>((T42-J42/2)*M42-L42)/(T42+J42/2)</f>
        <v>0</v>
      </c>
      <c r="O42">
        <f>N42*(DY42+DZ42)/1000.0</f>
        <v>0</v>
      </c>
      <c r="P42">
        <f>(DR42 - IF(AU42&gt;1, L42*DL42*100.0/(AW42), 0))*(DY42+DZ42)/1000.0</f>
        <v>0</v>
      </c>
      <c r="Q42">
        <f>2.0/((1/S42-1/R42)+SIGN(S42)*SQRT((1/S42-1/R42)*(1/S42-1/R42) + 4*DM42/((DM42+1)*(DM42+1))*(2*1/S42*1/R42-1/R42*1/R42)))</f>
        <v>0</v>
      </c>
      <c r="R42">
        <f>IF(LEFT(DN42,1)&lt;&gt;"0",IF(LEFT(DN42,1)="1",3.0,DO42),$D$5+$E$5*(EF42*DY42/($K$5*1000))+$F$5*(EF42*DY42/($K$5*1000))*MAX(MIN(DL42,$J$5),$I$5)*MAX(MIN(DL42,$J$5),$I$5)+$G$5*MAX(MIN(DL42,$J$5),$I$5)*(EF42*DY42/($K$5*1000))+$H$5*(EF42*DY42/($K$5*1000))*(EF42*DY42/($K$5*1000)))</f>
        <v>0</v>
      </c>
      <c r="S42">
        <f>J42*(1000-(1000*0.61365*exp(17.502*W42/(240.97+W42))/(DY42+DZ42)+DT42)/2)/(1000*0.61365*exp(17.502*W42/(240.97+W42))/(DY42+DZ42)-DT42)</f>
        <v>0</v>
      </c>
      <c r="T42">
        <f>1/((DM42+1)/(Q42/1.6)+1/(R42/1.37)) + DM42/((DM42+1)/(Q42/1.6) + DM42/(R42/1.37))</f>
        <v>0</v>
      </c>
      <c r="U42">
        <f>(DH42*DK42)</f>
        <v>0</v>
      </c>
      <c r="V42">
        <f>(EA42+(U42+2*0.95*5.67E-8*(((EA42+$B$7)+273)^4-(EA42+273)^4)-44100*J42)/(1.84*29.3*R42+8*0.95*5.67E-8*(EA42+273)^3))</f>
        <v>0</v>
      </c>
      <c r="W42">
        <f>($C$7*EB42+$D$7*EC42+$E$7*V42)</f>
        <v>0</v>
      </c>
      <c r="X42">
        <f>0.61365*exp(17.502*W42/(240.97+W42))</f>
        <v>0</v>
      </c>
      <c r="Y42">
        <f>(Z42/AA42*100)</f>
        <v>0</v>
      </c>
      <c r="Z42">
        <f>DT42*(DY42+DZ42)/1000</f>
        <v>0</v>
      </c>
      <c r="AA42">
        <f>0.61365*exp(17.502*EA42/(240.97+EA42))</f>
        <v>0</v>
      </c>
      <c r="AB42">
        <f>(X42-DT42*(DY42+DZ42)/1000)</f>
        <v>0</v>
      </c>
      <c r="AC42">
        <f>(-J42*44100)</f>
        <v>0</v>
      </c>
      <c r="AD42">
        <f>2*29.3*R42*0.92*(EA42-W42)</f>
        <v>0</v>
      </c>
      <c r="AE42">
        <f>2*0.95*5.67E-8*(((EA42+$B$7)+273)^4-(W42+273)^4)</f>
        <v>0</v>
      </c>
      <c r="AF42">
        <f>U42+AE42+AC42+AD42</f>
        <v>0</v>
      </c>
      <c r="AG42">
        <f>DX42*AU42*(DS42-DR42*(1000-AU42*DU42)/(1000-AU42*DT42))/(100*DL42)</f>
        <v>0</v>
      </c>
      <c r="AH42">
        <f>1000*DX42*AU42*(DT42-DU42)/(100*DL42*(1000-AU42*DT42))</f>
        <v>0</v>
      </c>
      <c r="AI42">
        <f>(AJ42 - AK42 - DY42*1E3/(8.314*(EA42+273.15)) * AM42/DX42 * AL42) * DX42/(100*DL42) * (1000 - DU42)/1000</f>
        <v>0</v>
      </c>
      <c r="AJ42">
        <v>425.352938248357</v>
      </c>
      <c r="AK42">
        <v>403.239127272727</v>
      </c>
      <c r="AL42">
        <v>-0.00096515769511728</v>
      </c>
      <c r="AM42">
        <v>65.0284696476713</v>
      </c>
      <c r="AN42">
        <f>(AP42 - AO42 + DY42*1E3/(8.314*(EA42+273.15)) * AR42/DX42 * AQ42) * DX42/(100*DL42) * 1000/(1000 - AP42)</f>
        <v>0</v>
      </c>
      <c r="AO42">
        <v>12.5918941437939</v>
      </c>
      <c r="AP42">
        <v>17.0753660606061</v>
      </c>
      <c r="AQ42">
        <v>4.91511459601131e-05</v>
      </c>
      <c r="AR42">
        <v>117.022356917866</v>
      </c>
      <c r="AS42">
        <v>0</v>
      </c>
      <c r="AT42">
        <v>0</v>
      </c>
      <c r="AU42">
        <f>IF(AS42*$H$13&gt;=AW42,1.0,(AW42/(AW42-AS42*$H$13)))</f>
        <v>0</v>
      </c>
      <c r="AV42">
        <f>(AU42-1)*100</f>
        <v>0</v>
      </c>
      <c r="AW42">
        <f>MAX(0,($B$13+$C$13*EF42)/(1+$D$13*EF42)*DY42/(EA42+273)*$E$13)</f>
        <v>0</v>
      </c>
      <c r="AX42" t="s">
        <v>437</v>
      </c>
      <c r="AY42">
        <v>5082.33</v>
      </c>
      <c r="AZ42">
        <v>690.032</v>
      </c>
      <c r="BA42">
        <v>1612.68</v>
      </c>
      <c r="BB42">
        <f>1-AZ42/BA42</f>
        <v>0</v>
      </c>
      <c r="BC42">
        <v>-9.7270689171713</v>
      </c>
      <c r="BD42" t="s">
        <v>552</v>
      </c>
      <c r="BE42">
        <v>5162.75</v>
      </c>
      <c r="BF42">
        <v>1486.82423076923</v>
      </c>
      <c r="BG42">
        <v>1978.72463728801</v>
      </c>
      <c r="BH42">
        <f>1-BF42/BG42</f>
        <v>0</v>
      </c>
      <c r="BI42">
        <v>0.5</v>
      </c>
      <c r="BJ42">
        <f>DI42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553</v>
      </c>
      <c r="BQ42">
        <v>812.87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BZ42">
        <v>146</v>
      </c>
      <c r="CA42">
        <v>290</v>
      </c>
      <c r="CB42">
        <v>1849.04</v>
      </c>
      <c r="CC42">
        <v>175</v>
      </c>
      <c r="CD42">
        <v>5162.75</v>
      </c>
      <c r="CE42">
        <v>1848.93</v>
      </c>
      <c r="CF42">
        <v>0.11</v>
      </c>
      <c r="CG42">
        <v>300</v>
      </c>
      <c r="CH42">
        <v>23.7</v>
      </c>
      <c r="CI42">
        <v>1978.72463728801</v>
      </c>
      <c r="CJ42">
        <v>1.88771191084661</v>
      </c>
      <c r="CK42">
        <v>-67.0079908758999</v>
      </c>
      <c r="CL42">
        <v>0.876881293612949</v>
      </c>
      <c r="CM42">
        <v>0.995227905951266</v>
      </c>
      <c r="CN42">
        <v>-0.00325409966629589</v>
      </c>
      <c r="CO42">
        <v>290</v>
      </c>
      <c r="CP42">
        <v>1849.29</v>
      </c>
      <c r="CQ42">
        <v>725</v>
      </c>
      <c r="CR42">
        <v>5160.25</v>
      </c>
      <c r="CS42">
        <v>1848.87</v>
      </c>
      <c r="CT42">
        <v>0.42</v>
      </c>
      <c r="DH42">
        <f>$B$11*EG42+$C$11*EH42+$F$11*ES42*(1-EV42)</f>
        <v>0</v>
      </c>
      <c r="DI42">
        <f>DH42*DJ42</f>
        <v>0</v>
      </c>
      <c r="DJ42">
        <f>($B$11*$D$9+$C$11*$D$9+$F$11*((FF42+EX42)/MAX(FF42+EX42+FG42, 0.1)*$I$9+FG42/MAX(FF42+EX42+FG42, 0.1)*$J$9))/($B$11+$C$11+$F$11)</f>
        <v>0</v>
      </c>
      <c r="DK42">
        <f>($B$11*$K$9+$C$11*$K$9+$F$11*((FF42+EX42)/MAX(FF42+EX42+FG42, 0.1)*$P$9+FG42/MAX(FF42+EX42+FG42, 0.1)*$Q$9))/($B$11+$C$11+$F$11)</f>
        <v>0</v>
      </c>
      <c r="DL42">
        <v>3.21</v>
      </c>
      <c r="DM42">
        <v>0.5</v>
      </c>
      <c r="DN42" t="s">
        <v>440</v>
      </c>
      <c r="DO42">
        <v>2</v>
      </c>
      <c r="DP42" t="b">
        <v>1</v>
      </c>
      <c r="DQ42">
        <v>1760900073.1</v>
      </c>
      <c r="DR42">
        <v>396.4048</v>
      </c>
      <c r="DS42">
        <v>419.999533333333</v>
      </c>
      <c r="DT42">
        <v>17.0694466666667</v>
      </c>
      <c r="DU42">
        <v>12.6002733333333</v>
      </c>
      <c r="DV42">
        <v>394.0436</v>
      </c>
      <c r="DW42">
        <v>16.9433133333333</v>
      </c>
      <c r="DX42">
        <v>500.050133333333</v>
      </c>
      <c r="DY42">
        <v>90.86746</v>
      </c>
      <c r="DZ42">
        <v>0.03538216</v>
      </c>
      <c r="EA42">
        <v>24.5959466666667</v>
      </c>
      <c r="EB42">
        <v>24.00678</v>
      </c>
      <c r="EC42">
        <v>999.9</v>
      </c>
      <c r="ED42">
        <v>0</v>
      </c>
      <c r="EE42">
        <v>0</v>
      </c>
      <c r="EF42">
        <v>10020.4173333333</v>
      </c>
      <c r="EG42">
        <v>0</v>
      </c>
      <c r="EH42">
        <v>1287.05533333333</v>
      </c>
      <c r="EI42">
        <v>-23.59468</v>
      </c>
      <c r="EJ42">
        <v>403.288666666667</v>
      </c>
      <c r="EK42">
        <v>425.359133333333</v>
      </c>
      <c r="EL42">
        <v>4.46916</v>
      </c>
      <c r="EM42">
        <v>419.999533333333</v>
      </c>
      <c r="EN42">
        <v>12.6002733333333</v>
      </c>
      <c r="EO42">
        <v>1.55105733333333</v>
      </c>
      <c r="EP42">
        <v>1.144956</v>
      </c>
      <c r="EQ42">
        <v>13.48096</v>
      </c>
      <c r="ER42">
        <v>8.90444466666666</v>
      </c>
      <c r="ES42">
        <v>1200.03466666667</v>
      </c>
      <c r="ET42">
        <v>0.967008733333333</v>
      </c>
      <c r="EU42">
        <v>0.03299154</v>
      </c>
      <c r="EV42">
        <v>0</v>
      </c>
      <c r="EW42">
        <v>1486.80333333333</v>
      </c>
      <c r="EX42">
        <v>5.00059</v>
      </c>
      <c r="EY42">
        <v>17586.5733333333</v>
      </c>
      <c r="EZ42">
        <v>10359.0466666667</v>
      </c>
      <c r="FA42">
        <v>39</v>
      </c>
      <c r="FB42">
        <v>40.875</v>
      </c>
      <c r="FC42">
        <v>39.312</v>
      </c>
      <c r="FD42">
        <v>40.3998</v>
      </c>
      <c r="FE42">
        <v>40.1746</v>
      </c>
      <c r="FF42">
        <v>1155.60466666667</v>
      </c>
      <c r="FG42">
        <v>39.43</v>
      </c>
      <c r="FH42">
        <v>0</v>
      </c>
      <c r="FI42">
        <v>118.400000095367</v>
      </c>
      <c r="FJ42">
        <v>0</v>
      </c>
      <c r="FK42">
        <v>1486.82423076923</v>
      </c>
      <c r="FL42">
        <v>2.19384615484474</v>
      </c>
      <c r="FM42">
        <v>27.904273746158</v>
      </c>
      <c r="FN42">
        <v>17586.3692307692</v>
      </c>
      <c r="FO42">
        <v>15</v>
      </c>
      <c r="FP42">
        <v>0</v>
      </c>
      <c r="FQ42" t="s">
        <v>441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-23.592575</v>
      </c>
      <c r="GD42">
        <v>-0.057523308270701</v>
      </c>
      <c r="GE42">
        <v>0.0249935766748179</v>
      </c>
      <c r="GF42">
        <v>1</v>
      </c>
      <c r="GG42">
        <v>1486.805</v>
      </c>
      <c r="GH42">
        <v>0.502826584186618</v>
      </c>
      <c r="GI42">
        <v>0.251504297706226</v>
      </c>
      <c r="GJ42">
        <v>-1</v>
      </c>
      <c r="GK42">
        <v>4.474839</v>
      </c>
      <c r="GL42">
        <v>-0.048561203007514</v>
      </c>
      <c r="GM42">
        <v>0.0129241045724646</v>
      </c>
      <c r="GN42">
        <v>1</v>
      </c>
      <c r="GO42">
        <v>2</v>
      </c>
      <c r="GP42">
        <v>2</v>
      </c>
      <c r="GQ42" t="s">
        <v>442</v>
      </c>
      <c r="GR42">
        <v>3.12945</v>
      </c>
      <c r="GS42">
        <v>2.71325</v>
      </c>
      <c r="GT42">
        <v>0.085211</v>
      </c>
      <c r="GU42">
        <v>0.0896155</v>
      </c>
      <c r="GV42">
        <v>0.0803455</v>
      </c>
      <c r="GW42">
        <v>0.0641868</v>
      </c>
      <c r="GX42">
        <v>34280.4</v>
      </c>
      <c r="GY42">
        <v>36494.8</v>
      </c>
      <c r="GZ42">
        <v>33919.6</v>
      </c>
      <c r="HA42">
        <v>36311.5</v>
      </c>
      <c r="HB42">
        <v>44095.5</v>
      </c>
      <c r="HC42">
        <v>48790.4</v>
      </c>
      <c r="HD42">
        <v>52932.2</v>
      </c>
      <c r="HE42">
        <v>58021.1</v>
      </c>
      <c r="HF42">
        <v>1.9219</v>
      </c>
      <c r="HG42">
        <v>1.76647</v>
      </c>
      <c r="HH42">
        <v>-0.0276454</v>
      </c>
      <c r="HI42">
        <v>0</v>
      </c>
      <c r="HJ42">
        <v>24.4532</v>
      </c>
      <c r="HK42">
        <v>999.9</v>
      </c>
      <c r="HL42">
        <v>35.203</v>
      </c>
      <c r="HM42">
        <v>30.081</v>
      </c>
      <c r="HN42">
        <v>16.5813</v>
      </c>
      <c r="HO42">
        <v>54.626</v>
      </c>
      <c r="HP42">
        <v>46.1378</v>
      </c>
      <c r="HQ42">
        <v>1</v>
      </c>
      <c r="HR42">
        <v>0.289723</v>
      </c>
      <c r="HS42">
        <v>4.74561</v>
      </c>
      <c r="HT42">
        <v>20.076</v>
      </c>
      <c r="HU42">
        <v>5.19887</v>
      </c>
      <c r="HV42">
        <v>12.0099</v>
      </c>
      <c r="HW42">
        <v>4.9756</v>
      </c>
      <c r="HX42">
        <v>3.294</v>
      </c>
      <c r="HY42">
        <v>9999</v>
      </c>
      <c r="HZ42">
        <v>999.9</v>
      </c>
      <c r="IA42">
        <v>9999</v>
      </c>
      <c r="IB42">
        <v>9999</v>
      </c>
      <c r="IC42">
        <v>1.8632</v>
      </c>
      <c r="ID42">
        <v>1.86799</v>
      </c>
      <c r="IE42">
        <v>1.86782</v>
      </c>
      <c r="IF42">
        <v>1.86905</v>
      </c>
      <c r="IG42">
        <v>1.86981</v>
      </c>
      <c r="IH42">
        <v>1.86584</v>
      </c>
      <c r="II42">
        <v>1.86691</v>
      </c>
      <c r="IJ42">
        <v>1.86832</v>
      </c>
      <c r="IK42">
        <v>5</v>
      </c>
      <c r="IL42">
        <v>0</v>
      </c>
      <c r="IM42">
        <v>0</v>
      </c>
      <c r="IN42">
        <v>0</v>
      </c>
      <c r="IO42" t="s">
        <v>443</v>
      </c>
      <c r="IP42" t="s">
        <v>444</v>
      </c>
      <c r="IQ42" t="s">
        <v>445</v>
      </c>
      <c r="IR42" t="s">
        <v>445</v>
      </c>
      <c r="IS42" t="s">
        <v>445</v>
      </c>
      <c r="IT42" t="s">
        <v>445</v>
      </c>
      <c r="IU42">
        <v>0</v>
      </c>
      <c r="IV42">
        <v>100</v>
      </c>
      <c r="IW42">
        <v>100</v>
      </c>
      <c r="IX42">
        <v>2.361</v>
      </c>
      <c r="IY42">
        <v>0.1262</v>
      </c>
      <c r="IZ42">
        <v>0.833350075594679</v>
      </c>
      <c r="JA42">
        <v>0.00412825224050377</v>
      </c>
      <c r="JB42">
        <v>-7.34426573386615e-07</v>
      </c>
      <c r="JC42">
        <v>2.46800082545482e-10</v>
      </c>
      <c r="JD42">
        <v>-0.0848433440729365</v>
      </c>
      <c r="JE42">
        <v>-0.0240557196358944</v>
      </c>
      <c r="JF42">
        <v>0.0027855358087715</v>
      </c>
      <c r="JG42">
        <v>-3.72349365099102e-05</v>
      </c>
      <c r="JH42">
        <v>5</v>
      </c>
      <c r="JI42">
        <v>2250</v>
      </c>
      <c r="JJ42">
        <v>0</v>
      </c>
      <c r="JK42">
        <v>24</v>
      </c>
      <c r="JL42">
        <v>29348334.7</v>
      </c>
      <c r="JM42">
        <v>29348334.7</v>
      </c>
      <c r="JN42">
        <v>1.00586</v>
      </c>
      <c r="JO42">
        <v>2.61719</v>
      </c>
      <c r="JP42">
        <v>1.54785</v>
      </c>
      <c r="JQ42">
        <v>2.30957</v>
      </c>
      <c r="JR42">
        <v>1.64673</v>
      </c>
      <c r="JS42">
        <v>2.38159</v>
      </c>
      <c r="JT42">
        <v>33.4681</v>
      </c>
      <c r="JU42">
        <v>24.1838</v>
      </c>
      <c r="JV42">
        <v>18</v>
      </c>
      <c r="JW42">
        <v>506.515</v>
      </c>
      <c r="JX42">
        <v>404.082</v>
      </c>
      <c r="JY42">
        <v>18.3791</v>
      </c>
      <c r="JZ42">
        <v>30.9615</v>
      </c>
      <c r="KA42">
        <v>30</v>
      </c>
      <c r="KB42">
        <v>30.9187</v>
      </c>
      <c r="KC42">
        <v>30.8675</v>
      </c>
      <c r="KD42">
        <v>20.1659</v>
      </c>
      <c r="KE42">
        <v>18.6009</v>
      </c>
      <c r="KF42">
        <v>33.9879</v>
      </c>
      <c r="KG42">
        <v>18.377</v>
      </c>
      <c r="KH42">
        <v>420</v>
      </c>
      <c r="KI42">
        <v>12.6405</v>
      </c>
      <c r="KJ42">
        <v>96.207</v>
      </c>
      <c r="KK42">
        <v>94.0148</v>
      </c>
    </row>
    <row r="43" spans="1:297">
      <c r="A43">
        <v>27</v>
      </c>
      <c r="B43">
        <v>1760900210.1</v>
      </c>
      <c r="C43">
        <v>6446</v>
      </c>
      <c r="D43" t="s">
        <v>554</v>
      </c>
      <c r="E43" t="s">
        <v>555</v>
      </c>
      <c r="F43">
        <v>5</v>
      </c>
      <c r="G43" t="s">
        <v>547</v>
      </c>
      <c r="H43" t="s">
        <v>436</v>
      </c>
      <c r="I43">
        <v>1760900201.6</v>
      </c>
      <c r="J43">
        <f>(K43)/1000</f>
        <v>0</v>
      </c>
      <c r="K43">
        <f>IF(DP43, AN43, AH43)</f>
        <v>0</v>
      </c>
      <c r="L43">
        <f>IF(DP43, AI43, AG43)</f>
        <v>0</v>
      </c>
      <c r="M43">
        <f>DR43 - IF(AU43&gt;1, L43*DL43*100.0/(AW43), 0)</f>
        <v>0</v>
      </c>
      <c r="N43">
        <f>((T43-J43/2)*M43-L43)/(T43+J43/2)</f>
        <v>0</v>
      </c>
      <c r="O43">
        <f>N43*(DY43+DZ43)/1000.0</f>
        <v>0</v>
      </c>
      <c r="P43">
        <f>(DR43 - IF(AU43&gt;1, L43*DL43*100.0/(AW43), 0))*(DY43+DZ43)/1000.0</f>
        <v>0</v>
      </c>
      <c r="Q43">
        <f>2.0/((1/S43-1/R43)+SIGN(S43)*SQRT((1/S43-1/R43)*(1/S43-1/R43) + 4*DM43/((DM43+1)*(DM43+1))*(2*1/S43*1/R43-1/R43*1/R43)))</f>
        <v>0</v>
      </c>
      <c r="R43">
        <f>IF(LEFT(DN43,1)&lt;&gt;"0",IF(LEFT(DN43,1)="1",3.0,DO43),$D$5+$E$5*(EF43*DY43/($K$5*1000))+$F$5*(EF43*DY43/($K$5*1000))*MAX(MIN(DL43,$J$5),$I$5)*MAX(MIN(DL43,$J$5),$I$5)+$G$5*MAX(MIN(DL43,$J$5),$I$5)*(EF43*DY43/($K$5*1000))+$H$5*(EF43*DY43/($K$5*1000))*(EF43*DY43/($K$5*1000)))</f>
        <v>0</v>
      </c>
      <c r="S43">
        <f>J43*(1000-(1000*0.61365*exp(17.502*W43/(240.97+W43))/(DY43+DZ43)+DT43)/2)/(1000*0.61365*exp(17.502*W43/(240.97+W43))/(DY43+DZ43)-DT43)</f>
        <v>0</v>
      </c>
      <c r="T43">
        <f>1/((DM43+1)/(Q43/1.6)+1/(R43/1.37)) + DM43/((DM43+1)/(Q43/1.6) + DM43/(R43/1.37))</f>
        <v>0</v>
      </c>
      <c r="U43">
        <f>(DH43*DK43)</f>
        <v>0</v>
      </c>
      <c r="V43">
        <f>(EA43+(U43+2*0.95*5.67E-8*(((EA43+$B$7)+273)^4-(EA43+273)^4)-44100*J43)/(1.84*29.3*R43+8*0.95*5.67E-8*(EA43+273)^3))</f>
        <v>0</v>
      </c>
      <c r="W43">
        <f>($C$7*EB43+$D$7*EC43+$E$7*V43)</f>
        <v>0</v>
      </c>
      <c r="X43">
        <f>0.61365*exp(17.502*W43/(240.97+W43))</f>
        <v>0</v>
      </c>
      <c r="Y43">
        <f>(Z43/AA43*100)</f>
        <v>0</v>
      </c>
      <c r="Z43">
        <f>DT43*(DY43+DZ43)/1000</f>
        <v>0</v>
      </c>
      <c r="AA43">
        <f>0.61365*exp(17.502*EA43/(240.97+EA43))</f>
        <v>0</v>
      </c>
      <c r="AB43">
        <f>(X43-DT43*(DY43+DZ43)/1000)</f>
        <v>0</v>
      </c>
      <c r="AC43">
        <f>(-J43*44100)</f>
        <v>0</v>
      </c>
      <c r="AD43">
        <f>2*29.3*R43*0.92*(EA43-W43)</f>
        <v>0</v>
      </c>
      <c r="AE43">
        <f>2*0.95*5.67E-8*(((EA43+$B$7)+273)^4-(W43+273)^4)</f>
        <v>0</v>
      </c>
      <c r="AF43">
        <f>U43+AE43+AC43+AD43</f>
        <v>0</v>
      </c>
      <c r="AG43">
        <f>DX43*AU43*(DS43-DR43*(1000-AU43*DU43)/(1000-AU43*DT43))/(100*DL43)</f>
        <v>0</v>
      </c>
      <c r="AH43">
        <f>1000*DX43*AU43*(DT43-DU43)/(100*DL43*(1000-AU43*DT43))</f>
        <v>0</v>
      </c>
      <c r="AI43">
        <f>(AJ43 - AK43 - DY43*1E3/(8.314*(EA43+273.15)) * AM43/DX43 * AL43) * DX43/(100*DL43) * (1000 - DU43)/1000</f>
        <v>0</v>
      </c>
      <c r="AJ43">
        <v>425.442375862138</v>
      </c>
      <c r="AK43">
        <v>403.297466666667</v>
      </c>
      <c r="AL43">
        <v>0.000318825358319845</v>
      </c>
      <c r="AM43">
        <v>65.0284696476713</v>
      </c>
      <c r="AN43">
        <f>(AP43 - AO43 + DY43*1E3/(8.314*(EA43+273.15)) * AR43/DX43 * AQ43) * DX43/(100*DL43) * 1000/(1000 - AP43)</f>
        <v>0</v>
      </c>
      <c r="AO43">
        <v>12.6965366308868</v>
      </c>
      <c r="AP43">
        <v>17.0696406060606</v>
      </c>
      <c r="AQ43">
        <v>-7.23630115205907e-05</v>
      </c>
      <c r="AR43">
        <v>117.022356917866</v>
      </c>
      <c r="AS43">
        <v>0</v>
      </c>
      <c r="AT43">
        <v>0</v>
      </c>
      <c r="AU43">
        <f>IF(AS43*$H$13&gt;=AW43,1.0,(AW43/(AW43-AS43*$H$13)))</f>
        <v>0</v>
      </c>
      <c r="AV43">
        <f>(AU43-1)*100</f>
        <v>0</v>
      </c>
      <c r="AW43">
        <f>MAX(0,($B$13+$C$13*EF43)/(1+$D$13*EF43)*DY43/(EA43+273)*$E$13)</f>
        <v>0</v>
      </c>
      <c r="AX43" t="s">
        <v>437</v>
      </c>
      <c r="AY43">
        <v>5082.33</v>
      </c>
      <c r="AZ43">
        <v>690.032</v>
      </c>
      <c r="BA43">
        <v>1612.68</v>
      </c>
      <c r="BB43">
        <f>1-AZ43/BA43</f>
        <v>0</v>
      </c>
      <c r="BC43">
        <v>-9.7270689171713</v>
      </c>
      <c r="BD43" t="s">
        <v>556</v>
      </c>
      <c r="BE43">
        <v>5162.11</v>
      </c>
      <c r="BF43">
        <v>1484.81961538462</v>
      </c>
      <c r="BG43">
        <v>1980.29190967225</v>
      </c>
      <c r="BH43">
        <f>1-BF43/BG43</f>
        <v>0</v>
      </c>
      <c r="BI43">
        <v>0.5</v>
      </c>
      <c r="BJ43">
        <f>DI43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557</v>
      </c>
      <c r="BQ43">
        <v>817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BZ43">
        <v>148</v>
      </c>
      <c r="CA43">
        <v>290</v>
      </c>
      <c r="CB43">
        <v>1847.02</v>
      </c>
      <c r="CC43">
        <v>215</v>
      </c>
      <c r="CD43">
        <v>5162.11</v>
      </c>
      <c r="CE43">
        <v>1846.63</v>
      </c>
      <c r="CF43">
        <v>0.39</v>
      </c>
      <c r="CG43">
        <v>300</v>
      </c>
      <c r="CH43">
        <v>23.7</v>
      </c>
      <c r="CI43">
        <v>1980.29190967225</v>
      </c>
      <c r="CJ43">
        <v>1.98329100320043</v>
      </c>
      <c r="CK43">
        <v>-68.9986928145901</v>
      </c>
      <c r="CL43">
        <v>0.921267760822066</v>
      </c>
      <c r="CM43">
        <v>0.995033098134661</v>
      </c>
      <c r="CN43">
        <v>-0.00325407252502781</v>
      </c>
      <c r="CO43">
        <v>290</v>
      </c>
      <c r="CP43">
        <v>1846.96</v>
      </c>
      <c r="CQ43">
        <v>885</v>
      </c>
      <c r="CR43">
        <v>5159.6</v>
      </c>
      <c r="CS43">
        <v>1846.56</v>
      </c>
      <c r="CT43">
        <v>0.4</v>
      </c>
      <c r="DH43">
        <f>$B$11*EG43+$C$11*EH43+$F$11*ES43*(1-EV43)</f>
        <v>0</v>
      </c>
      <c r="DI43">
        <f>DH43*DJ43</f>
        <v>0</v>
      </c>
      <c r="DJ43">
        <f>($B$11*$D$9+$C$11*$D$9+$F$11*((FF43+EX43)/MAX(FF43+EX43+FG43, 0.1)*$I$9+FG43/MAX(FF43+EX43+FG43, 0.1)*$J$9))/($B$11+$C$11+$F$11)</f>
        <v>0</v>
      </c>
      <c r="DK43">
        <f>($B$11*$K$9+$C$11*$K$9+$F$11*((FF43+EX43)/MAX(FF43+EX43+FG43, 0.1)*$P$9+FG43/MAX(FF43+EX43+FG43, 0.1)*$Q$9))/($B$11+$C$11+$F$11)</f>
        <v>0</v>
      </c>
      <c r="DL43">
        <v>3.21</v>
      </c>
      <c r="DM43">
        <v>0.5</v>
      </c>
      <c r="DN43" t="s">
        <v>440</v>
      </c>
      <c r="DO43">
        <v>2</v>
      </c>
      <c r="DP43" t="b">
        <v>1</v>
      </c>
      <c r="DQ43">
        <v>1760900201.6</v>
      </c>
      <c r="DR43">
        <v>396.3993125</v>
      </c>
      <c r="DS43">
        <v>420.0135625</v>
      </c>
      <c r="DT43">
        <v>17.06998125</v>
      </c>
      <c r="DU43">
        <v>12.69610625</v>
      </c>
      <c r="DV43">
        <v>394.038125</v>
      </c>
      <c r="DW43">
        <v>16.94383125</v>
      </c>
      <c r="DX43">
        <v>500.001875</v>
      </c>
      <c r="DY43">
        <v>90.868425</v>
      </c>
      <c r="DZ43">
        <v>0.03448341875</v>
      </c>
      <c r="EA43">
        <v>24.56968125</v>
      </c>
      <c r="EB43">
        <v>23.9954375</v>
      </c>
      <c r="EC43">
        <v>999.9</v>
      </c>
      <c r="ED43">
        <v>0</v>
      </c>
      <c r="EE43">
        <v>0</v>
      </c>
      <c r="EF43">
        <v>10002.64875</v>
      </c>
      <c r="EG43">
        <v>0</v>
      </c>
      <c r="EH43">
        <v>1286.859375</v>
      </c>
      <c r="EI43">
        <v>-23.61418125</v>
      </c>
      <c r="EJ43">
        <v>403.2834375</v>
      </c>
      <c r="EK43">
        <v>425.414625</v>
      </c>
      <c r="EL43">
        <v>4.373876875</v>
      </c>
      <c r="EM43">
        <v>420.0135625</v>
      </c>
      <c r="EN43">
        <v>12.69610625</v>
      </c>
      <c r="EO43">
        <v>1.551121875</v>
      </c>
      <c r="EP43">
        <v>1.15367375</v>
      </c>
      <c r="EQ43">
        <v>13.481625</v>
      </c>
      <c r="ER43">
        <v>9.016815625</v>
      </c>
      <c r="ES43">
        <v>1200.028125</v>
      </c>
      <c r="ET43">
        <v>0.96700875</v>
      </c>
      <c r="EU43">
        <v>0.03299148125</v>
      </c>
      <c r="EV43">
        <v>0</v>
      </c>
      <c r="EW43">
        <v>1484.745625</v>
      </c>
      <c r="EX43">
        <v>5.00059</v>
      </c>
      <c r="EY43">
        <v>17566.63125</v>
      </c>
      <c r="EZ43">
        <v>10358.98125</v>
      </c>
      <c r="FA43">
        <v>39</v>
      </c>
      <c r="FB43">
        <v>40.875</v>
      </c>
      <c r="FC43">
        <v>39.312</v>
      </c>
      <c r="FD43">
        <v>40.437</v>
      </c>
      <c r="FE43">
        <v>40.187</v>
      </c>
      <c r="FF43">
        <v>1155.598125</v>
      </c>
      <c r="FG43">
        <v>39.43</v>
      </c>
      <c r="FH43">
        <v>0</v>
      </c>
      <c r="FI43">
        <v>125.600000143051</v>
      </c>
      <c r="FJ43">
        <v>0</v>
      </c>
      <c r="FK43">
        <v>1484.81961538462</v>
      </c>
      <c r="FL43">
        <v>5.74324786102211</v>
      </c>
      <c r="FM43">
        <v>63.090598397731</v>
      </c>
      <c r="FN43">
        <v>17567.6923076923</v>
      </c>
      <c r="FO43">
        <v>15</v>
      </c>
      <c r="FP43">
        <v>0</v>
      </c>
      <c r="FQ43" t="s">
        <v>441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-23.605155</v>
      </c>
      <c r="GD43">
        <v>-0.2277879699248</v>
      </c>
      <c r="GE43">
        <v>0.0258680976300924</v>
      </c>
      <c r="GF43">
        <v>1</v>
      </c>
      <c r="GG43">
        <v>1484.495</v>
      </c>
      <c r="GH43">
        <v>4.45851795055018</v>
      </c>
      <c r="GI43">
        <v>0.509724550759602</v>
      </c>
      <c r="GJ43">
        <v>-1</v>
      </c>
      <c r="GK43">
        <v>4.3765145</v>
      </c>
      <c r="GL43">
        <v>-0.0402374436090285</v>
      </c>
      <c r="GM43">
        <v>0.00545152774458676</v>
      </c>
      <c r="GN43">
        <v>1</v>
      </c>
      <c r="GO43">
        <v>2</v>
      </c>
      <c r="GP43">
        <v>2</v>
      </c>
      <c r="GQ43" t="s">
        <v>442</v>
      </c>
      <c r="GR43">
        <v>3.12939</v>
      </c>
      <c r="GS43">
        <v>2.71287</v>
      </c>
      <c r="GT43">
        <v>0.0852195</v>
      </c>
      <c r="GU43">
        <v>0.0896295</v>
      </c>
      <c r="GV43">
        <v>0.0803378</v>
      </c>
      <c r="GW43">
        <v>0.0647279</v>
      </c>
      <c r="GX43">
        <v>34279.5</v>
      </c>
      <c r="GY43">
        <v>36493.1</v>
      </c>
      <c r="GZ43">
        <v>33919.1</v>
      </c>
      <c r="HA43">
        <v>36310.4</v>
      </c>
      <c r="HB43">
        <v>44095.3</v>
      </c>
      <c r="HC43">
        <v>48761</v>
      </c>
      <c r="HD43">
        <v>52931.6</v>
      </c>
      <c r="HE43">
        <v>58019.9</v>
      </c>
      <c r="HF43">
        <v>1.92135</v>
      </c>
      <c r="HG43">
        <v>1.76655</v>
      </c>
      <c r="HH43">
        <v>-0.0268407</v>
      </c>
      <c r="HI43">
        <v>0</v>
      </c>
      <c r="HJ43">
        <v>24.4365</v>
      </c>
      <c r="HK43">
        <v>999.9</v>
      </c>
      <c r="HL43">
        <v>34.733</v>
      </c>
      <c r="HM43">
        <v>30.111</v>
      </c>
      <c r="HN43">
        <v>16.389</v>
      </c>
      <c r="HO43">
        <v>54.026</v>
      </c>
      <c r="HP43">
        <v>45.9415</v>
      </c>
      <c r="HQ43">
        <v>1</v>
      </c>
      <c r="HR43">
        <v>0.289774</v>
      </c>
      <c r="HS43">
        <v>4.59278</v>
      </c>
      <c r="HT43">
        <v>20.0799</v>
      </c>
      <c r="HU43">
        <v>5.19677</v>
      </c>
      <c r="HV43">
        <v>12.0092</v>
      </c>
      <c r="HW43">
        <v>4.97555</v>
      </c>
      <c r="HX43">
        <v>3.294</v>
      </c>
      <c r="HY43">
        <v>9999</v>
      </c>
      <c r="HZ43">
        <v>999.9</v>
      </c>
      <c r="IA43">
        <v>9999</v>
      </c>
      <c r="IB43">
        <v>9999</v>
      </c>
      <c r="IC43">
        <v>1.86322</v>
      </c>
      <c r="ID43">
        <v>1.86801</v>
      </c>
      <c r="IE43">
        <v>1.86782</v>
      </c>
      <c r="IF43">
        <v>1.86905</v>
      </c>
      <c r="IG43">
        <v>1.86981</v>
      </c>
      <c r="IH43">
        <v>1.86584</v>
      </c>
      <c r="II43">
        <v>1.86691</v>
      </c>
      <c r="IJ43">
        <v>1.86832</v>
      </c>
      <c r="IK43">
        <v>5</v>
      </c>
      <c r="IL43">
        <v>0</v>
      </c>
      <c r="IM43">
        <v>0</v>
      </c>
      <c r="IN43">
        <v>0</v>
      </c>
      <c r="IO43" t="s">
        <v>443</v>
      </c>
      <c r="IP43" t="s">
        <v>444</v>
      </c>
      <c r="IQ43" t="s">
        <v>445</v>
      </c>
      <c r="IR43" t="s">
        <v>445</v>
      </c>
      <c r="IS43" t="s">
        <v>445</v>
      </c>
      <c r="IT43" t="s">
        <v>445</v>
      </c>
      <c r="IU43">
        <v>0</v>
      </c>
      <c r="IV43">
        <v>100</v>
      </c>
      <c r="IW43">
        <v>100</v>
      </c>
      <c r="IX43">
        <v>2.361</v>
      </c>
      <c r="IY43">
        <v>0.1261</v>
      </c>
      <c r="IZ43">
        <v>0.833350075594679</v>
      </c>
      <c r="JA43">
        <v>0.00412825224050377</v>
      </c>
      <c r="JB43">
        <v>-7.34426573386615e-07</v>
      </c>
      <c r="JC43">
        <v>2.46800082545482e-10</v>
      </c>
      <c r="JD43">
        <v>-0.0848433440729365</v>
      </c>
      <c r="JE43">
        <v>-0.0240557196358944</v>
      </c>
      <c r="JF43">
        <v>0.0027855358087715</v>
      </c>
      <c r="JG43">
        <v>-3.72349365099102e-05</v>
      </c>
      <c r="JH43">
        <v>5</v>
      </c>
      <c r="JI43">
        <v>2250</v>
      </c>
      <c r="JJ43">
        <v>0</v>
      </c>
      <c r="JK43">
        <v>24</v>
      </c>
      <c r="JL43">
        <v>29348336.8</v>
      </c>
      <c r="JM43">
        <v>29348336.8</v>
      </c>
      <c r="JN43">
        <v>1.00586</v>
      </c>
      <c r="JO43">
        <v>2.62085</v>
      </c>
      <c r="JP43">
        <v>1.54785</v>
      </c>
      <c r="JQ43">
        <v>2.31079</v>
      </c>
      <c r="JR43">
        <v>1.64551</v>
      </c>
      <c r="JS43">
        <v>2.37549</v>
      </c>
      <c r="JT43">
        <v>33.4681</v>
      </c>
      <c r="JU43">
        <v>24.1838</v>
      </c>
      <c r="JV43">
        <v>18</v>
      </c>
      <c r="JW43">
        <v>506.236</v>
      </c>
      <c r="JX43">
        <v>404.178</v>
      </c>
      <c r="JY43">
        <v>18.4963</v>
      </c>
      <c r="JZ43">
        <v>30.9723</v>
      </c>
      <c r="KA43">
        <v>30.0001</v>
      </c>
      <c r="KB43">
        <v>30.9294</v>
      </c>
      <c r="KC43">
        <v>30.8758</v>
      </c>
      <c r="KD43">
        <v>20.1662</v>
      </c>
      <c r="KE43">
        <v>16.2606</v>
      </c>
      <c r="KF43">
        <v>33.6134</v>
      </c>
      <c r="KG43">
        <v>18.4905</v>
      </c>
      <c r="KH43">
        <v>420</v>
      </c>
      <c r="KI43">
        <v>12.7438</v>
      </c>
      <c r="KJ43">
        <v>96.2057</v>
      </c>
      <c r="KK43">
        <v>94.0126</v>
      </c>
    </row>
    <row r="44" spans="1:297">
      <c r="A44">
        <v>28</v>
      </c>
      <c r="B44">
        <v>1760900610.1</v>
      </c>
      <c r="C44">
        <v>6846</v>
      </c>
      <c r="D44" t="s">
        <v>558</v>
      </c>
      <c r="E44" t="s">
        <v>559</v>
      </c>
      <c r="F44">
        <v>5</v>
      </c>
      <c r="G44" t="s">
        <v>560</v>
      </c>
      <c r="H44" t="s">
        <v>436</v>
      </c>
      <c r="I44">
        <v>1760900602.1</v>
      </c>
      <c r="J44">
        <f>(K44)/1000</f>
        <v>0</v>
      </c>
      <c r="K44">
        <f>IF(DP44, AN44, AH44)</f>
        <v>0</v>
      </c>
      <c r="L44">
        <f>IF(DP44, AI44, AG44)</f>
        <v>0</v>
      </c>
      <c r="M44">
        <f>DR44 - IF(AU44&gt;1, L44*DL44*100.0/(AW44), 0)</f>
        <v>0</v>
      </c>
      <c r="N44">
        <f>((T44-J44/2)*M44-L44)/(T44+J44/2)</f>
        <v>0</v>
      </c>
      <c r="O44">
        <f>N44*(DY44+DZ44)/1000.0</f>
        <v>0</v>
      </c>
      <c r="P44">
        <f>(DR44 - IF(AU44&gt;1, L44*DL44*100.0/(AW44), 0))*(DY44+DZ44)/1000.0</f>
        <v>0</v>
      </c>
      <c r="Q44">
        <f>2.0/((1/S44-1/R44)+SIGN(S44)*SQRT((1/S44-1/R44)*(1/S44-1/R44) + 4*DM44/((DM44+1)*(DM44+1))*(2*1/S44*1/R44-1/R44*1/R44)))</f>
        <v>0</v>
      </c>
      <c r="R44">
        <f>IF(LEFT(DN44,1)&lt;&gt;"0",IF(LEFT(DN44,1)="1",3.0,DO44),$D$5+$E$5*(EF44*DY44/($K$5*1000))+$F$5*(EF44*DY44/($K$5*1000))*MAX(MIN(DL44,$J$5),$I$5)*MAX(MIN(DL44,$J$5),$I$5)+$G$5*MAX(MIN(DL44,$J$5),$I$5)*(EF44*DY44/($K$5*1000))+$H$5*(EF44*DY44/($K$5*1000))*(EF44*DY44/($K$5*1000)))</f>
        <v>0</v>
      </c>
      <c r="S44">
        <f>J44*(1000-(1000*0.61365*exp(17.502*W44/(240.97+W44))/(DY44+DZ44)+DT44)/2)/(1000*0.61365*exp(17.502*W44/(240.97+W44))/(DY44+DZ44)-DT44)</f>
        <v>0</v>
      </c>
      <c r="T44">
        <f>1/((DM44+1)/(Q44/1.6)+1/(R44/1.37)) + DM44/((DM44+1)/(Q44/1.6) + DM44/(R44/1.37))</f>
        <v>0</v>
      </c>
      <c r="U44">
        <f>(DH44*DK44)</f>
        <v>0</v>
      </c>
      <c r="V44">
        <f>(EA44+(U44+2*0.95*5.67E-8*(((EA44+$B$7)+273)^4-(EA44+273)^4)-44100*J44)/(1.84*29.3*R44+8*0.95*5.67E-8*(EA44+273)^3))</f>
        <v>0</v>
      </c>
      <c r="W44">
        <f>($C$7*EB44+$D$7*EC44+$E$7*V44)</f>
        <v>0</v>
      </c>
      <c r="X44">
        <f>0.61365*exp(17.502*W44/(240.97+W44))</f>
        <v>0</v>
      </c>
      <c r="Y44">
        <f>(Z44/AA44*100)</f>
        <v>0</v>
      </c>
      <c r="Z44">
        <f>DT44*(DY44+DZ44)/1000</f>
        <v>0</v>
      </c>
      <c r="AA44">
        <f>0.61365*exp(17.502*EA44/(240.97+EA44))</f>
        <v>0</v>
      </c>
      <c r="AB44">
        <f>(X44-DT44*(DY44+DZ44)/1000)</f>
        <v>0</v>
      </c>
      <c r="AC44">
        <f>(-J44*44100)</f>
        <v>0</v>
      </c>
      <c r="AD44">
        <f>2*29.3*R44*0.92*(EA44-W44)</f>
        <v>0</v>
      </c>
      <c r="AE44">
        <f>2*0.95*5.67E-8*(((EA44+$B$7)+273)^4-(W44+273)^4)</f>
        <v>0</v>
      </c>
      <c r="AF44">
        <f>U44+AE44+AC44+AD44</f>
        <v>0</v>
      </c>
      <c r="AG44">
        <f>DX44*AU44*(DS44-DR44*(1000-AU44*DU44)/(1000-AU44*DT44))/(100*DL44)</f>
        <v>0</v>
      </c>
      <c r="AH44">
        <f>1000*DX44*AU44*(DT44-DU44)/(100*DL44*(1000-AU44*DT44))</f>
        <v>0</v>
      </c>
      <c r="AI44">
        <f>(AJ44 - AK44 - DY44*1E3/(8.314*(EA44+273.15)) * AM44/DX44 * AL44) * DX44/(100*DL44) * (1000 - DU44)/1000</f>
        <v>0</v>
      </c>
      <c r="AJ44">
        <v>425.853987042247</v>
      </c>
      <c r="AK44">
        <v>411.341951515152</v>
      </c>
      <c r="AL44">
        <v>2.73213899246939e-05</v>
      </c>
      <c r="AM44">
        <v>65.0263947337293</v>
      </c>
      <c r="AN44">
        <f>(AP44 - AO44 + DY44*1E3/(8.314*(EA44+273.15)) * AR44/DX44 * AQ44) * DX44/(100*DL44) * 1000/(1000 - AP44)</f>
        <v>0</v>
      </c>
      <c r="AO44">
        <v>13.7008515282595</v>
      </c>
      <c r="AP44">
        <v>16.5505975757576</v>
      </c>
      <c r="AQ44">
        <v>3.87924269681358e-06</v>
      </c>
      <c r="AR44">
        <v>117.032932634346</v>
      </c>
      <c r="AS44">
        <v>0</v>
      </c>
      <c r="AT44">
        <v>0</v>
      </c>
      <c r="AU44">
        <f>IF(AS44*$H$13&gt;=AW44,1.0,(AW44/(AW44-AS44*$H$13)))</f>
        <v>0</v>
      </c>
      <c r="AV44">
        <f>(AU44-1)*100</f>
        <v>0</v>
      </c>
      <c r="AW44">
        <f>MAX(0,($B$13+$C$13*EF44)/(1+$D$13*EF44)*DY44/(EA44+273)*$E$13)</f>
        <v>0</v>
      </c>
      <c r="AX44" t="s">
        <v>437</v>
      </c>
      <c r="AY44">
        <v>5082.33</v>
      </c>
      <c r="AZ44">
        <v>690.032</v>
      </c>
      <c r="BA44">
        <v>1612.68</v>
      </c>
      <c r="BB44">
        <f>1-AZ44/BA44</f>
        <v>0</v>
      </c>
      <c r="BC44">
        <v>-9.7270689171713</v>
      </c>
      <c r="BD44" t="s">
        <v>561</v>
      </c>
      <c r="BE44">
        <v>5156.13</v>
      </c>
      <c r="BF44">
        <v>1544.1312</v>
      </c>
      <c r="BG44">
        <v>1907.55695676423</v>
      </c>
      <c r="BH44">
        <f>1-BF44/BG44</f>
        <v>0</v>
      </c>
      <c r="BI44">
        <v>0.5</v>
      </c>
      <c r="BJ44">
        <f>DI44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562</v>
      </c>
      <c r="BQ44">
        <v>800.8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BZ44">
        <v>150</v>
      </c>
      <c r="CA44">
        <v>290</v>
      </c>
      <c r="CB44">
        <v>1813.93</v>
      </c>
      <c r="CC44">
        <v>215</v>
      </c>
      <c r="CD44">
        <v>5156.13</v>
      </c>
      <c r="CE44">
        <v>1812.92</v>
      </c>
      <c r="CF44">
        <v>1.01</v>
      </c>
      <c r="CG44">
        <v>300</v>
      </c>
      <c r="CH44">
        <v>23.7</v>
      </c>
      <c r="CI44">
        <v>1907.55695676423</v>
      </c>
      <c r="CJ44">
        <v>1.65889979514379</v>
      </c>
      <c r="CK44">
        <v>-48.7968825227372</v>
      </c>
      <c r="CL44">
        <v>0.769694035201645</v>
      </c>
      <c r="CM44">
        <v>0.993081767907482</v>
      </c>
      <c r="CN44">
        <v>-0.00325020622914349</v>
      </c>
      <c r="CO44">
        <v>290</v>
      </c>
      <c r="CP44">
        <v>1812.26</v>
      </c>
      <c r="CQ44">
        <v>705</v>
      </c>
      <c r="CR44">
        <v>5154.29</v>
      </c>
      <c r="CS44">
        <v>1812.88</v>
      </c>
      <c r="CT44">
        <v>-0.62</v>
      </c>
      <c r="DH44">
        <f>$B$11*EG44+$C$11*EH44+$F$11*ES44*(1-EV44)</f>
        <v>0</v>
      </c>
      <c r="DI44">
        <f>DH44*DJ44</f>
        <v>0</v>
      </c>
      <c r="DJ44">
        <f>($B$11*$D$9+$C$11*$D$9+$F$11*((FF44+EX44)/MAX(FF44+EX44+FG44, 0.1)*$I$9+FG44/MAX(FF44+EX44+FG44, 0.1)*$J$9))/($B$11+$C$11+$F$11)</f>
        <v>0</v>
      </c>
      <c r="DK44">
        <f>($B$11*$K$9+$C$11*$K$9+$F$11*((FF44+EX44)/MAX(FF44+EX44+FG44, 0.1)*$P$9+FG44/MAX(FF44+EX44+FG44, 0.1)*$Q$9))/($B$11+$C$11+$F$11)</f>
        <v>0</v>
      </c>
      <c r="DL44">
        <v>3.21</v>
      </c>
      <c r="DM44">
        <v>0.5</v>
      </c>
      <c r="DN44" t="s">
        <v>440</v>
      </c>
      <c r="DO44">
        <v>2</v>
      </c>
      <c r="DP44" t="b">
        <v>1</v>
      </c>
      <c r="DQ44">
        <v>1760900602.1</v>
      </c>
      <c r="DR44">
        <v>404.538066666667</v>
      </c>
      <c r="DS44">
        <v>419.996933333333</v>
      </c>
      <c r="DT44">
        <v>16.5481666666667</v>
      </c>
      <c r="DU44">
        <v>13.69606</v>
      </c>
      <c r="DV44">
        <v>402.147466666667</v>
      </c>
      <c r="DW44">
        <v>16.44104</v>
      </c>
      <c r="DX44">
        <v>500.029066666667</v>
      </c>
      <c r="DY44">
        <v>90.8505933333333</v>
      </c>
      <c r="DZ44">
        <v>0.0360865933333333</v>
      </c>
      <c r="EA44">
        <v>24.08406</v>
      </c>
      <c r="EB44">
        <v>24.0047066666667</v>
      </c>
      <c r="EC44">
        <v>999.9</v>
      </c>
      <c r="ED44">
        <v>0</v>
      </c>
      <c r="EE44">
        <v>0</v>
      </c>
      <c r="EF44">
        <v>10010.82</v>
      </c>
      <c r="EG44">
        <v>0</v>
      </c>
      <c r="EH44">
        <v>1312.014</v>
      </c>
      <c r="EI44">
        <v>-15.4588333333333</v>
      </c>
      <c r="EJ44">
        <v>411.345266666667</v>
      </c>
      <c r="EK44">
        <v>425.829133333333</v>
      </c>
      <c r="EL44">
        <v>2.85210266666667</v>
      </c>
      <c r="EM44">
        <v>419.996933333333</v>
      </c>
      <c r="EN44">
        <v>13.69606</v>
      </c>
      <c r="EO44">
        <v>1.50341066666667</v>
      </c>
      <c r="EP44">
        <v>1.244294</v>
      </c>
      <c r="EQ44">
        <v>13.00288</v>
      </c>
      <c r="ER44">
        <v>10.14234</v>
      </c>
      <c r="ES44">
        <v>1199.99933333333</v>
      </c>
      <c r="ET44">
        <v>0.966994266666667</v>
      </c>
      <c r="EU44">
        <v>0.03300572</v>
      </c>
      <c r="EV44">
        <v>0</v>
      </c>
      <c r="EW44">
        <v>1544.15333333333</v>
      </c>
      <c r="EX44">
        <v>5.00059</v>
      </c>
      <c r="EY44">
        <v>18278.4866666667</v>
      </c>
      <c r="EZ44">
        <v>10358.7</v>
      </c>
      <c r="FA44">
        <v>39.1622</v>
      </c>
      <c r="FB44">
        <v>41.0082666666667</v>
      </c>
      <c r="FC44">
        <v>39.479</v>
      </c>
      <c r="FD44">
        <v>40.562</v>
      </c>
      <c r="FE44">
        <v>40.2954666666667</v>
      </c>
      <c r="FF44">
        <v>1155.55933333333</v>
      </c>
      <c r="FG44">
        <v>39.44</v>
      </c>
      <c r="FH44">
        <v>0</v>
      </c>
      <c r="FI44">
        <v>396.200000047684</v>
      </c>
      <c r="FJ44">
        <v>0</v>
      </c>
      <c r="FK44">
        <v>1544.1312</v>
      </c>
      <c r="FL44">
        <v>-1.96999999588083</v>
      </c>
      <c r="FM44">
        <v>-30.3999999053668</v>
      </c>
      <c r="FN44">
        <v>18278.444</v>
      </c>
      <c r="FO44">
        <v>15</v>
      </c>
      <c r="FP44">
        <v>0</v>
      </c>
      <c r="FQ44" t="s">
        <v>441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-15.4599523809524</v>
      </c>
      <c r="GD44">
        <v>0.0201038961038842</v>
      </c>
      <c r="GE44">
        <v>0.0347964915999359</v>
      </c>
      <c r="GF44">
        <v>1</v>
      </c>
      <c r="GG44">
        <v>1544.19205882353</v>
      </c>
      <c r="GH44">
        <v>-1.1475935832177</v>
      </c>
      <c r="GI44">
        <v>0.205880882347679</v>
      </c>
      <c r="GJ44">
        <v>-1</v>
      </c>
      <c r="GK44">
        <v>2.85660380952381</v>
      </c>
      <c r="GL44">
        <v>-0.0864740259740246</v>
      </c>
      <c r="GM44">
        <v>0.0105810097079583</v>
      </c>
      <c r="GN44">
        <v>1</v>
      </c>
      <c r="GO44">
        <v>2</v>
      </c>
      <c r="GP44">
        <v>2</v>
      </c>
      <c r="GQ44" t="s">
        <v>442</v>
      </c>
      <c r="GR44">
        <v>3.12963</v>
      </c>
      <c r="GS44">
        <v>2.71371</v>
      </c>
      <c r="GT44">
        <v>0.0865319</v>
      </c>
      <c r="GU44">
        <v>0.0895914</v>
      </c>
      <c r="GV44">
        <v>0.0784993</v>
      </c>
      <c r="GW44">
        <v>0.0685674</v>
      </c>
      <c r="GX44">
        <v>34221.8</v>
      </c>
      <c r="GY44">
        <v>36483.9</v>
      </c>
      <c r="GZ44">
        <v>33911.4</v>
      </c>
      <c r="HA44">
        <v>36300.4</v>
      </c>
      <c r="HB44">
        <v>44176.9</v>
      </c>
      <c r="HC44">
        <v>48547.5</v>
      </c>
      <c r="HD44">
        <v>52922.2</v>
      </c>
      <c r="HE44">
        <v>58005.7</v>
      </c>
      <c r="HF44">
        <v>1.91925</v>
      </c>
      <c r="HG44">
        <v>1.7668</v>
      </c>
      <c r="HH44">
        <v>-0.0252053</v>
      </c>
      <c r="HI44">
        <v>0</v>
      </c>
      <c r="HJ44">
        <v>24.4385</v>
      </c>
      <c r="HK44">
        <v>999.9</v>
      </c>
      <c r="HL44">
        <v>34.806</v>
      </c>
      <c r="HM44">
        <v>30.111</v>
      </c>
      <c r="HN44">
        <v>16.4265</v>
      </c>
      <c r="HO44">
        <v>55.426</v>
      </c>
      <c r="HP44">
        <v>46.1218</v>
      </c>
      <c r="HQ44">
        <v>1</v>
      </c>
      <c r="HR44">
        <v>0.306095</v>
      </c>
      <c r="HS44">
        <v>5.56192</v>
      </c>
      <c r="HT44">
        <v>20.0523</v>
      </c>
      <c r="HU44">
        <v>5.19932</v>
      </c>
      <c r="HV44">
        <v>12.0099</v>
      </c>
      <c r="HW44">
        <v>4.97575</v>
      </c>
      <c r="HX44">
        <v>3.294</v>
      </c>
      <c r="HY44">
        <v>9999</v>
      </c>
      <c r="HZ44">
        <v>999.9</v>
      </c>
      <c r="IA44">
        <v>9999</v>
      </c>
      <c r="IB44">
        <v>9999</v>
      </c>
      <c r="IC44">
        <v>1.86321</v>
      </c>
      <c r="ID44">
        <v>1.868</v>
      </c>
      <c r="IE44">
        <v>1.86783</v>
      </c>
      <c r="IF44">
        <v>1.86905</v>
      </c>
      <c r="IG44">
        <v>1.86981</v>
      </c>
      <c r="IH44">
        <v>1.86584</v>
      </c>
      <c r="II44">
        <v>1.86691</v>
      </c>
      <c r="IJ44">
        <v>1.86835</v>
      </c>
      <c r="IK44">
        <v>5</v>
      </c>
      <c r="IL44">
        <v>0</v>
      </c>
      <c r="IM44">
        <v>0</v>
      </c>
      <c r="IN44">
        <v>0</v>
      </c>
      <c r="IO44" t="s">
        <v>443</v>
      </c>
      <c r="IP44" t="s">
        <v>444</v>
      </c>
      <c r="IQ44" t="s">
        <v>445</v>
      </c>
      <c r="IR44" t="s">
        <v>445</v>
      </c>
      <c r="IS44" t="s">
        <v>445</v>
      </c>
      <c r="IT44" t="s">
        <v>445</v>
      </c>
      <c r="IU44">
        <v>0</v>
      </c>
      <c r="IV44">
        <v>100</v>
      </c>
      <c r="IW44">
        <v>100</v>
      </c>
      <c r="IX44">
        <v>2.391</v>
      </c>
      <c r="IY44">
        <v>0.1072</v>
      </c>
      <c r="IZ44">
        <v>0.833350075594679</v>
      </c>
      <c r="JA44">
        <v>0.00412825224050377</v>
      </c>
      <c r="JB44">
        <v>-7.34426573386615e-07</v>
      </c>
      <c r="JC44">
        <v>2.46800082545482e-10</v>
      </c>
      <c r="JD44">
        <v>-0.0848433440729365</v>
      </c>
      <c r="JE44">
        <v>-0.0240557196358944</v>
      </c>
      <c r="JF44">
        <v>0.0027855358087715</v>
      </c>
      <c r="JG44">
        <v>-3.72349365099102e-05</v>
      </c>
      <c r="JH44">
        <v>5</v>
      </c>
      <c r="JI44">
        <v>2250</v>
      </c>
      <c r="JJ44">
        <v>0</v>
      </c>
      <c r="JK44">
        <v>24</v>
      </c>
      <c r="JL44">
        <v>29348343.5</v>
      </c>
      <c r="JM44">
        <v>29348343.5</v>
      </c>
      <c r="JN44">
        <v>1.00708</v>
      </c>
      <c r="JO44">
        <v>2.61841</v>
      </c>
      <c r="JP44">
        <v>1.54785</v>
      </c>
      <c r="JQ44">
        <v>2.30957</v>
      </c>
      <c r="JR44">
        <v>1.64551</v>
      </c>
      <c r="JS44">
        <v>2.36206</v>
      </c>
      <c r="JT44">
        <v>33.4232</v>
      </c>
      <c r="JU44">
        <v>24.1751</v>
      </c>
      <c r="JV44">
        <v>18</v>
      </c>
      <c r="JW44">
        <v>505.623</v>
      </c>
      <c r="JX44">
        <v>404.909</v>
      </c>
      <c r="JY44">
        <v>17.1637</v>
      </c>
      <c r="JZ44">
        <v>31.1163</v>
      </c>
      <c r="KA44">
        <v>30.0004</v>
      </c>
      <c r="KB44">
        <v>31.0242</v>
      </c>
      <c r="KC44">
        <v>30.9658</v>
      </c>
      <c r="KD44">
        <v>20.194</v>
      </c>
      <c r="KE44">
        <v>9.38368</v>
      </c>
      <c r="KF44">
        <v>35.924</v>
      </c>
      <c r="KG44">
        <v>17.1456</v>
      </c>
      <c r="KH44">
        <v>420</v>
      </c>
      <c r="KI44">
        <v>13.7669</v>
      </c>
      <c r="KJ44">
        <v>96.1868</v>
      </c>
      <c r="KK44">
        <v>93.9885</v>
      </c>
    </row>
    <row r="45" spans="1:297">
      <c r="A45">
        <v>29</v>
      </c>
      <c r="B45">
        <v>1760900794</v>
      </c>
      <c r="C45">
        <v>7029.90000009537</v>
      </c>
      <c r="D45" t="s">
        <v>563</v>
      </c>
      <c r="E45" t="s">
        <v>564</v>
      </c>
      <c r="F45">
        <v>5</v>
      </c>
      <c r="G45" t="s">
        <v>560</v>
      </c>
      <c r="H45" t="s">
        <v>436</v>
      </c>
      <c r="I45">
        <v>1760900786</v>
      </c>
      <c r="J45">
        <f>(K45)/1000</f>
        <v>0</v>
      </c>
      <c r="K45">
        <f>IF(DP45, AN45, AH45)</f>
        <v>0</v>
      </c>
      <c r="L45">
        <f>IF(DP45, AI45, AG45)</f>
        <v>0</v>
      </c>
      <c r="M45">
        <f>DR45 - IF(AU45&gt;1, L45*DL45*100.0/(AW45), 0)</f>
        <v>0</v>
      </c>
      <c r="N45">
        <f>((T45-J45/2)*M45-L45)/(T45+J45/2)</f>
        <v>0</v>
      </c>
      <c r="O45">
        <f>N45*(DY45+DZ45)/1000.0</f>
        <v>0</v>
      </c>
      <c r="P45">
        <f>(DR45 - IF(AU45&gt;1, L45*DL45*100.0/(AW45), 0))*(DY45+DZ45)/1000.0</f>
        <v>0</v>
      </c>
      <c r="Q45">
        <f>2.0/((1/S45-1/R45)+SIGN(S45)*SQRT((1/S45-1/R45)*(1/S45-1/R45) + 4*DM45/((DM45+1)*(DM45+1))*(2*1/S45*1/R45-1/R45*1/R45)))</f>
        <v>0</v>
      </c>
      <c r="R45">
        <f>IF(LEFT(DN45,1)&lt;&gt;"0",IF(LEFT(DN45,1)="1",3.0,DO45),$D$5+$E$5*(EF45*DY45/($K$5*1000))+$F$5*(EF45*DY45/($K$5*1000))*MAX(MIN(DL45,$J$5),$I$5)*MAX(MIN(DL45,$J$5),$I$5)+$G$5*MAX(MIN(DL45,$J$5),$I$5)*(EF45*DY45/($K$5*1000))+$H$5*(EF45*DY45/($K$5*1000))*(EF45*DY45/($K$5*1000)))</f>
        <v>0</v>
      </c>
      <c r="S45">
        <f>J45*(1000-(1000*0.61365*exp(17.502*W45/(240.97+W45))/(DY45+DZ45)+DT45)/2)/(1000*0.61365*exp(17.502*W45/(240.97+W45))/(DY45+DZ45)-DT45)</f>
        <v>0</v>
      </c>
      <c r="T45">
        <f>1/((DM45+1)/(Q45/1.6)+1/(R45/1.37)) + DM45/((DM45+1)/(Q45/1.6) + DM45/(R45/1.37))</f>
        <v>0</v>
      </c>
      <c r="U45">
        <f>(DH45*DK45)</f>
        <v>0</v>
      </c>
      <c r="V45">
        <f>(EA45+(U45+2*0.95*5.67E-8*(((EA45+$B$7)+273)^4-(EA45+273)^4)-44100*J45)/(1.84*29.3*R45+8*0.95*5.67E-8*(EA45+273)^3))</f>
        <v>0</v>
      </c>
      <c r="W45">
        <f>($C$7*EB45+$D$7*EC45+$E$7*V45)</f>
        <v>0</v>
      </c>
      <c r="X45">
        <f>0.61365*exp(17.502*W45/(240.97+W45))</f>
        <v>0</v>
      </c>
      <c r="Y45">
        <f>(Z45/AA45*100)</f>
        <v>0</v>
      </c>
      <c r="Z45">
        <f>DT45*(DY45+DZ45)/1000</f>
        <v>0</v>
      </c>
      <c r="AA45">
        <f>0.61365*exp(17.502*EA45/(240.97+EA45))</f>
        <v>0</v>
      </c>
      <c r="AB45">
        <f>(X45-DT45*(DY45+DZ45)/1000)</f>
        <v>0</v>
      </c>
      <c r="AC45">
        <f>(-J45*44100)</f>
        <v>0</v>
      </c>
      <c r="AD45">
        <f>2*29.3*R45*0.92*(EA45-W45)</f>
        <v>0</v>
      </c>
      <c r="AE45">
        <f>2*0.95*5.67E-8*(((EA45+$B$7)+273)^4-(W45+273)^4)</f>
        <v>0</v>
      </c>
      <c r="AF45">
        <f>U45+AE45+AC45+AD45</f>
        <v>0</v>
      </c>
      <c r="AG45">
        <f>DX45*AU45*(DS45-DR45*(1000-AU45*DU45)/(1000-AU45*DT45))/(100*DL45)</f>
        <v>0</v>
      </c>
      <c r="AH45">
        <f>1000*DX45*AU45*(DT45-DU45)/(100*DL45*(1000-AU45*DT45))</f>
        <v>0</v>
      </c>
      <c r="AI45">
        <f>(AJ45 - AK45 - DY45*1E3/(8.314*(EA45+273.15)) * AM45/DX45 * AL45) * DX45/(100*DL45) * (1000 - DU45)/1000</f>
        <v>0</v>
      </c>
      <c r="AJ45">
        <v>425.837176126125</v>
      </c>
      <c r="AK45">
        <v>411.181145454545</v>
      </c>
      <c r="AL45">
        <v>-0.000782685055052407</v>
      </c>
      <c r="AM45">
        <v>65.0263947337293</v>
      </c>
      <c r="AN45">
        <f>(AP45 - AO45 + DY45*1E3/(8.314*(EA45+273.15)) * AR45/DX45 * AQ45) * DX45/(100*DL45) * 1000/(1000 - AP45)</f>
        <v>0</v>
      </c>
      <c r="AO45">
        <v>13.6687588424195</v>
      </c>
      <c r="AP45">
        <v>16.4842278787879</v>
      </c>
      <c r="AQ45">
        <v>-0.000140565002703438</v>
      </c>
      <c r="AR45">
        <v>117.032932634346</v>
      </c>
      <c r="AS45">
        <v>0</v>
      </c>
      <c r="AT45">
        <v>0</v>
      </c>
      <c r="AU45">
        <f>IF(AS45*$H$13&gt;=AW45,1.0,(AW45/(AW45-AS45*$H$13)))</f>
        <v>0</v>
      </c>
      <c r="AV45">
        <f>(AU45-1)*100</f>
        <v>0</v>
      </c>
      <c r="AW45">
        <f>MAX(0,($B$13+$C$13*EF45)/(1+$D$13*EF45)*DY45/(EA45+273)*$E$13)</f>
        <v>0</v>
      </c>
      <c r="AX45" t="s">
        <v>437</v>
      </c>
      <c r="AY45">
        <v>5082.33</v>
      </c>
      <c r="AZ45">
        <v>690.032</v>
      </c>
      <c r="BA45">
        <v>1612.68</v>
      </c>
      <c r="BB45">
        <f>1-AZ45/BA45</f>
        <v>0</v>
      </c>
      <c r="BC45">
        <v>-9.7270689171713</v>
      </c>
      <c r="BD45" t="s">
        <v>565</v>
      </c>
      <c r="BE45">
        <v>5155.07</v>
      </c>
      <c r="BF45">
        <v>1540.246</v>
      </c>
      <c r="BG45">
        <v>1905.92888359592</v>
      </c>
      <c r="BH45">
        <f>1-BF45/BG45</f>
        <v>0</v>
      </c>
      <c r="BI45">
        <v>0.5</v>
      </c>
      <c r="BJ45">
        <f>DI45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566</v>
      </c>
      <c r="BQ45">
        <v>796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BZ45">
        <v>152</v>
      </c>
      <c r="CA45">
        <v>290</v>
      </c>
      <c r="CB45">
        <v>1808.98</v>
      </c>
      <c r="CC45">
        <v>295</v>
      </c>
      <c r="CD45">
        <v>5155.07</v>
      </c>
      <c r="CE45">
        <v>1808.34</v>
      </c>
      <c r="CF45">
        <v>0.64</v>
      </c>
      <c r="CG45">
        <v>300</v>
      </c>
      <c r="CH45">
        <v>23.7</v>
      </c>
      <c r="CI45">
        <v>1905.92888359592</v>
      </c>
      <c r="CJ45">
        <v>2.6513653853342</v>
      </c>
      <c r="CK45">
        <v>-50.3061456958836</v>
      </c>
      <c r="CL45">
        <v>1.23009739079111</v>
      </c>
      <c r="CM45">
        <v>0.983534141550362</v>
      </c>
      <c r="CN45">
        <v>-0.00324999087875417</v>
      </c>
      <c r="CO45">
        <v>290</v>
      </c>
      <c r="CP45">
        <v>1807.04</v>
      </c>
      <c r="CQ45">
        <v>665</v>
      </c>
      <c r="CR45">
        <v>5154.23</v>
      </c>
      <c r="CS45">
        <v>1808.33</v>
      </c>
      <c r="CT45">
        <v>-1.29</v>
      </c>
      <c r="DH45">
        <f>$B$11*EG45+$C$11*EH45+$F$11*ES45*(1-EV45)</f>
        <v>0</v>
      </c>
      <c r="DI45">
        <f>DH45*DJ45</f>
        <v>0</v>
      </c>
      <c r="DJ45">
        <f>($B$11*$D$9+$C$11*$D$9+$F$11*((FF45+EX45)/MAX(FF45+EX45+FG45, 0.1)*$I$9+FG45/MAX(FF45+EX45+FG45, 0.1)*$J$9))/($B$11+$C$11+$F$11)</f>
        <v>0</v>
      </c>
      <c r="DK45">
        <f>($B$11*$K$9+$C$11*$K$9+$F$11*((FF45+EX45)/MAX(FF45+EX45+FG45, 0.1)*$P$9+FG45/MAX(FF45+EX45+FG45, 0.1)*$Q$9))/($B$11+$C$11+$F$11)</f>
        <v>0</v>
      </c>
      <c r="DL45">
        <v>3.21</v>
      </c>
      <c r="DM45">
        <v>0.5</v>
      </c>
      <c r="DN45" t="s">
        <v>440</v>
      </c>
      <c r="DO45">
        <v>2</v>
      </c>
      <c r="DP45" t="b">
        <v>1</v>
      </c>
      <c r="DQ45">
        <v>1760900786</v>
      </c>
      <c r="DR45">
        <v>404.4062</v>
      </c>
      <c r="DS45">
        <v>420.016</v>
      </c>
      <c r="DT45">
        <v>16.4937133333333</v>
      </c>
      <c r="DU45">
        <v>13.6734266666667</v>
      </c>
      <c r="DV45">
        <v>402.016066666667</v>
      </c>
      <c r="DW45">
        <v>16.3885266666667</v>
      </c>
      <c r="DX45">
        <v>500.0248</v>
      </c>
      <c r="DY45">
        <v>90.83268</v>
      </c>
      <c r="DZ45">
        <v>0.03616106</v>
      </c>
      <c r="EA45">
        <v>24.0034333333333</v>
      </c>
      <c r="EB45">
        <v>24.0230133333333</v>
      </c>
      <c r="EC45">
        <v>999.9</v>
      </c>
      <c r="ED45">
        <v>0</v>
      </c>
      <c r="EE45">
        <v>0</v>
      </c>
      <c r="EF45">
        <v>10005.3266666667</v>
      </c>
      <c r="EG45">
        <v>0</v>
      </c>
      <c r="EH45">
        <v>1311.884</v>
      </c>
      <c r="EI45">
        <v>-15.6097666666667</v>
      </c>
      <c r="EJ45">
        <v>411.188333333333</v>
      </c>
      <c r="EK45">
        <v>425.8388</v>
      </c>
      <c r="EL45">
        <v>2.82029</v>
      </c>
      <c r="EM45">
        <v>420.016</v>
      </c>
      <c r="EN45">
        <v>13.6734266666667</v>
      </c>
      <c r="EO45">
        <v>1.49816733333333</v>
      </c>
      <c r="EP45">
        <v>1.241994</v>
      </c>
      <c r="EQ45">
        <v>12.9494666666667</v>
      </c>
      <c r="ER45">
        <v>10.11464</v>
      </c>
      <c r="ES45">
        <v>1200.00666666667</v>
      </c>
      <c r="ET45">
        <v>0.9669966</v>
      </c>
      <c r="EU45">
        <v>0.0330034266666667</v>
      </c>
      <c r="EV45">
        <v>0</v>
      </c>
      <c r="EW45">
        <v>1540.27733333333</v>
      </c>
      <c r="EX45">
        <v>5.00059</v>
      </c>
      <c r="EY45">
        <v>18243.1133333333</v>
      </c>
      <c r="EZ45">
        <v>10358.76</v>
      </c>
      <c r="FA45">
        <v>39.2665333333333</v>
      </c>
      <c r="FB45">
        <v>41.125</v>
      </c>
      <c r="FC45">
        <v>39.5704</v>
      </c>
      <c r="FD45">
        <v>40.687</v>
      </c>
      <c r="FE45">
        <v>40.3915333333333</v>
      </c>
      <c r="FF45">
        <v>1155.56666666667</v>
      </c>
      <c r="FG45">
        <v>39.44</v>
      </c>
      <c r="FH45">
        <v>0</v>
      </c>
      <c r="FI45">
        <v>180.400000095367</v>
      </c>
      <c r="FJ45">
        <v>0</v>
      </c>
      <c r="FK45">
        <v>1540.246</v>
      </c>
      <c r="FL45">
        <v>0.690769231628927</v>
      </c>
      <c r="FM45">
        <v>21.8846154243874</v>
      </c>
      <c r="FN45">
        <v>18243.336</v>
      </c>
      <c r="FO45">
        <v>15</v>
      </c>
      <c r="FP45">
        <v>0</v>
      </c>
      <c r="FQ45" t="s">
        <v>441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-15.6078571428571</v>
      </c>
      <c r="GD45">
        <v>0.0624155844155803</v>
      </c>
      <c r="GE45">
        <v>0.0372795816886989</v>
      </c>
      <c r="GF45">
        <v>1</v>
      </c>
      <c r="GG45">
        <v>1540.08235294118</v>
      </c>
      <c r="GH45">
        <v>2.28357524409625</v>
      </c>
      <c r="GI45">
        <v>0.315352825965262</v>
      </c>
      <c r="GJ45">
        <v>-1</v>
      </c>
      <c r="GK45">
        <v>2.82318238095238</v>
      </c>
      <c r="GL45">
        <v>-0.050476363636365</v>
      </c>
      <c r="GM45">
        <v>0.00524829759678312</v>
      </c>
      <c r="GN45">
        <v>1</v>
      </c>
      <c r="GO45">
        <v>2</v>
      </c>
      <c r="GP45">
        <v>2</v>
      </c>
      <c r="GQ45" t="s">
        <v>442</v>
      </c>
      <c r="GR45">
        <v>3.1295</v>
      </c>
      <c r="GS45">
        <v>2.71418</v>
      </c>
      <c r="GT45">
        <v>0.086485</v>
      </c>
      <c r="GU45">
        <v>0.089563</v>
      </c>
      <c r="GV45">
        <v>0.0782413</v>
      </c>
      <c r="GW45">
        <v>0.0684275</v>
      </c>
      <c r="GX45">
        <v>34219.6</v>
      </c>
      <c r="GY45">
        <v>36480.9</v>
      </c>
      <c r="GZ45">
        <v>33907.8</v>
      </c>
      <c r="HA45">
        <v>36296.6</v>
      </c>
      <c r="HB45">
        <v>44185.4</v>
      </c>
      <c r="HC45">
        <v>48550.1</v>
      </c>
      <c r="HD45">
        <v>52917.3</v>
      </c>
      <c r="HE45">
        <v>58000.1</v>
      </c>
      <c r="HF45">
        <v>1.91852</v>
      </c>
      <c r="HG45">
        <v>1.76653</v>
      </c>
      <c r="HH45">
        <v>-0.0241697</v>
      </c>
      <c r="HI45">
        <v>0</v>
      </c>
      <c r="HJ45">
        <v>24.4147</v>
      </c>
      <c r="HK45">
        <v>999.9</v>
      </c>
      <c r="HL45">
        <v>34.855</v>
      </c>
      <c r="HM45">
        <v>30.101</v>
      </c>
      <c r="HN45">
        <v>16.4426</v>
      </c>
      <c r="HO45">
        <v>55.506</v>
      </c>
      <c r="HP45">
        <v>46.1378</v>
      </c>
      <c r="HQ45">
        <v>1</v>
      </c>
      <c r="HR45">
        <v>0.312208</v>
      </c>
      <c r="HS45">
        <v>5.91435</v>
      </c>
      <c r="HT45">
        <v>20.0407</v>
      </c>
      <c r="HU45">
        <v>5.19812</v>
      </c>
      <c r="HV45">
        <v>12.0099</v>
      </c>
      <c r="HW45">
        <v>4.97525</v>
      </c>
      <c r="HX45">
        <v>3.294</v>
      </c>
      <c r="HY45">
        <v>9999</v>
      </c>
      <c r="HZ45">
        <v>999.9</v>
      </c>
      <c r="IA45">
        <v>9999</v>
      </c>
      <c r="IB45">
        <v>9999</v>
      </c>
      <c r="IC45">
        <v>1.8632</v>
      </c>
      <c r="ID45">
        <v>1.86799</v>
      </c>
      <c r="IE45">
        <v>1.86783</v>
      </c>
      <c r="IF45">
        <v>1.86902</v>
      </c>
      <c r="IG45">
        <v>1.86981</v>
      </c>
      <c r="IH45">
        <v>1.86584</v>
      </c>
      <c r="II45">
        <v>1.86691</v>
      </c>
      <c r="IJ45">
        <v>1.86834</v>
      </c>
      <c r="IK45">
        <v>5</v>
      </c>
      <c r="IL45">
        <v>0</v>
      </c>
      <c r="IM45">
        <v>0</v>
      </c>
      <c r="IN45">
        <v>0</v>
      </c>
      <c r="IO45" t="s">
        <v>443</v>
      </c>
      <c r="IP45" t="s">
        <v>444</v>
      </c>
      <c r="IQ45" t="s">
        <v>445</v>
      </c>
      <c r="IR45" t="s">
        <v>445</v>
      </c>
      <c r="IS45" t="s">
        <v>445</v>
      </c>
      <c r="IT45" t="s">
        <v>445</v>
      </c>
      <c r="IU45">
        <v>0</v>
      </c>
      <c r="IV45">
        <v>100</v>
      </c>
      <c r="IW45">
        <v>100</v>
      </c>
      <c r="IX45">
        <v>2.391</v>
      </c>
      <c r="IY45">
        <v>0.1048</v>
      </c>
      <c r="IZ45">
        <v>0.833350075594679</v>
      </c>
      <c r="JA45">
        <v>0.00412825224050377</v>
      </c>
      <c r="JB45">
        <v>-7.34426573386615e-07</v>
      </c>
      <c r="JC45">
        <v>2.46800082545482e-10</v>
      </c>
      <c r="JD45">
        <v>-0.0848433440729365</v>
      </c>
      <c r="JE45">
        <v>-0.0240557196358944</v>
      </c>
      <c r="JF45">
        <v>0.0027855358087715</v>
      </c>
      <c r="JG45">
        <v>-3.72349365099102e-05</v>
      </c>
      <c r="JH45">
        <v>5</v>
      </c>
      <c r="JI45">
        <v>2250</v>
      </c>
      <c r="JJ45">
        <v>0</v>
      </c>
      <c r="JK45">
        <v>24</v>
      </c>
      <c r="JL45">
        <v>29348346.6</v>
      </c>
      <c r="JM45">
        <v>29348346.6</v>
      </c>
      <c r="JN45">
        <v>1.0083</v>
      </c>
      <c r="JO45">
        <v>2.62939</v>
      </c>
      <c r="JP45">
        <v>1.54785</v>
      </c>
      <c r="JQ45">
        <v>2.30957</v>
      </c>
      <c r="JR45">
        <v>1.64673</v>
      </c>
      <c r="JS45">
        <v>2.2937</v>
      </c>
      <c r="JT45">
        <v>33.3784</v>
      </c>
      <c r="JU45">
        <v>24.1663</v>
      </c>
      <c r="JV45">
        <v>18</v>
      </c>
      <c r="JW45">
        <v>505.593</v>
      </c>
      <c r="JX45">
        <v>405.11</v>
      </c>
      <c r="JY45">
        <v>16.8357</v>
      </c>
      <c r="JZ45">
        <v>31.1676</v>
      </c>
      <c r="KA45">
        <v>30.0003</v>
      </c>
      <c r="KB45">
        <v>31.0786</v>
      </c>
      <c r="KC45">
        <v>31.02</v>
      </c>
      <c r="KD45">
        <v>20.1974</v>
      </c>
      <c r="KE45">
        <v>10.2615</v>
      </c>
      <c r="KF45">
        <v>36.2995</v>
      </c>
      <c r="KG45">
        <v>16.831</v>
      </c>
      <c r="KH45">
        <v>420</v>
      </c>
      <c r="KI45">
        <v>13.6573</v>
      </c>
      <c r="KJ45">
        <v>96.1774</v>
      </c>
      <c r="KK45">
        <v>93.979</v>
      </c>
    </row>
    <row r="46" spans="1:297">
      <c r="A46">
        <v>30</v>
      </c>
      <c r="B46">
        <v>1760900986</v>
      </c>
      <c r="C46">
        <v>7221.90000009537</v>
      </c>
      <c r="D46" t="s">
        <v>567</v>
      </c>
      <c r="E46" t="s">
        <v>568</v>
      </c>
      <c r="F46">
        <v>5</v>
      </c>
      <c r="G46" t="s">
        <v>560</v>
      </c>
      <c r="H46" t="s">
        <v>436</v>
      </c>
      <c r="I46">
        <v>1760900978</v>
      </c>
      <c r="J46">
        <f>(K46)/1000</f>
        <v>0</v>
      </c>
      <c r="K46">
        <f>IF(DP46, AN46, AH46)</f>
        <v>0</v>
      </c>
      <c r="L46">
        <f>IF(DP46, AI46, AG46)</f>
        <v>0</v>
      </c>
      <c r="M46">
        <f>DR46 - IF(AU46&gt;1, L46*DL46*100.0/(AW46), 0)</f>
        <v>0</v>
      </c>
      <c r="N46">
        <f>((T46-J46/2)*M46-L46)/(T46+J46/2)</f>
        <v>0</v>
      </c>
      <c r="O46">
        <f>N46*(DY46+DZ46)/1000.0</f>
        <v>0</v>
      </c>
      <c r="P46">
        <f>(DR46 - IF(AU46&gt;1, L46*DL46*100.0/(AW46), 0))*(DY46+DZ46)/1000.0</f>
        <v>0</v>
      </c>
      <c r="Q46">
        <f>2.0/((1/S46-1/R46)+SIGN(S46)*SQRT((1/S46-1/R46)*(1/S46-1/R46) + 4*DM46/((DM46+1)*(DM46+1))*(2*1/S46*1/R46-1/R46*1/R46)))</f>
        <v>0</v>
      </c>
      <c r="R46">
        <f>IF(LEFT(DN46,1)&lt;&gt;"0",IF(LEFT(DN46,1)="1",3.0,DO46),$D$5+$E$5*(EF46*DY46/($K$5*1000))+$F$5*(EF46*DY46/($K$5*1000))*MAX(MIN(DL46,$J$5),$I$5)*MAX(MIN(DL46,$J$5),$I$5)+$G$5*MAX(MIN(DL46,$J$5),$I$5)*(EF46*DY46/($K$5*1000))+$H$5*(EF46*DY46/($K$5*1000))*(EF46*DY46/($K$5*1000)))</f>
        <v>0</v>
      </c>
      <c r="S46">
        <f>J46*(1000-(1000*0.61365*exp(17.502*W46/(240.97+W46))/(DY46+DZ46)+DT46)/2)/(1000*0.61365*exp(17.502*W46/(240.97+W46))/(DY46+DZ46)-DT46)</f>
        <v>0</v>
      </c>
      <c r="T46">
        <f>1/((DM46+1)/(Q46/1.6)+1/(R46/1.37)) + DM46/((DM46+1)/(Q46/1.6) + DM46/(R46/1.37))</f>
        <v>0</v>
      </c>
      <c r="U46">
        <f>(DH46*DK46)</f>
        <v>0</v>
      </c>
      <c r="V46">
        <f>(EA46+(U46+2*0.95*5.67E-8*(((EA46+$B$7)+273)^4-(EA46+273)^4)-44100*J46)/(1.84*29.3*R46+8*0.95*5.67E-8*(EA46+273)^3))</f>
        <v>0</v>
      </c>
      <c r="W46">
        <f>($C$7*EB46+$D$7*EC46+$E$7*V46)</f>
        <v>0</v>
      </c>
      <c r="X46">
        <f>0.61365*exp(17.502*W46/(240.97+W46))</f>
        <v>0</v>
      </c>
      <c r="Y46">
        <f>(Z46/AA46*100)</f>
        <v>0</v>
      </c>
      <c r="Z46">
        <f>DT46*(DY46+DZ46)/1000</f>
        <v>0</v>
      </c>
      <c r="AA46">
        <f>0.61365*exp(17.502*EA46/(240.97+EA46))</f>
        <v>0</v>
      </c>
      <c r="AB46">
        <f>(X46-DT46*(DY46+DZ46)/1000)</f>
        <v>0</v>
      </c>
      <c r="AC46">
        <f>(-J46*44100)</f>
        <v>0</v>
      </c>
      <c r="AD46">
        <f>2*29.3*R46*0.92*(EA46-W46)</f>
        <v>0</v>
      </c>
      <c r="AE46">
        <f>2*0.95*5.67E-8*(((EA46+$B$7)+273)^4-(W46+273)^4)</f>
        <v>0</v>
      </c>
      <c r="AF46">
        <f>U46+AE46+AC46+AD46</f>
        <v>0</v>
      </c>
      <c r="AG46">
        <f>DX46*AU46*(DS46-DR46*(1000-AU46*DU46)/(1000-AU46*DT46))/(100*DL46)</f>
        <v>0</v>
      </c>
      <c r="AH46">
        <f>1000*DX46*AU46*(DT46-DU46)/(100*DL46*(1000-AU46*DT46))</f>
        <v>0</v>
      </c>
      <c r="AI46">
        <f>(AJ46 - AK46 - DY46*1E3/(8.314*(EA46+273.15)) * AM46/DX46 * AL46) * DX46/(100*DL46) * (1000 - DU46)/1000</f>
        <v>0</v>
      </c>
      <c r="AJ46">
        <v>425.773711624782</v>
      </c>
      <c r="AK46">
        <v>410.981272727273</v>
      </c>
      <c r="AL46">
        <v>0.00190849748298823</v>
      </c>
      <c r="AM46">
        <v>65.0263947337293</v>
      </c>
      <c r="AN46">
        <f>(AP46 - AO46 + DY46*1E3/(8.314*(EA46+273.15)) * AR46/DX46 * AQ46) * DX46/(100*DL46) * 1000/(1000 - AP46)</f>
        <v>0</v>
      </c>
      <c r="AO46">
        <v>13.5124611639496</v>
      </c>
      <c r="AP46">
        <v>16.4822775757576</v>
      </c>
      <c r="AQ46">
        <v>4.05108553246538e-05</v>
      </c>
      <c r="AR46">
        <v>117.032932634346</v>
      </c>
      <c r="AS46">
        <v>0</v>
      </c>
      <c r="AT46">
        <v>0</v>
      </c>
      <c r="AU46">
        <f>IF(AS46*$H$13&gt;=AW46,1.0,(AW46/(AW46-AS46*$H$13)))</f>
        <v>0</v>
      </c>
      <c r="AV46">
        <f>(AU46-1)*100</f>
        <v>0</v>
      </c>
      <c r="AW46">
        <f>MAX(0,($B$13+$C$13*EF46)/(1+$D$13*EF46)*DY46/(EA46+273)*$E$13)</f>
        <v>0</v>
      </c>
      <c r="AX46" t="s">
        <v>437</v>
      </c>
      <c r="AY46">
        <v>5082.33</v>
      </c>
      <c r="AZ46">
        <v>690.032</v>
      </c>
      <c r="BA46">
        <v>1612.68</v>
      </c>
      <c r="BB46">
        <f>1-AZ46/BA46</f>
        <v>0</v>
      </c>
      <c r="BC46">
        <v>-9.7270689171713</v>
      </c>
      <c r="BD46" t="s">
        <v>569</v>
      </c>
      <c r="BE46">
        <v>5157.05</v>
      </c>
      <c r="BF46">
        <v>1532.2912</v>
      </c>
      <c r="BG46">
        <v>1892.74643438438</v>
      </c>
      <c r="BH46">
        <f>1-BF46/BG46</f>
        <v>0</v>
      </c>
      <c r="BI46">
        <v>0.5</v>
      </c>
      <c r="BJ46">
        <f>DI46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570</v>
      </c>
      <c r="BQ46">
        <v>807.73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BZ46">
        <v>154</v>
      </c>
      <c r="CA46">
        <v>290</v>
      </c>
      <c r="CB46">
        <v>1798.33</v>
      </c>
      <c r="CC46">
        <v>125</v>
      </c>
      <c r="CD46">
        <v>5157.05</v>
      </c>
      <c r="CE46">
        <v>1797.63</v>
      </c>
      <c r="CF46">
        <v>0.7</v>
      </c>
      <c r="CG46">
        <v>300</v>
      </c>
      <c r="CH46">
        <v>23.7</v>
      </c>
      <c r="CI46">
        <v>1892.74643438438</v>
      </c>
      <c r="CJ46">
        <v>2.16731102118623</v>
      </c>
      <c r="CK46">
        <v>-49.0517869215771</v>
      </c>
      <c r="CL46">
        <v>1.00547396149784</v>
      </c>
      <c r="CM46">
        <v>0.988371856244055</v>
      </c>
      <c r="CN46">
        <v>-0.00324982447163516</v>
      </c>
      <c r="CO46">
        <v>290</v>
      </c>
      <c r="CP46">
        <v>1796.16</v>
      </c>
      <c r="CQ46">
        <v>655</v>
      </c>
      <c r="CR46">
        <v>5154.06</v>
      </c>
      <c r="CS46">
        <v>1797.58</v>
      </c>
      <c r="CT46">
        <v>-1.42</v>
      </c>
      <c r="DH46">
        <f>$B$11*EG46+$C$11*EH46+$F$11*ES46*(1-EV46)</f>
        <v>0</v>
      </c>
      <c r="DI46">
        <f>DH46*DJ46</f>
        <v>0</v>
      </c>
      <c r="DJ46">
        <f>($B$11*$D$9+$C$11*$D$9+$F$11*((FF46+EX46)/MAX(FF46+EX46+FG46, 0.1)*$I$9+FG46/MAX(FF46+EX46+FG46, 0.1)*$J$9))/($B$11+$C$11+$F$11)</f>
        <v>0</v>
      </c>
      <c r="DK46">
        <f>($B$11*$K$9+$C$11*$K$9+$F$11*((FF46+EX46)/MAX(FF46+EX46+FG46, 0.1)*$P$9+FG46/MAX(FF46+EX46+FG46, 0.1)*$Q$9))/($B$11+$C$11+$F$11)</f>
        <v>0</v>
      </c>
      <c r="DL46">
        <v>3.21</v>
      </c>
      <c r="DM46">
        <v>0.5</v>
      </c>
      <c r="DN46" t="s">
        <v>440</v>
      </c>
      <c r="DO46">
        <v>2</v>
      </c>
      <c r="DP46" t="b">
        <v>1</v>
      </c>
      <c r="DQ46">
        <v>1760900978</v>
      </c>
      <c r="DR46">
        <v>404.179466666667</v>
      </c>
      <c r="DS46">
        <v>420.008866666667</v>
      </c>
      <c r="DT46">
        <v>16.4735</v>
      </c>
      <c r="DU46">
        <v>13.5168266666667</v>
      </c>
      <c r="DV46">
        <v>401.790066666667</v>
      </c>
      <c r="DW46">
        <v>16.3690466666667</v>
      </c>
      <c r="DX46">
        <v>500.031466666667</v>
      </c>
      <c r="DY46">
        <v>90.8257933333333</v>
      </c>
      <c r="DZ46">
        <v>0.03623262</v>
      </c>
      <c r="EA46">
        <v>23.95054</v>
      </c>
      <c r="EB46">
        <v>23.98794</v>
      </c>
      <c r="EC46">
        <v>999.9</v>
      </c>
      <c r="ED46">
        <v>0</v>
      </c>
      <c r="EE46">
        <v>0</v>
      </c>
      <c r="EF46">
        <v>10005.8833333333</v>
      </c>
      <c r="EG46">
        <v>0</v>
      </c>
      <c r="EH46">
        <v>1311.84866666667</v>
      </c>
      <c r="EI46">
        <v>-15.8293733333333</v>
      </c>
      <c r="EJ46">
        <v>410.949266666667</v>
      </c>
      <c r="EK46">
        <v>425.763733333333</v>
      </c>
      <c r="EL46">
        <v>2.95666733333333</v>
      </c>
      <c r="EM46">
        <v>420.008866666667</v>
      </c>
      <c r="EN46">
        <v>13.5168266666667</v>
      </c>
      <c r="EO46">
        <v>1.496218</v>
      </c>
      <c r="EP46">
        <v>1.227676</v>
      </c>
      <c r="EQ46">
        <v>12.9295666666667</v>
      </c>
      <c r="ER46">
        <v>9.941458</v>
      </c>
      <c r="ES46">
        <v>1200.01266666667</v>
      </c>
      <c r="ET46">
        <v>0.966998266666667</v>
      </c>
      <c r="EU46">
        <v>0.0330017466666667</v>
      </c>
      <c r="EV46">
        <v>0</v>
      </c>
      <c r="EW46">
        <v>1532.32133333333</v>
      </c>
      <c r="EX46">
        <v>5.00059</v>
      </c>
      <c r="EY46">
        <v>18158.6133333333</v>
      </c>
      <c r="EZ46">
        <v>10358.82</v>
      </c>
      <c r="FA46">
        <v>39.375</v>
      </c>
      <c r="FB46">
        <v>41.187</v>
      </c>
      <c r="FC46">
        <v>39.6746</v>
      </c>
      <c r="FD46">
        <v>40.75</v>
      </c>
      <c r="FE46">
        <v>40.4622</v>
      </c>
      <c r="FF46">
        <v>1155.57266666667</v>
      </c>
      <c r="FG46">
        <v>39.44</v>
      </c>
      <c r="FH46">
        <v>0</v>
      </c>
      <c r="FI46">
        <v>188.600000143051</v>
      </c>
      <c r="FJ46">
        <v>0</v>
      </c>
      <c r="FK46">
        <v>1532.2912</v>
      </c>
      <c r="FL46">
        <v>-1.30000000317302</v>
      </c>
      <c r="FM46">
        <v>-17.6769229984184</v>
      </c>
      <c r="FN46">
        <v>18158.256</v>
      </c>
      <c r="FO46">
        <v>15</v>
      </c>
      <c r="FP46">
        <v>0</v>
      </c>
      <c r="FQ46" t="s">
        <v>441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-15.8321047619048</v>
      </c>
      <c r="GD46">
        <v>-0.0511792207792121</v>
      </c>
      <c r="GE46">
        <v>0.0345856077442418</v>
      </c>
      <c r="GF46">
        <v>1</v>
      </c>
      <c r="GG46">
        <v>1532.42882352941</v>
      </c>
      <c r="GH46">
        <v>-1.69503438032766</v>
      </c>
      <c r="GI46">
        <v>0.245952705949784</v>
      </c>
      <c r="GJ46">
        <v>-1</v>
      </c>
      <c r="GK46">
        <v>2.95128285714286</v>
      </c>
      <c r="GL46">
        <v>0.108813506493507</v>
      </c>
      <c r="GM46">
        <v>0.0110412793180678</v>
      </c>
      <c r="GN46">
        <v>0</v>
      </c>
      <c r="GO46">
        <v>1</v>
      </c>
      <c r="GP46">
        <v>2</v>
      </c>
      <c r="GQ46" t="s">
        <v>454</v>
      </c>
      <c r="GR46">
        <v>3.12967</v>
      </c>
      <c r="GS46">
        <v>2.71433</v>
      </c>
      <c r="GT46">
        <v>0.086427</v>
      </c>
      <c r="GU46">
        <v>0.0895512</v>
      </c>
      <c r="GV46">
        <v>0.0782197</v>
      </c>
      <c r="GW46">
        <v>0.0678158</v>
      </c>
      <c r="GX46">
        <v>34220.1</v>
      </c>
      <c r="GY46">
        <v>36479</v>
      </c>
      <c r="GZ46">
        <v>33906.3</v>
      </c>
      <c r="HA46">
        <v>36294.4</v>
      </c>
      <c r="HB46">
        <v>44184.9</v>
      </c>
      <c r="HC46">
        <v>48579.5</v>
      </c>
      <c r="HD46">
        <v>52915.5</v>
      </c>
      <c r="HE46">
        <v>57997</v>
      </c>
      <c r="HF46">
        <v>1.91807</v>
      </c>
      <c r="HG46">
        <v>1.76623</v>
      </c>
      <c r="HH46">
        <v>-0.0231937</v>
      </c>
      <c r="HI46">
        <v>0</v>
      </c>
      <c r="HJ46">
        <v>24.379</v>
      </c>
      <c r="HK46">
        <v>999.9</v>
      </c>
      <c r="HL46">
        <v>34.678</v>
      </c>
      <c r="HM46">
        <v>30.051</v>
      </c>
      <c r="HN46">
        <v>16.3152</v>
      </c>
      <c r="HO46">
        <v>55.6261</v>
      </c>
      <c r="HP46">
        <v>45.9495</v>
      </c>
      <c r="HQ46">
        <v>1</v>
      </c>
      <c r="HR46">
        <v>0.313509</v>
      </c>
      <c r="HS46">
        <v>5.58018</v>
      </c>
      <c r="HT46">
        <v>20.0521</v>
      </c>
      <c r="HU46">
        <v>5.19677</v>
      </c>
      <c r="HV46">
        <v>12.0099</v>
      </c>
      <c r="HW46">
        <v>4.974</v>
      </c>
      <c r="HX46">
        <v>3.294</v>
      </c>
      <c r="HY46">
        <v>9999</v>
      </c>
      <c r="HZ46">
        <v>999.9</v>
      </c>
      <c r="IA46">
        <v>9999</v>
      </c>
      <c r="IB46">
        <v>9999</v>
      </c>
      <c r="IC46">
        <v>1.86322</v>
      </c>
      <c r="ID46">
        <v>1.86799</v>
      </c>
      <c r="IE46">
        <v>1.86783</v>
      </c>
      <c r="IF46">
        <v>1.86905</v>
      </c>
      <c r="IG46">
        <v>1.86981</v>
      </c>
      <c r="IH46">
        <v>1.86584</v>
      </c>
      <c r="II46">
        <v>1.86691</v>
      </c>
      <c r="IJ46">
        <v>1.86838</v>
      </c>
      <c r="IK46">
        <v>5</v>
      </c>
      <c r="IL46">
        <v>0</v>
      </c>
      <c r="IM46">
        <v>0</v>
      </c>
      <c r="IN46">
        <v>0</v>
      </c>
      <c r="IO46" t="s">
        <v>443</v>
      </c>
      <c r="IP46" t="s">
        <v>444</v>
      </c>
      <c r="IQ46" t="s">
        <v>445</v>
      </c>
      <c r="IR46" t="s">
        <v>445</v>
      </c>
      <c r="IS46" t="s">
        <v>445</v>
      </c>
      <c r="IT46" t="s">
        <v>445</v>
      </c>
      <c r="IU46">
        <v>0</v>
      </c>
      <c r="IV46">
        <v>100</v>
      </c>
      <c r="IW46">
        <v>100</v>
      </c>
      <c r="IX46">
        <v>2.389</v>
      </c>
      <c r="IY46">
        <v>0.1048</v>
      </c>
      <c r="IZ46">
        <v>0.833350075594679</v>
      </c>
      <c r="JA46">
        <v>0.00412825224050377</v>
      </c>
      <c r="JB46">
        <v>-7.34426573386615e-07</v>
      </c>
      <c r="JC46">
        <v>2.46800082545482e-10</v>
      </c>
      <c r="JD46">
        <v>-0.0848433440729365</v>
      </c>
      <c r="JE46">
        <v>-0.0240557196358944</v>
      </c>
      <c r="JF46">
        <v>0.0027855358087715</v>
      </c>
      <c r="JG46">
        <v>-3.72349365099102e-05</v>
      </c>
      <c r="JH46">
        <v>5</v>
      </c>
      <c r="JI46">
        <v>2250</v>
      </c>
      <c r="JJ46">
        <v>0</v>
      </c>
      <c r="JK46">
        <v>24</v>
      </c>
      <c r="JL46">
        <v>29348349.8</v>
      </c>
      <c r="JM46">
        <v>29348349.8</v>
      </c>
      <c r="JN46">
        <v>1.00708</v>
      </c>
      <c r="JO46">
        <v>2.62573</v>
      </c>
      <c r="JP46">
        <v>1.54785</v>
      </c>
      <c r="JQ46">
        <v>2.31079</v>
      </c>
      <c r="JR46">
        <v>1.64551</v>
      </c>
      <c r="JS46">
        <v>2.32178</v>
      </c>
      <c r="JT46">
        <v>33.3335</v>
      </c>
      <c r="JU46">
        <v>24.1751</v>
      </c>
      <c r="JV46">
        <v>18</v>
      </c>
      <c r="JW46">
        <v>505.683</v>
      </c>
      <c r="JX46">
        <v>405.25</v>
      </c>
      <c r="JY46">
        <v>16.9104</v>
      </c>
      <c r="JZ46">
        <v>31.2085</v>
      </c>
      <c r="KA46">
        <v>30.0003</v>
      </c>
      <c r="KB46">
        <v>31.1253</v>
      </c>
      <c r="KC46">
        <v>31.0671</v>
      </c>
      <c r="KD46">
        <v>20.1952</v>
      </c>
      <c r="KE46">
        <v>10.2615</v>
      </c>
      <c r="KF46">
        <v>36.2995</v>
      </c>
      <c r="KG46">
        <v>16.909</v>
      </c>
      <c r="KH46">
        <v>420</v>
      </c>
      <c r="KI46">
        <v>13.513</v>
      </c>
      <c r="KJ46">
        <v>96.1737</v>
      </c>
      <c r="KK46">
        <v>93.9738</v>
      </c>
    </row>
    <row r="47" spans="1:297">
      <c r="A47">
        <v>31</v>
      </c>
      <c r="B47">
        <v>1760901800</v>
      </c>
      <c r="C47">
        <v>8035.90000009537</v>
      </c>
      <c r="D47" t="s">
        <v>571</v>
      </c>
      <c r="E47" t="s">
        <v>572</v>
      </c>
      <c r="F47">
        <v>5</v>
      </c>
      <c r="G47" t="s">
        <v>573</v>
      </c>
      <c r="H47" t="s">
        <v>436</v>
      </c>
      <c r="I47">
        <v>1760901791.5</v>
      </c>
      <c r="J47">
        <f>(K47)/1000</f>
        <v>0</v>
      </c>
      <c r="K47">
        <f>IF(DP47, AN47, AH47)</f>
        <v>0</v>
      </c>
      <c r="L47">
        <f>IF(DP47, AI47, AG47)</f>
        <v>0</v>
      </c>
      <c r="M47">
        <f>DR47 - IF(AU47&gt;1, L47*DL47*100.0/(AW47), 0)</f>
        <v>0</v>
      </c>
      <c r="N47">
        <f>((T47-J47/2)*M47-L47)/(T47+J47/2)</f>
        <v>0</v>
      </c>
      <c r="O47">
        <f>N47*(DY47+DZ47)/1000.0</f>
        <v>0</v>
      </c>
      <c r="P47">
        <f>(DR47 - IF(AU47&gt;1, L47*DL47*100.0/(AW47), 0))*(DY47+DZ47)/1000.0</f>
        <v>0</v>
      </c>
      <c r="Q47">
        <f>2.0/((1/S47-1/R47)+SIGN(S47)*SQRT((1/S47-1/R47)*(1/S47-1/R47) + 4*DM47/((DM47+1)*(DM47+1))*(2*1/S47*1/R47-1/R47*1/R47)))</f>
        <v>0</v>
      </c>
      <c r="R47">
        <f>IF(LEFT(DN47,1)&lt;&gt;"0",IF(LEFT(DN47,1)="1",3.0,DO47),$D$5+$E$5*(EF47*DY47/($K$5*1000))+$F$5*(EF47*DY47/($K$5*1000))*MAX(MIN(DL47,$J$5),$I$5)*MAX(MIN(DL47,$J$5),$I$5)+$G$5*MAX(MIN(DL47,$J$5),$I$5)*(EF47*DY47/($K$5*1000))+$H$5*(EF47*DY47/($K$5*1000))*(EF47*DY47/($K$5*1000)))</f>
        <v>0</v>
      </c>
      <c r="S47">
        <f>J47*(1000-(1000*0.61365*exp(17.502*W47/(240.97+W47))/(DY47+DZ47)+DT47)/2)/(1000*0.61365*exp(17.502*W47/(240.97+W47))/(DY47+DZ47)-DT47)</f>
        <v>0</v>
      </c>
      <c r="T47">
        <f>1/((DM47+1)/(Q47/1.6)+1/(R47/1.37)) + DM47/((DM47+1)/(Q47/1.6) + DM47/(R47/1.37))</f>
        <v>0</v>
      </c>
      <c r="U47">
        <f>(DH47*DK47)</f>
        <v>0</v>
      </c>
      <c r="V47">
        <f>(EA47+(U47+2*0.95*5.67E-8*(((EA47+$B$7)+273)^4-(EA47+273)^4)-44100*J47)/(1.84*29.3*R47+8*0.95*5.67E-8*(EA47+273)^3))</f>
        <v>0</v>
      </c>
      <c r="W47">
        <f>($C$7*EB47+$D$7*EC47+$E$7*V47)</f>
        <v>0</v>
      </c>
      <c r="X47">
        <f>0.61365*exp(17.502*W47/(240.97+W47))</f>
        <v>0</v>
      </c>
      <c r="Y47">
        <f>(Z47/AA47*100)</f>
        <v>0</v>
      </c>
      <c r="Z47">
        <f>DT47*(DY47+DZ47)/1000</f>
        <v>0</v>
      </c>
      <c r="AA47">
        <f>0.61365*exp(17.502*EA47/(240.97+EA47))</f>
        <v>0</v>
      </c>
      <c r="AB47">
        <f>(X47-DT47*(DY47+DZ47)/1000)</f>
        <v>0</v>
      </c>
      <c r="AC47">
        <f>(-J47*44100)</f>
        <v>0</v>
      </c>
      <c r="AD47">
        <f>2*29.3*R47*0.92*(EA47-W47)</f>
        <v>0</v>
      </c>
      <c r="AE47">
        <f>2*0.95*5.67E-8*(((EA47+$B$7)+273)^4-(W47+273)^4)</f>
        <v>0</v>
      </c>
      <c r="AF47">
        <f>U47+AE47+AC47+AD47</f>
        <v>0</v>
      </c>
      <c r="AG47">
        <f>DX47*AU47*(DS47-DR47*(1000-AU47*DU47)/(1000-AU47*DT47))/(100*DL47)</f>
        <v>0</v>
      </c>
      <c r="AH47">
        <f>1000*DX47*AU47*(DT47-DU47)/(100*DL47*(1000-AU47*DT47))</f>
        <v>0</v>
      </c>
      <c r="AI47">
        <f>(AJ47 - AK47 - DY47*1E3/(8.314*(EA47+273.15)) * AM47/DX47 * AL47) * DX47/(100*DL47) * (1000 - DU47)/1000</f>
        <v>0</v>
      </c>
      <c r="AJ47">
        <v>428.894223502703</v>
      </c>
      <c r="AK47">
        <v>418.772606060606</v>
      </c>
      <c r="AL47">
        <v>-0.000747483032762544</v>
      </c>
      <c r="AM47">
        <v>65.062169579314</v>
      </c>
      <c r="AN47">
        <f>(AP47 - AO47 + DY47*1E3/(8.314*(EA47+273.15)) * AR47/DX47 * AQ47) * DX47/(100*DL47) * 1000/(1000 - AP47)</f>
        <v>0</v>
      </c>
      <c r="AO47">
        <v>20.6715439325101</v>
      </c>
      <c r="AP47">
        <v>23.6217896969697</v>
      </c>
      <c r="AQ47">
        <v>-0.00552959871549842</v>
      </c>
      <c r="AR47">
        <v>116.937131656098</v>
      </c>
      <c r="AS47">
        <v>0</v>
      </c>
      <c r="AT47">
        <v>0</v>
      </c>
      <c r="AU47">
        <f>IF(AS47*$H$13&gt;=AW47,1.0,(AW47/(AW47-AS47*$H$13)))</f>
        <v>0</v>
      </c>
      <c r="AV47">
        <f>(AU47-1)*100</f>
        <v>0</v>
      </c>
      <c r="AW47">
        <f>MAX(0,($B$13+$C$13*EF47)/(1+$D$13*EF47)*DY47/(EA47+273)*$E$13)</f>
        <v>0</v>
      </c>
      <c r="AX47" t="s">
        <v>437</v>
      </c>
      <c r="AY47">
        <v>5082.33</v>
      </c>
      <c r="AZ47">
        <v>690.032</v>
      </c>
      <c r="BA47">
        <v>1612.68</v>
      </c>
      <c r="BB47">
        <f>1-AZ47/BA47</f>
        <v>0</v>
      </c>
      <c r="BC47">
        <v>-9.7270689171713</v>
      </c>
      <c r="BD47" t="s">
        <v>574</v>
      </c>
      <c r="BE47">
        <v>5146.84</v>
      </c>
      <c r="BF47">
        <v>1376.0256</v>
      </c>
      <c r="BG47">
        <v>1705.66055821154</v>
      </c>
      <c r="BH47">
        <f>1-BF47/BG47</f>
        <v>0</v>
      </c>
      <c r="BI47">
        <v>0.5</v>
      </c>
      <c r="BJ47">
        <f>DI47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575</v>
      </c>
      <c r="BQ47">
        <v>799.87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BZ47">
        <v>156</v>
      </c>
      <c r="CA47">
        <v>290</v>
      </c>
      <c r="CB47">
        <v>1618.07</v>
      </c>
      <c r="CC47">
        <v>155</v>
      </c>
      <c r="CD47">
        <v>5146.84</v>
      </c>
      <c r="CE47">
        <v>1616.94</v>
      </c>
      <c r="CF47">
        <v>1.13</v>
      </c>
      <c r="CG47">
        <v>300</v>
      </c>
      <c r="CH47">
        <v>23.8</v>
      </c>
      <c r="CI47">
        <v>1705.66055821154</v>
      </c>
      <c r="CJ47">
        <v>1.66489248535631</v>
      </c>
      <c r="CK47">
        <v>-45.6642824723372</v>
      </c>
      <c r="CL47">
        <v>0.770887212257072</v>
      </c>
      <c r="CM47">
        <v>0.992083473794735</v>
      </c>
      <c r="CN47">
        <v>-0.00324412658509455</v>
      </c>
      <c r="CO47">
        <v>290</v>
      </c>
      <c r="CP47">
        <v>1615.03</v>
      </c>
      <c r="CQ47">
        <v>785</v>
      </c>
      <c r="CR47">
        <v>5143.19</v>
      </c>
      <c r="CS47">
        <v>1616.87</v>
      </c>
      <c r="CT47">
        <v>-1.84</v>
      </c>
      <c r="DH47">
        <f>$B$11*EG47+$C$11*EH47+$F$11*ES47*(1-EV47)</f>
        <v>0</v>
      </c>
      <c r="DI47">
        <f>DH47*DJ47</f>
        <v>0</v>
      </c>
      <c r="DJ47">
        <f>($B$11*$D$9+$C$11*$D$9+$F$11*((FF47+EX47)/MAX(FF47+EX47+FG47, 0.1)*$I$9+FG47/MAX(FF47+EX47+FG47, 0.1)*$J$9))/($B$11+$C$11+$F$11)</f>
        <v>0</v>
      </c>
      <c r="DK47">
        <f>($B$11*$K$9+$C$11*$K$9+$F$11*((FF47+EX47)/MAX(FF47+EX47+FG47, 0.1)*$P$9+FG47/MAX(FF47+EX47+FG47, 0.1)*$Q$9))/($B$11+$C$11+$F$11)</f>
        <v>0</v>
      </c>
      <c r="DL47">
        <v>3.21</v>
      </c>
      <c r="DM47">
        <v>0.5</v>
      </c>
      <c r="DN47" t="s">
        <v>440</v>
      </c>
      <c r="DO47">
        <v>2</v>
      </c>
      <c r="DP47" t="b">
        <v>1</v>
      </c>
      <c r="DQ47">
        <v>1760901791.5</v>
      </c>
      <c r="DR47">
        <v>408.8959375</v>
      </c>
      <c r="DS47">
        <v>420.0026875</v>
      </c>
      <c r="DT47">
        <v>23.65304375</v>
      </c>
      <c r="DU47">
        <v>20.71551875</v>
      </c>
      <c r="DV47">
        <v>406.4893125</v>
      </c>
      <c r="DW47">
        <v>23.25898125</v>
      </c>
      <c r="DX47">
        <v>500.0219375</v>
      </c>
      <c r="DY47">
        <v>90.80425</v>
      </c>
      <c r="DZ47">
        <v>0.03731480625</v>
      </c>
      <c r="EA47">
        <v>30.07558125</v>
      </c>
      <c r="EB47">
        <v>30.00911875</v>
      </c>
      <c r="EC47">
        <v>999.9</v>
      </c>
      <c r="ED47">
        <v>0</v>
      </c>
      <c r="EE47">
        <v>0</v>
      </c>
      <c r="EF47">
        <v>10001.75625</v>
      </c>
      <c r="EG47">
        <v>0</v>
      </c>
      <c r="EH47">
        <v>1243.598125</v>
      </c>
      <c r="EI47">
        <v>-11.10659375</v>
      </c>
      <c r="EJ47">
        <v>418.8018125</v>
      </c>
      <c r="EK47">
        <v>428.88725</v>
      </c>
      <c r="EL47">
        <v>2.93752375</v>
      </c>
      <c r="EM47">
        <v>420.0026875</v>
      </c>
      <c r="EN47">
        <v>20.71551875</v>
      </c>
      <c r="EO47">
        <v>2.14779625</v>
      </c>
      <c r="EP47">
        <v>1.881056875</v>
      </c>
      <c r="EQ47">
        <v>18.57815</v>
      </c>
      <c r="ER47">
        <v>16.47713125</v>
      </c>
      <c r="ES47">
        <v>1199.999375</v>
      </c>
      <c r="ET47">
        <v>0.9669986875</v>
      </c>
      <c r="EU47">
        <v>0.0330012125</v>
      </c>
      <c r="EV47">
        <v>0</v>
      </c>
      <c r="EW47">
        <v>1376.126875</v>
      </c>
      <c r="EX47">
        <v>5.00059</v>
      </c>
      <c r="EY47">
        <v>16536.1375</v>
      </c>
      <c r="EZ47">
        <v>10358.70625</v>
      </c>
      <c r="FA47">
        <v>42.9409375</v>
      </c>
      <c r="FB47">
        <v>44.4960625</v>
      </c>
      <c r="FC47">
        <v>43.0935</v>
      </c>
      <c r="FD47">
        <v>44.159875</v>
      </c>
      <c r="FE47">
        <v>44.1405</v>
      </c>
      <c r="FF47">
        <v>1155.56625</v>
      </c>
      <c r="FG47">
        <v>39.433125</v>
      </c>
      <c r="FH47">
        <v>0</v>
      </c>
      <c r="FI47">
        <v>810.599999904633</v>
      </c>
      <c r="FJ47">
        <v>0</v>
      </c>
      <c r="FK47">
        <v>1376.0256</v>
      </c>
      <c r="FL47">
        <v>-2.00230768962533</v>
      </c>
      <c r="FM47">
        <v>-25.3076924138143</v>
      </c>
      <c r="FN47">
        <v>16535.596</v>
      </c>
      <c r="FO47">
        <v>15</v>
      </c>
      <c r="FP47">
        <v>0</v>
      </c>
      <c r="FQ47" t="s">
        <v>441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-11.104165</v>
      </c>
      <c r="GD47">
        <v>-0.109800000000016</v>
      </c>
      <c r="GE47">
        <v>0.0260451775766644</v>
      </c>
      <c r="GF47">
        <v>1</v>
      </c>
      <c r="GG47">
        <v>1376.255</v>
      </c>
      <c r="GH47">
        <v>-3.06447669886899</v>
      </c>
      <c r="GI47">
        <v>0.385213844354474</v>
      </c>
      <c r="GJ47">
        <v>-1</v>
      </c>
      <c r="GK47">
        <v>2.9279585</v>
      </c>
      <c r="GL47">
        <v>0.220171578947367</v>
      </c>
      <c r="GM47">
        <v>0.0214909658403247</v>
      </c>
      <c r="GN47">
        <v>0</v>
      </c>
      <c r="GO47">
        <v>1</v>
      </c>
      <c r="GP47">
        <v>2</v>
      </c>
      <c r="GQ47" t="s">
        <v>454</v>
      </c>
      <c r="GR47">
        <v>3.13058</v>
      </c>
      <c r="GS47">
        <v>2.71516</v>
      </c>
      <c r="GT47">
        <v>0.0867123</v>
      </c>
      <c r="GU47">
        <v>0.0890595</v>
      </c>
      <c r="GV47">
        <v>0.100773</v>
      </c>
      <c r="GW47">
        <v>0.092366</v>
      </c>
      <c r="GX47">
        <v>34032.4</v>
      </c>
      <c r="GY47">
        <v>36254.1</v>
      </c>
      <c r="GZ47">
        <v>33745.1</v>
      </c>
      <c r="HA47">
        <v>36065.5</v>
      </c>
      <c r="HB47">
        <v>42934.1</v>
      </c>
      <c r="HC47">
        <v>47019.2</v>
      </c>
      <c r="HD47">
        <v>52707.8</v>
      </c>
      <c r="HE47">
        <v>57659.9</v>
      </c>
      <c r="HF47">
        <v>1.88372</v>
      </c>
      <c r="HG47">
        <v>1.75035</v>
      </c>
      <c r="HH47">
        <v>0.00274181</v>
      </c>
      <c r="HI47">
        <v>0</v>
      </c>
      <c r="HJ47">
        <v>29.9715</v>
      </c>
      <c r="HK47">
        <v>999.9</v>
      </c>
      <c r="HL47">
        <v>53.107</v>
      </c>
      <c r="HM47">
        <v>29.769</v>
      </c>
      <c r="HN47">
        <v>24.5856</v>
      </c>
      <c r="HO47">
        <v>54.7161</v>
      </c>
      <c r="HP47">
        <v>44.9359</v>
      </c>
      <c r="HQ47">
        <v>1</v>
      </c>
      <c r="HR47">
        <v>0.545503</v>
      </c>
      <c r="HS47">
        <v>4.05897</v>
      </c>
      <c r="HT47">
        <v>20.0919</v>
      </c>
      <c r="HU47">
        <v>5.19797</v>
      </c>
      <c r="HV47">
        <v>12.0099</v>
      </c>
      <c r="HW47">
        <v>4.974</v>
      </c>
      <c r="HX47">
        <v>3.29402</v>
      </c>
      <c r="HY47">
        <v>9999</v>
      </c>
      <c r="HZ47">
        <v>999.9</v>
      </c>
      <c r="IA47">
        <v>9999</v>
      </c>
      <c r="IB47">
        <v>9999</v>
      </c>
      <c r="IC47">
        <v>1.86325</v>
      </c>
      <c r="ID47">
        <v>1.86799</v>
      </c>
      <c r="IE47">
        <v>1.86783</v>
      </c>
      <c r="IF47">
        <v>1.86904</v>
      </c>
      <c r="IG47">
        <v>1.86981</v>
      </c>
      <c r="IH47">
        <v>1.86584</v>
      </c>
      <c r="II47">
        <v>1.86693</v>
      </c>
      <c r="IJ47">
        <v>1.86833</v>
      </c>
      <c r="IK47">
        <v>5</v>
      </c>
      <c r="IL47">
        <v>0</v>
      </c>
      <c r="IM47">
        <v>0</v>
      </c>
      <c r="IN47">
        <v>0</v>
      </c>
      <c r="IO47" t="s">
        <v>443</v>
      </c>
      <c r="IP47" t="s">
        <v>444</v>
      </c>
      <c r="IQ47" t="s">
        <v>445</v>
      </c>
      <c r="IR47" t="s">
        <v>445</v>
      </c>
      <c r="IS47" t="s">
        <v>445</v>
      </c>
      <c r="IT47" t="s">
        <v>445</v>
      </c>
      <c r="IU47">
        <v>0</v>
      </c>
      <c r="IV47">
        <v>100</v>
      </c>
      <c r="IW47">
        <v>100</v>
      </c>
      <c r="IX47">
        <v>2.406</v>
      </c>
      <c r="IY47">
        <v>0.3925</v>
      </c>
      <c r="IZ47">
        <v>0.833350075594679</v>
      </c>
      <c r="JA47">
        <v>0.00412825224050377</v>
      </c>
      <c r="JB47">
        <v>-7.34426573386615e-07</v>
      </c>
      <c r="JC47">
        <v>2.46800082545482e-10</v>
      </c>
      <c r="JD47">
        <v>-0.0848433440729365</v>
      </c>
      <c r="JE47">
        <v>-0.0240557196358944</v>
      </c>
      <c r="JF47">
        <v>0.0027855358087715</v>
      </c>
      <c r="JG47">
        <v>-3.72349365099102e-05</v>
      </c>
      <c r="JH47">
        <v>5</v>
      </c>
      <c r="JI47">
        <v>2250</v>
      </c>
      <c r="JJ47">
        <v>0</v>
      </c>
      <c r="JK47">
        <v>24</v>
      </c>
      <c r="JL47">
        <v>29348363.3</v>
      </c>
      <c r="JM47">
        <v>29348363.3</v>
      </c>
      <c r="JN47">
        <v>1.01562</v>
      </c>
      <c r="JO47">
        <v>2.62573</v>
      </c>
      <c r="JP47">
        <v>1.54785</v>
      </c>
      <c r="JQ47">
        <v>2.31201</v>
      </c>
      <c r="JR47">
        <v>1.64673</v>
      </c>
      <c r="JS47">
        <v>2.38892</v>
      </c>
      <c r="JT47">
        <v>33.2663</v>
      </c>
      <c r="JU47">
        <v>24.1838</v>
      </c>
      <c r="JV47">
        <v>18</v>
      </c>
      <c r="JW47">
        <v>502.318</v>
      </c>
      <c r="JX47">
        <v>411.626</v>
      </c>
      <c r="JY47">
        <v>24.617</v>
      </c>
      <c r="JZ47">
        <v>33.9539</v>
      </c>
      <c r="KA47">
        <v>30.002</v>
      </c>
      <c r="KB47">
        <v>33.5477</v>
      </c>
      <c r="KC47">
        <v>33.4526</v>
      </c>
      <c r="KD47">
        <v>20.3506</v>
      </c>
      <c r="KE47">
        <v>25.8419</v>
      </c>
      <c r="KF47">
        <v>83.1006</v>
      </c>
      <c r="KG47">
        <v>24.5882</v>
      </c>
      <c r="KH47">
        <v>420</v>
      </c>
      <c r="KI47">
        <v>20.578</v>
      </c>
      <c r="KJ47">
        <v>95.7651</v>
      </c>
      <c r="KK47">
        <v>93.4097</v>
      </c>
    </row>
    <row r="48" spans="1:297">
      <c r="A48">
        <v>32</v>
      </c>
      <c r="B48">
        <v>1760901986</v>
      </c>
      <c r="C48">
        <v>8221.90000009537</v>
      </c>
      <c r="D48" t="s">
        <v>576</v>
      </c>
      <c r="E48" t="s">
        <v>577</v>
      </c>
      <c r="F48">
        <v>5</v>
      </c>
      <c r="G48" t="s">
        <v>573</v>
      </c>
      <c r="H48" t="s">
        <v>436</v>
      </c>
      <c r="I48">
        <v>1760901978</v>
      </c>
      <c r="J48">
        <f>(K48)/1000</f>
        <v>0</v>
      </c>
      <c r="K48">
        <f>IF(DP48, AN48, AH48)</f>
        <v>0</v>
      </c>
      <c r="L48">
        <f>IF(DP48, AI48, AG48)</f>
        <v>0</v>
      </c>
      <c r="M48">
        <f>DR48 - IF(AU48&gt;1, L48*DL48*100.0/(AW48), 0)</f>
        <v>0</v>
      </c>
      <c r="N48">
        <f>((T48-J48/2)*M48-L48)/(T48+J48/2)</f>
        <v>0</v>
      </c>
      <c r="O48">
        <f>N48*(DY48+DZ48)/1000.0</f>
        <v>0</v>
      </c>
      <c r="P48">
        <f>(DR48 - IF(AU48&gt;1, L48*DL48*100.0/(AW48), 0))*(DY48+DZ48)/1000.0</f>
        <v>0</v>
      </c>
      <c r="Q48">
        <f>2.0/((1/S48-1/R48)+SIGN(S48)*SQRT((1/S48-1/R48)*(1/S48-1/R48) + 4*DM48/((DM48+1)*(DM48+1))*(2*1/S48*1/R48-1/R48*1/R48)))</f>
        <v>0</v>
      </c>
      <c r="R48">
        <f>IF(LEFT(DN48,1)&lt;&gt;"0",IF(LEFT(DN48,1)="1",3.0,DO48),$D$5+$E$5*(EF48*DY48/($K$5*1000))+$F$5*(EF48*DY48/($K$5*1000))*MAX(MIN(DL48,$J$5),$I$5)*MAX(MIN(DL48,$J$5),$I$5)+$G$5*MAX(MIN(DL48,$J$5),$I$5)*(EF48*DY48/($K$5*1000))+$H$5*(EF48*DY48/($K$5*1000))*(EF48*DY48/($K$5*1000)))</f>
        <v>0</v>
      </c>
      <c r="S48">
        <f>J48*(1000-(1000*0.61365*exp(17.502*W48/(240.97+W48))/(DY48+DZ48)+DT48)/2)/(1000*0.61365*exp(17.502*W48/(240.97+W48))/(DY48+DZ48)-DT48)</f>
        <v>0</v>
      </c>
      <c r="T48">
        <f>1/((DM48+1)/(Q48/1.6)+1/(R48/1.37)) + DM48/((DM48+1)/(Q48/1.6) + DM48/(R48/1.37))</f>
        <v>0</v>
      </c>
      <c r="U48">
        <f>(DH48*DK48)</f>
        <v>0</v>
      </c>
      <c r="V48">
        <f>(EA48+(U48+2*0.95*5.67E-8*(((EA48+$B$7)+273)^4-(EA48+273)^4)-44100*J48)/(1.84*29.3*R48+8*0.95*5.67E-8*(EA48+273)^3))</f>
        <v>0</v>
      </c>
      <c r="W48">
        <f>($C$7*EB48+$D$7*EC48+$E$7*V48)</f>
        <v>0</v>
      </c>
      <c r="X48">
        <f>0.61365*exp(17.502*W48/(240.97+W48))</f>
        <v>0</v>
      </c>
      <c r="Y48">
        <f>(Z48/AA48*100)</f>
        <v>0</v>
      </c>
      <c r="Z48">
        <f>DT48*(DY48+DZ48)/1000</f>
        <v>0</v>
      </c>
      <c r="AA48">
        <f>0.61365*exp(17.502*EA48/(240.97+EA48))</f>
        <v>0</v>
      </c>
      <c r="AB48">
        <f>(X48-DT48*(DY48+DZ48)/1000)</f>
        <v>0</v>
      </c>
      <c r="AC48">
        <f>(-J48*44100)</f>
        <v>0</v>
      </c>
      <c r="AD48">
        <f>2*29.3*R48*0.92*(EA48-W48)</f>
        <v>0</v>
      </c>
      <c r="AE48">
        <f>2*0.95*5.67E-8*(((EA48+$B$7)+273)^4-(W48+273)^4)</f>
        <v>0</v>
      </c>
      <c r="AF48">
        <f>U48+AE48+AC48+AD48</f>
        <v>0</v>
      </c>
      <c r="AG48">
        <f>DX48*AU48*(DS48-DR48*(1000-AU48*DU48)/(1000-AU48*DT48))/(100*DL48)</f>
        <v>0</v>
      </c>
      <c r="AH48">
        <f>1000*DX48*AU48*(DT48-DU48)/(100*DL48*(1000-AU48*DT48))</f>
        <v>0</v>
      </c>
      <c r="AI48">
        <f>(AJ48 - AK48 - DY48*1E3/(8.314*(EA48+273.15)) * AM48/DX48 * AL48) * DX48/(100*DL48) * (1000 - DU48)/1000</f>
        <v>0</v>
      </c>
      <c r="AJ48">
        <v>428.855276668398</v>
      </c>
      <c r="AK48">
        <v>418.518133333333</v>
      </c>
      <c r="AL48">
        <v>0.00238206532505146</v>
      </c>
      <c r="AM48">
        <v>65.062169579314</v>
      </c>
      <c r="AN48">
        <f>(AP48 - AO48 + DY48*1E3/(8.314*(EA48+273.15)) * AR48/DX48 * AQ48) * DX48/(100*DL48) * 1000/(1000 - AP48)</f>
        <v>0</v>
      </c>
      <c r="AO48">
        <v>20.5289780661327</v>
      </c>
      <c r="AP48">
        <v>23.5816975757576</v>
      </c>
      <c r="AQ48">
        <v>1.10510520172354e-05</v>
      </c>
      <c r="AR48">
        <v>116.937131656098</v>
      </c>
      <c r="AS48">
        <v>0</v>
      </c>
      <c r="AT48">
        <v>0</v>
      </c>
      <c r="AU48">
        <f>IF(AS48*$H$13&gt;=AW48,1.0,(AW48/(AW48-AS48*$H$13)))</f>
        <v>0</v>
      </c>
      <c r="AV48">
        <f>(AU48-1)*100</f>
        <v>0</v>
      </c>
      <c r="AW48">
        <f>MAX(0,($B$13+$C$13*EF48)/(1+$D$13*EF48)*DY48/(EA48+273)*$E$13)</f>
        <v>0</v>
      </c>
      <c r="AX48" t="s">
        <v>437</v>
      </c>
      <c r="AY48">
        <v>5082.33</v>
      </c>
      <c r="AZ48">
        <v>690.032</v>
      </c>
      <c r="BA48">
        <v>1612.68</v>
      </c>
      <c r="BB48">
        <f>1-AZ48/BA48</f>
        <v>0</v>
      </c>
      <c r="BC48">
        <v>-9.7270689171713</v>
      </c>
      <c r="BD48" t="s">
        <v>578</v>
      </c>
      <c r="BE48">
        <v>5146.03</v>
      </c>
      <c r="BF48">
        <v>1370.236</v>
      </c>
      <c r="BG48">
        <v>1694.81679085926</v>
      </c>
      <c r="BH48">
        <f>1-BF48/BG48</f>
        <v>0</v>
      </c>
      <c r="BI48">
        <v>0.5</v>
      </c>
      <c r="BJ48">
        <f>DI48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579</v>
      </c>
      <c r="BQ48">
        <v>799.07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BZ48">
        <v>158</v>
      </c>
      <c r="CA48">
        <v>290</v>
      </c>
      <c r="CB48">
        <v>1609.75</v>
      </c>
      <c r="CC48">
        <v>125</v>
      </c>
      <c r="CD48">
        <v>5146.03</v>
      </c>
      <c r="CE48">
        <v>1608.15</v>
      </c>
      <c r="CF48">
        <v>1.6</v>
      </c>
      <c r="CG48">
        <v>300</v>
      </c>
      <c r="CH48">
        <v>23.8</v>
      </c>
      <c r="CI48">
        <v>1694.81679085926</v>
      </c>
      <c r="CJ48">
        <v>1.86903044998706</v>
      </c>
      <c r="CK48">
        <v>-44.5970212055924</v>
      </c>
      <c r="CL48">
        <v>0.865150241730924</v>
      </c>
      <c r="CM48">
        <v>0.98957257568926</v>
      </c>
      <c r="CN48">
        <v>-0.00324320244716351</v>
      </c>
      <c r="CO48">
        <v>290</v>
      </c>
      <c r="CP48">
        <v>1605.92</v>
      </c>
      <c r="CQ48">
        <v>675</v>
      </c>
      <c r="CR48">
        <v>5142.29</v>
      </c>
      <c r="CS48">
        <v>1608.09</v>
      </c>
      <c r="CT48">
        <v>-2.17</v>
      </c>
      <c r="DH48">
        <f>$B$11*EG48+$C$11*EH48+$F$11*ES48*(1-EV48)</f>
        <v>0</v>
      </c>
      <c r="DI48">
        <f>DH48*DJ48</f>
        <v>0</v>
      </c>
      <c r="DJ48">
        <f>($B$11*$D$9+$C$11*$D$9+$F$11*((FF48+EX48)/MAX(FF48+EX48+FG48, 0.1)*$I$9+FG48/MAX(FF48+EX48+FG48, 0.1)*$J$9))/($B$11+$C$11+$F$11)</f>
        <v>0</v>
      </c>
      <c r="DK48">
        <f>($B$11*$K$9+$C$11*$K$9+$F$11*((FF48+EX48)/MAX(FF48+EX48+FG48, 0.1)*$P$9+FG48/MAX(FF48+EX48+FG48, 0.1)*$Q$9))/($B$11+$C$11+$F$11)</f>
        <v>0</v>
      </c>
      <c r="DL48">
        <v>3.21</v>
      </c>
      <c r="DM48">
        <v>0.5</v>
      </c>
      <c r="DN48" t="s">
        <v>440</v>
      </c>
      <c r="DO48">
        <v>2</v>
      </c>
      <c r="DP48" t="b">
        <v>1</v>
      </c>
      <c r="DQ48">
        <v>1760901978</v>
      </c>
      <c r="DR48">
        <v>408.656866666667</v>
      </c>
      <c r="DS48">
        <v>420.003733333333</v>
      </c>
      <c r="DT48">
        <v>23.5786866666667</v>
      </c>
      <c r="DU48">
        <v>20.5319266666667</v>
      </c>
      <c r="DV48">
        <v>406.250933333333</v>
      </c>
      <c r="DW48">
        <v>23.1878466666667</v>
      </c>
      <c r="DX48">
        <v>500.0072</v>
      </c>
      <c r="DY48">
        <v>90.7859466666667</v>
      </c>
      <c r="DZ48">
        <v>0.0378631266666667</v>
      </c>
      <c r="EA48">
        <v>30.0948733333333</v>
      </c>
      <c r="EB48">
        <v>30.0121533333333</v>
      </c>
      <c r="EC48">
        <v>999.9</v>
      </c>
      <c r="ED48">
        <v>0</v>
      </c>
      <c r="EE48">
        <v>0</v>
      </c>
      <c r="EF48">
        <v>10001.7933333333</v>
      </c>
      <c r="EG48">
        <v>0</v>
      </c>
      <c r="EH48">
        <v>1242.69266666667</v>
      </c>
      <c r="EI48">
        <v>-11.3468666666667</v>
      </c>
      <c r="EJ48">
        <v>418.5252</v>
      </c>
      <c r="EK48">
        <v>428.807933333333</v>
      </c>
      <c r="EL48">
        <v>3.04675333333333</v>
      </c>
      <c r="EM48">
        <v>420.003733333333</v>
      </c>
      <c r="EN48">
        <v>20.5319266666667</v>
      </c>
      <c r="EO48">
        <v>2.14061466666667</v>
      </c>
      <c r="EP48">
        <v>1.86401</v>
      </c>
      <c r="EQ48">
        <v>18.5246666666667</v>
      </c>
      <c r="ER48">
        <v>16.33418</v>
      </c>
      <c r="ES48">
        <v>1199.988</v>
      </c>
      <c r="ET48">
        <v>0.966993533333333</v>
      </c>
      <c r="EU48">
        <v>0.0330066133333333</v>
      </c>
      <c r="EV48">
        <v>0</v>
      </c>
      <c r="EW48">
        <v>1370.25466666667</v>
      </c>
      <c r="EX48">
        <v>5.00059</v>
      </c>
      <c r="EY48">
        <v>16500.6666666667</v>
      </c>
      <c r="EZ48">
        <v>10358.5933333333</v>
      </c>
      <c r="FA48">
        <v>43.562</v>
      </c>
      <c r="FB48">
        <v>45.0872</v>
      </c>
      <c r="FC48">
        <v>43.7374</v>
      </c>
      <c r="FD48">
        <v>44.7248</v>
      </c>
      <c r="FE48">
        <v>44.7206</v>
      </c>
      <c r="FF48">
        <v>1155.548</v>
      </c>
      <c r="FG48">
        <v>39.44</v>
      </c>
      <c r="FH48">
        <v>0</v>
      </c>
      <c r="FI48">
        <v>182.599999904633</v>
      </c>
      <c r="FJ48">
        <v>0</v>
      </c>
      <c r="FK48">
        <v>1370.236</v>
      </c>
      <c r="FL48">
        <v>-2.42538462426606</v>
      </c>
      <c r="FM48">
        <v>-19.8230769738829</v>
      </c>
      <c r="FN48">
        <v>16500.264</v>
      </c>
      <c r="FO48">
        <v>15</v>
      </c>
      <c r="FP48">
        <v>0</v>
      </c>
      <c r="FQ48" t="s">
        <v>441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-11.3489904761905</v>
      </c>
      <c r="GD48">
        <v>-0.26572987012989</v>
      </c>
      <c r="GE48">
        <v>0.059769142418873</v>
      </c>
      <c r="GF48">
        <v>1</v>
      </c>
      <c r="GG48">
        <v>1370.38029411765</v>
      </c>
      <c r="GH48">
        <v>-2.18563788889531</v>
      </c>
      <c r="GI48">
        <v>0.287058974204389</v>
      </c>
      <c r="GJ48">
        <v>-1</v>
      </c>
      <c r="GK48">
        <v>3.04453666666667</v>
      </c>
      <c r="GL48">
        <v>0.047106233766234</v>
      </c>
      <c r="GM48">
        <v>0.00486227100901209</v>
      </c>
      <c r="GN48">
        <v>1</v>
      </c>
      <c r="GO48">
        <v>2</v>
      </c>
      <c r="GP48">
        <v>2</v>
      </c>
      <c r="GQ48" t="s">
        <v>442</v>
      </c>
      <c r="GR48">
        <v>3.13056</v>
      </c>
      <c r="GS48">
        <v>2.71589</v>
      </c>
      <c r="GT48">
        <v>0.086519</v>
      </c>
      <c r="GU48">
        <v>0.0889005</v>
      </c>
      <c r="GV48">
        <v>0.100495</v>
      </c>
      <c r="GW48">
        <v>0.0917711</v>
      </c>
      <c r="GX48">
        <v>34007</v>
      </c>
      <c r="GY48">
        <v>36215.2</v>
      </c>
      <c r="GZ48">
        <v>33715.7</v>
      </c>
      <c r="HA48">
        <v>36023.5</v>
      </c>
      <c r="HB48">
        <v>42919.8</v>
      </c>
      <c r="HC48">
        <v>47000.4</v>
      </c>
      <c r="HD48">
        <v>52671</v>
      </c>
      <c r="HE48">
        <v>57598.3</v>
      </c>
      <c r="HF48">
        <v>1.8774</v>
      </c>
      <c r="HG48">
        <v>1.74387</v>
      </c>
      <c r="HH48">
        <v>0.000163913</v>
      </c>
      <c r="HI48">
        <v>0</v>
      </c>
      <c r="HJ48">
        <v>30.0125</v>
      </c>
      <c r="HK48">
        <v>999.9</v>
      </c>
      <c r="HL48">
        <v>53.663</v>
      </c>
      <c r="HM48">
        <v>29.698</v>
      </c>
      <c r="HN48">
        <v>24.7503</v>
      </c>
      <c r="HO48">
        <v>54.3861</v>
      </c>
      <c r="HP48">
        <v>44.5433</v>
      </c>
      <c r="HQ48">
        <v>1</v>
      </c>
      <c r="HR48">
        <v>0.594444</v>
      </c>
      <c r="HS48">
        <v>4.13195</v>
      </c>
      <c r="HT48">
        <v>20.0901</v>
      </c>
      <c r="HU48">
        <v>5.19647</v>
      </c>
      <c r="HV48">
        <v>12.0099</v>
      </c>
      <c r="HW48">
        <v>4.9741</v>
      </c>
      <c r="HX48">
        <v>3.29402</v>
      </c>
      <c r="HY48">
        <v>9999</v>
      </c>
      <c r="HZ48">
        <v>999.9</v>
      </c>
      <c r="IA48">
        <v>9999</v>
      </c>
      <c r="IB48">
        <v>9999</v>
      </c>
      <c r="IC48">
        <v>1.86324</v>
      </c>
      <c r="ID48">
        <v>1.86802</v>
      </c>
      <c r="IE48">
        <v>1.86782</v>
      </c>
      <c r="IF48">
        <v>1.86902</v>
      </c>
      <c r="IG48">
        <v>1.86981</v>
      </c>
      <c r="IH48">
        <v>1.86584</v>
      </c>
      <c r="II48">
        <v>1.86691</v>
      </c>
      <c r="IJ48">
        <v>1.86837</v>
      </c>
      <c r="IK48">
        <v>5</v>
      </c>
      <c r="IL48">
        <v>0</v>
      </c>
      <c r="IM48">
        <v>0</v>
      </c>
      <c r="IN48">
        <v>0</v>
      </c>
      <c r="IO48" t="s">
        <v>443</v>
      </c>
      <c r="IP48" t="s">
        <v>444</v>
      </c>
      <c r="IQ48" t="s">
        <v>445</v>
      </c>
      <c r="IR48" t="s">
        <v>445</v>
      </c>
      <c r="IS48" t="s">
        <v>445</v>
      </c>
      <c r="IT48" t="s">
        <v>445</v>
      </c>
      <c r="IU48">
        <v>0</v>
      </c>
      <c r="IV48">
        <v>100</v>
      </c>
      <c r="IW48">
        <v>100</v>
      </c>
      <c r="IX48">
        <v>2.406</v>
      </c>
      <c r="IY48">
        <v>0.391</v>
      </c>
      <c r="IZ48">
        <v>0.833350075594679</v>
      </c>
      <c r="JA48">
        <v>0.00412825224050377</v>
      </c>
      <c r="JB48">
        <v>-7.34426573386615e-07</v>
      </c>
      <c r="JC48">
        <v>2.46800082545482e-10</v>
      </c>
      <c r="JD48">
        <v>-0.0848433440729365</v>
      </c>
      <c r="JE48">
        <v>-0.0240557196358944</v>
      </c>
      <c r="JF48">
        <v>0.0027855358087715</v>
      </c>
      <c r="JG48">
        <v>-3.72349365099102e-05</v>
      </c>
      <c r="JH48">
        <v>5</v>
      </c>
      <c r="JI48">
        <v>2250</v>
      </c>
      <c r="JJ48">
        <v>0</v>
      </c>
      <c r="JK48">
        <v>24</v>
      </c>
      <c r="JL48">
        <v>29348366.4</v>
      </c>
      <c r="JM48">
        <v>29348366.4</v>
      </c>
      <c r="JN48">
        <v>1.01562</v>
      </c>
      <c r="JO48">
        <v>2.62207</v>
      </c>
      <c r="JP48">
        <v>1.54785</v>
      </c>
      <c r="JQ48">
        <v>2.31201</v>
      </c>
      <c r="JR48">
        <v>1.64673</v>
      </c>
      <c r="JS48">
        <v>2.34619</v>
      </c>
      <c r="JT48">
        <v>33.3111</v>
      </c>
      <c r="JU48">
        <v>24.1838</v>
      </c>
      <c r="JV48">
        <v>18</v>
      </c>
      <c r="JW48">
        <v>502.844</v>
      </c>
      <c r="JX48">
        <v>411.765</v>
      </c>
      <c r="JY48">
        <v>24.4766</v>
      </c>
      <c r="JZ48">
        <v>34.5094</v>
      </c>
      <c r="KA48">
        <v>30.0013</v>
      </c>
      <c r="KB48">
        <v>34.1549</v>
      </c>
      <c r="KC48">
        <v>34.0648</v>
      </c>
      <c r="KD48">
        <v>20.3426</v>
      </c>
      <c r="KE48">
        <v>25.2863</v>
      </c>
      <c r="KF48">
        <v>83.1006</v>
      </c>
      <c r="KG48">
        <v>24.4685</v>
      </c>
      <c r="KH48">
        <v>420</v>
      </c>
      <c r="KI48">
        <v>20.5041</v>
      </c>
      <c r="KJ48">
        <v>95.6917</v>
      </c>
      <c r="KK48">
        <v>93.3065</v>
      </c>
    </row>
    <row r="49" spans="1:297">
      <c r="A49">
        <v>33</v>
      </c>
      <c r="B49">
        <v>1760902115</v>
      </c>
      <c r="C49">
        <v>8350.90000009537</v>
      </c>
      <c r="D49" t="s">
        <v>580</v>
      </c>
      <c r="E49" t="s">
        <v>581</v>
      </c>
      <c r="F49">
        <v>5</v>
      </c>
      <c r="G49" t="s">
        <v>573</v>
      </c>
      <c r="H49" t="s">
        <v>436</v>
      </c>
      <c r="I49">
        <v>1760902106.5</v>
      </c>
      <c r="J49">
        <f>(K49)/1000</f>
        <v>0</v>
      </c>
      <c r="K49">
        <f>IF(DP49, AN49, AH49)</f>
        <v>0</v>
      </c>
      <c r="L49">
        <f>IF(DP49, AI49, AG49)</f>
        <v>0</v>
      </c>
      <c r="M49">
        <f>DR49 - IF(AU49&gt;1, L49*DL49*100.0/(AW49), 0)</f>
        <v>0</v>
      </c>
      <c r="N49">
        <f>((T49-J49/2)*M49-L49)/(T49+J49/2)</f>
        <v>0</v>
      </c>
      <c r="O49">
        <f>N49*(DY49+DZ49)/1000.0</f>
        <v>0</v>
      </c>
      <c r="P49">
        <f>(DR49 - IF(AU49&gt;1, L49*DL49*100.0/(AW49), 0))*(DY49+DZ49)/1000.0</f>
        <v>0</v>
      </c>
      <c r="Q49">
        <f>2.0/((1/S49-1/R49)+SIGN(S49)*SQRT((1/S49-1/R49)*(1/S49-1/R49) + 4*DM49/((DM49+1)*(DM49+1))*(2*1/S49*1/R49-1/R49*1/R49)))</f>
        <v>0</v>
      </c>
      <c r="R49">
        <f>IF(LEFT(DN49,1)&lt;&gt;"0",IF(LEFT(DN49,1)="1",3.0,DO49),$D$5+$E$5*(EF49*DY49/($K$5*1000))+$F$5*(EF49*DY49/($K$5*1000))*MAX(MIN(DL49,$J$5),$I$5)*MAX(MIN(DL49,$J$5),$I$5)+$G$5*MAX(MIN(DL49,$J$5),$I$5)*(EF49*DY49/($K$5*1000))+$H$5*(EF49*DY49/($K$5*1000))*(EF49*DY49/($K$5*1000)))</f>
        <v>0</v>
      </c>
      <c r="S49">
        <f>J49*(1000-(1000*0.61365*exp(17.502*W49/(240.97+W49))/(DY49+DZ49)+DT49)/2)/(1000*0.61365*exp(17.502*W49/(240.97+W49))/(DY49+DZ49)-DT49)</f>
        <v>0</v>
      </c>
      <c r="T49">
        <f>1/((DM49+1)/(Q49/1.6)+1/(R49/1.37)) + DM49/((DM49+1)/(Q49/1.6) + DM49/(R49/1.37))</f>
        <v>0</v>
      </c>
      <c r="U49">
        <f>(DH49*DK49)</f>
        <v>0</v>
      </c>
      <c r="V49">
        <f>(EA49+(U49+2*0.95*5.67E-8*(((EA49+$B$7)+273)^4-(EA49+273)^4)-44100*J49)/(1.84*29.3*R49+8*0.95*5.67E-8*(EA49+273)^3))</f>
        <v>0</v>
      </c>
      <c r="W49">
        <f>($C$7*EB49+$D$7*EC49+$E$7*V49)</f>
        <v>0</v>
      </c>
      <c r="X49">
        <f>0.61365*exp(17.502*W49/(240.97+W49))</f>
        <v>0</v>
      </c>
      <c r="Y49">
        <f>(Z49/AA49*100)</f>
        <v>0</v>
      </c>
      <c r="Z49">
        <f>DT49*(DY49+DZ49)/1000</f>
        <v>0</v>
      </c>
      <c r="AA49">
        <f>0.61365*exp(17.502*EA49/(240.97+EA49))</f>
        <v>0</v>
      </c>
      <c r="AB49">
        <f>(X49-DT49*(DY49+DZ49)/1000)</f>
        <v>0</v>
      </c>
      <c r="AC49">
        <f>(-J49*44100)</f>
        <v>0</v>
      </c>
      <c r="AD49">
        <f>2*29.3*R49*0.92*(EA49-W49)</f>
        <v>0</v>
      </c>
      <c r="AE49">
        <f>2*0.95*5.67E-8*(((EA49+$B$7)+273)^4-(W49+273)^4)</f>
        <v>0</v>
      </c>
      <c r="AF49">
        <f>U49+AE49+AC49+AD49</f>
        <v>0</v>
      </c>
      <c r="AG49">
        <f>DX49*AU49*(DS49-DR49*(1000-AU49*DU49)/(1000-AU49*DT49))/(100*DL49)</f>
        <v>0</v>
      </c>
      <c r="AH49">
        <f>1000*DX49*AU49*(DT49-DU49)/(100*DL49*(1000-AU49*DT49))</f>
        <v>0</v>
      </c>
      <c r="AI49">
        <f>(AJ49 - AK49 - DY49*1E3/(8.314*(EA49+273.15)) * AM49/DX49 * AL49) * DX49/(100*DL49) * (1000 - DU49)/1000</f>
        <v>0</v>
      </c>
      <c r="AJ49">
        <v>428.763687288941</v>
      </c>
      <c r="AK49">
        <v>418.193593939394</v>
      </c>
      <c r="AL49">
        <v>0.000951326310848127</v>
      </c>
      <c r="AM49">
        <v>65.062169579314</v>
      </c>
      <c r="AN49">
        <f>(AP49 - AO49 + DY49*1E3/(8.314*(EA49+273.15)) * AR49/DX49 * AQ49) * DX49/(100*DL49) * 1000/(1000 - AP49)</f>
        <v>0</v>
      </c>
      <c r="AO49">
        <v>20.3443982823447</v>
      </c>
      <c r="AP49">
        <v>23.559216969697</v>
      </c>
      <c r="AQ49">
        <v>3.80700181231021e-05</v>
      </c>
      <c r="AR49">
        <v>116.937131656098</v>
      </c>
      <c r="AS49">
        <v>0</v>
      </c>
      <c r="AT49">
        <v>0</v>
      </c>
      <c r="AU49">
        <f>IF(AS49*$H$13&gt;=AW49,1.0,(AW49/(AW49-AS49*$H$13)))</f>
        <v>0</v>
      </c>
      <c r="AV49">
        <f>(AU49-1)*100</f>
        <v>0</v>
      </c>
      <c r="AW49">
        <f>MAX(0,($B$13+$C$13*EF49)/(1+$D$13*EF49)*DY49/(EA49+273)*$E$13)</f>
        <v>0</v>
      </c>
      <c r="AX49" t="s">
        <v>437</v>
      </c>
      <c r="AY49">
        <v>5082.33</v>
      </c>
      <c r="AZ49">
        <v>690.032</v>
      </c>
      <c r="BA49">
        <v>1612.68</v>
      </c>
      <c r="BB49">
        <f>1-AZ49/BA49</f>
        <v>0</v>
      </c>
      <c r="BC49">
        <v>-9.7270689171713</v>
      </c>
      <c r="BD49" t="s">
        <v>582</v>
      </c>
      <c r="BE49">
        <v>5143.66</v>
      </c>
      <c r="BF49">
        <v>1365.9992</v>
      </c>
      <c r="BG49">
        <v>1692.7888277599</v>
      </c>
      <c r="BH49">
        <f>1-BF49/BG49</f>
        <v>0</v>
      </c>
      <c r="BI49">
        <v>0.5</v>
      </c>
      <c r="BJ49">
        <f>DI49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583</v>
      </c>
      <c r="BQ49">
        <v>794.47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BZ49">
        <v>160</v>
      </c>
      <c r="CA49">
        <v>290</v>
      </c>
      <c r="CB49">
        <v>1604.68</v>
      </c>
      <c r="CC49">
        <v>205</v>
      </c>
      <c r="CD49">
        <v>5143.66</v>
      </c>
      <c r="CE49">
        <v>1603.49</v>
      </c>
      <c r="CF49">
        <v>1.19</v>
      </c>
      <c r="CG49">
        <v>300</v>
      </c>
      <c r="CH49">
        <v>23.8</v>
      </c>
      <c r="CI49">
        <v>1692.7888277599</v>
      </c>
      <c r="CJ49">
        <v>2.09498752465247</v>
      </c>
      <c r="CK49">
        <v>-45.9300291555803</v>
      </c>
      <c r="CL49">
        <v>0.969584422003333</v>
      </c>
      <c r="CM49">
        <v>0.987676037593742</v>
      </c>
      <c r="CN49">
        <v>-0.00324261824249166</v>
      </c>
      <c r="CO49">
        <v>290</v>
      </c>
      <c r="CP49">
        <v>1600.87</v>
      </c>
      <c r="CQ49">
        <v>645</v>
      </c>
      <c r="CR49">
        <v>5141.7</v>
      </c>
      <c r="CS49">
        <v>1603.46</v>
      </c>
      <c r="CT49">
        <v>-2.59</v>
      </c>
      <c r="DH49">
        <f>$B$11*EG49+$C$11*EH49+$F$11*ES49*(1-EV49)</f>
        <v>0</v>
      </c>
      <c r="DI49">
        <f>DH49*DJ49</f>
        <v>0</v>
      </c>
      <c r="DJ49">
        <f>($B$11*$D$9+$C$11*$D$9+$F$11*((FF49+EX49)/MAX(FF49+EX49+FG49, 0.1)*$I$9+FG49/MAX(FF49+EX49+FG49, 0.1)*$J$9))/($B$11+$C$11+$F$11)</f>
        <v>0</v>
      </c>
      <c r="DK49">
        <f>($B$11*$K$9+$C$11*$K$9+$F$11*((FF49+EX49)/MAX(FF49+EX49+FG49, 0.1)*$P$9+FG49/MAX(FF49+EX49+FG49, 0.1)*$Q$9))/($B$11+$C$11+$F$11)</f>
        <v>0</v>
      </c>
      <c r="DL49">
        <v>3.21</v>
      </c>
      <c r="DM49">
        <v>0.5</v>
      </c>
      <c r="DN49" t="s">
        <v>440</v>
      </c>
      <c r="DO49">
        <v>2</v>
      </c>
      <c r="DP49" t="b">
        <v>1</v>
      </c>
      <c r="DQ49">
        <v>1760902106.5</v>
      </c>
      <c r="DR49">
        <v>408.3138125</v>
      </c>
      <c r="DS49">
        <v>420.0085</v>
      </c>
      <c r="DT49">
        <v>23.549175</v>
      </c>
      <c r="DU49">
        <v>20.34668125</v>
      </c>
      <c r="DV49">
        <v>405.9093125</v>
      </c>
      <c r="DW49">
        <v>23.1596125</v>
      </c>
      <c r="DX49">
        <v>500.026375</v>
      </c>
      <c r="DY49">
        <v>90.79294375</v>
      </c>
      <c r="DZ49">
        <v>0.0378630875</v>
      </c>
      <c r="EA49">
        <v>30.11745</v>
      </c>
      <c r="EB49">
        <v>29.99463125</v>
      </c>
      <c r="EC49">
        <v>999.9</v>
      </c>
      <c r="ED49">
        <v>0</v>
      </c>
      <c r="EE49">
        <v>0</v>
      </c>
      <c r="EF49">
        <v>9999.883125</v>
      </c>
      <c r="EG49">
        <v>0</v>
      </c>
      <c r="EH49">
        <v>1242.1075</v>
      </c>
      <c r="EI49">
        <v>-11.69476875</v>
      </c>
      <c r="EJ49">
        <v>418.1611875</v>
      </c>
      <c r="EK49">
        <v>428.7318125</v>
      </c>
      <c r="EL49">
        <v>3.202510625</v>
      </c>
      <c r="EM49">
        <v>420.0085</v>
      </c>
      <c r="EN49">
        <v>20.34668125</v>
      </c>
      <c r="EO49">
        <v>2.138099375</v>
      </c>
      <c r="EP49">
        <v>1.847335</v>
      </c>
      <c r="EQ49">
        <v>18.50590625</v>
      </c>
      <c r="ER49">
        <v>16.19318125</v>
      </c>
      <c r="ES49">
        <v>1199.979375</v>
      </c>
      <c r="ET49">
        <v>0.9669975</v>
      </c>
      <c r="EU49">
        <v>0.03300235625</v>
      </c>
      <c r="EV49">
        <v>0</v>
      </c>
      <c r="EW49">
        <v>1365.993125</v>
      </c>
      <c r="EX49">
        <v>5.00059</v>
      </c>
      <c r="EY49">
        <v>16465.7625</v>
      </c>
      <c r="EZ49">
        <v>10358.51875</v>
      </c>
      <c r="FA49">
        <v>43.875</v>
      </c>
      <c r="FB49">
        <v>45.375</v>
      </c>
      <c r="FC49">
        <v>44.062</v>
      </c>
      <c r="FD49">
        <v>45</v>
      </c>
      <c r="FE49">
        <v>45</v>
      </c>
      <c r="FF49">
        <v>1155.539375</v>
      </c>
      <c r="FG49">
        <v>39.44</v>
      </c>
      <c r="FH49">
        <v>0</v>
      </c>
      <c r="FI49">
        <v>125.199999809265</v>
      </c>
      <c r="FJ49">
        <v>0</v>
      </c>
      <c r="FK49">
        <v>1365.9992</v>
      </c>
      <c r="FL49">
        <v>1.18076923199477</v>
      </c>
      <c r="FM49">
        <v>34.907692222483</v>
      </c>
      <c r="FN49">
        <v>16466.504</v>
      </c>
      <c r="FO49">
        <v>15</v>
      </c>
      <c r="FP49">
        <v>0</v>
      </c>
      <c r="FQ49" t="s">
        <v>441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-11.6827238095238</v>
      </c>
      <c r="GD49">
        <v>-0.262207792207784</v>
      </c>
      <c r="GE49">
        <v>0.0345814553215187</v>
      </c>
      <c r="GF49">
        <v>1</v>
      </c>
      <c r="GG49">
        <v>1365.90323529412</v>
      </c>
      <c r="GH49">
        <v>0.664476692932939</v>
      </c>
      <c r="GI49">
        <v>0.193219177410094</v>
      </c>
      <c r="GJ49">
        <v>-1</v>
      </c>
      <c r="GK49">
        <v>3.19718333333333</v>
      </c>
      <c r="GL49">
        <v>0.0982644155844172</v>
      </c>
      <c r="GM49">
        <v>0.0100424116498993</v>
      </c>
      <c r="GN49">
        <v>1</v>
      </c>
      <c r="GO49">
        <v>2</v>
      </c>
      <c r="GP49">
        <v>2</v>
      </c>
      <c r="GQ49" t="s">
        <v>442</v>
      </c>
      <c r="GR49">
        <v>3.13019</v>
      </c>
      <c r="GS49">
        <v>2.71614</v>
      </c>
      <c r="GT49">
        <v>0.0863981</v>
      </c>
      <c r="GU49">
        <v>0.0888339</v>
      </c>
      <c r="GV49">
        <v>0.100344</v>
      </c>
      <c r="GW49">
        <v>0.0911041</v>
      </c>
      <c r="GX49">
        <v>33994.3</v>
      </c>
      <c r="GY49">
        <v>36194</v>
      </c>
      <c r="GZ49">
        <v>33700.3</v>
      </c>
      <c r="HA49">
        <v>36001.5</v>
      </c>
      <c r="HB49">
        <v>42912.6</v>
      </c>
      <c r="HC49">
        <v>47009.1</v>
      </c>
      <c r="HD49">
        <v>52651.8</v>
      </c>
      <c r="HE49">
        <v>57566.4</v>
      </c>
      <c r="HF49">
        <v>1.87363</v>
      </c>
      <c r="HG49">
        <v>1.74078</v>
      </c>
      <c r="HH49">
        <v>-0.00108033</v>
      </c>
      <c r="HI49">
        <v>0</v>
      </c>
      <c r="HJ49">
        <v>30.0167</v>
      </c>
      <c r="HK49">
        <v>999.9</v>
      </c>
      <c r="HL49">
        <v>53.907</v>
      </c>
      <c r="HM49">
        <v>29.668</v>
      </c>
      <c r="HN49">
        <v>24.8199</v>
      </c>
      <c r="HO49">
        <v>54.8961</v>
      </c>
      <c r="HP49">
        <v>44.5593</v>
      </c>
      <c r="HQ49">
        <v>1</v>
      </c>
      <c r="HR49">
        <v>0.618976</v>
      </c>
      <c r="HS49">
        <v>3.99178</v>
      </c>
      <c r="HT49">
        <v>20.0932</v>
      </c>
      <c r="HU49">
        <v>5.19662</v>
      </c>
      <c r="HV49">
        <v>12.0099</v>
      </c>
      <c r="HW49">
        <v>4.97375</v>
      </c>
      <c r="HX49">
        <v>3.29405</v>
      </c>
      <c r="HY49">
        <v>9999</v>
      </c>
      <c r="HZ49">
        <v>999.9</v>
      </c>
      <c r="IA49">
        <v>9999</v>
      </c>
      <c r="IB49">
        <v>9999</v>
      </c>
      <c r="IC49">
        <v>1.86322</v>
      </c>
      <c r="ID49">
        <v>1.86803</v>
      </c>
      <c r="IE49">
        <v>1.86781</v>
      </c>
      <c r="IF49">
        <v>1.86904</v>
      </c>
      <c r="IG49">
        <v>1.86981</v>
      </c>
      <c r="IH49">
        <v>1.86585</v>
      </c>
      <c r="II49">
        <v>1.86693</v>
      </c>
      <c r="IJ49">
        <v>1.86835</v>
      </c>
      <c r="IK49">
        <v>5</v>
      </c>
      <c r="IL49">
        <v>0</v>
      </c>
      <c r="IM49">
        <v>0</v>
      </c>
      <c r="IN49">
        <v>0</v>
      </c>
      <c r="IO49" t="s">
        <v>443</v>
      </c>
      <c r="IP49" t="s">
        <v>444</v>
      </c>
      <c r="IQ49" t="s">
        <v>445</v>
      </c>
      <c r="IR49" t="s">
        <v>445</v>
      </c>
      <c r="IS49" t="s">
        <v>445</v>
      </c>
      <c r="IT49" t="s">
        <v>445</v>
      </c>
      <c r="IU49">
        <v>0</v>
      </c>
      <c r="IV49">
        <v>100</v>
      </c>
      <c r="IW49">
        <v>100</v>
      </c>
      <c r="IX49">
        <v>2.405</v>
      </c>
      <c r="IY49">
        <v>0.39</v>
      </c>
      <c r="IZ49">
        <v>0.833350075594679</v>
      </c>
      <c r="JA49">
        <v>0.00412825224050377</v>
      </c>
      <c r="JB49">
        <v>-7.34426573386615e-07</v>
      </c>
      <c r="JC49">
        <v>2.46800082545482e-10</v>
      </c>
      <c r="JD49">
        <v>-0.0848433440729365</v>
      </c>
      <c r="JE49">
        <v>-0.0240557196358944</v>
      </c>
      <c r="JF49">
        <v>0.0027855358087715</v>
      </c>
      <c r="JG49">
        <v>-3.72349365099102e-05</v>
      </c>
      <c r="JH49">
        <v>5</v>
      </c>
      <c r="JI49">
        <v>2250</v>
      </c>
      <c r="JJ49">
        <v>0</v>
      </c>
      <c r="JK49">
        <v>24</v>
      </c>
      <c r="JL49">
        <v>29348368.6</v>
      </c>
      <c r="JM49">
        <v>29348368.6</v>
      </c>
      <c r="JN49">
        <v>1.01562</v>
      </c>
      <c r="JO49">
        <v>2.62451</v>
      </c>
      <c r="JP49">
        <v>1.54785</v>
      </c>
      <c r="JQ49">
        <v>2.31201</v>
      </c>
      <c r="JR49">
        <v>1.64673</v>
      </c>
      <c r="JS49">
        <v>2.37427</v>
      </c>
      <c r="JT49">
        <v>33.3784</v>
      </c>
      <c r="JU49">
        <v>24.1838</v>
      </c>
      <c r="JV49">
        <v>18</v>
      </c>
      <c r="JW49">
        <v>502.949</v>
      </c>
      <c r="JX49">
        <v>412.114</v>
      </c>
      <c r="JY49">
        <v>24.5156</v>
      </c>
      <c r="JZ49">
        <v>34.8127</v>
      </c>
      <c r="KA49">
        <v>30.0011</v>
      </c>
      <c r="KB49">
        <v>34.4948</v>
      </c>
      <c r="KC49">
        <v>34.4061</v>
      </c>
      <c r="KD49">
        <v>20.3385</v>
      </c>
      <c r="KE49">
        <v>26.1346</v>
      </c>
      <c r="KF49">
        <v>83.1006</v>
      </c>
      <c r="KG49">
        <v>24.5086</v>
      </c>
      <c r="KH49">
        <v>420</v>
      </c>
      <c r="KI49">
        <v>20.3696</v>
      </c>
      <c r="KJ49">
        <v>95.6534</v>
      </c>
      <c r="KK49">
        <v>93.2527</v>
      </c>
    </row>
    <row r="50" spans="1:297">
      <c r="A50">
        <v>34</v>
      </c>
      <c r="B50">
        <v>1760902749.1</v>
      </c>
      <c r="C50">
        <v>8985</v>
      </c>
      <c r="D50" t="s">
        <v>584</v>
      </c>
      <c r="E50" t="s">
        <v>585</v>
      </c>
      <c r="F50">
        <v>5</v>
      </c>
      <c r="G50" t="s">
        <v>586</v>
      </c>
      <c r="H50" t="s">
        <v>436</v>
      </c>
      <c r="I50">
        <v>1760902741.1</v>
      </c>
      <c r="J50">
        <f>(K50)/1000</f>
        <v>0</v>
      </c>
      <c r="K50">
        <f>IF(DP50, AN50, AH50)</f>
        <v>0</v>
      </c>
      <c r="L50">
        <f>IF(DP50, AI50, AG50)</f>
        <v>0</v>
      </c>
      <c r="M50">
        <f>DR50 - IF(AU50&gt;1, L50*DL50*100.0/(AW50), 0)</f>
        <v>0</v>
      </c>
      <c r="N50">
        <f>((T50-J50/2)*M50-L50)/(T50+J50/2)</f>
        <v>0</v>
      </c>
      <c r="O50">
        <f>N50*(DY50+DZ50)/1000.0</f>
        <v>0</v>
      </c>
      <c r="P50">
        <f>(DR50 - IF(AU50&gt;1, L50*DL50*100.0/(AW50), 0))*(DY50+DZ50)/1000.0</f>
        <v>0</v>
      </c>
      <c r="Q50">
        <f>2.0/((1/S50-1/R50)+SIGN(S50)*SQRT((1/S50-1/R50)*(1/S50-1/R50) + 4*DM50/((DM50+1)*(DM50+1))*(2*1/S50*1/R50-1/R50*1/R50)))</f>
        <v>0</v>
      </c>
      <c r="R50">
        <f>IF(LEFT(DN50,1)&lt;&gt;"0",IF(LEFT(DN50,1)="1",3.0,DO50),$D$5+$E$5*(EF50*DY50/($K$5*1000))+$F$5*(EF50*DY50/($K$5*1000))*MAX(MIN(DL50,$J$5),$I$5)*MAX(MIN(DL50,$J$5),$I$5)+$G$5*MAX(MIN(DL50,$J$5),$I$5)*(EF50*DY50/($K$5*1000))+$H$5*(EF50*DY50/($K$5*1000))*(EF50*DY50/($K$5*1000)))</f>
        <v>0</v>
      </c>
      <c r="S50">
        <f>J50*(1000-(1000*0.61365*exp(17.502*W50/(240.97+W50))/(DY50+DZ50)+DT50)/2)/(1000*0.61365*exp(17.502*W50/(240.97+W50))/(DY50+DZ50)-DT50)</f>
        <v>0</v>
      </c>
      <c r="T50">
        <f>1/((DM50+1)/(Q50/1.6)+1/(R50/1.37)) + DM50/((DM50+1)/(Q50/1.6) + DM50/(R50/1.37))</f>
        <v>0</v>
      </c>
      <c r="U50">
        <f>(DH50*DK50)</f>
        <v>0</v>
      </c>
      <c r="V50">
        <f>(EA50+(U50+2*0.95*5.67E-8*(((EA50+$B$7)+273)^4-(EA50+273)^4)-44100*J50)/(1.84*29.3*R50+8*0.95*5.67E-8*(EA50+273)^3))</f>
        <v>0</v>
      </c>
      <c r="W50">
        <f>($C$7*EB50+$D$7*EC50+$E$7*V50)</f>
        <v>0</v>
      </c>
      <c r="X50">
        <f>0.61365*exp(17.502*W50/(240.97+W50))</f>
        <v>0</v>
      </c>
      <c r="Y50">
        <f>(Z50/AA50*100)</f>
        <v>0</v>
      </c>
      <c r="Z50">
        <f>DT50*(DY50+DZ50)/1000</f>
        <v>0</v>
      </c>
      <c r="AA50">
        <f>0.61365*exp(17.502*EA50/(240.97+EA50))</f>
        <v>0</v>
      </c>
      <c r="AB50">
        <f>(X50-DT50*(DY50+DZ50)/1000)</f>
        <v>0</v>
      </c>
      <c r="AC50">
        <f>(-J50*44100)</f>
        <v>0</v>
      </c>
      <c r="AD50">
        <f>2*29.3*R50*0.92*(EA50-W50)</f>
        <v>0</v>
      </c>
      <c r="AE50">
        <f>2*0.95*5.67E-8*(((EA50+$B$7)+273)^4-(W50+273)^4)</f>
        <v>0</v>
      </c>
      <c r="AF50">
        <f>U50+AE50+AC50+AD50</f>
        <v>0</v>
      </c>
      <c r="AG50">
        <f>DX50*AU50*(DS50-DR50*(1000-AU50*DU50)/(1000-AU50*DT50))/(100*DL50)</f>
        <v>0</v>
      </c>
      <c r="AH50">
        <f>1000*DX50*AU50*(DT50-DU50)/(100*DL50*(1000-AU50*DT50))</f>
        <v>0</v>
      </c>
      <c r="AI50">
        <f>(AJ50 - AK50 - DY50*1E3/(8.314*(EA50+273.15)) * AM50/DX50 * AL50) * DX50/(100*DL50) * (1000 - DU50)/1000</f>
        <v>0</v>
      </c>
      <c r="AJ50">
        <v>428.391799297431</v>
      </c>
      <c r="AK50">
        <v>415.000418181818</v>
      </c>
      <c r="AL50">
        <v>-0.00125220908824782</v>
      </c>
      <c r="AM50">
        <v>64.9216663455603</v>
      </c>
      <c r="AN50">
        <f>(AP50 - AO50 + DY50*1E3/(8.314*(EA50+273.15)) * AR50/DX50 * AQ50) * DX50/(100*DL50) * 1000/(1000 - AP50)</f>
        <v>0</v>
      </c>
      <c r="AO50">
        <v>19.6014837420159</v>
      </c>
      <c r="AP50">
        <v>23.7363290909091</v>
      </c>
      <c r="AQ50">
        <v>-6.23014765864461e-06</v>
      </c>
      <c r="AR50">
        <v>117.998379623877</v>
      </c>
      <c r="AS50">
        <v>0</v>
      </c>
      <c r="AT50">
        <v>0</v>
      </c>
      <c r="AU50">
        <f>IF(AS50*$H$13&gt;=AW50,1.0,(AW50/(AW50-AS50*$H$13)))</f>
        <v>0</v>
      </c>
      <c r="AV50">
        <f>(AU50-1)*100</f>
        <v>0</v>
      </c>
      <c r="AW50">
        <f>MAX(0,($B$13+$C$13*EF50)/(1+$D$13*EF50)*DY50/(EA50+273)*$E$13)</f>
        <v>0</v>
      </c>
      <c r="AX50" t="s">
        <v>437</v>
      </c>
      <c r="AY50">
        <v>5082.33</v>
      </c>
      <c r="AZ50">
        <v>690.032</v>
      </c>
      <c r="BA50">
        <v>1612.68</v>
      </c>
      <c r="BB50">
        <f>1-AZ50/BA50</f>
        <v>0</v>
      </c>
      <c r="BC50">
        <v>-9.7270689171713</v>
      </c>
      <c r="BD50" t="s">
        <v>587</v>
      </c>
      <c r="BE50">
        <v>5135.59</v>
      </c>
      <c r="BF50">
        <v>1688.734</v>
      </c>
      <c r="BG50">
        <v>2097.65318864612</v>
      </c>
      <c r="BH50">
        <f>1-BF50/BG50</f>
        <v>0</v>
      </c>
      <c r="BI50">
        <v>0.5</v>
      </c>
      <c r="BJ50">
        <f>DI50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588</v>
      </c>
      <c r="BQ50">
        <v>846.93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BZ50">
        <v>162</v>
      </c>
      <c r="CA50">
        <v>290</v>
      </c>
      <c r="CB50">
        <v>1989.72</v>
      </c>
      <c r="CC50">
        <v>215</v>
      </c>
      <c r="CD50">
        <v>5135.59</v>
      </c>
      <c r="CE50">
        <v>1987.97</v>
      </c>
      <c r="CF50">
        <v>1.75</v>
      </c>
      <c r="CG50">
        <v>300</v>
      </c>
      <c r="CH50">
        <v>23.8</v>
      </c>
      <c r="CI50">
        <v>2097.65318864612</v>
      </c>
      <c r="CJ50">
        <v>2.4105045589989</v>
      </c>
      <c r="CK50">
        <v>-56.327005958866</v>
      </c>
      <c r="CL50">
        <v>1.11388031695885</v>
      </c>
      <c r="CM50">
        <v>0.989168908769111</v>
      </c>
      <c r="CN50">
        <v>-0.0032377659621802</v>
      </c>
      <c r="CO50">
        <v>290</v>
      </c>
      <c r="CP50">
        <v>1985.43</v>
      </c>
      <c r="CQ50">
        <v>755</v>
      </c>
      <c r="CR50">
        <v>5132.95</v>
      </c>
      <c r="CS50">
        <v>1987.92</v>
      </c>
      <c r="CT50">
        <v>-2.49</v>
      </c>
      <c r="DH50">
        <f>$B$11*EG50+$C$11*EH50+$F$11*ES50*(1-EV50)</f>
        <v>0</v>
      </c>
      <c r="DI50">
        <f>DH50*DJ50</f>
        <v>0</v>
      </c>
      <c r="DJ50">
        <f>($B$11*$D$9+$C$11*$D$9+$F$11*((FF50+EX50)/MAX(FF50+EX50+FG50, 0.1)*$I$9+FG50/MAX(FF50+EX50+FG50, 0.1)*$J$9))/($B$11+$C$11+$F$11)</f>
        <v>0</v>
      </c>
      <c r="DK50">
        <f>($B$11*$K$9+$C$11*$K$9+$F$11*((FF50+EX50)/MAX(FF50+EX50+FG50, 0.1)*$P$9+FG50/MAX(FF50+EX50+FG50, 0.1)*$Q$9))/($B$11+$C$11+$F$11)</f>
        <v>0</v>
      </c>
      <c r="DL50">
        <v>3.21</v>
      </c>
      <c r="DM50">
        <v>0.5</v>
      </c>
      <c r="DN50" t="s">
        <v>440</v>
      </c>
      <c r="DO50">
        <v>2</v>
      </c>
      <c r="DP50" t="b">
        <v>1</v>
      </c>
      <c r="DQ50">
        <v>1760902741.1</v>
      </c>
      <c r="DR50">
        <v>405.203533333333</v>
      </c>
      <c r="DS50">
        <v>420.014733333333</v>
      </c>
      <c r="DT50">
        <v>23.7405866666667</v>
      </c>
      <c r="DU50">
        <v>19.6161733333333</v>
      </c>
      <c r="DV50">
        <v>402.810133333333</v>
      </c>
      <c r="DW50">
        <v>23.3427733333333</v>
      </c>
      <c r="DX50">
        <v>500.0058</v>
      </c>
      <c r="DY50">
        <v>90.7601933333333</v>
      </c>
      <c r="DZ50">
        <v>0.0391418066666667</v>
      </c>
      <c r="EA50">
        <v>30.2345466666667</v>
      </c>
      <c r="EB50">
        <v>29.9931733333333</v>
      </c>
      <c r="EC50">
        <v>999.9</v>
      </c>
      <c r="ED50">
        <v>0</v>
      </c>
      <c r="EE50">
        <v>0</v>
      </c>
      <c r="EF50">
        <v>9993.88666666667</v>
      </c>
      <c r="EG50">
        <v>0</v>
      </c>
      <c r="EH50">
        <v>1254.16866666667</v>
      </c>
      <c r="EI50">
        <v>-14.81116</v>
      </c>
      <c r="EJ50">
        <v>415.0572</v>
      </c>
      <c r="EK50">
        <v>428.418466666667</v>
      </c>
      <c r="EL50">
        <v>4.12441333333333</v>
      </c>
      <c r="EM50">
        <v>420.014733333333</v>
      </c>
      <c r="EN50">
        <v>19.6161733333333</v>
      </c>
      <c r="EO50">
        <v>2.15470133333333</v>
      </c>
      <c r="EP50">
        <v>1.78036866666667</v>
      </c>
      <c r="EQ50">
        <v>18.62942</v>
      </c>
      <c r="ER50">
        <v>15.6154733333333</v>
      </c>
      <c r="ES50">
        <v>1200.05133333333</v>
      </c>
      <c r="ET50">
        <v>0.9670026</v>
      </c>
      <c r="EU50">
        <v>0.0329973133333333</v>
      </c>
      <c r="EV50">
        <v>0</v>
      </c>
      <c r="EW50">
        <v>1688.80666666667</v>
      </c>
      <c r="EX50">
        <v>5.00059</v>
      </c>
      <c r="EY50">
        <v>20396.8066666667</v>
      </c>
      <c r="EZ50">
        <v>10359.16</v>
      </c>
      <c r="FA50">
        <v>44.5</v>
      </c>
      <c r="FB50">
        <v>46.062</v>
      </c>
      <c r="FC50">
        <v>44.6374</v>
      </c>
      <c r="FD50">
        <v>45.7416</v>
      </c>
      <c r="FE50">
        <v>45.625</v>
      </c>
      <c r="FF50">
        <v>1155.62133333333</v>
      </c>
      <c r="FG50">
        <v>39.43</v>
      </c>
      <c r="FH50">
        <v>0</v>
      </c>
      <c r="FI50">
        <v>630.399999856949</v>
      </c>
      <c r="FJ50">
        <v>0</v>
      </c>
      <c r="FK50">
        <v>1688.734</v>
      </c>
      <c r="FL50">
        <v>-4.42615385674985</v>
      </c>
      <c r="FM50">
        <v>-55.7000003334518</v>
      </c>
      <c r="FN50">
        <v>20395.268</v>
      </c>
      <c r="FO50">
        <v>15</v>
      </c>
      <c r="FP50">
        <v>0</v>
      </c>
      <c r="FQ50" t="s">
        <v>441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-14.786905</v>
      </c>
      <c r="GD50">
        <v>-0.272711278195473</v>
      </c>
      <c r="GE50">
        <v>0.0449105608404082</v>
      </c>
      <c r="GF50">
        <v>1</v>
      </c>
      <c r="GG50">
        <v>1689.06029411765</v>
      </c>
      <c r="GH50">
        <v>-4.16394194281357</v>
      </c>
      <c r="GI50">
        <v>0.459651308340945</v>
      </c>
      <c r="GJ50">
        <v>-1</v>
      </c>
      <c r="GK50">
        <v>4.109262</v>
      </c>
      <c r="GL50">
        <v>0.255031578947374</v>
      </c>
      <c r="GM50">
        <v>0.0262981074604239</v>
      </c>
      <c r="GN50">
        <v>0</v>
      </c>
      <c r="GO50">
        <v>1</v>
      </c>
      <c r="GP50">
        <v>2</v>
      </c>
      <c r="GQ50" t="s">
        <v>454</v>
      </c>
      <c r="GR50">
        <v>3.12992</v>
      </c>
      <c r="GS50">
        <v>2.71737</v>
      </c>
      <c r="GT50">
        <v>0.0856428</v>
      </c>
      <c r="GU50">
        <v>0.0885869</v>
      </c>
      <c r="GV50">
        <v>0.100617</v>
      </c>
      <c r="GW50">
        <v>0.088448</v>
      </c>
      <c r="GX50">
        <v>33972.5</v>
      </c>
      <c r="GY50">
        <v>36135.5</v>
      </c>
      <c r="GZ50">
        <v>33655.5</v>
      </c>
      <c r="HA50">
        <v>35938.4</v>
      </c>
      <c r="HB50">
        <v>42858.3</v>
      </c>
      <c r="HC50">
        <v>47071.4</v>
      </c>
      <c r="HD50">
        <v>52596.6</v>
      </c>
      <c r="HE50">
        <v>57474.1</v>
      </c>
      <c r="HF50">
        <v>1.86318</v>
      </c>
      <c r="HG50">
        <v>1.72777</v>
      </c>
      <c r="HH50">
        <v>-0.0254512</v>
      </c>
      <c r="HI50">
        <v>0</v>
      </c>
      <c r="HJ50">
        <v>30.3885</v>
      </c>
      <c r="HK50">
        <v>999.9</v>
      </c>
      <c r="HL50">
        <v>53.785</v>
      </c>
      <c r="HM50">
        <v>29.668</v>
      </c>
      <c r="HN50">
        <v>24.7696</v>
      </c>
      <c r="HO50">
        <v>54.9107</v>
      </c>
      <c r="HP50">
        <v>44.6755</v>
      </c>
      <c r="HQ50">
        <v>1</v>
      </c>
      <c r="HR50">
        <v>0.688552</v>
      </c>
      <c r="HS50">
        <v>4.1111</v>
      </c>
      <c r="HT50">
        <v>20.0901</v>
      </c>
      <c r="HU50">
        <v>5.19573</v>
      </c>
      <c r="HV50">
        <v>12.0099</v>
      </c>
      <c r="HW50">
        <v>4.97365</v>
      </c>
      <c r="HX50">
        <v>3.29415</v>
      </c>
      <c r="HY50">
        <v>9999</v>
      </c>
      <c r="HZ50">
        <v>999.9</v>
      </c>
      <c r="IA50">
        <v>9999</v>
      </c>
      <c r="IB50">
        <v>9999</v>
      </c>
      <c r="IC50">
        <v>1.86324</v>
      </c>
      <c r="ID50">
        <v>1.86803</v>
      </c>
      <c r="IE50">
        <v>1.86782</v>
      </c>
      <c r="IF50">
        <v>1.86904</v>
      </c>
      <c r="IG50">
        <v>1.86981</v>
      </c>
      <c r="IH50">
        <v>1.86584</v>
      </c>
      <c r="II50">
        <v>1.86692</v>
      </c>
      <c r="IJ50">
        <v>1.86834</v>
      </c>
      <c r="IK50">
        <v>5</v>
      </c>
      <c r="IL50">
        <v>0</v>
      </c>
      <c r="IM50">
        <v>0</v>
      </c>
      <c r="IN50">
        <v>0</v>
      </c>
      <c r="IO50" t="s">
        <v>443</v>
      </c>
      <c r="IP50" t="s">
        <v>444</v>
      </c>
      <c r="IQ50" t="s">
        <v>445</v>
      </c>
      <c r="IR50" t="s">
        <v>445</v>
      </c>
      <c r="IS50" t="s">
        <v>445</v>
      </c>
      <c r="IT50" t="s">
        <v>445</v>
      </c>
      <c r="IU50">
        <v>0</v>
      </c>
      <c r="IV50">
        <v>100</v>
      </c>
      <c r="IW50">
        <v>100</v>
      </c>
      <c r="IX50">
        <v>2.393</v>
      </c>
      <c r="IY50">
        <v>0.3976</v>
      </c>
      <c r="IZ50">
        <v>0.833350075594679</v>
      </c>
      <c r="JA50">
        <v>0.00412825224050377</v>
      </c>
      <c r="JB50">
        <v>-7.34426573386615e-07</v>
      </c>
      <c r="JC50">
        <v>2.46800082545482e-10</v>
      </c>
      <c r="JD50">
        <v>-0.0848433440729365</v>
      </c>
      <c r="JE50">
        <v>-0.0240557196358944</v>
      </c>
      <c r="JF50">
        <v>0.0027855358087715</v>
      </c>
      <c r="JG50">
        <v>-3.72349365099102e-05</v>
      </c>
      <c r="JH50">
        <v>5</v>
      </c>
      <c r="JI50">
        <v>2250</v>
      </c>
      <c r="JJ50">
        <v>0</v>
      </c>
      <c r="JK50">
        <v>24</v>
      </c>
      <c r="JL50">
        <v>29348379.2</v>
      </c>
      <c r="JM50">
        <v>29348379.2</v>
      </c>
      <c r="JN50">
        <v>1.0144</v>
      </c>
      <c r="JO50">
        <v>2.62573</v>
      </c>
      <c r="JP50">
        <v>1.54785</v>
      </c>
      <c r="JQ50">
        <v>2.31201</v>
      </c>
      <c r="JR50">
        <v>1.64673</v>
      </c>
      <c r="JS50">
        <v>2.35229</v>
      </c>
      <c r="JT50">
        <v>33.6479</v>
      </c>
      <c r="JU50">
        <v>24.1838</v>
      </c>
      <c r="JV50">
        <v>18</v>
      </c>
      <c r="JW50">
        <v>503.459</v>
      </c>
      <c r="JX50">
        <v>410.693</v>
      </c>
      <c r="JY50">
        <v>24.5412</v>
      </c>
      <c r="JZ50">
        <v>35.689</v>
      </c>
      <c r="KA50">
        <v>30.0005</v>
      </c>
      <c r="KB50">
        <v>35.4775</v>
      </c>
      <c r="KC50">
        <v>35.3964</v>
      </c>
      <c r="KD50">
        <v>20.3092</v>
      </c>
      <c r="KE50">
        <v>27.2466</v>
      </c>
      <c r="KF50">
        <v>80.4923</v>
      </c>
      <c r="KG50">
        <v>24.5479</v>
      </c>
      <c r="KH50">
        <v>420</v>
      </c>
      <c r="KI50">
        <v>19.6237</v>
      </c>
      <c r="KJ50">
        <v>95.5427</v>
      </c>
      <c r="KK50">
        <v>93.0977</v>
      </c>
    </row>
    <row r="51" spans="1:297">
      <c r="A51">
        <v>35</v>
      </c>
      <c r="B51">
        <v>1760902894.1</v>
      </c>
      <c r="C51">
        <v>9130</v>
      </c>
      <c r="D51" t="s">
        <v>589</v>
      </c>
      <c r="E51" t="s">
        <v>590</v>
      </c>
      <c r="F51">
        <v>5</v>
      </c>
      <c r="G51" t="s">
        <v>586</v>
      </c>
      <c r="H51" t="s">
        <v>436</v>
      </c>
      <c r="I51">
        <v>1760902885.6</v>
      </c>
      <c r="J51">
        <f>(K51)/1000</f>
        <v>0</v>
      </c>
      <c r="K51">
        <f>IF(DP51, AN51, AH51)</f>
        <v>0</v>
      </c>
      <c r="L51">
        <f>IF(DP51, AI51, AG51)</f>
        <v>0</v>
      </c>
      <c r="M51">
        <f>DR51 - IF(AU51&gt;1, L51*DL51*100.0/(AW51), 0)</f>
        <v>0</v>
      </c>
      <c r="N51">
        <f>((T51-J51/2)*M51-L51)/(T51+J51/2)</f>
        <v>0</v>
      </c>
      <c r="O51">
        <f>N51*(DY51+DZ51)/1000.0</f>
        <v>0</v>
      </c>
      <c r="P51">
        <f>(DR51 - IF(AU51&gt;1, L51*DL51*100.0/(AW51), 0))*(DY51+DZ51)/1000.0</f>
        <v>0</v>
      </c>
      <c r="Q51">
        <f>2.0/((1/S51-1/R51)+SIGN(S51)*SQRT((1/S51-1/R51)*(1/S51-1/R51) + 4*DM51/((DM51+1)*(DM51+1))*(2*1/S51*1/R51-1/R51*1/R51)))</f>
        <v>0</v>
      </c>
      <c r="R51">
        <f>IF(LEFT(DN51,1)&lt;&gt;"0",IF(LEFT(DN51,1)="1",3.0,DO51),$D$5+$E$5*(EF51*DY51/($K$5*1000))+$F$5*(EF51*DY51/($K$5*1000))*MAX(MIN(DL51,$J$5),$I$5)*MAX(MIN(DL51,$J$5),$I$5)+$G$5*MAX(MIN(DL51,$J$5),$I$5)*(EF51*DY51/($K$5*1000))+$H$5*(EF51*DY51/($K$5*1000))*(EF51*DY51/($K$5*1000)))</f>
        <v>0</v>
      </c>
      <c r="S51">
        <f>J51*(1000-(1000*0.61365*exp(17.502*W51/(240.97+W51))/(DY51+DZ51)+DT51)/2)/(1000*0.61365*exp(17.502*W51/(240.97+W51))/(DY51+DZ51)-DT51)</f>
        <v>0</v>
      </c>
      <c r="T51">
        <f>1/((DM51+1)/(Q51/1.6)+1/(R51/1.37)) + DM51/((DM51+1)/(Q51/1.6) + DM51/(R51/1.37))</f>
        <v>0</v>
      </c>
      <c r="U51">
        <f>(DH51*DK51)</f>
        <v>0</v>
      </c>
      <c r="V51">
        <f>(EA51+(U51+2*0.95*5.67E-8*(((EA51+$B$7)+273)^4-(EA51+273)^4)-44100*J51)/(1.84*29.3*R51+8*0.95*5.67E-8*(EA51+273)^3))</f>
        <v>0</v>
      </c>
      <c r="W51">
        <f>($C$7*EB51+$D$7*EC51+$E$7*V51)</f>
        <v>0</v>
      </c>
      <c r="X51">
        <f>0.61365*exp(17.502*W51/(240.97+W51))</f>
        <v>0</v>
      </c>
      <c r="Y51">
        <f>(Z51/AA51*100)</f>
        <v>0</v>
      </c>
      <c r="Z51">
        <f>DT51*(DY51+DZ51)/1000</f>
        <v>0</v>
      </c>
      <c r="AA51">
        <f>0.61365*exp(17.502*EA51/(240.97+EA51))</f>
        <v>0</v>
      </c>
      <c r="AB51">
        <f>(X51-DT51*(DY51+DZ51)/1000)</f>
        <v>0</v>
      </c>
      <c r="AC51">
        <f>(-J51*44100)</f>
        <v>0</v>
      </c>
      <c r="AD51">
        <f>2*29.3*R51*0.92*(EA51-W51)</f>
        <v>0</v>
      </c>
      <c r="AE51">
        <f>2*0.95*5.67E-8*(((EA51+$B$7)+273)^4-(W51+273)^4)</f>
        <v>0</v>
      </c>
      <c r="AF51">
        <f>U51+AE51+AC51+AD51</f>
        <v>0</v>
      </c>
      <c r="AG51">
        <f>DX51*AU51*(DS51-DR51*(1000-AU51*DU51)/(1000-AU51*DT51))/(100*DL51)</f>
        <v>0</v>
      </c>
      <c r="AH51">
        <f>1000*DX51*AU51*(DT51-DU51)/(100*DL51*(1000-AU51*DT51))</f>
        <v>0</v>
      </c>
      <c r="AI51">
        <f>(AJ51 - AK51 - DY51*1E3/(8.314*(EA51+273.15)) * AM51/DX51 * AL51) * DX51/(100*DL51) * (1000 - DU51)/1000</f>
        <v>0</v>
      </c>
      <c r="AJ51">
        <v>428.287525080349</v>
      </c>
      <c r="AK51">
        <v>414.490139393939</v>
      </c>
      <c r="AL51">
        <v>0.000227505986347508</v>
      </c>
      <c r="AM51">
        <v>64.9216663455603</v>
      </c>
      <c r="AN51">
        <f>(AP51 - AO51 + DY51*1E3/(8.314*(EA51+273.15)) * AR51/DX51 * AQ51) * DX51/(100*DL51) * 1000/(1000 - AP51)</f>
        <v>0</v>
      </c>
      <c r="AO51">
        <v>19.332416876801</v>
      </c>
      <c r="AP51">
        <v>23.8522048484848</v>
      </c>
      <c r="AQ51">
        <v>0.000104665226855122</v>
      </c>
      <c r="AR51">
        <v>117.998379623877</v>
      </c>
      <c r="AS51">
        <v>0</v>
      </c>
      <c r="AT51">
        <v>0</v>
      </c>
      <c r="AU51">
        <f>IF(AS51*$H$13&gt;=AW51,1.0,(AW51/(AW51-AS51*$H$13)))</f>
        <v>0</v>
      </c>
      <c r="AV51">
        <f>(AU51-1)*100</f>
        <v>0</v>
      </c>
      <c r="AW51">
        <f>MAX(0,($B$13+$C$13*EF51)/(1+$D$13*EF51)*DY51/(EA51+273)*$E$13)</f>
        <v>0</v>
      </c>
      <c r="AX51" t="s">
        <v>437</v>
      </c>
      <c r="AY51">
        <v>5082.33</v>
      </c>
      <c r="AZ51">
        <v>690.032</v>
      </c>
      <c r="BA51">
        <v>1612.68</v>
      </c>
      <c r="BB51">
        <f>1-AZ51/BA51</f>
        <v>0</v>
      </c>
      <c r="BC51">
        <v>-9.7270689171713</v>
      </c>
      <c r="BD51" t="s">
        <v>591</v>
      </c>
      <c r="BE51">
        <v>5136.52</v>
      </c>
      <c r="BF51">
        <v>1678.2488</v>
      </c>
      <c r="BG51">
        <v>2089.37565841631</v>
      </c>
      <c r="BH51">
        <f>1-BF51/BG51</f>
        <v>0</v>
      </c>
      <c r="BI51">
        <v>0.5</v>
      </c>
      <c r="BJ51">
        <f>DI51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592</v>
      </c>
      <c r="BQ51">
        <v>843.07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BZ51">
        <v>164</v>
      </c>
      <c r="CA51">
        <v>290</v>
      </c>
      <c r="CB51">
        <v>1977.56</v>
      </c>
      <c r="CC51">
        <v>145</v>
      </c>
      <c r="CD51">
        <v>5136.52</v>
      </c>
      <c r="CE51">
        <v>1976.48</v>
      </c>
      <c r="CF51">
        <v>1.08</v>
      </c>
      <c r="CG51">
        <v>300</v>
      </c>
      <c r="CH51">
        <v>23.8</v>
      </c>
      <c r="CI51">
        <v>2089.37565841631</v>
      </c>
      <c r="CJ51">
        <v>2.20655053467272</v>
      </c>
      <c r="CK51">
        <v>-57.9893084999303</v>
      </c>
      <c r="CL51">
        <v>1.01956613878933</v>
      </c>
      <c r="CM51">
        <v>0.991418758776408</v>
      </c>
      <c r="CN51">
        <v>-0.0032375299221357</v>
      </c>
      <c r="CO51">
        <v>290</v>
      </c>
      <c r="CP51">
        <v>1973.32</v>
      </c>
      <c r="CQ51">
        <v>675</v>
      </c>
      <c r="CR51">
        <v>5133.12</v>
      </c>
      <c r="CS51">
        <v>1976.4</v>
      </c>
      <c r="CT51">
        <v>-3.08</v>
      </c>
      <c r="DH51">
        <f>$B$11*EG51+$C$11*EH51+$F$11*ES51*(1-EV51)</f>
        <v>0</v>
      </c>
      <c r="DI51">
        <f>DH51*DJ51</f>
        <v>0</v>
      </c>
      <c r="DJ51">
        <f>($B$11*$D$9+$C$11*$D$9+$F$11*((FF51+EX51)/MAX(FF51+EX51+FG51, 0.1)*$I$9+FG51/MAX(FF51+EX51+FG51, 0.1)*$J$9))/($B$11+$C$11+$F$11)</f>
        <v>0</v>
      </c>
      <c r="DK51">
        <f>($B$11*$K$9+$C$11*$K$9+$F$11*((FF51+EX51)/MAX(FF51+EX51+FG51, 0.1)*$P$9+FG51/MAX(FF51+EX51+FG51, 0.1)*$Q$9))/($B$11+$C$11+$F$11)</f>
        <v>0</v>
      </c>
      <c r="DL51">
        <v>3.21</v>
      </c>
      <c r="DM51">
        <v>0.5</v>
      </c>
      <c r="DN51" t="s">
        <v>440</v>
      </c>
      <c r="DO51">
        <v>2</v>
      </c>
      <c r="DP51" t="b">
        <v>1</v>
      </c>
      <c r="DQ51">
        <v>1760902885.6</v>
      </c>
      <c r="DR51">
        <v>404.6</v>
      </c>
      <c r="DS51">
        <v>420.0071875</v>
      </c>
      <c r="DT51">
        <v>23.84490625</v>
      </c>
      <c r="DU51">
        <v>19.3336</v>
      </c>
      <c r="DV51">
        <v>402.2090625</v>
      </c>
      <c r="DW51">
        <v>23.44258125</v>
      </c>
      <c r="DX51">
        <v>500.0175</v>
      </c>
      <c r="DY51">
        <v>90.76086875</v>
      </c>
      <c r="DZ51">
        <v>0.0391780875</v>
      </c>
      <c r="EA51">
        <v>30.3171125</v>
      </c>
      <c r="EB51">
        <v>29.98844375</v>
      </c>
      <c r="EC51">
        <v>999.9</v>
      </c>
      <c r="ED51">
        <v>0</v>
      </c>
      <c r="EE51">
        <v>0</v>
      </c>
      <c r="EF51">
        <v>10003.313125</v>
      </c>
      <c r="EG51">
        <v>0</v>
      </c>
      <c r="EH51">
        <v>1254.133125</v>
      </c>
      <c r="EI51">
        <v>-15.40703125</v>
      </c>
      <c r="EJ51">
        <v>414.483375</v>
      </c>
      <c r="EK51">
        <v>428.2875</v>
      </c>
      <c r="EL51">
        <v>4.511285625</v>
      </c>
      <c r="EM51">
        <v>420.0071875</v>
      </c>
      <c r="EN51">
        <v>19.3336</v>
      </c>
      <c r="EO51">
        <v>2.16418375</v>
      </c>
      <c r="EP51">
        <v>1.754738125</v>
      </c>
      <c r="EQ51">
        <v>18.699625</v>
      </c>
      <c r="ER51">
        <v>15.3893</v>
      </c>
      <c r="ES51">
        <v>1200.0175</v>
      </c>
      <c r="ET51">
        <v>0.967003875</v>
      </c>
      <c r="EU51">
        <v>0.032996075</v>
      </c>
      <c r="EV51">
        <v>0</v>
      </c>
      <c r="EW51">
        <v>1678.28375</v>
      </c>
      <c r="EX51">
        <v>5.00059</v>
      </c>
      <c r="EY51">
        <v>20278.575</v>
      </c>
      <c r="EZ51">
        <v>10358.86875</v>
      </c>
      <c r="FA51">
        <v>44.562</v>
      </c>
      <c r="FB51">
        <v>46.125</v>
      </c>
      <c r="FC51">
        <v>44.75</v>
      </c>
      <c r="FD51">
        <v>45.812</v>
      </c>
      <c r="FE51">
        <v>45.687</v>
      </c>
      <c r="FF51">
        <v>1155.5875</v>
      </c>
      <c r="FG51">
        <v>39.43</v>
      </c>
      <c r="FH51">
        <v>0</v>
      </c>
      <c r="FI51">
        <v>141.799999952316</v>
      </c>
      <c r="FJ51">
        <v>0</v>
      </c>
      <c r="FK51">
        <v>1678.2488</v>
      </c>
      <c r="FL51">
        <v>-2.19692306470904</v>
      </c>
      <c r="FM51">
        <v>-37.2615384962839</v>
      </c>
      <c r="FN51">
        <v>20277.324</v>
      </c>
      <c r="FO51">
        <v>15</v>
      </c>
      <c r="FP51">
        <v>0</v>
      </c>
      <c r="FQ51" t="s">
        <v>441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-15.4002285714286</v>
      </c>
      <c r="GD51">
        <v>-0.0219662337662375</v>
      </c>
      <c r="GE51">
        <v>0.0279497873380978</v>
      </c>
      <c r="GF51">
        <v>1</v>
      </c>
      <c r="GG51">
        <v>1678.47352941176</v>
      </c>
      <c r="GH51">
        <v>-2.39572192578025</v>
      </c>
      <c r="GI51">
        <v>0.308181405257867</v>
      </c>
      <c r="GJ51">
        <v>-1</v>
      </c>
      <c r="GK51">
        <v>4.49883761904762</v>
      </c>
      <c r="GL51">
        <v>0.175112727272734</v>
      </c>
      <c r="GM51">
        <v>0.0202086247275437</v>
      </c>
      <c r="GN51">
        <v>0</v>
      </c>
      <c r="GO51">
        <v>1</v>
      </c>
      <c r="GP51">
        <v>2</v>
      </c>
      <c r="GQ51" t="s">
        <v>454</v>
      </c>
      <c r="GR51">
        <v>3.12988</v>
      </c>
      <c r="GS51">
        <v>2.71713</v>
      </c>
      <c r="GT51">
        <v>0.0855087</v>
      </c>
      <c r="GU51">
        <v>0.0885385</v>
      </c>
      <c r="GV51">
        <v>0.100932</v>
      </c>
      <c r="GW51">
        <v>0.0875306</v>
      </c>
      <c r="GX51">
        <v>33969.7</v>
      </c>
      <c r="GY51">
        <v>36127.1</v>
      </c>
      <c r="GZ51">
        <v>33648.5</v>
      </c>
      <c r="HA51">
        <v>35928.9</v>
      </c>
      <c r="HB51">
        <v>42837</v>
      </c>
      <c r="HC51">
        <v>47107.9</v>
      </c>
      <c r="HD51">
        <v>52588.2</v>
      </c>
      <c r="HE51">
        <v>57460.8</v>
      </c>
      <c r="HF51">
        <v>1.8618</v>
      </c>
      <c r="HG51">
        <v>1.72523</v>
      </c>
      <c r="HH51">
        <v>-0.0277907</v>
      </c>
      <c r="HI51">
        <v>0</v>
      </c>
      <c r="HJ51">
        <v>30.4388</v>
      </c>
      <c r="HK51">
        <v>999.9</v>
      </c>
      <c r="HL51">
        <v>53.467</v>
      </c>
      <c r="HM51">
        <v>29.719</v>
      </c>
      <c r="HN51">
        <v>24.6973</v>
      </c>
      <c r="HO51">
        <v>54.5407</v>
      </c>
      <c r="HP51">
        <v>44.383</v>
      </c>
      <c r="HQ51">
        <v>1</v>
      </c>
      <c r="HR51">
        <v>0.698661</v>
      </c>
      <c r="HS51">
        <v>4.06397</v>
      </c>
      <c r="HT51">
        <v>20.0911</v>
      </c>
      <c r="HU51">
        <v>5.19573</v>
      </c>
      <c r="HV51">
        <v>12.0099</v>
      </c>
      <c r="HW51">
        <v>4.97385</v>
      </c>
      <c r="HX51">
        <v>3.29433</v>
      </c>
      <c r="HY51">
        <v>9999</v>
      </c>
      <c r="HZ51">
        <v>999.9</v>
      </c>
      <c r="IA51">
        <v>9999</v>
      </c>
      <c r="IB51">
        <v>9999</v>
      </c>
      <c r="IC51">
        <v>1.86325</v>
      </c>
      <c r="ID51">
        <v>1.86808</v>
      </c>
      <c r="IE51">
        <v>1.86783</v>
      </c>
      <c r="IF51">
        <v>1.86905</v>
      </c>
      <c r="IG51">
        <v>1.86983</v>
      </c>
      <c r="IH51">
        <v>1.86586</v>
      </c>
      <c r="II51">
        <v>1.86691</v>
      </c>
      <c r="IJ51">
        <v>1.86839</v>
      </c>
      <c r="IK51">
        <v>5</v>
      </c>
      <c r="IL51">
        <v>0</v>
      </c>
      <c r="IM51">
        <v>0</v>
      </c>
      <c r="IN51">
        <v>0</v>
      </c>
      <c r="IO51" t="s">
        <v>443</v>
      </c>
      <c r="IP51" t="s">
        <v>444</v>
      </c>
      <c r="IQ51" t="s">
        <v>445</v>
      </c>
      <c r="IR51" t="s">
        <v>445</v>
      </c>
      <c r="IS51" t="s">
        <v>445</v>
      </c>
      <c r="IT51" t="s">
        <v>445</v>
      </c>
      <c r="IU51">
        <v>0</v>
      </c>
      <c r="IV51">
        <v>100</v>
      </c>
      <c r="IW51">
        <v>100</v>
      </c>
      <c r="IX51">
        <v>2.391</v>
      </c>
      <c r="IY51">
        <v>0.4028</v>
      </c>
      <c r="IZ51">
        <v>0.833350075594679</v>
      </c>
      <c r="JA51">
        <v>0.00412825224050377</v>
      </c>
      <c r="JB51">
        <v>-7.34426573386615e-07</v>
      </c>
      <c r="JC51">
        <v>2.46800082545482e-10</v>
      </c>
      <c r="JD51">
        <v>-0.0848433440729365</v>
      </c>
      <c r="JE51">
        <v>-0.0240557196358944</v>
      </c>
      <c r="JF51">
        <v>0.0027855358087715</v>
      </c>
      <c r="JG51">
        <v>-3.72349365099102e-05</v>
      </c>
      <c r="JH51">
        <v>5</v>
      </c>
      <c r="JI51">
        <v>2250</v>
      </c>
      <c r="JJ51">
        <v>0</v>
      </c>
      <c r="JK51">
        <v>24</v>
      </c>
      <c r="JL51">
        <v>29348381.6</v>
      </c>
      <c r="JM51">
        <v>29348381.6</v>
      </c>
      <c r="JN51">
        <v>1.01318</v>
      </c>
      <c r="JO51">
        <v>2.62329</v>
      </c>
      <c r="JP51">
        <v>1.54785</v>
      </c>
      <c r="JQ51">
        <v>2.31201</v>
      </c>
      <c r="JR51">
        <v>1.64673</v>
      </c>
      <c r="JS51">
        <v>2.39136</v>
      </c>
      <c r="JT51">
        <v>33.7155</v>
      </c>
      <c r="JU51">
        <v>24.1838</v>
      </c>
      <c r="JV51">
        <v>18</v>
      </c>
      <c r="JW51">
        <v>503.703</v>
      </c>
      <c r="JX51">
        <v>410.16</v>
      </c>
      <c r="JY51">
        <v>24.6485</v>
      </c>
      <c r="JZ51">
        <v>35.8244</v>
      </c>
      <c r="KA51">
        <v>30.0003</v>
      </c>
      <c r="KB51">
        <v>35.6313</v>
      </c>
      <c r="KC51">
        <v>35.5521</v>
      </c>
      <c r="KD51">
        <v>20.3065</v>
      </c>
      <c r="KE51">
        <v>27.5235</v>
      </c>
      <c r="KF51">
        <v>79.3729</v>
      </c>
      <c r="KG51">
        <v>24.6601</v>
      </c>
      <c r="KH51">
        <v>420</v>
      </c>
      <c r="KI51">
        <v>19.3352</v>
      </c>
      <c r="KJ51">
        <v>95.5256</v>
      </c>
      <c r="KK51">
        <v>93.0751</v>
      </c>
    </row>
    <row r="52" spans="1:297">
      <c r="A52">
        <v>36</v>
      </c>
      <c r="B52">
        <v>1760903071.1</v>
      </c>
      <c r="C52">
        <v>9307</v>
      </c>
      <c r="D52" t="s">
        <v>593</v>
      </c>
      <c r="E52" t="s">
        <v>594</v>
      </c>
      <c r="F52">
        <v>5</v>
      </c>
      <c r="G52" t="s">
        <v>586</v>
      </c>
      <c r="H52" t="s">
        <v>436</v>
      </c>
      <c r="I52">
        <v>1760903065.1</v>
      </c>
      <c r="J52">
        <f>(K52)/1000</f>
        <v>0</v>
      </c>
      <c r="K52">
        <f>IF(DP52, AN52, AH52)</f>
        <v>0</v>
      </c>
      <c r="L52">
        <f>IF(DP52, AI52, AG52)</f>
        <v>0</v>
      </c>
      <c r="M52">
        <f>DR52 - IF(AU52&gt;1, L52*DL52*100.0/(AW52), 0)</f>
        <v>0</v>
      </c>
      <c r="N52">
        <f>((T52-J52/2)*M52-L52)/(T52+J52/2)</f>
        <v>0</v>
      </c>
      <c r="O52">
        <f>N52*(DY52+DZ52)/1000.0</f>
        <v>0</v>
      </c>
      <c r="P52">
        <f>(DR52 - IF(AU52&gt;1, L52*DL52*100.0/(AW52), 0))*(DY52+DZ52)/1000.0</f>
        <v>0</v>
      </c>
      <c r="Q52">
        <f>2.0/((1/S52-1/R52)+SIGN(S52)*SQRT((1/S52-1/R52)*(1/S52-1/R52) + 4*DM52/((DM52+1)*(DM52+1))*(2*1/S52*1/R52-1/R52*1/R52)))</f>
        <v>0</v>
      </c>
      <c r="R52">
        <f>IF(LEFT(DN52,1)&lt;&gt;"0",IF(LEFT(DN52,1)="1",3.0,DO52),$D$5+$E$5*(EF52*DY52/($K$5*1000))+$F$5*(EF52*DY52/($K$5*1000))*MAX(MIN(DL52,$J$5),$I$5)*MAX(MIN(DL52,$J$5),$I$5)+$G$5*MAX(MIN(DL52,$J$5),$I$5)*(EF52*DY52/($K$5*1000))+$H$5*(EF52*DY52/($K$5*1000))*(EF52*DY52/($K$5*1000)))</f>
        <v>0</v>
      </c>
      <c r="S52">
        <f>J52*(1000-(1000*0.61365*exp(17.502*W52/(240.97+W52))/(DY52+DZ52)+DT52)/2)/(1000*0.61365*exp(17.502*W52/(240.97+W52))/(DY52+DZ52)-DT52)</f>
        <v>0</v>
      </c>
      <c r="T52">
        <f>1/((DM52+1)/(Q52/1.6)+1/(R52/1.37)) + DM52/((DM52+1)/(Q52/1.6) + DM52/(R52/1.37))</f>
        <v>0</v>
      </c>
      <c r="U52">
        <f>(DH52*DK52)</f>
        <v>0</v>
      </c>
      <c r="V52">
        <f>(EA52+(U52+2*0.95*5.67E-8*(((EA52+$B$7)+273)^4-(EA52+273)^4)-44100*J52)/(1.84*29.3*R52+8*0.95*5.67E-8*(EA52+273)^3))</f>
        <v>0</v>
      </c>
      <c r="W52">
        <f>($C$7*EB52+$D$7*EC52+$E$7*V52)</f>
        <v>0</v>
      </c>
      <c r="X52">
        <f>0.61365*exp(17.502*W52/(240.97+W52))</f>
        <v>0</v>
      </c>
      <c r="Y52">
        <f>(Z52/AA52*100)</f>
        <v>0</v>
      </c>
      <c r="Z52">
        <f>DT52*(DY52+DZ52)/1000</f>
        <v>0</v>
      </c>
      <c r="AA52">
        <f>0.61365*exp(17.502*EA52/(240.97+EA52))</f>
        <v>0</v>
      </c>
      <c r="AB52">
        <f>(X52-DT52*(DY52+DZ52)/1000)</f>
        <v>0</v>
      </c>
      <c r="AC52">
        <f>(-J52*44100)</f>
        <v>0</v>
      </c>
      <c r="AD52">
        <f>2*29.3*R52*0.92*(EA52-W52)</f>
        <v>0</v>
      </c>
      <c r="AE52">
        <f>2*0.95*5.67E-8*(((EA52+$B$7)+273)^4-(W52+273)^4)</f>
        <v>0</v>
      </c>
      <c r="AF52">
        <f>U52+AE52+AC52+AD52</f>
        <v>0</v>
      </c>
      <c r="AG52">
        <f>DX52*AU52*(DS52-DR52*(1000-AU52*DU52)/(1000-AU52*DT52))/(100*DL52)</f>
        <v>0</v>
      </c>
      <c r="AH52">
        <f>1000*DX52*AU52*(DT52-DU52)/(100*DL52*(1000-AU52*DT52))</f>
        <v>0</v>
      </c>
      <c r="AI52">
        <f>(AJ52 - AK52 - DY52*1E3/(8.314*(EA52+273.15)) * AM52/DX52 * AL52) * DX52/(100*DL52) * (1000 - DU52)/1000</f>
        <v>0</v>
      </c>
      <c r="AJ52">
        <v>428.130808069333</v>
      </c>
      <c r="AK52">
        <v>414.121478787879</v>
      </c>
      <c r="AL52">
        <v>-0.00239152417323966</v>
      </c>
      <c r="AM52">
        <v>64.9216663455603</v>
      </c>
      <c r="AN52">
        <f>(AP52 - AO52 + DY52*1E3/(8.314*(EA52+273.15)) * AR52/DX52 * AQ52) * DX52/(100*DL52) * 1000/(1000 - AP52)</f>
        <v>0</v>
      </c>
      <c r="AO52">
        <v>19.022241565003</v>
      </c>
      <c r="AP52">
        <v>23.9998375757576</v>
      </c>
      <c r="AQ52">
        <v>-0.000107190079133265</v>
      </c>
      <c r="AR52">
        <v>117.998379623877</v>
      </c>
      <c r="AS52">
        <v>0</v>
      </c>
      <c r="AT52">
        <v>0</v>
      </c>
      <c r="AU52">
        <f>IF(AS52*$H$13&gt;=AW52,1.0,(AW52/(AW52-AS52*$H$13)))</f>
        <v>0</v>
      </c>
      <c r="AV52">
        <f>(AU52-1)*100</f>
        <v>0</v>
      </c>
      <c r="AW52">
        <f>MAX(0,($B$13+$C$13*EF52)/(1+$D$13*EF52)*DY52/(EA52+273)*$E$13)</f>
        <v>0</v>
      </c>
      <c r="AX52" t="s">
        <v>437</v>
      </c>
      <c r="AY52">
        <v>5082.33</v>
      </c>
      <c r="AZ52">
        <v>690.032</v>
      </c>
      <c r="BA52">
        <v>1612.68</v>
      </c>
      <c r="BB52">
        <f>1-AZ52/BA52</f>
        <v>0</v>
      </c>
      <c r="BC52">
        <v>-9.7270689171713</v>
      </c>
      <c r="BD52" t="s">
        <v>595</v>
      </c>
      <c r="BE52">
        <v>5136.12</v>
      </c>
      <c r="BF52">
        <v>1666.24576923077</v>
      </c>
      <c r="BG52">
        <v>2076.14989690887</v>
      </c>
      <c r="BH52">
        <f>1-BF52/BG52</f>
        <v>0</v>
      </c>
      <c r="BI52">
        <v>0.5</v>
      </c>
      <c r="BJ52">
        <f>DI52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596</v>
      </c>
      <c r="BQ52">
        <v>838.73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BZ52">
        <v>166</v>
      </c>
      <c r="CA52">
        <v>290</v>
      </c>
      <c r="CB52">
        <v>1963.13</v>
      </c>
      <c r="CC52">
        <v>155</v>
      </c>
      <c r="CD52">
        <v>5136.12</v>
      </c>
      <c r="CE52">
        <v>1961.79</v>
      </c>
      <c r="CF52">
        <v>1.34</v>
      </c>
      <c r="CG52">
        <v>300</v>
      </c>
      <c r="CH52">
        <v>23.8</v>
      </c>
      <c r="CI52">
        <v>2076.14989690887</v>
      </c>
      <c r="CJ52">
        <v>2.10655596118795</v>
      </c>
      <c r="CK52">
        <v>-58.7364778743533</v>
      </c>
      <c r="CL52">
        <v>0.97332532489251</v>
      </c>
      <c r="CM52">
        <v>0.992369871577377</v>
      </c>
      <c r="CN52">
        <v>-0.00323736218020022</v>
      </c>
      <c r="CO52">
        <v>290</v>
      </c>
      <c r="CP52">
        <v>1958.12</v>
      </c>
      <c r="CQ52">
        <v>725</v>
      </c>
      <c r="CR52">
        <v>5132.56</v>
      </c>
      <c r="CS52">
        <v>1961.71</v>
      </c>
      <c r="CT52">
        <v>-3.59</v>
      </c>
      <c r="DH52">
        <f>$B$11*EG52+$C$11*EH52+$F$11*ES52*(1-EV52)</f>
        <v>0</v>
      </c>
      <c r="DI52">
        <f>DH52*DJ52</f>
        <v>0</v>
      </c>
      <c r="DJ52">
        <f>($B$11*$D$9+$C$11*$D$9+$F$11*((FF52+EX52)/MAX(FF52+EX52+FG52, 0.1)*$I$9+FG52/MAX(FF52+EX52+FG52, 0.1)*$J$9))/($B$11+$C$11+$F$11)</f>
        <v>0</v>
      </c>
      <c r="DK52">
        <f>($B$11*$K$9+$C$11*$K$9+$F$11*((FF52+EX52)/MAX(FF52+EX52+FG52, 0.1)*$P$9+FG52/MAX(FF52+EX52+FG52, 0.1)*$Q$9))/($B$11+$C$11+$F$11)</f>
        <v>0</v>
      </c>
      <c r="DL52">
        <v>3.21</v>
      </c>
      <c r="DM52">
        <v>0.5</v>
      </c>
      <c r="DN52" t="s">
        <v>440</v>
      </c>
      <c r="DO52">
        <v>2</v>
      </c>
      <c r="DP52" t="b">
        <v>1</v>
      </c>
      <c r="DQ52">
        <v>1760903065.1</v>
      </c>
      <c r="DR52">
        <v>404.223090909091</v>
      </c>
      <c r="DS52">
        <v>420.014909090909</v>
      </c>
      <c r="DT52">
        <v>24.0108727272727</v>
      </c>
      <c r="DU52">
        <v>19.0303909090909</v>
      </c>
      <c r="DV52">
        <v>401.833454545455</v>
      </c>
      <c r="DW52">
        <v>23.6013636363636</v>
      </c>
      <c r="DX52">
        <v>499.999818181818</v>
      </c>
      <c r="DY52">
        <v>90.7543454545454</v>
      </c>
      <c r="DZ52">
        <v>0.0390509</v>
      </c>
      <c r="EA52">
        <v>30.4134545454545</v>
      </c>
      <c r="EB52">
        <v>29.9816090909091</v>
      </c>
      <c r="EC52">
        <v>999.9</v>
      </c>
      <c r="ED52">
        <v>0</v>
      </c>
      <c r="EE52">
        <v>0</v>
      </c>
      <c r="EF52">
        <v>9989.77454545454</v>
      </c>
      <c r="EG52">
        <v>0</v>
      </c>
      <c r="EH52">
        <v>1254.04545454545</v>
      </c>
      <c r="EI52">
        <v>-15.7918090909091</v>
      </c>
      <c r="EJ52">
        <v>414.167545454545</v>
      </c>
      <c r="EK52">
        <v>428.163</v>
      </c>
      <c r="EL52">
        <v>4.98049727272727</v>
      </c>
      <c r="EM52">
        <v>420.014909090909</v>
      </c>
      <c r="EN52">
        <v>19.0303909090909</v>
      </c>
      <c r="EO52">
        <v>2.17909272727273</v>
      </c>
      <c r="EP52">
        <v>1.72708909090909</v>
      </c>
      <c r="EQ52">
        <v>18.8094272727273</v>
      </c>
      <c r="ER52">
        <v>15.1420727272727</v>
      </c>
      <c r="ES52">
        <v>1200.00545454545</v>
      </c>
      <c r="ET52">
        <v>0.967004181818182</v>
      </c>
      <c r="EU52">
        <v>0.0329958363636364</v>
      </c>
      <c r="EV52">
        <v>0</v>
      </c>
      <c r="EW52">
        <v>1666.19181818182</v>
      </c>
      <c r="EX52">
        <v>5.00059</v>
      </c>
      <c r="EY52">
        <v>20132.8363636364</v>
      </c>
      <c r="EZ52">
        <v>10358.7636363636</v>
      </c>
      <c r="FA52">
        <v>44.562</v>
      </c>
      <c r="FB52">
        <v>46.187</v>
      </c>
      <c r="FC52">
        <v>44.75</v>
      </c>
      <c r="FD52">
        <v>45.7669090909091</v>
      </c>
      <c r="FE52">
        <v>45.7328181818182</v>
      </c>
      <c r="FF52">
        <v>1155.57545454545</v>
      </c>
      <c r="FG52">
        <v>39.43</v>
      </c>
      <c r="FH52">
        <v>0</v>
      </c>
      <c r="FI52">
        <v>173.599999904633</v>
      </c>
      <c r="FJ52">
        <v>0</v>
      </c>
      <c r="FK52">
        <v>1666.24576923077</v>
      </c>
      <c r="FL52">
        <v>-3.72957263269614</v>
      </c>
      <c r="FM52">
        <v>-55.1794870865717</v>
      </c>
      <c r="FN52">
        <v>20134.4461538462</v>
      </c>
      <c r="FO52">
        <v>15</v>
      </c>
      <c r="FP52">
        <v>0</v>
      </c>
      <c r="FQ52" t="s">
        <v>441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-15.7995714285714</v>
      </c>
      <c r="GD52">
        <v>0.0726857142857148</v>
      </c>
      <c r="GE52">
        <v>0.0426193131143632</v>
      </c>
      <c r="GF52">
        <v>1</v>
      </c>
      <c r="GG52">
        <v>1666.42676470588</v>
      </c>
      <c r="GH52">
        <v>-3.45897630574996</v>
      </c>
      <c r="GI52">
        <v>0.385507462262666</v>
      </c>
      <c r="GJ52">
        <v>-1</v>
      </c>
      <c r="GK52">
        <v>4.95912523809524</v>
      </c>
      <c r="GL52">
        <v>0.235665974025971</v>
      </c>
      <c r="GM52">
        <v>0.0260846314210473</v>
      </c>
      <c r="GN52">
        <v>0</v>
      </c>
      <c r="GO52">
        <v>1</v>
      </c>
      <c r="GP52">
        <v>2</v>
      </c>
      <c r="GQ52" t="s">
        <v>454</v>
      </c>
      <c r="GR52">
        <v>3.12971</v>
      </c>
      <c r="GS52">
        <v>2.71715</v>
      </c>
      <c r="GT52">
        <v>0.0854153</v>
      </c>
      <c r="GU52">
        <v>0.0885022</v>
      </c>
      <c r="GV52">
        <v>0.101333</v>
      </c>
      <c r="GW52">
        <v>0.0864735</v>
      </c>
      <c r="GX52">
        <v>33967.8</v>
      </c>
      <c r="GY52">
        <v>36121.8</v>
      </c>
      <c r="GZ52">
        <v>33643.8</v>
      </c>
      <c r="HA52">
        <v>35922.7</v>
      </c>
      <c r="HB52">
        <v>42813.7</v>
      </c>
      <c r="HC52">
        <v>47155.3</v>
      </c>
      <c r="HD52">
        <v>52582.5</v>
      </c>
      <c r="HE52">
        <v>57452.2</v>
      </c>
      <c r="HF52">
        <v>1.86125</v>
      </c>
      <c r="HG52">
        <v>1.72355</v>
      </c>
      <c r="HH52">
        <v>-0.0292584</v>
      </c>
      <c r="HI52">
        <v>0</v>
      </c>
      <c r="HJ52">
        <v>30.4494</v>
      </c>
      <c r="HK52">
        <v>999.9</v>
      </c>
      <c r="HL52">
        <v>52.985</v>
      </c>
      <c r="HM52">
        <v>29.729</v>
      </c>
      <c r="HN52">
        <v>24.4893</v>
      </c>
      <c r="HO52">
        <v>54.2107</v>
      </c>
      <c r="HP52">
        <v>44.359</v>
      </c>
      <c r="HQ52">
        <v>1</v>
      </c>
      <c r="HR52">
        <v>0.704037</v>
      </c>
      <c r="HS52">
        <v>3.84959</v>
      </c>
      <c r="HT52">
        <v>20.0955</v>
      </c>
      <c r="HU52">
        <v>5.19273</v>
      </c>
      <c r="HV52">
        <v>12.0099</v>
      </c>
      <c r="HW52">
        <v>4.97355</v>
      </c>
      <c r="HX52">
        <v>3.29417</v>
      </c>
      <c r="HY52">
        <v>9999</v>
      </c>
      <c r="HZ52">
        <v>999.9</v>
      </c>
      <c r="IA52">
        <v>9999</v>
      </c>
      <c r="IB52">
        <v>9999</v>
      </c>
      <c r="IC52">
        <v>1.86325</v>
      </c>
      <c r="ID52">
        <v>1.86803</v>
      </c>
      <c r="IE52">
        <v>1.86783</v>
      </c>
      <c r="IF52">
        <v>1.86904</v>
      </c>
      <c r="IG52">
        <v>1.86982</v>
      </c>
      <c r="IH52">
        <v>1.86584</v>
      </c>
      <c r="II52">
        <v>1.86692</v>
      </c>
      <c r="IJ52">
        <v>1.86836</v>
      </c>
      <c r="IK52">
        <v>5</v>
      </c>
      <c r="IL52">
        <v>0</v>
      </c>
      <c r="IM52">
        <v>0</v>
      </c>
      <c r="IN52">
        <v>0</v>
      </c>
      <c r="IO52" t="s">
        <v>443</v>
      </c>
      <c r="IP52" t="s">
        <v>444</v>
      </c>
      <c r="IQ52" t="s">
        <v>445</v>
      </c>
      <c r="IR52" t="s">
        <v>445</v>
      </c>
      <c r="IS52" t="s">
        <v>445</v>
      </c>
      <c r="IT52" t="s">
        <v>445</v>
      </c>
      <c r="IU52">
        <v>0</v>
      </c>
      <c r="IV52">
        <v>100</v>
      </c>
      <c r="IW52">
        <v>100</v>
      </c>
      <c r="IX52">
        <v>2.39</v>
      </c>
      <c r="IY52">
        <v>0.409</v>
      </c>
      <c r="IZ52">
        <v>0.833350075594679</v>
      </c>
      <c r="JA52">
        <v>0.00412825224050377</v>
      </c>
      <c r="JB52">
        <v>-7.34426573386615e-07</v>
      </c>
      <c r="JC52">
        <v>2.46800082545482e-10</v>
      </c>
      <c r="JD52">
        <v>-0.0848433440729365</v>
      </c>
      <c r="JE52">
        <v>-0.0240557196358944</v>
      </c>
      <c r="JF52">
        <v>0.0027855358087715</v>
      </c>
      <c r="JG52">
        <v>-3.72349365099102e-05</v>
      </c>
      <c r="JH52">
        <v>5</v>
      </c>
      <c r="JI52">
        <v>2250</v>
      </c>
      <c r="JJ52">
        <v>0</v>
      </c>
      <c r="JK52">
        <v>24</v>
      </c>
      <c r="JL52">
        <v>29348384.5</v>
      </c>
      <c r="JM52">
        <v>29348384.5</v>
      </c>
      <c r="JN52">
        <v>1.01318</v>
      </c>
      <c r="JO52">
        <v>2.61597</v>
      </c>
      <c r="JP52">
        <v>1.54785</v>
      </c>
      <c r="JQ52">
        <v>2.31201</v>
      </c>
      <c r="JR52">
        <v>1.64673</v>
      </c>
      <c r="JS52">
        <v>2.37549</v>
      </c>
      <c r="JT52">
        <v>33.7832</v>
      </c>
      <c r="JU52">
        <v>24.1926</v>
      </c>
      <c r="JV52">
        <v>18</v>
      </c>
      <c r="JW52">
        <v>504.271</v>
      </c>
      <c r="JX52">
        <v>409.939</v>
      </c>
      <c r="JY52">
        <v>24.9277</v>
      </c>
      <c r="JZ52">
        <v>35.9256</v>
      </c>
      <c r="KA52">
        <v>30.0001</v>
      </c>
      <c r="KB52">
        <v>35.754</v>
      </c>
      <c r="KC52">
        <v>35.6759</v>
      </c>
      <c r="KD52">
        <v>20.2988</v>
      </c>
      <c r="KE52">
        <v>27.7927</v>
      </c>
      <c r="KF52">
        <v>77.5004</v>
      </c>
      <c r="KG52">
        <v>24.9315</v>
      </c>
      <c r="KH52">
        <v>420</v>
      </c>
      <c r="KI52">
        <v>19.0045</v>
      </c>
      <c r="KJ52">
        <v>95.5141</v>
      </c>
      <c r="KK52">
        <v>93.0604</v>
      </c>
    </row>
    <row r="53" spans="1:297">
      <c r="A53">
        <v>37</v>
      </c>
      <c r="B53">
        <v>1760903485.1</v>
      </c>
      <c r="C53">
        <v>9721</v>
      </c>
      <c r="D53" t="s">
        <v>597</v>
      </c>
      <c r="E53" t="s">
        <v>598</v>
      </c>
      <c r="F53">
        <v>5</v>
      </c>
      <c r="G53" t="s">
        <v>599</v>
      </c>
      <c r="H53" t="s">
        <v>436</v>
      </c>
      <c r="I53">
        <v>1760903477.1</v>
      </c>
      <c r="J53">
        <f>(K53)/1000</f>
        <v>0</v>
      </c>
      <c r="K53">
        <f>IF(DP53, AN53, AH53)</f>
        <v>0</v>
      </c>
      <c r="L53">
        <f>IF(DP53, AI53, AG53)</f>
        <v>0</v>
      </c>
      <c r="M53">
        <f>DR53 - IF(AU53&gt;1, L53*DL53*100.0/(AW53), 0)</f>
        <v>0</v>
      </c>
      <c r="N53">
        <f>((T53-J53/2)*M53-L53)/(T53+J53/2)</f>
        <v>0</v>
      </c>
      <c r="O53">
        <f>N53*(DY53+DZ53)/1000.0</f>
        <v>0</v>
      </c>
      <c r="P53">
        <f>(DR53 - IF(AU53&gt;1, L53*DL53*100.0/(AW53), 0))*(DY53+DZ53)/1000.0</f>
        <v>0</v>
      </c>
      <c r="Q53">
        <f>2.0/((1/S53-1/R53)+SIGN(S53)*SQRT((1/S53-1/R53)*(1/S53-1/R53) + 4*DM53/((DM53+1)*(DM53+1))*(2*1/S53*1/R53-1/R53*1/R53)))</f>
        <v>0</v>
      </c>
      <c r="R53">
        <f>IF(LEFT(DN53,1)&lt;&gt;"0",IF(LEFT(DN53,1)="1",3.0,DO53),$D$5+$E$5*(EF53*DY53/($K$5*1000))+$F$5*(EF53*DY53/($K$5*1000))*MAX(MIN(DL53,$J$5),$I$5)*MAX(MIN(DL53,$J$5),$I$5)+$G$5*MAX(MIN(DL53,$J$5),$I$5)*(EF53*DY53/($K$5*1000))+$H$5*(EF53*DY53/($K$5*1000))*(EF53*DY53/($K$5*1000)))</f>
        <v>0</v>
      </c>
      <c r="S53">
        <f>J53*(1000-(1000*0.61365*exp(17.502*W53/(240.97+W53))/(DY53+DZ53)+DT53)/2)/(1000*0.61365*exp(17.502*W53/(240.97+W53))/(DY53+DZ53)-DT53)</f>
        <v>0</v>
      </c>
      <c r="T53">
        <f>1/((DM53+1)/(Q53/1.6)+1/(R53/1.37)) + DM53/((DM53+1)/(Q53/1.6) + DM53/(R53/1.37))</f>
        <v>0</v>
      </c>
      <c r="U53">
        <f>(DH53*DK53)</f>
        <v>0</v>
      </c>
      <c r="V53">
        <f>(EA53+(U53+2*0.95*5.67E-8*(((EA53+$B$7)+273)^4-(EA53+273)^4)-44100*J53)/(1.84*29.3*R53+8*0.95*5.67E-8*(EA53+273)^3))</f>
        <v>0</v>
      </c>
      <c r="W53">
        <f>($C$7*EB53+$D$7*EC53+$E$7*V53)</f>
        <v>0</v>
      </c>
      <c r="X53">
        <f>0.61365*exp(17.502*W53/(240.97+W53))</f>
        <v>0</v>
      </c>
      <c r="Y53">
        <f>(Z53/AA53*100)</f>
        <v>0</v>
      </c>
      <c r="Z53">
        <f>DT53*(DY53+DZ53)/1000</f>
        <v>0</v>
      </c>
      <c r="AA53">
        <f>0.61365*exp(17.502*EA53/(240.97+EA53))</f>
        <v>0</v>
      </c>
      <c r="AB53">
        <f>(X53-DT53*(DY53+DZ53)/1000)</f>
        <v>0</v>
      </c>
      <c r="AC53">
        <f>(-J53*44100)</f>
        <v>0</v>
      </c>
      <c r="AD53">
        <f>2*29.3*R53*0.92*(EA53-W53)</f>
        <v>0</v>
      </c>
      <c r="AE53">
        <f>2*0.95*5.67E-8*(((EA53+$B$7)+273)^4-(W53+273)^4)</f>
        <v>0</v>
      </c>
      <c r="AF53">
        <f>U53+AE53+AC53+AD53</f>
        <v>0</v>
      </c>
      <c r="AG53">
        <f>DX53*AU53*(DS53-DR53*(1000-AU53*DU53)/(1000-AU53*DT53))/(100*DL53)</f>
        <v>0</v>
      </c>
      <c r="AH53">
        <f>1000*DX53*AU53*(DT53-DU53)/(100*DL53*(1000-AU53*DT53))</f>
        <v>0</v>
      </c>
      <c r="AI53">
        <f>(AJ53 - AK53 - DY53*1E3/(8.314*(EA53+273.15)) * AM53/DX53 * AL53) * DX53/(100*DL53) * (1000 - DU53)/1000</f>
        <v>0</v>
      </c>
      <c r="AJ53">
        <v>428.782204721033</v>
      </c>
      <c r="AK53">
        <v>418.4682</v>
      </c>
      <c r="AL53">
        <v>-1.01204999429419e-05</v>
      </c>
      <c r="AM53">
        <v>64.9382239941825</v>
      </c>
      <c r="AN53">
        <f>(AP53 - AO53 + DY53*1E3/(8.314*(EA53+273.15)) * AR53/DX53 * AQ53) * DX53/(100*DL53) * 1000/(1000 - AP53)</f>
        <v>0</v>
      </c>
      <c r="AO53">
        <v>20.5652528849582</v>
      </c>
      <c r="AP53">
        <v>23.4837133333333</v>
      </c>
      <c r="AQ53">
        <v>-0.000135740109621651</v>
      </c>
      <c r="AR53">
        <v>117.830777060412</v>
      </c>
      <c r="AS53">
        <v>0</v>
      </c>
      <c r="AT53">
        <v>0</v>
      </c>
      <c r="AU53">
        <f>IF(AS53*$H$13&gt;=AW53,1.0,(AW53/(AW53-AS53*$H$13)))</f>
        <v>0</v>
      </c>
      <c r="AV53">
        <f>(AU53-1)*100</f>
        <v>0</v>
      </c>
      <c r="AW53">
        <f>MAX(0,($B$13+$C$13*EF53)/(1+$D$13*EF53)*DY53/(EA53+273)*$E$13)</f>
        <v>0</v>
      </c>
      <c r="AX53" t="s">
        <v>437</v>
      </c>
      <c r="AY53">
        <v>5082.33</v>
      </c>
      <c r="AZ53">
        <v>690.032</v>
      </c>
      <c r="BA53">
        <v>1612.68</v>
      </c>
      <c r="BB53">
        <f>1-AZ53/BA53</f>
        <v>0</v>
      </c>
      <c r="BC53">
        <v>-9.7270689171713</v>
      </c>
      <c r="BD53" t="s">
        <v>600</v>
      </c>
      <c r="BE53">
        <v>5145.3</v>
      </c>
      <c r="BF53">
        <v>1479.34653846154</v>
      </c>
      <c r="BG53">
        <v>1833.2760645649</v>
      </c>
      <c r="BH53">
        <f>1-BF53/BG53</f>
        <v>0</v>
      </c>
      <c r="BI53">
        <v>0.5</v>
      </c>
      <c r="BJ53">
        <f>DI53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601</v>
      </c>
      <c r="BQ53">
        <v>777.6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BZ53">
        <v>168</v>
      </c>
      <c r="CA53">
        <v>290</v>
      </c>
      <c r="CB53">
        <v>1738.18</v>
      </c>
      <c r="CC53">
        <v>135</v>
      </c>
      <c r="CD53">
        <v>5145.3</v>
      </c>
      <c r="CE53">
        <v>1737.71</v>
      </c>
      <c r="CF53">
        <v>0.47</v>
      </c>
      <c r="CG53">
        <v>300</v>
      </c>
      <c r="CH53">
        <v>23.8</v>
      </c>
      <c r="CI53">
        <v>1833.2760645649</v>
      </c>
      <c r="CJ53">
        <v>2.17947923463049</v>
      </c>
      <c r="CK53">
        <v>-49.1692136159284</v>
      </c>
      <c r="CL53">
        <v>1.00873789761418</v>
      </c>
      <c r="CM53">
        <v>0.988352305782998</v>
      </c>
      <c r="CN53">
        <v>-0.00324294349276975</v>
      </c>
      <c r="CO53">
        <v>290</v>
      </c>
      <c r="CP53">
        <v>1734.68</v>
      </c>
      <c r="CQ53">
        <v>635</v>
      </c>
      <c r="CR53">
        <v>5142.04</v>
      </c>
      <c r="CS53">
        <v>1737.65</v>
      </c>
      <c r="CT53">
        <v>-2.97</v>
      </c>
      <c r="DH53">
        <f>$B$11*EG53+$C$11*EH53+$F$11*ES53*(1-EV53)</f>
        <v>0</v>
      </c>
      <c r="DI53">
        <f>DH53*DJ53</f>
        <v>0</v>
      </c>
      <c r="DJ53">
        <f>($B$11*$D$9+$C$11*$D$9+$F$11*((FF53+EX53)/MAX(FF53+EX53+FG53, 0.1)*$I$9+FG53/MAX(FF53+EX53+FG53, 0.1)*$J$9))/($B$11+$C$11+$F$11)</f>
        <v>0</v>
      </c>
      <c r="DK53">
        <f>($B$11*$K$9+$C$11*$K$9+$F$11*((FF53+EX53)/MAX(FF53+EX53+FG53, 0.1)*$P$9+FG53/MAX(FF53+EX53+FG53, 0.1)*$Q$9))/($B$11+$C$11+$F$11)</f>
        <v>0</v>
      </c>
      <c r="DL53">
        <v>3.21</v>
      </c>
      <c r="DM53">
        <v>0.5</v>
      </c>
      <c r="DN53" t="s">
        <v>440</v>
      </c>
      <c r="DO53">
        <v>2</v>
      </c>
      <c r="DP53" t="b">
        <v>1</v>
      </c>
      <c r="DQ53">
        <v>1760903477.1</v>
      </c>
      <c r="DR53">
        <v>408.678266666667</v>
      </c>
      <c r="DS53">
        <v>419.999333333333</v>
      </c>
      <c r="DT53">
        <v>23.4961066666667</v>
      </c>
      <c r="DU53">
        <v>20.567</v>
      </c>
      <c r="DV53">
        <v>406.2724</v>
      </c>
      <c r="DW53">
        <v>23.10882</v>
      </c>
      <c r="DX53">
        <v>500.029666666667</v>
      </c>
      <c r="DY53">
        <v>90.7473666666667</v>
      </c>
      <c r="DZ53">
        <v>0.03961352</v>
      </c>
      <c r="EA53">
        <v>30.0381266666667</v>
      </c>
      <c r="EB53">
        <v>29.9821266666667</v>
      </c>
      <c r="EC53">
        <v>999.9</v>
      </c>
      <c r="ED53">
        <v>0</v>
      </c>
      <c r="EE53">
        <v>0</v>
      </c>
      <c r="EF53">
        <v>10013.4986666667</v>
      </c>
      <c r="EG53">
        <v>0</v>
      </c>
      <c r="EH53">
        <v>1262.48533333333</v>
      </c>
      <c r="EI53">
        <v>-11.3211133333333</v>
      </c>
      <c r="EJ53">
        <v>418.511666666667</v>
      </c>
      <c r="EK53">
        <v>428.8188</v>
      </c>
      <c r="EL53">
        <v>2.92908933333333</v>
      </c>
      <c r="EM53">
        <v>419.999333333333</v>
      </c>
      <c r="EN53">
        <v>20.567</v>
      </c>
      <c r="EO53">
        <v>2.13220866666667</v>
      </c>
      <c r="EP53">
        <v>1.86640066666667</v>
      </c>
      <c r="EQ53">
        <v>18.46186</v>
      </c>
      <c r="ER53">
        <v>16.3543066666667</v>
      </c>
      <c r="ES53">
        <v>1199.96933333333</v>
      </c>
      <c r="ET53">
        <v>0.9669946</v>
      </c>
      <c r="EU53">
        <v>0.0330054666666667</v>
      </c>
      <c r="EV53">
        <v>0</v>
      </c>
      <c r="EW53">
        <v>1479.316</v>
      </c>
      <c r="EX53">
        <v>5.00059</v>
      </c>
      <c r="EY53">
        <v>17835.7133333333</v>
      </c>
      <c r="EZ53">
        <v>10358.4333333333</v>
      </c>
      <c r="FA53">
        <v>44.437</v>
      </c>
      <c r="FB53">
        <v>46.1415333333333</v>
      </c>
      <c r="FC53">
        <v>44.687</v>
      </c>
      <c r="FD53">
        <v>45.687</v>
      </c>
      <c r="FE53">
        <v>45.562</v>
      </c>
      <c r="FF53">
        <v>1155.52933333333</v>
      </c>
      <c r="FG53">
        <v>39.44</v>
      </c>
      <c r="FH53">
        <v>0</v>
      </c>
      <c r="FI53">
        <v>408.599999904633</v>
      </c>
      <c r="FJ53">
        <v>0</v>
      </c>
      <c r="FK53">
        <v>1479.34653846154</v>
      </c>
      <c r="FL53">
        <v>-1.87111111462995</v>
      </c>
      <c r="FM53">
        <v>-13.7572649534531</v>
      </c>
      <c r="FN53">
        <v>17835.9538461538</v>
      </c>
      <c r="FO53">
        <v>15</v>
      </c>
      <c r="FP53">
        <v>0</v>
      </c>
      <c r="FQ53" t="s">
        <v>441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-11.3240619047619</v>
      </c>
      <c r="GD53">
        <v>-0.0216623376623708</v>
      </c>
      <c r="GE53">
        <v>0.0310635366733667</v>
      </c>
      <c r="GF53">
        <v>1</v>
      </c>
      <c r="GG53">
        <v>1479.41</v>
      </c>
      <c r="GH53">
        <v>-1.98808250227757</v>
      </c>
      <c r="GI53">
        <v>0.27183472487351</v>
      </c>
      <c r="GJ53">
        <v>-1</v>
      </c>
      <c r="GK53">
        <v>2.93366333333333</v>
      </c>
      <c r="GL53">
        <v>-0.0981155844155766</v>
      </c>
      <c r="GM53">
        <v>0.0136370414098036</v>
      </c>
      <c r="GN53">
        <v>1</v>
      </c>
      <c r="GO53">
        <v>2</v>
      </c>
      <c r="GP53">
        <v>2</v>
      </c>
      <c r="GQ53" t="s">
        <v>442</v>
      </c>
      <c r="GR53">
        <v>3.13003</v>
      </c>
      <c r="GS53">
        <v>2.7177</v>
      </c>
      <c r="GT53">
        <v>0.0861094</v>
      </c>
      <c r="GU53">
        <v>0.0884772</v>
      </c>
      <c r="GV53">
        <v>0.099746</v>
      </c>
      <c r="GW53">
        <v>0.0914824</v>
      </c>
      <c r="GX53">
        <v>33932.7</v>
      </c>
      <c r="GY53">
        <v>36111.4</v>
      </c>
      <c r="GZ53">
        <v>33635</v>
      </c>
      <c r="HA53">
        <v>35911.7</v>
      </c>
      <c r="HB53">
        <v>42880.1</v>
      </c>
      <c r="HC53">
        <v>46884</v>
      </c>
      <c r="HD53">
        <v>52570.9</v>
      </c>
      <c r="HE53">
        <v>57435.8</v>
      </c>
      <c r="HF53">
        <v>1.8602</v>
      </c>
      <c r="HG53">
        <v>1.72333</v>
      </c>
      <c r="HH53">
        <v>0.0057742</v>
      </c>
      <c r="HI53">
        <v>0</v>
      </c>
      <c r="HJ53">
        <v>29.8727</v>
      </c>
      <c r="HK53">
        <v>999.9</v>
      </c>
      <c r="HL53">
        <v>52.79</v>
      </c>
      <c r="HM53">
        <v>29.829</v>
      </c>
      <c r="HN53">
        <v>24.5423</v>
      </c>
      <c r="HO53">
        <v>54.9307</v>
      </c>
      <c r="HP53">
        <v>44.4071</v>
      </c>
      <c r="HQ53">
        <v>1</v>
      </c>
      <c r="HR53">
        <v>0.718562</v>
      </c>
      <c r="HS53">
        <v>4.5684</v>
      </c>
      <c r="HT53">
        <v>20.0794</v>
      </c>
      <c r="HU53">
        <v>5.19573</v>
      </c>
      <c r="HV53">
        <v>12.0099</v>
      </c>
      <c r="HW53">
        <v>4.9737</v>
      </c>
      <c r="HX53">
        <v>3.2942</v>
      </c>
      <c r="HY53">
        <v>9999</v>
      </c>
      <c r="HZ53">
        <v>999.9</v>
      </c>
      <c r="IA53">
        <v>9999</v>
      </c>
      <c r="IB53">
        <v>9999</v>
      </c>
      <c r="IC53">
        <v>1.86325</v>
      </c>
      <c r="ID53">
        <v>1.86805</v>
      </c>
      <c r="IE53">
        <v>1.86783</v>
      </c>
      <c r="IF53">
        <v>1.86905</v>
      </c>
      <c r="IG53">
        <v>1.86981</v>
      </c>
      <c r="IH53">
        <v>1.86584</v>
      </c>
      <c r="II53">
        <v>1.86691</v>
      </c>
      <c r="IJ53">
        <v>1.86834</v>
      </c>
      <c r="IK53">
        <v>5</v>
      </c>
      <c r="IL53">
        <v>0</v>
      </c>
      <c r="IM53">
        <v>0</v>
      </c>
      <c r="IN53">
        <v>0</v>
      </c>
      <c r="IO53" t="s">
        <v>443</v>
      </c>
      <c r="IP53" t="s">
        <v>444</v>
      </c>
      <c r="IQ53" t="s">
        <v>445</v>
      </c>
      <c r="IR53" t="s">
        <v>445</v>
      </c>
      <c r="IS53" t="s">
        <v>445</v>
      </c>
      <c r="IT53" t="s">
        <v>445</v>
      </c>
      <c r="IU53">
        <v>0</v>
      </c>
      <c r="IV53">
        <v>100</v>
      </c>
      <c r="IW53">
        <v>100</v>
      </c>
      <c r="IX53">
        <v>2.406</v>
      </c>
      <c r="IY53">
        <v>0.3866</v>
      </c>
      <c r="IZ53">
        <v>0.833350075594679</v>
      </c>
      <c r="JA53">
        <v>0.00412825224050377</v>
      </c>
      <c r="JB53">
        <v>-7.34426573386615e-07</v>
      </c>
      <c r="JC53">
        <v>2.46800082545482e-10</v>
      </c>
      <c r="JD53">
        <v>-0.0848433440729365</v>
      </c>
      <c r="JE53">
        <v>-0.0240557196358944</v>
      </c>
      <c r="JF53">
        <v>0.0027855358087715</v>
      </c>
      <c r="JG53">
        <v>-3.72349365099102e-05</v>
      </c>
      <c r="JH53">
        <v>5</v>
      </c>
      <c r="JI53">
        <v>2250</v>
      </c>
      <c r="JJ53">
        <v>0</v>
      </c>
      <c r="JK53">
        <v>24</v>
      </c>
      <c r="JL53">
        <v>29348391.4</v>
      </c>
      <c r="JM53">
        <v>29348391.4</v>
      </c>
      <c r="JN53">
        <v>1.0144</v>
      </c>
      <c r="JO53">
        <v>2.6355</v>
      </c>
      <c r="JP53">
        <v>1.54785</v>
      </c>
      <c r="JQ53">
        <v>2.31201</v>
      </c>
      <c r="JR53">
        <v>1.64673</v>
      </c>
      <c r="JS53">
        <v>2.26807</v>
      </c>
      <c r="JT53">
        <v>33.8735</v>
      </c>
      <c r="JU53">
        <v>24.1751</v>
      </c>
      <c r="JV53">
        <v>18</v>
      </c>
      <c r="JW53">
        <v>504.5</v>
      </c>
      <c r="JX53">
        <v>410.578</v>
      </c>
      <c r="JY53">
        <v>23.7925</v>
      </c>
      <c r="JZ53">
        <v>36.0214</v>
      </c>
      <c r="KA53">
        <v>30</v>
      </c>
      <c r="KB53">
        <v>35.8776</v>
      </c>
      <c r="KC53">
        <v>35.802</v>
      </c>
      <c r="KD53">
        <v>20.3176</v>
      </c>
      <c r="KE53">
        <v>21.7295</v>
      </c>
      <c r="KF53">
        <v>77.4983</v>
      </c>
      <c r="KG53">
        <v>23.8191</v>
      </c>
      <c r="KH53">
        <v>420</v>
      </c>
      <c r="KI53">
        <v>20.5959</v>
      </c>
      <c r="KJ53">
        <v>95.4916</v>
      </c>
      <c r="KK53">
        <v>93.0331</v>
      </c>
    </row>
    <row r="54" spans="1:297">
      <c r="A54">
        <v>38</v>
      </c>
      <c r="B54">
        <v>1760903623.1</v>
      </c>
      <c r="C54">
        <v>9859</v>
      </c>
      <c r="D54" t="s">
        <v>602</v>
      </c>
      <c r="E54" t="s">
        <v>603</v>
      </c>
      <c r="F54">
        <v>5</v>
      </c>
      <c r="G54" t="s">
        <v>599</v>
      </c>
      <c r="H54" t="s">
        <v>436</v>
      </c>
      <c r="I54">
        <v>1760903615.1</v>
      </c>
      <c r="J54">
        <f>(K54)/1000</f>
        <v>0</v>
      </c>
      <c r="K54">
        <f>IF(DP54, AN54, AH54)</f>
        <v>0</v>
      </c>
      <c r="L54">
        <f>IF(DP54, AI54, AG54)</f>
        <v>0</v>
      </c>
      <c r="M54">
        <f>DR54 - IF(AU54&gt;1, L54*DL54*100.0/(AW54), 0)</f>
        <v>0</v>
      </c>
      <c r="N54">
        <f>((T54-J54/2)*M54-L54)/(T54+J54/2)</f>
        <v>0</v>
      </c>
      <c r="O54">
        <f>N54*(DY54+DZ54)/1000.0</f>
        <v>0</v>
      </c>
      <c r="P54">
        <f>(DR54 - IF(AU54&gt;1, L54*DL54*100.0/(AW54), 0))*(DY54+DZ54)/1000.0</f>
        <v>0</v>
      </c>
      <c r="Q54">
        <f>2.0/((1/S54-1/R54)+SIGN(S54)*SQRT((1/S54-1/R54)*(1/S54-1/R54) + 4*DM54/((DM54+1)*(DM54+1))*(2*1/S54*1/R54-1/R54*1/R54)))</f>
        <v>0</v>
      </c>
      <c r="R54">
        <f>IF(LEFT(DN54,1)&lt;&gt;"0",IF(LEFT(DN54,1)="1",3.0,DO54),$D$5+$E$5*(EF54*DY54/($K$5*1000))+$F$5*(EF54*DY54/($K$5*1000))*MAX(MIN(DL54,$J$5),$I$5)*MAX(MIN(DL54,$J$5),$I$5)+$G$5*MAX(MIN(DL54,$J$5),$I$5)*(EF54*DY54/($K$5*1000))+$H$5*(EF54*DY54/($K$5*1000))*(EF54*DY54/($K$5*1000)))</f>
        <v>0</v>
      </c>
      <c r="S54">
        <f>J54*(1000-(1000*0.61365*exp(17.502*W54/(240.97+W54))/(DY54+DZ54)+DT54)/2)/(1000*0.61365*exp(17.502*W54/(240.97+W54))/(DY54+DZ54)-DT54)</f>
        <v>0</v>
      </c>
      <c r="T54">
        <f>1/((DM54+1)/(Q54/1.6)+1/(R54/1.37)) + DM54/((DM54+1)/(Q54/1.6) + DM54/(R54/1.37))</f>
        <v>0</v>
      </c>
      <c r="U54">
        <f>(DH54*DK54)</f>
        <v>0</v>
      </c>
      <c r="V54">
        <f>(EA54+(U54+2*0.95*5.67E-8*(((EA54+$B$7)+273)^4-(EA54+273)^4)-44100*J54)/(1.84*29.3*R54+8*0.95*5.67E-8*(EA54+273)^3))</f>
        <v>0</v>
      </c>
      <c r="W54">
        <f>($C$7*EB54+$D$7*EC54+$E$7*V54)</f>
        <v>0</v>
      </c>
      <c r="X54">
        <f>0.61365*exp(17.502*W54/(240.97+W54))</f>
        <v>0</v>
      </c>
      <c r="Y54">
        <f>(Z54/AA54*100)</f>
        <v>0</v>
      </c>
      <c r="Z54">
        <f>DT54*(DY54+DZ54)/1000</f>
        <v>0</v>
      </c>
      <c r="AA54">
        <f>0.61365*exp(17.502*EA54/(240.97+EA54))</f>
        <v>0</v>
      </c>
      <c r="AB54">
        <f>(X54-DT54*(DY54+DZ54)/1000)</f>
        <v>0</v>
      </c>
      <c r="AC54">
        <f>(-J54*44100)</f>
        <v>0</v>
      </c>
      <c r="AD54">
        <f>2*29.3*R54*0.92*(EA54-W54)</f>
        <v>0</v>
      </c>
      <c r="AE54">
        <f>2*0.95*5.67E-8*(((EA54+$B$7)+273)^4-(W54+273)^4)</f>
        <v>0</v>
      </c>
      <c r="AF54">
        <f>U54+AE54+AC54+AD54</f>
        <v>0</v>
      </c>
      <c r="AG54">
        <f>DX54*AU54*(DS54-DR54*(1000-AU54*DU54)/(1000-AU54*DT54))/(100*DL54)</f>
        <v>0</v>
      </c>
      <c r="AH54">
        <f>1000*DX54*AU54*(DT54-DU54)/(100*DL54*(1000-AU54*DT54))</f>
        <v>0</v>
      </c>
      <c r="AI54">
        <f>(AJ54 - AK54 - DY54*1E3/(8.314*(EA54+273.15)) * AM54/DX54 * AL54) * DX54/(100*DL54) * (1000 - DU54)/1000</f>
        <v>0</v>
      </c>
      <c r="AJ54">
        <v>428.804121545942</v>
      </c>
      <c r="AK54">
        <v>418.092072727273</v>
      </c>
      <c r="AL54">
        <v>-0.000579777736680403</v>
      </c>
      <c r="AM54">
        <v>64.9382239941825</v>
      </c>
      <c r="AN54">
        <f>(AP54 - AO54 + DY54*1E3/(8.314*(EA54+273.15)) * AR54/DX54 * AQ54) * DX54/(100*DL54) * 1000/(1000 - AP54)</f>
        <v>0</v>
      </c>
      <c r="AO54">
        <v>20.4284315843636</v>
      </c>
      <c r="AP54">
        <v>23.5773254545454</v>
      </c>
      <c r="AQ54">
        <v>0.000245900862716784</v>
      </c>
      <c r="AR54">
        <v>117.830777060412</v>
      </c>
      <c r="AS54">
        <v>0</v>
      </c>
      <c r="AT54">
        <v>0</v>
      </c>
      <c r="AU54">
        <f>IF(AS54*$H$13&gt;=AW54,1.0,(AW54/(AW54-AS54*$H$13)))</f>
        <v>0</v>
      </c>
      <c r="AV54">
        <f>(AU54-1)*100</f>
        <v>0</v>
      </c>
      <c r="AW54">
        <f>MAX(0,($B$13+$C$13*EF54)/(1+$D$13*EF54)*DY54/(EA54+273)*$E$13)</f>
        <v>0</v>
      </c>
      <c r="AX54" t="s">
        <v>437</v>
      </c>
      <c r="AY54">
        <v>5082.33</v>
      </c>
      <c r="AZ54">
        <v>690.032</v>
      </c>
      <c r="BA54">
        <v>1612.68</v>
      </c>
      <c r="BB54">
        <f>1-AZ54/BA54</f>
        <v>0</v>
      </c>
      <c r="BC54">
        <v>-9.7270689171713</v>
      </c>
      <c r="BD54" t="s">
        <v>604</v>
      </c>
      <c r="BE54">
        <v>5144.43</v>
      </c>
      <c r="BF54">
        <v>1473.25884615385</v>
      </c>
      <c r="BG54">
        <v>1825.36989142183</v>
      </c>
      <c r="BH54">
        <f>1-BF54/BG54</f>
        <v>0</v>
      </c>
      <c r="BI54">
        <v>0.5</v>
      </c>
      <c r="BJ54">
        <f>DI54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605</v>
      </c>
      <c r="BQ54">
        <v>773.33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BZ54">
        <v>170</v>
      </c>
      <c r="CA54">
        <v>290</v>
      </c>
      <c r="CB54">
        <v>1731.95</v>
      </c>
      <c r="CC54">
        <v>165</v>
      </c>
      <c r="CD54">
        <v>5144.43</v>
      </c>
      <c r="CE54">
        <v>1731.29</v>
      </c>
      <c r="CF54">
        <v>0.66</v>
      </c>
      <c r="CG54">
        <v>300</v>
      </c>
      <c r="CH54">
        <v>23.8</v>
      </c>
      <c r="CI54">
        <v>1825.36989142183</v>
      </c>
      <c r="CJ54">
        <v>1.89927011293038</v>
      </c>
      <c r="CK54">
        <v>-48.3974263045899</v>
      </c>
      <c r="CL54">
        <v>0.879005600987785</v>
      </c>
      <c r="CM54">
        <v>0.990848254582677</v>
      </c>
      <c r="CN54">
        <v>-0.00324279510567297</v>
      </c>
      <c r="CO54">
        <v>290</v>
      </c>
      <c r="CP54">
        <v>1729.67</v>
      </c>
      <c r="CQ54">
        <v>645</v>
      </c>
      <c r="CR54">
        <v>5141.68</v>
      </c>
      <c r="CS54">
        <v>1731.24</v>
      </c>
      <c r="CT54">
        <v>-1.57</v>
      </c>
      <c r="DH54">
        <f>$B$11*EG54+$C$11*EH54+$F$11*ES54*(1-EV54)</f>
        <v>0</v>
      </c>
      <c r="DI54">
        <f>DH54*DJ54</f>
        <v>0</v>
      </c>
      <c r="DJ54">
        <f>($B$11*$D$9+$C$11*$D$9+$F$11*((FF54+EX54)/MAX(FF54+EX54+FG54, 0.1)*$I$9+FG54/MAX(FF54+EX54+FG54, 0.1)*$J$9))/($B$11+$C$11+$F$11)</f>
        <v>0</v>
      </c>
      <c r="DK54">
        <f>($B$11*$K$9+$C$11*$K$9+$F$11*((FF54+EX54)/MAX(FF54+EX54+FG54, 0.1)*$P$9+FG54/MAX(FF54+EX54+FG54, 0.1)*$Q$9))/($B$11+$C$11+$F$11)</f>
        <v>0</v>
      </c>
      <c r="DL54">
        <v>3.21</v>
      </c>
      <c r="DM54">
        <v>0.5</v>
      </c>
      <c r="DN54" t="s">
        <v>440</v>
      </c>
      <c r="DO54">
        <v>2</v>
      </c>
      <c r="DP54" t="b">
        <v>1</v>
      </c>
      <c r="DQ54">
        <v>1760903615.1</v>
      </c>
      <c r="DR54">
        <v>408.257466666667</v>
      </c>
      <c r="DS54">
        <v>420.009866666667</v>
      </c>
      <c r="DT54">
        <v>23.5753066666667</v>
      </c>
      <c r="DU54">
        <v>20.4442066666667</v>
      </c>
      <c r="DV54">
        <v>405.853</v>
      </c>
      <c r="DW54">
        <v>23.1846</v>
      </c>
      <c r="DX54">
        <v>499.9434</v>
      </c>
      <c r="DY54">
        <v>90.7421666666667</v>
      </c>
      <c r="DZ54">
        <v>0.0399999066666667</v>
      </c>
      <c r="EA54">
        <v>30.0692533333333</v>
      </c>
      <c r="EB54">
        <v>29.9628066666667</v>
      </c>
      <c r="EC54">
        <v>999.9</v>
      </c>
      <c r="ED54">
        <v>0</v>
      </c>
      <c r="EE54">
        <v>0</v>
      </c>
      <c r="EF54">
        <v>9979.33</v>
      </c>
      <c r="EG54">
        <v>0</v>
      </c>
      <c r="EH54">
        <v>1262.19866666667</v>
      </c>
      <c r="EI54">
        <v>-11.7524666666667</v>
      </c>
      <c r="EJ54">
        <v>418.1146</v>
      </c>
      <c r="EK54">
        <v>428.7758</v>
      </c>
      <c r="EL54">
        <v>3.13109</v>
      </c>
      <c r="EM54">
        <v>420.009866666667</v>
      </c>
      <c r="EN54">
        <v>20.4442066666667</v>
      </c>
      <c r="EO54">
        <v>2.139276</v>
      </c>
      <c r="EP54">
        <v>1.85515266666667</v>
      </c>
      <c r="EQ54">
        <v>18.51468</v>
      </c>
      <c r="ER54">
        <v>16.2594066666667</v>
      </c>
      <c r="ES54">
        <v>1199.952</v>
      </c>
      <c r="ET54">
        <v>0.966995666666667</v>
      </c>
      <c r="EU54">
        <v>0.0330043333333333</v>
      </c>
      <c r="EV54">
        <v>0</v>
      </c>
      <c r="EW54">
        <v>1473.27333333333</v>
      </c>
      <c r="EX54">
        <v>5.00059</v>
      </c>
      <c r="EY54">
        <v>17768.66</v>
      </c>
      <c r="EZ54">
        <v>10358.3</v>
      </c>
      <c r="FA54">
        <v>44.4916</v>
      </c>
      <c r="FB54">
        <v>46.2416</v>
      </c>
      <c r="FC54">
        <v>44.75</v>
      </c>
      <c r="FD54">
        <v>45.75</v>
      </c>
      <c r="FE54">
        <v>45.5956</v>
      </c>
      <c r="FF54">
        <v>1155.512</v>
      </c>
      <c r="FG54">
        <v>39.44</v>
      </c>
      <c r="FH54">
        <v>0</v>
      </c>
      <c r="FI54">
        <v>134.200000047684</v>
      </c>
      <c r="FJ54">
        <v>0</v>
      </c>
      <c r="FK54">
        <v>1473.25884615385</v>
      </c>
      <c r="FL54">
        <v>-0.0393162433318539</v>
      </c>
      <c r="FM54">
        <v>-9.26153866849185</v>
      </c>
      <c r="FN54">
        <v>17769.6730769231</v>
      </c>
      <c r="FO54">
        <v>15</v>
      </c>
      <c r="FP54">
        <v>0</v>
      </c>
      <c r="FQ54" t="s">
        <v>441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-11.7357380952381</v>
      </c>
      <c r="GD54">
        <v>-0.29562077922078</v>
      </c>
      <c r="GE54">
        <v>0.0429542001515287</v>
      </c>
      <c r="GF54">
        <v>1</v>
      </c>
      <c r="GG54">
        <v>1473.28352941176</v>
      </c>
      <c r="GH54">
        <v>-0.117341482933674</v>
      </c>
      <c r="GI54">
        <v>0.200336222576254</v>
      </c>
      <c r="GJ54">
        <v>-1</v>
      </c>
      <c r="GK54">
        <v>3.13122666666667</v>
      </c>
      <c r="GL54">
        <v>0.0337207792207827</v>
      </c>
      <c r="GM54">
        <v>0.0095967649972633</v>
      </c>
      <c r="GN54">
        <v>1</v>
      </c>
      <c r="GO54">
        <v>2</v>
      </c>
      <c r="GP54">
        <v>2</v>
      </c>
      <c r="GQ54" t="s">
        <v>442</v>
      </c>
      <c r="GR54">
        <v>3.12999</v>
      </c>
      <c r="GS54">
        <v>2.71812</v>
      </c>
      <c r="GT54">
        <v>0.0860237</v>
      </c>
      <c r="GU54">
        <v>0.0884633</v>
      </c>
      <c r="GV54">
        <v>0.0999971</v>
      </c>
      <c r="GW54">
        <v>0.0909353</v>
      </c>
      <c r="GX54">
        <v>33931.3</v>
      </c>
      <c r="GY54">
        <v>36106.1</v>
      </c>
      <c r="GZ54">
        <v>33630.9</v>
      </c>
      <c r="HA54">
        <v>35906.4</v>
      </c>
      <c r="HB54">
        <v>42864.2</v>
      </c>
      <c r="HC54">
        <v>46905.5</v>
      </c>
      <c r="HD54">
        <v>52565.7</v>
      </c>
      <c r="HE54">
        <v>57427.6</v>
      </c>
      <c r="HF54">
        <v>1.85955</v>
      </c>
      <c r="HG54">
        <v>1.72228</v>
      </c>
      <c r="HH54">
        <v>0.00660121</v>
      </c>
      <c r="HI54">
        <v>0</v>
      </c>
      <c r="HJ54">
        <v>29.8639</v>
      </c>
      <c r="HK54">
        <v>999.9</v>
      </c>
      <c r="HL54">
        <v>52.814</v>
      </c>
      <c r="HM54">
        <v>29.86</v>
      </c>
      <c r="HN54">
        <v>24.601</v>
      </c>
      <c r="HO54">
        <v>54.9007</v>
      </c>
      <c r="HP54">
        <v>44.5072</v>
      </c>
      <c r="HQ54">
        <v>1</v>
      </c>
      <c r="HR54">
        <v>0.722586</v>
      </c>
      <c r="HS54">
        <v>4.23027</v>
      </c>
      <c r="HT54">
        <v>20.0877</v>
      </c>
      <c r="HU54">
        <v>5.19528</v>
      </c>
      <c r="HV54">
        <v>12.0099</v>
      </c>
      <c r="HW54">
        <v>4.9737</v>
      </c>
      <c r="HX54">
        <v>3.29415</v>
      </c>
      <c r="HY54">
        <v>9999</v>
      </c>
      <c r="HZ54">
        <v>999.9</v>
      </c>
      <c r="IA54">
        <v>9999</v>
      </c>
      <c r="IB54">
        <v>9999</v>
      </c>
      <c r="IC54">
        <v>1.86324</v>
      </c>
      <c r="ID54">
        <v>1.86803</v>
      </c>
      <c r="IE54">
        <v>1.8678</v>
      </c>
      <c r="IF54">
        <v>1.86905</v>
      </c>
      <c r="IG54">
        <v>1.86981</v>
      </c>
      <c r="IH54">
        <v>1.86584</v>
      </c>
      <c r="II54">
        <v>1.86691</v>
      </c>
      <c r="IJ54">
        <v>1.8683</v>
      </c>
      <c r="IK54">
        <v>5</v>
      </c>
      <c r="IL54">
        <v>0</v>
      </c>
      <c r="IM54">
        <v>0</v>
      </c>
      <c r="IN54">
        <v>0</v>
      </c>
      <c r="IO54" t="s">
        <v>443</v>
      </c>
      <c r="IP54" t="s">
        <v>444</v>
      </c>
      <c r="IQ54" t="s">
        <v>445</v>
      </c>
      <c r="IR54" t="s">
        <v>445</v>
      </c>
      <c r="IS54" t="s">
        <v>445</v>
      </c>
      <c r="IT54" t="s">
        <v>445</v>
      </c>
      <c r="IU54">
        <v>0</v>
      </c>
      <c r="IV54">
        <v>100</v>
      </c>
      <c r="IW54">
        <v>100</v>
      </c>
      <c r="IX54">
        <v>2.404</v>
      </c>
      <c r="IY54">
        <v>0.3906</v>
      </c>
      <c r="IZ54">
        <v>0.833350075594679</v>
      </c>
      <c r="JA54">
        <v>0.00412825224050377</v>
      </c>
      <c r="JB54">
        <v>-7.34426573386615e-07</v>
      </c>
      <c r="JC54">
        <v>2.46800082545482e-10</v>
      </c>
      <c r="JD54">
        <v>-0.0848433440729365</v>
      </c>
      <c r="JE54">
        <v>-0.0240557196358944</v>
      </c>
      <c r="JF54">
        <v>0.0027855358087715</v>
      </c>
      <c r="JG54">
        <v>-3.72349365099102e-05</v>
      </c>
      <c r="JH54">
        <v>5</v>
      </c>
      <c r="JI54">
        <v>2250</v>
      </c>
      <c r="JJ54">
        <v>0</v>
      </c>
      <c r="JK54">
        <v>24</v>
      </c>
      <c r="JL54">
        <v>29348393.7</v>
      </c>
      <c r="JM54">
        <v>29348393.7</v>
      </c>
      <c r="JN54">
        <v>1.01318</v>
      </c>
      <c r="JO54">
        <v>2.62329</v>
      </c>
      <c r="JP54">
        <v>1.54785</v>
      </c>
      <c r="JQ54">
        <v>2.31201</v>
      </c>
      <c r="JR54">
        <v>1.64673</v>
      </c>
      <c r="JS54">
        <v>2.36206</v>
      </c>
      <c r="JT54">
        <v>33.8509</v>
      </c>
      <c r="JU54">
        <v>24.1838</v>
      </c>
      <c r="JV54">
        <v>18</v>
      </c>
      <c r="JW54">
        <v>504.568</v>
      </c>
      <c r="JX54">
        <v>410.376</v>
      </c>
      <c r="JY54">
        <v>24.1245</v>
      </c>
      <c r="JZ54">
        <v>36.0928</v>
      </c>
      <c r="KA54">
        <v>29.9999</v>
      </c>
      <c r="KB54">
        <v>35.9446</v>
      </c>
      <c r="KC54">
        <v>35.8694</v>
      </c>
      <c r="KD54">
        <v>20.3144</v>
      </c>
      <c r="KE54">
        <v>22.5545</v>
      </c>
      <c r="KF54">
        <v>77.4983</v>
      </c>
      <c r="KG54">
        <v>24.1397</v>
      </c>
      <c r="KH54">
        <v>420</v>
      </c>
      <c r="KI54">
        <v>20.3561</v>
      </c>
      <c r="KJ54">
        <v>95.4812</v>
      </c>
      <c r="KK54">
        <v>93.0196</v>
      </c>
    </row>
    <row r="55" spans="1:297">
      <c r="A55">
        <v>39</v>
      </c>
      <c r="B55">
        <v>1760903794</v>
      </c>
      <c r="C55">
        <v>10029.9000000954</v>
      </c>
      <c r="D55" t="s">
        <v>606</v>
      </c>
      <c r="E55" t="s">
        <v>607</v>
      </c>
      <c r="F55">
        <v>5</v>
      </c>
      <c r="G55" t="s">
        <v>599</v>
      </c>
      <c r="H55" t="s">
        <v>436</v>
      </c>
      <c r="I55">
        <v>1760903786</v>
      </c>
      <c r="J55">
        <f>(K55)/1000</f>
        <v>0</v>
      </c>
      <c r="K55">
        <f>IF(DP55, AN55, AH55)</f>
        <v>0</v>
      </c>
      <c r="L55">
        <f>IF(DP55, AI55, AG55)</f>
        <v>0</v>
      </c>
      <c r="M55">
        <f>DR55 - IF(AU55&gt;1, L55*DL55*100.0/(AW55), 0)</f>
        <v>0</v>
      </c>
      <c r="N55">
        <f>((T55-J55/2)*M55-L55)/(T55+J55/2)</f>
        <v>0</v>
      </c>
      <c r="O55">
        <f>N55*(DY55+DZ55)/1000.0</f>
        <v>0</v>
      </c>
      <c r="P55">
        <f>(DR55 - IF(AU55&gt;1, L55*DL55*100.0/(AW55), 0))*(DY55+DZ55)/1000.0</f>
        <v>0</v>
      </c>
      <c r="Q55">
        <f>2.0/((1/S55-1/R55)+SIGN(S55)*SQRT((1/S55-1/R55)*(1/S55-1/R55) + 4*DM55/((DM55+1)*(DM55+1))*(2*1/S55*1/R55-1/R55*1/R55)))</f>
        <v>0</v>
      </c>
      <c r="R55">
        <f>IF(LEFT(DN55,1)&lt;&gt;"0",IF(LEFT(DN55,1)="1",3.0,DO55),$D$5+$E$5*(EF55*DY55/($K$5*1000))+$F$5*(EF55*DY55/($K$5*1000))*MAX(MIN(DL55,$J$5),$I$5)*MAX(MIN(DL55,$J$5),$I$5)+$G$5*MAX(MIN(DL55,$J$5),$I$5)*(EF55*DY55/($K$5*1000))+$H$5*(EF55*DY55/($K$5*1000))*(EF55*DY55/($K$5*1000)))</f>
        <v>0</v>
      </c>
      <c r="S55">
        <f>J55*(1000-(1000*0.61365*exp(17.502*W55/(240.97+W55))/(DY55+DZ55)+DT55)/2)/(1000*0.61365*exp(17.502*W55/(240.97+W55))/(DY55+DZ55)-DT55)</f>
        <v>0</v>
      </c>
      <c r="T55">
        <f>1/((DM55+1)/(Q55/1.6)+1/(R55/1.37)) + DM55/((DM55+1)/(Q55/1.6) + DM55/(R55/1.37))</f>
        <v>0</v>
      </c>
      <c r="U55">
        <f>(DH55*DK55)</f>
        <v>0</v>
      </c>
      <c r="V55">
        <f>(EA55+(U55+2*0.95*5.67E-8*(((EA55+$B$7)+273)^4-(EA55+273)^4)-44100*J55)/(1.84*29.3*R55+8*0.95*5.67E-8*(EA55+273)^3))</f>
        <v>0</v>
      </c>
      <c r="W55">
        <f>($C$7*EB55+$D$7*EC55+$E$7*V55)</f>
        <v>0</v>
      </c>
      <c r="X55">
        <f>0.61365*exp(17.502*W55/(240.97+W55))</f>
        <v>0</v>
      </c>
      <c r="Y55">
        <f>(Z55/AA55*100)</f>
        <v>0</v>
      </c>
      <c r="Z55">
        <f>DT55*(DY55+DZ55)/1000</f>
        <v>0</v>
      </c>
      <c r="AA55">
        <f>0.61365*exp(17.502*EA55/(240.97+EA55))</f>
        <v>0</v>
      </c>
      <c r="AB55">
        <f>(X55-DT55*(DY55+DZ55)/1000)</f>
        <v>0</v>
      </c>
      <c r="AC55">
        <f>(-J55*44100)</f>
        <v>0</v>
      </c>
      <c r="AD55">
        <f>2*29.3*R55*0.92*(EA55-W55)</f>
        <v>0</v>
      </c>
      <c r="AE55">
        <f>2*0.95*5.67E-8*(((EA55+$B$7)+273)^4-(W55+273)^4)</f>
        <v>0</v>
      </c>
      <c r="AF55">
        <f>U55+AE55+AC55+AD55</f>
        <v>0</v>
      </c>
      <c r="AG55">
        <f>DX55*AU55*(DS55-DR55*(1000-AU55*DU55)/(1000-AU55*DT55))/(100*DL55)</f>
        <v>0</v>
      </c>
      <c r="AH55">
        <f>1000*DX55*AU55*(DT55-DU55)/(100*DL55*(1000-AU55*DT55))</f>
        <v>0</v>
      </c>
      <c r="AI55">
        <f>(AJ55 - AK55 - DY55*1E3/(8.314*(EA55+273.15)) * AM55/DX55 * AL55) * DX55/(100*DL55) * (1000 - DU55)/1000</f>
        <v>0</v>
      </c>
      <c r="AJ55">
        <v>428.689623216069</v>
      </c>
      <c r="AK55">
        <v>417.809696969697</v>
      </c>
      <c r="AL55">
        <v>-0.000339047170778464</v>
      </c>
      <c r="AM55">
        <v>64.9382239941825</v>
      </c>
      <c r="AN55">
        <f>(AP55 - AO55 + DY55*1E3/(8.314*(EA55+273.15)) * AR55/DX55 * AQ55) * DX55/(100*DL55) * 1000/(1000 - AP55)</f>
        <v>0</v>
      </c>
      <c r="AO55">
        <v>20.1600708693367</v>
      </c>
      <c r="AP55">
        <v>23.6942084848485</v>
      </c>
      <c r="AQ55">
        <v>-0.00671198677266249</v>
      </c>
      <c r="AR55">
        <v>117.830777060412</v>
      </c>
      <c r="AS55">
        <v>0</v>
      </c>
      <c r="AT55">
        <v>0</v>
      </c>
      <c r="AU55">
        <f>IF(AS55*$H$13&gt;=AW55,1.0,(AW55/(AW55-AS55*$H$13)))</f>
        <v>0</v>
      </c>
      <c r="AV55">
        <f>(AU55-1)*100</f>
        <v>0</v>
      </c>
      <c r="AW55">
        <f>MAX(0,($B$13+$C$13*EF55)/(1+$D$13*EF55)*DY55/(EA55+273)*$E$13)</f>
        <v>0</v>
      </c>
      <c r="AX55" t="s">
        <v>437</v>
      </c>
      <c r="AY55">
        <v>5082.33</v>
      </c>
      <c r="AZ55">
        <v>690.032</v>
      </c>
      <c r="BA55">
        <v>1612.68</v>
      </c>
      <c r="BB55">
        <f>1-AZ55/BA55</f>
        <v>0</v>
      </c>
      <c r="BC55">
        <v>-9.7270689171713</v>
      </c>
      <c r="BD55" t="s">
        <v>608</v>
      </c>
      <c r="BE55">
        <v>5145.38</v>
      </c>
      <c r="BF55">
        <v>1465.30961538462</v>
      </c>
      <c r="BG55">
        <v>1812.81386382624</v>
      </c>
      <c r="BH55">
        <f>1-BF55/BG55</f>
        <v>0</v>
      </c>
      <c r="BI55">
        <v>0.5</v>
      </c>
      <c r="BJ55">
        <f>DI55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609</v>
      </c>
      <c r="BQ55">
        <v>772.4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BZ55">
        <v>172</v>
      </c>
      <c r="CA55">
        <v>290</v>
      </c>
      <c r="CB55">
        <v>1722.08</v>
      </c>
      <c r="CC55">
        <v>115</v>
      </c>
      <c r="CD55">
        <v>5145.38</v>
      </c>
      <c r="CE55">
        <v>1721.13</v>
      </c>
      <c r="CF55">
        <v>0.95</v>
      </c>
      <c r="CG55">
        <v>300</v>
      </c>
      <c r="CH55">
        <v>23.8</v>
      </c>
      <c r="CI55">
        <v>1812.81386382624</v>
      </c>
      <c r="CJ55">
        <v>2.04690805998894</v>
      </c>
      <c r="CK55">
        <v>-47.1724397460575</v>
      </c>
      <c r="CL55">
        <v>0.947300366826182</v>
      </c>
      <c r="CM55">
        <v>0.988834444072938</v>
      </c>
      <c r="CN55">
        <v>-0.00324269121245829</v>
      </c>
      <c r="CO55">
        <v>290</v>
      </c>
      <c r="CP55">
        <v>1718.86</v>
      </c>
      <c r="CQ55">
        <v>755</v>
      </c>
      <c r="CR55">
        <v>5140.72</v>
      </c>
      <c r="CS55">
        <v>1721.05</v>
      </c>
      <c r="CT55">
        <v>-2.19</v>
      </c>
      <c r="DH55">
        <f>$B$11*EG55+$C$11*EH55+$F$11*ES55*(1-EV55)</f>
        <v>0</v>
      </c>
      <c r="DI55">
        <f>DH55*DJ55</f>
        <v>0</v>
      </c>
      <c r="DJ55">
        <f>($B$11*$D$9+$C$11*$D$9+$F$11*((FF55+EX55)/MAX(FF55+EX55+FG55, 0.1)*$I$9+FG55/MAX(FF55+EX55+FG55, 0.1)*$J$9))/($B$11+$C$11+$F$11)</f>
        <v>0</v>
      </c>
      <c r="DK55">
        <f>($B$11*$K$9+$C$11*$K$9+$F$11*((FF55+EX55)/MAX(FF55+EX55+FG55, 0.1)*$P$9+FG55/MAX(FF55+EX55+FG55, 0.1)*$Q$9))/($B$11+$C$11+$F$11)</f>
        <v>0</v>
      </c>
      <c r="DL55">
        <v>3.21</v>
      </c>
      <c r="DM55">
        <v>0.5</v>
      </c>
      <c r="DN55" t="s">
        <v>440</v>
      </c>
      <c r="DO55">
        <v>2</v>
      </c>
      <c r="DP55" t="b">
        <v>1</v>
      </c>
      <c r="DQ55">
        <v>1760903786</v>
      </c>
      <c r="DR55">
        <v>407.938</v>
      </c>
      <c r="DS55">
        <v>420.036466666667</v>
      </c>
      <c r="DT55">
        <v>23.7287933333333</v>
      </c>
      <c r="DU55">
        <v>20.2194866666667</v>
      </c>
      <c r="DV55">
        <v>405.534933333333</v>
      </c>
      <c r="DW55">
        <v>23.33146</v>
      </c>
      <c r="DX55">
        <v>500.0214</v>
      </c>
      <c r="DY55">
        <v>90.7321</v>
      </c>
      <c r="DZ55">
        <v>0.0396221933333333</v>
      </c>
      <c r="EA55">
        <v>30.1689466666667</v>
      </c>
      <c r="EB55">
        <v>29.9967533333333</v>
      </c>
      <c r="EC55">
        <v>999.9</v>
      </c>
      <c r="ED55">
        <v>0</v>
      </c>
      <c r="EE55">
        <v>0</v>
      </c>
      <c r="EF55">
        <v>10005.834</v>
      </c>
      <c r="EG55">
        <v>0</v>
      </c>
      <c r="EH55">
        <v>1262.05733333333</v>
      </c>
      <c r="EI55">
        <v>-12.0983733333333</v>
      </c>
      <c r="EJ55">
        <v>417.853266666667</v>
      </c>
      <c r="EK55">
        <v>428.704733333333</v>
      </c>
      <c r="EL55">
        <v>3.509314</v>
      </c>
      <c r="EM55">
        <v>420.036466666667</v>
      </c>
      <c r="EN55">
        <v>20.2194866666667</v>
      </c>
      <c r="EO55">
        <v>2.15296266666667</v>
      </c>
      <c r="EP55">
        <v>1.834554</v>
      </c>
      <c r="EQ55">
        <v>18.61654</v>
      </c>
      <c r="ER55">
        <v>16.0843466666667</v>
      </c>
      <c r="ES55">
        <v>1200.00133333333</v>
      </c>
      <c r="ET55">
        <v>0.9669978</v>
      </c>
      <c r="EU55">
        <v>0.03300204</v>
      </c>
      <c r="EV55">
        <v>0</v>
      </c>
      <c r="EW55">
        <v>1465.37466666667</v>
      </c>
      <c r="EX55">
        <v>5.00059</v>
      </c>
      <c r="EY55">
        <v>17678.7933333333</v>
      </c>
      <c r="EZ55">
        <v>10358.7266666667</v>
      </c>
      <c r="FA55">
        <v>44.5</v>
      </c>
      <c r="FB55">
        <v>46.25</v>
      </c>
      <c r="FC55">
        <v>44.7624</v>
      </c>
      <c r="FD55">
        <v>45.8037333333333</v>
      </c>
      <c r="FE55">
        <v>45.625</v>
      </c>
      <c r="FF55">
        <v>1155.56133333333</v>
      </c>
      <c r="FG55">
        <v>39.44</v>
      </c>
      <c r="FH55">
        <v>0</v>
      </c>
      <c r="FI55">
        <v>167.799999952316</v>
      </c>
      <c r="FJ55">
        <v>0</v>
      </c>
      <c r="FK55">
        <v>1465.30961538462</v>
      </c>
      <c r="FL55">
        <v>-2.74358974890102</v>
      </c>
      <c r="FM55">
        <v>-33.0769231117775</v>
      </c>
      <c r="FN55">
        <v>17678.7653846154</v>
      </c>
      <c r="FO55">
        <v>15</v>
      </c>
      <c r="FP55">
        <v>0</v>
      </c>
      <c r="FQ55" t="s">
        <v>441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-12.1111095238095</v>
      </c>
      <c r="GD55">
        <v>0.0917688311688073</v>
      </c>
      <c r="GE55">
        <v>0.0336907067129922</v>
      </c>
      <c r="GF55">
        <v>1</v>
      </c>
      <c r="GG55">
        <v>1465.48323529412</v>
      </c>
      <c r="GH55">
        <v>-2.64705882963787</v>
      </c>
      <c r="GI55">
        <v>0.366708095069641</v>
      </c>
      <c r="GJ55">
        <v>-1</v>
      </c>
      <c r="GK55">
        <v>3.48950904761905</v>
      </c>
      <c r="GL55">
        <v>0.38913506493507</v>
      </c>
      <c r="GM55">
        <v>0.0399327470230544</v>
      </c>
      <c r="GN55">
        <v>0</v>
      </c>
      <c r="GO55">
        <v>1</v>
      </c>
      <c r="GP55">
        <v>2</v>
      </c>
      <c r="GQ55" t="s">
        <v>454</v>
      </c>
      <c r="GR55">
        <v>3.12991</v>
      </c>
      <c r="GS55">
        <v>2.71778</v>
      </c>
      <c r="GT55">
        <v>0.085948</v>
      </c>
      <c r="GU55">
        <v>0.0884397</v>
      </c>
      <c r="GV55">
        <v>0.100329</v>
      </c>
      <c r="GW55">
        <v>0.0901311</v>
      </c>
      <c r="GX55">
        <v>33930.3</v>
      </c>
      <c r="GY55">
        <v>36101.9</v>
      </c>
      <c r="GZ55">
        <v>33627.4</v>
      </c>
      <c r="HA55">
        <v>35901.6</v>
      </c>
      <c r="HB55">
        <v>42845.1</v>
      </c>
      <c r="HC55">
        <v>46941.8</v>
      </c>
      <c r="HD55">
        <v>52561.3</v>
      </c>
      <c r="HE55">
        <v>57421.2</v>
      </c>
      <c r="HF55">
        <v>1.85917</v>
      </c>
      <c r="HG55">
        <v>1.72075</v>
      </c>
      <c r="HH55">
        <v>0.00635535</v>
      </c>
      <c r="HI55">
        <v>0</v>
      </c>
      <c r="HJ55">
        <v>29.8949</v>
      </c>
      <c r="HK55">
        <v>999.9</v>
      </c>
      <c r="HL55">
        <v>52.79</v>
      </c>
      <c r="HM55">
        <v>29.87</v>
      </c>
      <c r="HN55">
        <v>24.6024</v>
      </c>
      <c r="HO55">
        <v>54.7207</v>
      </c>
      <c r="HP55">
        <v>44.3069</v>
      </c>
      <c r="HQ55">
        <v>1</v>
      </c>
      <c r="HR55">
        <v>0.727182</v>
      </c>
      <c r="HS55">
        <v>4.29226</v>
      </c>
      <c r="HT55">
        <v>20.0858</v>
      </c>
      <c r="HU55">
        <v>5.19318</v>
      </c>
      <c r="HV55">
        <v>12.0099</v>
      </c>
      <c r="HW55">
        <v>4.9736</v>
      </c>
      <c r="HX55">
        <v>3.29438</v>
      </c>
      <c r="HY55">
        <v>9999</v>
      </c>
      <c r="HZ55">
        <v>999.9</v>
      </c>
      <c r="IA55">
        <v>9999</v>
      </c>
      <c r="IB55">
        <v>9999</v>
      </c>
      <c r="IC55">
        <v>1.86325</v>
      </c>
      <c r="ID55">
        <v>1.86805</v>
      </c>
      <c r="IE55">
        <v>1.86783</v>
      </c>
      <c r="IF55">
        <v>1.86905</v>
      </c>
      <c r="IG55">
        <v>1.86981</v>
      </c>
      <c r="IH55">
        <v>1.86584</v>
      </c>
      <c r="II55">
        <v>1.86693</v>
      </c>
      <c r="IJ55">
        <v>1.86835</v>
      </c>
      <c r="IK55">
        <v>5</v>
      </c>
      <c r="IL55">
        <v>0</v>
      </c>
      <c r="IM55">
        <v>0</v>
      </c>
      <c r="IN55">
        <v>0</v>
      </c>
      <c r="IO55" t="s">
        <v>443</v>
      </c>
      <c r="IP55" t="s">
        <v>444</v>
      </c>
      <c r="IQ55" t="s">
        <v>445</v>
      </c>
      <c r="IR55" t="s">
        <v>445</v>
      </c>
      <c r="IS55" t="s">
        <v>445</v>
      </c>
      <c r="IT55" t="s">
        <v>445</v>
      </c>
      <c r="IU55">
        <v>0</v>
      </c>
      <c r="IV55">
        <v>100</v>
      </c>
      <c r="IW55">
        <v>100</v>
      </c>
      <c r="IX55">
        <v>2.403</v>
      </c>
      <c r="IY55">
        <v>0.3957</v>
      </c>
      <c r="IZ55">
        <v>0.833350075594679</v>
      </c>
      <c r="JA55">
        <v>0.00412825224050377</v>
      </c>
      <c r="JB55">
        <v>-7.34426573386615e-07</v>
      </c>
      <c r="JC55">
        <v>2.46800082545482e-10</v>
      </c>
      <c r="JD55">
        <v>-0.0848433440729365</v>
      </c>
      <c r="JE55">
        <v>-0.0240557196358944</v>
      </c>
      <c r="JF55">
        <v>0.0027855358087715</v>
      </c>
      <c r="JG55">
        <v>-3.72349365099102e-05</v>
      </c>
      <c r="JH55">
        <v>5</v>
      </c>
      <c r="JI55">
        <v>2250</v>
      </c>
      <c r="JJ55">
        <v>0</v>
      </c>
      <c r="JK55">
        <v>24</v>
      </c>
      <c r="JL55">
        <v>29348396.6</v>
      </c>
      <c r="JM55">
        <v>29348396.6</v>
      </c>
      <c r="JN55">
        <v>1.01318</v>
      </c>
      <c r="JO55">
        <v>2.63062</v>
      </c>
      <c r="JP55">
        <v>1.54785</v>
      </c>
      <c r="JQ55">
        <v>2.31201</v>
      </c>
      <c r="JR55">
        <v>1.64673</v>
      </c>
      <c r="JS55">
        <v>2.26074</v>
      </c>
      <c r="JT55">
        <v>33.8509</v>
      </c>
      <c r="JU55">
        <v>24.1751</v>
      </c>
      <c r="JV55">
        <v>18</v>
      </c>
      <c r="JW55">
        <v>504.815</v>
      </c>
      <c r="JX55">
        <v>409.868</v>
      </c>
      <c r="JY55">
        <v>24.3129</v>
      </c>
      <c r="JZ55">
        <v>36.1503</v>
      </c>
      <c r="KA55">
        <v>30.0003</v>
      </c>
      <c r="KB55">
        <v>36.0104</v>
      </c>
      <c r="KC55">
        <v>35.9328</v>
      </c>
      <c r="KD55">
        <v>20.3112</v>
      </c>
      <c r="KE55">
        <v>23.417</v>
      </c>
      <c r="KF55">
        <v>77.4983</v>
      </c>
      <c r="KG55">
        <v>24.311</v>
      </c>
      <c r="KH55">
        <v>420</v>
      </c>
      <c r="KI55">
        <v>20.1508</v>
      </c>
      <c r="KJ55">
        <v>95.4724</v>
      </c>
      <c r="KK55">
        <v>93.0085</v>
      </c>
    </row>
    <row r="56" spans="1:297">
      <c r="A56">
        <v>40</v>
      </c>
      <c r="B56">
        <v>1760904220</v>
      </c>
      <c r="C56">
        <v>10455.9000000954</v>
      </c>
      <c r="D56" t="s">
        <v>610</v>
      </c>
      <c r="E56" t="s">
        <v>611</v>
      </c>
      <c r="F56">
        <v>5</v>
      </c>
      <c r="G56" t="s">
        <v>612</v>
      </c>
      <c r="H56" t="s">
        <v>436</v>
      </c>
      <c r="I56">
        <v>1760904212</v>
      </c>
      <c r="J56">
        <f>(K56)/1000</f>
        <v>0</v>
      </c>
      <c r="K56">
        <f>IF(DP56, AN56, AH56)</f>
        <v>0</v>
      </c>
      <c r="L56">
        <f>IF(DP56, AI56, AG56)</f>
        <v>0</v>
      </c>
      <c r="M56">
        <f>DR56 - IF(AU56&gt;1, L56*DL56*100.0/(AW56), 0)</f>
        <v>0</v>
      </c>
      <c r="N56">
        <f>((T56-J56/2)*M56-L56)/(T56+J56/2)</f>
        <v>0</v>
      </c>
      <c r="O56">
        <f>N56*(DY56+DZ56)/1000.0</f>
        <v>0</v>
      </c>
      <c r="P56">
        <f>(DR56 - IF(AU56&gt;1, L56*DL56*100.0/(AW56), 0))*(DY56+DZ56)/1000.0</f>
        <v>0</v>
      </c>
      <c r="Q56">
        <f>2.0/((1/S56-1/R56)+SIGN(S56)*SQRT((1/S56-1/R56)*(1/S56-1/R56) + 4*DM56/((DM56+1)*(DM56+1))*(2*1/S56*1/R56-1/R56*1/R56)))</f>
        <v>0</v>
      </c>
      <c r="R56">
        <f>IF(LEFT(DN56,1)&lt;&gt;"0",IF(LEFT(DN56,1)="1",3.0,DO56),$D$5+$E$5*(EF56*DY56/($K$5*1000))+$F$5*(EF56*DY56/($K$5*1000))*MAX(MIN(DL56,$J$5),$I$5)*MAX(MIN(DL56,$J$5),$I$5)+$G$5*MAX(MIN(DL56,$J$5),$I$5)*(EF56*DY56/($K$5*1000))+$H$5*(EF56*DY56/($K$5*1000))*(EF56*DY56/($K$5*1000)))</f>
        <v>0</v>
      </c>
      <c r="S56">
        <f>J56*(1000-(1000*0.61365*exp(17.502*W56/(240.97+W56))/(DY56+DZ56)+DT56)/2)/(1000*0.61365*exp(17.502*W56/(240.97+W56))/(DY56+DZ56)-DT56)</f>
        <v>0</v>
      </c>
      <c r="T56">
        <f>1/((DM56+1)/(Q56/1.6)+1/(R56/1.37)) + DM56/((DM56+1)/(Q56/1.6) + DM56/(R56/1.37))</f>
        <v>0</v>
      </c>
      <c r="U56">
        <f>(DH56*DK56)</f>
        <v>0</v>
      </c>
      <c r="V56">
        <f>(EA56+(U56+2*0.95*5.67E-8*(((EA56+$B$7)+273)^4-(EA56+273)^4)-44100*J56)/(1.84*29.3*R56+8*0.95*5.67E-8*(EA56+273)^3))</f>
        <v>0</v>
      </c>
      <c r="W56">
        <f>($C$7*EB56+$D$7*EC56+$E$7*V56)</f>
        <v>0</v>
      </c>
      <c r="X56">
        <f>0.61365*exp(17.502*W56/(240.97+W56))</f>
        <v>0</v>
      </c>
      <c r="Y56">
        <f>(Z56/AA56*100)</f>
        <v>0</v>
      </c>
      <c r="Z56">
        <f>DT56*(DY56+DZ56)/1000</f>
        <v>0</v>
      </c>
      <c r="AA56">
        <f>0.61365*exp(17.502*EA56/(240.97+EA56))</f>
        <v>0</v>
      </c>
      <c r="AB56">
        <f>(X56-DT56*(DY56+DZ56)/1000)</f>
        <v>0</v>
      </c>
      <c r="AC56">
        <f>(-J56*44100)</f>
        <v>0</v>
      </c>
      <c r="AD56">
        <f>2*29.3*R56*0.92*(EA56-W56)</f>
        <v>0</v>
      </c>
      <c r="AE56">
        <f>2*0.95*5.67E-8*(((EA56+$B$7)+273)^4-(W56+273)^4)</f>
        <v>0</v>
      </c>
      <c r="AF56">
        <f>U56+AE56+AC56+AD56</f>
        <v>0</v>
      </c>
      <c r="AG56">
        <f>DX56*AU56*(DS56-DR56*(1000-AU56*DU56)/(1000-AU56*DT56))/(100*DL56)</f>
        <v>0</v>
      </c>
      <c r="AH56">
        <f>1000*DX56*AU56*(DT56-DU56)/(100*DL56*(1000-AU56*DT56))</f>
        <v>0</v>
      </c>
      <c r="AI56">
        <f>(AJ56 - AK56 - DY56*1E3/(8.314*(EA56+273.15)) * AM56/DX56 * AL56) * DX56/(100*DL56) * (1000 - DU56)/1000</f>
        <v>0</v>
      </c>
      <c r="AJ56">
        <v>427.926007253443</v>
      </c>
      <c r="AK56">
        <v>418.240521212121</v>
      </c>
      <c r="AL56">
        <v>0.000458060657188523</v>
      </c>
      <c r="AM56">
        <v>64.9352536426019</v>
      </c>
      <c r="AN56">
        <f>(AP56 - AO56 + DY56*1E3/(8.314*(EA56+273.15)) * AR56/DX56 * AQ56) * DX56/(100*DL56) * 1000/(1000 - AP56)</f>
        <v>0</v>
      </c>
      <c r="AO56">
        <v>18.461641113459</v>
      </c>
      <c r="AP56">
        <v>24.2174727272727</v>
      </c>
      <c r="AQ56">
        <v>-0.000125631324391886</v>
      </c>
      <c r="AR56">
        <v>117.857985610375</v>
      </c>
      <c r="AS56">
        <v>0</v>
      </c>
      <c r="AT56">
        <v>0</v>
      </c>
      <c r="AU56">
        <f>IF(AS56*$H$13&gt;=AW56,1.0,(AW56/(AW56-AS56*$H$13)))</f>
        <v>0</v>
      </c>
      <c r="AV56">
        <f>(AU56-1)*100</f>
        <v>0</v>
      </c>
      <c r="AW56">
        <f>MAX(0,($B$13+$C$13*EF56)/(1+$D$13*EF56)*DY56/(EA56+273)*$E$13)</f>
        <v>0</v>
      </c>
      <c r="AX56" t="s">
        <v>437</v>
      </c>
      <c r="AY56">
        <v>5082.33</v>
      </c>
      <c r="AZ56">
        <v>690.032</v>
      </c>
      <c r="BA56">
        <v>1612.68</v>
      </c>
      <c r="BB56">
        <f>1-AZ56/BA56</f>
        <v>0</v>
      </c>
      <c r="BC56">
        <v>-9.7270689171713</v>
      </c>
      <c r="BD56" t="s">
        <v>613</v>
      </c>
      <c r="BE56">
        <v>5146.48</v>
      </c>
      <c r="BF56">
        <v>1692.3956</v>
      </c>
      <c r="BG56">
        <v>1953.31348262974</v>
      </c>
      <c r="BH56">
        <f>1-BF56/BG56</f>
        <v>0</v>
      </c>
      <c r="BI56">
        <v>0.5</v>
      </c>
      <c r="BJ56">
        <f>DI56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614</v>
      </c>
      <c r="BQ56">
        <v>876.33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BZ56">
        <v>174</v>
      </c>
      <c r="CA56">
        <v>290</v>
      </c>
      <c r="CB56">
        <v>1883.61</v>
      </c>
      <c r="CC56">
        <v>205</v>
      </c>
      <c r="CD56">
        <v>5146.48</v>
      </c>
      <c r="CE56">
        <v>1881.96</v>
      </c>
      <c r="CF56">
        <v>1.65</v>
      </c>
      <c r="CG56">
        <v>300</v>
      </c>
      <c r="CH56">
        <v>23.8</v>
      </c>
      <c r="CI56">
        <v>1953.31348262974</v>
      </c>
      <c r="CJ56">
        <v>1.69560165562977</v>
      </c>
      <c r="CK56">
        <v>-36.7211317621732</v>
      </c>
      <c r="CL56">
        <v>0.785162992001494</v>
      </c>
      <c r="CM56">
        <v>0.987360746752095</v>
      </c>
      <c r="CN56">
        <v>-0.003244519243604</v>
      </c>
      <c r="CO56">
        <v>290</v>
      </c>
      <c r="CP56">
        <v>1877.58</v>
      </c>
      <c r="CQ56">
        <v>805</v>
      </c>
      <c r="CR56">
        <v>5143.36</v>
      </c>
      <c r="CS56">
        <v>1881.92</v>
      </c>
      <c r="CT56">
        <v>-4.34</v>
      </c>
      <c r="DH56">
        <f>$B$11*EG56+$C$11*EH56+$F$11*ES56*(1-EV56)</f>
        <v>0</v>
      </c>
      <c r="DI56">
        <f>DH56*DJ56</f>
        <v>0</v>
      </c>
      <c r="DJ56">
        <f>($B$11*$D$9+$C$11*$D$9+$F$11*((FF56+EX56)/MAX(FF56+EX56+FG56, 0.1)*$I$9+FG56/MAX(FF56+EX56+FG56, 0.1)*$J$9))/($B$11+$C$11+$F$11)</f>
        <v>0</v>
      </c>
      <c r="DK56">
        <f>($B$11*$K$9+$C$11*$K$9+$F$11*((FF56+EX56)/MAX(FF56+EX56+FG56, 0.1)*$P$9+FG56/MAX(FF56+EX56+FG56, 0.1)*$Q$9))/($B$11+$C$11+$F$11)</f>
        <v>0</v>
      </c>
      <c r="DL56">
        <v>3.21</v>
      </c>
      <c r="DM56">
        <v>0.5</v>
      </c>
      <c r="DN56" t="s">
        <v>440</v>
      </c>
      <c r="DO56">
        <v>2</v>
      </c>
      <c r="DP56" t="b">
        <v>1</v>
      </c>
      <c r="DQ56">
        <v>1760904212</v>
      </c>
      <c r="DR56">
        <v>408.0716</v>
      </c>
      <c r="DS56">
        <v>420.014733333333</v>
      </c>
      <c r="DT56">
        <v>24.2352866666667</v>
      </c>
      <c r="DU56">
        <v>18.4632066666667</v>
      </c>
      <c r="DV56">
        <v>405.668066666667</v>
      </c>
      <c r="DW56">
        <v>23.81606</v>
      </c>
      <c r="DX56">
        <v>500.017133333333</v>
      </c>
      <c r="DY56">
        <v>90.7274933333333</v>
      </c>
      <c r="DZ56">
        <v>0.0401584866666667</v>
      </c>
      <c r="EA56">
        <v>30.5455066666667</v>
      </c>
      <c r="EB56">
        <v>30.02762</v>
      </c>
      <c r="EC56">
        <v>999.9</v>
      </c>
      <c r="ED56">
        <v>0</v>
      </c>
      <c r="EE56">
        <v>0</v>
      </c>
      <c r="EF56">
        <v>10021.2066666667</v>
      </c>
      <c r="EG56">
        <v>0</v>
      </c>
      <c r="EH56">
        <v>1272.40066666667</v>
      </c>
      <c r="EI56">
        <v>-11.9430933333333</v>
      </c>
      <c r="EJ56">
        <v>418.206933333333</v>
      </c>
      <c r="EK56">
        <v>427.915266666667</v>
      </c>
      <c r="EL56">
        <v>5.77207066666667</v>
      </c>
      <c r="EM56">
        <v>420.014733333333</v>
      </c>
      <c r="EN56">
        <v>18.4632066666667</v>
      </c>
      <c r="EO56">
        <v>2.19880666666667</v>
      </c>
      <c r="EP56">
        <v>1.67512</v>
      </c>
      <c r="EQ56">
        <v>18.95362</v>
      </c>
      <c r="ER56">
        <v>14.6677866666667</v>
      </c>
      <c r="ES56">
        <v>1200.06</v>
      </c>
      <c r="ET56">
        <v>0.967004266666667</v>
      </c>
      <c r="EU56">
        <v>0.0329958533333333</v>
      </c>
      <c r="EV56">
        <v>0</v>
      </c>
      <c r="EW56">
        <v>1692.43333333333</v>
      </c>
      <c r="EX56">
        <v>5.00059</v>
      </c>
      <c r="EY56">
        <v>20410.6133333333</v>
      </c>
      <c r="EZ56">
        <v>10359.2466666667</v>
      </c>
      <c r="FA56">
        <v>44.6746</v>
      </c>
      <c r="FB56">
        <v>46.375</v>
      </c>
      <c r="FC56">
        <v>44.9328666666667</v>
      </c>
      <c r="FD56">
        <v>45.937</v>
      </c>
      <c r="FE56">
        <v>45.812</v>
      </c>
      <c r="FF56">
        <v>1155.63</v>
      </c>
      <c r="FG56">
        <v>39.43</v>
      </c>
      <c r="FH56">
        <v>0</v>
      </c>
      <c r="FI56">
        <v>422.5</v>
      </c>
      <c r="FJ56">
        <v>0</v>
      </c>
      <c r="FK56">
        <v>1692.3956</v>
      </c>
      <c r="FL56">
        <v>-1.91307692468006</v>
      </c>
      <c r="FM56">
        <v>-30.7000000045436</v>
      </c>
      <c r="FN56">
        <v>20409.688</v>
      </c>
      <c r="FO56">
        <v>15</v>
      </c>
      <c r="FP56">
        <v>0</v>
      </c>
      <c r="FQ56" t="s">
        <v>441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-11.939795</v>
      </c>
      <c r="GD56">
        <v>-0.00146616541353897</v>
      </c>
      <c r="GE56">
        <v>0.0445899369252748</v>
      </c>
      <c r="GF56">
        <v>1</v>
      </c>
      <c r="GG56">
        <v>1692.53705882353</v>
      </c>
      <c r="GH56">
        <v>-2.04919786460988</v>
      </c>
      <c r="GI56">
        <v>0.29435402266224</v>
      </c>
      <c r="GJ56">
        <v>-1</v>
      </c>
      <c r="GK56">
        <v>5.7807305</v>
      </c>
      <c r="GL56">
        <v>-0.1527920300752</v>
      </c>
      <c r="GM56">
        <v>0.0161740299477279</v>
      </c>
      <c r="GN56">
        <v>0</v>
      </c>
      <c r="GO56">
        <v>1</v>
      </c>
      <c r="GP56">
        <v>2</v>
      </c>
      <c r="GQ56" t="s">
        <v>454</v>
      </c>
      <c r="GR56">
        <v>3.12955</v>
      </c>
      <c r="GS56">
        <v>2.71834</v>
      </c>
      <c r="GT56">
        <v>0.0859711</v>
      </c>
      <c r="GU56">
        <v>0.0884006</v>
      </c>
      <c r="GV56">
        <v>0.101872</v>
      </c>
      <c r="GW56">
        <v>0.0845195</v>
      </c>
      <c r="GX56">
        <v>33931</v>
      </c>
      <c r="GY56">
        <v>36107.6</v>
      </c>
      <c r="GZ56">
        <v>33628.9</v>
      </c>
      <c r="HA56">
        <v>35905.8</v>
      </c>
      <c r="HB56">
        <v>42773.6</v>
      </c>
      <c r="HC56">
        <v>47236.4</v>
      </c>
      <c r="HD56">
        <v>52563.5</v>
      </c>
      <c r="HE56">
        <v>57428.3</v>
      </c>
      <c r="HF56">
        <v>1.86033</v>
      </c>
      <c r="HG56">
        <v>1.71753</v>
      </c>
      <c r="HH56">
        <v>-0.0117905</v>
      </c>
      <c r="HI56">
        <v>0</v>
      </c>
      <c r="HJ56">
        <v>30.2083</v>
      </c>
      <c r="HK56">
        <v>999.9</v>
      </c>
      <c r="HL56">
        <v>51.3</v>
      </c>
      <c r="HM56">
        <v>29.9</v>
      </c>
      <c r="HN56">
        <v>23.9533</v>
      </c>
      <c r="HO56">
        <v>55.6807</v>
      </c>
      <c r="HP56">
        <v>44.5393</v>
      </c>
      <c r="HQ56">
        <v>1</v>
      </c>
      <c r="HR56">
        <v>0.727592</v>
      </c>
      <c r="HS56">
        <v>4.75167</v>
      </c>
      <c r="HT56">
        <v>20.0744</v>
      </c>
      <c r="HU56">
        <v>5.19348</v>
      </c>
      <c r="HV56">
        <v>12.0099</v>
      </c>
      <c r="HW56">
        <v>4.9734</v>
      </c>
      <c r="HX56">
        <v>3.29423</v>
      </c>
      <c r="HY56">
        <v>9999</v>
      </c>
      <c r="HZ56">
        <v>999.9</v>
      </c>
      <c r="IA56">
        <v>9999</v>
      </c>
      <c r="IB56">
        <v>9999</v>
      </c>
      <c r="IC56">
        <v>1.86323</v>
      </c>
      <c r="ID56">
        <v>1.86804</v>
      </c>
      <c r="IE56">
        <v>1.86783</v>
      </c>
      <c r="IF56">
        <v>1.86905</v>
      </c>
      <c r="IG56">
        <v>1.86981</v>
      </c>
      <c r="IH56">
        <v>1.86584</v>
      </c>
      <c r="II56">
        <v>1.86692</v>
      </c>
      <c r="IJ56">
        <v>1.86835</v>
      </c>
      <c r="IK56">
        <v>5</v>
      </c>
      <c r="IL56">
        <v>0</v>
      </c>
      <c r="IM56">
        <v>0</v>
      </c>
      <c r="IN56">
        <v>0</v>
      </c>
      <c r="IO56" t="s">
        <v>443</v>
      </c>
      <c r="IP56" t="s">
        <v>444</v>
      </c>
      <c r="IQ56" t="s">
        <v>445</v>
      </c>
      <c r="IR56" t="s">
        <v>445</v>
      </c>
      <c r="IS56" t="s">
        <v>445</v>
      </c>
      <c r="IT56" t="s">
        <v>445</v>
      </c>
      <c r="IU56">
        <v>0</v>
      </c>
      <c r="IV56">
        <v>100</v>
      </c>
      <c r="IW56">
        <v>100</v>
      </c>
      <c r="IX56">
        <v>2.404</v>
      </c>
      <c r="IY56">
        <v>0.4182</v>
      </c>
      <c r="IZ56">
        <v>0.833350075594679</v>
      </c>
      <c r="JA56">
        <v>0.00412825224050377</v>
      </c>
      <c r="JB56">
        <v>-7.34426573386615e-07</v>
      </c>
      <c r="JC56">
        <v>2.46800082545482e-10</v>
      </c>
      <c r="JD56">
        <v>-0.0848433440729365</v>
      </c>
      <c r="JE56">
        <v>-0.0240557196358944</v>
      </c>
      <c r="JF56">
        <v>0.0027855358087715</v>
      </c>
      <c r="JG56">
        <v>-3.72349365099102e-05</v>
      </c>
      <c r="JH56">
        <v>5</v>
      </c>
      <c r="JI56">
        <v>2250</v>
      </c>
      <c r="JJ56">
        <v>0</v>
      </c>
      <c r="JK56">
        <v>24</v>
      </c>
      <c r="JL56">
        <v>29348403.7</v>
      </c>
      <c r="JM56">
        <v>29348403.7</v>
      </c>
      <c r="JN56">
        <v>1.01196</v>
      </c>
      <c r="JO56">
        <v>2.62207</v>
      </c>
      <c r="JP56">
        <v>1.54785</v>
      </c>
      <c r="JQ56">
        <v>2.31201</v>
      </c>
      <c r="JR56">
        <v>1.64551</v>
      </c>
      <c r="JS56">
        <v>2.34375</v>
      </c>
      <c r="JT56">
        <v>33.7606</v>
      </c>
      <c r="JU56">
        <v>24.1751</v>
      </c>
      <c r="JV56">
        <v>18</v>
      </c>
      <c r="JW56">
        <v>505.713</v>
      </c>
      <c r="JX56">
        <v>408.095</v>
      </c>
      <c r="JY56">
        <v>24.4184</v>
      </c>
      <c r="JZ56">
        <v>36.1368</v>
      </c>
      <c r="KA56">
        <v>30</v>
      </c>
      <c r="KB56">
        <v>36.024</v>
      </c>
      <c r="KC56">
        <v>35.9513</v>
      </c>
      <c r="KD56">
        <v>20.289</v>
      </c>
      <c r="KE56">
        <v>25.6548</v>
      </c>
      <c r="KF56">
        <v>72.2351</v>
      </c>
      <c r="KG56">
        <v>24.4017</v>
      </c>
      <c r="KH56">
        <v>420</v>
      </c>
      <c r="KI56">
        <v>18.5136</v>
      </c>
      <c r="KJ56">
        <v>95.4765</v>
      </c>
      <c r="KK56">
        <v>93.0196</v>
      </c>
    </row>
    <row r="57" spans="1:297">
      <c r="A57">
        <v>41</v>
      </c>
      <c r="B57">
        <v>1760904492</v>
      </c>
      <c r="C57">
        <v>10727.9000000954</v>
      </c>
      <c r="D57" t="s">
        <v>615</v>
      </c>
      <c r="E57" t="s">
        <v>616</v>
      </c>
      <c r="F57">
        <v>5</v>
      </c>
      <c r="G57" t="s">
        <v>612</v>
      </c>
      <c r="H57" t="s">
        <v>436</v>
      </c>
      <c r="I57">
        <v>1760904484</v>
      </c>
      <c r="J57">
        <f>(K57)/1000</f>
        <v>0</v>
      </c>
      <c r="K57">
        <f>IF(DP57, AN57, AH57)</f>
        <v>0</v>
      </c>
      <c r="L57">
        <f>IF(DP57, AI57, AG57)</f>
        <v>0</v>
      </c>
      <c r="M57">
        <f>DR57 - IF(AU57&gt;1, L57*DL57*100.0/(AW57), 0)</f>
        <v>0</v>
      </c>
      <c r="N57">
        <f>((T57-J57/2)*M57-L57)/(T57+J57/2)</f>
        <v>0</v>
      </c>
      <c r="O57">
        <f>N57*(DY57+DZ57)/1000.0</f>
        <v>0</v>
      </c>
      <c r="P57">
        <f>(DR57 - IF(AU57&gt;1, L57*DL57*100.0/(AW57), 0))*(DY57+DZ57)/1000.0</f>
        <v>0</v>
      </c>
      <c r="Q57">
        <f>2.0/((1/S57-1/R57)+SIGN(S57)*SQRT((1/S57-1/R57)*(1/S57-1/R57) + 4*DM57/((DM57+1)*(DM57+1))*(2*1/S57*1/R57-1/R57*1/R57)))</f>
        <v>0</v>
      </c>
      <c r="R57">
        <f>IF(LEFT(DN57,1)&lt;&gt;"0",IF(LEFT(DN57,1)="1",3.0,DO57),$D$5+$E$5*(EF57*DY57/($K$5*1000))+$F$5*(EF57*DY57/($K$5*1000))*MAX(MIN(DL57,$J$5),$I$5)*MAX(MIN(DL57,$J$5),$I$5)+$G$5*MAX(MIN(DL57,$J$5),$I$5)*(EF57*DY57/($K$5*1000))+$H$5*(EF57*DY57/($K$5*1000))*(EF57*DY57/($K$5*1000)))</f>
        <v>0</v>
      </c>
      <c r="S57">
        <f>J57*(1000-(1000*0.61365*exp(17.502*W57/(240.97+W57))/(DY57+DZ57)+DT57)/2)/(1000*0.61365*exp(17.502*W57/(240.97+W57))/(DY57+DZ57)-DT57)</f>
        <v>0</v>
      </c>
      <c r="T57">
        <f>1/((DM57+1)/(Q57/1.6)+1/(R57/1.37)) + DM57/((DM57+1)/(Q57/1.6) + DM57/(R57/1.37))</f>
        <v>0</v>
      </c>
      <c r="U57">
        <f>(DH57*DK57)</f>
        <v>0</v>
      </c>
      <c r="V57">
        <f>(EA57+(U57+2*0.95*5.67E-8*(((EA57+$B$7)+273)^4-(EA57+273)^4)-44100*J57)/(1.84*29.3*R57+8*0.95*5.67E-8*(EA57+273)^3))</f>
        <v>0</v>
      </c>
      <c r="W57">
        <f>($C$7*EB57+$D$7*EC57+$E$7*V57)</f>
        <v>0</v>
      </c>
      <c r="X57">
        <f>0.61365*exp(17.502*W57/(240.97+W57))</f>
        <v>0</v>
      </c>
      <c r="Y57">
        <f>(Z57/AA57*100)</f>
        <v>0</v>
      </c>
      <c r="Z57">
        <f>DT57*(DY57+DZ57)/1000</f>
        <v>0</v>
      </c>
      <c r="AA57">
        <f>0.61365*exp(17.502*EA57/(240.97+EA57))</f>
        <v>0</v>
      </c>
      <c r="AB57">
        <f>(X57-DT57*(DY57+DZ57)/1000)</f>
        <v>0</v>
      </c>
      <c r="AC57">
        <f>(-J57*44100)</f>
        <v>0</v>
      </c>
      <c r="AD57">
        <f>2*29.3*R57*0.92*(EA57-W57)</f>
        <v>0</v>
      </c>
      <c r="AE57">
        <f>2*0.95*5.67E-8*(((EA57+$B$7)+273)^4-(W57+273)^4)</f>
        <v>0</v>
      </c>
      <c r="AF57">
        <f>U57+AE57+AC57+AD57</f>
        <v>0</v>
      </c>
      <c r="AG57">
        <f>DX57*AU57*(DS57-DR57*(1000-AU57*DU57)/(1000-AU57*DT57))/(100*DL57)</f>
        <v>0</v>
      </c>
      <c r="AH57">
        <f>1000*DX57*AU57*(DT57-DU57)/(100*DL57*(1000-AU57*DT57))</f>
        <v>0</v>
      </c>
      <c r="AI57">
        <f>(AJ57 - AK57 - DY57*1E3/(8.314*(EA57+273.15)) * AM57/DX57 * AL57) * DX57/(100*DL57) * (1000 - DU57)/1000</f>
        <v>0</v>
      </c>
      <c r="AJ57">
        <v>428.015991202902</v>
      </c>
      <c r="AK57">
        <v>418.168490909091</v>
      </c>
      <c r="AL57">
        <v>-0.001442894073378</v>
      </c>
      <c r="AM57">
        <v>64.9352536426019</v>
      </c>
      <c r="AN57">
        <f>(AP57 - AO57 + DY57*1E3/(8.314*(EA57+273.15)) * AR57/DX57 * AQ57) * DX57/(100*DL57) * 1000/(1000 - AP57)</f>
        <v>0</v>
      </c>
      <c r="AO57">
        <v>18.7752129649808</v>
      </c>
      <c r="AP57">
        <v>24.0493163636364</v>
      </c>
      <c r="AQ57">
        <v>-0.000470172464954934</v>
      </c>
      <c r="AR57">
        <v>117.857985610375</v>
      </c>
      <c r="AS57">
        <v>0</v>
      </c>
      <c r="AT57">
        <v>0</v>
      </c>
      <c r="AU57">
        <f>IF(AS57*$H$13&gt;=AW57,1.0,(AW57/(AW57-AS57*$H$13)))</f>
        <v>0</v>
      </c>
      <c r="AV57">
        <f>(AU57-1)*100</f>
        <v>0</v>
      </c>
      <c r="AW57">
        <f>MAX(0,($B$13+$C$13*EF57)/(1+$D$13*EF57)*DY57/(EA57+273)*$E$13)</f>
        <v>0</v>
      </c>
      <c r="AX57" t="s">
        <v>437</v>
      </c>
      <c r="AY57">
        <v>5082.33</v>
      </c>
      <c r="AZ57">
        <v>690.032</v>
      </c>
      <c r="BA57">
        <v>1612.68</v>
      </c>
      <c r="BB57">
        <f>1-AZ57/BA57</f>
        <v>0</v>
      </c>
      <c r="BC57">
        <v>-9.7270689171713</v>
      </c>
      <c r="BD57" t="s">
        <v>617</v>
      </c>
      <c r="BE57">
        <v>5148.43</v>
      </c>
      <c r="BF57">
        <v>1679.53846153846</v>
      </c>
      <c r="BG57">
        <v>1940.45915701664</v>
      </c>
      <c r="BH57">
        <f>1-BF57/BG57</f>
        <v>0</v>
      </c>
      <c r="BI57">
        <v>0.5</v>
      </c>
      <c r="BJ57">
        <f>DI57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618</v>
      </c>
      <c r="BQ57">
        <v>881.73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BZ57">
        <v>176</v>
      </c>
      <c r="CA57">
        <v>290</v>
      </c>
      <c r="CB57">
        <v>1869.59</v>
      </c>
      <c r="CC57">
        <v>95</v>
      </c>
      <c r="CD57">
        <v>5148.43</v>
      </c>
      <c r="CE57">
        <v>1867.57</v>
      </c>
      <c r="CF57">
        <v>2.02</v>
      </c>
      <c r="CG57">
        <v>300</v>
      </c>
      <c r="CH57">
        <v>23.8</v>
      </c>
      <c r="CI57">
        <v>1940.45915701664</v>
      </c>
      <c r="CJ57">
        <v>1.61579518660033</v>
      </c>
      <c r="CK57">
        <v>-37.5254160218372</v>
      </c>
      <c r="CL57">
        <v>0.748134340610937</v>
      </c>
      <c r="CM57">
        <v>0.988993239843118</v>
      </c>
      <c r="CN57">
        <v>-0.00324425383759733</v>
      </c>
      <c r="CO57">
        <v>290</v>
      </c>
      <c r="CP57">
        <v>1864.61</v>
      </c>
      <c r="CQ57">
        <v>745</v>
      </c>
      <c r="CR57">
        <v>5143.17</v>
      </c>
      <c r="CS57">
        <v>1867.5</v>
      </c>
      <c r="CT57">
        <v>-2.89</v>
      </c>
      <c r="DH57">
        <f>$B$11*EG57+$C$11*EH57+$F$11*ES57*(1-EV57)</f>
        <v>0</v>
      </c>
      <c r="DI57">
        <f>DH57*DJ57</f>
        <v>0</v>
      </c>
      <c r="DJ57">
        <f>($B$11*$D$9+$C$11*$D$9+$F$11*((FF57+EX57)/MAX(FF57+EX57+FG57, 0.1)*$I$9+FG57/MAX(FF57+EX57+FG57, 0.1)*$J$9))/($B$11+$C$11+$F$11)</f>
        <v>0</v>
      </c>
      <c r="DK57">
        <f>($B$11*$K$9+$C$11*$K$9+$F$11*((FF57+EX57)/MAX(FF57+EX57+FG57, 0.1)*$P$9+FG57/MAX(FF57+EX57+FG57, 0.1)*$Q$9))/($B$11+$C$11+$F$11)</f>
        <v>0</v>
      </c>
      <c r="DL57">
        <v>3.21</v>
      </c>
      <c r="DM57">
        <v>0.5</v>
      </c>
      <c r="DN57" t="s">
        <v>440</v>
      </c>
      <c r="DO57">
        <v>2</v>
      </c>
      <c r="DP57" t="b">
        <v>1</v>
      </c>
      <c r="DQ57">
        <v>1760904484</v>
      </c>
      <c r="DR57">
        <v>408.139133333333</v>
      </c>
      <c r="DS57">
        <v>420.001866666667</v>
      </c>
      <c r="DT57">
        <v>24.06956</v>
      </c>
      <c r="DU57">
        <v>18.77112</v>
      </c>
      <c r="DV57">
        <v>405.7352</v>
      </c>
      <c r="DW57">
        <v>23.65752</v>
      </c>
      <c r="DX57">
        <v>500.024933333333</v>
      </c>
      <c r="DY57">
        <v>90.7186866666667</v>
      </c>
      <c r="DZ57">
        <v>0.0390324266666667</v>
      </c>
      <c r="EA57">
        <v>30.3921466666667</v>
      </c>
      <c r="EB57">
        <v>29.9916933333333</v>
      </c>
      <c r="EC57">
        <v>999.9</v>
      </c>
      <c r="ED57">
        <v>0</v>
      </c>
      <c r="EE57">
        <v>0</v>
      </c>
      <c r="EF57">
        <v>10007.4546666667</v>
      </c>
      <c r="EG57">
        <v>0</v>
      </c>
      <c r="EH57">
        <v>1272.25266666667</v>
      </c>
      <c r="EI57">
        <v>-11.8628866666667</v>
      </c>
      <c r="EJ57">
        <v>418.205266666667</v>
      </c>
      <c r="EK57">
        <v>428.036666666667</v>
      </c>
      <c r="EL57">
        <v>5.298448</v>
      </c>
      <c r="EM57">
        <v>420.001866666667</v>
      </c>
      <c r="EN57">
        <v>18.77112</v>
      </c>
      <c r="EO57">
        <v>2.18356</v>
      </c>
      <c r="EP57">
        <v>1.70289</v>
      </c>
      <c r="EQ57">
        <v>18.8422</v>
      </c>
      <c r="ER57">
        <v>14.9228</v>
      </c>
      <c r="ES57">
        <v>1200.01533333333</v>
      </c>
      <c r="ET57">
        <v>0.967005866666667</v>
      </c>
      <c r="EU57">
        <v>0.03299408</v>
      </c>
      <c r="EV57">
        <v>0</v>
      </c>
      <c r="EW57">
        <v>1679.57066666667</v>
      </c>
      <c r="EX57">
        <v>5.00059</v>
      </c>
      <c r="EY57">
        <v>20269.8066666667</v>
      </c>
      <c r="EZ57">
        <v>10358.8666666667</v>
      </c>
      <c r="FA57">
        <v>44.75</v>
      </c>
      <c r="FB57">
        <v>46.437</v>
      </c>
      <c r="FC57">
        <v>45</v>
      </c>
      <c r="FD57">
        <v>45.9958</v>
      </c>
      <c r="FE57">
        <v>45.875</v>
      </c>
      <c r="FF57">
        <v>1155.58533333333</v>
      </c>
      <c r="FG57">
        <v>39.43</v>
      </c>
      <c r="FH57">
        <v>0</v>
      </c>
      <c r="FI57">
        <v>268.400000095367</v>
      </c>
      <c r="FJ57">
        <v>0</v>
      </c>
      <c r="FK57">
        <v>1679.53846153846</v>
      </c>
      <c r="FL57">
        <v>-2.95658119574867</v>
      </c>
      <c r="FM57">
        <v>-34.0957264830301</v>
      </c>
      <c r="FN57">
        <v>20269.2807692308</v>
      </c>
      <c r="FO57">
        <v>15</v>
      </c>
      <c r="FP57">
        <v>0</v>
      </c>
      <c r="FQ57" t="s">
        <v>441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-11.84875</v>
      </c>
      <c r="GD57">
        <v>-0.0548300751879802</v>
      </c>
      <c r="GE57">
        <v>0.0424677819058167</v>
      </c>
      <c r="GF57">
        <v>1</v>
      </c>
      <c r="GG57">
        <v>1679.79970588235</v>
      </c>
      <c r="GH57">
        <v>-3.40977845394462</v>
      </c>
      <c r="GI57">
        <v>0.381779774016067</v>
      </c>
      <c r="GJ57">
        <v>-1</v>
      </c>
      <c r="GK57">
        <v>5.2900795</v>
      </c>
      <c r="GL57">
        <v>0.113423007518794</v>
      </c>
      <c r="GM57">
        <v>0.0202801187065067</v>
      </c>
      <c r="GN57">
        <v>0</v>
      </c>
      <c r="GO57">
        <v>1</v>
      </c>
      <c r="GP57">
        <v>2</v>
      </c>
      <c r="GQ57" t="s">
        <v>454</v>
      </c>
      <c r="GR57">
        <v>3.12955</v>
      </c>
      <c r="GS57">
        <v>2.71717</v>
      </c>
      <c r="GT57">
        <v>0.085962</v>
      </c>
      <c r="GU57">
        <v>0.0884035</v>
      </c>
      <c r="GV57">
        <v>0.10137</v>
      </c>
      <c r="GW57">
        <v>0.0855944</v>
      </c>
      <c r="GX57">
        <v>33927.6</v>
      </c>
      <c r="GY57">
        <v>36101.8</v>
      </c>
      <c r="GZ57">
        <v>33625.5</v>
      </c>
      <c r="HA57">
        <v>35900.4</v>
      </c>
      <c r="HB57">
        <v>42794.1</v>
      </c>
      <c r="HC57">
        <v>47174.4</v>
      </c>
      <c r="HD57">
        <v>52559.1</v>
      </c>
      <c r="HE57">
        <v>57420.2</v>
      </c>
      <c r="HF57">
        <v>1.85935</v>
      </c>
      <c r="HG57">
        <v>1.71817</v>
      </c>
      <c r="HH57">
        <v>-0.00936911</v>
      </c>
      <c r="HI57">
        <v>0</v>
      </c>
      <c r="HJ57">
        <v>30.1496</v>
      </c>
      <c r="HK57">
        <v>999.9</v>
      </c>
      <c r="HL57">
        <v>50.031</v>
      </c>
      <c r="HM57">
        <v>29.87</v>
      </c>
      <c r="HN57">
        <v>23.3185</v>
      </c>
      <c r="HO57">
        <v>54.4907</v>
      </c>
      <c r="HP57">
        <v>44.3389</v>
      </c>
      <c r="HQ57">
        <v>1</v>
      </c>
      <c r="HR57">
        <v>0.72937</v>
      </c>
      <c r="HS57">
        <v>4.15223</v>
      </c>
      <c r="HT57">
        <v>20.0895</v>
      </c>
      <c r="HU57">
        <v>5.19632</v>
      </c>
      <c r="HV57">
        <v>12.0099</v>
      </c>
      <c r="HW57">
        <v>4.97375</v>
      </c>
      <c r="HX57">
        <v>3.2943</v>
      </c>
      <c r="HY57">
        <v>9999</v>
      </c>
      <c r="HZ57">
        <v>999.9</v>
      </c>
      <c r="IA57">
        <v>9999</v>
      </c>
      <c r="IB57">
        <v>9999</v>
      </c>
      <c r="IC57">
        <v>1.86324</v>
      </c>
      <c r="ID57">
        <v>1.86804</v>
      </c>
      <c r="IE57">
        <v>1.86783</v>
      </c>
      <c r="IF57">
        <v>1.86903</v>
      </c>
      <c r="IG57">
        <v>1.8698</v>
      </c>
      <c r="IH57">
        <v>1.86584</v>
      </c>
      <c r="II57">
        <v>1.86691</v>
      </c>
      <c r="IJ57">
        <v>1.86838</v>
      </c>
      <c r="IK57">
        <v>5</v>
      </c>
      <c r="IL57">
        <v>0</v>
      </c>
      <c r="IM57">
        <v>0</v>
      </c>
      <c r="IN57">
        <v>0</v>
      </c>
      <c r="IO57" t="s">
        <v>443</v>
      </c>
      <c r="IP57" t="s">
        <v>444</v>
      </c>
      <c r="IQ57" t="s">
        <v>445</v>
      </c>
      <c r="IR57" t="s">
        <v>445</v>
      </c>
      <c r="IS57" t="s">
        <v>445</v>
      </c>
      <c r="IT57" t="s">
        <v>445</v>
      </c>
      <c r="IU57">
        <v>0</v>
      </c>
      <c r="IV57">
        <v>100</v>
      </c>
      <c r="IW57">
        <v>100</v>
      </c>
      <c r="IX57">
        <v>2.404</v>
      </c>
      <c r="IY57">
        <v>0.4112</v>
      </c>
      <c r="IZ57">
        <v>0.833350075594679</v>
      </c>
      <c r="JA57">
        <v>0.00412825224050377</v>
      </c>
      <c r="JB57">
        <v>-7.34426573386615e-07</v>
      </c>
      <c r="JC57">
        <v>2.46800082545482e-10</v>
      </c>
      <c r="JD57">
        <v>-0.0848433440729365</v>
      </c>
      <c r="JE57">
        <v>-0.0240557196358944</v>
      </c>
      <c r="JF57">
        <v>0.0027855358087715</v>
      </c>
      <c r="JG57">
        <v>-3.72349365099102e-05</v>
      </c>
      <c r="JH57">
        <v>5</v>
      </c>
      <c r="JI57">
        <v>2250</v>
      </c>
      <c r="JJ57">
        <v>0</v>
      </c>
      <c r="JK57">
        <v>24</v>
      </c>
      <c r="JL57">
        <v>29348408.2</v>
      </c>
      <c r="JM57">
        <v>29348408.2</v>
      </c>
      <c r="JN57">
        <v>1.01318</v>
      </c>
      <c r="JO57">
        <v>2.63184</v>
      </c>
      <c r="JP57">
        <v>1.54785</v>
      </c>
      <c r="JQ57">
        <v>2.31079</v>
      </c>
      <c r="JR57">
        <v>1.64673</v>
      </c>
      <c r="JS57">
        <v>2.34497</v>
      </c>
      <c r="JT57">
        <v>33.693</v>
      </c>
      <c r="JU57">
        <v>24.1838</v>
      </c>
      <c r="JV57">
        <v>18</v>
      </c>
      <c r="JW57">
        <v>505.397</v>
      </c>
      <c r="JX57">
        <v>408.733</v>
      </c>
      <c r="JY57">
        <v>24.7234</v>
      </c>
      <c r="JZ57">
        <v>36.1969</v>
      </c>
      <c r="KA57">
        <v>30.0001</v>
      </c>
      <c r="KB57">
        <v>36.0704</v>
      </c>
      <c r="KC57">
        <v>35.994</v>
      </c>
      <c r="KD57">
        <v>20.2981</v>
      </c>
      <c r="KE57">
        <v>21.6546</v>
      </c>
      <c r="KF57">
        <v>70.0071</v>
      </c>
      <c r="KG57">
        <v>24.7238</v>
      </c>
      <c r="KH57">
        <v>420</v>
      </c>
      <c r="KI57">
        <v>18.8663</v>
      </c>
      <c r="KJ57">
        <v>95.4679</v>
      </c>
      <c r="KK57">
        <v>93.0062</v>
      </c>
    </row>
    <row r="58" spans="1:297">
      <c r="A58">
        <v>42</v>
      </c>
      <c r="B58">
        <v>1760904593</v>
      </c>
      <c r="C58">
        <v>10828.9000000954</v>
      </c>
      <c r="D58" t="s">
        <v>619</v>
      </c>
      <c r="E58" t="s">
        <v>620</v>
      </c>
      <c r="F58">
        <v>5</v>
      </c>
      <c r="G58" t="s">
        <v>612</v>
      </c>
      <c r="H58" t="s">
        <v>436</v>
      </c>
      <c r="I58">
        <v>1760904589</v>
      </c>
      <c r="J58">
        <f>(K58)/1000</f>
        <v>0</v>
      </c>
      <c r="K58">
        <f>IF(DP58, AN58, AH58)</f>
        <v>0</v>
      </c>
      <c r="L58">
        <f>IF(DP58, AI58, AG58)</f>
        <v>0</v>
      </c>
      <c r="M58">
        <f>DR58 - IF(AU58&gt;1, L58*DL58*100.0/(AW58), 0)</f>
        <v>0</v>
      </c>
      <c r="N58">
        <f>((T58-J58/2)*M58-L58)/(T58+J58/2)</f>
        <v>0</v>
      </c>
      <c r="O58">
        <f>N58*(DY58+DZ58)/1000.0</f>
        <v>0</v>
      </c>
      <c r="P58">
        <f>(DR58 - IF(AU58&gt;1, L58*DL58*100.0/(AW58), 0))*(DY58+DZ58)/1000.0</f>
        <v>0</v>
      </c>
      <c r="Q58">
        <f>2.0/((1/S58-1/R58)+SIGN(S58)*SQRT((1/S58-1/R58)*(1/S58-1/R58) + 4*DM58/((DM58+1)*(DM58+1))*(2*1/S58*1/R58-1/R58*1/R58)))</f>
        <v>0</v>
      </c>
      <c r="R58">
        <f>IF(LEFT(DN58,1)&lt;&gt;"0",IF(LEFT(DN58,1)="1",3.0,DO58),$D$5+$E$5*(EF58*DY58/($K$5*1000))+$F$5*(EF58*DY58/($K$5*1000))*MAX(MIN(DL58,$J$5),$I$5)*MAX(MIN(DL58,$J$5),$I$5)+$G$5*MAX(MIN(DL58,$J$5),$I$5)*(EF58*DY58/($K$5*1000))+$H$5*(EF58*DY58/($K$5*1000))*(EF58*DY58/($K$5*1000)))</f>
        <v>0</v>
      </c>
      <c r="S58">
        <f>J58*(1000-(1000*0.61365*exp(17.502*W58/(240.97+W58))/(DY58+DZ58)+DT58)/2)/(1000*0.61365*exp(17.502*W58/(240.97+W58))/(DY58+DZ58)-DT58)</f>
        <v>0</v>
      </c>
      <c r="T58">
        <f>1/((DM58+1)/(Q58/1.6)+1/(R58/1.37)) + DM58/((DM58+1)/(Q58/1.6) + DM58/(R58/1.37))</f>
        <v>0</v>
      </c>
      <c r="U58">
        <f>(DH58*DK58)</f>
        <v>0</v>
      </c>
      <c r="V58">
        <f>(EA58+(U58+2*0.95*5.67E-8*(((EA58+$B$7)+273)^4-(EA58+273)^4)-44100*J58)/(1.84*29.3*R58+8*0.95*5.67E-8*(EA58+273)^3))</f>
        <v>0</v>
      </c>
      <c r="W58">
        <f>($C$7*EB58+$D$7*EC58+$E$7*V58)</f>
        <v>0</v>
      </c>
      <c r="X58">
        <f>0.61365*exp(17.502*W58/(240.97+W58))</f>
        <v>0</v>
      </c>
      <c r="Y58">
        <f>(Z58/AA58*100)</f>
        <v>0</v>
      </c>
      <c r="Z58">
        <f>DT58*(DY58+DZ58)/1000</f>
        <v>0</v>
      </c>
      <c r="AA58">
        <f>0.61365*exp(17.502*EA58/(240.97+EA58))</f>
        <v>0</v>
      </c>
      <c r="AB58">
        <f>(X58-DT58*(DY58+DZ58)/1000)</f>
        <v>0</v>
      </c>
      <c r="AC58">
        <f>(-J58*44100)</f>
        <v>0</v>
      </c>
      <c r="AD58">
        <f>2*29.3*R58*0.92*(EA58-W58)</f>
        <v>0</v>
      </c>
      <c r="AE58">
        <f>2*0.95*5.67E-8*(((EA58+$B$7)+273)^4-(W58+273)^4)</f>
        <v>0</v>
      </c>
      <c r="AF58">
        <f>U58+AE58+AC58+AD58</f>
        <v>0</v>
      </c>
      <c r="AG58">
        <f>DX58*AU58*(DS58-DR58*(1000-AU58*DU58)/(1000-AU58*DT58))/(100*DL58)</f>
        <v>0</v>
      </c>
      <c r="AH58">
        <f>1000*DX58*AU58*(DT58-DU58)/(100*DL58*(1000-AU58*DT58))</f>
        <v>0</v>
      </c>
      <c r="AI58">
        <f>(AJ58 - AK58 - DY58*1E3/(8.314*(EA58+273.15)) * AM58/DX58 * AL58) * DX58/(100*DL58) * (1000 - DU58)/1000</f>
        <v>0</v>
      </c>
      <c r="AJ58">
        <v>427.938956806557</v>
      </c>
      <c r="AK58">
        <v>417.995696969697</v>
      </c>
      <c r="AL58">
        <v>-0.00128270492445216</v>
      </c>
      <c r="AM58">
        <v>64.9352536426019</v>
      </c>
      <c r="AN58">
        <f>(AP58 - AO58 + DY58*1E3/(8.314*(EA58+273.15)) * AR58/DX58 * AQ58) * DX58/(100*DL58) * 1000/(1000 - AP58)</f>
        <v>0</v>
      </c>
      <c r="AO58">
        <v>18.6188338371347</v>
      </c>
      <c r="AP58">
        <v>23.8875642424242</v>
      </c>
      <c r="AQ58">
        <v>-0.000248235595304922</v>
      </c>
      <c r="AR58">
        <v>117.857985610375</v>
      </c>
      <c r="AS58">
        <v>0</v>
      </c>
      <c r="AT58">
        <v>0</v>
      </c>
      <c r="AU58">
        <f>IF(AS58*$H$13&gt;=AW58,1.0,(AW58/(AW58-AS58*$H$13)))</f>
        <v>0</v>
      </c>
      <c r="AV58">
        <f>(AU58-1)*100</f>
        <v>0</v>
      </c>
      <c r="AW58">
        <f>MAX(0,($B$13+$C$13*EF58)/(1+$D$13*EF58)*DY58/(EA58+273)*$E$13)</f>
        <v>0</v>
      </c>
      <c r="AX58" t="s">
        <v>437</v>
      </c>
      <c r="AY58">
        <v>5082.33</v>
      </c>
      <c r="AZ58">
        <v>690.032</v>
      </c>
      <c r="BA58">
        <v>1612.68</v>
      </c>
      <c r="BB58">
        <f>1-AZ58/BA58</f>
        <v>0</v>
      </c>
      <c r="BC58">
        <v>-9.7270689171713</v>
      </c>
      <c r="BD58" t="s">
        <v>621</v>
      </c>
      <c r="BE58">
        <v>5147.96</v>
      </c>
      <c r="BF58">
        <v>1670.48</v>
      </c>
      <c r="BG58">
        <v>1929.08864341815</v>
      </c>
      <c r="BH58">
        <f>1-BF58/BG58</f>
        <v>0</v>
      </c>
      <c r="BI58">
        <v>0.5</v>
      </c>
      <c r="BJ58">
        <f>DI58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622</v>
      </c>
      <c r="BQ58">
        <v>881.2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BZ58">
        <v>178</v>
      </c>
      <c r="CA58">
        <v>290</v>
      </c>
      <c r="CB58">
        <v>1860.88</v>
      </c>
      <c r="CC58">
        <v>105</v>
      </c>
      <c r="CD58">
        <v>5147.96</v>
      </c>
      <c r="CE58">
        <v>1859.15</v>
      </c>
      <c r="CF58">
        <v>1.73</v>
      </c>
      <c r="CG58">
        <v>300</v>
      </c>
      <c r="CH58">
        <v>23.8</v>
      </c>
      <c r="CI58">
        <v>1929.08864341815</v>
      </c>
      <c r="CJ58">
        <v>1.84272200198586</v>
      </c>
      <c r="CK58">
        <v>-36.0057399302676</v>
      </c>
      <c r="CL58">
        <v>0.853175425846339</v>
      </c>
      <c r="CM58">
        <v>0.984521936506149</v>
      </c>
      <c r="CN58">
        <v>-0.00324413926585095</v>
      </c>
      <c r="CO58">
        <v>290</v>
      </c>
      <c r="CP58">
        <v>1856.16</v>
      </c>
      <c r="CQ58">
        <v>615</v>
      </c>
      <c r="CR58">
        <v>5144.06</v>
      </c>
      <c r="CS58">
        <v>1859.09</v>
      </c>
      <c r="CT58">
        <v>-2.93</v>
      </c>
      <c r="DH58">
        <f>$B$11*EG58+$C$11*EH58+$F$11*ES58*(1-EV58)</f>
        <v>0</v>
      </c>
      <c r="DI58">
        <f>DH58*DJ58</f>
        <v>0</v>
      </c>
      <c r="DJ58">
        <f>($B$11*$D$9+$C$11*$D$9+$F$11*((FF58+EX58)/MAX(FF58+EX58+FG58, 0.1)*$I$9+FG58/MAX(FF58+EX58+FG58, 0.1)*$J$9))/($B$11+$C$11+$F$11)</f>
        <v>0</v>
      </c>
      <c r="DK58">
        <f>($B$11*$K$9+$C$11*$K$9+$F$11*((FF58+EX58)/MAX(FF58+EX58+FG58, 0.1)*$P$9+FG58/MAX(FF58+EX58+FG58, 0.1)*$Q$9))/($B$11+$C$11+$F$11)</f>
        <v>0</v>
      </c>
      <c r="DL58">
        <v>3.21</v>
      </c>
      <c r="DM58">
        <v>0.5</v>
      </c>
      <c r="DN58" t="s">
        <v>440</v>
      </c>
      <c r="DO58">
        <v>2</v>
      </c>
      <c r="DP58" t="b">
        <v>1</v>
      </c>
      <c r="DQ58">
        <v>1760904589</v>
      </c>
      <c r="DR58">
        <v>408.022857142857</v>
      </c>
      <c r="DS58">
        <v>419.982428571429</v>
      </c>
      <c r="DT58">
        <v>23.8931285714286</v>
      </c>
      <c r="DU58">
        <v>18.6205428571429</v>
      </c>
      <c r="DV58">
        <v>405.619428571429</v>
      </c>
      <c r="DW58">
        <v>23.4887142857143</v>
      </c>
      <c r="DX58">
        <v>500.028142857143</v>
      </c>
      <c r="DY58">
        <v>90.7224285714286</v>
      </c>
      <c r="DZ58">
        <v>0.0395685428571429</v>
      </c>
      <c r="EA58">
        <v>30.4048857142857</v>
      </c>
      <c r="EB58">
        <v>30.0097857142857</v>
      </c>
      <c r="EC58">
        <v>999.9</v>
      </c>
      <c r="ED58">
        <v>0</v>
      </c>
      <c r="EE58">
        <v>0</v>
      </c>
      <c r="EF58">
        <v>9996.69571428571</v>
      </c>
      <c r="EG58">
        <v>0</v>
      </c>
      <c r="EH58">
        <v>1272.06714285714</v>
      </c>
      <c r="EI58">
        <v>-11.9596714285714</v>
      </c>
      <c r="EJ58">
        <v>418.010142857143</v>
      </c>
      <c r="EK58">
        <v>427.951285714286</v>
      </c>
      <c r="EL58">
        <v>5.27259</v>
      </c>
      <c r="EM58">
        <v>419.982428571429</v>
      </c>
      <c r="EN58">
        <v>18.6205428571429</v>
      </c>
      <c r="EO58">
        <v>2.16764428571429</v>
      </c>
      <c r="EP58">
        <v>1.68930142857143</v>
      </c>
      <c r="EQ58">
        <v>18.7251714285714</v>
      </c>
      <c r="ER58">
        <v>14.7984714285714</v>
      </c>
      <c r="ES58">
        <v>1199.97571428571</v>
      </c>
      <c r="ET58">
        <v>0.967005714285714</v>
      </c>
      <c r="EU58">
        <v>0.0329942571428571</v>
      </c>
      <c r="EV58">
        <v>0</v>
      </c>
      <c r="EW58">
        <v>1670.85571428571</v>
      </c>
      <c r="EX58">
        <v>5.00059</v>
      </c>
      <c r="EY58">
        <v>20167.8571428571</v>
      </c>
      <c r="EZ58">
        <v>10358.5285714286</v>
      </c>
      <c r="FA58">
        <v>44.7854285714286</v>
      </c>
      <c r="FB58">
        <v>46.437</v>
      </c>
      <c r="FC58">
        <v>45.0088571428571</v>
      </c>
      <c r="FD58">
        <v>46</v>
      </c>
      <c r="FE58">
        <v>45.937</v>
      </c>
      <c r="FF58">
        <v>1155.54571428571</v>
      </c>
      <c r="FG58">
        <v>39.43</v>
      </c>
      <c r="FH58">
        <v>0</v>
      </c>
      <c r="FI58">
        <v>97.7999999523163</v>
      </c>
      <c r="FJ58">
        <v>0</v>
      </c>
      <c r="FK58">
        <v>1670.48</v>
      </c>
      <c r="FL58">
        <v>5.66290599064644</v>
      </c>
      <c r="FM58">
        <v>76.3384616413102</v>
      </c>
      <c r="FN58">
        <v>20164.25</v>
      </c>
      <c r="FO58">
        <v>15</v>
      </c>
      <c r="FP58">
        <v>0</v>
      </c>
      <c r="FQ58" t="s">
        <v>441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-11.95917</v>
      </c>
      <c r="GD58">
        <v>-0.152544360902274</v>
      </c>
      <c r="GE58">
        <v>0.0369615895220972</v>
      </c>
      <c r="GF58">
        <v>1</v>
      </c>
      <c r="GG58">
        <v>1670.18029411765</v>
      </c>
      <c r="GH58">
        <v>5.13720397706213</v>
      </c>
      <c r="GI58">
        <v>0.5492320054838</v>
      </c>
      <c r="GJ58">
        <v>-1</v>
      </c>
      <c r="GK58">
        <v>5.2774445</v>
      </c>
      <c r="GL58">
        <v>-0.0442227067669225</v>
      </c>
      <c r="GM58">
        <v>0.00431170091147326</v>
      </c>
      <c r="GN58">
        <v>1</v>
      </c>
      <c r="GO58">
        <v>2</v>
      </c>
      <c r="GP58">
        <v>2</v>
      </c>
      <c r="GQ58" t="s">
        <v>442</v>
      </c>
      <c r="GR58">
        <v>3.12959</v>
      </c>
      <c r="GS58">
        <v>2.71721</v>
      </c>
      <c r="GT58">
        <v>0.0859395</v>
      </c>
      <c r="GU58">
        <v>0.0883965</v>
      </c>
      <c r="GV58">
        <v>0.100883</v>
      </c>
      <c r="GW58">
        <v>0.085032</v>
      </c>
      <c r="GX58">
        <v>33929.5</v>
      </c>
      <c r="GY58">
        <v>36102.2</v>
      </c>
      <c r="GZ58">
        <v>33626.6</v>
      </c>
      <c r="HA58">
        <v>35900.6</v>
      </c>
      <c r="HB58">
        <v>42818.6</v>
      </c>
      <c r="HC58">
        <v>47203.8</v>
      </c>
      <c r="HD58">
        <v>52560.8</v>
      </c>
      <c r="HE58">
        <v>57420.8</v>
      </c>
      <c r="HF58">
        <v>1.85982</v>
      </c>
      <c r="HG58">
        <v>1.71795</v>
      </c>
      <c r="HH58">
        <v>-0.00867993</v>
      </c>
      <c r="HI58">
        <v>0</v>
      </c>
      <c r="HJ58">
        <v>30.1523</v>
      </c>
      <c r="HK58">
        <v>999.9</v>
      </c>
      <c r="HL58">
        <v>49.738</v>
      </c>
      <c r="HM58">
        <v>29.87</v>
      </c>
      <c r="HN58">
        <v>23.1854</v>
      </c>
      <c r="HO58">
        <v>54.5307</v>
      </c>
      <c r="HP58">
        <v>44.4191</v>
      </c>
      <c r="HQ58">
        <v>1</v>
      </c>
      <c r="HR58">
        <v>0.73001</v>
      </c>
      <c r="HS58">
        <v>4.29639</v>
      </c>
      <c r="HT58">
        <v>20.0861</v>
      </c>
      <c r="HU58">
        <v>5.19318</v>
      </c>
      <c r="HV58">
        <v>12.0099</v>
      </c>
      <c r="HW58">
        <v>4.97355</v>
      </c>
      <c r="HX58">
        <v>3.2943</v>
      </c>
      <c r="HY58">
        <v>9999</v>
      </c>
      <c r="HZ58">
        <v>999.9</v>
      </c>
      <c r="IA58">
        <v>9999</v>
      </c>
      <c r="IB58">
        <v>9999</v>
      </c>
      <c r="IC58">
        <v>1.86324</v>
      </c>
      <c r="ID58">
        <v>1.86805</v>
      </c>
      <c r="IE58">
        <v>1.86783</v>
      </c>
      <c r="IF58">
        <v>1.86905</v>
      </c>
      <c r="IG58">
        <v>1.86981</v>
      </c>
      <c r="IH58">
        <v>1.86584</v>
      </c>
      <c r="II58">
        <v>1.86691</v>
      </c>
      <c r="IJ58">
        <v>1.86832</v>
      </c>
      <c r="IK58">
        <v>5</v>
      </c>
      <c r="IL58">
        <v>0</v>
      </c>
      <c r="IM58">
        <v>0</v>
      </c>
      <c r="IN58">
        <v>0</v>
      </c>
      <c r="IO58" t="s">
        <v>443</v>
      </c>
      <c r="IP58" t="s">
        <v>444</v>
      </c>
      <c r="IQ58" t="s">
        <v>445</v>
      </c>
      <c r="IR58" t="s">
        <v>445</v>
      </c>
      <c r="IS58" t="s">
        <v>445</v>
      </c>
      <c r="IT58" t="s">
        <v>445</v>
      </c>
      <c r="IU58">
        <v>0</v>
      </c>
      <c r="IV58">
        <v>100</v>
      </c>
      <c r="IW58">
        <v>100</v>
      </c>
      <c r="IX58">
        <v>2.403</v>
      </c>
      <c r="IY58">
        <v>0.4041</v>
      </c>
      <c r="IZ58">
        <v>0.833350075594679</v>
      </c>
      <c r="JA58">
        <v>0.00412825224050377</v>
      </c>
      <c r="JB58">
        <v>-7.34426573386615e-07</v>
      </c>
      <c r="JC58">
        <v>2.46800082545482e-10</v>
      </c>
      <c r="JD58">
        <v>-0.0848433440729365</v>
      </c>
      <c r="JE58">
        <v>-0.0240557196358944</v>
      </c>
      <c r="JF58">
        <v>0.0027855358087715</v>
      </c>
      <c r="JG58">
        <v>-3.72349365099102e-05</v>
      </c>
      <c r="JH58">
        <v>5</v>
      </c>
      <c r="JI58">
        <v>2250</v>
      </c>
      <c r="JJ58">
        <v>0</v>
      </c>
      <c r="JK58">
        <v>24</v>
      </c>
      <c r="JL58">
        <v>29348409.9</v>
      </c>
      <c r="JM58">
        <v>29348409.9</v>
      </c>
      <c r="JN58">
        <v>1.01318</v>
      </c>
      <c r="JO58">
        <v>2.63306</v>
      </c>
      <c r="JP58">
        <v>1.54785</v>
      </c>
      <c r="JQ58">
        <v>2.31201</v>
      </c>
      <c r="JR58">
        <v>1.64673</v>
      </c>
      <c r="JS58">
        <v>2.33521</v>
      </c>
      <c r="JT58">
        <v>33.6479</v>
      </c>
      <c r="JU58">
        <v>24.1838</v>
      </c>
      <c r="JV58">
        <v>18</v>
      </c>
      <c r="JW58">
        <v>505.775</v>
      </c>
      <c r="JX58">
        <v>408.642</v>
      </c>
      <c r="JY58">
        <v>24.6781</v>
      </c>
      <c r="JZ58">
        <v>36.2028</v>
      </c>
      <c r="KA58">
        <v>30.0001</v>
      </c>
      <c r="KB58">
        <v>36.077</v>
      </c>
      <c r="KC58">
        <v>36.0006</v>
      </c>
      <c r="KD58">
        <v>20.2965</v>
      </c>
      <c r="KE58">
        <v>21.644</v>
      </c>
      <c r="KF58">
        <v>69.6366</v>
      </c>
      <c r="KG58">
        <v>24.6732</v>
      </c>
      <c r="KH58">
        <v>420</v>
      </c>
      <c r="KI58">
        <v>18.7231</v>
      </c>
      <c r="KJ58">
        <v>95.4709</v>
      </c>
      <c r="KK58">
        <v>93.007</v>
      </c>
    </row>
    <row r="59" spans="1:297">
      <c r="A59">
        <v>43</v>
      </c>
      <c r="B59">
        <v>1760905304</v>
      </c>
      <c r="C59">
        <v>11539.9000000954</v>
      </c>
      <c r="D59" t="s">
        <v>623</v>
      </c>
      <c r="E59" t="s">
        <v>624</v>
      </c>
      <c r="F59">
        <v>5</v>
      </c>
      <c r="G59" t="s">
        <v>625</v>
      </c>
      <c r="H59" t="s">
        <v>436</v>
      </c>
      <c r="I59">
        <v>1760905296</v>
      </c>
      <c r="J59">
        <f>(K59)/1000</f>
        <v>0</v>
      </c>
      <c r="K59">
        <f>IF(DP59, AN59, AH59)</f>
        <v>0</v>
      </c>
      <c r="L59">
        <f>IF(DP59, AI59, AG59)</f>
        <v>0</v>
      </c>
      <c r="M59">
        <f>DR59 - IF(AU59&gt;1, L59*DL59*100.0/(AW59), 0)</f>
        <v>0</v>
      </c>
      <c r="N59">
        <f>((T59-J59/2)*M59-L59)/(T59+J59/2)</f>
        <v>0</v>
      </c>
      <c r="O59">
        <f>N59*(DY59+DZ59)/1000.0</f>
        <v>0</v>
      </c>
      <c r="P59">
        <f>(DR59 - IF(AU59&gt;1, L59*DL59*100.0/(AW59), 0))*(DY59+DZ59)/1000.0</f>
        <v>0</v>
      </c>
      <c r="Q59">
        <f>2.0/((1/S59-1/R59)+SIGN(S59)*SQRT((1/S59-1/R59)*(1/S59-1/R59) + 4*DM59/((DM59+1)*(DM59+1))*(2*1/S59*1/R59-1/R59*1/R59)))</f>
        <v>0</v>
      </c>
      <c r="R59">
        <f>IF(LEFT(DN59,1)&lt;&gt;"0",IF(LEFT(DN59,1)="1",3.0,DO59),$D$5+$E$5*(EF59*DY59/($K$5*1000))+$F$5*(EF59*DY59/($K$5*1000))*MAX(MIN(DL59,$J$5),$I$5)*MAX(MIN(DL59,$J$5),$I$5)+$G$5*MAX(MIN(DL59,$J$5),$I$5)*(EF59*DY59/($K$5*1000))+$H$5*(EF59*DY59/($K$5*1000))*(EF59*DY59/($K$5*1000)))</f>
        <v>0</v>
      </c>
      <c r="S59">
        <f>J59*(1000-(1000*0.61365*exp(17.502*W59/(240.97+W59))/(DY59+DZ59)+DT59)/2)/(1000*0.61365*exp(17.502*W59/(240.97+W59))/(DY59+DZ59)-DT59)</f>
        <v>0</v>
      </c>
      <c r="T59">
        <f>1/((DM59+1)/(Q59/1.6)+1/(R59/1.37)) + DM59/((DM59+1)/(Q59/1.6) + DM59/(R59/1.37))</f>
        <v>0</v>
      </c>
      <c r="U59">
        <f>(DH59*DK59)</f>
        <v>0</v>
      </c>
      <c r="V59">
        <f>(EA59+(U59+2*0.95*5.67E-8*(((EA59+$B$7)+273)^4-(EA59+273)^4)-44100*J59)/(1.84*29.3*R59+8*0.95*5.67E-8*(EA59+273)^3))</f>
        <v>0</v>
      </c>
      <c r="W59">
        <f>($C$7*EB59+$D$7*EC59+$E$7*V59)</f>
        <v>0</v>
      </c>
      <c r="X59">
        <f>0.61365*exp(17.502*W59/(240.97+W59))</f>
        <v>0</v>
      </c>
      <c r="Y59">
        <f>(Z59/AA59*100)</f>
        <v>0</v>
      </c>
      <c r="Z59">
        <f>DT59*(DY59+DZ59)/1000</f>
        <v>0</v>
      </c>
      <c r="AA59">
        <f>0.61365*exp(17.502*EA59/(240.97+EA59))</f>
        <v>0</v>
      </c>
      <c r="AB59">
        <f>(X59-DT59*(DY59+DZ59)/1000)</f>
        <v>0</v>
      </c>
      <c r="AC59">
        <f>(-J59*44100)</f>
        <v>0</v>
      </c>
      <c r="AD59">
        <f>2*29.3*R59*0.92*(EA59-W59)</f>
        <v>0</v>
      </c>
      <c r="AE59">
        <f>2*0.95*5.67E-8*(((EA59+$B$7)+273)^4-(W59+273)^4)</f>
        <v>0</v>
      </c>
      <c r="AF59">
        <f>U59+AE59+AC59+AD59</f>
        <v>0</v>
      </c>
      <c r="AG59">
        <f>DX59*AU59*(DS59-DR59*(1000-AU59*DU59)/(1000-AU59*DT59))/(100*DL59)</f>
        <v>0</v>
      </c>
      <c r="AH59">
        <f>1000*DX59*AU59*(DT59-DU59)/(100*DL59*(1000-AU59*DT59))</f>
        <v>0</v>
      </c>
      <c r="AI59">
        <f>(AJ59 - AK59 - DY59*1E3/(8.314*(EA59+273.15)) * AM59/DX59 * AL59) * DX59/(100*DL59) * (1000 - DU59)/1000</f>
        <v>0</v>
      </c>
      <c r="AJ59">
        <v>427.526043597889</v>
      </c>
      <c r="AK59">
        <v>413.339442424243</v>
      </c>
      <c r="AL59">
        <v>0.000310040075125954</v>
      </c>
      <c r="AM59">
        <v>64.9547664620636</v>
      </c>
      <c r="AN59">
        <f>(AP59 - AO59 + DY59*1E3/(8.314*(EA59+273.15)) * AR59/DX59 * AQ59) * DX59/(100*DL59) * 1000/(1000 - AP59)</f>
        <v>0</v>
      </c>
      <c r="AO59">
        <v>17.5908577856332</v>
      </c>
      <c r="AP59">
        <v>23.7705872727273</v>
      </c>
      <c r="AQ59">
        <v>-0.00718170394023053</v>
      </c>
      <c r="AR59">
        <v>117.677222590777</v>
      </c>
      <c r="AS59">
        <v>0</v>
      </c>
      <c r="AT59">
        <v>0</v>
      </c>
      <c r="AU59">
        <f>IF(AS59*$H$13&gt;=AW59,1.0,(AW59/(AW59-AS59*$H$13)))</f>
        <v>0</v>
      </c>
      <c r="AV59">
        <f>(AU59-1)*100</f>
        <v>0</v>
      </c>
      <c r="AW59">
        <f>MAX(0,($B$13+$C$13*EF59)/(1+$D$13*EF59)*DY59/(EA59+273)*$E$13)</f>
        <v>0</v>
      </c>
      <c r="AX59" t="s">
        <v>437</v>
      </c>
      <c r="AY59">
        <v>5082.33</v>
      </c>
      <c r="AZ59">
        <v>690.032</v>
      </c>
      <c r="BA59">
        <v>1612.68</v>
      </c>
      <c r="BB59">
        <f>1-AZ59/BA59</f>
        <v>0</v>
      </c>
      <c r="BC59">
        <v>-9.7270689171713</v>
      </c>
      <c r="BD59" t="s">
        <v>626</v>
      </c>
      <c r="BE59">
        <v>5132.12</v>
      </c>
      <c r="BF59">
        <v>1530.93807692308</v>
      </c>
      <c r="BG59">
        <v>1917.52412924503</v>
      </c>
      <c r="BH59">
        <f>1-BF59/BG59</f>
        <v>0</v>
      </c>
      <c r="BI59">
        <v>0.5</v>
      </c>
      <c r="BJ59">
        <f>DI59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627</v>
      </c>
      <c r="BQ59">
        <v>783.47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BZ59">
        <v>180</v>
      </c>
      <c r="CA59">
        <v>290</v>
      </c>
      <c r="CB59">
        <v>1812.6</v>
      </c>
      <c r="CC59">
        <v>185</v>
      </c>
      <c r="CD59">
        <v>5132.12</v>
      </c>
      <c r="CE59">
        <v>1811.9</v>
      </c>
      <c r="CF59">
        <v>0.7</v>
      </c>
      <c r="CG59">
        <v>300</v>
      </c>
      <c r="CH59">
        <v>23.8</v>
      </c>
      <c r="CI59">
        <v>1917.52412924503</v>
      </c>
      <c r="CJ59">
        <v>1.98104931114169</v>
      </c>
      <c r="CK59">
        <v>-54.209539342642</v>
      </c>
      <c r="CL59">
        <v>0.914713598377916</v>
      </c>
      <c r="CM59">
        <v>0.99209087708811</v>
      </c>
      <c r="CN59">
        <v>-0.00323526140155728</v>
      </c>
      <c r="CO59">
        <v>290</v>
      </c>
      <c r="CP59">
        <v>1809.37</v>
      </c>
      <c r="CQ59">
        <v>655</v>
      </c>
      <c r="CR59">
        <v>5129.59</v>
      </c>
      <c r="CS59">
        <v>1811.84</v>
      </c>
      <c r="CT59">
        <v>-2.47</v>
      </c>
      <c r="DH59">
        <f>$B$11*EG59+$C$11*EH59+$F$11*ES59*(1-EV59)</f>
        <v>0</v>
      </c>
      <c r="DI59">
        <f>DH59*DJ59</f>
        <v>0</v>
      </c>
      <c r="DJ59">
        <f>($B$11*$D$9+$C$11*$D$9+$F$11*((FF59+EX59)/MAX(FF59+EX59+FG59, 0.1)*$I$9+FG59/MAX(FF59+EX59+FG59, 0.1)*$J$9))/($B$11+$C$11+$F$11)</f>
        <v>0</v>
      </c>
      <c r="DK59">
        <f>($B$11*$K$9+$C$11*$K$9+$F$11*((FF59+EX59)/MAX(FF59+EX59+FG59, 0.1)*$P$9+FG59/MAX(FF59+EX59+FG59, 0.1)*$Q$9))/($B$11+$C$11+$F$11)</f>
        <v>0</v>
      </c>
      <c r="DL59">
        <v>3.21</v>
      </c>
      <c r="DM59">
        <v>0.5</v>
      </c>
      <c r="DN59" t="s">
        <v>440</v>
      </c>
      <c r="DO59">
        <v>2</v>
      </c>
      <c r="DP59" t="b">
        <v>1</v>
      </c>
      <c r="DQ59">
        <v>1760905296</v>
      </c>
      <c r="DR59">
        <v>403.509533333333</v>
      </c>
      <c r="DS59">
        <v>420.0362</v>
      </c>
      <c r="DT59">
        <v>23.8107066666667</v>
      </c>
      <c r="DU59">
        <v>17.65342</v>
      </c>
      <c r="DV59">
        <v>401.122533333333</v>
      </c>
      <c r="DW59">
        <v>23.4098533333333</v>
      </c>
      <c r="DX59">
        <v>499.974333333333</v>
      </c>
      <c r="DY59">
        <v>90.68472</v>
      </c>
      <c r="DZ59">
        <v>0.04005676</v>
      </c>
      <c r="EA59">
        <v>30.2008733333333</v>
      </c>
      <c r="EB59">
        <v>29.9862333333333</v>
      </c>
      <c r="EC59">
        <v>999.9</v>
      </c>
      <c r="ED59">
        <v>0</v>
      </c>
      <c r="EE59">
        <v>0</v>
      </c>
      <c r="EF59">
        <v>9992.00466666667</v>
      </c>
      <c r="EG59">
        <v>0</v>
      </c>
      <c r="EH59">
        <v>1305.38533333333</v>
      </c>
      <c r="EI59">
        <v>-16.52662</v>
      </c>
      <c r="EJ59">
        <v>413.3518</v>
      </c>
      <c r="EK59">
        <v>427.584533333333</v>
      </c>
      <c r="EL59">
        <v>6.15730133333333</v>
      </c>
      <c r="EM59">
        <v>420.0362</v>
      </c>
      <c r="EN59">
        <v>17.65342</v>
      </c>
      <c r="EO59">
        <v>2.15926733333333</v>
      </c>
      <c r="EP59">
        <v>1.600896</v>
      </c>
      <c r="EQ59">
        <v>18.6632733333333</v>
      </c>
      <c r="ER59">
        <v>13.9673133333333</v>
      </c>
      <c r="ES59">
        <v>1200.04</v>
      </c>
      <c r="ET59">
        <v>0.9670016</v>
      </c>
      <c r="EU59">
        <v>0.03299842</v>
      </c>
      <c r="EV59">
        <v>0</v>
      </c>
      <c r="EW59">
        <v>1530.98866666667</v>
      </c>
      <c r="EX59">
        <v>5.00059</v>
      </c>
      <c r="EY59">
        <v>18497.3466666667</v>
      </c>
      <c r="EZ59">
        <v>10359.0666666667</v>
      </c>
      <c r="FA59">
        <v>45.2374</v>
      </c>
      <c r="FB59">
        <v>46.875</v>
      </c>
      <c r="FC59">
        <v>45.437</v>
      </c>
      <c r="FD59">
        <v>46.437</v>
      </c>
      <c r="FE59">
        <v>46.312</v>
      </c>
      <c r="FF59">
        <v>1155.606</v>
      </c>
      <c r="FG59">
        <v>39.43</v>
      </c>
      <c r="FH59">
        <v>0</v>
      </c>
      <c r="FI59">
        <v>706.200000047684</v>
      </c>
      <c r="FJ59">
        <v>0</v>
      </c>
      <c r="FK59">
        <v>1530.93807692308</v>
      </c>
      <c r="FL59">
        <v>-1.73641026345782</v>
      </c>
      <c r="FM59">
        <v>-16.0888891405507</v>
      </c>
      <c r="FN59">
        <v>18496.4153846154</v>
      </c>
      <c r="FO59">
        <v>15</v>
      </c>
      <c r="FP59">
        <v>0</v>
      </c>
      <c r="FQ59" t="s">
        <v>441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-16.5197285714286</v>
      </c>
      <c r="GD59">
        <v>-0.0263688311688633</v>
      </c>
      <c r="GE59">
        <v>0.0378521452226843</v>
      </c>
      <c r="GF59">
        <v>1</v>
      </c>
      <c r="GG59">
        <v>1531.11235294118</v>
      </c>
      <c r="GH59">
        <v>-2.30282658919746</v>
      </c>
      <c r="GI59">
        <v>0.299077590006804</v>
      </c>
      <c r="GJ59">
        <v>-1</v>
      </c>
      <c r="GK59">
        <v>6.13540809523809</v>
      </c>
      <c r="GL59">
        <v>0.473282337662338</v>
      </c>
      <c r="GM59">
        <v>0.0529188917224632</v>
      </c>
      <c r="GN59">
        <v>0</v>
      </c>
      <c r="GO59">
        <v>1</v>
      </c>
      <c r="GP59">
        <v>2</v>
      </c>
      <c r="GQ59" t="s">
        <v>454</v>
      </c>
      <c r="GR59">
        <v>3.12943</v>
      </c>
      <c r="GS59">
        <v>2.71783</v>
      </c>
      <c r="GT59">
        <v>0.0851514</v>
      </c>
      <c r="GU59">
        <v>0.0883282</v>
      </c>
      <c r="GV59">
        <v>0.100464</v>
      </c>
      <c r="GW59">
        <v>0.0815113</v>
      </c>
      <c r="GX59">
        <v>33951.9</v>
      </c>
      <c r="GY59">
        <v>36096.1</v>
      </c>
      <c r="GZ59">
        <v>33620.4</v>
      </c>
      <c r="HA59">
        <v>35892.5</v>
      </c>
      <c r="HB59">
        <v>42832.6</v>
      </c>
      <c r="HC59">
        <v>47375.6</v>
      </c>
      <c r="HD59">
        <v>52553</v>
      </c>
      <c r="HE59">
        <v>57409.3</v>
      </c>
      <c r="HF59">
        <v>1.8596</v>
      </c>
      <c r="HG59">
        <v>1.71522</v>
      </c>
      <c r="HH59">
        <v>-0.0217557</v>
      </c>
      <c r="HI59">
        <v>0</v>
      </c>
      <c r="HJ59">
        <v>30.3385</v>
      </c>
      <c r="HK59">
        <v>999.9</v>
      </c>
      <c r="HL59">
        <v>47.613</v>
      </c>
      <c r="HM59">
        <v>29.829</v>
      </c>
      <c r="HN59">
        <v>22.1521</v>
      </c>
      <c r="HO59">
        <v>54.9508</v>
      </c>
      <c r="HP59">
        <v>44.5593</v>
      </c>
      <c r="HQ59">
        <v>1</v>
      </c>
      <c r="HR59">
        <v>0.740645</v>
      </c>
      <c r="HS59">
        <v>4.48283</v>
      </c>
      <c r="HT59">
        <v>20.0818</v>
      </c>
      <c r="HU59">
        <v>5.19498</v>
      </c>
      <c r="HV59">
        <v>12.0099</v>
      </c>
      <c r="HW59">
        <v>4.9737</v>
      </c>
      <c r="HX59">
        <v>3.29435</v>
      </c>
      <c r="HY59">
        <v>9999</v>
      </c>
      <c r="HZ59">
        <v>999.9</v>
      </c>
      <c r="IA59">
        <v>9999</v>
      </c>
      <c r="IB59">
        <v>9999</v>
      </c>
      <c r="IC59">
        <v>1.86324</v>
      </c>
      <c r="ID59">
        <v>1.86803</v>
      </c>
      <c r="IE59">
        <v>1.86782</v>
      </c>
      <c r="IF59">
        <v>1.86905</v>
      </c>
      <c r="IG59">
        <v>1.8698</v>
      </c>
      <c r="IH59">
        <v>1.86584</v>
      </c>
      <c r="II59">
        <v>1.86692</v>
      </c>
      <c r="IJ59">
        <v>1.86835</v>
      </c>
      <c r="IK59">
        <v>5</v>
      </c>
      <c r="IL59">
        <v>0</v>
      </c>
      <c r="IM59">
        <v>0</v>
      </c>
      <c r="IN59">
        <v>0</v>
      </c>
      <c r="IO59" t="s">
        <v>443</v>
      </c>
      <c r="IP59" t="s">
        <v>444</v>
      </c>
      <c r="IQ59" t="s">
        <v>445</v>
      </c>
      <c r="IR59" t="s">
        <v>445</v>
      </c>
      <c r="IS59" t="s">
        <v>445</v>
      </c>
      <c r="IT59" t="s">
        <v>445</v>
      </c>
      <c r="IU59">
        <v>0</v>
      </c>
      <c r="IV59">
        <v>100</v>
      </c>
      <c r="IW59">
        <v>100</v>
      </c>
      <c r="IX59">
        <v>2.388</v>
      </c>
      <c r="IY59">
        <v>0.399</v>
      </c>
      <c r="IZ59">
        <v>0.833350075594679</v>
      </c>
      <c r="JA59">
        <v>0.00412825224050377</v>
      </c>
      <c r="JB59">
        <v>-7.34426573386615e-07</v>
      </c>
      <c r="JC59">
        <v>2.46800082545482e-10</v>
      </c>
      <c r="JD59">
        <v>-0.0848433440729365</v>
      </c>
      <c r="JE59">
        <v>-0.0240557196358944</v>
      </c>
      <c r="JF59">
        <v>0.0027855358087715</v>
      </c>
      <c r="JG59">
        <v>-3.72349365099102e-05</v>
      </c>
      <c r="JH59">
        <v>5</v>
      </c>
      <c r="JI59">
        <v>2250</v>
      </c>
      <c r="JJ59">
        <v>0</v>
      </c>
      <c r="JK59">
        <v>24</v>
      </c>
      <c r="JL59">
        <v>29348421.7</v>
      </c>
      <c r="JM59">
        <v>29348421.7</v>
      </c>
      <c r="JN59">
        <v>1.01196</v>
      </c>
      <c r="JO59">
        <v>2.63062</v>
      </c>
      <c r="JP59">
        <v>1.54785</v>
      </c>
      <c r="JQ59">
        <v>2.31201</v>
      </c>
      <c r="JR59">
        <v>1.64673</v>
      </c>
      <c r="JS59">
        <v>2.35962</v>
      </c>
      <c r="JT59">
        <v>33.6029</v>
      </c>
      <c r="JU59">
        <v>24.1838</v>
      </c>
      <c r="JV59">
        <v>18</v>
      </c>
      <c r="JW59">
        <v>506.325</v>
      </c>
      <c r="JX59">
        <v>407.588</v>
      </c>
      <c r="JY59">
        <v>24.0989</v>
      </c>
      <c r="JZ59">
        <v>36.3196</v>
      </c>
      <c r="KA59">
        <v>30.0002</v>
      </c>
      <c r="KB59">
        <v>36.1688</v>
      </c>
      <c r="KC59">
        <v>36.0896</v>
      </c>
      <c r="KD59">
        <v>20.2781</v>
      </c>
      <c r="KE59">
        <v>20.0083</v>
      </c>
      <c r="KF59">
        <v>62.5136</v>
      </c>
      <c r="KG59">
        <v>24.098</v>
      </c>
      <c r="KH59">
        <v>420</v>
      </c>
      <c r="KI59">
        <v>17.6631</v>
      </c>
      <c r="KJ59">
        <v>95.4555</v>
      </c>
      <c r="KK59">
        <v>92.9875</v>
      </c>
    </row>
    <row r="60" spans="1:297">
      <c r="A60">
        <v>44</v>
      </c>
      <c r="B60">
        <v>1760905459.1</v>
      </c>
      <c r="C60">
        <v>11695</v>
      </c>
      <c r="D60" t="s">
        <v>628</v>
      </c>
      <c r="E60" t="s">
        <v>629</v>
      </c>
      <c r="F60">
        <v>5</v>
      </c>
      <c r="G60" t="s">
        <v>625</v>
      </c>
      <c r="H60" t="s">
        <v>436</v>
      </c>
      <c r="I60">
        <v>1760905451.1</v>
      </c>
      <c r="J60">
        <f>(K60)/1000</f>
        <v>0</v>
      </c>
      <c r="K60">
        <f>IF(DP60, AN60, AH60)</f>
        <v>0</v>
      </c>
      <c r="L60">
        <f>IF(DP60, AI60, AG60)</f>
        <v>0</v>
      </c>
      <c r="M60">
        <f>DR60 - IF(AU60&gt;1, L60*DL60*100.0/(AW60), 0)</f>
        <v>0</v>
      </c>
      <c r="N60">
        <f>((T60-J60/2)*M60-L60)/(T60+J60/2)</f>
        <v>0</v>
      </c>
      <c r="O60">
        <f>N60*(DY60+DZ60)/1000.0</f>
        <v>0</v>
      </c>
      <c r="P60">
        <f>(DR60 - IF(AU60&gt;1, L60*DL60*100.0/(AW60), 0))*(DY60+DZ60)/1000.0</f>
        <v>0</v>
      </c>
      <c r="Q60">
        <f>2.0/((1/S60-1/R60)+SIGN(S60)*SQRT((1/S60-1/R60)*(1/S60-1/R60) + 4*DM60/((DM60+1)*(DM60+1))*(2*1/S60*1/R60-1/R60*1/R60)))</f>
        <v>0</v>
      </c>
      <c r="R60">
        <f>IF(LEFT(DN60,1)&lt;&gt;"0",IF(LEFT(DN60,1)="1",3.0,DO60),$D$5+$E$5*(EF60*DY60/($K$5*1000))+$F$5*(EF60*DY60/($K$5*1000))*MAX(MIN(DL60,$J$5),$I$5)*MAX(MIN(DL60,$J$5),$I$5)+$G$5*MAX(MIN(DL60,$J$5),$I$5)*(EF60*DY60/($K$5*1000))+$H$5*(EF60*DY60/($K$5*1000))*(EF60*DY60/($K$5*1000)))</f>
        <v>0</v>
      </c>
      <c r="S60">
        <f>J60*(1000-(1000*0.61365*exp(17.502*W60/(240.97+W60))/(DY60+DZ60)+DT60)/2)/(1000*0.61365*exp(17.502*W60/(240.97+W60))/(DY60+DZ60)-DT60)</f>
        <v>0</v>
      </c>
      <c r="T60">
        <f>1/((DM60+1)/(Q60/1.6)+1/(R60/1.37)) + DM60/((DM60+1)/(Q60/1.6) + DM60/(R60/1.37))</f>
        <v>0</v>
      </c>
      <c r="U60">
        <f>(DH60*DK60)</f>
        <v>0</v>
      </c>
      <c r="V60">
        <f>(EA60+(U60+2*0.95*5.67E-8*(((EA60+$B$7)+273)^4-(EA60+273)^4)-44100*J60)/(1.84*29.3*R60+8*0.95*5.67E-8*(EA60+273)^3))</f>
        <v>0</v>
      </c>
      <c r="W60">
        <f>($C$7*EB60+$D$7*EC60+$E$7*V60)</f>
        <v>0</v>
      </c>
      <c r="X60">
        <f>0.61365*exp(17.502*W60/(240.97+W60))</f>
        <v>0</v>
      </c>
      <c r="Y60">
        <f>(Z60/AA60*100)</f>
        <v>0</v>
      </c>
      <c r="Z60">
        <f>DT60*(DY60+DZ60)/1000</f>
        <v>0</v>
      </c>
      <c r="AA60">
        <f>0.61365*exp(17.502*EA60/(240.97+EA60))</f>
        <v>0</v>
      </c>
      <c r="AB60">
        <f>(X60-DT60*(DY60+DZ60)/1000)</f>
        <v>0</v>
      </c>
      <c r="AC60">
        <f>(-J60*44100)</f>
        <v>0</v>
      </c>
      <c r="AD60">
        <f>2*29.3*R60*0.92*(EA60-W60)</f>
        <v>0</v>
      </c>
      <c r="AE60">
        <f>2*0.95*5.67E-8*(((EA60+$B$7)+273)^4-(W60+273)^4)</f>
        <v>0</v>
      </c>
      <c r="AF60">
        <f>U60+AE60+AC60+AD60</f>
        <v>0</v>
      </c>
      <c r="AG60">
        <f>DX60*AU60*(DS60-DR60*(1000-AU60*DU60)/(1000-AU60*DT60))/(100*DL60)</f>
        <v>0</v>
      </c>
      <c r="AH60">
        <f>1000*DX60*AU60*(DT60-DU60)/(100*DL60*(1000-AU60*DT60))</f>
        <v>0</v>
      </c>
      <c r="AI60">
        <f>(AJ60 - AK60 - DY60*1E3/(8.314*(EA60+273.15)) * AM60/DX60 * AL60) * DX60/(100*DL60) * (1000 - DU60)/1000</f>
        <v>0</v>
      </c>
      <c r="AJ60">
        <v>427.484082006675</v>
      </c>
      <c r="AK60">
        <v>413.143127272727</v>
      </c>
      <c r="AL60">
        <v>0.000155709639101096</v>
      </c>
      <c r="AM60">
        <v>64.9547664620636</v>
      </c>
      <c r="AN60">
        <f>(AP60 - AO60 + DY60*1E3/(8.314*(EA60+273.15)) * AR60/DX60 * AQ60) * DX60/(100*DL60) * 1000/(1000 - AP60)</f>
        <v>0</v>
      </c>
      <c r="AO60">
        <v>17.5696650391735</v>
      </c>
      <c r="AP60">
        <v>23.8566454545454</v>
      </c>
      <c r="AQ60">
        <v>0.000269084312940521</v>
      </c>
      <c r="AR60">
        <v>117.677222590777</v>
      </c>
      <c r="AS60">
        <v>0</v>
      </c>
      <c r="AT60">
        <v>0</v>
      </c>
      <c r="AU60">
        <f>IF(AS60*$H$13&gt;=AW60,1.0,(AW60/(AW60-AS60*$H$13)))</f>
        <v>0</v>
      </c>
      <c r="AV60">
        <f>(AU60-1)*100</f>
        <v>0</v>
      </c>
      <c r="AW60">
        <f>MAX(0,($B$13+$C$13*EF60)/(1+$D$13*EF60)*DY60/(EA60+273)*$E$13)</f>
        <v>0</v>
      </c>
      <c r="AX60" t="s">
        <v>437</v>
      </c>
      <c r="AY60">
        <v>5082.33</v>
      </c>
      <c r="AZ60">
        <v>690.032</v>
      </c>
      <c r="BA60">
        <v>1612.68</v>
      </c>
      <c r="BB60">
        <f>1-AZ60/BA60</f>
        <v>0</v>
      </c>
      <c r="BC60">
        <v>-9.7270689171713</v>
      </c>
      <c r="BD60" t="s">
        <v>630</v>
      </c>
      <c r="BE60">
        <v>5132.7</v>
      </c>
      <c r="BF60">
        <v>1526.1532</v>
      </c>
      <c r="BG60">
        <v>1909.84605130348</v>
      </c>
      <c r="BH60">
        <f>1-BF60/BG60</f>
        <v>0</v>
      </c>
      <c r="BI60">
        <v>0.5</v>
      </c>
      <c r="BJ60">
        <f>DI60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631</v>
      </c>
      <c r="BQ60">
        <v>788.6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BZ60">
        <v>182</v>
      </c>
      <c r="CA60">
        <v>290</v>
      </c>
      <c r="CB60">
        <v>1807.16</v>
      </c>
      <c r="CC60">
        <v>145</v>
      </c>
      <c r="CD60">
        <v>5132.7</v>
      </c>
      <c r="CE60">
        <v>1806.2</v>
      </c>
      <c r="CF60">
        <v>0.96</v>
      </c>
      <c r="CG60">
        <v>300</v>
      </c>
      <c r="CH60">
        <v>23.8</v>
      </c>
      <c r="CI60">
        <v>1909.84605130348</v>
      </c>
      <c r="CJ60">
        <v>2.59772570082206</v>
      </c>
      <c r="CK60">
        <v>-53.197101010956</v>
      </c>
      <c r="CL60">
        <v>1.19940463032506</v>
      </c>
      <c r="CM60">
        <v>0.985966190895245</v>
      </c>
      <c r="CN60">
        <v>-0.00323510255839822</v>
      </c>
      <c r="CO60">
        <v>290</v>
      </c>
      <c r="CP60">
        <v>1804.08</v>
      </c>
      <c r="CQ60">
        <v>685</v>
      </c>
      <c r="CR60">
        <v>5129.13</v>
      </c>
      <c r="CS60">
        <v>1806.13</v>
      </c>
      <c r="CT60">
        <v>-2.05</v>
      </c>
      <c r="DH60">
        <f>$B$11*EG60+$C$11*EH60+$F$11*ES60*(1-EV60)</f>
        <v>0</v>
      </c>
      <c r="DI60">
        <f>DH60*DJ60</f>
        <v>0</v>
      </c>
      <c r="DJ60">
        <f>($B$11*$D$9+$C$11*$D$9+$F$11*((FF60+EX60)/MAX(FF60+EX60+FG60, 0.1)*$I$9+FG60/MAX(FF60+EX60+FG60, 0.1)*$J$9))/($B$11+$C$11+$F$11)</f>
        <v>0</v>
      </c>
      <c r="DK60">
        <f>($B$11*$K$9+$C$11*$K$9+$F$11*((FF60+EX60)/MAX(FF60+EX60+FG60, 0.1)*$P$9+FG60/MAX(FF60+EX60+FG60, 0.1)*$Q$9))/($B$11+$C$11+$F$11)</f>
        <v>0</v>
      </c>
      <c r="DL60">
        <v>3.21</v>
      </c>
      <c r="DM60">
        <v>0.5</v>
      </c>
      <c r="DN60" t="s">
        <v>440</v>
      </c>
      <c r="DO60">
        <v>2</v>
      </c>
      <c r="DP60" t="b">
        <v>1</v>
      </c>
      <c r="DQ60">
        <v>1760905451.1</v>
      </c>
      <c r="DR60">
        <v>403.289866666667</v>
      </c>
      <c r="DS60">
        <v>419.996333333333</v>
      </c>
      <c r="DT60">
        <v>23.8413</v>
      </c>
      <c r="DU60">
        <v>17.5666</v>
      </c>
      <c r="DV60">
        <v>400.903666666667</v>
      </c>
      <c r="DW60">
        <v>23.4391133333333</v>
      </c>
      <c r="DX60">
        <v>500.009733333333</v>
      </c>
      <c r="DY60">
        <v>90.6754533333333</v>
      </c>
      <c r="DZ60">
        <v>0.0397347666666667</v>
      </c>
      <c r="EA60">
        <v>30.2834</v>
      </c>
      <c r="EB60">
        <v>29.9931666666667</v>
      </c>
      <c r="EC60">
        <v>999.9</v>
      </c>
      <c r="ED60">
        <v>0</v>
      </c>
      <c r="EE60">
        <v>0</v>
      </c>
      <c r="EF60">
        <v>9997.83</v>
      </c>
      <c r="EG60">
        <v>0</v>
      </c>
      <c r="EH60">
        <v>1305.56266666667</v>
      </c>
      <c r="EI60">
        <v>-16.7063933333333</v>
      </c>
      <c r="EJ60">
        <v>413.139866666667</v>
      </c>
      <c r="EK60">
        <v>427.5062</v>
      </c>
      <c r="EL60">
        <v>6.27468933333333</v>
      </c>
      <c r="EM60">
        <v>419.996333333333</v>
      </c>
      <c r="EN60">
        <v>17.5666</v>
      </c>
      <c r="EO60">
        <v>2.16181933333333</v>
      </c>
      <c r="EP60">
        <v>1.59285933333333</v>
      </c>
      <c r="EQ60">
        <v>18.6821533333333</v>
      </c>
      <c r="ER60">
        <v>13.8899</v>
      </c>
      <c r="ES60">
        <v>1200.018</v>
      </c>
      <c r="ET60">
        <v>0.9670022</v>
      </c>
      <c r="EU60">
        <v>0.0329978333333333</v>
      </c>
      <c r="EV60">
        <v>0</v>
      </c>
      <c r="EW60">
        <v>1526.11866666667</v>
      </c>
      <c r="EX60">
        <v>5.00059</v>
      </c>
      <c r="EY60">
        <v>18445.3866666667</v>
      </c>
      <c r="EZ60">
        <v>10358.8866666667</v>
      </c>
      <c r="FA60">
        <v>45.2541333333333</v>
      </c>
      <c r="FB60">
        <v>46.937</v>
      </c>
      <c r="FC60">
        <v>45.5</v>
      </c>
      <c r="FD60">
        <v>46.437</v>
      </c>
      <c r="FE60">
        <v>46.3372</v>
      </c>
      <c r="FF60">
        <v>1155.588</v>
      </c>
      <c r="FG60">
        <v>39.43</v>
      </c>
      <c r="FH60">
        <v>0</v>
      </c>
      <c r="FI60">
        <v>151.200000047684</v>
      </c>
      <c r="FJ60">
        <v>0</v>
      </c>
      <c r="FK60">
        <v>1526.1532</v>
      </c>
      <c r="FL60">
        <v>-0.306923077350932</v>
      </c>
      <c r="FM60">
        <v>-7.97692306529839</v>
      </c>
      <c r="FN60">
        <v>18444.688</v>
      </c>
      <c r="FO60">
        <v>15</v>
      </c>
      <c r="FP60">
        <v>0</v>
      </c>
      <c r="FQ60" t="s">
        <v>441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-16.7155857142857</v>
      </c>
      <c r="GD60">
        <v>0.128353246753255</v>
      </c>
      <c r="GE60">
        <v>0.0331516326641591</v>
      </c>
      <c r="GF60">
        <v>1</v>
      </c>
      <c r="GG60">
        <v>1526.18117647059</v>
      </c>
      <c r="GH60">
        <v>-0.745607336688253</v>
      </c>
      <c r="GI60">
        <v>0.227437964468694</v>
      </c>
      <c r="GJ60">
        <v>-1</v>
      </c>
      <c r="GK60">
        <v>6.27096285714286</v>
      </c>
      <c r="GL60">
        <v>0.0749548051948156</v>
      </c>
      <c r="GM60">
        <v>0.00769004188660157</v>
      </c>
      <c r="GN60">
        <v>1</v>
      </c>
      <c r="GO60">
        <v>2</v>
      </c>
      <c r="GP60">
        <v>2</v>
      </c>
      <c r="GQ60" t="s">
        <v>442</v>
      </c>
      <c r="GR60">
        <v>3.12941</v>
      </c>
      <c r="GS60">
        <v>2.71792</v>
      </c>
      <c r="GT60">
        <v>0.085105</v>
      </c>
      <c r="GU60">
        <v>0.0883176</v>
      </c>
      <c r="GV60">
        <v>0.100732</v>
      </c>
      <c r="GW60">
        <v>0.0814355</v>
      </c>
      <c r="GX60">
        <v>33953.3</v>
      </c>
      <c r="GY60">
        <v>36097.7</v>
      </c>
      <c r="GZ60">
        <v>33620.1</v>
      </c>
      <c r="HA60">
        <v>35893.7</v>
      </c>
      <c r="HB60">
        <v>42820</v>
      </c>
      <c r="HC60">
        <v>47381</v>
      </c>
      <c r="HD60">
        <v>52553.2</v>
      </c>
      <c r="HE60">
        <v>57411.1</v>
      </c>
      <c r="HF60">
        <v>1.8596</v>
      </c>
      <c r="HG60">
        <v>1.71495</v>
      </c>
      <c r="HH60">
        <v>-0.0235625</v>
      </c>
      <c r="HI60">
        <v>0</v>
      </c>
      <c r="HJ60">
        <v>30.3754</v>
      </c>
      <c r="HK60">
        <v>999.9</v>
      </c>
      <c r="HL60">
        <v>47.418</v>
      </c>
      <c r="HM60">
        <v>29.86</v>
      </c>
      <c r="HN60">
        <v>22.1025</v>
      </c>
      <c r="HO60">
        <v>55.0999</v>
      </c>
      <c r="HP60">
        <v>44.383</v>
      </c>
      <c r="HQ60">
        <v>1</v>
      </c>
      <c r="HR60">
        <v>0.739586</v>
      </c>
      <c r="HS60">
        <v>4.41413</v>
      </c>
      <c r="HT60">
        <v>20.0836</v>
      </c>
      <c r="HU60">
        <v>5.19303</v>
      </c>
      <c r="HV60">
        <v>12.0099</v>
      </c>
      <c r="HW60">
        <v>4.9737</v>
      </c>
      <c r="HX60">
        <v>3.29435</v>
      </c>
      <c r="HY60">
        <v>9999</v>
      </c>
      <c r="HZ60">
        <v>999.9</v>
      </c>
      <c r="IA60">
        <v>9999</v>
      </c>
      <c r="IB60">
        <v>9999</v>
      </c>
      <c r="IC60">
        <v>1.86322</v>
      </c>
      <c r="ID60">
        <v>1.86805</v>
      </c>
      <c r="IE60">
        <v>1.86782</v>
      </c>
      <c r="IF60">
        <v>1.86905</v>
      </c>
      <c r="IG60">
        <v>1.86981</v>
      </c>
      <c r="IH60">
        <v>1.86584</v>
      </c>
      <c r="II60">
        <v>1.86691</v>
      </c>
      <c r="IJ60">
        <v>1.86835</v>
      </c>
      <c r="IK60">
        <v>5</v>
      </c>
      <c r="IL60">
        <v>0</v>
      </c>
      <c r="IM60">
        <v>0</v>
      </c>
      <c r="IN60">
        <v>0</v>
      </c>
      <c r="IO60" t="s">
        <v>443</v>
      </c>
      <c r="IP60" t="s">
        <v>444</v>
      </c>
      <c r="IQ60" t="s">
        <v>445</v>
      </c>
      <c r="IR60" t="s">
        <v>445</v>
      </c>
      <c r="IS60" t="s">
        <v>445</v>
      </c>
      <c r="IT60" t="s">
        <v>445</v>
      </c>
      <c r="IU60">
        <v>0</v>
      </c>
      <c r="IV60">
        <v>100</v>
      </c>
      <c r="IW60">
        <v>100</v>
      </c>
      <c r="IX60">
        <v>2.386</v>
      </c>
      <c r="IY60">
        <v>0.4029</v>
      </c>
      <c r="IZ60">
        <v>0.833350075594679</v>
      </c>
      <c r="JA60">
        <v>0.00412825224050377</v>
      </c>
      <c r="JB60">
        <v>-7.34426573386615e-07</v>
      </c>
      <c r="JC60">
        <v>2.46800082545482e-10</v>
      </c>
      <c r="JD60">
        <v>-0.0848433440729365</v>
      </c>
      <c r="JE60">
        <v>-0.0240557196358944</v>
      </c>
      <c r="JF60">
        <v>0.0027855358087715</v>
      </c>
      <c r="JG60">
        <v>-3.72349365099102e-05</v>
      </c>
      <c r="JH60">
        <v>5</v>
      </c>
      <c r="JI60">
        <v>2250</v>
      </c>
      <c r="JJ60">
        <v>0</v>
      </c>
      <c r="JK60">
        <v>24</v>
      </c>
      <c r="JL60">
        <v>29348424.3</v>
      </c>
      <c r="JM60">
        <v>29348424.3</v>
      </c>
      <c r="JN60">
        <v>1.01196</v>
      </c>
      <c r="JO60">
        <v>2.62451</v>
      </c>
      <c r="JP60">
        <v>1.54785</v>
      </c>
      <c r="JQ60">
        <v>2.31201</v>
      </c>
      <c r="JR60">
        <v>1.64673</v>
      </c>
      <c r="JS60">
        <v>2.37549</v>
      </c>
      <c r="JT60">
        <v>33.6705</v>
      </c>
      <c r="JU60">
        <v>24.1838</v>
      </c>
      <c r="JV60">
        <v>18</v>
      </c>
      <c r="JW60">
        <v>506.438</v>
      </c>
      <c r="JX60">
        <v>407.527</v>
      </c>
      <c r="JY60">
        <v>24.2123</v>
      </c>
      <c r="JZ60">
        <v>36.3183</v>
      </c>
      <c r="KA60">
        <v>29.9999</v>
      </c>
      <c r="KB60">
        <v>36.1834</v>
      </c>
      <c r="KC60">
        <v>36.1061</v>
      </c>
      <c r="KD60">
        <v>20.2737</v>
      </c>
      <c r="KE60">
        <v>19.7126</v>
      </c>
      <c r="KF60">
        <v>61.768</v>
      </c>
      <c r="KG60">
        <v>24.2135</v>
      </c>
      <c r="KH60">
        <v>420</v>
      </c>
      <c r="KI60">
        <v>17.6039</v>
      </c>
      <c r="KJ60">
        <v>95.4554</v>
      </c>
      <c r="KK60">
        <v>92.9905</v>
      </c>
    </row>
    <row r="61" spans="1:297">
      <c r="A61">
        <v>45</v>
      </c>
      <c r="B61">
        <v>1760905642.1</v>
      </c>
      <c r="C61">
        <v>11878</v>
      </c>
      <c r="D61" t="s">
        <v>632</v>
      </c>
      <c r="E61" t="s">
        <v>633</v>
      </c>
      <c r="F61">
        <v>5</v>
      </c>
      <c r="G61" t="s">
        <v>625</v>
      </c>
      <c r="H61" t="s">
        <v>436</v>
      </c>
      <c r="I61">
        <v>1760905633.6</v>
      </c>
      <c r="J61">
        <f>(K61)/1000</f>
        <v>0</v>
      </c>
      <c r="K61">
        <f>IF(DP61, AN61, AH61)</f>
        <v>0</v>
      </c>
      <c r="L61">
        <f>IF(DP61, AI61, AG61)</f>
        <v>0</v>
      </c>
      <c r="M61">
        <f>DR61 - IF(AU61&gt;1, L61*DL61*100.0/(AW61), 0)</f>
        <v>0</v>
      </c>
      <c r="N61">
        <f>((T61-J61/2)*M61-L61)/(T61+J61/2)</f>
        <v>0</v>
      </c>
      <c r="O61">
        <f>N61*(DY61+DZ61)/1000.0</f>
        <v>0</v>
      </c>
      <c r="P61">
        <f>(DR61 - IF(AU61&gt;1, L61*DL61*100.0/(AW61), 0))*(DY61+DZ61)/1000.0</f>
        <v>0</v>
      </c>
      <c r="Q61">
        <f>2.0/((1/S61-1/R61)+SIGN(S61)*SQRT((1/S61-1/R61)*(1/S61-1/R61) + 4*DM61/((DM61+1)*(DM61+1))*(2*1/S61*1/R61-1/R61*1/R61)))</f>
        <v>0</v>
      </c>
      <c r="R61">
        <f>IF(LEFT(DN61,1)&lt;&gt;"0",IF(LEFT(DN61,1)="1",3.0,DO61),$D$5+$E$5*(EF61*DY61/($K$5*1000))+$F$5*(EF61*DY61/($K$5*1000))*MAX(MIN(DL61,$J$5),$I$5)*MAX(MIN(DL61,$J$5),$I$5)+$G$5*MAX(MIN(DL61,$J$5),$I$5)*(EF61*DY61/($K$5*1000))+$H$5*(EF61*DY61/($K$5*1000))*(EF61*DY61/($K$5*1000)))</f>
        <v>0</v>
      </c>
      <c r="S61">
        <f>J61*(1000-(1000*0.61365*exp(17.502*W61/(240.97+W61))/(DY61+DZ61)+DT61)/2)/(1000*0.61365*exp(17.502*W61/(240.97+W61))/(DY61+DZ61)-DT61)</f>
        <v>0</v>
      </c>
      <c r="T61">
        <f>1/((DM61+1)/(Q61/1.6)+1/(R61/1.37)) + DM61/((DM61+1)/(Q61/1.6) + DM61/(R61/1.37))</f>
        <v>0</v>
      </c>
      <c r="U61">
        <f>(DH61*DK61)</f>
        <v>0</v>
      </c>
      <c r="V61">
        <f>(EA61+(U61+2*0.95*5.67E-8*(((EA61+$B$7)+273)^4-(EA61+273)^4)-44100*J61)/(1.84*29.3*R61+8*0.95*5.67E-8*(EA61+273)^3))</f>
        <v>0</v>
      </c>
      <c r="W61">
        <f>($C$7*EB61+$D$7*EC61+$E$7*V61)</f>
        <v>0</v>
      </c>
      <c r="X61">
        <f>0.61365*exp(17.502*W61/(240.97+W61))</f>
        <v>0</v>
      </c>
      <c r="Y61">
        <f>(Z61/AA61*100)</f>
        <v>0</v>
      </c>
      <c r="Z61">
        <f>DT61*(DY61+DZ61)/1000</f>
        <v>0</v>
      </c>
      <c r="AA61">
        <f>0.61365*exp(17.502*EA61/(240.97+EA61))</f>
        <v>0</v>
      </c>
      <c r="AB61">
        <f>(X61-DT61*(DY61+DZ61)/1000)</f>
        <v>0</v>
      </c>
      <c r="AC61">
        <f>(-J61*44100)</f>
        <v>0</v>
      </c>
      <c r="AD61">
        <f>2*29.3*R61*0.92*(EA61-W61)</f>
        <v>0</v>
      </c>
      <c r="AE61">
        <f>2*0.95*5.67E-8*(((EA61+$B$7)+273)^4-(W61+273)^4)</f>
        <v>0</v>
      </c>
      <c r="AF61">
        <f>U61+AE61+AC61+AD61</f>
        <v>0</v>
      </c>
      <c r="AG61">
        <f>DX61*AU61*(DS61-DR61*(1000-AU61*DU61)/(1000-AU61*DT61))/(100*DL61)</f>
        <v>0</v>
      </c>
      <c r="AH61">
        <f>1000*DX61*AU61*(DT61-DU61)/(100*DL61*(1000-AU61*DT61))</f>
        <v>0</v>
      </c>
      <c r="AI61">
        <f>(AJ61 - AK61 - DY61*1E3/(8.314*(EA61+273.15)) * AM61/DX61 * AL61) * DX61/(100*DL61) * (1000 - DU61)/1000</f>
        <v>0</v>
      </c>
      <c r="AJ61">
        <v>427.483143387889</v>
      </c>
      <c r="AK61">
        <v>413.161115151515</v>
      </c>
      <c r="AL61">
        <v>-0.000178426502943166</v>
      </c>
      <c r="AM61">
        <v>64.9547664620636</v>
      </c>
      <c r="AN61">
        <f>(AP61 - AO61 + DY61*1E3/(8.314*(EA61+273.15)) * AR61/DX61 * AQ61) * DX61/(100*DL61) * 1000/(1000 - AP61)</f>
        <v>0</v>
      </c>
      <c r="AO61">
        <v>17.4398212953618</v>
      </c>
      <c r="AP61">
        <v>23.9217878787879</v>
      </c>
      <c r="AQ61">
        <v>8.23978186681115e-05</v>
      </c>
      <c r="AR61">
        <v>117.677222590777</v>
      </c>
      <c r="AS61">
        <v>0</v>
      </c>
      <c r="AT61">
        <v>0</v>
      </c>
      <c r="AU61">
        <f>IF(AS61*$H$13&gt;=AW61,1.0,(AW61/(AW61-AS61*$H$13)))</f>
        <v>0</v>
      </c>
      <c r="AV61">
        <f>(AU61-1)*100</f>
        <v>0</v>
      </c>
      <c r="AW61">
        <f>MAX(0,($B$13+$C$13*EF61)/(1+$D$13*EF61)*DY61/(EA61+273)*$E$13)</f>
        <v>0</v>
      </c>
      <c r="AX61" t="s">
        <v>437</v>
      </c>
      <c r="AY61">
        <v>5082.33</v>
      </c>
      <c r="AZ61">
        <v>690.032</v>
      </c>
      <c r="BA61">
        <v>1612.68</v>
      </c>
      <c r="BB61">
        <f>1-AZ61/BA61</f>
        <v>0</v>
      </c>
      <c r="BC61">
        <v>-9.7270689171713</v>
      </c>
      <c r="BD61" t="s">
        <v>634</v>
      </c>
      <c r="BE61">
        <v>5133.62</v>
      </c>
      <c r="BF61">
        <v>1521.9592</v>
      </c>
      <c r="BG61">
        <v>1904.58251598079</v>
      </c>
      <c r="BH61">
        <f>1-BF61/BG61</f>
        <v>0</v>
      </c>
      <c r="BI61">
        <v>0.5</v>
      </c>
      <c r="BJ61">
        <f>DI61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635</v>
      </c>
      <c r="BQ61">
        <v>787.73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BZ61">
        <v>184</v>
      </c>
      <c r="CA61">
        <v>290</v>
      </c>
      <c r="CB61">
        <v>1802</v>
      </c>
      <c r="CC61">
        <v>115</v>
      </c>
      <c r="CD61">
        <v>5133.62</v>
      </c>
      <c r="CE61">
        <v>1800.26</v>
      </c>
      <c r="CF61">
        <v>1.74</v>
      </c>
      <c r="CG61">
        <v>300</v>
      </c>
      <c r="CH61">
        <v>23.8</v>
      </c>
      <c r="CI61">
        <v>1904.58251598079</v>
      </c>
      <c r="CJ61">
        <v>1.79161025618141</v>
      </c>
      <c r="CK61">
        <v>-53.5573258663008</v>
      </c>
      <c r="CL61">
        <v>0.827241099116405</v>
      </c>
      <c r="CM61">
        <v>0.993364204786484</v>
      </c>
      <c r="CN61">
        <v>-0.00323523915461624</v>
      </c>
      <c r="CO61">
        <v>290</v>
      </c>
      <c r="CP61">
        <v>1797.55</v>
      </c>
      <c r="CQ61">
        <v>625</v>
      </c>
      <c r="CR61">
        <v>5129.87</v>
      </c>
      <c r="CS61">
        <v>1800.18</v>
      </c>
      <c r="CT61">
        <v>-2.63</v>
      </c>
      <c r="DH61">
        <f>$B$11*EG61+$C$11*EH61+$F$11*ES61*(1-EV61)</f>
        <v>0</v>
      </c>
      <c r="DI61">
        <f>DH61*DJ61</f>
        <v>0</v>
      </c>
      <c r="DJ61">
        <f>($B$11*$D$9+$C$11*$D$9+$F$11*((FF61+EX61)/MAX(FF61+EX61+FG61, 0.1)*$I$9+FG61/MAX(FF61+EX61+FG61, 0.1)*$J$9))/($B$11+$C$11+$F$11)</f>
        <v>0</v>
      </c>
      <c r="DK61">
        <f>($B$11*$K$9+$C$11*$K$9+$F$11*((FF61+EX61)/MAX(FF61+EX61+FG61, 0.1)*$P$9+FG61/MAX(FF61+EX61+FG61, 0.1)*$Q$9))/($B$11+$C$11+$F$11)</f>
        <v>0</v>
      </c>
      <c r="DL61">
        <v>3.21</v>
      </c>
      <c r="DM61">
        <v>0.5</v>
      </c>
      <c r="DN61" t="s">
        <v>440</v>
      </c>
      <c r="DO61">
        <v>2</v>
      </c>
      <c r="DP61" t="b">
        <v>1</v>
      </c>
      <c r="DQ61">
        <v>1760905633.6</v>
      </c>
      <c r="DR61">
        <v>403.292</v>
      </c>
      <c r="DS61">
        <v>420.0125625</v>
      </c>
      <c r="DT61">
        <v>23.9118625</v>
      </c>
      <c r="DU61">
        <v>17.4499</v>
      </c>
      <c r="DV61">
        <v>400.90575</v>
      </c>
      <c r="DW61">
        <v>23.506625</v>
      </c>
      <c r="DX61">
        <v>499.99075</v>
      </c>
      <c r="DY61">
        <v>90.68660625</v>
      </c>
      <c r="DZ61">
        <v>0.0388671625</v>
      </c>
      <c r="EA61">
        <v>30.3564</v>
      </c>
      <c r="EB61">
        <v>29.9624875</v>
      </c>
      <c r="EC61">
        <v>999.9</v>
      </c>
      <c r="ED61">
        <v>0</v>
      </c>
      <c r="EE61">
        <v>0</v>
      </c>
      <c r="EF61">
        <v>9992.971875</v>
      </c>
      <c r="EG61">
        <v>0</v>
      </c>
      <c r="EH61">
        <v>1305.96625</v>
      </c>
      <c r="EI61">
        <v>-16.72044375</v>
      </c>
      <c r="EJ61">
        <v>413.17175</v>
      </c>
      <c r="EK61">
        <v>427.471875</v>
      </c>
      <c r="EL61">
        <v>6.461950625</v>
      </c>
      <c r="EM61">
        <v>420.0125625</v>
      </c>
      <c r="EN61">
        <v>17.4499</v>
      </c>
      <c r="EO61">
        <v>2.168485</v>
      </c>
      <c r="EP61">
        <v>1.582471875</v>
      </c>
      <c r="EQ61">
        <v>18.731375</v>
      </c>
      <c r="ER61">
        <v>13.789175</v>
      </c>
      <c r="ES61">
        <v>1200.005</v>
      </c>
      <c r="ET61">
        <v>0.96700025</v>
      </c>
      <c r="EU61">
        <v>0.03299968125</v>
      </c>
      <c r="EV61">
        <v>0</v>
      </c>
      <c r="EW61">
        <v>1521.964375</v>
      </c>
      <c r="EX61">
        <v>5.00059</v>
      </c>
      <c r="EY61">
        <v>18392.4</v>
      </c>
      <c r="EZ61">
        <v>10358.75</v>
      </c>
      <c r="FA61">
        <v>45.2185</v>
      </c>
      <c r="FB61">
        <v>46.875</v>
      </c>
      <c r="FC61">
        <v>45.437</v>
      </c>
      <c r="FD61">
        <v>46.375</v>
      </c>
      <c r="FE61">
        <v>46.312</v>
      </c>
      <c r="FF61">
        <v>1155.566875</v>
      </c>
      <c r="FG61">
        <v>39.431875</v>
      </c>
      <c r="FH61">
        <v>0</v>
      </c>
      <c r="FI61">
        <v>179</v>
      </c>
      <c r="FJ61">
        <v>0</v>
      </c>
      <c r="FK61">
        <v>1521.9592</v>
      </c>
      <c r="FL61">
        <v>-1.7453846173374</v>
      </c>
      <c r="FM61">
        <v>-31.923076748887</v>
      </c>
      <c r="FN61">
        <v>18392</v>
      </c>
      <c r="FO61">
        <v>15</v>
      </c>
      <c r="FP61">
        <v>0</v>
      </c>
      <c r="FQ61" t="s">
        <v>441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-16.719119047619</v>
      </c>
      <c r="GD61">
        <v>0.0257688311688363</v>
      </c>
      <c r="GE61">
        <v>0.0219359374423324</v>
      </c>
      <c r="GF61">
        <v>1</v>
      </c>
      <c r="GG61">
        <v>1522.02647058824</v>
      </c>
      <c r="GH61">
        <v>-1.12116119110493</v>
      </c>
      <c r="GI61">
        <v>0.253143557886943</v>
      </c>
      <c r="GJ61">
        <v>-1</v>
      </c>
      <c r="GK61">
        <v>6.45852904761905</v>
      </c>
      <c r="GL61">
        <v>0.0406106493506549</v>
      </c>
      <c r="GM61">
        <v>0.00591858083436999</v>
      </c>
      <c r="GN61">
        <v>1</v>
      </c>
      <c r="GO61">
        <v>2</v>
      </c>
      <c r="GP61">
        <v>2</v>
      </c>
      <c r="GQ61" t="s">
        <v>442</v>
      </c>
      <c r="GR61">
        <v>3.12923</v>
      </c>
      <c r="GS61">
        <v>2.71698</v>
      </c>
      <c r="GT61">
        <v>0.0851133</v>
      </c>
      <c r="GU61">
        <v>0.0883458</v>
      </c>
      <c r="GV61">
        <v>0.100928</v>
      </c>
      <c r="GW61">
        <v>0.0808832</v>
      </c>
      <c r="GX61">
        <v>33958.9</v>
      </c>
      <c r="GY61">
        <v>36104.6</v>
      </c>
      <c r="GZ61">
        <v>33625.5</v>
      </c>
      <c r="HA61">
        <v>35901.3</v>
      </c>
      <c r="HB61">
        <v>42816.3</v>
      </c>
      <c r="HC61">
        <v>47418.8</v>
      </c>
      <c r="HD61">
        <v>52560.4</v>
      </c>
      <c r="HE61">
        <v>57422.5</v>
      </c>
      <c r="HF61">
        <v>1.86077</v>
      </c>
      <c r="HG61">
        <v>1.71545</v>
      </c>
      <c r="HH61">
        <v>-0.0243261</v>
      </c>
      <c r="HI61">
        <v>0</v>
      </c>
      <c r="HJ61">
        <v>30.3569</v>
      </c>
      <c r="HK61">
        <v>999.9</v>
      </c>
      <c r="HL61">
        <v>46.93</v>
      </c>
      <c r="HM61">
        <v>29.9</v>
      </c>
      <c r="HN61">
        <v>21.9215</v>
      </c>
      <c r="HO61">
        <v>54.5899</v>
      </c>
      <c r="HP61">
        <v>44.6595</v>
      </c>
      <c r="HQ61">
        <v>1</v>
      </c>
      <c r="HR61">
        <v>0.731047</v>
      </c>
      <c r="HS61">
        <v>4.06814</v>
      </c>
      <c r="HT61">
        <v>20.0911</v>
      </c>
      <c r="HU61">
        <v>5.19483</v>
      </c>
      <c r="HV61">
        <v>12.0099</v>
      </c>
      <c r="HW61">
        <v>4.9736</v>
      </c>
      <c r="HX61">
        <v>3.29438</v>
      </c>
      <c r="HY61">
        <v>9999</v>
      </c>
      <c r="HZ61">
        <v>999.9</v>
      </c>
      <c r="IA61">
        <v>9999</v>
      </c>
      <c r="IB61">
        <v>9999</v>
      </c>
      <c r="IC61">
        <v>1.86325</v>
      </c>
      <c r="ID61">
        <v>1.86803</v>
      </c>
      <c r="IE61">
        <v>1.86783</v>
      </c>
      <c r="IF61">
        <v>1.86904</v>
      </c>
      <c r="IG61">
        <v>1.86981</v>
      </c>
      <c r="IH61">
        <v>1.86584</v>
      </c>
      <c r="II61">
        <v>1.86691</v>
      </c>
      <c r="IJ61">
        <v>1.86838</v>
      </c>
      <c r="IK61">
        <v>5</v>
      </c>
      <c r="IL61">
        <v>0</v>
      </c>
      <c r="IM61">
        <v>0</v>
      </c>
      <c r="IN61">
        <v>0</v>
      </c>
      <c r="IO61" t="s">
        <v>443</v>
      </c>
      <c r="IP61" t="s">
        <v>444</v>
      </c>
      <c r="IQ61" t="s">
        <v>445</v>
      </c>
      <c r="IR61" t="s">
        <v>445</v>
      </c>
      <c r="IS61" t="s">
        <v>445</v>
      </c>
      <c r="IT61" t="s">
        <v>445</v>
      </c>
      <c r="IU61">
        <v>0</v>
      </c>
      <c r="IV61">
        <v>100</v>
      </c>
      <c r="IW61">
        <v>100</v>
      </c>
      <c r="IX61">
        <v>2.386</v>
      </c>
      <c r="IY61">
        <v>0.4055</v>
      </c>
      <c r="IZ61">
        <v>0.833350075594679</v>
      </c>
      <c r="JA61">
        <v>0.00412825224050377</v>
      </c>
      <c r="JB61">
        <v>-7.34426573386615e-07</v>
      </c>
      <c r="JC61">
        <v>2.46800082545482e-10</v>
      </c>
      <c r="JD61">
        <v>-0.0848433440729365</v>
      </c>
      <c r="JE61">
        <v>-0.0240557196358944</v>
      </c>
      <c r="JF61">
        <v>0.0027855358087715</v>
      </c>
      <c r="JG61">
        <v>-3.72349365099102e-05</v>
      </c>
      <c r="JH61">
        <v>5</v>
      </c>
      <c r="JI61">
        <v>2250</v>
      </c>
      <c r="JJ61">
        <v>0</v>
      </c>
      <c r="JK61">
        <v>24</v>
      </c>
      <c r="JL61">
        <v>29348427.4</v>
      </c>
      <c r="JM61">
        <v>29348427.4</v>
      </c>
      <c r="JN61">
        <v>1.01196</v>
      </c>
      <c r="JO61">
        <v>2.63428</v>
      </c>
      <c r="JP61">
        <v>1.54785</v>
      </c>
      <c r="JQ61">
        <v>2.31201</v>
      </c>
      <c r="JR61">
        <v>1.64673</v>
      </c>
      <c r="JS61">
        <v>2.29736</v>
      </c>
      <c r="JT61">
        <v>33.7606</v>
      </c>
      <c r="JU61">
        <v>24.1838</v>
      </c>
      <c r="JV61">
        <v>18</v>
      </c>
      <c r="JW61">
        <v>506.915</v>
      </c>
      <c r="JX61">
        <v>407.56</v>
      </c>
      <c r="JY61">
        <v>24.4639</v>
      </c>
      <c r="JZ61">
        <v>36.2529</v>
      </c>
      <c r="KA61">
        <v>29.9994</v>
      </c>
      <c r="KB61">
        <v>36.1397</v>
      </c>
      <c r="KC61">
        <v>36.0632</v>
      </c>
      <c r="KD61">
        <v>20.2636</v>
      </c>
      <c r="KE61">
        <v>19.4339</v>
      </c>
      <c r="KF61">
        <v>60.2809</v>
      </c>
      <c r="KG61">
        <v>24.4899</v>
      </c>
      <c r="KH61">
        <v>420</v>
      </c>
      <c r="KI61">
        <v>17.4564</v>
      </c>
      <c r="KJ61">
        <v>95.4694</v>
      </c>
      <c r="KK61">
        <v>93.0095</v>
      </c>
    </row>
    <row r="62" spans="1:297">
      <c r="A62">
        <v>46</v>
      </c>
      <c r="B62">
        <v>1760907045</v>
      </c>
      <c r="C62">
        <v>13280.9000000954</v>
      </c>
      <c r="D62" t="s">
        <v>636</v>
      </c>
      <c r="E62" t="s">
        <v>637</v>
      </c>
      <c r="F62">
        <v>5</v>
      </c>
      <c r="G62" t="s">
        <v>638</v>
      </c>
      <c r="H62" t="s">
        <v>436</v>
      </c>
      <c r="I62">
        <v>1760907037</v>
      </c>
      <c r="J62">
        <f>(K62)/1000</f>
        <v>0</v>
      </c>
      <c r="K62">
        <f>IF(DP62, AN62, AH62)</f>
        <v>0</v>
      </c>
      <c r="L62">
        <f>IF(DP62, AI62, AG62)</f>
        <v>0</v>
      </c>
      <c r="M62">
        <f>DR62 - IF(AU62&gt;1, L62*DL62*100.0/(AW62), 0)</f>
        <v>0</v>
      </c>
      <c r="N62">
        <f>((T62-J62/2)*M62-L62)/(T62+J62/2)</f>
        <v>0</v>
      </c>
      <c r="O62">
        <f>N62*(DY62+DZ62)/1000.0</f>
        <v>0</v>
      </c>
      <c r="P62">
        <f>(DR62 - IF(AU62&gt;1, L62*DL62*100.0/(AW62), 0))*(DY62+DZ62)/1000.0</f>
        <v>0</v>
      </c>
      <c r="Q62">
        <f>2.0/((1/S62-1/R62)+SIGN(S62)*SQRT((1/S62-1/R62)*(1/S62-1/R62) + 4*DM62/((DM62+1)*(DM62+1))*(2*1/S62*1/R62-1/R62*1/R62)))</f>
        <v>0</v>
      </c>
      <c r="R62">
        <f>IF(LEFT(DN62,1)&lt;&gt;"0",IF(LEFT(DN62,1)="1",3.0,DO62),$D$5+$E$5*(EF62*DY62/($K$5*1000))+$F$5*(EF62*DY62/($K$5*1000))*MAX(MIN(DL62,$J$5),$I$5)*MAX(MIN(DL62,$J$5),$I$5)+$G$5*MAX(MIN(DL62,$J$5),$I$5)*(EF62*DY62/($K$5*1000))+$H$5*(EF62*DY62/($K$5*1000))*(EF62*DY62/($K$5*1000)))</f>
        <v>0</v>
      </c>
      <c r="S62">
        <f>J62*(1000-(1000*0.61365*exp(17.502*W62/(240.97+W62))/(DY62+DZ62)+DT62)/2)/(1000*0.61365*exp(17.502*W62/(240.97+W62))/(DY62+DZ62)-DT62)</f>
        <v>0</v>
      </c>
      <c r="T62">
        <f>1/((DM62+1)/(Q62/1.6)+1/(R62/1.37)) + DM62/((DM62+1)/(Q62/1.6) + DM62/(R62/1.37))</f>
        <v>0</v>
      </c>
      <c r="U62">
        <f>(DH62*DK62)</f>
        <v>0</v>
      </c>
      <c r="V62">
        <f>(EA62+(U62+2*0.95*5.67E-8*(((EA62+$B$7)+273)^4-(EA62+273)^4)-44100*J62)/(1.84*29.3*R62+8*0.95*5.67E-8*(EA62+273)^3))</f>
        <v>0</v>
      </c>
      <c r="W62">
        <f>($C$7*EB62+$D$7*EC62+$E$7*V62)</f>
        <v>0</v>
      </c>
      <c r="X62">
        <f>0.61365*exp(17.502*W62/(240.97+W62))</f>
        <v>0</v>
      </c>
      <c r="Y62">
        <f>(Z62/AA62*100)</f>
        <v>0</v>
      </c>
      <c r="Z62">
        <f>DT62*(DY62+DZ62)/1000</f>
        <v>0</v>
      </c>
      <c r="AA62">
        <f>0.61365*exp(17.502*EA62/(240.97+EA62))</f>
        <v>0</v>
      </c>
      <c r="AB62">
        <f>(X62-DT62*(DY62+DZ62)/1000)</f>
        <v>0</v>
      </c>
      <c r="AC62">
        <f>(-J62*44100)</f>
        <v>0</v>
      </c>
      <c r="AD62">
        <f>2*29.3*R62*0.92*(EA62-W62)</f>
        <v>0</v>
      </c>
      <c r="AE62">
        <f>2*0.95*5.67E-8*(((EA62+$B$7)+273)^4-(W62+273)^4)</f>
        <v>0</v>
      </c>
      <c r="AF62">
        <f>U62+AE62+AC62+AD62</f>
        <v>0</v>
      </c>
      <c r="AG62">
        <f>DX62*AU62*(DS62-DR62*(1000-AU62*DU62)/(1000-AU62*DT62))/(100*DL62)</f>
        <v>0</v>
      </c>
      <c r="AH62">
        <f>1000*DX62*AU62*(DT62-DU62)/(100*DL62*(1000-AU62*DT62))</f>
        <v>0</v>
      </c>
      <c r="AI62">
        <f>(AJ62 - AK62 - DY62*1E3/(8.314*(EA62+273.15)) * AM62/DX62 * AL62) * DX62/(100*DL62) * (1000 - DU62)/1000</f>
        <v>0</v>
      </c>
      <c r="AJ62">
        <v>430.748834968106</v>
      </c>
      <c r="AK62">
        <v>419.683321212121</v>
      </c>
      <c r="AL62">
        <v>7.80811759799561e-06</v>
      </c>
      <c r="AM62">
        <v>64.9829941516092</v>
      </c>
      <c r="AN62">
        <f>(AP62 - AO62 + DY62*1E3/(8.314*(EA62+273.15)) * AR62/DX62 * AQ62) * DX62/(100*DL62) * 1000/(1000 - AP62)</f>
        <v>0</v>
      </c>
      <c r="AO62">
        <v>24.9607590967916</v>
      </c>
      <c r="AP62">
        <v>31.1623084848485</v>
      </c>
      <c r="AQ62">
        <v>6.01028060010746e-06</v>
      </c>
      <c r="AR62">
        <v>117.40435344584</v>
      </c>
      <c r="AS62">
        <v>0</v>
      </c>
      <c r="AT62">
        <v>0</v>
      </c>
      <c r="AU62">
        <f>IF(AS62*$H$13&gt;=AW62,1.0,(AW62/(AW62-AS62*$H$13)))</f>
        <v>0</v>
      </c>
      <c r="AV62">
        <f>(AU62-1)*100</f>
        <v>0</v>
      </c>
      <c r="AW62">
        <f>MAX(0,($B$13+$C$13*EF62)/(1+$D$13*EF62)*DY62/(EA62+273)*$E$13)</f>
        <v>0</v>
      </c>
      <c r="AX62" t="s">
        <v>437</v>
      </c>
      <c r="AY62">
        <v>5082.33</v>
      </c>
      <c r="AZ62">
        <v>690.032</v>
      </c>
      <c r="BA62">
        <v>1612.68</v>
      </c>
      <c r="BB62">
        <f>1-AZ62/BA62</f>
        <v>0</v>
      </c>
      <c r="BC62">
        <v>-9.7270689171713</v>
      </c>
      <c r="BD62" t="s">
        <v>639</v>
      </c>
      <c r="BE62">
        <v>5135.46</v>
      </c>
      <c r="BF62">
        <v>1442.84153846154</v>
      </c>
      <c r="BG62">
        <v>1847.76741706781</v>
      </c>
      <c r="BH62">
        <f>1-BF62/BG62</f>
        <v>0</v>
      </c>
      <c r="BI62">
        <v>0.5</v>
      </c>
      <c r="BJ62">
        <f>DI62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640</v>
      </c>
      <c r="BQ62">
        <v>821.07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BZ62">
        <v>186</v>
      </c>
      <c r="CA62">
        <v>290</v>
      </c>
      <c r="CB62">
        <v>1740.21</v>
      </c>
      <c r="CC62">
        <v>125</v>
      </c>
      <c r="CD62">
        <v>5135.46</v>
      </c>
      <c r="CE62">
        <v>1739.85</v>
      </c>
      <c r="CF62">
        <v>0.36</v>
      </c>
      <c r="CG62">
        <v>300</v>
      </c>
      <c r="CH62">
        <v>23.8</v>
      </c>
      <c r="CI62">
        <v>1847.76741706781</v>
      </c>
      <c r="CJ62">
        <v>2.05129213604194</v>
      </c>
      <c r="CK62">
        <v>-55.4188767794499</v>
      </c>
      <c r="CL62">
        <v>0.947394103759426</v>
      </c>
      <c r="CM62">
        <v>0.991883577475438</v>
      </c>
      <c r="CN62">
        <v>-0.0032372126807564</v>
      </c>
      <c r="CO62">
        <v>290</v>
      </c>
      <c r="CP62">
        <v>1738.36</v>
      </c>
      <c r="CQ62">
        <v>655</v>
      </c>
      <c r="CR62">
        <v>5130.84</v>
      </c>
      <c r="CS62">
        <v>1739.76</v>
      </c>
      <c r="CT62">
        <v>-1.4</v>
      </c>
      <c r="DH62">
        <f>$B$11*EG62+$C$11*EH62+$F$11*ES62*(1-EV62)</f>
        <v>0</v>
      </c>
      <c r="DI62">
        <f>DH62*DJ62</f>
        <v>0</v>
      </c>
      <c r="DJ62">
        <f>($B$11*$D$9+$C$11*$D$9+$F$11*((FF62+EX62)/MAX(FF62+EX62+FG62, 0.1)*$I$9+FG62/MAX(FF62+EX62+FG62, 0.1)*$J$9))/($B$11+$C$11+$F$11)</f>
        <v>0</v>
      </c>
      <c r="DK62">
        <f>($B$11*$K$9+$C$11*$K$9+$F$11*((FF62+EX62)/MAX(FF62+EX62+FG62, 0.1)*$P$9+FG62/MAX(FF62+EX62+FG62, 0.1)*$Q$9))/($B$11+$C$11+$F$11)</f>
        <v>0</v>
      </c>
      <c r="DL62">
        <v>3.21</v>
      </c>
      <c r="DM62">
        <v>0.5</v>
      </c>
      <c r="DN62" t="s">
        <v>440</v>
      </c>
      <c r="DO62">
        <v>2</v>
      </c>
      <c r="DP62" t="b">
        <v>1</v>
      </c>
      <c r="DQ62">
        <v>1760907037</v>
      </c>
      <c r="DR62">
        <v>406.6266</v>
      </c>
      <c r="DS62">
        <v>420.002733333333</v>
      </c>
      <c r="DT62">
        <v>31.1549733333333</v>
      </c>
      <c r="DU62">
        <v>24.9698533333333</v>
      </c>
      <c r="DV62">
        <v>404.228</v>
      </c>
      <c r="DW62">
        <v>30.7197733333333</v>
      </c>
      <c r="DX62">
        <v>500.015066666667</v>
      </c>
      <c r="DY62">
        <v>90.6713733333333</v>
      </c>
      <c r="DZ62">
        <v>0.0437849533333333</v>
      </c>
      <c r="EA62">
        <v>36.64772</v>
      </c>
      <c r="EB62">
        <v>35.9967133333333</v>
      </c>
      <c r="EC62">
        <v>999.9</v>
      </c>
      <c r="ED62">
        <v>0</v>
      </c>
      <c r="EE62">
        <v>0</v>
      </c>
      <c r="EF62">
        <v>10005.2113333333</v>
      </c>
      <c r="EG62">
        <v>0</v>
      </c>
      <c r="EH62">
        <v>1224.7</v>
      </c>
      <c r="EI62">
        <v>-13.3762866666667</v>
      </c>
      <c r="EJ62">
        <v>419.7024</v>
      </c>
      <c r="EK62">
        <v>430.758733333333</v>
      </c>
      <c r="EL62">
        <v>6.18514133333333</v>
      </c>
      <c r="EM62">
        <v>420.002733333333</v>
      </c>
      <c r="EN62">
        <v>24.9698533333333</v>
      </c>
      <c r="EO62">
        <v>2.82486533333333</v>
      </c>
      <c r="EP62">
        <v>2.26404933333333</v>
      </c>
      <c r="EQ62">
        <v>23.0301066666667</v>
      </c>
      <c r="ER62">
        <v>19.4228733333333</v>
      </c>
      <c r="ES62">
        <v>1199.96666666667</v>
      </c>
      <c r="ET62">
        <v>0.967006533333334</v>
      </c>
      <c r="EU62">
        <v>0.03299366</v>
      </c>
      <c r="EV62">
        <v>0</v>
      </c>
      <c r="EW62">
        <v>1442.84666666667</v>
      </c>
      <c r="EX62">
        <v>5.00059</v>
      </c>
      <c r="EY62">
        <v>17687.54</v>
      </c>
      <c r="EZ62">
        <v>10358.44</v>
      </c>
      <c r="FA62">
        <v>50.1414666666667</v>
      </c>
      <c r="FB62">
        <v>51.7706666666667</v>
      </c>
      <c r="FC62">
        <v>50.2872</v>
      </c>
      <c r="FD62">
        <v>51.3414</v>
      </c>
      <c r="FE62">
        <v>51.25</v>
      </c>
      <c r="FF62">
        <v>1155.54266666667</v>
      </c>
      <c r="FG62">
        <v>39.424</v>
      </c>
      <c r="FH62">
        <v>0</v>
      </c>
      <c r="FI62">
        <v>1399.59999990463</v>
      </c>
      <c r="FJ62">
        <v>0</v>
      </c>
      <c r="FK62">
        <v>1442.84153846154</v>
      </c>
      <c r="FL62">
        <v>-1.60273504027636</v>
      </c>
      <c r="FM62">
        <v>-5.0051282197219</v>
      </c>
      <c r="FN62">
        <v>17688.0615384615</v>
      </c>
      <c r="FO62">
        <v>15</v>
      </c>
      <c r="FP62">
        <v>0</v>
      </c>
      <c r="FQ62" t="s">
        <v>441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-13.3761619047619</v>
      </c>
      <c r="GD62">
        <v>-0.0829090909090932</v>
      </c>
      <c r="GE62">
        <v>0.0304290818945186</v>
      </c>
      <c r="GF62">
        <v>1</v>
      </c>
      <c r="GG62">
        <v>1442.89794117647</v>
      </c>
      <c r="GH62">
        <v>-0.870435443313459</v>
      </c>
      <c r="GI62">
        <v>0.210961097776549</v>
      </c>
      <c r="GJ62">
        <v>-1</v>
      </c>
      <c r="GK62">
        <v>6.17859238095238</v>
      </c>
      <c r="GL62">
        <v>0.140357922077925</v>
      </c>
      <c r="GM62">
        <v>0.0142462907134794</v>
      </c>
      <c r="GN62">
        <v>0</v>
      </c>
      <c r="GO62">
        <v>1</v>
      </c>
      <c r="GP62">
        <v>2</v>
      </c>
      <c r="GQ62" t="s">
        <v>454</v>
      </c>
      <c r="GR62">
        <v>3.12992</v>
      </c>
      <c r="GS62">
        <v>2.7216</v>
      </c>
      <c r="GT62">
        <v>0.0847342</v>
      </c>
      <c r="GU62">
        <v>0.0874039</v>
      </c>
      <c r="GV62">
        <v>0.120895</v>
      </c>
      <c r="GW62">
        <v>0.103827</v>
      </c>
      <c r="GX62">
        <v>33652</v>
      </c>
      <c r="GY62">
        <v>35705.5</v>
      </c>
      <c r="GZ62">
        <v>33333.2</v>
      </c>
      <c r="HA62">
        <v>35493.3</v>
      </c>
      <c r="HB62">
        <v>41606.2</v>
      </c>
      <c r="HC62">
        <v>45763.5</v>
      </c>
      <c r="HD62">
        <v>52183.8</v>
      </c>
      <c r="HE62">
        <v>56819.9</v>
      </c>
      <c r="HF62">
        <v>1.80387</v>
      </c>
      <c r="HG62">
        <v>1.6726</v>
      </c>
      <c r="HH62">
        <v>-0.00570714</v>
      </c>
      <c r="HI62">
        <v>0</v>
      </c>
      <c r="HJ62">
        <v>36.0877</v>
      </c>
      <c r="HK62">
        <v>999.9</v>
      </c>
      <c r="HL62">
        <v>55.048</v>
      </c>
      <c r="HM62">
        <v>29.93</v>
      </c>
      <c r="HN62">
        <v>25.7624</v>
      </c>
      <c r="HO62">
        <v>55.6499</v>
      </c>
      <c r="HP62">
        <v>43.4575</v>
      </c>
      <c r="HQ62">
        <v>1</v>
      </c>
      <c r="HR62">
        <v>1.16384</v>
      </c>
      <c r="HS62">
        <v>3.52743</v>
      </c>
      <c r="HT62">
        <v>20.0984</v>
      </c>
      <c r="HU62">
        <v>5.19258</v>
      </c>
      <c r="HV62">
        <v>12.0099</v>
      </c>
      <c r="HW62">
        <v>4.97325</v>
      </c>
      <c r="HX62">
        <v>3.295</v>
      </c>
      <c r="HY62">
        <v>9999</v>
      </c>
      <c r="HZ62">
        <v>999.9</v>
      </c>
      <c r="IA62">
        <v>9999</v>
      </c>
      <c r="IB62">
        <v>9999</v>
      </c>
      <c r="IC62">
        <v>1.86323</v>
      </c>
      <c r="ID62">
        <v>1.86802</v>
      </c>
      <c r="IE62">
        <v>1.86782</v>
      </c>
      <c r="IF62">
        <v>1.86904</v>
      </c>
      <c r="IG62">
        <v>1.86981</v>
      </c>
      <c r="IH62">
        <v>1.86584</v>
      </c>
      <c r="II62">
        <v>1.86692</v>
      </c>
      <c r="IJ62">
        <v>1.86835</v>
      </c>
      <c r="IK62">
        <v>5</v>
      </c>
      <c r="IL62">
        <v>0</v>
      </c>
      <c r="IM62">
        <v>0</v>
      </c>
      <c r="IN62">
        <v>0</v>
      </c>
      <c r="IO62" t="s">
        <v>443</v>
      </c>
      <c r="IP62" t="s">
        <v>444</v>
      </c>
      <c r="IQ62" t="s">
        <v>445</v>
      </c>
      <c r="IR62" t="s">
        <v>445</v>
      </c>
      <c r="IS62" t="s">
        <v>445</v>
      </c>
      <c r="IT62" t="s">
        <v>445</v>
      </c>
      <c r="IU62">
        <v>0</v>
      </c>
      <c r="IV62">
        <v>100</v>
      </c>
      <c r="IW62">
        <v>100</v>
      </c>
      <c r="IX62">
        <v>2.399</v>
      </c>
      <c r="IY62">
        <v>0.4352</v>
      </c>
      <c r="IZ62">
        <v>0.833350075594679</v>
      </c>
      <c r="JA62">
        <v>0.00412825224050377</v>
      </c>
      <c r="JB62">
        <v>-7.34426573386615e-07</v>
      </c>
      <c r="JC62">
        <v>2.46800082545482e-10</v>
      </c>
      <c r="JD62">
        <v>0.435209846415365</v>
      </c>
      <c r="JE62">
        <v>0</v>
      </c>
      <c r="JF62">
        <v>0</v>
      </c>
      <c r="JG62">
        <v>0</v>
      </c>
      <c r="JH62">
        <v>5</v>
      </c>
      <c r="JI62">
        <v>2250</v>
      </c>
      <c r="JJ62">
        <v>0</v>
      </c>
      <c r="JK62">
        <v>24</v>
      </c>
      <c r="JL62">
        <v>29348450.8</v>
      </c>
      <c r="JM62">
        <v>29348450.8</v>
      </c>
      <c r="JN62">
        <v>1.01929</v>
      </c>
      <c r="JO62">
        <v>2.63672</v>
      </c>
      <c r="JP62">
        <v>1.54785</v>
      </c>
      <c r="JQ62">
        <v>2.31567</v>
      </c>
      <c r="JR62">
        <v>1.64673</v>
      </c>
      <c r="JS62">
        <v>2.26074</v>
      </c>
      <c r="JT62">
        <v>33.9413</v>
      </c>
      <c r="JU62">
        <v>24.1838</v>
      </c>
      <c r="JV62">
        <v>18</v>
      </c>
      <c r="JW62">
        <v>501.042</v>
      </c>
      <c r="JX62">
        <v>408.687</v>
      </c>
      <c r="JY62">
        <v>31.753</v>
      </c>
      <c r="JZ62">
        <v>41.1273</v>
      </c>
      <c r="KA62">
        <v>30.0012</v>
      </c>
      <c r="KB62">
        <v>40.7292</v>
      </c>
      <c r="KC62">
        <v>40.6151</v>
      </c>
      <c r="KD62">
        <v>20.4279</v>
      </c>
      <c r="KE62">
        <v>0</v>
      </c>
      <c r="KF62">
        <v>100</v>
      </c>
      <c r="KG62">
        <v>31.7496</v>
      </c>
      <c r="KH62">
        <v>420</v>
      </c>
      <c r="KI62">
        <v>31.1793</v>
      </c>
      <c r="KJ62">
        <v>94.7283</v>
      </c>
      <c r="KK62">
        <v>92.0021</v>
      </c>
    </row>
    <row r="63" spans="1:297">
      <c r="A63">
        <v>47</v>
      </c>
      <c r="B63">
        <v>1760907168</v>
      </c>
      <c r="C63">
        <v>13403.9000000954</v>
      </c>
      <c r="D63" t="s">
        <v>641</v>
      </c>
      <c r="E63" t="s">
        <v>642</v>
      </c>
      <c r="F63">
        <v>5</v>
      </c>
      <c r="G63" t="s">
        <v>638</v>
      </c>
      <c r="H63" t="s">
        <v>436</v>
      </c>
      <c r="I63">
        <v>1760907159.5</v>
      </c>
      <c r="J63">
        <f>(K63)/1000</f>
        <v>0</v>
      </c>
      <c r="K63">
        <f>IF(DP63, AN63, AH63)</f>
        <v>0</v>
      </c>
      <c r="L63">
        <f>IF(DP63, AI63, AG63)</f>
        <v>0</v>
      </c>
      <c r="M63">
        <f>DR63 - IF(AU63&gt;1, L63*DL63*100.0/(AW63), 0)</f>
        <v>0</v>
      </c>
      <c r="N63">
        <f>((T63-J63/2)*M63-L63)/(T63+J63/2)</f>
        <v>0</v>
      </c>
      <c r="O63">
        <f>N63*(DY63+DZ63)/1000.0</f>
        <v>0</v>
      </c>
      <c r="P63">
        <f>(DR63 - IF(AU63&gt;1, L63*DL63*100.0/(AW63), 0))*(DY63+DZ63)/1000.0</f>
        <v>0</v>
      </c>
      <c r="Q63">
        <f>2.0/((1/S63-1/R63)+SIGN(S63)*SQRT((1/S63-1/R63)*(1/S63-1/R63) + 4*DM63/((DM63+1)*(DM63+1))*(2*1/S63*1/R63-1/R63*1/R63)))</f>
        <v>0</v>
      </c>
      <c r="R63">
        <f>IF(LEFT(DN63,1)&lt;&gt;"0",IF(LEFT(DN63,1)="1",3.0,DO63),$D$5+$E$5*(EF63*DY63/($K$5*1000))+$F$5*(EF63*DY63/($K$5*1000))*MAX(MIN(DL63,$J$5),$I$5)*MAX(MIN(DL63,$J$5),$I$5)+$G$5*MAX(MIN(DL63,$J$5),$I$5)*(EF63*DY63/($K$5*1000))+$H$5*(EF63*DY63/($K$5*1000))*(EF63*DY63/($K$5*1000)))</f>
        <v>0</v>
      </c>
      <c r="S63">
        <f>J63*(1000-(1000*0.61365*exp(17.502*W63/(240.97+W63))/(DY63+DZ63)+DT63)/2)/(1000*0.61365*exp(17.502*W63/(240.97+W63))/(DY63+DZ63)-DT63)</f>
        <v>0</v>
      </c>
      <c r="T63">
        <f>1/((DM63+1)/(Q63/1.6)+1/(R63/1.37)) + DM63/((DM63+1)/(Q63/1.6) + DM63/(R63/1.37))</f>
        <v>0</v>
      </c>
      <c r="U63">
        <f>(DH63*DK63)</f>
        <v>0</v>
      </c>
      <c r="V63">
        <f>(EA63+(U63+2*0.95*5.67E-8*(((EA63+$B$7)+273)^4-(EA63+273)^4)-44100*J63)/(1.84*29.3*R63+8*0.95*5.67E-8*(EA63+273)^3))</f>
        <v>0</v>
      </c>
      <c r="W63">
        <f>($C$7*EB63+$D$7*EC63+$E$7*V63)</f>
        <v>0</v>
      </c>
      <c r="X63">
        <f>0.61365*exp(17.502*W63/(240.97+W63))</f>
        <v>0</v>
      </c>
      <c r="Y63">
        <f>(Z63/AA63*100)</f>
        <v>0</v>
      </c>
      <c r="Z63">
        <f>DT63*(DY63+DZ63)/1000</f>
        <v>0</v>
      </c>
      <c r="AA63">
        <f>0.61365*exp(17.502*EA63/(240.97+EA63))</f>
        <v>0</v>
      </c>
      <c r="AB63">
        <f>(X63-DT63*(DY63+DZ63)/1000)</f>
        <v>0</v>
      </c>
      <c r="AC63">
        <f>(-J63*44100)</f>
        <v>0</v>
      </c>
      <c r="AD63">
        <f>2*29.3*R63*0.92*(EA63-W63)</f>
        <v>0</v>
      </c>
      <c r="AE63">
        <f>2*0.95*5.67E-8*(((EA63+$B$7)+273)^4-(W63+273)^4)</f>
        <v>0</v>
      </c>
      <c r="AF63">
        <f>U63+AE63+AC63+AD63</f>
        <v>0</v>
      </c>
      <c r="AG63">
        <f>DX63*AU63*(DS63-DR63*(1000-AU63*DU63)/(1000-AU63*DT63))/(100*DL63)</f>
        <v>0</v>
      </c>
      <c r="AH63">
        <f>1000*DX63*AU63*(DT63-DU63)/(100*DL63*(1000-AU63*DT63))</f>
        <v>0</v>
      </c>
      <c r="AI63">
        <f>(AJ63 - AK63 - DY63*1E3/(8.314*(EA63+273.15)) * AM63/DX63 * AL63) * DX63/(100*DL63) * (1000 - DU63)/1000</f>
        <v>0</v>
      </c>
      <c r="AJ63">
        <v>430.678402354734</v>
      </c>
      <c r="AK63">
        <v>419.458781818182</v>
      </c>
      <c r="AL63">
        <v>-0.000758429271246415</v>
      </c>
      <c r="AM63">
        <v>64.9829941516092</v>
      </c>
      <c r="AN63">
        <f>(AP63 - AO63 + DY63*1E3/(8.314*(EA63+273.15)) * AR63/DX63 * AQ63) * DX63/(100*DL63) * 1000/(1000 - AP63)</f>
        <v>0</v>
      </c>
      <c r="AO63">
        <v>24.7987301511582</v>
      </c>
      <c r="AP63">
        <v>31.2045278787879</v>
      </c>
      <c r="AQ63">
        <v>-3.68905693357836e-05</v>
      </c>
      <c r="AR63">
        <v>117.40435344584</v>
      </c>
      <c r="AS63">
        <v>0</v>
      </c>
      <c r="AT63">
        <v>0</v>
      </c>
      <c r="AU63">
        <f>IF(AS63*$H$13&gt;=AW63,1.0,(AW63/(AW63-AS63*$H$13)))</f>
        <v>0</v>
      </c>
      <c r="AV63">
        <f>(AU63-1)*100</f>
        <v>0</v>
      </c>
      <c r="AW63">
        <f>MAX(0,($B$13+$C$13*EF63)/(1+$D$13*EF63)*DY63/(EA63+273)*$E$13)</f>
        <v>0</v>
      </c>
      <c r="AX63" t="s">
        <v>437</v>
      </c>
      <c r="AY63">
        <v>5082.33</v>
      </c>
      <c r="AZ63">
        <v>690.032</v>
      </c>
      <c r="BA63">
        <v>1612.68</v>
      </c>
      <c r="BB63">
        <f>1-AZ63/BA63</f>
        <v>0</v>
      </c>
      <c r="BC63">
        <v>-9.7270689171713</v>
      </c>
      <c r="BD63" t="s">
        <v>643</v>
      </c>
      <c r="BE63">
        <v>5133.91</v>
      </c>
      <c r="BF63">
        <v>1443.07846153846</v>
      </c>
      <c r="BG63">
        <v>1852.74254382175</v>
      </c>
      <c r="BH63">
        <f>1-BF63/BG63</f>
        <v>0</v>
      </c>
      <c r="BI63">
        <v>0.5</v>
      </c>
      <c r="BJ63">
        <f>DI63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644</v>
      </c>
      <c r="BQ63">
        <v>823.67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BZ63">
        <v>188</v>
      </c>
      <c r="CA63">
        <v>290</v>
      </c>
      <c r="CB63">
        <v>1739.71</v>
      </c>
      <c r="CC63">
        <v>165</v>
      </c>
      <c r="CD63">
        <v>5133.91</v>
      </c>
      <c r="CE63">
        <v>1739.62</v>
      </c>
      <c r="CF63">
        <v>0.09</v>
      </c>
      <c r="CG63">
        <v>300</v>
      </c>
      <c r="CH63">
        <v>23.8</v>
      </c>
      <c r="CI63">
        <v>1852.74254382175</v>
      </c>
      <c r="CJ63">
        <v>1.68819640792408</v>
      </c>
      <c r="CK63">
        <v>-58.077136653403</v>
      </c>
      <c r="CL63">
        <v>0.779614720476882</v>
      </c>
      <c r="CM63">
        <v>0.994979789137433</v>
      </c>
      <c r="CN63">
        <v>-0.00323687163515016</v>
      </c>
      <c r="CO63">
        <v>290</v>
      </c>
      <c r="CP63">
        <v>1737.03</v>
      </c>
      <c r="CQ63">
        <v>745</v>
      </c>
      <c r="CR63">
        <v>5129.57</v>
      </c>
      <c r="CS63">
        <v>1739.52</v>
      </c>
      <c r="CT63">
        <v>-2.49</v>
      </c>
      <c r="DH63">
        <f>$B$11*EG63+$C$11*EH63+$F$11*ES63*(1-EV63)</f>
        <v>0</v>
      </c>
      <c r="DI63">
        <f>DH63*DJ63</f>
        <v>0</v>
      </c>
      <c r="DJ63">
        <f>($B$11*$D$9+$C$11*$D$9+$F$11*((FF63+EX63)/MAX(FF63+EX63+FG63, 0.1)*$I$9+FG63/MAX(FF63+EX63+FG63, 0.1)*$J$9))/($B$11+$C$11+$F$11)</f>
        <v>0</v>
      </c>
      <c r="DK63">
        <f>($B$11*$K$9+$C$11*$K$9+$F$11*((FF63+EX63)/MAX(FF63+EX63+FG63, 0.1)*$P$9+FG63/MAX(FF63+EX63+FG63, 0.1)*$Q$9))/($B$11+$C$11+$F$11)</f>
        <v>0</v>
      </c>
      <c r="DL63">
        <v>3.21</v>
      </c>
      <c r="DM63">
        <v>0.5</v>
      </c>
      <c r="DN63" t="s">
        <v>440</v>
      </c>
      <c r="DO63">
        <v>2</v>
      </c>
      <c r="DP63" t="b">
        <v>1</v>
      </c>
      <c r="DQ63">
        <v>1760907159.5</v>
      </c>
      <c r="DR63">
        <v>406.4023125</v>
      </c>
      <c r="DS63">
        <v>419.9963125</v>
      </c>
      <c r="DT63">
        <v>31.20608125</v>
      </c>
      <c r="DU63">
        <v>24.80885625</v>
      </c>
      <c r="DV63">
        <v>404.0048125</v>
      </c>
      <c r="DW63">
        <v>30.77085625</v>
      </c>
      <c r="DX63">
        <v>500.033375</v>
      </c>
      <c r="DY63">
        <v>90.6587875</v>
      </c>
      <c r="DZ63">
        <v>0.043600975</v>
      </c>
      <c r="EA63">
        <v>36.69805625</v>
      </c>
      <c r="EB63">
        <v>36.0003875</v>
      </c>
      <c r="EC63">
        <v>999.9</v>
      </c>
      <c r="ED63">
        <v>0</v>
      </c>
      <c r="EE63">
        <v>0</v>
      </c>
      <c r="EF63">
        <v>9995.214375</v>
      </c>
      <c r="EG63">
        <v>0</v>
      </c>
      <c r="EH63">
        <v>1224.175</v>
      </c>
      <c r="EI63">
        <v>-13.59390625</v>
      </c>
      <c r="EJ63">
        <v>419.4930625</v>
      </c>
      <c r="EK63">
        <v>430.680875</v>
      </c>
      <c r="EL63">
        <v>6.39722375</v>
      </c>
      <c r="EM63">
        <v>419.9963125</v>
      </c>
      <c r="EN63">
        <v>24.80885625</v>
      </c>
      <c r="EO63">
        <v>2.829105</v>
      </c>
      <c r="EP63">
        <v>2.249140625</v>
      </c>
      <c r="EQ63">
        <v>23.0549</v>
      </c>
      <c r="ER63">
        <v>19.31669375</v>
      </c>
      <c r="ES63">
        <v>1200.00125</v>
      </c>
      <c r="ET63">
        <v>0.9670050625</v>
      </c>
      <c r="EU63">
        <v>0.03299540625</v>
      </c>
      <c r="EV63">
        <v>0</v>
      </c>
      <c r="EW63">
        <v>1443.110625</v>
      </c>
      <c r="EX63">
        <v>5.00059</v>
      </c>
      <c r="EY63">
        <v>17706.1125</v>
      </c>
      <c r="EZ63">
        <v>10358.74375</v>
      </c>
      <c r="FA63">
        <v>50.3316875</v>
      </c>
      <c r="FB63">
        <v>51.960625</v>
      </c>
      <c r="FC63">
        <v>50.5</v>
      </c>
      <c r="FD63">
        <v>51.5</v>
      </c>
      <c r="FE63">
        <v>51.437</v>
      </c>
      <c r="FF63">
        <v>1155.57</v>
      </c>
      <c r="FG63">
        <v>39.43125</v>
      </c>
      <c r="FH63">
        <v>0</v>
      </c>
      <c r="FI63">
        <v>119.700000047684</v>
      </c>
      <c r="FJ63">
        <v>0</v>
      </c>
      <c r="FK63">
        <v>1443.07846153846</v>
      </c>
      <c r="FL63">
        <v>-2.55726495877623</v>
      </c>
      <c r="FM63">
        <v>-23.9179487408876</v>
      </c>
      <c r="FN63">
        <v>17705.6461538462</v>
      </c>
      <c r="FO63">
        <v>15</v>
      </c>
      <c r="FP63">
        <v>0</v>
      </c>
      <c r="FQ63" t="s">
        <v>441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-13.5907333333333</v>
      </c>
      <c r="GD63">
        <v>0.037729870129856</v>
      </c>
      <c r="GE63">
        <v>0.0425779658344919</v>
      </c>
      <c r="GF63">
        <v>1</v>
      </c>
      <c r="GG63">
        <v>1443.22676470588</v>
      </c>
      <c r="GH63">
        <v>-1.56195569135933</v>
      </c>
      <c r="GI63">
        <v>0.25759887408684</v>
      </c>
      <c r="GJ63">
        <v>-1</v>
      </c>
      <c r="GK63">
        <v>6.39282142857143</v>
      </c>
      <c r="GL63">
        <v>0.0802184415584461</v>
      </c>
      <c r="GM63">
        <v>0.00827832872810769</v>
      </c>
      <c r="GN63">
        <v>1</v>
      </c>
      <c r="GO63">
        <v>2</v>
      </c>
      <c r="GP63">
        <v>2</v>
      </c>
      <c r="GQ63" t="s">
        <v>442</v>
      </c>
      <c r="GR63">
        <v>3.12968</v>
      </c>
      <c r="GS63">
        <v>2.72164</v>
      </c>
      <c r="GT63">
        <v>0.0846256</v>
      </c>
      <c r="GU63">
        <v>0.0873343</v>
      </c>
      <c r="GV63">
        <v>0.120931</v>
      </c>
      <c r="GW63">
        <v>0.103272</v>
      </c>
      <c r="GX63">
        <v>33640.5</v>
      </c>
      <c r="GY63">
        <v>35688.9</v>
      </c>
      <c r="GZ63">
        <v>33319.1</v>
      </c>
      <c r="HA63">
        <v>35475.4</v>
      </c>
      <c r="HB63">
        <v>41592</v>
      </c>
      <c r="HC63">
        <v>45770.8</v>
      </c>
      <c r="HD63">
        <v>52165.8</v>
      </c>
      <c r="HE63">
        <v>56793.7</v>
      </c>
      <c r="HF63">
        <v>1.80107</v>
      </c>
      <c r="HG63">
        <v>1.67</v>
      </c>
      <c r="HH63">
        <v>-0.00660866</v>
      </c>
      <c r="HI63">
        <v>0</v>
      </c>
      <c r="HJ63">
        <v>36.0977</v>
      </c>
      <c r="HK63">
        <v>999.9</v>
      </c>
      <c r="HL63">
        <v>54.902</v>
      </c>
      <c r="HM63">
        <v>29.9</v>
      </c>
      <c r="HN63">
        <v>25.6533</v>
      </c>
      <c r="HO63">
        <v>55.0799</v>
      </c>
      <c r="HP63">
        <v>43.2853</v>
      </c>
      <c r="HQ63">
        <v>1</v>
      </c>
      <c r="HR63">
        <v>1.18534</v>
      </c>
      <c r="HS63">
        <v>3.05895</v>
      </c>
      <c r="HT63">
        <v>20.1064</v>
      </c>
      <c r="HU63">
        <v>5.19168</v>
      </c>
      <c r="HV63">
        <v>12.0099</v>
      </c>
      <c r="HW63">
        <v>4.97175</v>
      </c>
      <c r="HX63">
        <v>3.295</v>
      </c>
      <c r="HY63">
        <v>9999</v>
      </c>
      <c r="HZ63">
        <v>999.9</v>
      </c>
      <c r="IA63">
        <v>9999</v>
      </c>
      <c r="IB63">
        <v>9999</v>
      </c>
      <c r="IC63">
        <v>1.86324</v>
      </c>
      <c r="ID63">
        <v>1.868</v>
      </c>
      <c r="IE63">
        <v>1.86783</v>
      </c>
      <c r="IF63">
        <v>1.86903</v>
      </c>
      <c r="IG63">
        <v>1.86981</v>
      </c>
      <c r="IH63">
        <v>1.86584</v>
      </c>
      <c r="II63">
        <v>1.86691</v>
      </c>
      <c r="IJ63">
        <v>1.86838</v>
      </c>
      <c r="IK63">
        <v>5</v>
      </c>
      <c r="IL63">
        <v>0</v>
      </c>
      <c r="IM63">
        <v>0</v>
      </c>
      <c r="IN63">
        <v>0</v>
      </c>
      <c r="IO63" t="s">
        <v>443</v>
      </c>
      <c r="IP63" t="s">
        <v>444</v>
      </c>
      <c r="IQ63" t="s">
        <v>445</v>
      </c>
      <c r="IR63" t="s">
        <v>445</v>
      </c>
      <c r="IS63" t="s">
        <v>445</v>
      </c>
      <c r="IT63" t="s">
        <v>445</v>
      </c>
      <c r="IU63">
        <v>0</v>
      </c>
      <c r="IV63">
        <v>100</v>
      </c>
      <c r="IW63">
        <v>100</v>
      </c>
      <c r="IX63">
        <v>2.398</v>
      </c>
      <c r="IY63">
        <v>0.4352</v>
      </c>
      <c r="IZ63">
        <v>0.833350075594679</v>
      </c>
      <c r="JA63">
        <v>0.00412825224050377</v>
      </c>
      <c r="JB63">
        <v>-7.34426573386615e-07</v>
      </c>
      <c r="JC63">
        <v>2.46800082545482e-10</v>
      </c>
      <c r="JD63">
        <v>0.435209846415365</v>
      </c>
      <c r="JE63">
        <v>0</v>
      </c>
      <c r="JF63">
        <v>0</v>
      </c>
      <c r="JG63">
        <v>0</v>
      </c>
      <c r="JH63">
        <v>5</v>
      </c>
      <c r="JI63">
        <v>2250</v>
      </c>
      <c r="JJ63">
        <v>0</v>
      </c>
      <c r="JK63">
        <v>24</v>
      </c>
      <c r="JL63">
        <v>29348452.8</v>
      </c>
      <c r="JM63">
        <v>29348452.8</v>
      </c>
      <c r="JN63">
        <v>1.01929</v>
      </c>
      <c r="JO63">
        <v>2.62695</v>
      </c>
      <c r="JP63">
        <v>1.54785</v>
      </c>
      <c r="JQ63">
        <v>2.31567</v>
      </c>
      <c r="JR63">
        <v>1.64551</v>
      </c>
      <c r="JS63">
        <v>2.37427</v>
      </c>
      <c r="JT63">
        <v>33.9187</v>
      </c>
      <c r="JU63">
        <v>24.1926</v>
      </c>
      <c r="JV63">
        <v>18</v>
      </c>
      <c r="JW63">
        <v>500.956</v>
      </c>
      <c r="JX63">
        <v>408.619</v>
      </c>
      <c r="JY63">
        <v>31.6639</v>
      </c>
      <c r="JZ63">
        <v>41.3705</v>
      </c>
      <c r="KA63">
        <v>30</v>
      </c>
      <c r="KB63">
        <v>40.9968</v>
      </c>
      <c r="KC63">
        <v>40.882</v>
      </c>
      <c r="KD63">
        <v>20.4252</v>
      </c>
      <c r="KE63">
        <v>0</v>
      </c>
      <c r="KF63">
        <v>100</v>
      </c>
      <c r="KG63">
        <v>31.8041</v>
      </c>
      <c r="KH63">
        <v>420</v>
      </c>
      <c r="KI63">
        <v>31.1793</v>
      </c>
      <c r="KJ63">
        <v>94.6929</v>
      </c>
      <c r="KK63">
        <v>91.9583</v>
      </c>
    </row>
    <row r="64" spans="1:297">
      <c r="A64">
        <v>48</v>
      </c>
      <c r="B64">
        <v>1760907301</v>
      </c>
      <c r="C64">
        <v>13536.9000000954</v>
      </c>
      <c r="D64" t="s">
        <v>645</v>
      </c>
      <c r="E64" t="s">
        <v>646</v>
      </c>
      <c r="F64">
        <v>5</v>
      </c>
      <c r="G64" t="s">
        <v>638</v>
      </c>
      <c r="H64" t="s">
        <v>436</v>
      </c>
      <c r="I64">
        <v>1760907292.5</v>
      </c>
      <c r="J64">
        <f>(K64)/1000</f>
        <v>0</v>
      </c>
      <c r="K64">
        <f>IF(DP64, AN64, AH64)</f>
        <v>0</v>
      </c>
      <c r="L64">
        <f>IF(DP64, AI64, AG64)</f>
        <v>0</v>
      </c>
      <c r="M64">
        <f>DR64 - IF(AU64&gt;1, L64*DL64*100.0/(AW64), 0)</f>
        <v>0</v>
      </c>
      <c r="N64">
        <f>((T64-J64/2)*M64-L64)/(T64+J64/2)</f>
        <v>0</v>
      </c>
      <c r="O64">
        <f>N64*(DY64+DZ64)/1000.0</f>
        <v>0</v>
      </c>
      <c r="P64">
        <f>(DR64 - IF(AU64&gt;1, L64*DL64*100.0/(AW64), 0))*(DY64+DZ64)/1000.0</f>
        <v>0</v>
      </c>
      <c r="Q64">
        <f>2.0/((1/S64-1/R64)+SIGN(S64)*SQRT((1/S64-1/R64)*(1/S64-1/R64) + 4*DM64/((DM64+1)*(DM64+1))*(2*1/S64*1/R64-1/R64*1/R64)))</f>
        <v>0</v>
      </c>
      <c r="R64">
        <f>IF(LEFT(DN64,1)&lt;&gt;"0",IF(LEFT(DN64,1)="1",3.0,DO64),$D$5+$E$5*(EF64*DY64/($K$5*1000))+$F$5*(EF64*DY64/($K$5*1000))*MAX(MIN(DL64,$J$5),$I$5)*MAX(MIN(DL64,$J$5),$I$5)+$G$5*MAX(MIN(DL64,$J$5),$I$5)*(EF64*DY64/($K$5*1000))+$H$5*(EF64*DY64/($K$5*1000))*(EF64*DY64/($K$5*1000)))</f>
        <v>0</v>
      </c>
      <c r="S64">
        <f>J64*(1000-(1000*0.61365*exp(17.502*W64/(240.97+W64))/(DY64+DZ64)+DT64)/2)/(1000*0.61365*exp(17.502*W64/(240.97+W64))/(DY64+DZ64)-DT64)</f>
        <v>0</v>
      </c>
      <c r="T64">
        <f>1/((DM64+1)/(Q64/1.6)+1/(R64/1.37)) + DM64/((DM64+1)/(Q64/1.6) + DM64/(R64/1.37))</f>
        <v>0</v>
      </c>
      <c r="U64">
        <f>(DH64*DK64)</f>
        <v>0</v>
      </c>
      <c r="V64">
        <f>(EA64+(U64+2*0.95*5.67E-8*(((EA64+$B$7)+273)^4-(EA64+273)^4)-44100*J64)/(1.84*29.3*R64+8*0.95*5.67E-8*(EA64+273)^3))</f>
        <v>0</v>
      </c>
      <c r="W64">
        <f>($C$7*EB64+$D$7*EC64+$E$7*V64)</f>
        <v>0</v>
      </c>
      <c r="X64">
        <f>0.61365*exp(17.502*W64/(240.97+W64))</f>
        <v>0</v>
      </c>
      <c r="Y64">
        <f>(Z64/AA64*100)</f>
        <v>0</v>
      </c>
      <c r="Z64">
        <f>DT64*(DY64+DZ64)/1000</f>
        <v>0</v>
      </c>
      <c r="AA64">
        <f>0.61365*exp(17.502*EA64/(240.97+EA64))</f>
        <v>0</v>
      </c>
      <c r="AB64">
        <f>(X64-DT64*(DY64+DZ64)/1000)</f>
        <v>0</v>
      </c>
      <c r="AC64">
        <f>(-J64*44100)</f>
        <v>0</v>
      </c>
      <c r="AD64">
        <f>2*29.3*R64*0.92*(EA64-W64)</f>
        <v>0</v>
      </c>
      <c r="AE64">
        <f>2*0.95*5.67E-8*(((EA64+$B$7)+273)^4-(W64+273)^4)</f>
        <v>0</v>
      </c>
      <c r="AF64">
        <f>U64+AE64+AC64+AD64</f>
        <v>0</v>
      </c>
      <c r="AG64">
        <f>DX64*AU64*(DS64-DR64*(1000-AU64*DU64)/(1000-AU64*DT64))/(100*DL64)</f>
        <v>0</v>
      </c>
      <c r="AH64">
        <f>1000*DX64*AU64*(DT64-DU64)/(100*DL64*(1000-AU64*DT64))</f>
        <v>0</v>
      </c>
      <c r="AI64">
        <f>(AJ64 - AK64 - DY64*1E3/(8.314*(EA64+273.15)) * AM64/DX64 * AL64) * DX64/(100*DL64) * (1000 - DU64)/1000</f>
        <v>0</v>
      </c>
      <c r="AJ64">
        <v>430.605465962685</v>
      </c>
      <c r="AK64">
        <v>419.341775757576</v>
      </c>
      <c r="AL64">
        <v>-6.8620243087564e-06</v>
      </c>
      <c r="AM64">
        <v>64.9829941516092</v>
      </c>
      <c r="AN64">
        <f>(AP64 - AO64 + DY64*1E3/(8.314*(EA64+273.15)) * AR64/DX64 * AQ64) * DX64/(100*DL64) * 1000/(1000 - AP64)</f>
        <v>0</v>
      </c>
      <c r="AO64">
        <v>24.6379789822377</v>
      </c>
      <c r="AP64">
        <v>31.1779206060606</v>
      </c>
      <c r="AQ64">
        <v>7.80903310973453e-06</v>
      </c>
      <c r="AR64">
        <v>117.40435344584</v>
      </c>
      <c r="AS64">
        <v>0</v>
      </c>
      <c r="AT64">
        <v>0</v>
      </c>
      <c r="AU64">
        <f>IF(AS64*$H$13&gt;=AW64,1.0,(AW64/(AW64-AS64*$H$13)))</f>
        <v>0</v>
      </c>
      <c r="AV64">
        <f>(AU64-1)*100</f>
        <v>0</v>
      </c>
      <c r="AW64">
        <f>MAX(0,($B$13+$C$13*EF64)/(1+$D$13*EF64)*DY64/(EA64+273)*$E$13)</f>
        <v>0</v>
      </c>
      <c r="AX64" t="s">
        <v>437</v>
      </c>
      <c r="AY64">
        <v>5082.33</v>
      </c>
      <c r="AZ64">
        <v>690.032</v>
      </c>
      <c r="BA64">
        <v>1612.68</v>
      </c>
      <c r="BB64">
        <f>1-AZ64/BA64</f>
        <v>0</v>
      </c>
      <c r="BC64">
        <v>-9.7270689171713</v>
      </c>
      <c r="BD64" t="s">
        <v>647</v>
      </c>
      <c r="BE64">
        <v>5132.7</v>
      </c>
      <c r="BF64">
        <v>1441.13461538462</v>
      </c>
      <c r="BG64">
        <v>1847.09497341946</v>
      </c>
      <c r="BH64">
        <f>1-BF64/BG64</f>
        <v>0</v>
      </c>
      <c r="BI64">
        <v>0.5</v>
      </c>
      <c r="BJ64">
        <f>DI64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648</v>
      </c>
      <c r="BQ64">
        <v>822.53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BZ64">
        <v>190</v>
      </c>
      <c r="CA64">
        <v>290</v>
      </c>
      <c r="CB64">
        <v>1736.71</v>
      </c>
      <c r="CC64">
        <v>205</v>
      </c>
      <c r="CD64">
        <v>5132.7</v>
      </c>
      <c r="CE64">
        <v>1736.16</v>
      </c>
      <c r="CF64">
        <v>0.55</v>
      </c>
      <c r="CG64">
        <v>300</v>
      </c>
      <c r="CH64">
        <v>23.8</v>
      </c>
      <c r="CI64">
        <v>1847.09497341946</v>
      </c>
      <c r="CJ64">
        <v>2.47795739858577</v>
      </c>
      <c r="CK64">
        <v>-56.9377115119089</v>
      </c>
      <c r="CL64">
        <v>1.14424286824811</v>
      </c>
      <c r="CM64">
        <v>0.988818220981574</v>
      </c>
      <c r="CN64">
        <v>-0.00323663359288098</v>
      </c>
      <c r="CO64">
        <v>290</v>
      </c>
      <c r="CP64">
        <v>1733.94</v>
      </c>
      <c r="CQ64">
        <v>625</v>
      </c>
      <c r="CR64">
        <v>5130.25</v>
      </c>
      <c r="CS64">
        <v>1736.11</v>
      </c>
      <c r="CT64">
        <v>-2.17</v>
      </c>
      <c r="DH64">
        <f>$B$11*EG64+$C$11*EH64+$F$11*ES64*(1-EV64)</f>
        <v>0</v>
      </c>
      <c r="DI64">
        <f>DH64*DJ64</f>
        <v>0</v>
      </c>
      <c r="DJ64">
        <f>($B$11*$D$9+$C$11*$D$9+$F$11*((FF64+EX64)/MAX(FF64+EX64+FG64, 0.1)*$I$9+FG64/MAX(FF64+EX64+FG64, 0.1)*$J$9))/($B$11+$C$11+$F$11)</f>
        <v>0</v>
      </c>
      <c r="DK64">
        <f>($B$11*$K$9+$C$11*$K$9+$F$11*((FF64+EX64)/MAX(FF64+EX64+FG64, 0.1)*$P$9+FG64/MAX(FF64+EX64+FG64, 0.1)*$Q$9))/($B$11+$C$11+$F$11)</f>
        <v>0</v>
      </c>
      <c r="DL64">
        <v>3.21</v>
      </c>
      <c r="DM64">
        <v>0.5</v>
      </c>
      <c r="DN64" t="s">
        <v>440</v>
      </c>
      <c r="DO64">
        <v>2</v>
      </c>
      <c r="DP64" t="b">
        <v>1</v>
      </c>
      <c r="DQ64">
        <v>1760907292.5</v>
      </c>
      <c r="DR64">
        <v>406.2659375</v>
      </c>
      <c r="DS64">
        <v>420.0029375</v>
      </c>
      <c r="DT64">
        <v>31.1750375</v>
      </c>
      <c r="DU64">
        <v>24.64549375</v>
      </c>
      <c r="DV64">
        <v>403.868875</v>
      </c>
      <c r="DW64">
        <v>30.7398375</v>
      </c>
      <c r="DX64">
        <v>499.996375</v>
      </c>
      <c r="DY64">
        <v>90.6666875</v>
      </c>
      <c r="DZ64">
        <v>0.04374991875</v>
      </c>
      <c r="EA64">
        <v>36.72688125</v>
      </c>
      <c r="EB64">
        <v>35.9835125</v>
      </c>
      <c r="EC64">
        <v>999.9</v>
      </c>
      <c r="ED64">
        <v>0</v>
      </c>
      <c r="EE64">
        <v>0</v>
      </c>
      <c r="EF64">
        <v>9993.316875</v>
      </c>
      <c r="EG64">
        <v>0</v>
      </c>
      <c r="EH64">
        <v>1223.929375</v>
      </c>
      <c r="EI64">
        <v>-13.73683125</v>
      </c>
      <c r="EJ64">
        <v>419.338875</v>
      </c>
      <c r="EK64">
        <v>430.61575</v>
      </c>
      <c r="EL64">
        <v>6.529545625</v>
      </c>
      <c r="EM64">
        <v>420.0029375</v>
      </c>
      <c r="EN64">
        <v>24.64549375</v>
      </c>
      <c r="EO64">
        <v>2.826536875</v>
      </c>
      <c r="EP64">
        <v>2.234525625</v>
      </c>
      <c r="EQ64">
        <v>23.0399</v>
      </c>
      <c r="ER64">
        <v>19.2120125</v>
      </c>
      <c r="ES64">
        <v>1199.995</v>
      </c>
      <c r="ET64">
        <v>0.9669915</v>
      </c>
      <c r="EU64">
        <v>0.033008775</v>
      </c>
      <c r="EV64">
        <v>0</v>
      </c>
      <c r="EW64">
        <v>1441.15875</v>
      </c>
      <c r="EX64">
        <v>5.00059</v>
      </c>
      <c r="EY64">
        <v>17691.46875</v>
      </c>
      <c r="EZ64">
        <v>10358.64375</v>
      </c>
      <c r="FA64">
        <v>50.492125</v>
      </c>
      <c r="FB64">
        <v>52.125</v>
      </c>
      <c r="FC64">
        <v>50.644375</v>
      </c>
      <c r="FD64">
        <v>51.667625</v>
      </c>
      <c r="FE64">
        <v>51.57775</v>
      </c>
      <c r="FF64">
        <v>1155.545</v>
      </c>
      <c r="FG64">
        <v>39.449375</v>
      </c>
      <c r="FH64">
        <v>0</v>
      </c>
      <c r="FI64">
        <v>129.200000047684</v>
      </c>
      <c r="FJ64">
        <v>0</v>
      </c>
      <c r="FK64">
        <v>1441.13461538462</v>
      </c>
      <c r="FL64">
        <v>-3.89675213789665</v>
      </c>
      <c r="FM64">
        <v>-40.5196582025029</v>
      </c>
      <c r="FN64">
        <v>17690.7923076923</v>
      </c>
      <c r="FO64">
        <v>15</v>
      </c>
      <c r="FP64">
        <v>0</v>
      </c>
      <c r="FQ64" t="s">
        <v>441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-13.7354619047619</v>
      </c>
      <c r="GD64">
        <v>0.00520519480518542</v>
      </c>
      <c r="GE64">
        <v>0.0267006237877993</v>
      </c>
      <c r="GF64">
        <v>1</v>
      </c>
      <c r="GG64">
        <v>1441.28147058824</v>
      </c>
      <c r="GH64">
        <v>-2.71245225245912</v>
      </c>
      <c r="GI64">
        <v>0.342723798526029</v>
      </c>
      <c r="GJ64">
        <v>-1</v>
      </c>
      <c r="GK64">
        <v>6.52630857142857</v>
      </c>
      <c r="GL64">
        <v>0.0853620779220788</v>
      </c>
      <c r="GM64">
        <v>0.00870888778952938</v>
      </c>
      <c r="GN64">
        <v>1</v>
      </c>
      <c r="GO64">
        <v>2</v>
      </c>
      <c r="GP64">
        <v>2</v>
      </c>
      <c r="GQ64" t="s">
        <v>442</v>
      </c>
      <c r="GR64">
        <v>3.12963</v>
      </c>
      <c r="GS64">
        <v>2.722</v>
      </c>
      <c r="GT64">
        <v>0.0845716</v>
      </c>
      <c r="GU64">
        <v>0.0872818</v>
      </c>
      <c r="GV64">
        <v>0.1208</v>
      </c>
      <c r="GW64">
        <v>0.102754</v>
      </c>
      <c r="GX64">
        <v>33631</v>
      </c>
      <c r="GY64">
        <v>35674.1</v>
      </c>
      <c r="GZ64">
        <v>33308.8</v>
      </c>
      <c r="HA64">
        <v>35459.7</v>
      </c>
      <c r="HB64">
        <v>41589.5</v>
      </c>
      <c r="HC64">
        <v>45779</v>
      </c>
      <c r="HD64">
        <v>52153.2</v>
      </c>
      <c r="HE64">
        <v>56771</v>
      </c>
      <c r="HF64">
        <v>1.79893</v>
      </c>
      <c r="HG64">
        <v>1.66788</v>
      </c>
      <c r="HH64">
        <v>-0.00589341</v>
      </c>
      <c r="HI64">
        <v>0</v>
      </c>
      <c r="HJ64">
        <v>36.0945</v>
      </c>
      <c r="HK64">
        <v>999.9</v>
      </c>
      <c r="HL64">
        <v>54.755</v>
      </c>
      <c r="HM64">
        <v>29.86</v>
      </c>
      <c r="HN64">
        <v>25.5232</v>
      </c>
      <c r="HO64">
        <v>55.1299</v>
      </c>
      <c r="HP64">
        <v>43.0409</v>
      </c>
      <c r="HQ64">
        <v>1</v>
      </c>
      <c r="HR64">
        <v>1.20314</v>
      </c>
      <c r="HS64">
        <v>3.40163</v>
      </c>
      <c r="HT64">
        <v>20.1006</v>
      </c>
      <c r="HU64">
        <v>5.19303</v>
      </c>
      <c r="HV64">
        <v>12.0099</v>
      </c>
      <c r="HW64">
        <v>4.9734</v>
      </c>
      <c r="HX64">
        <v>3.295</v>
      </c>
      <c r="HY64">
        <v>9999</v>
      </c>
      <c r="HZ64">
        <v>999.9</v>
      </c>
      <c r="IA64">
        <v>9999</v>
      </c>
      <c r="IB64">
        <v>9999</v>
      </c>
      <c r="IC64">
        <v>1.86322</v>
      </c>
      <c r="ID64">
        <v>1.86799</v>
      </c>
      <c r="IE64">
        <v>1.8678</v>
      </c>
      <c r="IF64">
        <v>1.86904</v>
      </c>
      <c r="IG64">
        <v>1.86981</v>
      </c>
      <c r="IH64">
        <v>1.86584</v>
      </c>
      <c r="II64">
        <v>1.86691</v>
      </c>
      <c r="IJ64">
        <v>1.86837</v>
      </c>
      <c r="IK64">
        <v>5</v>
      </c>
      <c r="IL64">
        <v>0</v>
      </c>
      <c r="IM64">
        <v>0</v>
      </c>
      <c r="IN64">
        <v>0</v>
      </c>
      <c r="IO64" t="s">
        <v>443</v>
      </c>
      <c r="IP64" t="s">
        <v>444</v>
      </c>
      <c r="IQ64" t="s">
        <v>445</v>
      </c>
      <c r="IR64" t="s">
        <v>445</v>
      </c>
      <c r="IS64" t="s">
        <v>445</v>
      </c>
      <c r="IT64" t="s">
        <v>445</v>
      </c>
      <c r="IU64">
        <v>0</v>
      </c>
      <c r="IV64">
        <v>100</v>
      </c>
      <c r="IW64">
        <v>100</v>
      </c>
      <c r="IX64">
        <v>2.397</v>
      </c>
      <c r="IY64">
        <v>0.4352</v>
      </c>
      <c r="IZ64">
        <v>0.833350075594679</v>
      </c>
      <c r="JA64">
        <v>0.00412825224050377</v>
      </c>
      <c r="JB64">
        <v>-7.34426573386615e-07</v>
      </c>
      <c r="JC64">
        <v>2.46800082545482e-10</v>
      </c>
      <c r="JD64">
        <v>0.435209846415365</v>
      </c>
      <c r="JE64">
        <v>0</v>
      </c>
      <c r="JF64">
        <v>0</v>
      </c>
      <c r="JG64">
        <v>0</v>
      </c>
      <c r="JH64">
        <v>5</v>
      </c>
      <c r="JI64">
        <v>2250</v>
      </c>
      <c r="JJ64">
        <v>0</v>
      </c>
      <c r="JK64">
        <v>24</v>
      </c>
      <c r="JL64">
        <v>29348455</v>
      </c>
      <c r="JM64">
        <v>29348455</v>
      </c>
      <c r="JN64">
        <v>1.01929</v>
      </c>
      <c r="JO64">
        <v>2.63428</v>
      </c>
      <c r="JP64">
        <v>1.54785</v>
      </c>
      <c r="JQ64">
        <v>2.31567</v>
      </c>
      <c r="JR64">
        <v>1.64673</v>
      </c>
      <c r="JS64">
        <v>2.2876</v>
      </c>
      <c r="JT64">
        <v>33.8509</v>
      </c>
      <c r="JU64">
        <v>24.1838</v>
      </c>
      <c r="JV64">
        <v>18</v>
      </c>
      <c r="JW64">
        <v>501.106</v>
      </c>
      <c r="JX64">
        <v>408.686</v>
      </c>
      <c r="JY64">
        <v>31.8564</v>
      </c>
      <c r="JZ64">
        <v>41.5866</v>
      </c>
      <c r="KA64">
        <v>30.0011</v>
      </c>
      <c r="KB64">
        <v>41.2345</v>
      </c>
      <c r="KC64">
        <v>41.1231</v>
      </c>
      <c r="KD64">
        <v>20.429</v>
      </c>
      <c r="KE64">
        <v>0</v>
      </c>
      <c r="KF64">
        <v>100</v>
      </c>
      <c r="KG64">
        <v>31.8372</v>
      </c>
      <c r="KH64">
        <v>420</v>
      </c>
      <c r="KI64">
        <v>31.1793</v>
      </c>
      <c r="KJ64">
        <v>94.6675</v>
      </c>
      <c r="KK64">
        <v>91.92</v>
      </c>
    </row>
    <row r="65" spans="1:297">
      <c r="A65">
        <v>49</v>
      </c>
      <c r="B65">
        <v>1760907619</v>
      </c>
      <c r="C65">
        <v>13854.9000000954</v>
      </c>
      <c r="D65" t="s">
        <v>649</v>
      </c>
      <c r="E65" t="s">
        <v>650</v>
      </c>
      <c r="F65">
        <v>5</v>
      </c>
      <c r="G65" t="s">
        <v>651</v>
      </c>
      <c r="H65" t="s">
        <v>436</v>
      </c>
      <c r="I65">
        <v>1760907611</v>
      </c>
      <c r="J65">
        <f>(K65)/1000</f>
        <v>0</v>
      </c>
      <c r="K65">
        <f>IF(DP65, AN65, AH65)</f>
        <v>0</v>
      </c>
      <c r="L65">
        <f>IF(DP65, AI65, AG65)</f>
        <v>0</v>
      </c>
      <c r="M65">
        <f>DR65 - IF(AU65&gt;1, L65*DL65*100.0/(AW65), 0)</f>
        <v>0</v>
      </c>
      <c r="N65">
        <f>((T65-J65/2)*M65-L65)/(T65+J65/2)</f>
        <v>0</v>
      </c>
      <c r="O65">
        <f>N65*(DY65+DZ65)/1000.0</f>
        <v>0</v>
      </c>
      <c r="P65">
        <f>(DR65 - IF(AU65&gt;1, L65*DL65*100.0/(AW65), 0))*(DY65+DZ65)/1000.0</f>
        <v>0</v>
      </c>
      <c r="Q65">
        <f>2.0/((1/S65-1/R65)+SIGN(S65)*SQRT((1/S65-1/R65)*(1/S65-1/R65) + 4*DM65/((DM65+1)*(DM65+1))*(2*1/S65*1/R65-1/R65*1/R65)))</f>
        <v>0</v>
      </c>
      <c r="R65">
        <f>IF(LEFT(DN65,1)&lt;&gt;"0",IF(LEFT(DN65,1)="1",3.0,DO65),$D$5+$E$5*(EF65*DY65/($K$5*1000))+$F$5*(EF65*DY65/($K$5*1000))*MAX(MIN(DL65,$J$5),$I$5)*MAX(MIN(DL65,$J$5),$I$5)+$G$5*MAX(MIN(DL65,$J$5),$I$5)*(EF65*DY65/($K$5*1000))+$H$5*(EF65*DY65/($K$5*1000))*(EF65*DY65/($K$5*1000)))</f>
        <v>0</v>
      </c>
      <c r="S65">
        <f>J65*(1000-(1000*0.61365*exp(17.502*W65/(240.97+W65))/(DY65+DZ65)+DT65)/2)/(1000*0.61365*exp(17.502*W65/(240.97+W65))/(DY65+DZ65)-DT65)</f>
        <v>0</v>
      </c>
      <c r="T65">
        <f>1/((DM65+1)/(Q65/1.6)+1/(R65/1.37)) + DM65/((DM65+1)/(Q65/1.6) + DM65/(R65/1.37))</f>
        <v>0</v>
      </c>
      <c r="U65">
        <f>(DH65*DK65)</f>
        <v>0</v>
      </c>
      <c r="V65">
        <f>(EA65+(U65+2*0.95*5.67E-8*(((EA65+$B$7)+273)^4-(EA65+273)^4)-44100*J65)/(1.84*29.3*R65+8*0.95*5.67E-8*(EA65+273)^3))</f>
        <v>0</v>
      </c>
      <c r="W65">
        <f>($C$7*EB65+$D$7*EC65+$E$7*V65)</f>
        <v>0</v>
      </c>
      <c r="X65">
        <f>0.61365*exp(17.502*W65/(240.97+W65))</f>
        <v>0</v>
      </c>
      <c r="Y65">
        <f>(Z65/AA65*100)</f>
        <v>0</v>
      </c>
      <c r="Z65">
        <f>DT65*(DY65+DZ65)/1000</f>
        <v>0</v>
      </c>
      <c r="AA65">
        <f>0.61365*exp(17.502*EA65/(240.97+EA65))</f>
        <v>0</v>
      </c>
      <c r="AB65">
        <f>(X65-DT65*(DY65+DZ65)/1000)</f>
        <v>0</v>
      </c>
      <c r="AC65">
        <f>(-J65*44100)</f>
        <v>0</v>
      </c>
      <c r="AD65">
        <f>2*29.3*R65*0.92*(EA65-W65)</f>
        <v>0</v>
      </c>
      <c r="AE65">
        <f>2*0.95*5.67E-8*(((EA65+$B$7)+273)^4-(W65+273)^4)</f>
        <v>0</v>
      </c>
      <c r="AF65">
        <f>U65+AE65+AC65+AD65</f>
        <v>0</v>
      </c>
      <c r="AG65">
        <f>DX65*AU65*(DS65-DR65*(1000-AU65*DU65)/(1000-AU65*DT65))/(100*DL65)</f>
        <v>0</v>
      </c>
      <c r="AH65">
        <f>1000*DX65*AU65*(DT65-DU65)/(100*DL65*(1000-AU65*DT65))</f>
        <v>0</v>
      </c>
      <c r="AI65">
        <f>(AJ65 - AK65 - DY65*1E3/(8.314*(EA65+273.15)) * AM65/DX65 * AL65) * DX65/(100*DL65) * (1000 - DU65)/1000</f>
        <v>0</v>
      </c>
      <c r="AJ65">
        <v>430.504751266582</v>
      </c>
      <c r="AK65">
        <v>418.013236363636</v>
      </c>
      <c r="AL65">
        <v>-0.000161783071101986</v>
      </c>
      <c r="AM65">
        <v>64.9431894329385</v>
      </c>
      <c r="AN65">
        <f>(AP65 - AO65 + DY65*1E3/(8.314*(EA65+273.15)) * AR65/DX65 * AQ65) * DX65/(100*DL65) * 1000/(1000 - AP65)</f>
        <v>0</v>
      </c>
      <c r="AO65">
        <v>24.4973164100267</v>
      </c>
      <c r="AP65">
        <v>33.2082024242424</v>
      </c>
      <c r="AQ65">
        <v>0.0299020654628424</v>
      </c>
      <c r="AR65">
        <v>117.773948376124</v>
      </c>
      <c r="AS65">
        <v>0</v>
      </c>
      <c r="AT65">
        <v>0</v>
      </c>
      <c r="AU65">
        <f>IF(AS65*$H$13&gt;=AW65,1.0,(AW65/(AW65-AS65*$H$13)))</f>
        <v>0</v>
      </c>
      <c r="AV65">
        <f>(AU65-1)*100</f>
        <v>0</v>
      </c>
      <c r="AW65">
        <f>MAX(0,($B$13+$C$13*EF65)/(1+$D$13*EF65)*DY65/(EA65+273)*$E$13)</f>
        <v>0</v>
      </c>
      <c r="AX65" t="s">
        <v>437</v>
      </c>
      <c r="AY65">
        <v>5082.33</v>
      </c>
      <c r="AZ65">
        <v>690.032</v>
      </c>
      <c r="BA65">
        <v>1612.68</v>
      </c>
      <c r="BB65">
        <f>1-AZ65/BA65</f>
        <v>0</v>
      </c>
      <c r="BC65">
        <v>-9.7270689171713</v>
      </c>
      <c r="BD65" t="s">
        <v>652</v>
      </c>
      <c r="BE65">
        <v>5123.03</v>
      </c>
      <c r="BF65">
        <v>1432.84115384615</v>
      </c>
      <c r="BG65">
        <v>1820.29735671412</v>
      </c>
      <c r="BH65">
        <f>1-BF65/BG65</f>
        <v>0</v>
      </c>
      <c r="BI65">
        <v>0.5</v>
      </c>
      <c r="BJ65">
        <f>DI65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653</v>
      </c>
      <c r="BQ65">
        <v>773.8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BZ65">
        <v>192</v>
      </c>
      <c r="CA65">
        <v>290</v>
      </c>
      <c r="CB65">
        <v>1713.18</v>
      </c>
      <c r="CC65">
        <v>225</v>
      </c>
      <c r="CD65">
        <v>5123.03</v>
      </c>
      <c r="CE65">
        <v>1712.52</v>
      </c>
      <c r="CF65">
        <v>0.66</v>
      </c>
      <c r="CG65">
        <v>300</v>
      </c>
      <c r="CH65">
        <v>23.8</v>
      </c>
      <c r="CI65">
        <v>1820.29735671412</v>
      </c>
      <c r="CJ65">
        <v>1.96275133993343</v>
      </c>
      <c r="CK65">
        <v>-55.2122937553074</v>
      </c>
      <c r="CL65">
        <v>0.904691180194718</v>
      </c>
      <c r="CM65">
        <v>0.992538357052173</v>
      </c>
      <c r="CN65">
        <v>-0.00323081646273638</v>
      </c>
      <c r="CO65">
        <v>290</v>
      </c>
      <c r="CP65">
        <v>1710.17</v>
      </c>
      <c r="CQ65">
        <v>715</v>
      </c>
      <c r="CR65">
        <v>5120.03</v>
      </c>
      <c r="CS65">
        <v>1712.46</v>
      </c>
      <c r="CT65">
        <v>-2.29</v>
      </c>
      <c r="DH65">
        <f>$B$11*EG65+$C$11*EH65+$F$11*ES65*(1-EV65)</f>
        <v>0</v>
      </c>
      <c r="DI65">
        <f>DH65*DJ65</f>
        <v>0</v>
      </c>
      <c r="DJ65">
        <f>($B$11*$D$9+$C$11*$D$9+$F$11*((FF65+EX65)/MAX(FF65+EX65+FG65, 0.1)*$I$9+FG65/MAX(FF65+EX65+FG65, 0.1)*$J$9))/($B$11+$C$11+$F$11)</f>
        <v>0</v>
      </c>
      <c r="DK65">
        <f>($B$11*$K$9+$C$11*$K$9+$F$11*((FF65+EX65)/MAX(FF65+EX65+FG65, 0.1)*$P$9+FG65/MAX(FF65+EX65+FG65, 0.1)*$Q$9))/($B$11+$C$11+$F$11)</f>
        <v>0</v>
      </c>
      <c r="DL65">
        <v>3.21</v>
      </c>
      <c r="DM65">
        <v>0.5</v>
      </c>
      <c r="DN65" t="s">
        <v>440</v>
      </c>
      <c r="DO65">
        <v>2</v>
      </c>
      <c r="DP65" t="b">
        <v>1</v>
      </c>
      <c r="DQ65">
        <v>1760907611</v>
      </c>
      <c r="DR65">
        <v>404.164333333333</v>
      </c>
      <c r="DS65">
        <v>419.9906</v>
      </c>
      <c r="DT65">
        <v>33.1517533333333</v>
      </c>
      <c r="DU65">
        <v>24.4974933333333</v>
      </c>
      <c r="DV65">
        <v>401.774733333333</v>
      </c>
      <c r="DW65">
        <v>32.7165533333333</v>
      </c>
      <c r="DX65">
        <v>500.078933333333</v>
      </c>
      <c r="DY65">
        <v>90.66124</v>
      </c>
      <c r="DZ65">
        <v>0.0454759133333333</v>
      </c>
      <c r="EA65">
        <v>36.9070533333333</v>
      </c>
      <c r="EB65">
        <v>35.9773733333333</v>
      </c>
      <c r="EC65">
        <v>999.9</v>
      </c>
      <c r="ED65">
        <v>0</v>
      </c>
      <c r="EE65">
        <v>0</v>
      </c>
      <c r="EF65">
        <v>10018.7146666667</v>
      </c>
      <c r="EG65">
        <v>0</v>
      </c>
      <c r="EH65">
        <v>1233.69</v>
      </c>
      <c r="EI65">
        <v>-15.82626</v>
      </c>
      <c r="EJ65">
        <v>418.022533333333</v>
      </c>
      <c r="EK65">
        <v>430.5376</v>
      </c>
      <c r="EL65">
        <v>8.65426466666667</v>
      </c>
      <c r="EM65">
        <v>419.9906</v>
      </c>
      <c r="EN65">
        <v>24.4974933333333</v>
      </c>
      <c r="EO65">
        <v>3.00558066666667</v>
      </c>
      <c r="EP65">
        <v>2.22097333333333</v>
      </c>
      <c r="EQ65">
        <v>24.0588466666667</v>
      </c>
      <c r="ER65">
        <v>19.1144133333333</v>
      </c>
      <c r="ES65">
        <v>1200.00066666667</v>
      </c>
      <c r="ET65">
        <v>0.967002</v>
      </c>
      <c r="EU65">
        <v>0.0329983</v>
      </c>
      <c r="EV65">
        <v>0</v>
      </c>
      <c r="EW65">
        <v>1432.882</v>
      </c>
      <c r="EX65">
        <v>5.00059</v>
      </c>
      <c r="EY65">
        <v>17672.7666666667</v>
      </c>
      <c r="EZ65">
        <v>10358.7266666667</v>
      </c>
      <c r="FA65">
        <v>50.8915333333333</v>
      </c>
      <c r="FB65">
        <v>52.437</v>
      </c>
      <c r="FC65">
        <v>51.0124</v>
      </c>
      <c r="FD65">
        <v>52.125</v>
      </c>
      <c r="FE65">
        <v>52.062</v>
      </c>
      <c r="FF65">
        <v>1155.57066666667</v>
      </c>
      <c r="FG65">
        <v>39.43</v>
      </c>
      <c r="FH65">
        <v>0</v>
      </c>
      <c r="FI65">
        <v>314.200000047684</v>
      </c>
      <c r="FJ65">
        <v>0</v>
      </c>
      <c r="FK65">
        <v>1432.84115384615</v>
      </c>
      <c r="FL65">
        <v>-12.5507692302651</v>
      </c>
      <c r="FM65">
        <v>-139.832478721961</v>
      </c>
      <c r="FN65">
        <v>17671.9038461538</v>
      </c>
      <c r="FO65">
        <v>15</v>
      </c>
      <c r="FP65">
        <v>0</v>
      </c>
      <c r="FQ65" t="s">
        <v>441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-15.8608904761905</v>
      </c>
      <c r="GD65">
        <v>0.601215584415562</v>
      </c>
      <c r="GE65">
        <v>0.0687766218916054</v>
      </c>
      <c r="GF65">
        <v>0</v>
      </c>
      <c r="GG65">
        <v>1433.27264705882</v>
      </c>
      <c r="GH65">
        <v>-9.43728037088345</v>
      </c>
      <c r="GI65">
        <v>0.985080793412472</v>
      </c>
      <c r="GJ65">
        <v>-1</v>
      </c>
      <c r="GK65">
        <v>8.69573857142857</v>
      </c>
      <c r="GL65">
        <v>-0.62296207792206</v>
      </c>
      <c r="GM65">
        <v>0.0771125502901107</v>
      </c>
      <c r="GN65">
        <v>0</v>
      </c>
      <c r="GO65">
        <v>0</v>
      </c>
      <c r="GP65">
        <v>2</v>
      </c>
      <c r="GQ65" t="s">
        <v>654</v>
      </c>
      <c r="GR65">
        <v>3.12966</v>
      </c>
      <c r="GS65">
        <v>2.72267</v>
      </c>
      <c r="GT65">
        <v>0.0841521</v>
      </c>
      <c r="GU65">
        <v>0.0872008</v>
      </c>
      <c r="GV65">
        <v>0.126228</v>
      </c>
      <c r="GW65">
        <v>0.102254</v>
      </c>
      <c r="GX65">
        <v>33628.8</v>
      </c>
      <c r="GY65">
        <v>35652.9</v>
      </c>
      <c r="GZ65">
        <v>33293</v>
      </c>
      <c r="HA65">
        <v>35437.3</v>
      </c>
      <c r="HB65">
        <v>41327</v>
      </c>
      <c r="HC65">
        <v>45778.8</v>
      </c>
      <c r="HD65">
        <v>52133.7</v>
      </c>
      <c r="HE65">
        <v>56738.8</v>
      </c>
      <c r="HF65">
        <v>1.7981</v>
      </c>
      <c r="HG65">
        <v>1.66418</v>
      </c>
      <c r="HH65">
        <v>-0.0425316</v>
      </c>
      <c r="HI65">
        <v>0</v>
      </c>
      <c r="HJ65">
        <v>36.6727</v>
      </c>
      <c r="HK65">
        <v>999.9</v>
      </c>
      <c r="HL65">
        <v>54.731</v>
      </c>
      <c r="HM65">
        <v>29.759</v>
      </c>
      <c r="HN65">
        <v>25.3642</v>
      </c>
      <c r="HO65">
        <v>55.2799</v>
      </c>
      <c r="HP65">
        <v>43.2973</v>
      </c>
      <c r="HQ65">
        <v>1</v>
      </c>
      <c r="HR65">
        <v>1.22637</v>
      </c>
      <c r="HS65">
        <v>1.05609</v>
      </c>
      <c r="HT65">
        <v>20.128</v>
      </c>
      <c r="HU65">
        <v>5.19303</v>
      </c>
      <c r="HV65">
        <v>12.0099</v>
      </c>
      <c r="HW65">
        <v>4.97305</v>
      </c>
      <c r="HX65">
        <v>3.295</v>
      </c>
      <c r="HY65">
        <v>9999</v>
      </c>
      <c r="HZ65">
        <v>999.9</v>
      </c>
      <c r="IA65">
        <v>9999</v>
      </c>
      <c r="IB65">
        <v>9999</v>
      </c>
      <c r="IC65">
        <v>1.86325</v>
      </c>
      <c r="ID65">
        <v>1.86805</v>
      </c>
      <c r="IE65">
        <v>1.86782</v>
      </c>
      <c r="IF65">
        <v>1.86905</v>
      </c>
      <c r="IG65">
        <v>1.86981</v>
      </c>
      <c r="IH65">
        <v>1.86584</v>
      </c>
      <c r="II65">
        <v>1.86692</v>
      </c>
      <c r="IJ65">
        <v>1.86842</v>
      </c>
      <c r="IK65">
        <v>5</v>
      </c>
      <c r="IL65">
        <v>0</v>
      </c>
      <c r="IM65">
        <v>0</v>
      </c>
      <c r="IN65">
        <v>0</v>
      </c>
      <c r="IO65" t="s">
        <v>443</v>
      </c>
      <c r="IP65" t="s">
        <v>444</v>
      </c>
      <c r="IQ65" t="s">
        <v>445</v>
      </c>
      <c r="IR65" t="s">
        <v>445</v>
      </c>
      <c r="IS65" t="s">
        <v>445</v>
      </c>
      <c r="IT65" t="s">
        <v>445</v>
      </c>
      <c r="IU65">
        <v>0</v>
      </c>
      <c r="IV65">
        <v>100</v>
      </c>
      <c r="IW65">
        <v>100</v>
      </c>
      <c r="IX65">
        <v>2.389</v>
      </c>
      <c r="IY65">
        <v>0.4352</v>
      </c>
      <c r="IZ65">
        <v>0.833350075594679</v>
      </c>
      <c r="JA65">
        <v>0.00412825224050377</v>
      </c>
      <c r="JB65">
        <v>-7.34426573386615e-07</v>
      </c>
      <c r="JC65">
        <v>2.46800082545482e-10</v>
      </c>
      <c r="JD65">
        <v>0.435209846415365</v>
      </c>
      <c r="JE65">
        <v>0</v>
      </c>
      <c r="JF65">
        <v>0</v>
      </c>
      <c r="JG65">
        <v>0</v>
      </c>
      <c r="JH65">
        <v>5</v>
      </c>
      <c r="JI65">
        <v>2250</v>
      </c>
      <c r="JJ65">
        <v>0</v>
      </c>
      <c r="JK65">
        <v>24</v>
      </c>
      <c r="JL65">
        <v>29348460.3</v>
      </c>
      <c r="JM65">
        <v>29348460.3</v>
      </c>
      <c r="JN65">
        <v>1.02051</v>
      </c>
      <c r="JO65">
        <v>2.63428</v>
      </c>
      <c r="JP65">
        <v>1.54785</v>
      </c>
      <c r="JQ65">
        <v>2.31689</v>
      </c>
      <c r="JR65">
        <v>1.64673</v>
      </c>
      <c r="JS65">
        <v>2.33032</v>
      </c>
      <c r="JT65">
        <v>33.7832</v>
      </c>
      <c r="JU65">
        <v>24.1926</v>
      </c>
      <c r="JV65">
        <v>18</v>
      </c>
      <c r="JW65">
        <v>503.071</v>
      </c>
      <c r="JX65">
        <v>408.5</v>
      </c>
      <c r="JY65">
        <v>32.1476</v>
      </c>
      <c r="JZ65">
        <v>41.917</v>
      </c>
      <c r="KA65">
        <v>29.9874</v>
      </c>
      <c r="KB65">
        <v>41.599</v>
      </c>
      <c r="KC65">
        <v>41.4913</v>
      </c>
      <c r="KD65">
        <v>20.4313</v>
      </c>
      <c r="KE65">
        <v>0</v>
      </c>
      <c r="KF65">
        <v>100</v>
      </c>
      <c r="KG65">
        <v>32.0086</v>
      </c>
      <c r="KH65">
        <v>420</v>
      </c>
      <c r="KI65">
        <v>35.6443</v>
      </c>
      <c r="KJ65">
        <v>94.6284</v>
      </c>
      <c r="KK65">
        <v>91.8656</v>
      </c>
    </row>
    <row r="66" spans="1:297">
      <c r="A66">
        <v>50</v>
      </c>
      <c r="B66">
        <v>1760907782</v>
      </c>
      <c r="C66">
        <v>14017.9000000954</v>
      </c>
      <c r="D66" t="s">
        <v>655</v>
      </c>
      <c r="E66" t="s">
        <v>656</v>
      </c>
      <c r="F66">
        <v>5</v>
      </c>
      <c r="G66" t="s">
        <v>651</v>
      </c>
      <c r="H66" t="s">
        <v>436</v>
      </c>
      <c r="I66">
        <v>1760907773.5</v>
      </c>
      <c r="J66">
        <f>(K66)/1000</f>
        <v>0</v>
      </c>
      <c r="K66">
        <f>IF(DP66, AN66, AH66)</f>
        <v>0</v>
      </c>
      <c r="L66">
        <f>IF(DP66, AI66, AG66)</f>
        <v>0</v>
      </c>
      <c r="M66">
        <f>DR66 - IF(AU66&gt;1, L66*DL66*100.0/(AW66), 0)</f>
        <v>0</v>
      </c>
      <c r="N66">
        <f>((T66-J66/2)*M66-L66)/(T66+J66/2)</f>
        <v>0</v>
      </c>
      <c r="O66">
        <f>N66*(DY66+DZ66)/1000.0</f>
        <v>0</v>
      </c>
      <c r="P66">
        <f>(DR66 - IF(AU66&gt;1, L66*DL66*100.0/(AW66), 0))*(DY66+DZ66)/1000.0</f>
        <v>0</v>
      </c>
      <c r="Q66">
        <f>2.0/((1/S66-1/R66)+SIGN(S66)*SQRT((1/S66-1/R66)*(1/S66-1/R66) + 4*DM66/((DM66+1)*(DM66+1))*(2*1/S66*1/R66-1/R66*1/R66)))</f>
        <v>0</v>
      </c>
      <c r="R66">
        <f>IF(LEFT(DN66,1)&lt;&gt;"0",IF(LEFT(DN66,1)="1",3.0,DO66),$D$5+$E$5*(EF66*DY66/($K$5*1000))+$F$5*(EF66*DY66/($K$5*1000))*MAX(MIN(DL66,$J$5),$I$5)*MAX(MIN(DL66,$J$5),$I$5)+$G$5*MAX(MIN(DL66,$J$5),$I$5)*(EF66*DY66/($K$5*1000))+$H$5*(EF66*DY66/($K$5*1000))*(EF66*DY66/($K$5*1000)))</f>
        <v>0</v>
      </c>
      <c r="S66">
        <f>J66*(1000-(1000*0.61365*exp(17.502*W66/(240.97+W66))/(DY66+DZ66)+DT66)/2)/(1000*0.61365*exp(17.502*W66/(240.97+W66))/(DY66+DZ66)-DT66)</f>
        <v>0</v>
      </c>
      <c r="T66">
        <f>1/((DM66+1)/(Q66/1.6)+1/(R66/1.37)) + DM66/((DM66+1)/(Q66/1.6) + DM66/(R66/1.37))</f>
        <v>0</v>
      </c>
      <c r="U66">
        <f>(DH66*DK66)</f>
        <v>0</v>
      </c>
      <c r="V66">
        <f>(EA66+(U66+2*0.95*5.67E-8*(((EA66+$B$7)+273)^4-(EA66+273)^4)-44100*J66)/(1.84*29.3*R66+8*0.95*5.67E-8*(EA66+273)^3))</f>
        <v>0</v>
      </c>
      <c r="W66">
        <f>($C$7*EB66+$D$7*EC66+$E$7*V66)</f>
        <v>0</v>
      </c>
      <c r="X66">
        <f>0.61365*exp(17.502*W66/(240.97+W66))</f>
        <v>0</v>
      </c>
      <c r="Y66">
        <f>(Z66/AA66*100)</f>
        <v>0</v>
      </c>
      <c r="Z66">
        <f>DT66*(DY66+DZ66)/1000</f>
        <v>0</v>
      </c>
      <c r="AA66">
        <f>0.61365*exp(17.502*EA66/(240.97+EA66))</f>
        <v>0</v>
      </c>
      <c r="AB66">
        <f>(X66-DT66*(DY66+DZ66)/1000)</f>
        <v>0</v>
      </c>
      <c r="AC66">
        <f>(-J66*44100)</f>
        <v>0</v>
      </c>
      <c r="AD66">
        <f>2*29.3*R66*0.92*(EA66-W66)</f>
        <v>0</v>
      </c>
      <c r="AE66">
        <f>2*0.95*5.67E-8*(((EA66+$B$7)+273)^4-(W66+273)^4)</f>
        <v>0</v>
      </c>
      <c r="AF66">
        <f>U66+AE66+AC66+AD66</f>
        <v>0</v>
      </c>
      <c r="AG66">
        <f>DX66*AU66*(DS66-DR66*(1000-AU66*DU66)/(1000-AU66*DT66))/(100*DL66)</f>
        <v>0</v>
      </c>
      <c r="AH66">
        <f>1000*DX66*AU66*(DT66-DU66)/(100*DL66*(1000-AU66*DT66))</f>
        <v>0</v>
      </c>
      <c r="AI66">
        <f>(AJ66 - AK66 - DY66*1E3/(8.314*(EA66+273.15)) * AM66/DX66 * AL66) * DX66/(100*DL66) * (1000 - DU66)/1000</f>
        <v>0</v>
      </c>
      <c r="AJ66">
        <v>430.551837497223</v>
      </c>
      <c r="AK66">
        <v>418.388751515151</v>
      </c>
      <c r="AL66">
        <v>0.000200257963399138</v>
      </c>
      <c r="AM66">
        <v>64.9431894329385</v>
      </c>
      <c r="AN66">
        <f>(AP66 - AO66 + DY66*1E3/(8.314*(EA66+273.15)) * AR66/DX66 * AQ66) * DX66/(100*DL66) * 1000/(1000 - AP66)</f>
        <v>0</v>
      </c>
      <c r="AO66">
        <v>24.5219207891786</v>
      </c>
      <c r="AP66">
        <v>31.8262533333333</v>
      </c>
      <c r="AQ66">
        <v>-0.00169673331381228</v>
      </c>
      <c r="AR66">
        <v>117.773948376124</v>
      </c>
      <c r="AS66">
        <v>0</v>
      </c>
      <c r="AT66">
        <v>0</v>
      </c>
      <c r="AU66">
        <f>IF(AS66*$H$13&gt;=AW66,1.0,(AW66/(AW66-AS66*$H$13)))</f>
        <v>0</v>
      </c>
      <c r="AV66">
        <f>(AU66-1)*100</f>
        <v>0</v>
      </c>
      <c r="AW66">
        <f>MAX(0,($B$13+$C$13*EF66)/(1+$D$13*EF66)*DY66/(EA66+273)*$E$13)</f>
        <v>0</v>
      </c>
      <c r="AX66" t="s">
        <v>437</v>
      </c>
      <c r="AY66">
        <v>5082.33</v>
      </c>
      <c r="AZ66">
        <v>690.032</v>
      </c>
      <c r="BA66">
        <v>1612.68</v>
      </c>
      <c r="BB66">
        <f>1-AZ66/BA66</f>
        <v>0</v>
      </c>
      <c r="BC66">
        <v>-9.7270689171713</v>
      </c>
      <c r="BD66" t="s">
        <v>657</v>
      </c>
      <c r="BE66">
        <v>5123.24</v>
      </c>
      <c r="BF66">
        <v>1408.91384615385</v>
      </c>
      <c r="BG66">
        <v>1787.38201217105</v>
      </c>
      <c r="BH66">
        <f>1-BF66/BG66</f>
        <v>0</v>
      </c>
      <c r="BI66">
        <v>0.5</v>
      </c>
      <c r="BJ66">
        <f>DI66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658</v>
      </c>
      <c r="BQ66">
        <v>775.53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BZ66">
        <v>194</v>
      </c>
      <c r="CA66">
        <v>290</v>
      </c>
      <c r="CB66">
        <v>1685.2</v>
      </c>
      <c r="CC66">
        <v>165</v>
      </c>
      <c r="CD66">
        <v>5123.24</v>
      </c>
      <c r="CE66">
        <v>1684.33</v>
      </c>
      <c r="CF66">
        <v>0.87</v>
      </c>
      <c r="CG66">
        <v>300</v>
      </c>
      <c r="CH66">
        <v>23.8</v>
      </c>
      <c r="CI66">
        <v>1787.38201217105</v>
      </c>
      <c r="CJ66">
        <v>2.0671873825921</v>
      </c>
      <c r="CK66">
        <v>-52.7951035429465</v>
      </c>
      <c r="CL66">
        <v>0.95262693921013</v>
      </c>
      <c r="CM66">
        <v>0.99096610049649</v>
      </c>
      <c r="CN66">
        <v>-0.00323017374860957</v>
      </c>
      <c r="CO66">
        <v>290</v>
      </c>
      <c r="CP66">
        <v>1681.87</v>
      </c>
      <c r="CQ66">
        <v>665</v>
      </c>
      <c r="CR66">
        <v>5119.35</v>
      </c>
      <c r="CS66">
        <v>1684.25</v>
      </c>
      <c r="CT66">
        <v>-2.38</v>
      </c>
      <c r="DH66">
        <f>$B$11*EG66+$C$11*EH66+$F$11*ES66*(1-EV66)</f>
        <v>0</v>
      </c>
      <c r="DI66">
        <f>DH66*DJ66</f>
        <v>0</v>
      </c>
      <c r="DJ66">
        <f>($B$11*$D$9+$C$11*$D$9+$F$11*((FF66+EX66)/MAX(FF66+EX66+FG66, 0.1)*$I$9+FG66/MAX(FF66+EX66+FG66, 0.1)*$J$9))/($B$11+$C$11+$F$11)</f>
        <v>0</v>
      </c>
      <c r="DK66">
        <f>($B$11*$K$9+$C$11*$K$9+$F$11*((FF66+EX66)/MAX(FF66+EX66+FG66, 0.1)*$P$9+FG66/MAX(FF66+EX66+FG66, 0.1)*$Q$9))/($B$11+$C$11+$F$11)</f>
        <v>0</v>
      </c>
      <c r="DL66">
        <v>3.21</v>
      </c>
      <c r="DM66">
        <v>0.5</v>
      </c>
      <c r="DN66" t="s">
        <v>440</v>
      </c>
      <c r="DO66">
        <v>2</v>
      </c>
      <c r="DP66" t="b">
        <v>1</v>
      </c>
      <c r="DQ66">
        <v>1760907773.5</v>
      </c>
      <c r="DR66">
        <v>405.0638125</v>
      </c>
      <c r="DS66">
        <v>420.0036875</v>
      </c>
      <c r="DT66">
        <v>31.860325</v>
      </c>
      <c r="DU66">
        <v>24.52148125</v>
      </c>
      <c r="DV66">
        <v>402.671</v>
      </c>
      <c r="DW66">
        <v>31.42511875</v>
      </c>
      <c r="DX66">
        <v>499.998</v>
      </c>
      <c r="DY66">
        <v>90.6679375</v>
      </c>
      <c r="DZ66">
        <v>0.045898025</v>
      </c>
      <c r="EA66">
        <v>36.80245</v>
      </c>
      <c r="EB66">
        <v>36.04801875</v>
      </c>
      <c r="EC66">
        <v>999.9</v>
      </c>
      <c r="ED66">
        <v>0</v>
      </c>
      <c r="EE66">
        <v>0</v>
      </c>
      <c r="EF66">
        <v>10001.720625</v>
      </c>
      <c r="EG66">
        <v>0</v>
      </c>
      <c r="EH66">
        <v>1232.97875</v>
      </c>
      <c r="EI66">
        <v>-14.9398875</v>
      </c>
      <c r="EJ66">
        <v>418.3938125</v>
      </c>
      <c r="EK66">
        <v>430.5616875</v>
      </c>
      <c r="EL66">
        <v>7.338841875</v>
      </c>
      <c r="EM66">
        <v>420.0036875</v>
      </c>
      <c r="EN66">
        <v>24.52148125</v>
      </c>
      <c r="EO66">
        <v>2.888709375</v>
      </c>
      <c r="EP66">
        <v>2.22331125</v>
      </c>
      <c r="EQ66">
        <v>23.39994375</v>
      </c>
      <c r="ER66">
        <v>19.1312875</v>
      </c>
      <c r="ES66">
        <v>1200.015</v>
      </c>
      <c r="ET66">
        <v>0.9670085</v>
      </c>
      <c r="EU66">
        <v>0.03299130625</v>
      </c>
      <c r="EV66">
        <v>0</v>
      </c>
      <c r="EW66">
        <v>1409.096875</v>
      </c>
      <c r="EX66">
        <v>5.00059</v>
      </c>
      <c r="EY66">
        <v>17408.0375</v>
      </c>
      <c r="EZ66">
        <v>10358.88125</v>
      </c>
      <c r="FA66">
        <v>51.2381875</v>
      </c>
      <c r="FB66">
        <v>52.808125</v>
      </c>
      <c r="FC66">
        <v>51.38275</v>
      </c>
      <c r="FD66">
        <v>52.511625</v>
      </c>
      <c r="FE66">
        <v>52.386625</v>
      </c>
      <c r="FF66">
        <v>1155.585</v>
      </c>
      <c r="FG66">
        <v>39.424375</v>
      </c>
      <c r="FH66">
        <v>0</v>
      </c>
      <c r="FI66">
        <v>159.400000095367</v>
      </c>
      <c r="FJ66">
        <v>0</v>
      </c>
      <c r="FK66">
        <v>1408.91384615385</v>
      </c>
      <c r="FL66">
        <v>-7.10017092832158</v>
      </c>
      <c r="FM66">
        <v>-79.0427350778673</v>
      </c>
      <c r="FN66">
        <v>17406.4923076923</v>
      </c>
      <c r="FO66">
        <v>15</v>
      </c>
      <c r="FP66">
        <v>0</v>
      </c>
      <c r="FQ66" t="s">
        <v>441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-14.9412857142857</v>
      </c>
      <c r="GD66">
        <v>0.00449610389609812</v>
      </c>
      <c r="GE66">
        <v>0.0222332716294058</v>
      </c>
      <c r="GF66">
        <v>1</v>
      </c>
      <c r="GG66">
        <v>1409.46441176471</v>
      </c>
      <c r="GH66">
        <v>-7.15492742580724</v>
      </c>
      <c r="GI66">
        <v>0.744423152816872</v>
      </c>
      <c r="GJ66">
        <v>-1</v>
      </c>
      <c r="GK66">
        <v>7.35688857142857</v>
      </c>
      <c r="GL66">
        <v>-0.304298181818178</v>
      </c>
      <c r="GM66">
        <v>0.030794831552391</v>
      </c>
      <c r="GN66">
        <v>0</v>
      </c>
      <c r="GO66">
        <v>1</v>
      </c>
      <c r="GP66">
        <v>2</v>
      </c>
      <c r="GQ66" t="s">
        <v>454</v>
      </c>
      <c r="GR66">
        <v>3.12953</v>
      </c>
      <c r="GS66">
        <v>2.7241</v>
      </c>
      <c r="GT66">
        <v>0.0842561</v>
      </c>
      <c r="GU66">
        <v>0.0871562</v>
      </c>
      <c r="GV66">
        <v>0.122406</v>
      </c>
      <c r="GW66">
        <v>0.102279</v>
      </c>
      <c r="GX66">
        <v>33604.6</v>
      </c>
      <c r="GY66">
        <v>35629.2</v>
      </c>
      <c r="GZ66">
        <v>33274.4</v>
      </c>
      <c r="HA66">
        <v>35413.5</v>
      </c>
      <c r="HB66">
        <v>41484.8</v>
      </c>
      <c r="HC66">
        <v>45749.5</v>
      </c>
      <c r="HD66">
        <v>52108.8</v>
      </c>
      <c r="HE66">
        <v>56703.5</v>
      </c>
      <c r="HF66">
        <v>1.79335</v>
      </c>
      <c r="HG66">
        <v>1.66173</v>
      </c>
      <c r="HH66">
        <v>-0.0420175</v>
      </c>
      <c r="HI66">
        <v>0</v>
      </c>
      <c r="HJ66">
        <v>36.7105</v>
      </c>
      <c r="HK66">
        <v>999.9</v>
      </c>
      <c r="HL66">
        <v>54.828</v>
      </c>
      <c r="HM66">
        <v>29.719</v>
      </c>
      <c r="HN66">
        <v>25.3505</v>
      </c>
      <c r="HO66">
        <v>56.4399</v>
      </c>
      <c r="HP66">
        <v>43.1651</v>
      </c>
      <c r="HQ66">
        <v>1</v>
      </c>
      <c r="HR66">
        <v>1.27005</v>
      </c>
      <c r="HS66">
        <v>5.34232</v>
      </c>
      <c r="HT66">
        <v>20.0541</v>
      </c>
      <c r="HU66">
        <v>5.19333</v>
      </c>
      <c r="HV66">
        <v>12.0099</v>
      </c>
      <c r="HW66">
        <v>4.9734</v>
      </c>
      <c r="HX66">
        <v>3.295</v>
      </c>
      <c r="HY66">
        <v>9999</v>
      </c>
      <c r="HZ66">
        <v>999.9</v>
      </c>
      <c r="IA66">
        <v>9999</v>
      </c>
      <c r="IB66">
        <v>9999</v>
      </c>
      <c r="IC66">
        <v>1.86324</v>
      </c>
      <c r="ID66">
        <v>1.86803</v>
      </c>
      <c r="IE66">
        <v>1.86783</v>
      </c>
      <c r="IF66">
        <v>1.86905</v>
      </c>
      <c r="IG66">
        <v>1.86981</v>
      </c>
      <c r="IH66">
        <v>1.86584</v>
      </c>
      <c r="II66">
        <v>1.86691</v>
      </c>
      <c r="IJ66">
        <v>1.86838</v>
      </c>
      <c r="IK66">
        <v>5</v>
      </c>
      <c r="IL66">
        <v>0</v>
      </c>
      <c r="IM66">
        <v>0</v>
      </c>
      <c r="IN66">
        <v>0</v>
      </c>
      <c r="IO66" t="s">
        <v>443</v>
      </c>
      <c r="IP66" t="s">
        <v>444</v>
      </c>
      <c r="IQ66" t="s">
        <v>445</v>
      </c>
      <c r="IR66" t="s">
        <v>445</v>
      </c>
      <c r="IS66" t="s">
        <v>445</v>
      </c>
      <c r="IT66" t="s">
        <v>445</v>
      </c>
      <c r="IU66">
        <v>0</v>
      </c>
      <c r="IV66">
        <v>100</v>
      </c>
      <c r="IW66">
        <v>100</v>
      </c>
      <c r="IX66">
        <v>2.393</v>
      </c>
      <c r="IY66">
        <v>0.4352</v>
      </c>
      <c r="IZ66">
        <v>0.833350075594679</v>
      </c>
      <c r="JA66">
        <v>0.00412825224050377</v>
      </c>
      <c r="JB66">
        <v>-7.34426573386615e-07</v>
      </c>
      <c r="JC66">
        <v>2.46800082545482e-10</v>
      </c>
      <c r="JD66">
        <v>0.435209846415365</v>
      </c>
      <c r="JE66">
        <v>0</v>
      </c>
      <c r="JF66">
        <v>0</v>
      </c>
      <c r="JG66">
        <v>0</v>
      </c>
      <c r="JH66">
        <v>5</v>
      </c>
      <c r="JI66">
        <v>2250</v>
      </c>
      <c r="JJ66">
        <v>0</v>
      </c>
      <c r="JK66">
        <v>24</v>
      </c>
      <c r="JL66">
        <v>29348463</v>
      </c>
      <c r="JM66">
        <v>29348463</v>
      </c>
      <c r="JN66">
        <v>1.01929</v>
      </c>
      <c r="JO66">
        <v>2.63184</v>
      </c>
      <c r="JP66">
        <v>1.54785</v>
      </c>
      <c r="JQ66">
        <v>2.31689</v>
      </c>
      <c r="JR66">
        <v>1.64673</v>
      </c>
      <c r="JS66">
        <v>2.3584</v>
      </c>
      <c r="JT66">
        <v>33.8283</v>
      </c>
      <c r="JU66">
        <v>24.1663</v>
      </c>
      <c r="JV66">
        <v>18</v>
      </c>
      <c r="JW66">
        <v>501.383</v>
      </c>
      <c r="JX66">
        <v>408.314</v>
      </c>
      <c r="JY66">
        <v>30.3218</v>
      </c>
      <c r="JZ66">
        <v>42.191</v>
      </c>
      <c r="KA66">
        <v>30.0003</v>
      </c>
      <c r="KB66">
        <v>41.8397</v>
      </c>
      <c r="KC66">
        <v>41.7254</v>
      </c>
      <c r="KD66">
        <v>20.4317</v>
      </c>
      <c r="KE66">
        <v>0</v>
      </c>
      <c r="KF66">
        <v>100</v>
      </c>
      <c r="KG66">
        <v>30.3214</v>
      </c>
      <c r="KH66">
        <v>420</v>
      </c>
      <c r="KI66">
        <v>35.6443</v>
      </c>
      <c r="KJ66">
        <v>94.5802</v>
      </c>
      <c r="KK66">
        <v>91.8067</v>
      </c>
    </row>
    <row r="67" spans="1:297">
      <c r="A67">
        <v>51</v>
      </c>
      <c r="B67">
        <v>1760907927</v>
      </c>
      <c r="C67">
        <v>14162.9000000954</v>
      </c>
      <c r="D67" t="s">
        <v>659</v>
      </c>
      <c r="E67" t="s">
        <v>660</v>
      </c>
      <c r="F67">
        <v>5</v>
      </c>
      <c r="G67" t="s">
        <v>651</v>
      </c>
      <c r="H67" t="s">
        <v>436</v>
      </c>
      <c r="I67">
        <v>1760907918.5</v>
      </c>
      <c r="J67">
        <f>(K67)/1000</f>
        <v>0</v>
      </c>
      <c r="K67">
        <f>IF(DP67, AN67, AH67)</f>
        <v>0</v>
      </c>
      <c r="L67">
        <f>IF(DP67, AI67, AG67)</f>
        <v>0</v>
      </c>
      <c r="M67">
        <f>DR67 - IF(AU67&gt;1, L67*DL67*100.0/(AW67), 0)</f>
        <v>0</v>
      </c>
      <c r="N67">
        <f>((T67-J67/2)*M67-L67)/(T67+J67/2)</f>
        <v>0</v>
      </c>
      <c r="O67">
        <f>N67*(DY67+DZ67)/1000.0</f>
        <v>0</v>
      </c>
      <c r="P67">
        <f>(DR67 - IF(AU67&gt;1, L67*DL67*100.0/(AW67), 0))*(DY67+DZ67)/1000.0</f>
        <v>0</v>
      </c>
      <c r="Q67">
        <f>2.0/((1/S67-1/R67)+SIGN(S67)*SQRT((1/S67-1/R67)*(1/S67-1/R67) + 4*DM67/((DM67+1)*(DM67+1))*(2*1/S67*1/R67-1/R67*1/R67)))</f>
        <v>0</v>
      </c>
      <c r="R67">
        <f>IF(LEFT(DN67,1)&lt;&gt;"0",IF(LEFT(DN67,1)="1",3.0,DO67),$D$5+$E$5*(EF67*DY67/($K$5*1000))+$F$5*(EF67*DY67/($K$5*1000))*MAX(MIN(DL67,$J$5),$I$5)*MAX(MIN(DL67,$J$5),$I$5)+$G$5*MAX(MIN(DL67,$J$5),$I$5)*(EF67*DY67/($K$5*1000))+$H$5*(EF67*DY67/($K$5*1000))*(EF67*DY67/($K$5*1000)))</f>
        <v>0</v>
      </c>
      <c r="S67">
        <f>J67*(1000-(1000*0.61365*exp(17.502*W67/(240.97+W67))/(DY67+DZ67)+DT67)/2)/(1000*0.61365*exp(17.502*W67/(240.97+W67))/(DY67+DZ67)-DT67)</f>
        <v>0</v>
      </c>
      <c r="T67">
        <f>1/((DM67+1)/(Q67/1.6)+1/(R67/1.37)) + DM67/((DM67+1)/(Q67/1.6) + DM67/(R67/1.37))</f>
        <v>0</v>
      </c>
      <c r="U67">
        <f>(DH67*DK67)</f>
        <v>0</v>
      </c>
      <c r="V67">
        <f>(EA67+(U67+2*0.95*5.67E-8*(((EA67+$B$7)+273)^4-(EA67+273)^4)-44100*J67)/(1.84*29.3*R67+8*0.95*5.67E-8*(EA67+273)^3))</f>
        <v>0</v>
      </c>
      <c r="W67">
        <f>($C$7*EB67+$D$7*EC67+$E$7*V67)</f>
        <v>0</v>
      </c>
      <c r="X67">
        <f>0.61365*exp(17.502*W67/(240.97+W67))</f>
        <v>0</v>
      </c>
      <c r="Y67">
        <f>(Z67/AA67*100)</f>
        <v>0</v>
      </c>
      <c r="Z67">
        <f>DT67*(DY67+DZ67)/1000</f>
        <v>0</v>
      </c>
      <c r="AA67">
        <f>0.61365*exp(17.502*EA67/(240.97+EA67))</f>
        <v>0</v>
      </c>
      <c r="AB67">
        <f>(X67-DT67*(DY67+DZ67)/1000)</f>
        <v>0</v>
      </c>
      <c r="AC67">
        <f>(-J67*44100)</f>
        <v>0</v>
      </c>
      <c r="AD67">
        <f>2*29.3*R67*0.92*(EA67-W67)</f>
        <v>0</v>
      </c>
      <c r="AE67">
        <f>2*0.95*5.67E-8*(((EA67+$B$7)+273)^4-(W67+273)^4)</f>
        <v>0</v>
      </c>
      <c r="AF67">
        <f>U67+AE67+AC67+AD67</f>
        <v>0</v>
      </c>
      <c r="AG67">
        <f>DX67*AU67*(DS67-DR67*(1000-AU67*DU67)/(1000-AU67*DT67))/(100*DL67)</f>
        <v>0</v>
      </c>
      <c r="AH67">
        <f>1000*DX67*AU67*(DT67-DU67)/(100*DL67*(1000-AU67*DT67))</f>
        <v>0</v>
      </c>
      <c r="AI67">
        <f>(AJ67 - AK67 - DY67*1E3/(8.314*(EA67+273.15)) * AM67/DX67 * AL67) * DX67/(100*DL67) * (1000 - DU67)/1000</f>
        <v>0</v>
      </c>
      <c r="AJ67">
        <v>430.588367713307</v>
      </c>
      <c r="AK67">
        <v>418.504836363636</v>
      </c>
      <c r="AL67">
        <v>0.000445935346334634</v>
      </c>
      <c r="AM67">
        <v>64.9431894329385</v>
      </c>
      <c r="AN67">
        <f>(AP67 - AO67 + DY67*1E3/(8.314*(EA67+273.15)) * AR67/DX67 * AQ67) * DX67/(100*DL67) * 1000/(1000 - AP67)</f>
        <v>0</v>
      </c>
      <c r="AO67">
        <v>24.5743851840896</v>
      </c>
      <c r="AP67">
        <v>31.6223957575757</v>
      </c>
      <c r="AQ67">
        <v>0.000110188228864716</v>
      </c>
      <c r="AR67">
        <v>117.773948376124</v>
      </c>
      <c r="AS67">
        <v>0</v>
      </c>
      <c r="AT67">
        <v>0</v>
      </c>
      <c r="AU67">
        <f>IF(AS67*$H$13&gt;=AW67,1.0,(AW67/(AW67-AS67*$H$13)))</f>
        <v>0</v>
      </c>
      <c r="AV67">
        <f>(AU67-1)*100</f>
        <v>0</v>
      </c>
      <c r="AW67">
        <f>MAX(0,($B$13+$C$13*EF67)/(1+$D$13*EF67)*DY67/(EA67+273)*$E$13)</f>
        <v>0</v>
      </c>
      <c r="AX67" t="s">
        <v>437</v>
      </c>
      <c r="AY67">
        <v>5082.33</v>
      </c>
      <c r="AZ67">
        <v>690.032</v>
      </c>
      <c r="BA67">
        <v>1612.68</v>
      </c>
      <c r="BB67">
        <f>1-AZ67/BA67</f>
        <v>0</v>
      </c>
      <c r="BC67">
        <v>-9.7270689171713</v>
      </c>
      <c r="BD67" t="s">
        <v>661</v>
      </c>
      <c r="BE67">
        <v>5123.59</v>
      </c>
      <c r="BF67">
        <v>1396.61576923077</v>
      </c>
      <c r="BG67">
        <v>1767.49687574853</v>
      </c>
      <c r="BH67">
        <f>1-BF67/BG67</f>
        <v>0</v>
      </c>
      <c r="BI67">
        <v>0.5</v>
      </c>
      <c r="BJ67">
        <f>DI67</f>
        <v>0</v>
      </c>
      <c r="BK67">
        <f>L67</f>
        <v>0</v>
      </c>
      <c r="BL67">
        <f>BH67*BI67*BJ67</f>
        <v>0</v>
      </c>
      <c r="BM67">
        <f>(BK67-BC67)/BJ67</f>
        <v>0</v>
      </c>
      <c r="BN67">
        <f>(BA67-BG67)/BG67</f>
        <v>0</v>
      </c>
      <c r="BO67">
        <f>AZ67/(BB67+AZ67/BG67)</f>
        <v>0</v>
      </c>
      <c r="BP67" t="s">
        <v>662</v>
      </c>
      <c r="BQ67">
        <v>775.27</v>
      </c>
      <c r="BR67">
        <f>IF(BQ67&lt;&gt;0, BQ67, BO67)</f>
        <v>0</v>
      </c>
      <c r="BS67">
        <f>1-BR67/BG67</f>
        <v>0</v>
      </c>
      <c r="BT67">
        <f>(BG67-BF67)/(BG67-BR67)</f>
        <v>0</v>
      </c>
      <c r="BU67">
        <f>(BA67-BG67)/(BA67-BR67)</f>
        <v>0</v>
      </c>
      <c r="BV67">
        <f>(BG67-BF67)/(BG67-AZ67)</f>
        <v>0</v>
      </c>
      <c r="BW67">
        <f>(BA67-BG67)/(BA67-AZ67)</f>
        <v>0</v>
      </c>
      <c r="BX67">
        <f>(BT67*BR67/BF67)</f>
        <v>0</v>
      </c>
      <c r="BY67">
        <f>(1-BX67)</f>
        <v>0</v>
      </c>
      <c r="BZ67">
        <v>196</v>
      </c>
      <c r="CA67">
        <v>290</v>
      </c>
      <c r="CB67">
        <v>1667.82</v>
      </c>
      <c r="CC67">
        <v>125</v>
      </c>
      <c r="CD67">
        <v>5123.59</v>
      </c>
      <c r="CE67">
        <v>1666.54</v>
      </c>
      <c r="CF67">
        <v>1.28</v>
      </c>
      <c r="CG67">
        <v>300</v>
      </c>
      <c r="CH67">
        <v>23.8</v>
      </c>
      <c r="CI67">
        <v>1767.49687574853</v>
      </c>
      <c r="CJ67">
        <v>2.17483114464084</v>
      </c>
      <c r="CK67">
        <v>-51.7280492759773</v>
      </c>
      <c r="CL67">
        <v>1.00208540023236</v>
      </c>
      <c r="CM67">
        <v>0.989601382766427</v>
      </c>
      <c r="CN67">
        <v>-0.00322975906562848</v>
      </c>
      <c r="CO67">
        <v>290</v>
      </c>
      <c r="CP67">
        <v>1665.03</v>
      </c>
      <c r="CQ67">
        <v>635</v>
      </c>
      <c r="CR67">
        <v>5118.92</v>
      </c>
      <c r="CS67">
        <v>1666.44</v>
      </c>
      <c r="CT67">
        <v>-1.41</v>
      </c>
      <c r="DH67">
        <f>$B$11*EG67+$C$11*EH67+$F$11*ES67*(1-EV67)</f>
        <v>0</v>
      </c>
      <c r="DI67">
        <f>DH67*DJ67</f>
        <v>0</v>
      </c>
      <c r="DJ67">
        <f>($B$11*$D$9+$C$11*$D$9+$F$11*((FF67+EX67)/MAX(FF67+EX67+FG67, 0.1)*$I$9+FG67/MAX(FF67+EX67+FG67, 0.1)*$J$9))/($B$11+$C$11+$F$11)</f>
        <v>0</v>
      </c>
      <c r="DK67">
        <f>($B$11*$K$9+$C$11*$K$9+$F$11*((FF67+EX67)/MAX(FF67+EX67+FG67, 0.1)*$P$9+FG67/MAX(FF67+EX67+FG67, 0.1)*$Q$9))/($B$11+$C$11+$F$11)</f>
        <v>0</v>
      </c>
      <c r="DL67">
        <v>3.21</v>
      </c>
      <c r="DM67">
        <v>0.5</v>
      </c>
      <c r="DN67" t="s">
        <v>440</v>
      </c>
      <c r="DO67">
        <v>2</v>
      </c>
      <c r="DP67" t="b">
        <v>1</v>
      </c>
      <c r="DQ67">
        <v>1760907918.5</v>
      </c>
      <c r="DR67">
        <v>405.272375</v>
      </c>
      <c r="DS67">
        <v>420.0118125</v>
      </c>
      <c r="DT67">
        <v>31.61275</v>
      </c>
      <c r="DU67">
        <v>24.5721375</v>
      </c>
      <c r="DV67">
        <v>402.8789375</v>
      </c>
      <c r="DW67">
        <v>31.17754375</v>
      </c>
      <c r="DX67">
        <v>499.9886875</v>
      </c>
      <c r="DY67">
        <v>90.67108125</v>
      </c>
      <c r="DZ67">
        <v>0.0449598375</v>
      </c>
      <c r="EA67">
        <v>36.6904625</v>
      </c>
      <c r="EB67">
        <v>35.9675125</v>
      </c>
      <c r="EC67">
        <v>999.9</v>
      </c>
      <c r="ED67">
        <v>0</v>
      </c>
      <c r="EE67">
        <v>0</v>
      </c>
      <c r="EF67">
        <v>9991.05125</v>
      </c>
      <c r="EG67">
        <v>0</v>
      </c>
      <c r="EH67">
        <v>1232.66125</v>
      </c>
      <c r="EI67">
        <v>-14.7392625</v>
      </c>
      <c r="EJ67">
        <v>418.5025</v>
      </c>
      <c r="EK67">
        <v>430.5923125</v>
      </c>
      <c r="EL67">
        <v>7.04061</v>
      </c>
      <c r="EM67">
        <v>420.0118125</v>
      </c>
      <c r="EN67">
        <v>24.5721375</v>
      </c>
      <c r="EO67">
        <v>2.866360625</v>
      </c>
      <c r="EP67">
        <v>2.22798125</v>
      </c>
      <c r="EQ67">
        <v>23.27131875</v>
      </c>
      <c r="ER67">
        <v>19.1649625</v>
      </c>
      <c r="ES67">
        <v>1200.01</v>
      </c>
      <c r="ET67">
        <v>0.9669908125</v>
      </c>
      <c r="EU67">
        <v>0.03300890625</v>
      </c>
      <c r="EV67">
        <v>0</v>
      </c>
      <c r="EW67">
        <v>1396.6875</v>
      </c>
      <c r="EX67">
        <v>5.00059</v>
      </c>
      <c r="EY67">
        <v>17276</v>
      </c>
      <c r="EZ67">
        <v>10358.7625</v>
      </c>
      <c r="FA67">
        <v>51.5</v>
      </c>
      <c r="FB67">
        <v>53.085625</v>
      </c>
      <c r="FC67">
        <v>51.687</v>
      </c>
      <c r="FD67">
        <v>52.808125</v>
      </c>
      <c r="FE67">
        <v>52.625</v>
      </c>
      <c r="FF67">
        <v>1155.56375</v>
      </c>
      <c r="FG67">
        <v>39.44625</v>
      </c>
      <c r="FH67">
        <v>0</v>
      </c>
      <c r="FI67">
        <v>141.200000047684</v>
      </c>
      <c r="FJ67">
        <v>0</v>
      </c>
      <c r="FK67">
        <v>1396.61576923077</v>
      </c>
      <c r="FL67">
        <v>-7.81982907108153</v>
      </c>
      <c r="FM67">
        <v>-81.3846154957281</v>
      </c>
      <c r="FN67">
        <v>17274.7038461538</v>
      </c>
      <c r="FO67">
        <v>15</v>
      </c>
      <c r="FP67">
        <v>0</v>
      </c>
      <c r="FQ67" t="s">
        <v>441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-14.747395</v>
      </c>
      <c r="GD67">
        <v>0.0532195488721863</v>
      </c>
      <c r="GE67">
        <v>0.0290300615741682</v>
      </c>
      <c r="GF67">
        <v>1</v>
      </c>
      <c r="GG67">
        <v>1397.23147058824</v>
      </c>
      <c r="GH67">
        <v>-8.83376623590778</v>
      </c>
      <c r="GI67">
        <v>0.897994931051295</v>
      </c>
      <c r="GJ67">
        <v>-1</v>
      </c>
      <c r="GK67">
        <v>7.0385765</v>
      </c>
      <c r="GL67">
        <v>0.0366590977443544</v>
      </c>
      <c r="GM67">
        <v>0.00373555655157297</v>
      </c>
      <c r="GN67">
        <v>1</v>
      </c>
      <c r="GO67">
        <v>2</v>
      </c>
      <c r="GP67">
        <v>2</v>
      </c>
      <c r="GQ67" t="s">
        <v>442</v>
      </c>
      <c r="GR67">
        <v>3.12945</v>
      </c>
      <c r="GS67">
        <v>2.72297</v>
      </c>
      <c r="GT67">
        <v>0.0842468</v>
      </c>
      <c r="GU67">
        <v>0.0871199</v>
      </c>
      <c r="GV67">
        <v>0.121806</v>
      </c>
      <c r="GW67">
        <v>0.102401</v>
      </c>
      <c r="GX67">
        <v>33594.5</v>
      </c>
      <c r="GY67">
        <v>35615.3</v>
      </c>
      <c r="GZ67">
        <v>33265</v>
      </c>
      <c r="HA67">
        <v>35399.2</v>
      </c>
      <c r="HB67">
        <v>41504.4</v>
      </c>
      <c r="HC67">
        <v>45726.8</v>
      </c>
      <c r="HD67">
        <v>52097.2</v>
      </c>
      <c r="HE67">
        <v>56682.5</v>
      </c>
      <c r="HF67">
        <v>1.7909</v>
      </c>
      <c r="HG67">
        <v>1.66</v>
      </c>
      <c r="HH67">
        <v>-0.042364</v>
      </c>
      <c r="HI67">
        <v>0</v>
      </c>
      <c r="HJ67">
        <v>36.6477</v>
      </c>
      <c r="HK67">
        <v>999.9</v>
      </c>
      <c r="HL67">
        <v>54.951</v>
      </c>
      <c r="HM67">
        <v>29.719</v>
      </c>
      <c r="HN67">
        <v>25.4071</v>
      </c>
      <c r="HO67">
        <v>55.38</v>
      </c>
      <c r="HP67">
        <v>43.0168</v>
      </c>
      <c r="HQ67">
        <v>1</v>
      </c>
      <c r="HR67">
        <v>1.27841</v>
      </c>
      <c r="HS67">
        <v>4.39318</v>
      </c>
      <c r="HT67">
        <v>20.0801</v>
      </c>
      <c r="HU67">
        <v>5.19228</v>
      </c>
      <c r="HV67">
        <v>12.0099</v>
      </c>
      <c r="HW67">
        <v>4.97175</v>
      </c>
      <c r="HX67">
        <v>3.295</v>
      </c>
      <c r="HY67">
        <v>9999</v>
      </c>
      <c r="HZ67">
        <v>999.9</v>
      </c>
      <c r="IA67">
        <v>9999</v>
      </c>
      <c r="IB67">
        <v>9999</v>
      </c>
      <c r="IC67">
        <v>1.86324</v>
      </c>
      <c r="ID67">
        <v>1.86805</v>
      </c>
      <c r="IE67">
        <v>1.86783</v>
      </c>
      <c r="IF67">
        <v>1.86905</v>
      </c>
      <c r="IG67">
        <v>1.86981</v>
      </c>
      <c r="IH67">
        <v>1.86584</v>
      </c>
      <c r="II67">
        <v>1.86693</v>
      </c>
      <c r="IJ67">
        <v>1.86841</v>
      </c>
      <c r="IK67">
        <v>5</v>
      </c>
      <c r="IL67">
        <v>0</v>
      </c>
      <c r="IM67">
        <v>0</v>
      </c>
      <c r="IN67">
        <v>0</v>
      </c>
      <c r="IO67" t="s">
        <v>443</v>
      </c>
      <c r="IP67" t="s">
        <v>444</v>
      </c>
      <c r="IQ67" t="s">
        <v>445</v>
      </c>
      <c r="IR67" t="s">
        <v>445</v>
      </c>
      <c r="IS67" t="s">
        <v>445</v>
      </c>
      <c r="IT67" t="s">
        <v>445</v>
      </c>
      <c r="IU67">
        <v>0</v>
      </c>
      <c r="IV67">
        <v>100</v>
      </c>
      <c r="IW67">
        <v>100</v>
      </c>
      <c r="IX67">
        <v>2.394</v>
      </c>
      <c r="IY67">
        <v>0.4352</v>
      </c>
      <c r="IZ67">
        <v>0.833350075594679</v>
      </c>
      <c r="JA67">
        <v>0.00412825224050377</v>
      </c>
      <c r="JB67">
        <v>-7.34426573386615e-07</v>
      </c>
      <c r="JC67">
        <v>2.46800082545482e-10</v>
      </c>
      <c r="JD67">
        <v>0.435209846415365</v>
      </c>
      <c r="JE67">
        <v>0</v>
      </c>
      <c r="JF67">
        <v>0</v>
      </c>
      <c r="JG67">
        <v>0</v>
      </c>
      <c r="JH67">
        <v>5</v>
      </c>
      <c r="JI67">
        <v>2250</v>
      </c>
      <c r="JJ67">
        <v>0</v>
      </c>
      <c r="JK67">
        <v>24</v>
      </c>
      <c r="JL67">
        <v>29348465.4</v>
      </c>
      <c r="JM67">
        <v>29348465.4</v>
      </c>
      <c r="JN67">
        <v>1.01929</v>
      </c>
      <c r="JO67">
        <v>2.63306</v>
      </c>
      <c r="JP67">
        <v>1.54785</v>
      </c>
      <c r="JQ67">
        <v>2.31567</v>
      </c>
      <c r="JR67">
        <v>1.64673</v>
      </c>
      <c r="JS67">
        <v>2.34985</v>
      </c>
      <c r="JT67">
        <v>33.8509</v>
      </c>
      <c r="JU67">
        <v>24.1751</v>
      </c>
      <c r="JV67">
        <v>18</v>
      </c>
      <c r="JW67">
        <v>500.948</v>
      </c>
      <c r="JX67">
        <v>408.293</v>
      </c>
      <c r="JY67">
        <v>30.724</v>
      </c>
      <c r="JZ67">
        <v>42.3741</v>
      </c>
      <c r="KA67">
        <v>30.0005</v>
      </c>
      <c r="KB67">
        <v>42.0272</v>
      </c>
      <c r="KC67">
        <v>41.9111</v>
      </c>
      <c r="KD67">
        <v>20.4335</v>
      </c>
      <c r="KE67">
        <v>0</v>
      </c>
      <c r="KF67">
        <v>100</v>
      </c>
      <c r="KG67">
        <v>30.7541</v>
      </c>
      <c r="KH67">
        <v>420</v>
      </c>
      <c r="KI67">
        <v>35.6443</v>
      </c>
      <c r="KJ67">
        <v>94.557</v>
      </c>
      <c r="KK67">
        <v>91.7715</v>
      </c>
    </row>
    <row r="68" spans="1:297">
      <c r="A68">
        <v>52</v>
      </c>
      <c r="B68">
        <v>1760908462</v>
      </c>
      <c r="C68">
        <v>14697.9000000954</v>
      </c>
      <c r="D68" t="s">
        <v>663</v>
      </c>
      <c r="E68" t="s">
        <v>664</v>
      </c>
      <c r="F68">
        <v>5</v>
      </c>
      <c r="G68" t="s">
        <v>665</v>
      </c>
      <c r="H68" t="s">
        <v>436</v>
      </c>
      <c r="I68">
        <v>1760908453.5</v>
      </c>
      <c r="J68">
        <f>(K68)/1000</f>
        <v>0</v>
      </c>
      <c r="K68">
        <f>IF(DP68, AN68, AH68)</f>
        <v>0</v>
      </c>
      <c r="L68">
        <f>IF(DP68, AI68, AG68)</f>
        <v>0</v>
      </c>
      <c r="M68">
        <f>DR68 - IF(AU68&gt;1, L68*DL68*100.0/(AW68), 0)</f>
        <v>0</v>
      </c>
      <c r="N68">
        <f>((T68-J68/2)*M68-L68)/(T68+J68/2)</f>
        <v>0</v>
      </c>
      <c r="O68">
        <f>N68*(DY68+DZ68)/1000.0</f>
        <v>0</v>
      </c>
      <c r="P68">
        <f>(DR68 - IF(AU68&gt;1, L68*DL68*100.0/(AW68), 0))*(DY68+DZ68)/1000.0</f>
        <v>0</v>
      </c>
      <c r="Q68">
        <f>2.0/((1/S68-1/R68)+SIGN(S68)*SQRT((1/S68-1/R68)*(1/S68-1/R68) + 4*DM68/((DM68+1)*(DM68+1))*(2*1/S68*1/R68-1/R68*1/R68)))</f>
        <v>0</v>
      </c>
      <c r="R68">
        <f>IF(LEFT(DN68,1)&lt;&gt;"0",IF(LEFT(DN68,1)="1",3.0,DO68),$D$5+$E$5*(EF68*DY68/($K$5*1000))+$F$5*(EF68*DY68/($K$5*1000))*MAX(MIN(DL68,$J$5),$I$5)*MAX(MIN(DL68,$J$5),$I$5)+$G$5*MAX(MIN(DL68,$J$5),$I$5)*(EF68*DY68/($K$5*1000))+$H$5*(EF68*DY68/($K$5*1000))*(EF68*DY68/($K$5*1000)))</f>
        <v>0</v>
      </c>
      <c r="S68">
        <f>J68*(1000-(1000*0.61365*exp(17.502*W68/(240.97+W68))/(DY68+DZ68)+DT68)/2)/(1000*0.61365*exp(17.502*W68/(240.97+W68))/(DY68+DZ68)-DT68)</f>
        <v>0</v>
      </c>
      <c r="T68">
        <f>1/((DM68+1)/(Q68/1.6)+1/(R68/1.37)) + DM68/((DM68+1)/(Q68/1.6) + DM68/(R68/1.37))</f>
        <v>0</v>
      </c>
      <c r="U68">
        <f>(DH68*DK68)</f>
        <v>0</v>
      </c>
      <c r="V68">
        <f>(EA68+(U68+2*0.95*5.67E-8*(((EA68+$B$7)+273)^4-(EA68+273)^4)-44100*J68)/(1.84*29.3*R68+8*0.95*5.67E-8*(EA68+273)^3))</f>
        <v>0</v>
      </c>
      <c r="W68">
        <f>($C$7*EB68+$D$7*EC68+$E$7*V68)</f>
        <v>0</v>
      </c>
      <c r="X68">
        <f>0.61365*exp(17.502*W68/(240.97+W68))</f>
        <v>0</v>
      </c>
      <c r="Y68">
        <f>(Z68/AA68*100)</f>
        <v>0</v>
      </c>
      <c r="Z68">
        <f>DT68*(DY68+DZ68)/1000</f>
        <v>0</v>
      </c>
      <c r="AA68">
        <f>0.61365*exp(17.502*EA68/(240.97+EA68))</f>
        <v>0</v>
      </c>
      <c r="AB68">
        <f>(X68-DT68*(DY68+DZ68)/1000)</f>
        <v>0</v>
      </c>
      <c r="AC68">
        <f>(-J68*44100)</f>
        <v>0</v>
      </c>
      <c r="AD68">
        <f>2*29.3*R68*0.92*(EA68-W68)</f>
        <v>0</v>
      </c>
      <c r="AE68">
        <f>2*0.95*5.67E-8*(((EA68+$B$7)+273)^4-(W68+273)^4)</f>
        <v>0</v>
      </c>
      <c r="AF68">
        <f>U68+AE68+AC68+AD68</f>
        <v>0</v>
      </c>
      <c r="AG68">
        <f>DX68*AU68*(DS68-DR68*(1000-AU68*DU68)/(1000-AU68*DT68))/(100*DL68)</f>
        <v>0</v>
      </c>
      <c r="AH68">
        <f>1000*DX68*AU68*(DT68-DU68)/(100*DL68*(1000-AU68*DT68))</f>
        <v>0</v>
      </c>
      <c r="AI68">
        <f>(AJ68 - AK68 - DY68*1E3/(8.314*(EA68+273.15)) * AM68/DX68 * AL68) * DX68/(100*DL68) * (1000 - DU68)/1000</f>
        <v>0</v>
      </c>
      <c r="AJ68">
        <v>430.703982425631</v>
      </c>
      <c r="AK68">
        <v>419.875618181818</v>
      </c>
      <c r="AL68">
        <v>-0.00134649701412199</v>
      </c>
      <c r="AM68">
        <v>64.9518716920725</v>
      </c>
      <c r="AN68">
        <f>(AP68 - AO68 + DY68*1E3/(8.314*(EA68+273.15)) * AR68/DX68 * AQ68) * DX68/(100*DL68) * 1000/(1000 - AP68)</f>
        <v>0</v>
      </c>
      <c r="AO68">
        <v>24.817011207047</v>
      </c>
      <c r="AP68">
        <v>29.0309806060606</v>
      </c>
      <c r="AQ68">
        <v>0.000115382254239667</v>
      </c>
      <c r="AR68">
        <v>117.693613164283</v>
      </c>
      <c r="AS68">
        <v>0</v>
      </c>
      <c r="AT68">
        <v>0</v>
      </c>
      <c r="AU68">
        <f>IF(AS68*$H$13&gt;=AW68,1.0,(AW68/(AW68-AS68*$H$13)))</f>
        <v>0</v>
      </c>
      <c r="AV68">
        <f>(AU68-1)*100</f>
        <v>0</v>
      </c>
      <c r="AW68">
        <f>MAX(0,($B$13+$C$13*EF68)/(1+$D$13*EF68)*DY68/(EA68+273)*$E$13)</f>
        <v>0</v>
      </c>
      <c r="AX68" t="s">
        <v>437</v>
      </c>
      <c r="AY68">
        <v>5082.33</v>
      </c>
      <c r="AZ68">
        <v>690.032</v>
      </c>
      <c r="BA68">
        <v>1612.68</v>
      </c>
      <c r="BB68">
        <f>1-AZ68/BA68</f>
        <v>0</v>
      </c>
      <c r="BC68">
        <v>-9.7270689171713</v>
      </c>
      <c r="BD68" t="s">
        <v>666</v>
      </c>
      <c r="BE68">
        <v>5124.74</v>
      </c>
      <c r="BF68">
        <v>1280.88923076923</v>
      </c>
      <c r="BG68">
        <v>1725.4797223509</v>
      </c>
      <c r="BH68">
        <f>1-BF68/BG68</f>
        <v>0</v>
      </c>
      <c r="BI68">
        <v>0.5</v>
      </c>
      <c r="BJ68">
        <f>DI68</f>
        <v>0</v>
      </c>
      <c r="BK68">
        <f>L68</f>
        <v>0</v>
      </c>
      <c r="BL68">
        <f>BH68*BI68*BJ68</f>
        <v>0</v>
      </c>
      <c r="BM68">
        <f>(BK68-BC68)/BJ68</f>
        <v>0</v>
      </c>
      <c r="BN68">
        <f>(BA68-BG68)/BG68</f>
        <v>0</v>
      </c>
      <c r="BO68">
        <f>AZ68/(BB68+AZ68/BG68)</f>
        <v>0</v>
      </c>
      <c r="BP68" t="s">
        <v>667</v>
      </c>
      <c r="BQ68">
        <v>793.53</v>
      </c>
      <c r="BR68">
        <f>IF(BQ68&lt;&gt;0, BQ68, BO68)</f>
        <v>0</v>
      </c>
      <c r="BS68">
        <f>1-BR68/BG68</f>
        <v>0</v>
      </c>
      <c r="BT68">
        <f>(BG68-BF68)/(BG68-BR68)</f>
        <v>0</v>
      </c>
      <c r="BU68">
        <f>(BA68-BG68)/(BA68-BR68)</f>
        <v>0</v>
      </c>
      <c r="BV68">
        <f>(BG68-BF68)/(BG68-AZ68)</f>
        <v>0</v>
      </c>
      <c r="BW68">
        <f>(BA68-BG68)/(BA68-AZ68)</f>
        <v>0</v>
      </c>
      <c r="BX68">
        <f>(BT68*BR68/BF68)</f>
        <v>0</v>
      </c>
      <c r="BY68">
        <f>(1-BX68)</f>
        <v>0</v>
      </c>
      <c r="BZ68">
        <v>198</v>
      </c>
      <c r="CA68">
        <v>290</v>
      </c>
      <c r="CB68">
        <v>1604.6</v>
      </c>
      <c r="CC68">
        <v>235</v>
      </c>
      <c r="CD68">
        <v>5124.74</v>
      </c>
      <c r="CE68">
        <v>1603.81</v>
      </c>
      <c r="CF68">
        <v>0.79</v>
      </c>
      <c r="CG68">
        <v>300</v>
      </c>
      <c r="CH68">
        <v>23.8</v>
      </c>
      <c r="CI68">
        <v>1725.4797223509</v>
      </c>
      <c r="CJ68">
        <v>1.88006439305631</v>
      </c>
      <c r="CK68">
        <v>-62.3507448738385</v>
      </c>
      <c r="CL68">
        <v>0.866888962629511</v>
      </c>
      <c r="CM68">
        <v>0.994616590887678</v>
      </c>
      <c r="CN68">
        <v>-0.00323202068965517</v>
      </c>
      <c r="CO68">
        <v>290</v>
      </c>
      <c r="CP68">
        <v>1602.65</v>
      </c>
      <c r="CQ68">
        <v>675</v>
      </c>
      <c r="CR68">
        <v>5122.2</v>
      </c>
      <c r="CS68">
        <v>1603.75</v>
      </c>
      <c r="CT68">
        <v>-1.1</v>
      </c>
      <c r="DH68">
        <f>$B$11*EG68+$C$11*EH68+$F$11*ES68*(1-EV68)</f>
        <v>0</v>
      </c>
      <c r="DI68">
        <f>DH68*DJ68</f>
        <v>0</v>
      </c>
      <c r="DJ68">
        <f>($B$11*$D$9+$C$11*$D$9+$F$11*((FF68+EX68)/MAX(FF68+EX68+FG68, 0.1)*$I$9+FG68/MAX(FF68+EX68+FG68, 0.1)*$J$9))/($B$11+$C$11+$F$11)</f>
        <v>0</v>
      </c>
      <c r="DK68">
        <f>($B$11*$K$9+$C$11*$K$9+$F$11*((FF68+EX68)/MAX(FF68+EX68+FG68, 0.1)*$P$9+FG68/MAX(FF68+EX68+FG68, 0.1)*$Q$9))/($B$11+$C$11+$F$11)</f>
        <v>0</v>
      </c>
      <c r="DL68">
        <v>3.21</v>
      </c>
      <c r="DM68">
        <v>0.5</v>
      </c>
      <c r="DN68" t="s">
        <v>440</v>
      </c>
      <c r="DO68">
        <v>2</v>
      </c>
      <c r="DP68" t="b">
        <v>1</v>
      </c>
      <c r="DQ68">
        <v>1760908453.5</v>
      </c>
      <c r="DR68">
        <v>407.71475</v>
      </c>
      <c r="DS68">
        <v>419.992125</v>
      </c>
      <c r="DT68">
        <v>29.00895</v>
      </c>
      <c r="DU68">
        <v>24.81339375</v>
      </c>
      <c r="DV68">
        <v>405.3123125</v>
      </c>
      <c r="DW68">
        <v>28.5737375</v>
      </c>
      <c r="DX68">
        <v>500.0139375</v>
      </c>
      <c r="DY68">
        <v>90.65844375</v>
      </c>
      <c r="DZ68">
        <v>0.0446984875</v>
      </c>
      <c r="EA68">
        <v>36.48428125</v>
      </c>
      <c r="EB68">
        <v>35.9953125</v>
      </c>
      <c r="EC68">
        <v>999.9</v>
      </c>
      <c r="ED68">
        <v>0</v>
      </c>
      <c r="EE68">
        <v>0</v>
      </c>
      <c r="EF68">
        <v>10001.255625</v>
      </c>
      <c r="EG68">
        <v>0</v>
      </c>
      <c r="EH68">
        <v>1244.08125</v>
      </c>
      <c r="EI68">
        <v>-12.2773625</v>
      </c>
      <c r="EJ68">
        <v>419.8955</v>
      </c>
      <c r="EK68">
        <v>430.6786875</v>
      </c>
      <c r="EL68">
        <v>4.19555375</v>
      </c>
      <c r="EM68">
        <v>419.992125</v>
      </c>
      <c r="EN68">
        <v>24.81339375</v>
      </c>
      <c r="EO68">
        <v>2.629905625</v>
      </c>
      <c r="EP68">
        <v>2.2495425</v>
      </c>
      <c r="EQ68">
        <v>21.85356875</v>
      </c>
      <c r="ER68">
        <v>19.319575</v>
      </c>
      <c r="ES68">
        <v>1199.969375</v>
      </c>
      <c r="ET68">
        <v>0.96699</v>
      </c>
      <c r="EU68">
        <v>0.03301015</v>
      </c>
      <c r="EV68">
        <v>0</v>
      </c>
      <c r="EW68">
        <v>1280.765625</v>
      </c>
      <c r="EX68">
        <v>5.00059</v>
      </c>
      <c r="EY68">
        <v>15861.68125</v>
      </c>
      <c r="EZ68">
        <v>10358.425</v>
      </c>
      <c r="FA68">
        <v>51.444875</v>
      </c>
      <c r="FB68">
        <v>53.125</v>
      </c>
      <c r="FC68">
        <v>51.75</v>
      </c>
      <c r="FD68">
        <v>52.75</v>
      </c>
      <c r="FE68">
        <v>52.562</v>
      </c>
      <c r="FF68">
        <v>1155.52125</v>
      </c>
      <c r="FG68">
        <v>39.448125</v>
      </c>
      <c r="FH68">
        <v>0</v>
      </c>
      <c r="FI68">
        <v>531.799999952316</v>
      </c>
      <c r="FJ68">
        <v>0</v>
      </c>
      <c r="FK68">
        <v>1280.88923076923</v>
      </c>
      <c r="FL68">
        <v>5.08581197601432</v>
      </c>
      <c r="FM68">
        <v>58.6358976031539</v>
      </c>
      <c r="FN68">
        <v>15863.2423076923</v>
      </c>
      <c r="FO68">
        <v>15</v>
      </c>
      <c r="FP68">
        <v>0</v>
      </c>
      <c r="FQ68" t="s">
        <v>441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-12.2585</v>
      </c>
      <c r="GD68">
        <v>-0.334987012987023</v>
      </c>
      <c r="GE68">
        <v>0.0457006512405406</v>
      </c>
      <c r="GF68">
        <v>1</v>
      </c>
      <c r="GG68">
        <v>1280.47323529412</v>
      </c>
      <c r="GH68">
        <v>4.9040488986803</v>
      </c>
      <c r="GI68">
        <v>0.547087048607725</v>
      </c>
      <c r="GJ68">
        <v>-1</v>
      </c>
      <c r="GK68">
        <v>4.18727238095238</v>
      </c>
      <c r="GL68">
        <v>0.147955324675329</v>
      </c>
      <c r="GM68">
        <v>0.0150045056422783</v>
      </c>
      <c r="GN68">
        <v>0</v>
      </c>
      <c r="GO68">
        <v>1</v>
      </c>
      <c r="GP68">
        <v>2</v>
      </c>
      <c r="GQ68" t="s">
        <v>454</v>
      </c>
      <c r="GR68">
        <v>3.12943</v>
      </c>
      <c r="GS68">
        <v>2.7223</v>
      </c>
      <c r="GT68">
        <v>0.0845427</v>
      </c>
      <c r="GU68">
        <v>0.0870375</v>
      </c>
      <c r="GV68">
        <v>0.114476</v>
      </c>
      <c r="GW68">
        <v>0.103022</v>
      </c>
      <c r="GX68">
        <v>33567.5</v>
      </c>
      <c r="GY68">
        <v>35595.4</v>
      </c>
      <c r="GZ68">
        <v>33250.7</v>
      </c>
      <c r="HA68">
        <v>35377.7</v>
      </c>
      <c r="HB68">
        <v>41828.4</v>
      </c>
      <c r="HC68">
        <v>45671</v>
      </c>
      <c r="HD68">
        <v>52079.9</v>
      </c>
      <c r="HE68">
        <v>56651.1</v>
      </c>
      <c r="HF68">
        <v>1.78587</v>
      </c>
      <c r="HG68">
        <v>1.6566</v>
      </c>
      <c r="HH68">
        <v>-0.00696629</v>
      </c>
      <c r="HI68">
        <v>0</v>
      </c>
      <c r="HJ68">
        <v>36.128</v>
      </c>
      <c r="HK68">
        <v>999.9</v>
      </c>
      <c r="HL68">
        <v>55.317</v>
      </c>
      <c r="HM68">
        <v>29.789</v>
      </c>
      <c r="HN68">
        <v>25.6811</v>
      </c>
      <c r="HO68">
        <v>55.28</v>
      </c>
      <c r="HP68">
        <v>43.153</v>
      </c>
      <c r="HQ68">
        <v>1</v>
      </c>
      <c r="HR68">
        <v>1.30096</v>
      </c>
      <c r="HS68">
        <v>4.27164</v>
      </c>
      <c r="HT68">
        <v>20.0823</v>
      </c>
      <c r="HU68">
        <v>5.19303</v>
      </c>
      <c r="HV68">
        <v>12.0099</v>
      </c>
      <c r="HW68">
        <v>4.9734</v>
      </c>
      <c r="HX68">
        <v>3.295</v>
      </c>
      <c r="HY68">
        <v>9999</v>
      </c>
      <c r="HZ68">
        <v>999.9</v>
      </c>
      <c r="IA68">
        <v>9999</v>
      </c>
      <c r="IB68">
        <v>9999</v>
      </c>
      <c r="IC68">
        <v>1.86325</v>
      </c>
      <c r="ID68">
        <v>1.86807</v>
      </c>
      <c r="IE68">
        <v>1.86783</v>
      </c>
      <c r="IF68">
        <v>1.86905</v>
      </c>
      <c r="IG68">
        <v>1.86981</v>
      </c>
      <c r="IH68">
        <v>1.86585</v>
      </c>
      <c r="II68">
        <v>1.86691</v>
      </c>
      <c r="IJ68">
        <v>1.86839</v>
      </c>
      <c r="IK68">
        <v>5</v>
      </c>
      <c r="IL68">
        <v>0</v>
      </c>
      <c r="IM68">
        <v>0</v>
      </c>
      <c r="IN68">
        <v>0</v>
      </c>
      <c r="IO68" t="s">
        <v>443</v>
      </c>
      <c r="IP68" t="s">
        <v>444</v>
      </c>
      <c r="IQ68" t="s">
        <v>445</v>
      </c>
      <c r="IR68" t="s">
        <v>445</v>
      </c>
      <c r="IS68" t="s">
        <v>445</v>
      </c>
      <c r="IT68" t="s">
        <v>445</v>
      </c>
      <c r="IU68">
        <v>0</v>
      </c>
      <c r="IV68">
        <v>100</v>
      </c>
      <c r="IW68">
        <v>100</v>
      </c>
      <c r="IX68">
        <v>2.402</v>
      </c>
      <c r="IY68">
        <v>0.4352</v>
      </c>
      <c r="IZ68">
        <v>0.833350075594679</v>
      </c>
      <c r="JA68">
        <v>0.00412825224050377</v>
      </c>
      <c r="JB68">
        <v>-7.34426573386615e-07</v>
      </c>
      <c r="JC68">
        <v>2.46800082545482e-10</v>
      </c>
      <c r="JD68">
        <v>0.435209846415365</v>
      </c>
      <c r="JE68">
        <v>0</v>
      </c>
      <c r="JF68">
        <v>0</v>
      </c>
      <c r="JG68">
        <v>0</v>
      </c>
      <c r="JH68">
        <v>5</v>
      </c>
      <c r="JI68">
        <v>2250</v>
      </c>
      <c r="JJ68">
        <v>0</v>
      </c>
      <c r="JK68">
        <v>24</v>
      </c>
      <c r="JL68">
        <v>29348474.4</v>
      </c>
      <c r="JM68">
        <v>29348474.4</v>
      </c>
      <c r="JN68">
        <v>1.01929</v>
      </c>
      <c r="JO68">
        <v>2.6355</v>
      </c>
      <c r="JP68">
        <v>1.54785</v>
      </c>
      <c r="JQ68">
        <v>2.31689</v>
      </c>
      <c r="JR68">
        <v>1.64673</v>
      </c>
      <c r="JS68">
        <v>2.31689</v>
      </c>
      <c r="JT68">
        <v>34.0318</v>
      </c>
      <c r="JU68">
        <v>24.1751</v>
      </c>
      <c r="JV68">
        <v>18</v>
      </c>
      <c r="JW68">
        <v>499.781</v>
      </c>
      <c r="JX68">
        <v>408.165</v>
      </c>
      <c r="JY68">
        <v>30.7067</v>
      </c>
      <c r="JZ68">
        <v>42.6611</v>
      </c>
      <c r="KA68">
        <v>30.0003</v>
      </c>
      <c r="KB68">
        <v>42.3744</v>
      </c>
      <c r="KC68">
        <v>42.2632</v>
      </c>
      <c r="KD68">
        <v>20.4238</v>
      </c>
      <c r="KE68">
        <v>0</v>
      </c>
      <c r="KF68">
        <v>100</v>
      </c>
      <c r="KG68">
        <v>30.3536</v>
      </c>
      <c r="KH68">
        <v>420</v>
      </c>
      <c r="KI68">
        <v>35.6443</v>
      </c>
      <c r="KJ68">
        <v>94.5219</v>
      </c>
      <c r="KK68">
        <v>91.7188</v>
      </c>
    </row>
    <row r="69" spans="1:297">
      <c r="A69">
        <v>53</v>
      </c>
      <c r="B69">
        <v>1760908619.1</v>
      </c>
      <c r="C69">
        <v>14855</v>
      </c>
      <c r="D69" t="s">
        <v>668</v>
      </c>
      <c r="E69" t="s">
        <v>669</v>
      </c>
      <c r="F69">
        <v>5</v>
      </c>
      <c r="G69" t="s">
        <v>665</v>
      </c>
      <c r="H69" t="s">
        <v>436</v>
      </c>
      <c r="I69">
        <v>1760908610.6</v>
      </c>
      <c r="J69">
        <f>(K69)/1000</f>
        <v>0</v>
      </c>
      <c r="K69">
        <f>IF(DP69, AN69, AH69)</f>
        <v>0</v>
      </c>
      <c r="L69">
        <f>IF(DP69, AI69, AG69)</f>
        <v>0</v>
      </c>
      <c r="M69">
        <f>DR69 - IF(AU69&gt;1, L69*DL69*100.0/(AW69), 0)</f>
        <v>0</v>
      </c>
      <c r="N69">
        <f>((T69-J69/2)*M69-L69)/(T69+J69/2)</f>
        <v>0</v>
      </c>
      <c r="O69">
        <f>N69*(DY69+DZ69)/1000.0</f>
        <v>0</v>
      </c>
      <c r="P69">
        <f>(DR69 - IF(AU69&gt;1, L69*DL69*100.0/(AW69), 0))*(DY69+DZ69)/1000.0</f>
        <v>0</v>
      </c>
      <c r="Q69">
        <f>2.0/((1/S69-1/R69)+SIGN(S69)*SQRT((1/S69-1/R69)*(1/S69-1/R69) + 4*DM69/((DM69+1)*(DM69+1))*(2*1/S69*1/R69-1/R69*1/R69)))</f>
        <v>0</v>
      </c>
      <c r="R69">
        <f>IF(LEFT(DN69,1)&lt;&gt;"0",IF(LEFT(DN69,1)="1",3.0,DO69),$D$5+$E$5*(EF69*DY69/($K$5*1000))+$F$5*(EF69*DY69/($K$5*1000))*MAX(MIN(DL69,$J$5),$I$5)*MAX(MIN(DL69,$J$5),$I$5)+$G$5*MAX(MIN(DL69,$J$5),$I$5)*(EF69*DY69/($K$5*1000))+$H$5*(EF69*DY69/($K$5*1000))*(EF69*DY69/($K$5*1000)))</f>
        <v>0</v>
      </c>
      <c r="S69">
        <f>J69*(1000-(1000*0.61365*exp(17.502*W69/(240.97+W69))/(DY69+DZ69)+DT69)/2)/(1000*0.61365*exp(17.502*W69/(240.97+W69))/(DY69+DZ69)-DT69)</f>
        <v>0</v>
      </c>
      <c r="T69">
        <f>1/((DM69+1)/(Q69/1.6)+1/(R69/1.37)) + DM69/((DM69+1)/(Q69/1.6) + DM69/(R69/1.37))</f>
        <v>0</v>
      </c>
      <c r="U69">
        <f>(DH69*DK69)</f>
        <v>0</v>
      </c>
      <c r="V69">
        <f>(EA69+(U69+2*0.95*5.67E-8*(((EA69+$B$7)+273)^4-(EA69+273)^4)-44100*J69)/(1.84*29.3*R69+8*0.95*5.67E-8*(EA69+273)^3))</f>
        <v>0</v>
      </c>
      <c r="W69">
        <f>($C$7*EB69+$D$7*EC69+$E$7*V69)</f>
        <v>0</v>
      </c>
      <c r="X69">
        <f>0.61365*exp(17.502*W69/(240.97+W69))</f>
        <v>0</v>
      </c>
      <c r="Y69">
        <f>(Z69/AA69*100)</f>
        <v>0</v>
      </c>
      <c r="Z69">
        <f>DT69*(DY69+DZ69)/1000</f>
        <v>0</v>
      </c>
      <c r="AA69">
        <f>0.61365*exp(17.502*EA69/(240.97+EA69))</f>
        <v>0</v>
      </c>
      <c r="AB69">
        <f>(X69-DT69*(DY69+DZ69)/1000)</f>
        <v>0</v>
      </c>
      <c r="AC69">
        <f>(-J69*44100)</f>
        <v>0</v>
      </c>
      <c r="AD69">
        <f>2*29.3*R69*0.92*(EA69-W69)</f>
        <v>0</v>
      </c>
      <c r="AE69">
        <f>2*0.95*5.67E-8*(((EA69+$B$7)+273)^4-(W69+273)^4)</f>
        <v>0</v>
      </c>
      <c r="AF69">
        <f>U69+AE69+AC69+AD69</f>
        <v>0</v>
      </c>
      <c r="AG69">
        <f>DX69*AU69*(DS69-DR69*(1000-AU69*DU69)/(1000-AU69*DT69))/(100*DL69)</f>
        <v>0</v>
      </c>
      <c r="AH69">
        <f>1000*DX69*AU69*(DT69-DU69)/(100*DL69*(1000-AU69*DT69))</f>
        <v>0</v>
      </c>
      <c r="AI69">
        <f>(AJ69 - AK69 - DY69*1E3/(8.314*(EA69+273.15)) * AM69/DX69 * AL69) * DX69/(100*DL69) * (1000 - DU69)/1000</f>
        <v>0</v>
      </c>
      <c r="AJ69">
        <v>430.755488004248</v>
      </c>
      <c r="AK69">
        <v>419.611084848485</v>
      </c>
      <c r="AL69">
        <v>-2.82133244456105e-05</v>
      </c>
      <c r="AM69">
        <v>64.9518716920725</v>
      </c>
      <c r="AN69">
        <f>(AP69 - AO69 + DY69*1E3/(8.314*(EA69+273.15)) * AR69/DX69 * AQ69) * DX69/(100*DL69) * 1000/(1000 - AP69)</f>
        <v>0</v>
      </c>
      <c r="AO69">
        <v>24.902958847784</v>
      </c>
      <c r="AP69">
        <v>29.2690187878788</v>
      </c>
      <c r="AQ69">
        <v>4.40862495844227e-05</v>
      </c>
      <c r="AR69">
        <v>117.693613164283</v>
      </c>
      <c r="AS69">
        <v>0</v>
      </c>
      <c r="AT69">
        <v>0</v>
      </c>
      <c r="AU69">
        <f>IF(AS69*$H$13&gt;=AW69,1.0,(AW69/(AW69-AS69*$H$13)))</f>
        <v>0</v>
      </c>
      <c r="AV69">
        <f>(AU69-1)*100</f>
        <v>0</v>
      </c>
      <c r="AW69">
        <f>MAX(0,($B$13+$C$13*EF69)/(1+$D$13*EF69)*DY69/(EA69+273)*$E$13)</f>
        <v>0</v>
      </c>
      <c r="AX69" t="s">
        <v>437</v>
      </c>
      <c r="AY69">
        <v>5082.33</v>
      </c>
      <c r="AZ69">
        <v>690.032</v>
      </c>
      <c r="BA69">
        <v>1612.68</v>
      </c>
      <c r="BB69">
        <f>1-AZ69/BA69</f>
        <v>0</v>
      </c>
      <c r="BC69">
        <v>-9.7270689171713</v>
      </c>
      <c r="BD69" t="s">
        <v>670</v>
      </c>
      <c r="BE69">
        <v>5124.36</v>
      </c>
      <c r="BF69">
        <v>1289.80846153846</v>
      </c>
      <c r="BG69">
        <v>1738.61490203662</v>
      </c>
      <c r="BH69">
        <f>1-BF69/BG69</f>
        <v>0</v>
      </c>
      <c r="BI69">
        <v>0.5</v>
      </c>
      <c r="BJ69">
        <f>DI69</f>
        <v>0</v>
      </c>
      <c r="BK69">
        <f>L69</f>
        <v>0</v>
      </c>
      <c r="BL69">
        <f>BH69*BI69*BJ69</f>
        <v>0</v>
      </c>
      <c r="BM69">
        <f>(BK69-BC69)/BJ69</f>
        <v>0</v>
      </c>
      <c r="BN69">
        <f>(BA69-BG69)/BG69</f>
        <v>0</v>
      </c>
      <c r="BO69">
        <f>AZ69/(BB69+AZ69/BG69)</f>
        <v>0</v>
      </c>
      <c r="BP69" t="s">
        <v>671</v>
      </c>
      <c r="BQ69">
        <v>800.27</v>
      </c>
      <c r="BR69">
        <f>IF(BQ69&lt;&gt;0, BQ69, BO69)</f>
        <v>0</v>
      </c>
      <c r="BS69">
        <f>1-BR69/BG69</f>
        <v>0</v>
      </c>
      <c r="BT69">
        <f>(BG69-BF69)/(BG69-BR69)</f>
        <v>0</v>
      </c>
      <c r="BU69">
        <f>(BA69-BG69)/(BA69-BR69)</f>
        <v>0</v>
      </c>
      <c r="BV69">
        <f>(BG69-BF69)/(BG69-AZ69)</f>
        <v>0</v>
      </c>
      <c r="BW69">
        <f>(BA69-BG69)/(BA69-AZ69)</f>
        <v>0</v>
      </c>
      <c r="BX69">
        <f>(BT69*BR69/BF69)</f>
        <v>0</v>
      </c>
      <c r="BY69">
        <f>(1-BX69)</f>
        <v>0</v>
      </c>
      <c r="BZ69">
        <v>200</v>
      </c>
      <c r="CA69">
        <v>290</v>
      </c>
      <c r="CB69">
        <v>1615.7</v>
      </c>
      <c r="CC69">
        <v>255</v>
      </c>
      <c r="CD69">
        <v>5124.36</v>
      </c>
      <c r="CE69">
        <v>1615.75</v>
      </c>
      <c r="CF69">
        <v>-0.05</v>
      </c>
      <c r="CG69">
        <v>300</v>
      </c>
      <c r="CH69">
        <v>23.8</v>
      </c>
      <c r="CI69">
        <v>1738.61490203662</v>
      </c>
      <c r="CJ69">
        <v>2.53647353357024</v>
      </c>
      <c r="CK69">
        <v>-62.9613865487659</v>
      </c>
      <c r="CL69">
        <v>1.16954813797652</v>
      </c>
      <c r="CM69">
        <v>0.990430927147711</v>
      </c>
      <c r="CN69">
        <v>-0.00323198598442715</v>
      </c>
      <c r="CO69">
        <v>290</v>
      </c>
      <c r="CP69">
        <v>1614.99</v>
      </c>
      <c r="CQ69">
        <v>755</v>
      </c>
      <c r="CR69">
        <v>5121.51</v>
      </c>
      <c r="CS69">
        <v>1615.68</v>
      </c>
      <c r="CT69">
        <v>-0.69</v>
      </c>
      <c r="DH69">
        <f>$B$11*EG69+$C$11*EH69+$F$11*ES69*(1-EV69)</f>
        <v>0</v>
      </c>
      <c r="DI69">
        <f>DH69*DJ69</f>
        <v>0</v>
      </c>
      <c r="DJ69">
        <f>($B$11*$D$9+$C$11*$D$9+$F$11*((FF69+EX69)/MAX(FF69+EX69+FG69, 0.1)*$I$9+FG69/MAX(FF69+EX69+FG69, 0.1)*$J$9))/($B$11+$C$11+$F$11)</f>
        <v>0</v>
      </c>
      <c r="DK69">
        <f>($B$11*$K$9+$C$11*$K$9+$F$11*((FF69+EX69)/MAX(FF69+EX69+FG69, 0.1)*$P$9+FG69/MAX(FF69+EX69+FG69, 0.1)*$Q$9))/($B$11+$C$11+$F$11)</f>
        <v>0</v>
      </c>
      <c r="DL69">
        <v>3.21</v>
      </c>
      <c r="DM69">
        <v>0.5</v>
      </c>
      <c r="DN69" t="s">
        <v>440</v>
      </c>
      <c r="DO69">
        <v>2</v>
      </c>
      <c r="DP69" t="b">
        <v>1</v>
      </c>
      <c r="DQ69">
        <v>1760908610.6</v>
      </c>
      <c r="DR69">
        <v>407.337</v>
      </c>
      <c r="DS69">
        <v>419.9975625</v>
      </c>
      <c r="DT69">
        <v>29.25486875</v>
      </c>
      <c r="DU69">
        <v>24.89959375</v>
      </c>
      <c r="DV69">
        <v>404.936</v>
      </c>
      <c r="DW69">
        <v>28.8196625</v>
      </c>
      <c r="DX69">
        <v>500.005</v>
      </c>
      <c r="DY69">
        <v>90.6585625</v>
      </c>
      <c r="DZ69">
        <v>0.04476293125</v>
      </c>
      <c r="EA69">
        <v>36.52650625</v>
      </c>
      <c r="EB69">
        <v>36.01078125</v>
      </c>
      <c r="EC69">
        <v>999.9</v>
      </c>
      <c r="ED69">
        <v>0</v>
      </c>
      <c r="EE69">
        <v>0</v>
      </c>
      <c r="EF69">
        <v>9993.7875</v>
      </c>
      <c r="EG69">
        <v>0</v>
      </c>
      <c r="EH69">
        <v>1243.82625</v>
      </c>
      <c r="EI69">
        <v>-12.66069375</v>
      </c>
      <c r="EJ69">
        <v>419.6125</v>
      </c>
      <c r="EK69">
        <v>430.7224375</v>
      </c>
      <c r="EL69">
        <v>4.35528625</v>
      </c>
      <c r="EM69">
        <v>419.9975625</v>
      </c>
      <c r="EN69">
        <v>24.89959375</v>
      </c>
      <c r="EO69">
        <v>2.652205</v>
      </c>
      <c r="EP69">
        <v>2.25736</v>
      </c>
      <c r="EQ69">
        <v>21.99195</v>
      </c>
      <c r="ER69">
        <v>19.3753125</v>
      </c>
      <c r="ES69">
        <v>1200.041875</v>
      </c>
      <c r="ET69">
        <v>0.9669935</v>
      </c>
      <c r="EU69">
        <v>0.033006525</v>
      </c>
      <c r="EV69">
        <v>0</v>
      </c>
      <c r="EW69">
        <v>1289.888125</v>
      </c>
      <c r="EX69">
        <v>5.00059</v>
      </c>
      <c r="EY69">
        <v>15973.9625</v>
      </c>
      <c r="EZ69">
        <v>10359.06875</v>
      </c>
      <c r="FA69">
        <v>51.4409375</v>
      </c>
      <c r="FB69">
        <v>53.125</v>
      </c>
      <c r="FC69">
        <v>51.7145625</v>
      </c>
      <c r="FD69">
        <v>52.75</v>
      </c>
      <c r="FE69">
        <v>52.562</v>
      </c>
      <c r="FF69">
        <v>1155.595625</v>
      </c>
      <c r="FG69">
        <v>39.44625</v>
      </c>
      <c r="FH69">
        <v>0</v>
      </c>
      <c r="FI69">
        <v>153.200000047684</v>
      </c>
      <c r="FJ69">
        <v>0</v>
      </c>
      <c r="FK69">
        <v>1289.80846153846</v>
      </c>
      <c r="FL69">
        <v>1.18837607678789</v>
      </c>
      <c r="FM69">
        <v>14.3179489648611</v>
      </c>
      <c r="FN69">
        <v>15973.2461538462</v>
      </c>
      <c r="FO69">
        <v>15</v>
      </c>
      <c r="FP69">
        <v>0</v>
      </c>
      <c r="FQ69" t="s">
        <v>441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-12.6465523809524</v>
      </c>
      <c r="GD69">
        <v>-0.279374025974029</v>
      </c>
      <c r="GE69">
        <v>0.0377856689770785</v>
      </c>
      <c r="GF69">
        <v>1</v>
      </c>
      <c r="GG69">
        <v>1289.75</v>
      </c>
      <c r="GH69">
        <v>0.977540108498639</v>
      </c>
      <c r="GI69">
        <v>0.232998358994476</v>
      </c>
      <c r="GJ69">
        <v>-1</v>
      </c>
      <c r="GK69">
        <v>4.34970142857143</v>
      </c>
      <c r="GL69">
        <v>0.0956758441558418</v>
      </c>
      <c r="GM69">
        <v>0.00970450277704433</v>
      </c>
      <c r="GN69">
        <v>1</v>
      </c>
      <c r="GO69">
        <v>2</v>
      </c>
      <c r="GP69">
        <v>2</v>
      </c>
      <c r="GQ69" t="s">
        <v>442</v>
      </c>
      <c r="GR69">
        <v>3.12941</v>
      </c>
      <c r="GS69">
        <v>2.72285</v>
      </c>
      <c r="GT69">
        <v>0.0844731</v>
      </c>
      <c r="GU69">
        <v>0.0870358</v>
      </c>
      <c r="GV69">
        <v>0.115135</v>
      </c>
      <c r="GW69">
        <v>0.10326</v>
      </c>
      <c r="GX69">
        <v>33569.1</v>
      </c>
      <c r="GY69">
        <v>35593.6</v>
      </c>
      <c r="GZ69">
        <v>33249.9</v>
      </c>
      <c r="HA69">
        <v>35376</v>
      </c>
      <c r="HB69">
        <v>41797.9</v>
      </c>
      <c r="HC69">
        <v>45657.2</v>
      </c>
      <c r="HD69">
        <v>52079.3</v>
      </c>
      <c r="HE69">
        <v>56648.7</v>
      </c>
      <c r="HF69">
        <v>1.7854</v>
      </c>
      <c r="HG69">
        <v>1.6563</v>
      </c>
      <c r="HH69">
        <v>-0.00812486</v>
      </c>
      <c r="HI69">
        <v>0</v>
      </c>
      <c r="HJ69">
        <v>36.1414</v>
      </c>
      <c r="HK69">
        <v>999.9</v>
      </c>
      <c r="HL69">
        <v>55.414</v>
      </c>
      <c r="HM69">
        <v>29.799</v>
      </c>
      <c r="HN69">
        <v>25.7414</v>
      </c>
      <c r="HO69">
        <v>55.3737</v>
      </c>
      <c r="HP69">
        <v>42.9968</v>
      </c>
      <c r="HQ69">
        <v>1</v>
      </c>
      <c r="HR69">
        <v>1.3051</v>
      </c>
      <c r="HS69">
        <v>4.52226</v>
      </c>
      <c r="HT69">
        <v>20.0756</v>
      </c>
      <c r="HU69">
        <v>5.18764</v>
      </c>
      <c r="HV69">
        <v>12.0099</v>
      </c>
      <c r="HW69">
        <v>4.97355</v>
      </c>
      <c r="HX69">
        <v>3.295</v>
      </c>
      <c r="HY69">
        <v>9999</v>
      </c>
      <c r="HZ69">
        <v>999.9</v>
      </c>
      <c r="IA69">
        <v>9999</v>
      </c>
      <c r="IB69">
        <v>9999</v>
      </c>
      <c r="IC69">
        <v>1.86325</v>
      </c>
      <c r="ID69">
        <v>1.86807</v>
      </c>
      <c r="IE69">
        <v>1.86782</v>
      </c>
      <c r="IF69">
        <v>1.86905</v>
      </c>
      <c r="IG69">
        <v>1.86981</v>
      </c>
      <c r="IH69">
        <v>1.86584</v>
      </c>
      <c r="II69">
        <v>1.86691</v>
      </c>
      <c r="IJ69">
        <v>1.86834</v>
      </c>
      <c r="IK69">
        <v>5</v>
      </c>
      <c r="IL69">
        <v>0</v>
      </c>
      <c r="IM69">
        <v>0</v>
      </c>
      <c r="IN69">
        <v>0</v>
      </c>
      <c r="IO69" t="s">
        <v>443</v>
      </c>
      <c r="IP69" t="s">
        <v>444</v>
      </c>
      <c r="IQ69" t="s">
        <v>445</v>
      </c>
      <c r="IR69" t="s">
        <v>445</v>
      </c>
      <c r="IS69" t="s">
        <v>445</v>
      </c>
      <c r="IT69" t="s">
        <v>445</v>
      </c>
      <c r="IU69">
        <v>0</v>
      </c>
      <c r="IV69">
        <v>100</v>
      </c>
      <c r="IW69">
        <v>100</v>
      </c>
      <c r="IX69">
        <v>2.401</v>
      </c>
      <c r="IY69">
        <v>0.4352</v>
      </c>
      <c r="IZ69">
        <v>0.833350075594679</v>
      </c>
      <c r="JA69">
        <v>0.00412825224050377</v>
      </c>
      <c r="JB69">
        <v>-7.34426573386615e-07</v>
      </c>
      <c r="JC69">
        <v>2.46800082545482e-10</v>
      </c>
      <c r="JD69">
        <v>0.435209846415365</v>
      </c>
      <c r="JE69">
        <v>0</v>
      </c>
      <c r="JF69">
        <v>0</v>
      </c>
      <c r="JG69">
        <v>0</v>
      </c>
      <c r="JH69">
        <v>5</v>
      </c>
      <c r="JI69">
        <v>2250</v>
      </c>
      <c r="JJ69">
        <v>0</v>
      </c>
      <c r="JK69">
        <v>24</v>
      </c>
      <c r="JL69">
        <v>29348477</v>
      </c>
      <c r="JM69">
        <v>29348477</v>
      </c>
      <c r="JN69">
        <v>1.01929</v>
      </c>
      <c r="JO69">
        <v>2.62817</v>
      </c>
      <c r="JP69">
        <v>1.54785</v>
      </c>
      <c r="JQ69">
        <v>2.31689</v>
      </c>
      <c r="JR69">
        <v>1.64673</v>
      </c>
      <c r="JS69">
        <v>2.36328</v>
      </c>
      <c r="JT69">
        <v>34.0545</v>
      </c>
      <c r="JU69">
        <v>24.1751</v>
      </c>
      <c r="JV69">
        <v>18</v>
      </c>
      <c r="JW69">
        <v>499.799</v>
      </c>
      <c r="JX69">
        <v>408.271</v>
      </c>
      <c r="JY69">
        <v>30.5207</v>
      </c>
      <c r="JZ69">
        <v>42.6986</v>
      </c>
      <c r="KA69">
        <v>30.0002</v>
      </c>
      <c r="KB69">
        <v>42.4264</v>
      </c>
      <c r="KC69">
        <v>42.3159</v>
      </c>
      <c r="KD69">
        <v>20.4229</v>
      </c>
      <c r="KE69">
        <v>0</v>
      </c>
      <c r="KF69">
        <v>100</v>
      </c>
      <c r="KG69">
        <v>30.5068</v>
      </c>
      <c r="KH69">
        <v>420</v>
      </c>
      <c r="KI69">
        <v>35.6443</v>
      </c>
      <c r="KJ69">
        <v>94.5203</v>
      </c>
      <c r="KK69">
        <v>91.7147</v>
      </c>
    </row>
    <row r="70" spans="1:297">
      <c r="A70">
        <v>54</v>
      </c>
      <c r="B70">
        <v>1760908737.1</v>
      </c>
      <c r="C70">
        <v>14973</v>
      </c>
      <c r="D70" t="s">
        <v>672</v>
      </c>
      <c r="E70" t="s">
        <v>673</v>
      </c>
      <c r="F70">
        <v>5</v>
      </c>
      <c r="G70" t="s">
        <v>665</v>
      </c>
      <c r="H70" t="s">
        <v>436</v>
      </c>
      <c r="I70">
        <v>1760908729.1</v>
      </c>
      <c r="J70">
        <f>(K70)/1000</f>
        <v>0</v>
      </c>
      <c r="K70">
        <f>IF(DP70, AN70, AH70)</f>
        <v>0</v>
      </c>
      <c r="L70">
        <f>IF(DP70, AI70, AG70)</f>
        <v>0</v>
      </c>
      <c r="M70">
        <f>DR70 - IF(AU70&gt;1, L70*DL70*100.0/(AW70), 0)</f>
        <v>0</v>
      </c>
      <c r="N70">
        <f>((T70-J70/2)*M70-L70)/(T70+J70/2)</f>
        <v>0</v>
      </c>
      <c r="O70">
        <f>N70*(DY70+DZ70)/1000.0</f>
        <v>0</v>
      </c>
      <c r="P70">
        <f>(DR70 - IF(AU70&gt;1, L70*DL70*100.0/(AW70), 0))*(DY70+DZ70)/1000.0</f>
        <v>0</v>
      </c>
      <c r="Q70">
        <f>2.0/((1/S70-1/R70)+SIGN(S70)*SQRT((1/S70-1/R70)*(1/S70-1/R70) + 4*DM70/((DM70+1)*(DM70+1))*(2*1/S70*1/R70-1/R70*1/R70)))</f>
        <v>0</v>
      </c>
      <c r="R70">
        <f>IF(LEFT(DN70,1)&lt;&gt;"0",IF(LEFT(DN70,1)="1",3.0,DO70),$D$5+$E$5*(EF70*DY70/($K$5*1000))+$F$5*(EF70*DY70/($K$5*1000))*MAX(MIN(DL70,$J$5),$I$5)*MAX(MIN(DL70,$J$5),$I$5)+$G$5*MAX(MIN(DL70,$J$5),$I$5)*(EF70*DY70/($K$5*1000))+$H$5*(EF70*DY70/($K$5*1000))*(EF70*DY70/($K$5*1000)))</f>
        <v>0</v>
      </c>
      <c r="S70">
        <f>J70*(1000-(1000*0.61365*exp(17.502*W70/(240.97+W70))/(DY70+DZ70)+DT70)/2)/(1000*0.61365*exp(17.502*W70/(240.97+W70))/(DY70+DZ70)-DT70)</f>
        <v>0</v>
      </c>
      <c r="T70">
        <f>1/((DM70+1)/(Q70/1.6)+1/(R70/1.37)) + DM70/((DM70+1)/(Q70/1.6) + DM70/(R70/1.37))</f>
        <v>0</v>
      </c>
      <c r="U70">
        <f>(DH70*DK70)</f>
        <v>0</v>
      </c>
      <c r="V70">
        <f>(EA70+(U70+2*0.95*5.67E-8*(((EA70+$B$7)+273)^4-(EA70+273)^4)-44100*J70)/(1.84*29.3*R70+8*0.95*5.67E-8*(EA70+273)^3))</f>
        <v>0</v>
      </c>
      <c r="W70">
        <f>($C$7*EB70+$D$7*EC70+$E$7*V70)</f>
        <v>0</v>
      </c>
      <c r="X70">
        <f>0.61365*exp(17.502*W70/(240.97+W70))</f>
        <v>0</v>
      </c>
      <c r="Y70">
        <f>(Z70/AA70*100)</f>
        <v>0</v>
      </c>
      <c r="Z70">
        <f>DT70*(DY70+DZ70)/1000</f>
        <v>0</v>
      </c>
      <c r="AA70">
        <f>0.61365*exp(17.502*EA70/(240.97+EA70))</f>
        <v>0</v>
      </c>
      <c r="AB70">
        <f>(X70-DT70*(DY70+DZ70)/1000)</f>
        <v>0</v>
      </c>
      <c r="AC70">
        <f>(-J70*44100)</f>
        <v>0</v>
      </c>
      <c r="AD70">
        <f>2*29.3*R70*0.92*(EA70-W70)</f>
        <v>0</v>
      </c>
      <c r="AE70">
        <f>2*0.95*5.67E-8*(((EA70+$B$7)+273)^4-(W70+273)^4)</f>
        <v>0</v>
      </c>
      <c r="AF70">
        <f>U70+AE70+AC70+AD70</f>
        <v>0</v>
      </c>
      <c r="AG70">
        <f>DX70*AU70*(DS70-DR70*(1000-AU70*DU70)/(1000-AU70*DT70))/(100*DL70)</f>
        <v>0</v>
      </c>
      <c r="AH70">
        <f>1000*DX70*AU70*(DT70-DU70)/(100*DL70*(1000-AU70*DT70))</f>
        <v>0</v>
      </c>
      <c r="AI70">
        <f>(AJ70 - AK70 - DY70*1E3/(8.314*(EA70+273.15)) * AM70/DX70 * AL70) * DX70/(100*DL70) * (1000 - DU70)/1000</f>
        <v>0</v>
      </c>
      <c r="AJ70">
        <v>430.763498522124</v>
      </c>
      <c r="AK70">
        <v>419.47956969697</v>
      </c>
      <c r="AL70">
        <v>-0.000346414728308704</v>
      </c>
      <c r="AM70">
        <v>64.9518716920725</v>
      </c>
      <c r="AN70">
        <f>(AP70 - AO70 + DY70*1E3/(8.314*(EA70+273.15)) * AR70/DX70 * AQ70) * DX70/(100*DL70) * 1000/(1000 - AP70)</f>
        <v>0</v>
      </c>
      <c r="AO70">
        <v>24.9512837754979</v>
      </c>
      <c r="AP70">
        <v>29.3376436363636</v>
      </c>
      <c r="AQ70">
        <v>3.80924251536531e-05</v>
      </c>
      <c r="AR70">
        <v>117.693613164283</v>
      </c>
      <c r="AS70">
        <v>0</v>
      </c>
      <c r="AT70">
        <v>0</v>
      </c>
      <c r="AU70">
        <f>IF(AS70*$H$13&gt;=AW70,1.0,(AW70/(AW70-AS70*$H$13)))</f>
        <v>0</v>
      </c>
      <c r="AV70">
        <f>(AU70-1)*100</f>
        <v>0</v>
      </c>
      <c r="AW70">
        <f>MAX(0,($B$13+$C$13*EF70)/(1+$D$13*EF70)*DY70/(EA70+273)*$E$13)</f>
        <v>0</v>
      </c>
      <c r="AX70" t="s">
        <v>437</v>
      </c>
      <c r="AY70">
        <v>5082.33</v>
      </c>
      <c r="AZ70">
        <v>690.032</v>
      </c>
      <c r="BA70">
        <v>1612.68</v>
      </c>
      <c r="BB70">
        <f>1-AZ70/BA70</f>
        <v>0</v>
      </c>
      <c r="BC70">
        <v>-9.7270689171713</v>
      </c>
      <c r="BD70" t="s">
        <v>674</v>
      </c>
      <c r="BE70">
        <v>5124.41</v>
      </c>
      <c r="BF70">
        <v>1294.895</v>
      </c>
      <c r="BG70">
        <v>1743.86068466313</v>
      </c>
      <c r="BH70">
        <f>1-BF70/BG70</f>
        <v>0</v>
      </c>
      <c r="BI70">
        <v>0.5</v>
      </c>
      <c r="BJ70">
        <f>DI70</f>
        <v>0</v>
      </c>
      <c r="BK70">
        <f>L70</f>
        <v>0</v>
      </c>
      <c r="BL70">
        <f>BH70*BI70*BJ70</f>
        <v>0</v>
      </c>
      <c r="BM70">
        <f>(BK70-BC70)/BJ70</f>
        <v>0</v>
      </c>
      <c r="BN70">
        <f>(BA70-BG70)/BG70</f>
        <v>0</v>
      </c>
      <c r="BO70">
        <f>AZ70/(BB70+AZ70/BG70)</f>
        <v>0</v>
      </c>
      <c r="BP70" t="s">
        <v>675</v>
      </c>
      <c r="BQ70">
        <v>803.4</v>
      </c>
      <c r="BR70">
        <f>IF(BQ70&lt;&gt;0, BQ70, BO70)</f>
        <v>0</v>
      </c>
      <c r="BS70">
        <f>1-BR70/BG70</f>
        <v>0</v>
      </c>
      <c r="BT70">
        <f>(BG70-BF70)/(BG70-BR70)</f>
        <v>0</v>
      </c>
      <c r="BU70">
        <f>(BA70-BG70)/(BA70-BR70)</f>
        <v>0</v>
      </c>
      <c r="BV70">
        <f>(BG70-BF70)/(BG70-AZ70)</f>
        <v>0</v>
      </c>
      <c r="BW70">
        <f>(BA70-BG70)/(BA70-AZ70)</f>
        <v>0</v>
      </c>
      <c r="BX70">
        <f>(BT70*BR70/BF70)</f>
        <v>0</v>
      </c>
      <c r="BY70">
        <f>(1-BX70)</f>
        <v>0</v>
      </c>
      <c r="BZ70">
        <v>202</v>
      </c>
      <c r="CA70">
        <v>290</v>
      </c>
      <c r="CB70">
        <v>1622.93</v>
      </c>
      <c r="CC70">
        <v>255</v>
      </c>
      <c r="CD70">
        <v>5124.41</v>
      </c>
      <c r="CE70">
        <v>1621.7</v>
      </c>
      <c r="CF70">
        <v>1.23</v>
      </c>
      <c r="CG70">
        <v>300</v>
      </c>
      <c r="CH70">
        <v>23.8</v>
      </c>
      <c r="CI70">
        <v>1743.86068466313</v>
      </c>
      <c r="CJ70">
        <v>2.59683866478829</v>
      </c>
      <c r="CK70">
        <v>-62.5983450141328</v>
      </c>
      <c r="CL70">
        <v>1.19738464671281</v>
      </c>
      <c r="CM70">
        <v>0.989859179077077</v>
      </c>
      <c r="CN70">
        <v>-0.00323205027808676</v>
      </c>
      <c r="CO70">
        <v>290</v>
      </c>
      <c r="CP70">
        <v>1620.69</v>
      </c>
      <c r="CQ70">
        <v>675</v>
      </c>
      <c r="CR70">
        <v>5122.17</v>
      </c>
      <c r="CS70">
        <v>1621.65</v>
      </c>
      <c r="CT70">
        <v>-0.96</v>
      </c>
      <c r="DH70">
        <f>$B$11*EG70+$C$11*EH70+$F$11*ES70*(1-EV70)</f>
        <v>0</v>
      </c>
      <c r="DI70">
        <f>DH70*DJ70</f>
        <v>0</v>
      </c>
      <c r="DJ70">
        <f>($B$11*$D$9+$C$11*$D$9+$F$11*((FF70+EX70)/MAX(FF70+EX70+FG70, 0.1)*$I$9+FG70/MAX(FF70+EX70+FG70, 0.1)*$J$9))/($B$11+$C$11+$F$11)</f>
        <v>0</v>
      </c>
      <c r="DK70">
        <f>($B$11*$K$9+$C$11*$K$9+$F$11*((FF70+EX70)/MAX(FF70+EX70+FG70, 0.1)*$P$9+FG70/MAX(FF70+EX70+FG70, 0.1)*$Q$9))/($B$11+$C$11+$F$11)</f>
        <v>0</v>
      </c>
      <c r="DL70">
        <v>3.21</v>
      </c>
      <c r="DM70">
        <v>0.5</v>
      </c>
      <c r="DN70" t="s">
        <v>440</v>
      </c>
      <c r="DO70">
        <v>2</v>
      </c>
      <c r="DP70" t="b">
        <v>1</v>
      </c>
      <c r="DQ70">
        <v>1760908729.1</v>
      </c>
      <c r="DR70">
        <v>407.191266666667</v>
      </c>
      <c r="DS70">
        <v>420.010466666667</v>
      </c>
      <c r="DT70">
        <v>29.3322933333333</v>
      </c>
      <c r="DU70">
        <v>24.94974</v>
      </c>
      <c r="DV70">
        <v>404.790866666667</v>
      </c>
      <c r="DW70">
        <v>28.8970933333333</v>
      </c>
      <c r="DX70">
        <v>500.009133333333</v>
      </c>
      <c r="DY70">
        <v>90.66358</v>
      </c>
      <c r="DZ70">
        <v>0.0448116533333333</v>
      </c>
      <c r="EA70">
        <v>36.5189266666667</v>
      </c>
      <c r="EB70">
        <v>35.9890133333333</v>
      </c>
      <c r="EC70">
        <v>999.9</v>
      </c>
      <c r="ED70">
        <v>0</v>
      </c>
      <c r="EE70">
        <v>0</v>
      </c>
      <c r="EF70">
        <v>10004.83</v>
      </c>
      <c r="EG70">
        <v>0</v>
      </c>
      <c r="EH70">
        <v>1243.92666666667</v>
      </c>
      <c r="EI70">
        <v>-12.8191666666667</v>
      </c>
      <c r="EJ70">
        <v>419.496</v>
      </c>
      <c r="EK70">
        <v>430.7578</v>
      </c>
      <c r="EL70">
        <v>4.38257466666667</v>
      </c>
      <c r="EM70">
        <v>420.010466666667</v>
      </c>
      <c r="EN70">
        <v>24.94974</v>
      </c>
      <c r="EO70">
        <v>2.659372</v>
      </c>
      <c r="EP70">
        <v>2.262032</v>
      </c>
      <c r="EQ70">
        <v>22.0362</v>
      </c>
      <c r="ER70">
        <v>19.40854</v>
      </c>
      <c r="ES70">
        <v>1199.96</v>
      </c>
      <c r="ET70">
        <v>0.966992933333333</v>
      </c>
      <c r="EU70">
        <v>0.0330071533333333</v>
      </c>
      <c r="EV70">
        <v>0</v>
      </c>
      <c r="EW70">
        <v>1294.86733333333</v>
      </c>
      <c r="EX70">
        <v>5.00059</v>
      </c>
      <c r="EY70">
        <v>16037.5066666667</v>
      </c>
      <c r="EZ70">
        <v>10358.3533333333</v>
      </c>
      <c r="FA70">
        <v>51.4328666666667</v>
      </c>
      <c r="FB70">
        <v>53.125</v>
      </c>
      <c r="FC70">
        <v>51.687</v>
      </c>
      <c r="FD70">
        <v>52.7458</v>
      </c>
      <c r="FE70">
        <v>52.562</v>
      </c>
      <c r="FF70">
        <v>1155.516</v>
      </c>
      <c r="FG70">
        <v>39.444</v>
      </c>
      <c r="FH70">
        <v>0</v>
      </c>
      <c r="FI70">
        <v>114.900000095367</v>
      </c>
      <c r="FJ70">
        <v>0</v>
      </c>
      <c r="FK70">
        <v>1294.895</v>
      </c>
      <c r="FL70">
        <v>1.03418804850224</v>
      </c>
      <c r="FM70">
        <v>17.5658122129269</v>
      </c>
      <c r="FN70">
        <v>16038.1153846154</v>
      </c>
      <c r="FO70">
        <v>15</v>
      </c>
      <c r="FP70">
        <v>0</v>
      </c>
      <c r="FQ70" t="s">
        <v>441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-12.81628</v>
      </c>
      <c r="GD70">
        <v>-0.135969924812053</v>
      </c>
      <c r="GE70">
        <v>0.0254139646651206</v>
      </c>
      <c r="GF70">
        <v>1</v>
      </c>
      <c r="GG70">
        <v>1294.775</v>
      </c>
      <c r="GH70">
        <v>2.235446906497</v>
      </c>
      <c r="GI70">
        <v>0.319035771551409</v>
      </c>
      <c r="GJ70">
        <v>-1</v>
      </c>
      <c r="GK70">
        <v>4.3825255</v>
      </c>
      <c r="GL70">
        <v>0.0101715789473621</v>
      </c>
      <c r="GM70">
        <v>0.00159144423402143</v>
      </c>
      <c r="GN70">
        <v>1</v>
      </c>
      <c r="GO70">
        <v>2</v>
      </c>
      <c r="GP70">
        <v>2</v>
      </c>
      <c r="GQ70" t="s">
        <v>442</v>
      </c>
      <c r="GR70">
        <v>3.12959</v>
      </c>
      <c r="GS70">
        <v>2.72286</v>
      </c>
      <c r="GT70">
        <v>0.0844449</v>
      </c>
      <c r="GU70">
        <v>0.0870282</v>
      </c>
      <c r="GV70">
        <v>0.115328</v>
      </c>
      <c r="GW70">
        <v>0.103399</v>
      </c>
      <c r="GX70">
        <v>33570.9</v>
      </c>
      <c r="GY70">
        <v>35595.1</v>
      </c>
      <c r="GZ70">
        <v>33250.7</v>
      </c>
      <c r="HA70">
        <v>35377.3</v>
      </c>
      <c r="HB70">
        <v>41790.3</v>
      </c>
      <c r="HC70">
        <v>45652.2</v>
      </c>
      <c r="HD70">
        <v>52080.7</v>
      </c>
      <c r="HE70">
        <v>56651.1</v>
      </c>
      <c r="HF70">
        <v>1.78583</v>
      </c>
      <c r="HG70">
        <v>1.65635</v>
      </c>
      <c r="HH70">
        <v>-0.0104941</v>
      </c>
      <c r="HI70">
        <v>0</v>
      </c>
      <c r="HJ70">
        <v>36.138</v>
      </c>
      <c r="HK70">
        <v>999.9</v>
      </c>
      <c r="HL70">
        <v>55.463</v>
      </c>
      <c r="HM70">
        <v>29.829</v>
      </c>
      <c r="HN70">
        <v>25.8068</v>
      </c>
      <c r="HO70">
        <v>55.3637</v>
      </c>
      <c r="HP70">
        <v>42.9728</v>
      </c>
      <c r="HQ70">
        <v>1</v>
      </c>
      <c r="HR70">
        <v>1.30249</v>
      </c>
      <c r="HS70">
        <v>3.99164</v>
      </c>
      <c r="HT70">
        <v>20.0886</v>
      </c>
      <c r="HU70">
        <v>5.19019</v>
      </c>
      <c r="HV70">
        <v>12.0099</v>
      </c>
      <c r="HW70">
        <v>4.9717</v>
      </c>
      <c r="HX70">
        <v>3.295</v>
      </c>
      <c r="HY70">
        <v>9999</v>
      </c>
      <c r="HZ70">
        <v>999.9</v>
      </c>
      <c r="IA70">
        <v>9999</v>
      </c>
      <c r="IB70">
        <v>9999</v>
      </c>
      <c r="IC70">
        <v>1.86325</v>
      </c>
      <c r="ID70">
        <v>1.86801</v>
      </c>
      <c r="IE70">
        <v>1.86782</v>
      </c>
      <c r="IF70">
        <v>1.86905</v>
      </c>
      <c r="IG70">
        <v>1.86981</v>
      </c>
      <c r="IH70">
        <v>1.86584</v>
      </c>
      <c r="II70">
        <v>1.86691</v>
      </c>
      <c r="IJ70">
        <v>1.86837</v>
      </c>
      <c r="IK70">
        <v>5</v>
      </c>
      <c r="IL70">
        <v>0</v>
      </c>
      <c r="IM70">
        <v>0</v>
      </c>
      <c r="IN70">
        <v>0</v>
      </c>
      <c r="IO70" t="s">
        <v>443</v>
      </c>
      <c r="IP70" t="s">
        <v>444</v>
      </c>
      <c r="IQ70" t="s">
        <v>445</v>
      </c>
      <c r="IR70" t="s">
        <v>445</v>
      </c>
      <c r="IS70" t="s">
        <v>445</v>
      </c>
      <c r="IT70" t="s">
        <v>445</v>
      </c>
      <c r="IU70">
        <v>0</v>
      </c>
      <c r="IV70">
        <v>100</v>
      </c>
      <c r="IW70">
        <v>100</v>
      </c>
      <c r="IX70">
        <v>2.4</v>
      </c>
      <c r="IY70">
        <v>0.4353</v>
      </c>
      <c r="IZ70">
        <v>0.833350075594679</v>
      </c>
      <c r="JA70">
        <v>0.00412825224050377</v>
      </c>
      <c r="JB70">
        <v>-7.34426573386615e-07</v>
      </c>
      <c r="JC70">
        <v>2.46800082545482e-10</v>
      </c>
      <c r="JD70">
        <v>0.435209846415365</v>
      </c>
      <c r="JE70">
        <v>0</v>
      </c>
      <c r="JF70">
        <v>0</v>
      </c>
      <c r="JG70">
        <v>0</v>
      </c>
      <c r="JH70">
        <v>5</v>
      </c>
      <c r="JI70">
        <v>2250</v>
      </c>
      <c r="JJ70">
        <v>0</v>
      </c>
      <c r="JK70">
        <v>24</v>
      </c>
      <c r="JL70">
        <v>29348479</v>
      </c>
      <c r="JM70">
        <v>29348479</v>
      </c>
      <c r="JN70">
        <v>1.01929</v>
      </c>
      <c r="JO70">
        <v>2.63794</v>
      </c>
      <c r="JP70">
        <v>1.54785</v>
      </c>
      <c r="JQ70">
        <v>2.31567</v>
      </c>
      <c r="JR70">
        <v>1.64673</v>
      </c>
      <c r="JS70">
        <v>2.29004</v>
      </c>
      <c r="JT70">
        <v>34.0998</v>
      </c>
      <c r="JU70">
        <v>24.1751</v>
      </c>
      <c r="JV70">
        <v>18</v>
      </c>
      <c r="JW70">
        <v>500.219</v>
      </c>
      <c r="JX70">
        <v>408.395</v>
      </c>
      <c r="JY70">
        <v>30.4158</v>
      </c>
      <c r="JZ70">
        <v>42.7019</v>
      </c>
      <c r="KA70">
        <v>29.9978</v>
      </c>
      <c r="KB70">
        <v>42.4436</v>
      </c>
      <c r="KC70">
        <v>42.333</v>
      </c>
      <c r="KD70">
        <v>20.4231</v>
      </c>
      <c r="KE70">
        <v>0</v>
      </c>
      <c r="KF70">
        <v>100</v>
      </c>
      <c r="KG70">
        <v>30.5147</v>
      </c>
      <c r="KH70">
        <v>420</v>
      </c>
      <c r="KI70">
        <v>35.6443</v>
      </c>
      <c r="KJ70">
        <v>94.5229</v>
      </c>
      <c r="KK70">
        <v>91.7184</v>
      </c>
    </row>
    <row r="71" spans="1:297">
      <c r="A71">
        <v>55</v>
      </c>
      <c r="B71">
        <v>1760909237.1</v>
      </c>
      <c r="C71">
        <v>15473</v>
      </c>
      <c r="D71" t="s">
        <v>676</v>
      </c>
      <c r="E71" t="s">
        <v>677</v>
      </c>
      <c r="F71">
        <v>5</v>
      </c>
      <c r="G71" t="s">
        <v>678</v>
      </c>
      <c r="H71" t="s">
        <v>436</v>
      </c>
      <c r="I71">
        <v>1760909228.6</v>
      </c>
      <c r="J71">
        <f>(K71)/1000</f>
        <v>0</v>
      </c>
      <c r="K71">
        <f>IF(DP71, AN71, AH71)</f>
        <v>0</v>
      </c>
      <c r="L71">
        <f>IF(DP71, AI71, AG71)</f>
        <v>0</v>
      </c>
      <c r="M71">
        <f>DR71 - IF(AU71&gt;1, L71*DL71*100.0/(AW71), 0)</f>
        <v>0</v>
      </c>
      <c r="N71">
        <f>((T71-J71/2)*M71-L71)/(T71+J71/2)</f>
        <v>0</v>
      </c>
      <c r="O71">
        <f>N71*(DY71+DZ71)/1000.0</f>
        <v>0</v>
      </c>
      <c r="P71">
        <f>(DR71 - IF(AU71&gt;1, L71*DL71*100.0/(AW71), 0))*(DY71+DZ71)/1000.0</f>
        <v>0</v>
      </c>
      <c r="Q71">
        <f>2.0/((1/S71-1/R71)+SIGN(S71)*SQRT((1/S71-1/R71)*(1/S71-1/R71) + 4*DM71/((DM71+1)*(DM71+1))*(2*1/S71*1/R71-1/R71*1/R71)))</f>
        <v>0</v>
      </c>
      <c r="R71">
        <f>IF(LEFT(DN71,1)&lt;&gt;"0",IF(LEFT(DN71,1)="1",3.0,DO71),$D$5+$E$5*(EF71*DY71/($K$5*1000))+$F$5*(EF71*DY71/($K$5*1000))*MAX(MIN(DL71,$J$5),$I$5)*MAX(MIN(DL71,$J$5),$I$5)+$G$5*MAX(MIN(DL71,$J$5),$I$5)*(EF71*DY71/($K$5*1000))+$H$5*(EF71*DY71/($K$5*1000))*(EF71*DY71/($K$5*1000)))</f>
        <v>0</v>
      </c>
      <c r="S71">
        <f>J71*(1000-(1000*0.61365*exp(17.502*W71/(240.97+W71))/(DY71+DZ71)+DT71)/2)/(1000*0.61365*exp(17.502*W71/(240.97+W71))/(DY71+DZ71)-DT71)</f>
        <v>0</v>
      </c>
      <c r="T71">
        <f>1/((DM71+1)/(Q71/1.6)+1/(R71/1.37)) + DM71/((DM71+1)/(Q71/1.6) + DM71/(R71/1.37))</f>
        <v>0</v>
      </c>
      <c r="U71">
        <f>(DH71*DK71)</f>
        <v>0</v>
      </c>
      <c r="V71">
        <f>(EA71+(U71+2*0.95*5.67E-8*(((EA71+$B$7)+273)^4-(EA71+273)^4)-44100*J71)/(1.84*29.3*R71+8*0.95*5.67E-8*(EA71+273)^3))</f>
        <v>0</v>
      </c>
      <c r="W71">
        <f>($C$7*EB71+$D$7*EC71+$E$7*V71)</f>
        <v>0</v>
      </c>
      <c r="X71">
        <f>0.61365*exp(17.502*W71/(240.97+W71))</f>
        <v>0</v>
      </c>
      <c r="Y71">
        <f>(Z71/AA71*100)</f>
        <v>0</v>
      </c>
      <c r="Z71">
        <f>DT71*(DY71+DZ71)/1000</f>
        <v>0</v>
      </c>
      <c r="AA71">
        <f>0.61365*exp(17.502*EA71/(240.97+EA71))</f>
        <v>0</v>
      </c>
      <c r="AB71">
        <f>(X71-DT71*(DY71+DZ71)/1000)</f>
        <v>0</v>
      </c>
      <c r="AC71">
        <f>(-J71*44100)</f>
        <v>0</v>
      </c>
      <c r="AD71">
        <f>2*29.3*R71*0.92*(EA71-W71)</f>
        <v>0</v>
      </c>
      <c r="AE71">
        <f>2*0.95*5.67E-8*(((EA71+$B$7)+273)^4-(W71+273)^4)</f>
        <v>0</v>
      </c>
      <c r="AF71">
        <f>U71+AE71+AC71+AD71</f>
        <v>0</v>
      </c>
      <c r="AG71">
        <f>DX71*AU71*(DS71-DR71*(1000-AU71*DU71)/(1000-AU71*DT71))/(100*DL71)</f>
        <v>0</v>
      </c>
      <c r="AH71">
        <f>1000*DX71*AU71*(DT71-DU71)/(100*DL71*(1000-AU71*DT71))</f>
        <v>0</v>
      </c>
      <c r="AI71">
        <f>(AJ71 - AK71 - DY71*1E3/(8.314*(EA71+273.15)) * AM71/DX71 * AL71) * DX71/(100*DL71) * (1000 - DU71)/1000</f>
        <v>0</v>
      </c>
      <c r="AJ71">
        <v>430.84057830033</v>
      </c>
      <c r="AK71">
        <v>418.885696969697</v>
      </c>
      <c r="AL71">
        <v>-0.000448030812787504</v>
      </c>
      <c r="AM71">
        <v>64.9482802601375</v>
      </c>
      <c r="AN71">
        <f>(AP71 - AO71 + DY71*1E3/(8.314*(EA71+273.15)) * AR71/DX71 * AQ71) * DX71/(100*DL71) * 1000/(1000 - AP71)</f>
        <v>0</v>
      </c>
      <c r="AO71">
        <v>25.1300425367126</v>
      </c>
      <c r="AP71">
        <v>30.6403490909091</v>
      </c>
      <c r="AQ71">
        <v>0.00507523313156437</v>
      </c>
      <c r="AR71">
        <v>117.722183879882</v>
      </c>
      <c r="AS71">
        <v>0</v>
      </c>
      <c r="AT71">
        <v>0</v>
      </c>
      <c r="AU71">
        <f>IF(AS71*$H$13&gt;=AW71,1.0,(AW71/(AW71-AS71*$H$13)))</f>
        <v>0</v>
      </c>
      <c r="AV71">
        <f>(AU71-1)*100</f>
        <v>0</v>
      </c>
      <c r="AW71">
        <f>MAX(0,($B$13+$C$13*EF71)/(1+$D$13*EF71)*DY71/(EA71+273)*$E$13)</f>
        <v>0</v>
      </c>
      <c r="AX71" t="s">
        <v>437</v>
      </c>
      <c r="AY71">
        <v>5082.33</v>
      </c>
      <c r="AZ71">
        <v>690.032</v>
      </c>
      <c r="BA71">
        <v>1612.68</v>
      </c>
      <c r="BB71">
        <f>1-AZ71/BA71</f>
        <v>0</v>
      </c>
      <c r="BC71">
        <v>-9.7270689171713</v>
      </c>
      <c r="BD71" t="s">
        <v>679</v>
      </c>
      <c r="BE71">
        <v>5124.49</v>
      </c>
      <c r="BF71">
        <v>1422.9304</v>
      </c>
      <c r="BG71">
        <v>1858.45198814059</v>
      </c>
      <c r="BH71">
        <f>1-BF71/BG71</f>
        <v>0</v>
      </c>
      <c r="BI71">
        <v>0.5</v>
      </c>
      <c r="BJ71">
        <f>DI71</f>
        <v>0</v>
      </c>
      <c r="BK71">
        <f>L71</f>
        <v>0</v>
      </c>
      <c r="BL71">
        <f>BH71*BI71*BJ71</f>
        <v>0</v>
      </c>
      <c r="BM71">
        <f>(BK71-BC71)/BJ71</f>
        <v>0</v>
      </c>
      <c r="BN71">
        <f>(BA71-BG71)/BG71</f>
        <v>0</v>
      </c>
      <c r="BO71">
        <f>AZ71/(BB71+AZ71/BG71)</f>
        <v>0</v>
      </c>
      <c r="BP71" t="s">
        <v>680</v>
      </c>
      <c r="BQ71">
        <v>773.93</v>
      </c>
      <c r="BR71">
        <f>IF(BQ71&lt;&gt;0, BQ71, BO71)</f>
        <v>0</v>
      </c>
      <c r="BS71">
        <f>1-BR71/BG71</f>
        <v>0</v>
      </c>
      <c r="BT71">
        <f>(BG71-BF71)/(BG71-BR71)</f>
        <v>0</v>
      </c>
      <c r="BU71">
        <f>(BA71-BG71)/(BA71-BR71)</f>
        <v>0</v>
      </c>
      <c r="BV71">
        <f>(BG71-BF71)/(BG71-AZ71)</f>
        <v>0</v>
      </c>
      <c r="BW71">
        <f>(BA71-BG71)/(BA71-AZ71)</f>
        <v>0</v>
      </c>
      <c r="BX71">
        <f>(BT71*BR71/BF71)</f>
        <v>0</v>
      </c>
      <c r="BY71">
        <f>(1-BX71)</f>
        <v>0</v>
      </c>
      <c r="BZ71">
        <v>204</v>
      </c>
      <c r="CA71">
        <v>290</v>
      </c>
      <c r="CB71">
        <v>1743.26</v>
      </c>
      <c r="CC71">
        <v>275</v>
      </c>
      <c r="CD71">
        <v>5124.49</v>
      </c>
      <c r="CE71">
        <v>1743.21</v>
      </c>
      <c r="CF71">
        <v>0.05</v>
      </c>
      <c r="CG71">
        <v>300</v>
      </c>
      <c r="CH71">
        <v>23.8</v>
      </c>
      <c r="CI71">
        <v>1858.45198814059</v>
      </c>
      <c r="CJ71">
        <v>2.08489270448348</v>
      </c>
      <c r="CK71">
        <v>-59.0536511002971</v>
      </c>
      <c r="CL71">
        <v>0.961411349615377</v>
      </c>
      <c r="CM71">
        <v>0.992633319034717</v>
      </c>
      <c r="CN71">
        <v>-0.00323220912124583</v>
      </c>
      <c r="CO71">
        <v>290</v>
      </c>
      <c r="CP71">
        <v>1741.9</v>
      </c>
      <c r="CQ71">
        <v>695</v>
      </c>
      <c r="CR71">
        <v>5122.43</v>
      </c>
      <c r="CS71">
        <v>1743.17</v>
      </c>
      <c r="CT71">
        <v>-1.27</v>
      </c>
      <c r="DH71">
        <f>$B$11*EG71+$C$11*EH71+$F$11*ES71*(1-EV71)</f>
        <v>0</v>
      </c>
      <c r="DI71">
        <f>DH71*DJ71</f>
        <v>0</v>
      </c>
      <c r="DJ71">
        <f>($B$11*$D$9+$C$11*$D$9+$F$11*((FF71+EX71)/MAX(FF71+EX71+FG71, 0.1)*$I$9+FG71/MAX(FF71+EX71+FG71, 0.1)*$J$9))/($B$11+$C$11+$F$11)</f>
        <v>0</v>
      </c>
      <c r="DK71">
        <f>($B$11*$K$9+$C$11*$K$9+$F$11*((FF71+EX71)/MAX(FF71+EX71+FG71, 0.1)*$P$9+FG71/MAX(FF71+EX71+FG71, 0.1)*$Q$9))/($B$11+$C$11+$F$11)</f>
        <v>0</v>
      </c>
      <c r="DL71">
        <v>3.21</v>
      </c>
      <c r="DM71">
        <v>0.5</v>
      </c>
      <c r="DN71" t="s">
        <v>440</v>
      </c>
      <c r="DO71">
        <v>2</v>
      </c>
      <c r="DP71" t="b">
        <v>1</v>
      </c>
      <c r="DQ71">
        <v>1760909228.6</v>
      </c>
      <c r="DR71">
        <v>406.0985625</v>
      </c>
      <c r="DS71">
        <v>419.996875</v>
      </c>
      <c r="DT71">
        <v>30.6069125</v>
      </c>
      <c r="DU71">
        <v>25.12859375</v>
      </c>
      <c r="DV71">
        <v>403.702</v>
      </c>
      <c r="DW71">
        <v>30.17169375</v>
      </c>
      <c r="DX71">
        <v>500.0495</v>
      </c>
      <c r="DY71">
        <v>90.63955</v>
      </c>
      <c r="DZ71">
        <v>0.04389918125</v>
      </c>
      <c r="EA71">
        <v>36.50436875</v>
      </c>
      <c r="EB71">
        <v>35.97540625</v>
      </c>
      <c r="EC71">
        <v>999.9</v>
      </c>
      <c r="ED71">
        <v>0</v>
      </c>
      <c r="EE71">
        <v>0</v>
      </c>
      <c r="EF71">
        <v>10008.445</v>
      </c>
      <c r="EG71">
        <v>0</v>
      </c>
      <c r="EH71">
        <v>1263.346875</v>
      </c>
      <c r="EI71">
        <v>-13.898375</v>
      </c>
      <c r="EJ71">
        <v>418.9205</v>
      </c>
      <c r="EK71">
        <v>430.82275</v>
      </c>
      <c r="EL71">
        <v>5.47829625</v>
      </c>
      <c r="EM71">
        <v>419.996875</v>
      </c>
      <c r="EN71">
        <v>25.12859375</v>
      </c>
      <c r="EO71">
        <v>2.774195</v>
      </c>
      <c r="EP71">
        <v>2.27764375</v>
      </c>
      <c r="EQ71">
        <v>22.73133125</v>
      </c>
      <c r="ER71">
        <v>19.51916875</v>
      </c>
      <c r="ES71">
        <v>1199.99</v>
      </c>
      <c r="ET71">
        <v>0.966999875</v>
      </c>
      <c r="EU71">
        <v>0.03300033125</v>
      </c>
      <c r="EV71">
        <v>0</v>
      </c>
      <c r="EW71">
        <v>1423.036875</v>
      </c>
      <c r="EX71">
        <v>5.00059</v>
      </c>
      <c r="EY71">
        <v>17563.10625</v>
      </c>
      <c r="EZ71">
        <v>10358.625</v>
      </c>
      <c r="FA71">
        <v>51.277125</v>
      </c>
      <c r="FB71">
        <v>52.937</v>
      </c>
      <c r="FC71">
        <v>51.5</v>
      </c>
      <c r="FD71">
        <v>52.5</v>
      </c>
      <c r="FE71">
        <v>52.367125</v>
      </c>
      <c r="FF71">
        <v>1155.556875</v>
      </c>
      <c r="FG71">
        <v>39.433125</v>
      </c>
      <c r="FH71">
        <v>0</v>
      </c>
      <c r="FI71">
        <v>497.100000143051</v>
      </c>
      <c r="FJ71">
        <v>0</v>
      </c>
      <c r="FK71">
        <v>1422.9304</v>
      </c>
      <c r="FL71">
        <v>-2.2330769031465</v>
      </c>
      <c r="FM71">
        <v>-28.9230766907681</v>
      </c>
      <c r="FN71">
        <v>17562.076</v>
      </c>
      <c r="FO71">
        <v>15</v>
      </c>
      <c r="FP71">
        <v>0</v>
      </c>
      <c r="FQ71" t="s">
        <v>441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-13.8910619047619</v>
      </c>
      <c r="GD71">
        <v>-0.144249350649352</v>
      </c>
      <c r="GE71">
        <v>0.0295154273815364</v>
      </c>
      <c r="GF71">
        <v>1</v>
      </c>
      <c r="GG71">
        <v>1423.17176470588</v>
      </c>
      <c r="GH71">
        <v>-2.75049655681263</v>
      </c>
      <c r="GI71">
        <v>0.320472726087735</v>
      </c>
      <c r="GJ71">
        <v>-1</v>
      </c>
      <c r="GK71">
        <v>5.46492904761905</v>
      </c>
      <c r="GL71">
        <v>0.230703896103893</v>
      </c>
      <c r="GM71">
        <v>0.0233362193258956</v>
      </c>
      <c r="GN71">
        <v>0</v>
      </c>
      <c r="GO71">
        <v>1</v>
      </c>
      <c r="GP71">
        <v>2</v>
      </c>
      <c r="GQ71" t="s">
        <v>454</v>
      </c>
      <c r="GR71">
        <v>3.1295</v>
      </c>
      <c r="GS71">
        <v>2.7218</v>
      </c>
      <c r="GT71">
        <v>0.0842284</v>
      </c>
      <c r="GU71">
        <v>0.0869852</v>
      </c>
      <c r="GV71">
        <v>0.118938</v>
      </c>
      <c r="GW71">
        <v>0.103874</v>
      </c>
      <c r="GX71">
        <v>33571.8</v>
      </c>
      <c r="GY71">
        <v>35588.5</v>
      </c>
      <c r="GZ71">
        <v>33244.1</v>
      </c>
      <c r="HA71">
        <v>35369.5</v>
      </c>
      <c r="HB71">
        <v>41618.6</v>
      </c>
      <c r="HC71">
        <v>45619.1</v>
      </c>
      <c r="HD71">
        <v>52072.1</v>
      </c>
      <c r="HE71">
        <v>56639.3</v>
      </c>
      <c r="HF71">
        <v>1.7856</v>
      </c>
      <c r="HG71">
        <v>1.65432</v>
      </c>
      <c r="HH71">
        <v>-0.0201166</v>
      </c>
      <c r="HI71">
        <v>0</v>
      </c>
      <c r="HJ71">
        <v>36.3015</v>
      </c>
      <c r="HK71">
        <v>999.9</v>
      </c>
      <c r="HL71">
        <v>55.653</v>
      </c>
      <c r="HM71">
        <v>29.9</v>
      </c>
      <c r="HN71">
        <v>26.0077</v>
      </c>
      <c r="HO71">
        <v>54.5037</v>
      </c>
      <c r="HP71">
        <v>43.0248</v>
      </c>
      <c r="HQ71">
        <v>1</v>
      </c>
      <c r="HR71">
        <v>1.31036</v>
      </c>
      <c r="HS71">
        <v>4.05515</v>
      </c>
      <c r="HT71">
        <v>20.0865</v>
      </c>
      <c r="HU71">
        <v>5.19243</v>
      </c>
      <c r="HV71">
        <v>12.0099</v>
      </c>
      <c r="HW71">
        <v>4.97325</v>
      </c>
      <c r="HX71">
        <v>3.295</v>
      </c>
      <c r="HY71">
        <v>9999</v>
      </c>
      <c r="HZ71">
        <v>999.9</v>
      </c>
      <c r="IA71">
        <v>9999</v>
      </c>
      <c r="IB71">
        <v>9999</v>
      </c>
      <c r="IC71">
        <v>1.86325</v>
      </c>
      <c r="ID71">
        <v>1.86805</v>
      </c>
      <c r="IE71">
        <v>1.86782</v>
      </c>
      <c r="IF71">
        <v>1.86905</v>
      </c>
      <c r="IG71">
        <v>1.86981</v>
      </c>
      <c r="IH71">
        <v>1.86584</v>
      </c>
      <c r="II71">
        <v>1.86692</v>
      </c>
      <c r="IJ71">
        <v>1.86839</v>
      </c>
      <c r="IK71">
        <v>5</v>
      </c>
      <c r="IL71">
        <v>0</v>
      </c>
      <c r="IM71">
        <v>0</v>
      </c>
      <c r="IN71">
        <v>0</v>
      </c>
      <c r="IO71" t="s">
        <v>443</v>
      </c>
      <c r="IP71" t="s">
        <v>444</v>
      </c>
      <c r="IQ71" t="s">
        <v>445</v>
      </c>
      <c r="IR71" t="s">
        <v>445</v>
      </c>
      <c r="IS71" t="s">
        <v>445</v>
      </c>
      <c r="IT71" t="s">
        <v>445</v>
      </c>
      <c r="IU71">
        <v>0</v>
      </c>
      <c r="IV71">
        <v>100</v>
      </c>
      <c r="IW71">
        <v>100</v>
      </c>
      <c r="IX71">
        <v>2.397</v>
      </c>
      <c r="IY71">
        <v>0.4352</v>
      </c>
      <c r="IZ71">
        <v>0.833350075594679</v>
      </c>
      <c r="JA71">
        <v>0.00412825224050377</v>
      </c>
      <c r="JB71">
        <v>-7.34426573386615e-07</v>
      </c>
      <c r="JC71">
        <v>2.46800082545482e-10</v>
      </c>
      <c r="JD71">
        <v>0.435209846415365</v>
      </c>
      <c r="JE71">
        <v>0</v>
      </c>
      <c r="JF71">
        <v>0</v>
      </c>
      <c r="JG71">
        <v>0</v>
      </c>
      <c r="JH71">
        <v>5</v>
      </c>
      <c r="JI71">
        <v>2250</v>
      </c>
      <c r="JJ71">
        <v>0</v>
      </c>
      <c r="JK71">
        <v>24</v>
      </c>
      <c r="JL71">
        <v>29348487.3</v>
      </c>
      <c r="JM71">
        <v>29348487.3</v>
      </c>
      <c r="JN71">
        <v>1.01929</v>
      </c>
      <c r="JO71">
        <v>2.62573</v>
      </c>
      <c r="JP71">
        <v>1.54785</v>
      </c>
      <c r="JQ71">
        <v>2.31689</v>
      </c>
      <c r="JR71">
        <v>1.64551</v>
      </c>
      <c r="JS71">
        <v>2.37671</v>
      </c>
      <c r="JT71">
        <v>34.1225</v>
      </c>
      <c r="JU71">
        <v>24.1838</v>
      </c>
      <c r="JV71">
        <v>18</v>
      </c>
      <c r="JW71">
        <v>500.595</v>
      </c>
      <c r="JX71">
        <v>407.589</v>
      </c>
      <c r="JY71">
        <v>30.9374</v>
      </c>
      <c r="JZ71">
        <v>42.7882</v>
      </c>
      <c r="KA71">
        <v>30.0003</v>
      </c>
      <c r="KB71">
        <v>42.5217</v>
      </c>
      <c r="KC71">
        <v>42.4103</v>
      </c>
      <c r="KD71">
        <v>20.427</v>
      </c>
      <c r="KE71">
        <v>0</v>
      </c>
      <c r="KF71">
        <v>100</v>
      </c>
      <c r="KG71">
        <v>30.9447</v>
      </c>
      <c r="KH71">
        <v>420</v>
      </c>
      <c r="KI71">
        <v>35.6443</v>
      </c>
      <c r="KJ71">
        <v>94.5059</v>
      </c>
      <c r="KK71">
        <v>91.6989</v>
      </c>
    </row>
    <row r="72" spans="1:297">
      <c r="A72">
        <v>56</v>
      </c>
      <c r="B72">
        <v>1760909353.1</v>
      </c>
      <c r="C72">
        <v>15589</v>
      </c>
      <c r="D72" t="s">
        <v>681</v>
      </c>
      <c r="E72" t="s">
        <v>682</v>
      </c>
      <c r="F72">
        <v>5</v>
      </c>
      <c r="G72" t="s">
        <v>678</v>
      </c>
      <c r="H72" t="s">
        <v>436</v>
      </c>
      <c r="I72">
        <v>1760909345.1</v>
      </c>
      <c r="J72">
        <f>(K72)/1000</f>
        <v>0</v>
      </c>
      <c r="K72">
        <f>IF(DP72, AN72, AH72)</f>
        <v>0</v>
      </c>
      <c r="L72">
        <f>IF(DP72, AI72, AG72)</f>
        <v>0</v>
      </c>
      <c r="M72">
        <f>DR72 - IF(AU72&gt;1, L72*DL72*100.0/(AW72), 0)</f>
        <v>0</v>
      </c>
      <c r="N72">
        <f>((T72-J72/2)*M72-L72)/(T72+J72/2)</f>
        <v>0</v>
      </c>
      <c r="O72">
        <f>N72*(DY72+DZ72)/1000.0</f>
        <v>0</v>
      </c>
      <c r="P72">
        <f>(DR72 - IF(AU72&gt;1, L72*DL72*100.0/(AW72), 0))*(DY72+DZ72)/1000.0</f>
        <v>0</v>
      </c>
      <c r="Q72">
        <f>2.0/((1/S72-1/R72)+SIGN(S72)*SQRT((1/S72-1/R72)*(1/S72-1/R72) + 4*DM72/((DM72+1)*(DM72+1))*(2*1/S72*1/R72-1/R72*1/R72)))</f>
        <v>0</v>
      </c>
      <c r="R72">
        <f>IF(LEFT(DN72,1)&lt;&gt;"0",IF(LEFT(DN72,1)="1",3.0,DO72),$D$5+$E$5*(EF72*DY72/($K$5*1000))+$F$5*(EF72*DY72/($K$5*1000))*MAX(MIN(DL72,$J$5),$I$5)*MAX(MIN(DL72,$J$5),$I$5)+$G$5*MAX(MIN(DL72,$J$5),$I$5)*(EF72*DY72/($K$5*1000))+$H$5*(EF72*DY72/($K$5*1000))*(EF72*DY72/($K$5*1000)))</f>
        <v>0</v>
      </c>
      <c r="S72">
        <f>J72*(1000-(1000*0.61365*exp(17.502*W72/(240.97+W72))/(DY72+DZ72)+DT72)/2)/(1000*0.61365*exp(17.502*W72/(240.97+W72))/(DY72+DZ72)-DT72)</f>
        <v>0</v>
      </c>
      <c r="T72">
        <f>1/((DM72+1)/(Q72/1.6)+1/(R72/1.37)) + DM72/((DM72+1)/(Q72/1.6) + DM72/(R72/1.37))</f>
        <v>0</v>
      </c>
      <c r="U72">
        <f>(DH72*DK72)</f>
        <v>0</v>
      </c>
      <c r="V72">
        <f>(EA72+(U72+2*0.95*5.67E-8*(((EA72+$B$7)+273)^4-(EA72+273)^4)-44100*J72)/(1.84*29.3*R72+8*0.95*5.67E-8*(EA72+273)^3))</f>
        <v>0</v>
      </c>
      <c r="W72">
        <f>($C$7*EB72+$D$7*EC72+$E$7*V72)</f>
        <v>0</v>
      </c>
      <c r="X72">
        <f>0.61365*exp(17.502*W72/(240.97+W72))</f>
        <v>0</v>
      </c>
      <c r="Y72">
        <f>(Z72/AA72*100)</f>
        <v>0</v>
      </c>
      <c r="Z72">
        <f>DT72*(DY72+DZ72)/1000</f>
        <v>0</v>
      </c>
      <c r="AA72">
        <f>0.61365*exp(17.502*EA72/(240.97+EA72))</f>
        <v>0</v>
      </c>
      <c r="AB72">
        <f>(X72-DT72*(DY72+DZ72)/1000)</f>
        <v>0</v>
      </c>
      <c r="AC72">
        <f>(-J72*44100)</f>
        <v>0</v>
      </c>
      <c r="AD72">
        <f>2*29.3*R72*0.92*(EA72-W72)</f>
        <v>0</v>
      </c>
      <c r="AE72">
        <f>2*0.95*5.67E-8*(((EA72+$B$7)+273)^4-(W72+273)^4)</f>
        <v>0</v>
      </c>
      <c r="AF72">
        <f>U72+AE72+AC72+AD72</f>
        <v>0</v>
      </c>
      <c r="AG72">
        <f>DX72*AU72*(DS72-DR72*(1000-AU72*DU72)/(1000-AU72*DT72))/(100*DL72)</f>
        <v>0</v>
      </c>
      <c r="AH72">
        <f>1000*DX72*AU72*(DT72-DU72)/(100*DL72*(1000-AU72*DT72))</f>
        <v>0</v>
      </c>
      <c r="AI72">
        <f>(AJ72 - AK72 - DY72*1E3/(8.314*(EA72+273.15)) * AM72/DX72 * AL72) * DX72/(100*DL72) * (1000 - DU72)/1000</f>
        <v>0</v>
      </c>
      <c r="AJ72">
        <v>430.805425761553</v>
      </c>
      <c r="AK72">
        <v>418.573381818182</v>
      </c>
      <c r="AL72">
        <v>0.000396162936795394</v>
      </c>
      <c r="AM72">
        <v>64.9482802601375</v>
      </c>
      <c r="AN72">
        <f>(AP72 - AO72 + DY72*1E3/(8.314*(EA72+273.15)) * AR72/DX72 * AQ72) * DX72/(100*DL72) * 1000/(1000 - AP72)</f>
        <v>0</v>
      </c>
      <c r="AO72">
        <v>25.1342196536375</v>
      </c>
      <c r="AP72">
        <v>30.9367096969697</v>
      </c>
      <c r="AQ72">
        <v>4.43925046406958e-05</v>
      </c>
      <c r="AR72">
        <v>117.722183879882</v>
      </c>
      <c r="AS72">
        <v>0</v>
      </c>
      <c r="AT72">
        <v>0</v>
      </c>
      <c r="AU72">
        <f>IF(AS72*$H$13&gt;=AW72,1.0,(AW72/(AW72-AS72*$H$13)))</f>
        <v>0</v>
      </c>
      <c r="AV72">
        <f>(AU72-1)*100</f>
        <v>0</v>
      </c>
      <c r="AW72">
        <f>MAX(0,($B$13+$C$13*EF72)/(1+$D$13*EF72)*DY72/(EA72+273)*$E$13)</f>
        <v>0</v>
      </c>
      <c r="AX72" t="s">
        <v>437</v>
      </c>
      <c r="AY72">
        <v>5082.33</v>
      </c>
      <c r="AZ72">
        <v>690.032</v>
      </c>
      <c r="BA72">
        <v>1612.68</v>
      </c>
      <c r="BB72">
        <f>1-AZ72/BA72</f>
        <v>0</v>
      </c>
      <c r="BC72">
        <v>-9.7270689171713</v>
      </c>
      <c r="BD72" t="s">
        <v>683</v>
      </c>
      <c r="BE72">
        <v>5126.19</v>
      </c>
      <c r="BF72">
        <v>1419.1172</v>
      </c>
      <c r="BG72">
        <v>1856.25040469892</v>
      </c>
      <c r="BH72">
        <f>1-BF72/BG72</f>
        <v>0</v>
      </c>
      <c r="BI72">
        <v>0.5</v>
      </c>
      <c r="BJ72">
        <f>DI72</f>
        <v>0</v>
      </c>
      <c r="BK72">
        <f>L72</f>
        <v>0</v>
      </c>
      <c r="BL72">
        <f>BH72*BI72*BJ72</f>
        <v>0</v>
      </c>
      <c r="BM72">
        <f>(BK72-BC72)/BJ72</f>
        <v>0</v>
      </c>
      <c r="BN72">
        <f>(BA72-BG72)/BG72</f>
        <v>0</v>
      </c>
      <c r="BO72">
        <f>AZ72/(BB72+AZ72/BG72)</f>
        <v>0</v>
      </c>
      <c r="BP72" t="s">
        <v>684</v>
      </c>
      <c r="BQ72">
        <v>769.53</v>
      </c>
      <c r="BR72">
        <f>IF(BQ72&lt;&gt;0, BQ72, BO72)</f>
        <v>0</v>
      </c>
      <c r="BS72">
        <f>1-BR72/BG72</f>
        <v>0</v>
      </c>
      <c r="BT72">
        <f>(BG72-BF72)/(BG72-BR72)</f>
        <v>0</v>
      </c>
      <c r="BU72">
        <f>(BA72-BG72)/(BA72-BR72)</f>
        <v>0</v>
      </c>
      <c r="BV72">
        <f>(BG72-BF72)/(BG72-AZ72)</f>
        <v>0</v>
      </c>
      <c r="BW72">
        <f>(BA72-BG72)/(BA72-AZ72)</f>
        <v>0</v>
      </c>
      <c r="BX72">
        <f>(BT72*BR72/BF72)</f>
        <v>0</v>
      </c>
      <c r="BY72">
        <f>(1-BX72)</f>
        <v>0</v>
      </c>
      <c r="BZ72">
        <v>206</v>
      </c>
      <c r="CA72">
        <v>290</v>
      </c>
      <c r="CB72">
        <v>1739.34</v>
      </c>
      <c r="CC72">
        <v>175</v>
      </c>
      <c r="CD72">
        <v>5126.19</v>
      </c>
      <c r="CE72">
        <v>1739.23</v>
      </c>
      <c r="CF72">
        <v>0.11</v>
      </c>
      <c r="CG72">
        <v>300</v>
      </c>
      <c r="CH72">
        <v>23.8</v>
      </c>
      <c r="CI72">
        <v>1856.25040469892</v>
      </c>
      <c r="CJ72">
        <v>1.83038790378815</v>
      </c>
      <c r="CK72">
        <v>-59.9882440404015</v>
      </c>
      <c r="CL72">
        <v>0.844028954832364</v>
      </c>
      <c r="CM72">
        <v>0.994487611717879</v>
      </c>
      <c r="CN72">
        <v>-0.00323214104560623</v>
      </c>
      <c r="CO72">
        <v>290</v>
      </c>
      <c r="CP72">
        <v>1737.33</v>
      </c>
      <c r="CQ72">
        <v>765</v>
      </c>
      <c r="CR72">
        <v>5121.77</v>
      </c>
      <c r="CS72">
        <v>1739.13</v>
      </c>
      <c r="CT72">
        <v>-1.8</v>
      </c>
      <c r="DH72">
        <f>$B$11*EG72+$C$11*EH72+$F$11*ES72*(1-EV72)</f>
        <v>0</v>
      </c>
      <c r="DI72">
        <f>DH72*DJ72</f>
        <v>0</v>
      </c>
      <c r="DJ72">
        <f>($B$11*$D$9+$C$11*$D$9+$F$11*((FF72+EX72)/MAX(FF72+EX72+FG72, 0.1)*$I$9+FG72/MAX(FF72+EX72+FG72, 0.1)*$J$9))/($B$11+$C$11+$F$11)</f>
        <v>0</v>
      </c>
      <c r="DK72">
        <f>($B$11*$K$9+$C$11*$K$9+$F$11*((FF72+EX72)/MAX(FF72+EX72+FG72, 0.1)*$P$9+FG72/MAX(FF72+EX72+FG72, 0.1)*$Q$9))/($B$11+$C$11+$F$11)</f>
        <v>0</v>
      </c>
      <c r="DL72">
        <v>3.21</v>
      </c>
      <c r="DM72">
        <v>0.5</v>
      </c>
      <c r="DN72" t="s">
        <v>440</v>
      </c>
      <c r="DO72">
        <v>2</v>
      </c>
      <c r="DP72" t="b">
        <v>1</v>
      </c>
      <c r="DQ72">
        <v>1760909345.1</v>
      </c>
      <c r="DR72">
        <v>405.6222</v>
      </c>
      <c r="DS72">
        <v>419.9898</v>
      </c>
      <c r="DT72">
        <v>30.9222933333333</v>
      </c>
      <c r="DU72">
        <v>25.13602</v>
      </c>
      <c r="DV72">
        <v>403.2274</v>
      </c>
      <c r="DW72">
        <v>30.4870933333333</v>
      </c>
      <c r="DX72">
        <v>499.998466666667</v>
      </c>
      <c r="DY72">
        <v>90.63622</v>
      </c>
      <c r="DZ72">
        <v>0.0439146866666667</v>
      </c>
      <c r="EA72">
        <v>36.6323866666667</v>
      </c>
      <c r="EB72">
        <v>35.9997933333333</v>
      </c>
      <c r="EC72">
        <v>999.9</v>
      </c>
      <c r="ED72">
        <v>0</v>
      </c>
      <c r="EE72">
        <v>0</v>
      </c>
      <c r="EF72">
        <v>9992.876</v>
      </c>
      <c r="EG72">
        <v>0</v>
      </c>
      <c r="EH72">
        <v>1263.30666666667</v>
      </c>
      <c r="EI72">
        <v>-14.3676733333333</v>
      </c>
      <c r="EJ72">
        <v>418.5652</v>
      </c>
      <c r="EK72">
        <v>430.8188</v>
      </c>
      <c r="EL72">
        <v>5.786266</v>
      </c>
      <c r="EM72">
        <v>419.9898</v>
      </c>
      <c r="EN72">
        <v>25.13602</v>
      </c>
      <c r="EO72">
        <v>2.80268066666667</v>
      </c>
      <c r="EP72">
        <v>2.27823466666667</v>
      </c>
      <c r="EQ72">
        <v>22.89988</v>
      </c>
      <c r="ER72">
        <v>19.5233266666667</v>
      </c>
      <c r="ES72">
        <v>1200.062</v>
      </c>
      <c r="ET72">
        <v>0.966999</v>
      </c>
      <c r="EU72">
        <v>0.0330012266666667</v>
      </c>
      <c r="EV72">
        <v>0</v>
      </c>
      <c r="EW72">
        <v>1419.18466666667</v>
      </c>
      <c r="EX72">
        <v>5.00059</v>
      </c>
      <c r="EY72">
        <v>17521.7</v>
      </c>
      <c r="EZ72">
        <v>10359.2533333333</v>
      </c>
      <c r="FA72">
        <v>51.2416</v>
      </c>
      <c r="FB72">
        <v>52.937</v>
      </c>
      <c r="FC72">
        <v>51.5082666666667</v>
      </c>
      <c r="FD72">
        <v>52.479</v>
      </c>
      <c r="FE72">
        <v>52.375</v>
      </c>
      <c r="FF72">
        <v>1155.624</v>
      </c>
      <c r="FG72">
        <v>39.438</v>
      </c>
      <c r="FH72">
        <v>0</v>
      </c>
      <c r="FI72">
        <v>113</v>
      </c>
      <c r="FJ72">
        <v>0</v>
      </c>
      <c r="FK72">
        <v>1419.1172</v>
      </c>
      <c r="FL72">
        <v>-2.92153845413862</v>
      </c>
      <c r="FM72">
        <v>-29.1000000757971</v>
      </c>
      <c r="FN72">
        <v>17520.84</v>
      </c>
      <c r="FO72">
        <v>15</v>
      </c>
      <c r="FP72">
        <v>0</v>
      </c>
      <c r="FQ72" t="s">
        <v>441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-14.357275</v>
      </c>
      <c r="GD72">
        <v>-0.042933834586458</v>
      </c>
      <c r="GE72">
        <v>0.0357552496145672</v>
      </c>
      <c r="GF72">
        <v>1</v>
      </c>
      <c r="GG72">
        <v>1419.29294117647</v>
      </c>
      <c r="GH72">
        <v>-2.37891520257492</v>
      </c>
      <c r="GI72">
        <v>0.294084115735676</v>
      </c>
      <c r="GJ72">
        <v>-1</v>
      </c>
      <c r="GK72">
        <v>5.7785805</v>
      </c>
      <c r="GL72">
        <v>0.180788120300752</v>
      </c>
      <c r="GM72">
        <v>0.0174522713349867</v>
      </c>
      <c r="GN72">
        <v>0</v>
      </c>
      <c r="GO72">
        <v>1</v>
      </c>
      <c r="GP72">
        <v>2</v>
      </c>
      <c r="GQ72" t="s">
        <v>454</v>
      </c>
      <c r="GR72">
        <v>3.12948</v>
      </c>
      <c r="GS72">
        <v>2.72209</v>
      </c>
      <c r="GT72">
        <v>0.0841568</v>
      </c>
      <c r="GU72">
        <v>0.0869671</v>
      </c>
      <c r="GV72">
        <v>0.119738</v>
      </c>
      <c r="GW72">
        <v>0.10388</v>
      </c>
      <c r="GX72">
        <v>33573.2</v>
      </c>
      <c r="GY72">
        <v>35588.4</v>
      </c>
      <c r="GZ72">
        <v>33243</v>
      </c>
      <c r="HA72">
        <v>35368.9</v>
      </c>
      <c r="HB72">
        <v>41581.2</v>
      </c>
      <c r="HC72">
        <v>45618.2</v>
      </c>
      <c r="HD72">
        <v>52070.9</v>
      </c>
      <c r="HE72">
        <v>56638.4</v>
      </c>
      <c r="HF72">
        <v>1.78522</v>
      </c>
      <c r="HG72">
        <v>1.65415</v>
      </c>
      <c r="HH72">
        <v>-0.0218675</v>
      </c>
      <c r="HI72">
        <v>0</v>
      </c>
      <c r="HJ72">
        <v>36.3761</v>
      </c>
      <c r="HK72">
        <v>999.9</v>
      </c>
      <c r="HL72">
        <v>55.653</v>
      </c>
      <c r="HM72">
        <v>29.91</v>
      </c>
      <c r="HN72">
        <v>26.0234</v>
      </c>
      <c r="HO72">
        <v>54.3337</v>
      </c>
      <c r="HP72">
        <v>42.7804</v>
      </c>
      <c r="HQ72">
        <v>1</v>
      </c>
      <c r="HR72">
        <v>1.31232</v>
      </c>
      <c r="HS72">
        <v>4.13709</v>
      </c>
      <c r="HT72">
        <v>20.0847</v>
      </c>
      <c r="HU72">
        <v>5.18839</v>
      </c>
      <c r="HV72">
        <v>12.0099</v>
      </c>
      <c r="HW72">
        <v>4.9731</v>
      </c>
      <c r="HX72">
        <v>3.295</v>
      </c>
      <c r="HY72">
        <v>9999</v>
      </c>
      <c r="HZ72">
        <v>999.9</v>
      </c>
      <c r="IA72">
        <v>9999</v>
      </c>
      <c r="IB72">
        <v>9999</v>
      </c>
      <c r="IC72">
        <v>1.86324</v>
      </c>
      <c r="ID72">
        <v>1.86803</v>
      </c>
      <c r="IE72">
        <v>1.86783</v>
      </c>
      <c r="IF72">
        <v>1.86905</v>
      </c>
      <c r="IG72">
        <v>1.86981</v>
      </c>
      <c r="IH72">
        <v>1.86586</v>
      </c>
      <c r="II72">
        <v>1.86693</v>
      </c>
      <c r="IJ72">
        <v>1.86841</v>
      </c>
      <c r="IK72">
        <v>5</v>
      </c>
      <c r="IL72">
        <v>0</v>
      </c>
      <c r="IM72">
        <v>0</v>
      </c>
      <c r="IN72">
        <v>0</v>
      </c>
      <c r="IO72" t="s">
        <v>443</v>
      </c>
      <c r="IP72" t="s">
        <v>444</v>
      </c>
      <c r="IQ72" t="s">
        <v>445</v>
      </c>
      <c r="IR72" t="s">
        <v>445</v>
      </c>
      <c r="IS72" t="s">
        <v>445</v>
      </c>
      <c r="IT72" t="s">
        <v>445</v>
      </c>
      <c r="IU72">
        <v>0</v>
      </c>
      <c r="IV72">
        <v>100</v>
      </c>
      <c r="IW72">
        <v>100</v>
      </c>
      <c r="IX72">
        <v>2.395</v>
      </c>
      <c r="IY72">
        <v>0.4352</v>
      </c>
      <c r="IZ72">
        <v>0.833350075594679</v>
      </c>
      <c r="JA72">
        <v>0.00412825224050377</v>
      </c>
      <c r="JB72">
        <v>-7.34426573386615e-07</v>
      </c>
      <c r="JC72">
        <v>2.46800082545482e-10</v>
      </c>
      <c r="JD72">
        <v>0.435209846415365</v>
      </c>
      <c r="JE72">
        <v>0</v>
      </c>
      <c r="JF72">
        <v>0</v>
      </c>
      <c r="JG72">
        <v>0</v>
      </c>
      <c r="JH72">
        <v>5</v>
      </c>
      <c r="JI72">
        <v>2250</v>
      </c>
      <c r="JJ72">
        <v>0</v>
      </c>
      <c r="JK72">
        <v>24</v>
      </c>
      <c r="JL72">
        <v>29348489.2</v>
      </c>
      <c r="JM72">
        <v>29348489.2</v>
      </c>
      <c r="JN72">
        <v>1.01929</v>
      </c>
      <c r="JO72">
        <v>2.63306</v>
      </c>
      <c r="JP72">
        <v>1.54785</v>
      </c>
      <c r="JQ72">
        <v>2.31689</v>
      </c>
      <c r="JR72">
        <v>1.64673</v>
      </c>
      <c r="JS72">
        <v>2.37061</v>
      </c>
      <c r="JT72">
        <v>34.0998</v>
      </c>
      <c r="JU72">
        <v>24.1751</v>
      </c>
      <c r="JV72">
        <v>18</v>
      </c>
      <c r="JW72">
        <v>500.544</v>
      </c>
      <c r="JX72">
        <v>407.662</v>
      </c>
      <c r="JY72">
        <v>31.0313</v>
      </c>
      <c r="JZ72">
        <v>42.8181</v>
      </c>
      <c r="KA72">
        <v>30.0005</v>
      </c>
      <c r="KB72">
        <v>42.5533</v>
      </c>
      <c r="KC72">
        <v>42.4435</v>
      </c>
      <c r="KD72">
        <v>20.4283</v>
      </c>
      <c r="KE72">
        <v>0</v>
      </c>
      <c r="KF72">
        <v>100</v>
      </c>
      <c r="KG72">
        <v>31.0113</v>
      </c>
      <c r="KH72">
        <v>420</v>
      </c>
      <c r="KI72">
        <v>35.6443</v>
      </c>
      <c r="KJ72">
        <v>94.5034</v>
      </c>
      <c r="KK72">
        <v>91.6974</v>
      </c>
    </row>
    <row r="73" spans="1:297">
      <c r="A73">
        <v>57</v>
      </c>
      <c r="B73">
        <v>1760909525.1</v>
      </c>
      <c r="C73">
        <v>15761</v>
      </c>
      <c r="D73" t="s">
        <v>685</v>
      </c>
      <c r="E73" t="s">
        <v>686</v>
      </c>
      <c r="F73">
        <v>5</v>
      </c>
      <c r="G73" t="s">
        <v>678</v>
      </c>
      <c r="H73" t="s">
        <v>436</v>
      </c>
      <c r="I73">
        <v>1760909517.1</v>
      </c>
      <c r="J73">
        <f>(K73)/1000</f>
        <v>0</v>
      </c>
      <c r="K73">
        <f>IF(DP73, AN73, AH73)</f>
        <v>0</v>
      </c>
      <c r="L73">
        <f>IF(DP73, AI73, AG73)</f>
        <v>0</v>
      </c>
      <c r="M73">
        <f>DR73 - IF(AU73&gt;1, L73*DL73*100.0/(AW73), 0)</f>
        <v>0</v>
      </c>
      <c r="N73">
        <f>((T73-J73/2)*M73-L73)/(T73+J73/2)</f>
        <v>0</v>
      </c>
      <c r="O73">
        <f>N73*(DY73+DZ73)/1000.0</f>
        <v>0</v>
      </c>
      <c r="P73">
        <f>(DR73 - IF(AU73&gt;1, L73*DL73*100.0/(AW73), 0))*(DY73+DZ73)/1000.0</f>
        <v>0</v>
      </c>
      <c r="Q73">
        <f>2.0/((1/S73-1/R73)+SIGN(S73)*SQRT((1/S73-1/R73)*(1/S73-1/R73) + 4*DM73/((DM73+1)*(DM73+1))*(2*1/S73*1/R73-1/R73*1/R73)))</f>
        <v>0</v>
      </c>
      <c r="R73">
        <f>IF(LEFT(DN73,1)&lt;&gt;"0",IF(LEFT(DN73,1)="1",3.0,DO73),$D$5+$E$5*(EF73*DY73/($K$5*1000))+$F$5*(EF73*DY73/($K$5*1000))*MAX(MIN(DL73,$J$5),$I$5)*MAX(MIN(DL73,$J$5),$I$5)+$G$5*MAX(MIN(DL73,$J$5),$I$5)*(EF73*DY73/($K$5*1000))+$H$5*(EF73*DY73/($K$5*1000))*(EF73*DY73/($K$5*1000)))</f>
        <v>0</v>
      </c>
      <c r="S73">
        <f>J73*(1000-(1000*0.61365*exp(17.502*W73/(240.97+W73))/(DY73+DZ73)+DT73)/2)/(1000*0.61365*exp(17.502*W73/(240.97+W73))/(DY73+DZ73)-DT73)</f>
        <v>0</v>
      </c>
      <c r="T73">
        <f>1/((DM73+1)/(Q73/1.6)+1/(R73/1.37)) + DM73/((DM73+1)/(Q73/1.6) + DM73/(R73/1.37))</f>
        <v>0</v>
      </c>
      <c r="U73">
        <f>(DH73*DK73)</f>
        <v>0</v>
      </c>
      <c r="V73">
        <f>(EA73+(U73+2*0.95*5.67E-8*(((EA73+$B$7)+273)^4-(EA73+273)^4)-44100*J73)/(1.84*29.3*R73+8*0.95*5.67E-8*(EA73+273)^3))</f>
        <v>0</v>
      </c>
      <c r="W73">
        <f>($C$7*EB73+$D$7*EC73+$E$7*V73)</f>
        <v>0</v>
      </c>
      <c r="X73">
        <f>0.61365*exp(17.502*W73/(240.97+W73))</f>
        <v>0</v>
      </c>
      <c r="Y73">
        <f>(Z73/AA73*100)</f>
        <v>0</v>
      </c>
      <c r="Z73">
        <f>DT73*(DY73+DZ73)/1000</f>
        <v>0</v>
      </c>
      <c r="AA73">
        <f>0.61365*exp(17.502*EA73/(240.97+EA73))</f>
        <v>0</v>
      </c>
      <c r="AB73">
        <f>(X73-DT73*(DY73+DZ73)/1000)</f>
        <v>0</v>
      </c>
      <c r="AC73">
        <f>(-J73*44100)</f>
        <v>0</v>
      </c>
      <c r="AD73">
        <f>2*29.3*R73*0.92*(EA73-W73)</f>
        <v>0</v>
      </c>
      <c r="AE73">
        <f>2*0.95*5.67E-8*(((EA73+$B$7)+273)^4-(W73+273)^4)</f>
        <v>0</v>
      </c>
      <c r="AF73">
        <f>U73+AE73+AC73+AD73</f>
        <v>0</v>
      </c>
      <c r="AG73">
        <f>DX73*AU73*(DS73-DR73*(1000-AU73*DU73)/(1000-AU73*DT73))/(100*DL73)</f>
        <v>0</v>
      </c>
      <c r="AH73">
        <f>1000*DX73*AU73*(DT73-DU73)/(100*DL73*(1000-AU73*DT73))</f>
        <v>0</v>
      </c>
      <c r="AI73">
        <f>(AJ73 - AK73 - DY73*1E3/(8.314*(EA73+273.15)) * AM73/DX73 * AL73) * DX73/(100*DL73) * (1000 - DU73)/1000</f>
        <v>0</v>
      </c>
      <c r="AJ73">
        <v>430.852940721682</v>
      </c>
      <c r="AK73">
        <v>418.6992</v>
      </c>
      <c r="AL73">
        <v>0.000243532628290491</v>
      </c>
      <c r="AM73">
        <v>64.9482802601375</v>
      </c>
      <c r="AN73">
        <f>(AP73 - AO73 + DY73*1E3/(8.314*(EA73+273.15)) * AR73/DX73 * AQ73) * DX73/(100*DL73) * 1000/(1000 - AP73)</f>
        <v>0</v>
      </c>
      <c r="AO73">
        <v>25.0992495708832</v>
      </c>
      <c r="AP73">
        <v>30.9795327272727</v>
      </c>
      <c r="AQ73">
        <v>-2.72527639943034e-05</v>
      </c>
      <c r="AR73">
        <v>117.722183879882</v>
      </c>
      <c r="AS73">
        <v>0</v>
      </c>
      <c r="AT73">
        <v>0</v>
      </c>
      <c r="AU73">
        <f>IF(AS73*$H$13&gt;=AW73,1.0,(AW73/(AW73-AS73*$H$13)))</f>
        <v>0</v>
      </c>
      <c r="AV73">
        <f>(AU73-1)*100</f>
        <v>0</v>
      </c>
      <c r="AW73">
        <f>MAX(0,($B$13+$C$13*EF73)/(1+$D$13*EF73)*DY73/(EA73+273)*$E$13)</f>
        <v>0</v>
      </c>
      <c r="AX73" t="s">
        <v>437</v>
      </c>
      <c r="AY73">
        <v>5082.33</v>
      </c>
      <c r="AZ73">
        <v>690.032</v>
      </c>
      <c r="BA73">
        <v>1612.68</v>
      </c>
      <c r="BB73">
        <f>1-AZ73/BA73</f>
        <v>0</v>
      </c>
      <c r="BC73">
        <v>-9.7270689171713</v>
      </c>
      <c r="BD73" t="s">
        <v>687</v>
      </c>
      <c r="BE73">
        <v>5124.87</v>
      </c>
      <c r="BF73">
        <v>1412.35769230769</v>
      </c>
      <c r="BG73">
        <v>1844.03534351721</v>
      </c>
      <c r="BH73">
        <f>1-BF73/BG73</f>
        <v>0</v>
      </c>
      <c r="BI73">
        <v>0.5</v>
      </c>
      <c r="BJ73">
        <f>DI73</f>
        <v>0</v>
      </c>
      <c r="BK73">
        <f>L73</f>
        <v>0</v>
      </c>
      <c r="BL73">
        <f>BH73*BI73*BJ73</f>
        <v>0</v>
      </c>
      <c r="BM73">
        <f>(BK73-BC73)/BJ73</f>
        <v>0</v>
      </c>
      <c r="BN73">
        <f>(BA73-BG73)/BG73</f>
        <v>0</v>
      </c>
      <c r="BO73">
        <f>AZ73/(BB73+AZ73/BG73)</f>
        <v>0</v>
      </c>
      <c r="BP73" t="s">
        <v>688</v>
      </c>
      <c r="BQ73">
        <v>772</v>
      </c>
      <c r="BR73">
        <f>IF(BQ73&lt;&gt;0, BQ73, BO73)</f>
        <v>0</v>
      </c>
      <c r="BS73">
        <f>1-BR73/BG73</f>
        <v>0</v>
      </c>
      <c r="BT73">
        <f>(BG73-BF73)/(BG73-BR73)</f>
        <v>0</v>
      </c>
      <c r="BU73">
        <f>(BA73-BG73)/(BA73-BR73)</f>
        <v>0</v>
      </c>
      <c r="BV73">
        <f>(BG73-BF73)/(BG73-AZ73)</f>
        <v>0</v>
      </c>
      <c r="BW73">
        <f>(BA73-BG73)/(BA73-AZ73)</f>
        <v>0</v>
      </c>
      <c r="BX73">
        <f>(BT73*BR73/BF73)</f>
        <v>0</v>
      </c>
      <c r="BY73">
        <f>(1-BX73)</f>
        <v>0</v>
      </c>
      <c r="BZ73">
        <v>208</v>
      </c>
      <c r="CA73">
        <v>290</v>
      </c>
      <c r="CB73">
        <v>1730.92</v>
      </c>
      <c r="CC73">
        <v>235</v>
      </c>
      <c r="CD73">
        <v>5124.87</v>
      </c>
      <c r="CE73">
        <v>1730.19</v>
      </c>
      <c r="CF73">
        <v>0.73</v>
      </c>
      <c r="CG73">
        <v>300</v>
      </c>
      <c r="CH73">
        <v>23.8</v>
      </c>
      <c r="CI73">
        <v>1844.03534351721</v>
      </c>
      <c r="CJ73">
        <v>2.75021935980242</v>
      </c>
      <c r="CK73">
        <v>-58.3452710532031</v>
      </c>
      <c r="CL73">
        <v>1.26815069841074</v>
      </c>
      <c r="CM73">
        <v>0.986944866100958</v>
      </c>
      <c r="CN73">
        <v>-0.00323210589543938</v>
      </c>
      <c r="CO73">
        <v>290</v>
      </c>
      <c r="CP73">
        <v>1728.67</v>
      </c>
      <c r="CQ73">
        <v>695</v>
      </c>
      <c r="CR73">
        <v>5122.14</v>
      </c>
      <c r="CS73">
        <v>1730.13</v>
      </c>
      <c r="CT73">
        <v>-1.46</v>
      </c>
      <c r="DH73">
        <f>$B$11*EG73+$C$11*EH73+$F$11*ES73*(1-EV73)</f>
        <v>0</v>
      </c>
      <c r="DI73">
        <f>DH73*DJ73</f>
        <v>0</v>
      </c>
      <c r="DJ73">
        <f>($B$11*$D$9+$C$11*$D$9+$F$11*((FF73+EX73)/MAX(FF73+EX73+FG73, 0.1)*$I$9+FG73/MAX(FF73+EX73+FG73, 0.1)*$J$9))/($B$11+$C$11+$F$11)</f>
        <v>0</v>
      </c>
      <c r="DK73">
        <f>($B$11*$K$9+$C$11*$K$9+$F$11*((FF73+EX73)/MAX(FF73+EX73+FG73, 0.1)*$P$9+FG73/MAX(FF73+EX73+FG73, 0.1)*$Q$9))/($B$11+$C$11+$F$11)</f>
        <v>0</v>
      </c>
      <c r="DL73">
        <v>3.21</v>
      </c>
      <c r="DM73">
        <v>0.5</v>
      </c>
      <c r="DN73" t="s">
        <v>440</v>
      </c>
      <c r="DO73">
        <v>2</v>
      </c>
      <c r="DP73" t="b">
        <v>1</v>
      </c>
      <c r="DQ73">
        <v>1760909517.1</v>
      </c>
      <c r="DR73">
        <v>405.7116</v>
      </c>
      <c r="DS73">
        <v>420.010866666667</v>
      </c>
      <c r="DT73">
        <v>30.9856333333333</v>
      </c>
      <c r="DU73">
        <v>25.1010933333333</v>
      </c>
      <c r="DV73">
        <v>403.316533333333</v>
      </c>
      <c r="DW73">
        <v>30.55042</v>
      </c>
      <c r="DX73">
        <v>499.9846</v>
      </c>
      <c r="DY73">
        <v>90.6448533333333</v>
      </c>
      <c r="DZ73">
        <v>0.04396002</v>
      </c>
      <c r="EA73">
        <v>36.7078933333333</v>
      </c>
      <c r="EB73">
        <v>35.99226</v>
      </c>
      <c r="EC73">
        <v>999.9</v>
      </c>
      <c r="ED73">
        <v>0</v>
      </c>
      <c r="EE73">
        <v>0</v>
      </c>
      <c r="EF73">
        <v>9984.87</v>
      </c>
      <c r="EG73">
        <v>0</v>
      </c>
      <c r="EH73">
        <v>1263.40066666667</v>
      </c>
      <c r="EI73">
        <v>-14.2993</v>
      </c>
      <c r="EJ73">
        <v>418.684666666667</v>
      </c>
      <c r="EK73">
        <v>430.825</v>
      </c>
      <c r="EL73">
        <v>5.88454</v>
      </c>
      <c r="EM73">
        <v>420.010866666667</v>
      </c>
      <c r="EN73">
        <v>25.1010933333333</v>
      </c>
      <c r="EO73">
        <v>2.808688</v>
      </c>
      <c r="EP73">
        <v>2.27528466666667</v>
      </c>
      <c r="EQ73">
        <v>22.9352333333333</v>
      </c>
      <c r="ER73">
        <v>19.5024866666667</v>
      </c>
      <c r="ES73">
        <v>1199.99066666667</v>
      </c>
      <c r="ET73">
        <v>0.966999466666666</v>
      </c>
      <c r="EU73">
        <v>0.0330007666666667</v>
      </c>
      <c r="EV73">
        <v>0</v>
      </c>
      <c r="EW73">
        <v>1412.34466666667</v>
      </c>
      <c r="EX73">
        <v>5.00059</v>
      </c>
      <c r="EY73">
        <v>17437.5466666667</v>
      </c>
      <c r="EZ73">
        <v>10358.62</v>
      </c>
      <c r="FA73">
        <v>51.2416</v>
      </c>
      <c r="FB73">
        <v>52.937</v>
      </c>
      <c r="FC73">
        <v>51.5</v>
      </c>
      <c r="FD73">
        <v>52.437</v>
      </c>
      <c r="FE73">
        <v>52.375</v>
      </c>
      <c r="FF73">
        <v>1155.55466666667</v>
      </c>
      <c r="FG73">
        <v>39.436</v>
      </c>
      <c r="FH73">
        <v>0</v>
      </c>
      <c r="FI73">
        <v>168.599999904633</v>
      </c>
      <c r="FJ73">
        <v>0</v>
      </c>
      <c r="FK73">
        <v>1412.35769230769</v>
      </c>
      <c r="FL73">
        <v>-2.85196580797175</v>
      </c>
      <c r="FM73">
        <v>-29.4598289747981</v>
      </c>
      <c r="FN73">
        <v>17437.5807692308</v>
      </c>
      <c r="FO73">
        <v>15</v>
      </c>
      <c r="FP73">
        <v>0</v>
      </c>
      <c r="FQ73" t="s">
        <v>441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-14.29376</v>
      </c>
      <c r="GD73">
        <v>-0.144712781954897</v>
      </c>
      <c r="GE73">
        <v>0.0396679896137931</v>
      </c>
      <c r="GF73">
        <v>1</v>
      </c>
      <c r="GG73">
        <v>1412.51941176471</v>
      </c>
      <c r="GH73">
        <v>-2.66157371538201</v>
      </c>
      <c r="GI73">
        <v>0.344306132392048</v>
      </c>
      <c r="GJ73">
        <v>-1</v>
      </c>
      <c r="GK73">
        <v>5.8851225</v>
      </c>
      <c r="GL73">
        <v>-0.0205502255639011</v>
      </c>
      <c r="GM73">
        <v>0.00227224310979261</v>
      </c>
      <c r="GN73">
        <v>1</v>
      </c>
      <c r="GO73">
        <v>2</v>
      </c>
      <c r="GP73">
        <v>2</v>
      </c>
      <c r="GQ73" t="s">
        <v>442</v>
      </c>
      <c r="GR73">
        <v>3.1295</v>
      </c>
      <c r="GS73">
        <v>2.72206</v>
      </c>
      <c r="GT73">
        <v>0.0841791</v>
      </c>
      <c r="GU73">
        <v>0.086984</v>
      </c>
      <c r="GV73">
        <v>0.119857</v>
      </c>
      <c r="GW73">
        <v>0.103777</v>
      </c>
      <c r="GX73">
        <v>33571.3</v>
      </c>
      <c r="GY73">
        <v>35586.2</v>
      </c>
      <c r="GZ73">
        <v>33242.1</v>
      </c>
      <c r="HA73">
        <v>35367.4</v>
      </c>
      <c r="HB73">
        <v>41574.3</v>
      </c>
      <c r="HC73">
        <v>45621.8</v>
      </c>
      <c r="HD73">
        <v>52068.9</v>
      </c>
      <c r="HE73">
        <v>56636.5</v>
      </c>
      <c r="HF73">
        <v>1.78507</v>
      </c>
      <c r="HG73">
        <v>1.65373</v>
      </c>
      <c r="HH73">
        <v>-0.0280514</v>
      </c>
      <c r="HI73">
        <v>0</v>
      </c>
      <c r="HJ73">
        <v>36.429</v>
      </c>
      <c r="HK73">
        <v>999.9</v>
      </c>
      <c r="HL73">
        <v>55.604</v>
      </c>
      <c r="HM73">
        <v>29.93</v>
      </c>
      <c r="HN73">
        <v>26.029</v>
      </c>
      <c r="HO73">
        <v>54.9837</v>
      </c>
      <c r="HP73">
        <v>42.7604</v>
      </c>
      <c r="HQ73">
        <v>1</v>
      </c>
      <c r="HR73">
        <v>1.31412</v>
      </c>
      <c r="HS73">
        <v>4.21327</v>
      </c>
      <c r="HT73">
        <v>20.0832</v>
      </c>
      <c r="HU73">
        <v>5.19318</v>
      </c>
      <c r="HV73">
        <v>12.0099</v>
      </c>
      <c r="HW73">
        <v>4.97355</v>
      </c>
      <c r="HX73">
        <v>3.295</v>
      </c>
      <c r="HY73">
        <v>9999</v>
      </c>
      <c r="HZ73">
        <v>999.9</v>
      </c>
      <c r="IA73">
        <v>9999</v>
      </c>
      <c r="IB73">
        <v>9999</v>
      </c>
      <c r="IC73">
        <v>1.86325</v>
      </c>
      <c r="ID73">
        <v>1.86801</v>
      </c>
      <c r="IE73">
        <v>1.86783</v>
      </c>
      <c r="IF73">
        <v>1.86905</v>
      </c>
      <c r="IG73">
        <v>1.86981</v>
      </c>
      <c r="IH73">
        <v>1.86584</v>
      </c>
      <c r="II73">
        <v>1.86691</v>
      </c>
      <c r="IJ73">
        <v>1.86837</v>
      </c>
      <c r="IK73">
        <v>5</v>
      </c>
      <c r="IL73">
        <v>0</v>
      </c>
      <c r="IM73">
        <v>0</v>
      </c>
      <c r="IN73">
        <v>0</v>
      </c>
      <c r="IO73" t="s">
        <v>443</v>
      </c>
      <c r="IP73" t="s">
        <v>444</v>
      </c>
      <c r="IQ73" t="s">
        <v>445</v>
      </c>
      <c r="IR73" t="s">
        <v>445</v>
      </c>
      <c r="IS73" t="s">
        <v>445</v>
      </c>
      <c r="IT73" t="s">
        <v>445</v>
      </c>
      <c r="IU73">
        <v>0</v>
      </c>
      <c r="IV73">
        <v>100</v>
      </c>
      <c r="IW73">
        <v>100</v>
      </c>
      <c r="IX73">
        <v>2.396</v>
      </c>
      <c r="IY73">
        <v>0.4352</v>
      </c>
      <c r="IZ73">
        <v>0.833350075594679</v>
      </c>
      <c r="JA73">
        <v>0.00412825224050377</v>
      </c>
      <c r="JB73">
        <v>-7.34426573386615e-07</v>
      </c>
      <c r="JC73">
        <v>2.46800082545482e-10</v>
      </c>
      <c r="JD73">
        <v>0.435209846415365</v>
      </c>
      <c r="JE73">
        <v>0</v>
      </c>
      <c r="JF73">
        <v>0</v>
      </c>
      <c r="JG73">
        <v>0</v>
      </c>
      <c r="JH73">
        <v>5</v>
      </c>
      <c r="JI73">
        <v>2250</v>
      </c>
      <c r="JJ73">
        <v>0</v>
      </c>
      <c r="JK73">
        <v>24</v>
      </c>
      <c r="JL73">
        <v>29348492.1</v>
      </c>
      <c r="JM73">
        <v>29348492.1</v>
      </c>
      <c r="JN73">
        <v>1.01929</v>
      </c>
      <c r="JO73">
        <v>2.62573</v>
      </c>
      <c r="JP73">
        <v>1.54785</v>
      </c>
      <c r="JQ73">
        <v>2.31567</v>
      </c>
      <c r="JR73">
        <v>1.64673</v>
      </c>
      <c r="JS73">
        <v>2.37549</v>
      </c>
      <c r="JT73">
        <v>34.0998</v>
      </c>
      <c r="JU73">
        <v>24.1838</v>
      </c>
      <c r="JV73">
        <v>18</v>
      </c>
      <c r="JW73">
        <v>500.609</v>
      </c>
      <c r="JX73">
        <v>407.553</v>
      </c>
      <c r="JY73">
        <v>30.9667</v>
      </c>
      <c r="JZ73">
        <v>42.8359</v>
      </c>
      <c r="KA73">
        <v>30</v>
      </c>
      <c r="KB73">
        <v>42.5783</v>
      </c>
      <c r="KC73">
        <v>42.4706</v>
      </c>
      <c r="KD73">
        <v>20.4255</v>
      </c>
      <c r="KE73">
        <v>0</v>
      </c>
      <c r="KF73">
        <v>100</v>
      </c>
      <c r="KG73">
        <v>30.9725</v>
      </c>
      <c r="KH73">
        <v>420</v>
      </c>
      <c r="KI73">
        <v>35.6443</v>
      </c>
      <c r="KJ73">
        <v>94.5002</v>
      </c>
      <c r="KK73">
        <v>91.694</v>
      </c>
    </row>
    <row r="74" spans="1:297">
      <c r="A74">
        <v>58</v>
      </c>
      <c r="B74">
        <v>1760909997.1</v>
      </c>
      <c r="C74">
        <v>16233</v>
      </c>
      <c r="D74" t="s">
        <v>689</v>
      </c>
      <c r="E74" t="s">
        <v>690</v>
      </c>
      <c r="F74">
        <v>5</v>
      </c>
      <c r="G74" t="s">
        <v>691</v>
      </c>
      <c r="H74" t="s">
        <v>436</v>
      </c>
      <c r="I74">
        <v>1760909989.1</v>
      </c>
      <c r="J74">
        <f>(K74)/1000</f>
        <v>0</v>
      </c>
      <c r="K74">
        <f>IF(DP74, AN74, AH74)</f>
        <v>0</v>
      </c>
      <c r="L74">
        <f>IF(DP74, AI74, AG74)</f>
        <v>0</v>
      </c>
      <c r="M74">
        <f>DR74 - IF(AU74&gt;1, L74*DL74*100.0/(AW74), 0)</f>
        <v>0</v>
      </c>
      <c r="N74">
        <f>((T74-J74/2)*M74-L74)/(T74+J74/2)</f>
        <v>0</v>
      </c>
      <c r="O74">
        <f>N74*(DY74+DZ74)/1000.0</f>
        <v>0</v>
      </c>
      <c r="P74">
        <f>(DR74 - IF(AU74&gt;1, L74*DL74*100.0/(AW74), 0))*(DY74+DZ74)/1000.0</f>
        <v>0</v>
      </c>
      <c r="Q74">
        <f>2.0/((1/S74-1/R74)+SIGN(S74)*SQRT((1/S74-1/R74)*(1/S74-1/R74) + 4*DM74/((DM74+1)*(DM74+1))*(2*1/S74*1/R74-1/R74*1/R74)))</f>
        <v>0</v>
      </c>
      <c r="R74">
        <f>IF(LEFT(DN74,1)&lt;&gt;"0",IF(LEFT(DN74,1)="1",3.0,DO74),$D$5+$E$5*(EF74*DY74/($K$5*1000))+$F$5*(EF74*DY74/($K$5*1000))*MAX(MIN(DL74,$J$5),$I$5)*MAX(MIN(DL74,$J$5),$I$5)+$G$5*MAX(MIN(DL74,$J$5),$I$5)*(EF74*DY74/($K$5*1000))+$H$5*(EF74*DY74/($K$5*1000))*(EF74*DY74/($K$5*1000)))</f>
        <v>0</v>
      </c>
      <c r="S74">
        <f>J74*(1000-(1000*0.61365*exp(17.502*W74/(240.97+W74))/(DY74+DZ74)+DT74)/2)/(1000*0.61365*exp(17.502*W74/(240.97+W74))/(DY74+DZ74)-DT74)</f>
        <v>0</v>
      </c>
      <c r="T74">
        <f>1/((DM74+1)/(Q74/1.6)+1/(R74/1.37)) + DM74/((DM74+1)/(Q74/1.6) + DM74/(R74/1.37))</f>
        <v>0</v>
      </c>
      <c r="U74">
        <f>(DH74*DK74)</f>
        <v>0</v>
      </c>
      <c r="V74">
        <f>(EA74+(U74+2*0.95*5.67E-8*(((EA74+$B$7)+273)^4-(EA74+273)^4)-44100*J74)/(1.84*29.3*R74+8*0.95*5.67E-8*(EA74+273)^3))</f>
        <v>0</v>
      </c>
      <c r="W74">
        <f>($C$7*EB74+$D$7*EC74+$E$7*V74)</f>
        <v>0</v>
      </c>
      <c r="X74">
        <f>0.61365*exp(17.502*W74/(240.97+W74))</f>
        <v>0</v>
      </c>
      <c r="Y74">
        <f>(Z74/AA74*100)</f>
        <v>0</v>
      </c>
      <c r="Z74">
        <f>DT74*(DY74+DZ74)/1000</f>
        <v>0</v>
      </c>
      <c r="AA74">
        <f>0.61365*exp(17.502*EA74/(240.97+EA74))</f>
        <v>0</v>
      </c>
      <c r="AB74">
        <f>(X74-DT74*(DY74+DZ74)/1000)</f>
        <v>0</v>
      </c>
      <c r="AC74">
        <f>(-J74*44100)</f>
        <v>0</v>
      </c>
      <c r="AD74">
        <f>2*29.3*R74*0.92*(EA74-W74)</f>
        <v>0</v>
      </c>
      <c r="AE74">
        <f>2*0.95*5.67E-8*(((EA74+$B$7)+273)^4-(W74+273)^4)</f>
        <v>0</v>
      </c>
      <c r="AF74">
        <f>U74+AE74+AC74+AD74</f>
        <v>0</v>
      </c>
      <c r="AG74">
        <f>DX74*AU74*(DS74-DR74*(1000-AU74*DU74)/(1000-AU74*DT74))/(100*DL74)</f>
        <v>0</v>
      </c>
      <c r="AH74">
        <f>1000*DX74*AU74*(DT74-DU74)/(100*DL74*(1000-AU74*DT74))</f>
        <v>0</v>
      </c>
      <c r="AI74">
        <f>(AJ74 - AK74 - DY74*1E3/(8.314*(EA74+273.15)) * AM74/DX74 * AL74) * DX74/(100*DL74) * (1000 - DU74)/1000</f>
        <v>0</v>
      </c>
      <c r="AJ74">
        <v>430.615392480327</v>
      </c>
      <c r="AK74">
        <v>423.234254545454</v>
      </c>
      <c r="AL74">
        <v>-0.00128075109808095</v>
      </c>
      <c r="AM74">
        <v>64.9540646669734</v>
      </c>
      <c r="AN74">
        <f>(AP74 - AO74 + DY74*1E3/(8.314*(EA74+273.15)) * AR74/DX74 * AQ74) * DX74/(100*DL74) * 1000/(1000 - AP74)</f>
        <v>0</v>
      </c>
      <c r="AO74">
        <v>24.6505113185896</v>
      </c>
      <c r="AP74">
        <v>28.5541345454545</v>
      </c>
      <c r="AQ74">
        <v>1.30507341029068e-05</v>
      </c>
      <c r="AR74">
        <v>117.663761739153</v>
      </c>
      <c r="AS74">
        <v>0</v>
      </c>
      <c r="AT74">
        <v>0</v>
      </c>
      <c r="AU74">
        <f>IF(AS74*$H$13&gt;=AW74,1.0,(AW74/(AW74-AS74*$H$13)))</f>
        <v>0</v>
      </c>
      <c r="AV74">
        <f>(AU74-1)*100</f>
        <v>0</v>
      </c>
      <c r="AW74">
        <f>MAX(0,($B$13+$C$13*EF74)/(1+$D$13*EF74)*DY74/(EA74+273)*$E$13)</f>
        <v>0</v>
      </c>
      <c r="AX74" t="s">
        <v>437</v>
      </c>
      <c r="AY74">
        <v>5082.33</v>
      </c>
      <c r="AZ74">
        <v>690.032</v>
      </c>
      <c r="BA74">
        <v>1612.68</v>
      </c>
      <c r="BB74">
        <f>1-AZ74/BA74</f>
        <v>0</v>
      </c>
      <c r="BC74">
        <v>-9.7270689171713</v>
      </c>
      <c r="BD74" t="s">
        <v>692</v>
      </c>
      <c r="BE74">
        <v>5125.56</v>
      </c>
      <c r="BF74">
        <v>1511.91692307692</v>
      </c>
      <c r="BG74">
        <v>1830.65316203318</v>
      </c>
      <c r="BH74">
        <f>1-BF74/BG74</f>
        <v>0</v>
      </c>
      <c r="BI74">
        <v>0.5</v>
      </c>
      <c r="BJ74">
        <f>DI74</f>
        <v>0</v>
      </c>
      <c r="BK74">
        <f>L74</f>
        <v>0</v>
      </c>
      <c r="BL74">
        <f>BH74*BI74*BJ74</f>
        <v>0</v>
      </c>
      <c r="BM74">
        <f>(BK74-BC74)/BJ74</f>
        <v>0</v>
      </c>
      <c r="BN74">
        <f>(BA74-BG74)/BG74</f>
        <v>0</v>
      </c>
      <c r="BO74">
        <f>AZ74/(BB74+AZ74/BG74)</f>
        <v>0</v>
      </c>
      <c r="BP74" t="s">
        <v>693</v>
      </c>
      <c r="BQ74">
        <v>836.53</v>
      </c>
      <c r="BR74">
        <f>IF(BQ74&lt;&gt;0, BQ74, BO74)</f>
        <v>0</v>
      </c>
      <c r="BS74">
        <f>1-BR74/BG74</f>
        <v>0</v>
      </c>
      <c r="BT74">
        <f>(BG74-BF74)/(BG74-BR74)</f>
        <v>0</v>
      </c>
      <c r="BU74">
        <f>(BA74-BG74)/(BA74-BR74)</f>
        <v>0</v>
      </c>
      <c r="BV74">
        <f>(BG74-BF74)/(BG74-AZ74)</f>
        <v>0</v>
      </c>
      <c r="BW74">
        <f>(BA74-BG74)/(BA74-AZ74)</f>
        <v>0</v>
      </c>
      <c r="BX74">
        <f>(BT74*BR74/BF74)</f>
        <v>0</v>
      </c>
      <c r="BY74">
        <f>(1-BX74)</f>
        <v>0</v>
      </c>
      <c r="BZ74">
        <v>210</v>
      </c>
      <c r="CA74">
        <v>290</v>
      </c>
      <c r="CB74">
        <v>1749.21</v>
      </c>
      <c r="CC74">
        <v>255</v>
      </c>
      <c r="CD74">
        <v>5125.56</v>
      </c>
      <c r="CE74">
        <v>1748.49</v>
      </c>
      <c r="CF74">
        <v>0.72</v>
      </c>
      <c r="CG74">
        <v>300</v>
      </c>
      <c r="CH74">
        <v>23.8</v>
      </c>
      <c r="CI74">
        <v>1830.65316203318</v>
      </c>
      <c r="CJ74">
        <v>2.13285516545072</v>
      </c>
      <c r="CK74">
        <v>-42.1127407001911</v>
      </c>
      <c r="CL74">
        <v>0.983675550819393</v>
      </c>
      <c r="CM74">
        <v>0.984952987732013</v>
      </c>
      <c r="CN74">
        <v>-0.00323271501668521</v>
      </c>
      <c r="CO74">
        <v>290</v>
      </c>
      <c r="CP74">
        <v>1747.56</v>
      </c>
      <c r="CQ74">
        <v>645</v>
      </c>
      <c r="CR74">
        <v>5123.67</v>
      </c>
      <c r="CS74">
        <v>1748.46</v>
      </c>
      <c r="CT74">
        <v>-0.9</v>
      </c>
      <c r="DH74">
        <f>$B$11*EG74+$C$11*EH74+$F$11*ES74*(1-EV74)</f>
        <v>0</v>
      </c>
      <c r="DI74">
        <f>DH74*DJ74</f>
        <v>0</v>
      </c>
      <c r="DJ74">
        <f>($B$11*$D$9+$C$11*$D$9+$F$11*((FF74+EX74)/MAX(FF74+EX74+FG74, 0.1)*$I$9+FG74/MAX(FF74+EX74+FG74, 0.1)*$J$9))/($B$11+$C$11+$F$11)</f>
        <v>0</v>
      </c>
      <c r="DK74">
        <f>($B$11*$K$9+$C$11*$K$9+$F$11*((FF74+EX74)/MAX(FF74+EX74+FG74, 0.1)*$P$9+FG74/MAX(FF74+EX74+FG74, 0.1)*$Q$9))/($B$11+$C$11+$F$11)</f>
        <v>0</v>
      </c>
      <c r="DL74">
        <v>3.21</v>
      </c>
      <c r="DM74">
        <v>0.5</v>
      </c>
      <c r="DN74" t="s">
        <v>440</v>
      </c>
      <c r="DO74">
        <v>2</v>
      </c>
      <c r="DP74" t="b">
        <v>1</v>
      </c>
      <c r="DQ74">
        <v>1760909989.1</v>
      </c>
      <c r="DR74">
        <v>411.179533333333</v>
      </c>
      <c r="DS74">
        <v>419.989733333333</v>
      </c>
      <c r="DT74">
        <v>28.5473133333333</v>
      </c>
      <c r="DU74">
        <v>24.6572466666667</v>
      </c>
      <c r="DV74">
        <v>408.764666666667</v>
      </c>
      <c r="DW74">
        <v>28.1121</v>
      </c>
      <c r="DX74">
        <v>500.019733333333</v>
      </c>
      <c r="DY74">
        <v>90.64502</v>
      </c>
      <c r="DZ74">
        <v>0.0447864533333333</v>
      </c>
      <c r="EA74">
        <v>36.1085266666667</v>
      </c>
      <c r="EB74">
        <v>35.97714</v>
      </c>
      <c r="EC74">
        <v>999.9</v>
      </c>
      <c r="ED74">
        <v>0</v>
      </c>
      <c r="EE74">
        <v>0</v>
      </c>
      <c r="EF74">
        <v>10007.0313333333</v>
      </c>
      <c r="EG74">
        <v>0</v>
      </c>
      <c r="EH74">
        <v>1280.042</v>
      </c>
      <c r="EI74">
        <v>-8.810208</v>
      </c>
      <c r="EJ74">
        <v>423.262733333333</v>
      </c>
      <c r="EK74">
        <v>430.607466666667</v>
      </c>
      <c r="EL74">
        <v>3.890058</v>
      </c>
      <c r="EM74">
        <v>419.989733333333</v>
      </c>
      <c r="EN74">
        <v>24.6572466666667</v>
      </c>
      <c r="EO74">
        <v>2.58767133333333</v>
      </c>
      <c r="EP74">
        <v>2.23505733333333</v>
      </c>
      <c r="EQ74">
        <v>21.5886933333333</v>
      </c>
      <c r="ER74">
        <v>19.21584</v>
      </c>
      <c r="ES74">
        <v>1199.98133333333</v>
      </c>
      <c r="ET74">
        <v>0.967004066666667</v>
      </c>
      <c r="EU74">
        <v>0.0329960466666667</v>
      </c>
      <c r="EV74">
        <v>0</v>
      </c>
      <c r="EW74">
        <v>1511.92066666667</v>
      </c>
      <c r="EX74">
        <v>5.00059</v>
      </c>
      <c r="EY74">
        <v>18641.9066666667</v>
      </c>
      <c r="EZ74">
        <v>10358.5866666667</v>
      </c>
      <c r="FA74">
        <v>51.25</v>
      </c>
      <c r="FB74">
        <v>52.9706</v>
      </c>
      <c r="FC74">
        <v>51.5041333333333</v>
      </c>
      <c r="FD74">
        <v>52.5206666666667</v>
      </c>
      <c r="FE74">
        <v>52.3666</v>
      </c>
      <c r="FF74">
        <v>1155.55133333333</v>
      </c>
      <c r="FG74">
        <v>39.43</v>
      </c>
      <c r="FH74">
        <v>0</v>
      </c>
      <c r="FI74">
        <v>468.200000047684</v>
      </c>
      <c r="FJ74">
        <v>0</v>
      </c>
      <c r="FK74">
        <v>1511.91692307692</v>
      </c>
      <c r="FL74">
        <v>-0.861538468546617</v>
      </c>
      <c r="FM74">
        <v>1.49059850671593</v>
      </c>
      <c r="FN74">
        <v>18642.3</v>
      </c>
      <c r="FO74">
        <v>15</v>
      </c>
      <c r="FP74">
        <v>0</v>
      </c>
      <c r="FQ74" t="s">
        <v>441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-8.8105415</v>
      </c>
      <c r="GD74">
        <v>-0.0341715789473718</v>
      </c>
      <c r="GE74">
        <v>0.0335156380328647</v>
      </c>
      <c r="GF74">
        <v>1</v>
      </c>
      <c r="GG74">
        <v>1511.94558823529</v>
      </c>
      <c r="GH74">
        <v>-0.761038970268456</v>
      </c>
      <c r="GI74">
        <v>0.247281587246213</v>
      </c>
      <c r="GJ74">
        <v>-1</v>
      </c>
      <c r="GK74">
        <v>3.8849585</v>
      </c>
      <c r="GL74">
        <v>0.126954135338346</v>
      </c>
      <c r="GM74">
        <v>0.0122653635392515</v>
      </c>
      <c r="GN74">
        <v>0</v>
      </c>
      <c r="GO74">
        <v>1</v>
      </c>
      <c r="GP74">
        <v>2</v>
      </c>
      <c r="GQ74" t="s">
        <v>454</v>
      </c>
      <c r="GR74">
        <v>3.12935</v>
      </c>
      <c r="GS74">
        <v>2.72291</v>
      </c>
      <c r="GT74">
        <v>0.085015</v>
      </c>
      <c r="GU74">
        <v>0.0869636</v>
      </c>
      <c r="GV74">
        <v>0.113018</v>
      </c>
      <c r="GW74">
        <v>0.102429</v>
      </c>
      <c r="GX74">
        <v>33533.1</v>
      </c>
      <c r="GY74">
        <v>35577.1</v>
      </c>
      <c r="GZ74">
        <v>33235.3</v>
      </c>
      <c r="HA74">
        <v>35358.3</v>
      </c>
      <c r="HB74">
        <v>41881.6</v>
      </c>
      <c r="HC74">
        <v>45678.4</v>
      </c>
      <c r="HD74">
        <v>52060.7</v>
      </c>
      <c r="HE74">
        <v>56622.9</v>
      </c>
      <c r="HF74">
        <v>1.7827</v>
      </c>
      <c r="HG74">
        <v>1.65165</v>
      </c>
      <c r="HH74">
        <v>-0.00864267</v>
      </c>
      <c r="HI74">
        <v>0</v>
      </c>
      <c r="HJ74">
        <v>36.137</v>
      </c>
      <c r="HK74">
        <v>999.9</v>
      </c>
      <c r="HL74">
        <v>55.024</v>
      </c>
      <c r="HM74">
        <v>29.9</v>
      </c>
      <c r="HN74">
        <v>25.7124</v>
      </c>
      <c r="HO74">
        <v>55.4837</v>
      </c>
      <c r="HP74">
        <v>42.9046</v>
      </c>
      <c r="HQ74">
        <v>1</v>
      </c>
      <c r="HR74">
        <v>1.32792</v>
      </c>
      <c r="HS74">
        <v>4.67422</v>
      </c>
      <c r="HT74">
        <v>20.0728</v>
      </c>
      <c r="HU74">
        <v>5.19258</v>
      </c>
      <c r="HV74">
        <v>12.0102</v>
      </c>
      <c r="HW74">
        <v>4.97295</v>
      </c>
      <c r="HX74">
        <v>3.295</v>
      </c>
      <c r="HY74">
        <v>9999</v>
      </c>
      <c r="HZ74">
        <v>999.9</v>
      </c>
      <c r="IA74">
        <v>9999</v>
      </c>
      <c r="IB74">
        <v>9999</v>
      </c>
      <c r="IC74">
        <v>1.86325</v>
      </c>
      <c r="ID74">
        <v>1.86802</v>
      </c>
      <c r="IE74">
        <v>1.86783</v>
      </c>
      <c r="IF74">
        <v>1.86905</v>
      </c>
      <c r="IG74">
        <v>1.86981</v>
      </c>
      <c r="IH74">
        <v>1.86584</v>
      </c>
      <c r="II74">
        <v>1.86692</v>
      </c>
      <c r="IJ74">
        <v>1.86839</v>
      </c>
      <c r="IK74">
        <v>5</v>
      </c>
      <c r="IL74">
        <v>0</v>
      </c>
      <c r="IM74">
        <v>0</v>
      </c>
      <c r="IN74">
        <v>0</v>
      </c>
      <c r="IO74" t="s">
        <v>443</v>
      </c>
      <c r="IP74" t="s">
        <v>444</v>
      </c>
      <c r="IQ74" t="s">
        <v>445</v>
      </c>
      <c r="IR74" t="s">
        <v>445</v>
      </c>
      <c r="IS74" t="s">
        <v>445</v>
      </c>
      <c r="IT74" t="s">
        <v>445</v>
      </c>
      <c r="IU74">
        <v>0</v>
      </c>
      <c r="IV74">
        <v>100</v>
      </c>
      <c r="IW74">
        <v>100</v>
      </c>
      <c r="IX74">
        <v>2.415</v>
      </c>
      <c r="IY74">
        <v>0.4352</v>
      </c>
      <c r="IZ74">
        <v>0.833350075594679</v>
      </c>
      <c r="JA74">
        <v>0.00412825224050377</v>
      </c>
      <c r="JB74">
        <v>-7.34426573386615e-07</v>
      </c>
      <c r="JC74">
        <v>2.46800082545482e-10</v>
      </c>
      <c r="JD74">
        <v>0.435209846415365</v>
      </c>
      <c r="JE74">
        <v>0</v>
      </c>
      <c r="JF74">
        <v>0</v>
      </c>
      <c r="JG74">
        <v>0</v>
      </c>
      <c r="JH74">
        <v>5</v>
      </c>
      <c r="JI74">
        <v>2250</v>
      </c>
      <c r="JJ74">
        <v>0</v>
      </c>
      <c r="JK74">
        <v>24</v>
      </c>
      <c r="JL74">
        <v>29348500</v>
      </c>
      <c r="JM74">
        <v>29348500</v>
      </c>
      <c r="JN74">
        <v>1.01929</v>
      </c>
      <c r="JO74">
        <v>2.6355</v>
      </c>
      <c r="JP74">
        <v>1.54785</v>
      </c>
      <c r="JQ74">
        <v>2.31567</v>
      </c>
      <c r="JR74">
        <v>1.64673</v>
      </c>
      <c r="JS74">
        <v>2.323</v>
      </c>
      <c r="JT74">
        <v>33.9865</v>
      </c>
      <c r="JU74">
        <v>24.1663</v>
      </c>
      <c r="JV74">
        <v>18</v>
      </c>
      <c r="JW74">
        <v>499.521</v>
      </c>
      <c r="JX74">
        <v>406.742</v>
      </c>
      <c r="JY74">
        <v>29.9048</v>
      </c>
      <c r="JZ74">
        <v>42.9516</v>
      </c>
      <c r="KA74">
        <v>30.0002</v>
      </c>
      <c r="KB74">
        <v>42.6655</v>
      </c>
      <c r="KC74">
        <v>42.5527</v>
      </c>
      <c r="KD74">
        <v>20.4253</v>
      </c>
      <c r="KE74">
        <v>0</v>
      </c>
      <c r="KF74">
        <v>100</v>
      </c>
      <c r="KG74">
        <v>29.9054</v>
      </c>
      <c r="KH74">
        <v>420</v>
      </c>
      <c r="KI74">
        <v>35.6443</v>
      </c>
      <c r="KJ74">
        <v>94.4837</v>
      </c>
      <c r="KK74">
        <v>91.6713</v>
      </c>
    </row>
    <row r="75" spans="1:297">
      <c r="A75">
        <v>59</v>
      </c>
      <c r="B75">
        <v>1760910213</v>
      </c>
      <c r="C75">
        <v>16448.9000000954</v>
      </c>
      <c r="D75" t="s">
        <v>694</v>
      </c>
      <c r="E75" t="s">
        <v>695</v>
      </c>
      <c r="F75">
        <v>5</v>
      </c>
      <c r="G75" t="s">
        <v>691</v>
      </c>
      <c r="H75" t="s">
        <v>436</v>
      </c>
      <c r="I75">
        <v>1760910204.5</v>
      </c>
      <c r="J75">
        <f>(K75)/1000</f>
        <v>0</v>
      </c>
      <c r="K75">
        <f>IF(DP75, AN75, AH75)</f>
        <v>0</v>
      </c>
      <c r="L75">
        <f>IF(DP75, AI75, AG75)</f>
        <v>0</v>
      </c>
      <c r="M75">
        <f>DR75 - IF(AU75&gt;1, L75*DL75*100.0/(AW75), 0)</f>
        <v>0</v>
      </c>
      <c r="N75">
        <f>((T75-J75/2)*M75-L75)/(T75+J75/2)</f>
        <v>0</v>
      </c>
      <c r="O75">
        <f>N75*(DY75+DZ75)/1000.0</f>
        <v>0</v>
      </c>
      <c r="P75">
        <f>(DR75 - IF(AU75&gt;1, L75*DL75*100.0/(AW75), 0))*(DY75+DZ75)/1000.0</f>
        <v>0</v>
      </c>
      <c r="Q75">
        <f>2.0/((1/S75-1/R75)+SIGN(S75)*SQRT((1/S75-1/R75)*(1/S75-1/R75) + 4*DM75/((DM75+1)*(DM75+1))*(2*1/S75*1/R75-1/R75*1/R75)))</f>
        <v>0</v>
      </c>
      <c r="R75">
        <f>IF(LEFT(DN75,1)&lt;&gt;"0",IF(LEFT(DN75,1)="1",3.0,DO75),$D$5+$E$5*(EF75*DY75/($K$5*1000))+$F$5*(EF75*DY75/($K$5*1000))*MAX(MIN(DL75,$J$5),$I$5)*MAX(MIN(DL75,$J$5),$I$5)+$G$5*MAX(MIN(DL75,$J$5),$I$5)*(EF75*DY75/($K$5*1000))+$H$5*(EF75*DY75/($K$5*1000))*(EF75*DY75/($K$5*1000)))</f>
        <v>0</v>
      </c>
      <c r="S75">
        <f>J75*(1000-(1000*0.61365*exp(17.502*W75/(240.97+W75))/(DY75+DZ75)+DT75)/2)/(1000*0.61365*exp(17.502*W75/(240.97+W75))/(DY75+DZ75)-DT75)</f>
        <v>0</v>
      </c>
      <c r="T75">
        <f>1/((DM75+1)/(Q75/1.6)+1/(R75/1.37)) + DM75/((DM75+1)/(Q75/1.6) + DM75/(R75/1.37))</f>
        <v>0</v>
      </c>
      <c r="U75">
        <f>(DH75*DK75)</f>
        <v>0</v>
      </c>
      <c r="V75">
        <f>(EA75+(U75+2*0.95*5.67E-8*(((EA75+$B$7)+273)^4-(EA75+273)^4)-44100*J75)/(1.84*29.3*R75+8*0.95*5.67E-8*(EA75+273)^3))</f>
        <v>0</v>
      </c>
      <c r="W75">
        <f>($C$7*EB75+$D$7*EC75+$E$7*V75)</f>
        <v>0</v>
      </c>
      <c r="X75">
        <f>0.61365*exp(17.502*W75/(240.97+W75))</f>
        <v>0</v>
      </c>
      <c r="Y75">
        <f>(Z75/AA75*100)</f>
        <v>0</v>
      </c>
      <c r="Z75">
        <f>DT75*(DY75+DZ75)/1000</f>
        <v>0</v>
      </c>
      <c r="AA75">
        <f>0.61365*exp(17.502*EA75/(240.97+EA75))</f>
        <v>0</v>
      </c>
      <c r="AB75">
        <f>(X75-DT75*(DY75+DZ75)/1000)</f>
        <v>0</v>
      </c>
      <c r="AC75">
        <f>(-J75*44100)</f>
        <v>0</v>
      </c>
      <c r="AD75">
        <f>2*29.3*R75*0.92*(EA75-W75)</f>
        <v>0</v>
      </c>
      <c r="AE75">
        <f>2*0.95*5.67E-8*(((EA75+$B$7)+273)^4-(W75+273)^4)</f>
        <v>0</v>
      </c>
      <c r="AF75">
        <f>U75+AE75+AC75+AD75</f>
        <v>0</v>
      </c>
      <c r="AG75">
        <f>DX75*AU75*(DS75-DR75*(1000-AU75*DU75)/(1000-AU75*DT75))/(100*DL75)</f>
        <v>0</v>
      </c>
      <c r="AH75">
        <f>1000*DX75*AU75*(DT75-DU75)/(100*DL75*(1000-AU75*DT75))</f>
        <v>0</v>
      </c>
      <c r="AI75">
        <f>(AJ75 - AK75 - DY75*1E3/(8.314*(EA75+273.15)) * AM75/DX75 * AL75) * DX75/(100*DL75) * (1000 - DU75)/1000</f>
        <v>0</v>
      </c>
      <c r="AJ75">
        <v>430.485829918498</v>
      </c>
      <c r="AK75">
        <v>422.999042424242</v>
      </c>
      <c r="AL75">
        <v>-0.000728541632749287</v>
      </c>
      <c r="AM75">
        <v>64.9540646669734</v>
      </c>
      <c r="AN75">
        <f>(AP75 - AO75 + DY75*1E3/(8.314*(EA75+273.15)) * AR75/DX75 * AQ75) * DX75/(100*DL75) * 1000/(1000 - AP75)</f>
        <v>0</v>
      </c>
      <c r="AO75">
        <v>24.451595611587</v>
      </c>
      <c r="AP75">
        <v>28.4928587878788</v>
      </c>
      <c r="AQ75">
        <v>-1.30886933215851e-06</v>
      </c>
      <c r="AR75">
        <v>117.663761739153</v>
      </c>
      <c r="AS75">
        <v>0</v>
      </c>
      <c r="AT75">
        <v>0</v>
      </c>
      <c r="AU75">
        <f>IF(AS75*$H$13&gt;=AW75,1.0,(AW75/(AW75-AS75*$H$13)))</f>
        <v>0</v>
      </c>
      <c r="AV75">
        <f>(AU75-1)*100</f>
        <v>0</v>
      </c>
      <c r="AW75">
        <f>MAX(0,($B$13+$C$13*EF75)/(1+$D$13*EF75)*DY75/(EA75+273)*$E$13)</f>
        <v>0</v>
      </c>
      <c r="AX75" t="s">
        <v>437</v>
      </c>
      <c r="AY75">
        <v>5082.33</v>
      </c>
      <c r="AZ75">
        <v>690.032</v>
      </c>
      <c r="BA75">
        <v>1612.68</v>
      </c>
      <c r="BB75">
        <f>1-AZ75/BA75</f>
        <v>0</v>
      </c>
      <c r="BC75">
        <v>-9.7270689171713</v>
      </c>
      <c r="BD75" t="s">
        <v>696</v>
      </c>
      <c r="BE75">
        <v>5126.42</v>
      </c>
      <c r="BF75">
        <v>1510.2188</v>
      </c>
      <c r="BG75">
        <v>1833.94803939041</v>
      </c>
      <c r="BH75">
        <f>1-BF75/BG75</f>
        <v>0</v>
      </c>
      <c r="BI75">
        <v>0.5</v>
      </c>
      <c r="BJ75">
        <f>DI75</f>
        <v>0</v>
      </c>
      <c r="BK75">
        <f>L75</f>
        <v>0</v>
      </c>
      <c r="BL75">
        <f>BH75*BI75*BJ75</f>
        <v>0</v>
      </c>
      <c r="BM75">
        <f>(BK75-BC75)/BJ75</f>
        <v>0</v>
      </c>
      <c r="BN75">
        <f>(BA75-BG75)/BG75</f>
        <v>0</v>
      </c>
      <c r="BO75">
        <f>AZ75/(BB75+AZ75/BG75)</f>
        <v>0</v>
      </c>
      <c r="BP75" t="s">
        <v>697</v>
      </c>
      <c r="BQ75">
        <v>836.8</v>
      </c>
      <c r="BR75">
        <f>IF(BQ75&lt;&gt;0, BQ75, BO75)</f>
        <v>0</v>
      </c>
      <c r="BS75">
        <f>1-BR75/BG75</f>
        <v>0</v>
      </c>
      <c r="BT75">
        <f>(BG75-BF75)/(BG75-BR75)</f>
        <v>0</v>
      </c>
      <c r="BU75">
        <f>(BA75-BG75)/(BA75-BR75)</f>
        <v>0</v>
      </c>
      <c r="BV75">
        <f>(BG75-BF75)/(BG75-AZ75)</f>
        <v>0</v>
      </c>
      <c r="BW75">
        <f>(BA75-BG75)/(BA75-AZ75)</f>
        <v>0</v>
      </c>
      <c r="BX75">
        <f>(BT75*BR75/BF75)</f>
        <v>0</v>
      </c>
      <c r="BY75">
        <f>(1-BX75)</f>
        <v>0</v>
      </c>
      <c r="BZ75">
        <v>212</v>
      </c>
      <c r="CA75">
        <v>290</v>
      </c>
      <c r="CB75">
        <v>1747.68</v>
      </c>
      <c r="CC75">
        <v>195</v>
      </c>
      <c r="CD75">
        <v>5126.42</v>
      </c>
      <c r="CE75">
        <v>1746.68</v>
      </c>
      <c r="CF75">
        <v>1</v>
      </c>
      <c r="CG75">
        <v>300</v>
      </c>
      <c r="CH75">
        <v>23.8</v>
      </c>
      <c r="CI75">
        <v>1833.94803939041</v>
      </c>
      <c r="CJ75">
        <v>2.05443411790375</v>
      </c>
      <c r="CK75">
        <v>-44.73863557245</v>
      </c>
      <c r="CL75">
        <v>0.947461841620742</v>
      </c>
      <c r="CM75">
        <v>0.987597873304267</v>
      </c>
      <c r="CN75">
        <v>-0.00323257174638487</v>
      </c>
      <c r="CO75">
        <v>290</v>
      </c>
      <c r="CP75">
        <v>1744.56</v>
      </c>
      <c r="CQ75">
        <v>685</v>
      </c>
      <c r="CR75">
        <v>5123.02</v>
      </c>
      <c r="CS75">
        <v>1746.62</v>
      </c>
      <c r="CT75">
        <v>-2.06</v>
      </c>
      <c r="DH75">
        <f>$B$11*EG75+$C$11*EH75+$F$11*ES75*(1-EV75)</f>
        <v>0</v>
      </c>
      <c r="DI75">
        <f>DH75*DJ75</f>
        <v>0</v>
      </c>
      <c r="DJ75">
        <f>($B$11*$D$9+$C$11*$D$9+$F$11*((FF75+EX75)/MAX(FF75+EX75+FG75, 0.1)*$I$9+FG75/MAX(FF75+EX75+FG75, 0.1)*$J$9))/($B$11+$C$11+$F$11)</f>
        <v>0</v>
      </c>
      <c r="DK75">
        <f>($B$11*$K$9+$C$11*$K$9+$F$11*((FF75+EX75)/MAX(FF75+EX75+FG75, 0.1)*$P$9+FG75/MAX(FF75+EX75+FG75, 0.1)*$Q$9))/($B$11+$C$11+$F$11)</f>
        <v>0</v>
      </c>
      <c r="DL75">
        <v>3.21</v>
      </c>
      <c r="DM75">
        <v>0.5</v>
      </c>
      <c r="DN75" t="s">
        <v>440</v>
      </c>
      <c r="DO75">
        <v>2</v>
      </c>
      <c r="DP75" t="b">
        <v>1</v>
      </c>
      <c r="DQ75">
        <v>1760910204.5</v>
      </c>
      <c r="DR75">
        <v>410.9773125</v>
      </c>
      <c r="DS75">
        <v>419.9863125</v>
      </c>
      <c r="DT75">
        <v>28.4955375</v>
      </c>
      <c r="DU75">
        <v>24.45503125</v>
      </c>
      <c r="DV75">
        <v>408.5631875</v>
      </c>
      <c r="DW75">
        <v>28.06031875</v>
      </c>
      <c r="DX75">
        <v>499.98025</v>
      </c>
      <c r="DY75">
        <v>90.63278125</v>
      </c>
      <c r="DZ75">
        <v>0.04604043125</v>
      </c>
      <c r="EA75">
        <v>36.184325</v>
      </c>
      <c r="EB75">
        <v>36.02194375</v>
      </c>
      <c r="EC75">
        <v>999.9</v>
      </c>
      <c r="ED75">
        <v>0</v>
      </c>
      <c r="EE75">
        <v>0</v>
      </c>
      <c r="EF75">
        <v>9985.82375</v>
      </c>
      <c r="EG75">
        <v>0</v>
      </c>
      <c r="EH75">
        <v>1280.035625</v>
      </c>
      <c r="EI75">
        <v>-9.009054375</v>
      </c>
      <c r="EJ75">
        <v>423.0318125</v>
      </c>
      <c r="EK75">
        <v>430.51475</v>
      </c>
      <c r="EL75">
        <v>4.040508125</v>
      </c>
      <c r="EM75">
        <v>419.9863125</v>
      </c>
      <c r="EN75">
        <v>24.45503125</v>
      </c>
      <c r="EO75">
        <v>2.582630625</v>
      </c>
      <c r="EP75">
        <v>2.2164275</v>
      </c>
      <c r="EQ75">
        <v>21.55681875</v>
      </c>
      <c r="ER75">
        <v>19.08154375</v>
      </c>
      <c r="ES75">
        <v>1200.018125</v>
      </c>
      <c r="ET75">
        <v>0.9670066875</v>
      </c>
      <c r="EU75">
        <v>0.0329936375</v>
      </c>
      <c r="EV75">
        <v>0</v>
      </c>
      <c r="EW75">
        <v>1510.29625</v>
      </c>
      <c r="EX75">
        <v>5.00059</v>
      </c>
      <c r="EY75">
        <v>18630.5375</v>
      </c>
      <c r="EZ75">
        <v>10358.90625</v>
      </c>
      <c r="FA75">
        <v>51.312</v>
      </c>
      <c r="FB75">
        <v>53.062</v>
      </c>
      <c r="FC75">
        <v>51.5816875</v>
      </c>
      <c r="FD75">
        <v>52.5935</v>
      </c>
      <c r="FE75">
        <v>52.433125</v>
      </c>
      <c r="FF75">
        <v>1155.588125</v>
      </c>
      <c r="FG75">
        <v>39.43</v>
      </c>
      <c r="FH75">
        <v>0</v>
      </c>
      <c r="FI75">
        <v>212.599999904633</v>
      </c>
      <c r="FJ75">
        <v>0</v>
      </c>
      <c r="FK75">
        <v>1510.2188</v>
      </c>
      <c r="FL75">
        <v>-1.72230768754783</v>
      </c>
      <c r="FM75">
        <v>-14.8153846759412</v>
      </c>
      <c r="FN75">
        <v>18629.384</v>
      </c>
      <c r="FO75">
        <v>15</v>
      </c>
      <c r="FP75">
        <v>0</v>
      </c>
      <c r="FQ75" t="s">
        <v>441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-9.02357857142857</v>
      </c>
      <c r="GD75">
        <v>0.183077922077912</v>
      </c>
      <c r="GE75">
        <v>0.0418870988532284</v>
      </c>
      <c r="GF75">
        <v>1</v>
      </c>
      <c r="GG75">
        <v>1510.33441176471</v>
      </c>
      <c r="GH75">
        <v>-1.39816653897416</v>
      </c>
      <c r="GI75">
        <v>0.263775653076073</v>
      </c>
      <c r="GJ75">
        <v>-1</v>
      </c>
      <c r="GK75">
        <v>4.03853142857143</v>
      </c>
      <c r="GL75">
        <v>0.0257142857142883</v>
      </c>
      <c r="GM75">
        <v>0.0033867279977306</v>
      </c>
      <c r="GN75">
        <v>1</v>
      </c>
      <c r="GO75">
        <v>2</v>
      </c>
      <c r="GP75">
        <v>2</v>
      </c>
      <c r="GQ75" t="s">
        <v>442</v>
      </c>
      <c r="GR75">
        <v>3.12924</v>
      </c>
      <c r="GS75">
        <v>2.72396</v>
      </c>
      <c r="GT75">
        <v>0.0849652</v>
      </c>
      <c r="GU75">
        <v>0.0869303</v>
      </c>
      <c r="GV75">
        <v>0.11281</v>
      </c>
      <c r="GW75">
        <v>0.101829</v>
      </c>
      <c r="GX75">
        <v>33532.2</v>
      </c>
      <c r="GY75">
        <v>35574.1</v>
      </c>
      <c r="GZ75">
        <v>33232.9</v>
      </c>
      <c r="HA75">
        <v>35354.3</v>
      </c>
      <c r="HB75">
        <v>41889.1</v>
      </c>
      <c r="HC75">
        <v>45703.9</v>
      </c>
      <c r="HD75">
        <v>52057.8</v>
      </c>
      <c r="HE75">
        <v>56617.3</v>
      </c>
      <c r="HF75">
        <v>1.78202</v>
      </c>
      <c r="HG75">
        <v>1.65105</v>
      </c>
      <c r="HH75">
        <v>-0.00938773</v>
      </c>
      <c r="HI75">
        <v>0</v>
      </c>
      <c r="HJ75">
        <v>36.1751</v>
      </c>
      <c r="HK75">
        <v>999.9</v>
      </c>
      <c r="HL75">
        <v>54.828</v>
      </c>
      <c r="HM75">
        <v>29.86</v>
      </c>
      <c r="HN75">
        <v>25.5678</v>
      </c>
      <c r="HO75">
        <v>56.0837</v>
      </c>
      <c r="HP75">
        <v>43.2332</v>
      </c>
      <c r="HQ75">
        <v>1</v>
      </c>
      <c r="HR75">
        <v>1.33504</v>
      </c>
      <c r="HS75">
        <v>5.10889</v>
      </c>
      <c r="HT75">
        <v>20.0605</v>
      </c>
      <c r="HU75">
        <v>5.18869</v>
      </c>
      <c r="HV75">
        <v>12.0102</v>
      </c>
      <c r="HW75">
        <v>4.97355</v>
      </c>
      <c r="HX75">
        <v>3.295</v>
      </c>
      <c r="HY75">
        <v>9999</v>
      </c>
      <c r="HZ75">
        <v>999.9</v>
      </c>
      <c r="IA75">
        <v>9999</v>
      </c>
      <c r="IB75">
        <v>9999</v>
      </c>
      <c r="IC75">
        <v>1.86325</v>
      </c>
      <c r="ID75">
        <v>1.86802</v>
      </c>
      <c r="IE75">
        <v>1.86783</v>
      </c>
      <c r="IF75">
        <v>1.86904</v>
      </c>
      <c r="IG75">
        <v>1.86981</v>
      </c>
      <c r="IH75">
        <v>1.86584</v>
      </c>
      <c r="II75">
        <v>1.86691</v>
      </c>
      <c r="IJ75">
        <v>1.86834</v>
      </c>
      <c r="IK75">
        <v>5</v>
      </c>
      <c r="IL75">
        <v>0</v>
      </c>
      <c r="IM75">
        <v>0</v>
      </c>
      <c r="IN75">
        <v>0</v>
      </c>
      <c r="IO75" t="s">
        <v>443</v>
      </c>
      <c r="IP75" t="s">
        <v>444</v>
      </c>
      <c r="IQ75" t="s">
        <v>445</v>
      </c>
      <c r="IR75" t="s">
        <v>445</v>
      </c>
      <c r="IS75" t="s">
        <v>445</v>
      </c>
      <c r="IT75" t="s">
        <v>445</v>
      </c>
      <c r="IU75">
        <v>0</v>
      </c>
      <c r="IV75">
        <v>100</v>
      </c>
      <c r="IW75">
        <v>100</v>
      </c>
      <c r="IX75">
        <v>2.414</v>
      </c>
      <c r="IY75">
        <v>0.4352</v>
      </c>
      <c r="IZ75">
        <v>0.833350075594679</v>
      </c>
      <c r="JA75">
        <v>0.00412825224050377</v>
      </c>
      <c r="JB75">
        <v>-7.34426573386615e-07</v>
      </c>
      <c r="JC75">
        <v>2.46800082545482e-10</v>
      </c>
      <c r="JD75">
        <v>0.435209846415365</v>
      </c>
      <c r="JE75">
        <v>0</v>
      </c>
      <c r="JF75">
        <v>0</v>
      </c>
      <c r="JG75">
        <v>0</v>
      </c>
      <c r="JH75">
        <v>5</v>
      </c>
      <c r="JI75">
        <v>2250</v>
      </c>
      <c r="JJ75">
        <v>0</v>
      </c>
      <c r="JK75">
        <v>24</v>
      </c>
      <c r="JL75">
        <v>29348503.6</v>
      </c>
      <c r="JM75">
        <v>29348503.6</v>
      </c>
      <c r="JN75">
        <v>1.01929</v>
      </c>
      <c r="JO75">
        <v>2.63062</v>
      </c>
      <c r="JP75">
        <v>1.54785</v>
      </c>
      <c r="JQ75">
        <v>2.31567</v>
      </c>
      <c r="JR75">
        <v>1.64673</v>
      </c>
      <c r="JS75">
        <v>2.38647</v>
      </c>
      <c r="JT75">
        <v>33.8961</v>
      </c>
      <c r="JU75">
        <v>24.1663</v>
      </c>
      <c r="JV75">
        <v>18</v>
      </c>
      <c r="JW75">
        <v>499.461</v>
      </c>
      <c r="JX75">
        <v>406.707</v>
      </c>
      <c r="JY75">
        <v>29.7458</v>
      </c>
      <c r="JZ75">
        <v>43.0007</v>
      </c>
      <c r="KA75">
        <v>30.0002</v>
      </c>
      <c r="KB75">
        <v>42.7268</v>
      </c>
      <c r="KC75">
        <v>42.6133</v>
      </c>
      <c r="KD75">
        <v>20.4279</v>
      </c>
      <c r="KE75">
        <v>0</v>
      </c>
      <c r="KF75">
        <v>100</v>
      </c>
      <c r="KG75">
        <v>29.7375</v>
      </c>
      <c r="KH75">
        <v>420</v>
      </c>
      <c r="KI75">
        <v>35.6443</v>
      </c>
      <c r="KJ75">
        <v>94.4777</v>
      </c>
      <c r="KK75">
        <v>91.6617</v>
      </c>
    </row>
    <row r="76" spans="1:297">
      <c r="A76">
        <v>60</v>
      </c>
      <c r="B76">
        <v>1760910319</v>
      </c>
      <c r="C76">
        <v>16554.9000000954</v>
      </c>
      <c r="D76" t="s">
        <v>698</v>
      </c>
      <c r="E76" t="s">
        <v>699</v>
      </c>
      <c r="F76">
        <v>5</v>
      </c>
      <c r="G76" t="s">
        <v>691</v>
      </c>
      <c r="H76" t="s">
        <v>436</v>
      </c>
      <c r="I76">
        <v>1760910311</v>
      </c>
      <c r="J76">
        <f>(K76)/1000</f>
        <v>0</v>
      </c>
      <c r="K76">
        <f>IF(DP76, AN76, AH76)</f>
        <v>0</v>
      </c>
      <c r="L76">
        <f>IF(DP76, AI76, AG76)</f>
        <v>0</v>
      </c>
      <c r="M76">
        <f>DR76 - IF(AU76&gt;1, L76*DL76*100.0/(AW76), 0)</f>
        <v>0</v>
      </c>
      <c r="N76">
        <f>((T76-J76/2)*M76-L76)/(T76+J76/2)</f>
        <v>0</v>
      </c>
      <c r="O76">
        <f>N76*(DY76+DZ76)/1000.0</f>
        <v>0</v>
      </c>
      <c r="P76">
        <f>(DR76 - IF(AU76&gt;1, L76*DL76*100.0/(AW76), 0))*(DY76+DZ76)/1000.0</f>
        <v>0</v>
      </c>
      <c r="Q76">
        <f>2.0/((1/S76-1/R76)+SIGN(S76)*SQRT((1/S76-1/R76)*(1/S76-1/R76) + 4*DM76/((DM76+1)*(DM76+1))*(2*1/S76*1/R76-1/R76*1/R76)))</f>
        <v>0</v>
      </c>
      <c r="R76">
        <f>IF(LEFT(DN76,1)&lt;&gt;"0",IF(LEFT(DN76,1)="1",3.0,DO76),$D$5+$E$5*(EF76*DY76/($K$5*1000))+$F$5*(EF76*DY76/($K$5*1000))*MAX(MIN(DL76,$J$5),$I$5)*MAX(MIN(DL76,$J$5),$I$5)+$G$5*MAX(MIN(DL76,$J$5),$I$5)*(EF76*DY76/($K$5*1000))+$H$5*(EF76*DY76/($K$5*1000))*(EF76*DY76/($K$5*1000)))</f>
        <v>0</v>
      </c>
      <c r="S76">
        <f>J76*(1000-(1000*0.61365*exp(17.502*W76/(240.97+W76))/(DY76+DZ76)+DT76)/2)/(1000*0.61365*exp(17.502*W76/(240.97+W76))/(DY76+DZ76)-DT76)</f>
        <v>0</v>
      </c>
      <c r="T76">
        <f>1/((DM76+1)/(Q76/1.6)+1/(R76/1.37)) + DM76/((DM76+1)/(Q76/1.6) + DM76/(R76/1.37))</f>
        <v>0</v>
      </c>
      <c r="U76">
        <f>(DH76*DK76)</f>
        <v>0</v>
      </c>
      <c r="V76">
        <f>(EA76+(U76+2*0.95*5.67E-8*(((EA76+$B$7)+273)^4-(EA76+273)^4)-44100*J76)/(1.84*29.3*R76+8*0.95*5.67E-8*(EA76+273)^3))</f>
        <v>0</v>
      </c>
      <c r="W76">
        <f>($C$7*EB76+$D$7*EC76+$E$7*V76)</f>
        <v>0</v>
      </c>
      <c r="X76">
        <f>0.61365*exp(17.502*W76/(240.97+W76))</f>
        <v>0</v>
      </c>
      <c r="Y76">
        <f>(Z76/AA76*100)</f>
        <v>0</v>
      </c>
      <c r="Z76">
        <f>DT76*(DY76+DZ76)/1000</f>
        <v>0</v>
      </c>
      <c r="AA76">
        <f>0.61365*exp(17.502*EA76/(240.97+EA76))</f>
        <v>0</v>
      </c>
      <c r="AB76">
        <f>(X76-DT76*(DY76+DZ76)/1000)</f>
        <v>0</v>
      </c>
      <c r="AC76">
        <f>(-J76*44100)</f>
        <v>0</v>
      </c>
      <c r="AD76">
        <f>2*29.3*R76*0.92*(EA76-W76)</f>
        <v>0</v>
      </c>
      <c r="AE76">
        <f>2*0.95*5.67E-8*(((EA76+$B$7)+273)^4-(W76+273)^4)</f>
        <v>0</v>
      </c>
      <c r="AF76">
        <f>U76+AE76+AC76+AD76</f>
        <v>0</v>
      </c>
      <c r="AG76">
        <f>DX76*AU76*(DS76-DR76*(1000-AU76*DU76)/(1000-AU76*DT76))/(100*DL76)</f>
        <v>0</v>
      </c>
      <c r="AH76">
        <f>1000*DX76*AU76*(DT76-DU76)/(100*DL76*(1000-AU76*DT76))</f>
        <v>0</v>
      </c>
      <c r="AI76">
        <f>(AJ76 - AK76 - DY76*1E3/(8.314*(EA76+273.15)) * AM76/DX76 * AL76) * DX76/(100*DL76) * (1000 - DU76)/1000</f>
        <v>0</v>
      </c>
      <c r="AJ76">
        <v>430.473115446162</v>
      </c>
      <c r="AK76">
        <v>422.911272727273</v>
      </c>
      <c r="AL76">
        <v>0.000967229803065095</v>
      </c>
      <c r="AM76">
        <v>64.9540646669734</v>
      </c>
      <c r="AN76">
        <f>(AP76 - AO76 + DY76*1E3/(8.314*(EA76+273.15)) * AR76/DX76 * AQ76) * DX76/(100*DL76) * 1000/(1000 - AP76)</f>
        <v>0</v>
      </c>
      <c r="AO76">
        <v>24.4322199421722</v>
      </c>
      <c r="AP76">
        <v>28.4221115151515</v>
      </c>
      <c r="AQ76">
        <v>-4.09113026404192e-06</v>
      </c>
      <c r="AR76">
        <v>117.663761739153</v>
      </c>
      <c r="AS76">
        <v>0</v>
      </c>
      <c r="AT76">
        <v>0</v>
      </c>
      <c r="AU76">
        <f>IF(AS76*$H$13&gt;=AW76,1.0,(AW76/(AW76-AS76*$H$13)))</f>
        <v>0</v>
      </c>
      <c r="AV76">
        <f>(AU76-1)*100</f>
        <v>0</v>
      </c>
      <c r="AW76">
        <f>MAX(0,($B$13+$C$13*EF76)/(1+$D$13*EF76)*DY76/(EA76+273)*$E$13)</f>
        <v>0</v>
      </c>
      <c r="AX76" t="s">
        <v>437</v>
      </c>
      <c r="AY76">
        <v>5082.33</v>
      </c>
      <c r="AZ76">
        <v>690.032</v>
      </c>
      <c r="BA76">
        <v>1612.68</v>
      </c>
      <c r="BB76">
        <f>1-AZ76/BA76</f>
        <v>0</v>
      </c>
      <c r="BC76">
        <v>-9.7270689171713</v>
      </c>
      <c r="BD76" t="s">
        <v>700</v>
      </c>
      <c r="BE76">
        <v>5126.55</v>
      </c>
      <c r="BF76">
        <v>1508.73923076923</v>
      </c>
      <c r="BG76">
        <v>1829.14252682916</v>
      </c>
      <c r="BH76">
        <f>1-BF76/BG76</f>
        <v>0</v>
      </c>
      <c r="BI76">
        <v>0.5</v>
      </c>
      <c r="BJ76">
        <f>DI76</f>
        <v>0</v>
      </c>
      <c r="BK76">
        <f>L76</f>
        <v>0</v>
      </c>
      <c r="BL76">
        <f>BH76*BI76*BJ76</f>
        <v>0</v>
      </c>
      <c r="BM76">
        <f>(BK76-BC76)/BJ76</f>
        <v>0</v>
      </c>
      <c r="BN76">
        <f>(BA76-BG76)/BG76</f>
        <v>0</v>
      </c>
      <c r="BO76">
        <f>AZ76/(BB76+AZ76/BG76)</f>
        <v>0</v>
      </c>
      <c r="BP76" t="s">
        <v>701</v>
      </c>
      <c r="BQ76">
        <v>840.4</v>
      </c>
      <c r="BR76">
        <f>IF(BQ76&lt;&gt;0, BQ76, BO76)</f>
        <v>0</v>
      </c>
      <c r="BS76">
        <f>1-BR76/BG76</f>
        <v>0</v>
      </c>
      <c r="BT76">
        <f>(BG76-BF76)/(BG76-BR76)</f>
        <v>0</v>
      </c>
      <c r="BU76">
        <f>(BA76-BG76)/(BA76-BR76)</f>
        <v>0</v>
      </c>
      <c r="BV76">
        <f>(BG76-BF76)/(BG76-AZ76)</f>
        <v>0</v>
      </c>
      <c r="BW76">
        <f>(BA76-BG76)/(BA76-AZ76)</f>
        <v>0</v>
      </c>
      <c r="BX76">
        <f>(BT76*BR76/BF76)</f>
        <v>0</v>
      </c>
      <c r="BY76">
        <f>(1-BX76)</f>
        <v>0</v>
      </c>
      <c r="BZ76">
        <v>214</v>
      </c>
      <c r="CA76">
        <v>290</v>
      </c>
      <c r="CB76">
        <v>1745.98</v>
      </c>
      <c r="CC76">
        <v>185</v>
      </c>
      <c r="CD76">
        <v>5126.55</v>
      </c>
      <c r="CE76">
        <v>1744.44</v>
      </c>
      <c r="CF76">
        <v>1.54</v>
      </c>
      <c r="CG76">
        <v>300</v>
      </c>
      <c r="CH76">
        <v>23.8</v>
      </c>
      <c r="CI76">
        <v>1829.14252682916</v>
      </c>
      <c r="CJ76">
        <v>1.95007657610775</v>
      </c>
      <c r="CK76">
        <v>-43.4212781721274</v>
      </c>
      <c r="CL76">
        <v>0.899320591771231</v>
      </c>
      <c r="CM76">
        <v>0.988131478138062</v>
      </c>
      <c r="CN76">
        <v>-0.00323253081201335</v>
      </c>
      <c r="CO76">
        <v>290</v>
      </c>
      <c r="CP76">
        <v>1742.34</v>
      </c>
      <c r="CQ76">
        <v>675</v>
      </c>
      <c r="CR76">
        <v>5123.02</v>
      </c>
      <c r="CS76">
        <v>1744.39</v>
      </c>
      <c r="CT76">
        <v>-2.05</v>
      </c>
      <c r="DH76">
        <f>$B$11*EG76+$C$11*EH76+$F$11*ES76*(1-EV76)</f>
        <v>0</v>
      </c>
      <c r="DI76">
        <f>DH76*DJ76</f>
        <v>0</v>
      </c>
      <c r="DJ76">
        <f>($B$11*$D$9+$C$11*$D$9+$F$11*((FF76+EX76)/MAX(FF76+EX76+FG76, 0.1)*$I$9+FG76/MAX(FF76+EX76+FG76, 0.1)*$J$9))/($B$11+$C$11+$F$11)</f>
        <v>0</v>
      </c>
      <c r="DK76">
        <f>($B$11*$K$9+$C$11*$K$9+$F$11*((FF76+EX76)/MAX(FF76+EX76+FG76, 0.1)*$P$9+FG76/MAX(FF76+EX76+FG76, 0.1)*$Q$9))/($B$11+$C$11+$F$11)</f>
        <v>0</v>
      </c>
      <c r="DL76">
        <v>3.21</v>
      </c>
      <c r="DM76">
        <v>0.5</v>
      </c>
      <c r="DN76" t="s">
        <v>440</v>
      </c>
      <c r="DO76">
        <v>2</v>
      </c>
      <c r="DP76" t="b">
        <v>1</v>
      </c>
      <c r="DQ76">
        <v>1760910311</v>
      </c>
      <c r="DR76">
        <v>410.874333333333</v>
      </c>
      <c r="DS76">
        <v>419.987333333333</v>
      </c>
      <c r="DT76">
        <v>28.4261133333333</v>
      </c>
      <c r="DU76">
        <v>24.4322466666667</v>
      </c>
      <c r="DV76">
        <v>408.460733333333</v>
      </c>
      <c r="DW76">
        <v>27.9909066666667</v>
      </c>
      <c r="DX76">
        <v>500.0126</v>
      </c>
      <c r="DY76">
        <v>90.63884</v>
      </c>
      <c r="DZ76">
        <v>0.0461416666666667</v>
      </c>
      <c r="EA76">
        <v>36.17054</v>
      </c>
      <c r="EB76">
        <v>36.01498</v>
      </c>
      <c r="EC76">
        <v>999.9</v>
      </c>
      <c r="ED76">
        <v>0</v>
      </c>
      <c r="EE76">
        <v>0</v>
      </c>
      <c r="EF76">
        <v>9997.82933333333</v>
      </c>
      <c r="EG76">
        <v>0</v>
      </c>
      <c r="EH76">
        <v>1279.97666666667</v>
      </c>
      <c r="EI76">
        <v>-9.11270933333333</v>
      </c>
      <c r="EJ76">
        <v>422.895733333333</v>
      </c>
      <c r="EK76">
        <v>430.5054</v>
      </c>
      <c r="EL76">
        <v>3.99386266666667</v>
      </c>
      <c r="EM76">
        <v>419.987333333333</v>
      </c>
      <c r="EN76">
        <v>24.4322466666667</v>
      </c>
      <c r="EO76">
        <v>2.57651133333333</v>
      </c>
      <c r="EP76">
        <v>2.21451133333333</v>
      </c>
      <c r="EQ76">
        <v>21.5180666666667</v>
      </c>
      <c r="ER76">
        <v>19.06768</v>
      </c>
      <c r="ES76">
        <v>1199.958</v>
      </c>
      <c r="ET76">
        <v>0.967005333333333</v>
      </c>
      <c r="EU76">
        <v>0.03299494</v>
      </c>
      <c r="EV76">
        <v>0</v>
      </c>
      <c r="EW76">
        <v>1508.708</v>
      </c>
      <c r="EX76">
        <v>5.00059</v>
      </c>
      <c r="EY76">
        <v>18612.4733333333</v>
      </c>
      <c r="EZ76">
        <v>10358.36</v>
      </c>
      <c r="FA76">
        <v>51.3162</v>
      </c>
      <c r="FB76">
        <v>53.062</v>
      </c>
      <c r="FC76">
        <v>51.6208</v>
      </c>
      <c r="FD76">
        <v>52.6208</v>
      </c>
      <c r="FE76">
        <v>52.437</v>
      </c>
      <c r="FF76">
        <v>1155.528</v>
      </c>
      <c r="FG76">
        <v>39.43</v>
      </c>
      <c r="FH76">
        <v>0</v>
      </c>
      <c r="FI76">
        <v>102.799999952316</v>
      </c>
      <c r="FJ76">
        <v>0</v>
      </c>
      <c r="FK76">
        <v>1508.73923076923</v>
      </c>
      <c r="FL76">
        <v>2.56683762119701</v>
      </c>
      <c r="FM76">
        <v>48.9675214001401</v>
      </c>
      <c r="FN76">
        <v>18613.9423076923</v>
      </c>
      <c r="FO76">
        <v>15</v>
      </c>
      <c r="FP76">
        <v>0</v>
      </c>
      <c r="FQ76" t="s">
        <v>441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-9.106656</v>
      </c>
      <c r="GD76">
        <v>-0.129962706766925</v>
      </c>
      <c r="GE76">
        <v>0.0547235307157716</v>
      </c>
      <c r="GF76">
        <v>1</v>
      </c>
      <c r="GG76">
        <v>1508.45852941176</v>
      </c>
      <c r="GH76">
        <v>4.40687548432058</v>
      </c>
      <c r="GI76">
        <v>0.489682564362687</v>
      </c>
      <c r="GJ76">
        <v>-1</v>
      </c>
      <c r="GK76">
        <v>3.9954055</v>
      </c>
      <c r="GL76">
        <v>-0.0375333834586422</v>
      </c>
      <c r="GM76">
        <v>0.00376842868447847</v>
      </c>
      <c r="GN76">
        <v>1</v>
      </c>
      <c r="GO76">
        <v>2</v>
      </c>
      <c r="GP76">
        <v>2</v>
      </c>
      <c r="GQ76" t="s">
        <v>442</v>
      </c>
      <c r="GR76">
        <v>3.1292</v>
      </c>
      <c r="GS76">
        <v>2.72425</v>
      </c>
      <c r="GT76">
        <v>0.0849585</v>
      </c>
      <c r="GU76">
        <v>0.0869327</v>
      </c>
      <c r="GV76">
        <v>0.112618</v>
      </c>
      <c r="GW76">
        <v>0.101775</v>
      </c>
      <c r="GX76">
        <v>33532.5</v>
      </c>
      <c r="GY76">
        <v>35573.9</v>
      </c>
      <c r="GZ76">
        <v>33233</v>
      </c>
      <c r="HA76">
        <v>35354.2</v>
      </c>
      <c r="HB76">
        <v>41898.1</v>
      </c>
      <c r="HC76">
        <v>45706.8</v>
      </c>
      <c r="HD76">
        <v>52058</v>
      </c>
      <c r="HE76">
        <v>56617.4</v>
      </c>
      <c r="HF76">
        <v>1.7816</v>
      </c>
      <c r="HG76">
        <v>1.65155</v>
      </c>
      <c r="HH76">
        <v>-0.0113994</v>
      </c>
      <c r="HI76">
        <v>0</v>
      </c>
      <c r="HJ76">
        <v>36.1751</v>
      </c>
      <c r="HK76">
        <v>999.9</v>
      </c>
      <c r="HL76">
        <v>54.804</v>
      </c>
      <c r="HM76">
        <v>29.829</v>
      </c>
      <c r="HN76">
        <v>25.5078</v>
      </c>
      <c r="HO76">
        <v>56.2237</v>
      </c>
      <c r="HP76">
        <v>43.2171</v>
      </c>
      <c r="HQ76">
        <v>1</v>
      </c>
      <c r="HR76">
        <v>1.33627</v>
      </c>
      <c r="HS76">
        <v>5.20709</v>
      </c>
      <c r="HT76">
        <v>20.0583</v>
      </c>
      <c r="HU76">
        <v>5.19288</v>
      </c>
      <c r="HV76">
        <v>12.0108</v>
      </c>
      <c r="HW76">
        <v>4.97285</v>
      </c>
      <c r="HX76">
        <v>3.295</v>
      </c>
      <c r="HY76">
        <v>9999</v>
      </c>
      <c r="HZ76">
        <v>999.9</v>
      </c>
      <c r="IA76">
        <v>9999</v>
      </c>
      <c r="IB76">
        <v>9999</v>
      </c>
      <c r="IC76">
        <v>1.86325</v>
      </c>
      <c r="ID76">
        <v>1.86804</v>
      </c>
      <c r="IE76">
        <v>1.86782</v>
      </c>
      <c r="IF76">
        <v>1.86904</v>
      </c>
      <c r="IG76">
        <v>1.86981</v>
      </c>
      <c r="IH76">
        <v>1.86584</v>
      </c>
      <c r="II76">
        <v>1.86692</v>
      </c>
      <c r="IJ76">
        <v>1.8684</v>
      </c>
      <c r="IK76">
        <v>5</v>
      </c>
      <c r="IL76">
        <v>0</v>
      </c>
      <c r="IM76">
        <v>0</v>
      </c>
      <c r="IN76">
        <v>0</v>
      </c>
      <c r="IO76" t="s">
        <v>443</v>
      </c>
      <c r="IP76" t="s">
        <v>444</v>
      </c>
      <c r="IQ76" t="s">
        <v>445</v>
      </c>
      <c r="IR76" t="s">
        <v>445</v>
      </c>
      <c r="IS76" t="s">
        <v>445</v>
      </c>
      <c r="IT76" t="s">
        <v>445</v>
      </c>
      <c r="IU76">
        <v>0</v>
      </c>
      <c r="IV76">
        <v>100</v>
      </c>
      <c r="IW76">
        <v>100</v>
      </c>
      <c r="IX76">
        <v>2.414</v>
      </c>
      <c r="IY76">
        <v>0.4352</v>
      </c>
      <c r="IZ76">
        <v>0.833350075594679</v>
      </c>
      <c r="JA76">
        <v>0.00412825224050377</v>
      </c>
      <c r="JB76">
        <v>-7.34426573386615e-07</v>
      </c>
      <c r="JC76">
        <v>2.46800082545482e-10</v>
      </c>
      <c r="JD76">
        <v>0.435209846415365</v>
      </c>
      <c r="JE76">
        <v>0</v>
      </c>
      <c r="JF76">
        <v>0</v>
      </c>
      <c r="JG76">
        <v>0</v>
      </c>
      <c r="JH76">
        <v>5</v>
      </c>
      <c r="JI76">
        <v>2250</v>
      </c>
      <c r="JJ76">
        <v>0</v>
      </c>
      <c r="JK76">
        <v>24</v>
      </c>
      <c r="JL76">
        <v>29348505.3</v>
      </c>
      <c r="JM76">
        <v>29348505.3</v>
      </c>
      <c r="JN76">
        <v>1.01929</v>
      </c>
      <c r="JO76">
        <v>2.62817</v>
      </c>
      <c r="JP76">
        <v>1.54785</v>
      </c>
      <c r="JQ76">
        <v>2.31567</v>
      </c>
      <c r="JR76">
        <v>1.64673</v>
      </c>
      <c r="JS76">
        <v>2.3877</v>
      </c>
      <c r="JT76">
        <v>33.8509</v>
      </c>
      <c r="JU76">
        <v>24.1751</v>
      </c>
      <c r="JV76">
        <v>18</v>
      </c>
      <c r="JW76">
        <v>499.279</v>
      </c>
      <c r="JX76">
        <v>407.104</v>
      </c>
      <c r="JY76">
        <v>29.5424</v>
      </c>
      <c r="JZ76">
        <v>43.0141</v>
      </c>
      <c r="KA76">
        <v>30.0002</v>
      </c>
      <c r="KB76">
        <v>42.7444</v>
      </c>
      <c r="KC76">
        <v>42.6307</v>
      </c>
      <c r="KD76">
        <v>20.4285</v>
      </c>
      <c r="KE76">
        <v>0</v>
      </c>
      <c r="KF76">
        <v>100</v>
      </c>
      <c r="KG76">
        <v>29.5355</v>
      </c>
      <c r="KH76">
        <v>420</v>
      </c>
      <c r="KI76">
        <v>35.6443</v>
      </c>
      <c r="KJ76">
        <v>94.478</v>
      </c>
      <c r="KK76">
        <v>91.6617</v>
      </c>
    </row>
    <row r="77" spans="1:297">
      <c r="A77">
        <v>61</v>
      </c>
      <c r="B77">
        <v>1760911669.1</v>
      </c>
      <c r="C77">
        <v>17905</v>
      </c>
      <c r="D77" t="s">
        <v>702</v>
      </c>
      <c r="E77" t="s">
        <v>703</v>
      </c>
      <c r="F77">
        <v>5</v>
      </c>
      <c r="G77" t="s">
        <v>435</v>
      </c>
      <c r="H77" t="s">
        <v>436</v>
      </c>
      <c r="I77">
        <v>1760911660.6</v>
      </c>
      <c r="J77">
        <f>(K77)/1000</f>
        <v>0</v>
      </c>
      <c r="K77">
        <f>IF(DP77, AN77, AH77)</f>
        <v>0</v>
      </c>
      <c r="L77">
        <f>IF(DP77, AI77, AG77)</f>
        <v>0</v>
      </c>
      <c r="M77">
        <f>DR77 - IF(AU77&gt;1, L77*DL77*100.0/(AW77), 0)</f>
        <v>0</v>
      </c>
      <c r="N77">
        <f>((T77-J77/2)*M77-L77)/(T77+J77/2)</f>
        <v>0</v>
      </c>
      <c r="O77">
        <f>N77*(DY77+DZ77)/1000.0</f>
        <v>0</v>
      </c>
      <c r="P77">
        <f>(DR77 - IF(AU77&gt;1, L77*DL77*100.0/(AW77), 0))*(DY77+DZ77)/1000.0</f>
        <v>0</v>
      </c>
      <c r="Q77">
        <f>2.0/((1/S77-1/R77)+SIGN(S77)*SQRT((1/S77-1/R77)*(1/S77-1/R77) + 4*DM77/((DM77+1)*(DM77+1))*(2*1/S77*1/R77-1/R77*1/R77)))</f>
        <v>0</v>
      </c>
      <c r="R77">
        <f>IF(LEFT(DN77,1)&lt;&gt;"0",IF(LEFT(DN77,1)="1",3.0,DO77),$D$5+$E$5*(EF77*DY77/($K$5*1000))+$F$5*(EF77*DY77/($K$5*1000))*MAX(MIN(DL77,$J$5),$I$5)*MAX(MIN(DL77,$J$5),$I$5)+$G$5*MAX(MIN(DL77,$J$5),$I$5)*(EF77*DY77/($K$5*1000))+$H$5*(EF77*DY77/($K$5*1000))*(EF77*DY77/($K$5*1000)))</f>
        <v>0</v>
      </c>
      <c r="S77">
        <f>J77*(1000-(1000*0.61365*exp(17.502*W77/(240.97+W77))/(DY77+DZ77)+DT77)/2)/(1000*0.61365*exp(17.502*W77/(240.97+W77))/(DY77+DZ77)-DT77)</f>
        <v>0</v>
      </c>
      <c r="T77">
        <f>1/((DM77+1)/(Q77/1.6)+1/(R77/1.37)) + DM77/((DM77+1)/(Q77/1.6) + DM77/(R77/1.37))</f>
        <v>0</v>
      </c>
      <c r="U77">
        <f>(DH77*DK77)</f>
        <v>0</v>
      </c>
      <c r="V77">
        <f>(EA77+(U77+2*0.95*5.67E-8*(((EA77+$B$7)+273)^4-(EA77+273)^4)-44100*J77)/(1.84*29.3*R77+8*0.95*5.67E-8*(EA77+273)^3))</f>
        <v>0</v>
      </c>
      <c r="W77">
        <f>($C$7*EB77+$D$7*EC77+$E$7*V77)</f>
        <v>0</v>
      </c>
      <c r="X77">
        <f>0.61365*exp(17.502*W77/(240.97+W77))</f>
        <v>0</v>
      </c>
      <c r="Y77">
        <f>(Z77/AA77*100)</f>
        <v>0</v>
      </c>
      <c r="Z77">
        <f>DT77*(DY77+DZ77)/1000</f>
        <v>0</v>
      </c>
      <c r="AA77">
        <f>0.61365*exp(17.502*EA77/(240.97+EA77))</f>
        <v>0</v>
      </c>
      <c r="AB77">
        <f>(X77-DT77*(DY77+DZ77)/1000)</f>
        <v>0</v>
      </c>
      <c r="AC77">
        <f>(-J77*44100)</f>
        <v>0</v>
      </c>
      <c r="AD77">
        <f>2*29.3*R77*0.92*(EA77-W77)</f>
        <v>0</v>
      </c>
      <c r="AE77">
        <f>2*0.95*5.67E-8*(((EA77+$B$7)+273)^4-(W77+273)^4)</f>
        <v>0</v>
      </c>
      <c r="AF77">
        <f>U77+AE77+AC77+AD77</f>
        <v>0</v>
      </c>
      <c r="AG77">
        <f>DX77*AU77*(DS77-DR77*(1000-AU77*DU77)/(1000-AU77*DT77))/(100*DL77)</f>
        <v>0</v>
      </c>
      <c r="AH77">
        <f>1000*DX77*AU77*(DT77-DU77)/(100*DL77*(1000-AU77*DT77))</f>
        <v>0</v>
      </c>
      <c r="AI77">
        <f>(AJ77 - AK77 - DY77*1E3/(8.314*(EA77+273.15)) * AM77/DX77 * AL77) * DX77/(100*DL77) * (1000 - DU77)/1000</f>
        <v>0</v>
      </c>
      <c r="AJ77">
        <v>430.775607735237</v>
      </c>
      <c r="AK77">
        <v>423.175703030303</v>
      </c>
      <c r="AL77">
        <v>-0.00101945264301459</v>
      </c>
      <c r="AM77">
        <v>64.9607388470376</v>
      </c>
      <c r="AN77">
        <f>(AP77 - AO77 + DY77*1E3/(8.314*(EA77+273.15)) * AR77/DX77 * AQ77) * DX77/(100*DL77) * 1000/(1000 - AP77)</f>
        <v>0</v>
      </c>
      <c r="AO77">
        <v>25.0063360267231</v>
      </c>
      <c r="AP77">
        <v>34.810636969697</v>
      </c>
      <c r="AQ77">
        <v>3.15863407704914e-05</v>
      </c>
      <c r="AR77">
        <v>117.607865749846</v>
      </c>
      <c r="AS77">
        <v>6</v>
      </c>
      <c r="AT77">
        <v>1</v>
      </c>
      <c r="AU77">
        <f>IF(AS77*$H$13&gt;=AW77,1.0,(AW77/(AW77-AS77*$H$13)))</f>
        <v>0</v>
      </c>
      <c r="AV77">
        <f>(AU77-1)*100</f>
        <v>0</v>
      </c>
      <c r="AW77">
        <f>MAX(0,($B$13+$C$13*EF77)/(1+$D$13*EF77)*DY77/(EA77+273)*$E$13)</f>
        <v>0</v>
      </c>
      <c r="AX77" t="s">
        <v>437</v>
      </c>
      <c r="AY77">
        <v>5082.33</v>
      </c>
      <c r="AZ77">
        <v>690.032</v>
      </c>
      <c r="BA77">
        <v>1612.68</v>
      </c>
      <c r="BB77">
        <f>1-AZ77/BA77</f>
        <v>0</v>
      </c>
      <c r="BC77">
        <v>-9.7270689171713</v>
      </c>
      <c r="BD77" t="s">
        <v>704</v>
      </c>
      <c r="BE77">
        <v>5123.46</v>
      </c>
      <c r="BF77">
        <v>952.32408</v>
      </c>
      <c r="BG77">
        <v>1205.93731681962</v>
      </c>
      <c r="BH77">
        <f>1-BF77/BG77</f>
        <v>0</v>
      </c>
      <c r="BI77">
        <v>0.5</v>
      </c>
      <c r="BJ77">
        <f>DI77</f>
        <v>0</v>
      </c>
      <c r="BK77">
        <f>L77</f>
        <v>0</v>
      </c>
      <c r="BL77">
        <f>BH77*BI77*BJ77</f>
        <v>0</v>
      </c>
      <c r="BM77">
        <f>(BK77-BC77)/BJ77</f>
        <v>0</v>
      </c>
      <c r="BN77">
        <f>(BA77-BG77)/BG77</f>
        <v>0</v>
      </c>
      <c r="BO77">
        <f>AZ77/(BB77+AZ77/BG77)</f>
        <v>0</v>
      </c>
      <c r="BP77" t="s">
        <v>705</v>
      </c>
      <c r="BQ77">
        <v>713.6</v>
      </c>
      <c r="BR77">
        <f>IF(BQ77&lt;&gt;0, BQ77, BO77)</f>
        <v>0</v>
      </c>
      <c r="BS77">
        <f>1-BR77/BG77</f>
        <v>0</v>
      </c>
      <c r="BT77">
        <f>(BG77-BF77)/(BG77-BR77)</f>
        <v>0</v>
      </c>
      <c r="BU77">
        <f>(BA77-BG77)/(BA77-BR77)</f>
        <v>0</v>
      </c>
      <c r="BV77">
        <f>(BG77-BF77)/(BG77-AZ77)</f>
        <v>0</v>
      </c>
      <c r="BW77">
        <f>(BA77-BG77)/(BA77-AZ77)</f>
        <v>0</v>
      </c>
      <c r="BX77">
        <f>(BT77*BR77/BF77)</f>
        <v>0</v>
      </c>
      <c r="BY77">
        <f>(1-BX77)</f>
        <v>0</v>
      </c>
      <c r="BZ77">
        <v>216</v>
      </c>
      <c r="CA77">
        <v>290</v>
      </c>
      <c r="CB77">
        <v>1125.77</v>
      </c>
      <c r="CC77">
        <v>255</v>
      </c>
      <c r="CD77">
        <v>5123.46</v>
      </c>
      <c r="CE77">
        <v>1125.04</v>
      </c>
      <c r="CF77">
        <v>0.73</v>
      </c>
      <c r="CG77">
        <v>300</v>
      </c>
      <c r="CH77">
        <v>23.8</v>
      </c>
      <c r="CI77">
        <v>1205.93731681962</v>
      </c>
      <c r="CJ77">
        <v>2.2601481853577</v>
      </c>
      <c r="CK77">
        <v>-41.4453647198886</v>
      </c>
      <c r="CL77">
        <v>1.04184461910571</v>
      </c>
      <c r="CM77">
        <v>0.982614185743517</v>
      </c>
      <c r="CN77">
        <v>-0.00323268965517241</v>
      </c>
      <c r="CO77">
        <v>290</v>
      </c>
      <c r="CP77">
        <v>1122.25</v>
      </c>
      <c r="CQ77">
        <v>685</v>
      </c>
      <c r="CR77">
        <v>5120.44</v>
      </c>
      <c r="CS77">
        <v>1125</v>
      </c>
      <c r="CT77">
        <v>-2.75</v>
      </c>
      <c r="DH77">
        <f>$B$11*EG77+$C$11*EH77+$F$11*ES77*(1-EV77)</f>
        <v>0</v>
      </c>
      <c r="DI77">
        <f>DH77*DJ77</f>
        <v>0</v>
      </c>
      <c r="DJ77">
        <f>($B$11*$D$9+$C$11*$D$9+$F$11*((FF77+EX77)/MAX(FF77+EX77+FG77, 0.1)*$I$9+FG77/MAX(FF77+EX77+FG77, 0.1)*$J$9))/($B$11+$C$11+$F$11)</f>
        <v>0</v>
      </c>
      <c r="DK77">
        <f>($B$11*$K$9+$C$11*$K$9+$F$11*((FF77+EX77)/MAX(FF77+EX77+FG77, 0.1)*$P$9+FG77/MAX(FF77+EX77+FG77, 0.1)*$Q$9))/($B$11+$C$11+$F$11)</f>
        <v>0</v>
      </c>
      <c r="DL77">
        <v>3.21</v>
      </c>
      <c r="DM77">
        <v>0.5</v>
      </c>
      <c r="DN77" t="s">
        <v>440</v>
      </c>
      <c r="DO77">
        <v>2</v>
      </c>
      <c r="DP77" t="b">
        <v>1</v>
      </c>
      <c r="DQ77">
        <v>1760911660.6</v>
      </c>
      <c r="DR77">
        <v>408.475875</v>
      </c>
      <c r="DS77">
        <v>419.9915</v>
      </c>
      <c r="DT77">
        <v>34.80170625</v>
      </c>
      <c r="DU77">
        <v>25.00453125</v>
      </c>
      <c r="DV77">
        <v>406.070625</v>
      </c>
      <c r="DW77">
        <v>34.3665</v>
      </c>
      <c r="DX77">
        <v>500.019375</v>
      </c>
      <c r="DY77">
        <v>90.63281875</v>
      </c>
      <c r="DZ77">
        <v>0.05090985</v>
      </c>
      <c r="EA77">
        <v>43.64326875</v>
      </c>
      <c r="EB77">
        <v>42.04431875</v>
      </c>
      <c r="EC77">
        <v>999.9</v>
      </c>
      <c r="ED77">
        <v>0</v>
      </c>
      <c r="EE77">
        <v>0</v>
      </c>
      <c r="EF77">
        <v>9993.27625</v>
      </c>
      <c r="EG77">
        <v>0</v>
      </c>
      <c r="EH77">
        <v>1184.170625</v>
      </c>
      <c r="EI77">
        <v>-11.51560625</v>
      </c>
      <c r="EJ77">
        <v>423.204</v>
      </c>
      <c r="EK77">
        <v>430.7624375</v>
      </c>
      <c r="EL77">
        <v>9.797184375</v>
      </c>
      <c r="EM77">
        <v>419.9915</v>
      </c>
      <c r="EN77">
        <v>25.00453125</v>
      </c>
      <c r="EO77">
        <v>3.154178125</v>
      </c>
      <c r="EP77">
        <v>2.266231875</v>
      </c>
      <c r="EQ77">
        <v>24.8649875</v>
      </c>
      <c r="ER77">
        <v>19.43835</v>
      </c>
      <c r="ES77">
        <v>1200.025625</v>
      </c>
      <c r="ET77">
        <v>0.9669969375</v>
      </c>
      <c r="EU77">
        <v>0.03300305625</v>
      </c>
      <c r="EV77">
        <v>0</v>
      </c>
      <c r="EW77">
        <v>952.2215625</v>
      </c>
      <c r="EX77">
        <v>5.00059</v>
      </c>
      <c r="EY77">
        <v>12154.93125</v>
      </c>
      <c r="EZ77">
        <v>10358.9375</v>
      </c>
      <c r="FA77">
        <v>57.73025</v>
      </c>
      <c r="FB77">
        <v>59.5895625</v>
      </c>
      <c r="FC77">
        <v>57.8825625</v>
      </c>
      <c r="FD77">
        <v>59.308375</v>
      </c>
      <c r="FE77">
        <v>58.8435</v>
      </c>
      <c r="FF77">
        <v>1155.585</v>
      </c>
      <c r="FG77">
        <v>39.440625</v>
      </c>
      <c r="FH77">
        <v>0</v>
      </c>
      <c r="FI77">
        <v>1346.59999990463</v>
      </c>
      <c r="FJ77">
        <v>0</v>
      </c>
      <c r="FK77">
        <v>952.32408</v>
      </c>
      <c r="FL77">
        <v>1.61446154666643</v>
      </c>
      <c r="FM77">
        <v>62.1384614209122</v>
      </c>
      <c r="FN77">
        <v>12155.884</v>
      </c>
      <c r="FO77">
        <v>15</v>
      </c>
      <c r="FP77">
        <v>0</v>
      </c>
      <c r="FQ77" t="s">
        <v>441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-11.510405</v>
      </c>
      <c r="GD77">
        <v>-0.101372932330824</v>
      </c>
      <c r="GE77">
        <v>0.0184949040278668</v>
      </c>
      <c r="GF77">
        <v>1</v>
      </c>
      <c r="GG77">
        <v>952.173764705882</v>
      </c>
      <c r="GH77">
        <v>2.28482811580387</v>
      </c>
      <c r="GI77">
        <v>0.314873089170439</v>
      </c>
      <c r="GJ77">
        <v>-1</v>
      </c>
      <c r="GK77">
        <v>9.795916</v>
      </c>
      <c r="GL77">
        <v>0.0395088721804536</v>
      </c>
      <c r="GM77">
        <v>0.00415771379486373</v>
      </c>
      <c r="GN77">
        <v>1</v>
      </c>
      <c r="GO77">
        <v>2</v>
      </c>
      <c r="GP77">
        <v>2</v>
      </c>
      <c r="GQ77" t="s">
        <v>442</v>
      </c>
      <c r="GR77">
        <v>3.12788</v>
      </c>
      <c r="GS77">
        <v>2.72886</v>
      </c>
      <c r="GT77">
        <v>0.0834919</v>
      </c>
      <c r="GU77">
        <v>0.0858142</v>
      </c>
      <c r="GV77">
        <v>0.128595</v>
      </c>
      <c r="GW77">
        <v>0.102237</v>
      </c>
      <c r="GX77">
        <v>33154.1</v>
      </c>
      <c r="GY77">
        <v>35039.9</v>
      </c>
      <c r="GZ77">
        <v>32835.9</v>
      </c>
      <c r="HA77">
        <v>34811.8</v>
      </c>
      <c r="HB77">
        <v>40802.7</v>
      </c>
      <c r="HC77">
        <v>45043.6</v>
      </c>
      <c r="HD77">
        <v>51535.6</v>
      </c>
      <c r="HE77">
        <v>55811.1</v>
      </c>
      <c r="HF77">
        <v>1.7212</v>
      </c>
      <c r="HG77">
        <v>1.58557</v>
      </c>
      <c r="HH77">
        <v>-0.111759</v>
      </c>
      <c r="HI77">
        <v>0</v>
      </c>
      <c r="HJ77">
        <v>43.8146</v>
      </c>
      <c r="HK77">
        <v>999.9</v>
      </c>
      <c r="HL77">
        <v>55.53</v>
      </c>
      <c r="HM77">
        <v>29.96</v>
      </c>
      <c r="HN77">
        <v>26.0439</v>
      </c>
      <c r="HO77">
        <v>60.6802</v>
      </c>
      <c r="HP77">
        <v>42.2556</v>
      </c>
      <c r="HQ77">
        <v>1</v>
      </c>
      <c r="HR77">
        <v>1.92672</v>
      </c>
      <c r="HS77">
        <v>5.20702</v>
      </c>
      <c r="HT77">
        <v>20.0511</v>
      </c>
      <c r="HU77">
        <v>5.19063</v>
      </c>
      <c r="HV77">
        <v>12.0159</v>
      </c>
      <c r="HW77">
        <v>4.9712</v>
      </c>
      <c r="HX77">
        <v>3.295</v>
      </c>
      <c r="HY77">
        <v>9999</v>
      </c>
      <c r="HZ77">
        <v>999.9</v>
      </c>
      <c r="IA77">
        <v>9999</v>
      </c>
      <c r="IB77">
        <v>9999</v>
      </c>
      <c r="IC77">
        <v>1.86325</v>
      </c>
      <c r="ID77">
        <v>1.86805</v>
      </c>
      <c r="IE77">
        <v>1.86783</v>
      </c>
      <c r="IF77">
        <v>1.86902</v>
      </c>
      <c r="IG77">
        <v>1.86981</v>
      </c>
      <c r="IH77">
        <v>1.86584</v>
      </c>
      <c r="II77">
        <v>1.86691</v>
      </c>
      <c r="IJ77">
        <v>1.86836</v>
      </c>
      <c r="IK77">
        <v>5</v>
      </c>
      <c r="IL77">
        <v>0</v>
      </c>
      <c r="IM77">
        <v>0</v>
      </c>
      <c r="IN77">
        <v>0</v>
      </c>
      <c r="IO77" t="s">
        <v>443</v>
      </c>
      <c r="IP77" t="s">
        <v>444</v>
      </c>
      <c r="IQ77" t="s">
        <v>445</v>
      </c>
      <c r="IR77" t="s">
        <v>445</v>
      </c>
      <c r="IS77" t="s">
        <v>445</v>
      </c>
      <c r="IT77" t="s">
        <v>445</v>
      </c>
      <c r="IU77">
        <v>0</v>
      </c>
      <c r="IV77">
        <v>100</v>
      </c>
      <c r="IW77">
        <v>100</v>
      </c>
      <c r="IX77">
        <v>2.404</v>
      </c>
      <c r="IY77">
        <v>0.4352</v>
      </c>
      <c r="IZ77">
        <v>0.833350075594679</v>
      </c>
      <c r="JA77">
        <v>0.00412825224050377</v>
      </c>
      <c r="JB77">
        <v>-7.34426573386615e-07</v>
      </c>
      <c r="JC77">
        <v>2.46800082545482e-10</v>
      </c>
      <c r="JD77">
        <v>0.435209846415365</v>
      </c>
      <c r="JE77">
        <v>0</v>
      </c>
      <c r="JF77">
        <v>0</v>
      </c>
      <c r="JG77">
        <v>0</v>
      </c>
      <c r="JH77">
        <v>5</v>
      </c>
      <c r="JI77">
        <v>2250</v>
      </c>
      <c r="JJ77">
        <v>0</v>
      </c>
      <c r="JK77">
        <v>24</v>
      </c>
      <c r="JL77">
        <v>29348527.8</v>
      </c>
      <c r="JM77">
        <v>29348527.8</v>
      </c>
      <c r="JN77">
        <v>1.02051</v>
      </c>
      <c r="JO77">
        <v>2.63672</v>
      </c>
      <c r="JP77">
        <v>1.54785</v>
      </c>
      <c r="JQ77">
        <v>2.31689</v>
      </c>
      <c r="JR77">
        <v>1.64673</v>
      </c>
      <c r="JS77">
        <v>2.30469</v>
      </c>
      <c r="JT77">
        <v>34.1905</v>
      </c>
      <c r="JU77">
        <v>24.1575</v>
      </c>
      <c r="JV77">
        <v>18</v>
      </c>
      <c r="JW77">
        <v>490.96</v>
      </c>
      <c r="JX77">
        <v>394.184</v>
      </c>
      <c r="JY77">
        <v>37.5188</v>
      </c>
      <c r="JZ77">
        <v>48.9456</v>
      </c>
      <c r="KA77">
        <v>30.0038</v>
      </c>
      <c r="KB77">
        <v>48.1197</v>
      </c>
      <c r="KC77">
        <v>47.9536</v>
      </c>
      <c r="KD77">
        <v>20.4368</v>
      </c>
      <c r="KE77">
        <v>0</v>
      </c>
      <c r="KF77">
        <v>100</v>
      </c>
      <c r="KG77">
        <v>37.5074</v>
      </c>
      <c r="KH77">
        <v>420</v>
      </c>
      <c r="KI77">
        <v>35.6443</v>
      </c>
      <c r="KJ77">
        <v>93.4595</v>
      </c>
      <c r="KK77">
        <v>90.3176</v>
      </c>
    </row>
    <row r="78" spans="1:297">
      <c r="A78">
        <v>62</v>
      </c>
      <c r="B78">
        <v>1760911924.1</v>
      </c>
      <c r="C78">
        <v>18160</v>
      </c>
      <c r="D78" t="s">
        <v>706</v>
      </c>
      <c r="E78" t="s">
        <v>707</v>
      </c>
      <c r="F78">
        <v>5</v>
      </c>
      <c r="G78" t="s">
        <v>435</v>
      </c>
      <c r="H78" t="s">
        <v>436</v>
      </c>
      <c r="I78">
        <v>1760911915.6</v>
      </c>
      <c r="J78">
        <f>(K78)/1000</f>
        <v>0</v>
      </c>
      <c r="K78">
        <f>IF(DP78, AN78, AH78)</f>
        <v>0</v>
      </c>
      <c r="L78">
        <f>IF(DP78, AI78, AG78)</f>
        <v>0</v>
      </c>
      <c r="M78">
        <f>DR78 - IF(AU78&gt;1, L78*DL78*100.0/(AW78), 0)</f>
        <v>0</v>
      </c>
      <c r="N78">
        <f>((T78-J78/2)*M78-L78)/(T78+J78/2)</f>
        <v>0</v>
      </c>
      <c r="O78">
        <f>N78*(DY78+DZ78)/1000.0</f>
        <v>0</v>
      </c>
      <c r="P78">
        <f>(DR78 - IF(AU78&gt;1, L78*DL78*100.0/(AW78), 0))*(DY78+DZ78)/1000.0</f>
        <v>0</v>
      </c>
      <c r="Q78">
        <f>2.0/((1/S78-1/R78)+SIGN(S78)*SQRT((1/S78-1/R78)*(1/S78-1/R78) + 4*DM78/((DM78+1)*(DM78+1))*(2*1/S78*1/R78-1/R78*1/R78)))</f>
        <v>0</v>
      </c>
      <c r="R78">
        <f>IF(LEFT(DN78,1)&lt;&gt;"0",IF(LEFT(DN78,1)="1",3.0,DO78),$D$5+$E$5*(EF78*DY78/($K$5*1000))+$F$5*(EF78*DY78/($K$5*1000))*MAX(MIN(DL78,$J$5),$I$5)*MAX(MIN(DL78,$J$5),$I$5)+$G$5*MAX(MIN(DL78,$J$5),$I$5)*(EF78*DY78/($K$5*1000))+$H$5*(EF78*DY78/($K$5*1000))*(EF78*DY78/($K$5*1000)))</f>
        <v>0</v>
      </c>
      <c r="S78">
        <f>J78*(1000-(1000*0.61365*exp(17.502*W78/(240.97+W78))/(DY78+DZ78)+DT78)/2)/(1000*0.61365*exp(17.502*W78/(240.97+W78))/(DY78+DZ78)-DT78)</f>
        <v>0</v>
      </c>
      <c r="T78">
        <f>1/((DM78+1)/(Q78/1.6)+1/(R78/1.37)) + DM78/((DM78+1)/(Q78/1.6) + DM78/(R78/1.37))</f>
        <v>0</v>
      </c>
      <c r="U78">
        <f>(DH78*DK78)</f>
        <v>0</v>
      </c>
      <c r="V78">
        <f>(EA78+(U78+2*0.95*5.67E-8*(((EA78+$B$7)+273)^4-(EA78+273)^4)-44100*J78)/(1.84*29.3*R78+8*0.95*5.67E-8*(EA78+273)^3))</f>
        <v>0</v>
      </c>
      <c r="W78">
        <f>($C$7*EB78+$D$7*EC78+$E$7*V78)</f>
        <v>0</v>
      </c>
      <c r="X78">
        <f>0.61365*exp(17.502*W78/(240.97+W78))</f>
        <v>0</v>
      </c>
      <c r="Y78">
        <f>(Z78/AA78*100)</f>
        <v>0</v>
      </c>
      <c r="Z78">
        <f>DT78*(DY78+DZ78)/1000</f>
        <v>0</v>
      </c>
      <c r="AA78">
        <f>0.61365*exp(17.502*EA78/(240.97+EA78))</f>
        <v>0</v>
      </c>
      <c r="AB78">
        <f>(X78-DT78*(DY78+DZ78)/1000)</f>
        <v>0</v>
      </c>
      <c r="AC78">
        <f>(-J78*44100)</f>
        <v>0</v>
      </c>
      <c r="AD78">
        <f>2*29.3*R78*0.92*(EA78-W78)</f>
        <v>0</v>
      </c>
      <c r="AE78">
        <f>2*0.95*5.67E-8*(((EA78+$B$7)+273)^4-(W78+273)^4)</f>
        <v>0</v>
      </c>
      <c r="AF78">
        <f>U78+AE78+AC78+AD78</f>
        <v>0</v>
      </c>
      <c r="AG78">
        <f>DX78*AU78*(DS78-DR78*(1000-AU78*DU78)/(1000-AU78*DT78))/(100*DL78)</f>
        <v>0</v>
      </c>
      <c r="AH78">
        <f>1000*DX78*AU78*(DT78-DU78)/(100*DL78*(1000-AU78*DT78))</f>
        <v>0</v>
      </c>
      <c r="AI78">
        <f>(AJ78 - AK78 - DY78*1E3/(8.314*(EA78+273.15)) * AM78/DX78 * AL78) * DX78/(100*DL78) * (1000 - DU78)/1000</f>
        <v>0</v>
      </c>
      <c r="AJ78">
        <v>430.826051183073</v>
      </c>
      <c r="AK78">
        <v>423.317969696969</v>
      </c>
      <c r="AL78">
        <v>-0.00266865792488282</v>
      </c>
      <c r="AM78">
        <v>64.9607388470376</v>
      </c>
      <c r="AN78">
        <f>(AP78 - AO78 + DY78*1E3/(8.314*(EA78+273.15)) * AR78/DX78 * AQ78) * DX78/(100*DL78) * 1000/(1000 - AP78)</f>
        <v>0</v>
      </c>
      <c r="AO78">
        <v>25.0774771184422</v>
      </c>
      <c r="AP78">
        <v>34.8603690909091</v>
      </c>
      <c r="AQ78">
        <v>-2.27751601768261e-05</v>
      </c>
      <c r="AR78">
        <v>117.607865749846</v>
      </c>
      <c r="AS78">
        <v>9</v>
      </c>
      <c r="AT78">
        <v>2</v>
      </c>
      <c r="AU78">
        <f>IF(AS78*$H$13&gt;=AW78,1.0,(AW78/(AW78-AS78*$H$13)))</f>
        <v>0</v>
      </c>
      <c r="AV78">
        <f>(AU78-1)*100</f>
        <v>0</v>
      </c>
      <c r="AW78">
        <f>MAX(0,($B$13+$C$13*EF78)/(1+$D$13*EF78)*DY78/(EA78+273)*$E$13)</f>
        <v>0</v>
      </c>
      <c r="AX78" t="s">
        <v>437</v>
      </c>
      <c r="AY78">
        <v>5082.33</v>
      </c>
      <c r="AZ78">
        <v>690.032</v>
      </c>
      <c r="BA78">
        <v>1612.68</v>
      </c>
      <c r="BB78">
        <f>1-AZ78/BA78</f>
        <v>0</v>
      </c>
      <c r="BC78">
        <v>-9.7270689171713</v>
      </c>
      <c r="BD78" t="s">
        <v>708</v>
      </c>
      <c r="BE78">
        <v>5121.44</v>
      </c>
      <c r="BF78">
        <v>962.677615384615</v>
      </c>
      <c r="BG78">
        <v>1215.3540191776</v>
      </c>
      <c r="BH78">
        <f>1-BF78/BG78</f>
        <v>0</v>
      </c>
      <c r="BI78">
        <v>0.5</v>
      </c>
      <c r="BJ78">
        <f>DI78</f>
        <v>0</v>
      </c>
      <c r="BK78">
        <f>L78</f>
        <v>0</v>
      </c>
      <c r="BL78">
        <f>BH78*BI78*BJ78</f>
        <v>0</v>
      </c>
      <c r="BM78">
        <f>(BK78-BC78)/BJ78</f>
        <v>0</v>
      </c>
      <c r="BN78">
        <f>(BA78-BG78)/BG78</f>
        <v>0</v>
      </c>
      <c r="BO78">
        <f>AZ78/(BB78+AZ78/BG78)</f>
        <v>0</v>
      </c>
      <c r="BP78" t="s">
        <v>709</v>
      </c>
      <c r="BQ78">
        <v>709.07</v>
      </c>
      <c r="BR78">
        <f>IF(BQ78&lt;&gt;0, BQ78, BO78)</f>
        <v>0</v>
      </c>
      <c r="BS78">
        <f>1-BR78/BG78</f>
        <v>0</v>
      </c>
      <c r="BT78">
        <f>(BG78-BF78)/(BG78-BR78)</f>
        <v>0</v>
      </c>
      <c r="BU78">
        <f>(BA78-BG78)/(BA78-BR78)</f>
        <v>0</v>
      </c>
      <c r="BV78">
        <f>(BG78-BF78)/(BG78-AZ78)</f>
        <v>0</v>
      </c>
      <c r="BW78">
        <f>(BA78-BG78)/(BA78-AZ78)</f>
        <v>0</v>
      </c>
      <c r="BX78">
        <f>(BT78*BR78/BF78)</f>
        <v>0</v>
      </c>
      <c r="BY78">
        <f>(1-BX78)</f>
        <v>0</v>
      </c>
      <c r="BZ78">
        <v>218</v>
      </c>
      <c r="CA78">
        <v>290</v>
      </c>
      <c r="CB78">
        <v>1137.16</v>
      </c>
      <c r="CC78">
        <v>185</v>
      </c>
      <c r="CD78">
        <v>5121.44</v>
      </c>
      <c r="CE78">
        <v>1136.01</v>
      </c>
      <c r="CF78">
        <v>1.15</v>
      </c>
      <c r="CG78">
        <v>300</v>
      </c>
      <c r="CH78">
        <v>23.9</v>
      </c>
      <c r="CI78">
        <v>1215.3540191776</v>
      </c>
      <c r="CJ78">
        <v>1.84711972042419</v>
      </c>
      <c r="CK78">
        <v>-40.6341990855353</v>
      </c>
      <c r="CL78">
        <v>0.850813196276719</v>
      </c>
      <c r="CM78">
        <v>0.987873253891624</v>
      </c>
      <c r="CN78">
        <v>-0.00323072391546162</v>
      </c>
      <c r="CO78">
        <v>290</v>
      </c>
      <c r="CP78">
        <v>1133.24</v>
      </c>
      <c r="CQ78">
        <v>675</v>
      </c>
      <c r="CR78">
        <v>5116.65</v>
      </c>
      <c r="CS78">
        <v>1135.94</v>
      </c>
      <c r="CT78">
        <v>-2.7</v>
      </c>
      <c r="DH78">
        <f>$B$11*EG78+$C$11*EH78+$F$11*ES78*(1-EV78)</f>
        <v>0</v>
      </c>
      <c r="DI78">
        <f>DH78*DJ78</f>
        <v>0</v>
      </c>
      <c r="DJ78">
        <f>($B$11*$D$9+$C$11*$D$9+$F$11*((FF78+EX78)/MAX(FF78+EX78+FG78, 0.1)*$I$9+FG78/MAX(FF78+EX78+FG78, 0.1)*$J$9))/($B$11+$C$11+$F$11)</f>
        <v>0</v>
      </c>
      <c r="DK78">
        <f>($B$11*$K$9+$C$11*$K$9+$F$11*((FF78+EX78)/MAX(FF78+EX78+FG78, 0.1)*$P$9+FG78/MAX(FF78+EX78+FG78, 0.1)*$Q$9))/($B$11+$C$11+$F$11)</f>
        <v>0</v>
      </c>
      <c r="DL78">
        <v>3.21</v>
      </c>
      <c r="DM78">
        <v>0.5</v>
      </c>
      <c r="DN78" t="s">
        <v>440</v>
      </c>
      <c r="DO78">
        <v>2</v>
      </c>
      <c r="DP78" t="b">
        <v>1</v>
      </c>
      <c r="DQ78">
        <v>1760911915.6</v>
      </c>
      <c r="DR78">
        <v>408.55525</v>
      </c>
      <c r="DS78">
        <v>420.001125</v>
      </c>
      <c r="DT78">
        <v>34.86295625</v>
      </c>
      <c r="DU78">
        <v>25.0769375</v>
      </c>
      <c r="DV78">
        <v>406.1498125</v>
      </c>
      <c r="DW78">
        <v>34.42775</v>
      </c>
      <c r="DX78">
        <v>500.0439375</v>
      </c>
      <c r="DY78">
        <v>90.632025</v>
      </c>
      <c r="DZ78">
        <v>0.051925525</v>
      </c>
      <c r="EA78">
        <v>43.5835</v>
      </c>
      <c r="EB78">
        <v>42.02696875</v>
      </c>
      <c r="EC78">
        <v>999.9</v>
      </c>
      <c r="ED78">
        <v>0</v>
      </c>
      <c r="EE78">
        <v>0</v>
      </c>
      <c r="EF78">
        <v>10012.96375</v>
      </c>
      <c r="EG78">
        <v>0</v>
      </c>
      <c r="EH78">
        <v>1178.829375</v>
      </c>
      <c r="EI78">
        <v>-11.44594375</v>
      </c>
      <c r="EJ78">
        <v>423.3131875</v>
      </c>
      <c r="EK78">
        <v>430.8043125</v>
      </c>
      <c r="EL78">
        <v>9.7860175</v>
      </c>
      <c r="EM78">
        <v>420.001125</v>
      </c>
      <c r="EN78">
        <v>25.0769375</v>
      </c>
      <c r="EO78">
        <v>3.159701875</v>
      </c>
      <c r="EP78">
        <v>2.27277375</v>
      </c>
      <c r="EQ78">
        <v>24.89431875</v>
      </c>
      <c r="ER78">
        <v>19.4847125</v>
      </c>
      <c r="ES78">
        <v>1199.994375</v>
      </c>
      <c r="ET78">
        <v>0.9669970625</v>
      </c>
      <c r="EU78">
        <v>0.03300260625</v>
      </c>
      <c r="EV78">
        <v>0</v>
      </c>
      <c r="EW78">
        <v>962.6363125</v>
      </c>
      <c r="EX78">
        <v>5.00059</v>
      </c>
      <c r="EY78">
        <v>12398.13125</v>
      </c>
      <c r="EZ78">
        <v>10358.6625</v>
      </c>
      <c r="FA78">
        <v>59.50375</v>
      </c>
      <c r="FB78">
        <v>61.452875</v>
      </c>
      <c r="FC78">
        <v>59.7028125</v>
      </c>
      <c r="FD78">
        <v>61.1365625</v>
      </c>
      <c r="FE78">
        <v>60.48025</v>
      </c>
      <c r="FF78">
        <v>1155.5575</v>
      </c>
      <c r="FG78">
        <v>39.436875</v>
      </c>
      <c r="FH78">
        <v>0</v>
      </c>
      <c r="FI78">
        <v>251.600000143051</v>
      </c>
      <c r="FJ78">
        <v>0</v>
      </c>
      <c r="FK78">
        <v>962.677615384615</v>
      </c>
      <c r="FL78">
        <v>3.49634189255488</v>
      </c>
      <c r="FM78">
        <v>78.4820512955429</v>
      </c>
      <c r="FN78">
        <v>12399.5615384615</v>
      </c>
      <c r="FO78">
        <v>15</v>
      </c>
      <c r="FP78">
        <v>0</v>
      </c>
      <c r="FQ78" t="s">
        <v>441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-11.449455</v>
      </c>
      <c r="GD78">
        <v>0.0558812030075282</v>
      </c>
      <c r="GE78">
        <v>0.0220666824647476</v>
      </c>
      <c r="GF78">
        <v>1</v>
      </c>
      <c r="GG78">
        <v>962.424676470588</v>
      </c>
      <c r="GH78">
        <v>3.45226891348225</v>
      </c>
      <c r="GI78">
        <v>0.424545135173295</v>
      </c>
      <c r="GJ78">
        <v>-1</v>
      </c>
      <c r="GK78">
        <v>9.786109</v>
      </c>
      <c r="GL78">
        <v>0.0115317293233168</v>
      </c>
      <c r="GM78">
        <v>0.00221233564361311</v>
      </c>
      <c r="GN78">
        <v>1</v>
      </c>
      <c r="GO78">
        <v>2</v>
      </c>
      <c r="GP78">
        <v>2</v>
      </c>
      <c r="GQ78" t="s">
        <v>442</v>
      </c>
      <c r="GR78">
        <v>3.12735</v>
      </c>
      <c r="GS78">
        <v>2.72971</v>
      </c>
      <c r="GT78">
        <v>0.083102</v>
      </c>
      <c r="GU78">
        <v>0.0854005</v>
      </c>
      <c r="GV78">
        <v>0.128154</v>
      </c>
      <c r="GW78">
        <v>0.10199</v>
      </c>
      <c r="GX78">
        <v>33014.9</v>
      </c>
      <c r="GY78">
        <v>34852.7</v>
      </c>
      <c r="GZ78">
        <v>32695.2</v>
      </c>
      <c r="HA78">
        <v>34621.2</v>
      </c>
      <c r="HB78">
        <v>40692.2</v>
      </c>
      <c r="HC78">
        <v>44830.2</v>
      </c>
      <c r="HD78">
        <v>51350.9</v>
      </c>
      <c r="HE78">
        <v>55527.5</v>
      </c>
      <c r="HF78">
        <v>1.69895</v>
      </c>
      <c r="HG78">
        <v>1.56292</v>
      </c>
      <c r="HH78">
        <v>-0.123888</v>
      </c>
      <c r="HI78">
        <v>0</v>
      </c>
      <c r="HJ78">
        <v>43.9867</v>
      </c>
      <c r="HK78">
        <v>999.9</v>
      </c>
      <c r="HL78">
        <v>55.604</v>
      </c>
      <c r="HM78">
        <v>29.97</v>
      </c>
      <c r="HN78">
        <v>26.0937</v>
      </c>
      <c r="HO78">
        <v>60.0503</v>
      </c>
      <c r="HP78">
        <v>41.871</v>
      </c>
      <c r="HQ78">
        <v>1</v>
      </c>
      <c r="HR78">
        <v>2.14484</v>
      </c>
      <c r="HS78">
        <v>6.38399</v>
      </c>
      <c r="HT78">
        <v>20.0148</v>
      </c>
      <c r="HU78">
        <v>5.18944</v>
      </c>
      <c r="HV78">
        <v>12.0159</v>
      </c>
      <c r="HW78">
        <v>4.9709</v>
      </c>
      <c r="HX78">
        <v>3.295</v>
      </c>
      <c r="HY78">
        <v>9999</v>
      </c>
      <c r="HZ78">
        <v>999.9</v>
      </c>
      <c r="IA78">
        <v>9999</v>
      </c>
      <c r="IB78">
        <v>9999</v>
      </c>
      <c r="IC78">
        <v>1.86325</v>
      </c>
      <c r="ID78">
        <v>1.86802</v>
      </c>
      <c r="IE78">
        <v>1.86783</v>
      </c>
      <c r="IF78">
        <v>1.86901</v>
      </c>
      <c r="IG78">
        <v>1.86981</v>
      </c>
      <c r="IH78">
        <v>1.86584</v>
      </c>
      <c r="II78">
        <v>1.86691</v>
      </c>
      <c r="IJ78">
        <v>1.86832</v>
      </c>
      <c r="IK78">
        <v>5</v>
      </c>
      <c r="IL78">
        <v>0</v>
      </c>
      <c r="IM78">
        <v>0</v>
      </c>
      <c r="IN78">
        <v>0</v>
      </c>
      <c r="IO78" t="s">
        <v>443</v>
      </c>
      <c r="IP78" t="s">
        <v>444</v>
      </c>
      <c r="IQ78" t="s">
        <v>445</v>
      </c>
      <c r="IR78" t="s">
        <v>445</v>
      </c>
      <c r="IS78" t="s">
        <v>445</v>
      </c>
      <c r="IT78" t="s">
        <v>445</v>
      </c>
      <c r="IU78">
        <v>0</v>
      </c>
      <c r="IV78">
        <v>100</v>
      </c>
      <c r="IW78">
        <v>100</v>
      </c>
      <c r="IX78">
        <v>2.406</v>
      </c>
      <c r="IY78">
        <v>0.4352</v>
      </c>
      <c r="IZ78">
        <v>0.833350075594679</v>
      </c>
      <c r="JA78">
        <v>0.00412825224050377</v>
      </c>
      <c r="JB78">
        <v>-7.34426573386615e-07</v>
      </c>
      <c r="JC78">
        <v>2.46800082545482e-10</v>
      </c>
      <c r="JD78">
        <v>0.435209846415365</v>
      </c>
      <c r="JE78">
        <v>0</v>
      </c>
      <c r="JF78">
        <v>0</v>
      </c>
      <c r="JG78">
        <v>0</v>
      </c>
      <c r="JH78">
        <v>5</v>
      </c>
      <c r="JI78">
        <v>2250</v>
      </c>
      <c r="JJ78">
        <v>0</v>
      </c>
      <c r="JK78">
        <v>24</v>
      </c>
      <c r="JL78">
        <v>29348532.1</v>
      </c>
      <c r="JM78">
        <v>29348532.1</v>
      </c>
      <c r="JN78">
        <v>1.02051</v>
      </c>
      <c r="JO78">
        <v>2.63428</v>
      </c>
      <c r="JP78">
        <v>1.54785</v>
      </c>
      <c r="JQ78">
        <v>2.31689</v>
      </c>
      <c r="JR78">
        <v>1.64673</v>
      </c>
      <c r="JS78">
        <v>2.34375</v>
      </c>
      <c r="JT78">
        <v>34.1905</v>
      </c>
      <c r="JU78">
        <v>24.1488</v>
      </c>
      <c r="JV78">
        <v>18</v>
      </c>
      <c r="JW78">
        <v>487.379</v>
      </c>
      <c r="JX78">
        <v>389.987</v>
      </c>
      <c r="JY78">
        <v>36.6757</v>
      </c>
      <c r="JZ78">
        <v>51.1031</v>
      </c>
      <c r="KA78">
        <v>30.0051</v>
      </c>
      <c r="KB78">
        <v>50.1802</v>
      </c>
      <c r="KC78">
        <v>49.996</v>
      </c>
      <c r="KD78">
        <v>20.4375</v>
      </c>
      <c r="KE78">
        <v>0</v>
      </c>
      <c r="KF78">
        <v>100</v>
      </c>
      <c r="KG78">
        <v>36.6374</v>
      </c>
      <c r="KH78">
        <v>420</v>
      </c>
      <c r="KI78">
        <v>35.6443</v>
      </c>
      <c r="KJ78">
        <v>93.099</v>
      </c>
      <c r="KK78">
        <v>89.845</v>
      </c>
    </row>
    <row r="79" spans="1:297">
      <c r="A79">
        <v>63</v>
      </c>
      <c r="B79">
        <v>1760912141.1</v>
      </c>
      <c r="C79">
        <v>18377</v>
      </c>
      <c r="D79" t="s">
        <v>710</v>
      </c>
      <c r="E79" t="s">
        <v>711</v>
      </c>
      <c r="F79">
        <v>5</v>
      </c>
      <c r="G79" t="s">
        <v>435</v>
      </c>
      <c r="H79" t="s">
        <v>436</v>
      </c>
      <c r="I79">
        <v>1760912133.1</v>
      </c>
      <c r="J79">
        <f>(K79)/1000</f>
        <v>0</v>
      </c>
      <c r="K79">
        <f>IF(DP79, AN79, AH79)</f>
        <v>0</v>
      </c>
      <c r="L79">
        <f>IF(DP79, AI79, AG79)</f>
        <v>0</v>
      </c>
      <c r="M79">
        <f>DR79 - IF(AU79&gt;1, L79*DL79*100.0/(AW79), 0)</f>
        <v>0</v>
      </c>
      <c r="N79">
        <f>((T79-J79/2)*M79-L79)/(T79+J79/2)</f>
        <v>0</v>
      </c>
      <c r="O79">
        <f>N79*(DY79+DZ79)/1000.0</f>
        <v>0</v>
      </c>
      <c r="P79">
        <f>(DR79 - IF(AU79&gt;1, L79*DL79*100.0/(AW79), 0))*(DY79+DZ79)/1000.0</f>
        <v>0</v>
      </c>
      <c r="Q79">
        <f>2.0/((1/S79-1/R79)+SIGN(S79)*SQRT((1/S79-1/R79)*(1/S79-1/R79) + 4*DM79/((DM79+1)*(DM79+1))*(2*1/S79*1/R79-1/R79*1/R79)))</f>
        <v>0</v>
      </c>
      <c r="R79">
        <f>IF(LEFT(DN79,1)&lt;&gt;"0",IF(LEFT(DN79,1)="1",3.0,DO79),$D$5+$E$5*(EF79*DY79/($K$5*1000))+$F$5*(EF79*DY79/($K$5*1000))*MAX(MIN(DL79,$J$5),$I$5)*MAX(MIN(DL79,$J$5),$I$5)+$G$5*MAX(MIN(DL79,$J$5),$I$5)*(EF79*DY79/($K$5*1000))+$H$5*(EF79*DY79/($K$5*1000))*(EF79*DY79/($K$5*1000)))</f>
        <v>0</v>
      </c>
      <c r="S79">
        <f>J79*(1000-(1000*0.61365*exp(17.502*W79/(240.97+W79))/(DY79+DZ79)+DT79)/2)/(1000*0.61365*exp(17.502*W79/(240.97+W79))/(DY79+DZ79)-DT79)</f>
        <v>0</v>
      </c>
      <c r="T79">
        <f>1/((DM79+1)/(Q79/1.6)+1/(R79/1.37)) + DM79/((DM79+1)/(Q79/1.6) + DM79/(R79/1.37))</f>
        <v>0</v>
      </c>
      <c r="U79">
        <f>(DH79*DK79)</f>
        <v>0</v>
      </c>
      <c r="V79">
        <f>(EA79+(U79+2*0.95*5.67E-8*(((EA79+$B$7)+273)^4-(EA79+273)^4)-44100*J79)/(1.84*29.3*R79+8*0.95*5.67E-8*(EA79+273)^3))</f>
        <v>0</v>
      </c>
      <c r="W79">
        <f>($C$7*EB79+$D$7*EC79+$E$7*V79)</f>
        <v>0</v>
      </c>
      <c r="X79">
        <f>0.61365*exp(17.502*W79/(240.97+W79))</f>
        <v>0</v>
      </c>
      <c r="Y79">
        <f>(Z79/AA79*100)</f>
        <v>0</v>
      </c>
      <c r="Z79">
        <f>DT79*(DY79+DZ79)/1000</f>
        <v>0</v>
      </c>
      <c r="AA79">
        <f>0.61365*exp(17.502*EA79/(240.97+EA79))</f>
        <v>0</v>
      </c>
      <c r="AB79">
        <f>(X79-DT79*(DY79+DZ79)/1000)</f>
        <v>0</v>
      </c>
      <c r="AC79">
        <f>(-J79*44100)</f>
        <v>0</v>
      </c>
      <c r="AD79">
        <f>2*29.3*R79*0.92*(EA79-W79)</f>
        <v>0</v>
      </c>
      <c r="AE79">
        <f>2*0.95*5.67E-8*(((EA79+$B$7)+273)^4-(W79+273)^4)</f>
        <v>0</v>
      </c>
      <c r="AF79">
        <f>U79+AE79+AC79+AD79</f>
        <v>0</v>
      </c>
      <c r="AG79">
        <f>DX79*AU79*(DS79-DR79*(1000-AU79*DU79)/(1000-AU79*DT79))/(100*DL79)</f>
        <v>0</v>
      </c>
      <c r="AH79">
        <f>1000*DX79*AU79*(DT79-DU79)/(100*DL79*(1000-AU79*DT79))</f>
        <v>0</v>
      </c>
      <c r="AI79">
        <f>(AJ79 - AK79 - DY79*1E3/(8.314*(EA79+273.15)) * AM79/DX79 * AL79) * DX79/(100*DL79) * (1000 - DU79)/1000</f>
        <v>0</v>
      </c>
      <c r="AJ79">
        <v>430.808523371743</v>
      </c>
      <c r="AK79">
        <v>423.414139393939</v>
      </c>
      <c r="AL79">
        <v>-0.000199119804160667</v>
      </c>
      <c r="AM79">
        <v>64.9607388470376</v>
      </c>
      <c r="AN79">
        <f>(AP79 - AO79 + DY79*1E3/(8.314*(EA79+273.15)) * AR79/DX79 * AQ79) * DX79/(100*DL79) * 1000/(1000 - AP79)</f>
        <v>0</v>
      </c>
      <c r="AO79">
        <v>25.1069562887641</v>
      </c>
      <c r="AP79">
        <v>34.8476078787879</v>
      </c>
      <c r="AQ79">
        <v>6.12077717636213e-06</v>
      </c>
      <c r="AR79">
        <v>117.607865749846</v>
      </c>
      <c r="AS79">
        <v>12</v>
      </c>
      <c r="AT79">
        <v>2</v>
      </c>
      <c r="AU79">
        <f>IF(AS79*$H$13&gt;=AW79,1.0,(AW79/(AW79-AS79*$H$13)))</f>
        <v>0</v>
      </c>
      <c r="AV79">
        <f>(AU79-1)*100</f>
        <v>0</v>
      </c>
      <c r="AW79">
        <f>MAX(0,($B$13+$C$13*EF79)/(1+$D$13*EF79)*DY79/(EA79+273)*$E$13)</f>
        <v>0</v>
      </c>
      <c r="AX79" t="s">
        <v>437</v>
      </c>
      <c r="AY79">
        <v>5082.33</v>
      </c>
      <c r="AZ79">
        <v>690.032</v>
      </c>
      <c r="BA79">
        <v>1612.68</v>
      </c>
      <c r="BB79">
        <f>1-AZ79/BA79</f>
        <v>0</v>
      </c>
      <c r="BC79">
        <v>-9.7270689171713</v>
      </c>
      <c r="BD79" t="s">
        <v>712</v>
      </c>
      <c r="BE79">
        <v>5119.38</v>
      </c>
      <c r="BF79">
        <v>973.446346153846</v>
      </c>
      <c r="BG79">
        <v>1225.7299944613</v>
      </c>
      <c r="BH79">
        <f>1-BF79/BG79</f>
        <v>0</v>
      </c>
      <c r="BI79">
        <v>0.5</v>
      </c>
      <c r="BJ79">
        <f>DI79</f>
        <v>0</v>
      </c>
      <c r="BK79">
        <f>L79</f>
        <v>0</v>
      </c>
      <c r="BL79">
        <f>BH79*BI79*BJ79</f>
        <v>0</v>
      </c>
      <c r="BM79">
        <f>(BK79-BC79)/BJ79</f>
        <v>0</v>
      </c>
      <c r="BN79">
        <f>(BA79-BG79)/BG79</f>
        <v>0</v>
      </c>
      <c r="BO79">
        <f>AZ79/(BB79+AZ79/BG79)</f>
        <v>0</v>
      </c>
      <c r="BP79" t="s">
        <v>713</v>
      </c>
      <c r="BQ79">
        <v>707.93</v>
      </c>
      <c r="BR79">
        <f>IF(BQ79&lt;&gt;0, BQ79, BO79)</f>
        <v>0</v>
      </c>
      <c r="BS79">
        <f>1-BR79/BG79</f>
        <v>0</v>
      </c>
      <c r="BT79">
        <f>(BG79-BF79)/(BG79-BR79)</f>
        <v>0</v>
      </c>
      <c r="BU79">
        <f>(BA79-BG79)/(BA79-BR79)</f>
        <v>0</v>
      </c>
      <c r="BV79">
        <f>(BG79-BF79)/(BG79-AZ79)</f>
        <v>0</v>
      </c>
      <c r="BW79">
        <f>(BA79-BG79)/(BA79-AZ79)</f>
        <v>0</v>
      </c>
      <c r="BX79">
        <f>(BT79*BR79/BF79)</f>
        <v>0</v>
      </c>
      <c r="BY79">
        <f>(1-BX79)</f>
        <v>0</v>
      </c>
      <c r="BZ79">
        <v>220</v>
      </c>
      <c r="CA79">
        <v>290</v>
      </c>
      <c r="CB79">
        <v>1148.52</v>
      </c>
      <c r="CC79">
        <v>155</v>
      </c>
      <c r="CD79">
        <v>5119.38</v>
      </c>
      <c r="CE79">
        <v>1147.87</v>
      </c>
      <c r="CF79">
        <v>0.65</v>
      </c>
      <c r="CG79">
        <v>300</v>
      </c>
      <c r="CH79">
        <v>23.9</v>
      </c>
      <c r="CI79">
        <v>1225.7299944613</v>
      </c>
      <c r="CJ79">
        <v>1.8333723095382</v>
      </c>
      <c r="CK79">
        <v>-39.8589289730141</v>
      </c>
      <c r="CL79">
        <v>0.84394958579394</v>
      </c>
      <c r="CM79">
        <v>0.987602842418194</v>
      </c>
      <c r="CN79">
        <v>-0.00322907385984427</v>
      </c>
      <c r="CO79">
        <v>290</v>
      </c>
      <c r="CP79">
        <v>1145.35</v>
      </c>
      <c r="CQ79">
        <v>655</v>
      </c>
      <c r="CR79">
        <v>5113.64</v>
      </c>
      <c r="CS79">
        <v>1147.78</v>
      </c>
      <c r="CT79">
        <v>-2.43</v>
      </c>
      <c r="DH79">
        <f>$B$11*EG79+$C$11*EH79+$F$11*ES79*(1-EV79)</f>
        <v>0</v>
      </c>
      <c r="DI79">
        <f>DH79*DJ79</f>
        <v>0</v>
      </c>
      <c r="DJ79">
        <f>($B$11*$D$9+$C$11*$D$9+$F$11*((FF79+EX79)/MAX(FF79+EX79+FG79, 0.1)*$I$9+FG79/MAX(FF79+EX79+FG79, 0.1)*$J$9))/($B$11+$C$11+$F$11)</f>
        <v>0</v>
      </c>
      <c r="DK79">
        <f>($B$11*$K$9+$C$11*$K$9+$F$11*((FF79+EX79)/MAX(FF79+EX79+FG79, 0.1)*$P$9+FG79/MAX(FF79+EX79+FG79, 0.1)*$Q$9))/($B$11+$C$11+$F$11)</f>
        <v>0</v>
      </c>
      <c r="DL79">
        <v>3.21</v>
      </c>
      <c r="DM79">
        <v>0.5</v>
      </c>
      <c r="DN79" t="s">
        <v>440</v>
      </c>
      <c r="DO79">
        <v>2</v>
      </c>
      <c r="DP79" t="b">
        <v>1</v>
      </c>
      <c r="DQ79">
        <v>1760912133.1</v>
      </c>
      <c r="DR79">
        <v>408.684666666667</v>
      </c>
      <c r="DS79">
        <v>420.012866666667</v>
      </c>
      <c r="DT79">
        <v>34.8451933333333</v>
      </c>
      <c r="DU79">
        <v>25.1064333333333</v>
      </c>
      <c r="DV79">
        <v>406.278666666667</v>
      </c>
      <c r="DW79">
        <v>34.40998</v>
      </c>
      <c r="DX79">
        <v>500.015666666667</v>
      </c>
      <c r="DY79">
        <v>90.64838</v>
      </c>
      <c r="DZ79">
        <v>0.05399102</v>
      </c>
      <c r="EA79">
        <v>43.50596</v>
      </c>
      <c r="EB79">
        <v>42.0074666666667</v>
      </c>
      <c r="EC79">
        <v>999.9</v>
      </c>
      <c r="ED79">
        <v>0</v>
      </c>
      <c r="EE79">
        <v>0</v>
      </c>
      <c r="EF79">
        <v>10000.0473333333</v>
      </c>
      <c r="EG79">
        <v>0</v>
      </c>
      <c r="EH79">
        <v>1174.56066666667</v>
      </c>
      <c r="EI79">
        <v>-11.3282333333333</v>
      </c>
      <c r="EJ79">
        <v>423.4394</v>
      </c>
      <c r="EK79">
        <v>430.8296</v>
      </c>
      <c r="EL79">
        <v>9.73876866666667</v>
      </c>
      <c r="EM79">
        <v>420.012866666667</v>
      </c>
      <c r="EN79">
        <v>25.1064333333333</v>
      </c>
      <c r="EO79">
        <v>3.15866133333333</v>
      </c>
      <c r="EP79">
        <v>2.27585733333333</v>
      </c>
      <c r="EQ79">
        <v>24.8888133333333</v>
      </c>
      <c r="ER79">
        <v>19.5065333333333</v>
      </c>
      <c r="ES79">
        <v>1199.99333333333</v>
      </c>
      <c r="ET79">
        <v>0.967004866666667</v>
      </c>
      <c r="EU79">
        <v>0.03299476</v>
      </c>
      <c r="EV79">
        <v>0</v>
      </c>
      <c r="EW79">
        <v>973.4266</v>
      </c>
      <c r="EX79">
        <v>5.00059</v>
      </c>
      <c r="EY79">
        <v>12637.2333333333</v>
      </c>
      <c r="EZ79">
        <v>10358.66</v>
      </c>
      <c r="FA79">
        <v>60.979</v>
      </c>
      <c r="FB79">
        <v>62.9789333333333</v>
      </c>
      <c r="FC79">
        <v>61.208</v>
      </c>
      <c r="FD79">
        <v>62.6165333333333</v>
      </c>
      <c r="FE79">
        <v>61.8456</v>
      </c>
      <c r="FF79">
        <v>1155.56333333333</v>
      </c>
      <c r="FG79">
        <v>39.43</v>
      </c>
      <c r="FH79">
        <v>0</v>
      </c>
      <c r="FI79">
        <v>213.200000047684</v>
      </c>
      <c r="FJ79">
        <v>0</v>
      </c>
      <c r="FK79">
        <v>973.446346153846</v>
      </c>
      <c r="FL79">
        <v>5.81808546518042</v>
      </c>
      <c r="FM79">
        <v>97.8085468085655</v>
      </c>
      <c r="FN79">
        <v>12637.9653846154</v>
      </c>
      <c r="FO79">
        <v>15</v>
      </c>
      <c r="FP79">
        <v>0</v>
      </c>
      <c r="FQ79" t="s">
        <v>441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-11.3309095238095</v>
      </c>
      <c r="GD79">
        <v>0.149968831168842</v>
      </c>
      <c r="GE79">
        <v>0.0412438036299815</v>
      </c>
      <c r="GF79">
        <v>1</v>
      </c>
      <c r="GG79">
        <v>973.041382352941</v>
      </c>
      <c r="GH79">
        <v>5.26097784996381</v>
      </c>
      <c r="GI79">
        <v>0.553726680013862</v>
      </c>
      <c r="GJ79">
        <v>-1</v>
      </c>
      <c r="GK79">
        <v>9.73861142857143</v>
      </c>
      <c r="GL79">
        <v>0.00737142857144518</v>
      </c>
      <c r="GM79">
        <v>0.00176122329163376</v>
      </c>
      <c r="GN79">
        <v>1</v>
      </c>
      <c r="GO79">
        <v>2</v>
      </c>
      <c r="GP79">
        <v>2</v>
      </c>
      <c r="GQ79" t="s">
        <v>442</v>
      </c>
      <c r="GR79">
        <v>3.127</v>
      </c>
      <c r="GS79">
        <v>2.73199</v>
      </c>
      <c r="GT79">
        <v>0.0827606</v>
      </c>
      <c r="GU79">
        <v>0.0850522</v>
      </c>
      <c r="GV79">
        <v>0.127647</v>
      </c>
      <c r="GW79">
        <v>0.101686</v>
      </c>
      <c r="GX79">
        <v>32891.8</v>
      </c>
      <c r="GY79">
        <v>34687.7</v>
      </c>
      <c r="GZ79">
        <v>32571</v>
      </c>
      <c r="HA79">
        <v>34454.1</v>
      </c>
      <c r="HB79">
        <v>40598.9</v>
      </c>
      <c r="HC79">
        <v>44646.7</v>
      </c>
      <c r="HD79">
        <v>51187.8</v>
      </c>
      <c r="HE79">
        <v>55278.5</v>
      </c>
      <c r="HF79">
        <v>1.6799</v>
      </c>
      <c r="HG79">
        <v>1.54397</v>
      </c>
      <c r="HH79">
        <v>-0.132479</v>
      </c>
      <c r="HI79">
        <v>0</v>
      </c>
      <c r="HJ79">
        <v>44.1194</v>
      </c>
      <c r="HK79">
        <v>999.9</v>
      </c>
      <c r="HL79">
        <v>55.653</v>
      </c>
      <c r="HM79">
        <v>30.011</v>
      </c>
      <c r="HN79">
        <v>26.1765</v>
      </c>
      <c r="HO79">
        <v>60.7603</v>
      </c>
      <c r="HP79">
        <v>41.3341</v>
      </c>
      <c r="HQ79">
        <v>1</v>
      </c>
      <c r="HR79">
        <v>2.35276</v>
      </c>
      <c r="HS79">
        <v>7.95981</v>
      </c>
      <c r="HT79">
        <v>19.9571</v>
      </c>
      <c r="HU79">
        <v>5.18824</v>
      </c>
      <c r="HV79">
        <v>12.0159</v>
      </c>
      <c r="HW79">
        <v>4.96965</v>
      </c>
      <c r="HX79">
        <v>3.2951</v>
      </c>
      <c r="HY79">
        <v>9999</v>
      </c>
      <c r="HZ79">
        <v>999.9</v>
      </c>
      <c r="IA79">
        <v>9999</v>
      </c>
      <c r="IB79">
        <v>9999</v>
      </c>
      <c r="IC79">
        <v>1.86325</v>
      </c>
      <c r="ID79">
        <v>1.86802</v>
      </c>
      <c r="IE79">
        <v>1.86782</v>
      </c>
      <c r="IF79">
        <v>1.86902</v>
      </c>
      <c r="IG79">
        <v>1.86981</v>
      </c>
      <c r="IH79">
        <v>1.86584</v>
      </c>
      <c r="II79">
        <v>1.86691</v>
      </c>
      <c r="IJ79">
        <v>1.86835</v>
      </c>
      <c r="IK79">
        <v>5</v>
      </c>
      <c r="IL79">
        <v>0</v>
      </c>
      <c r="IM79">
        <v>0</v>
      </c>
      <c r="IN79">
        <v>0</v>
      </c>
      <c r="IO79" t="s">
        <v>443</v>
      </c>
      <c r="IP79" t="s">
        <v>444</v>
      </c>
      <c r="IQ79" t="s">
        <v>445</v>
      </c>
      <c r="IR79" t="s">
        <v>445</v>
      </c>
      <c r="IS79" t="s">
        <v>445</v>
      </c>
      <c r="IT79" t="s">
        <v>445</v>
      </c>
      <c r="IU79">
        <v>0</v>
      </c>
      <c r="IV79">
        <v>100</v>
      </c>
      <c r="IW79">
        <v>100</v>
      </c>
      <c r="IX79">
        <v>2.406</v>
      </c>
      <c r="IY79">
        <v>0.4352</v>
      </c>
      <c r="IZ79">
        <v>0.833350075594679</v>
      </c>
      <c r="JA79">
        <v>0.00412825224050377</v>
      </c>
      <c r="JB79">
        <v>-7.34426573386615e-07</v>
      </c>
      <c r="JC79">
        <v>2.46800082545482e-10</v>
      </c>
      <c r="JD79">
        <v>0.435209846415365</v>
      </c>
      <c r="JE79">
        <v>0</v>
      </c>
      <c r="JF79">
        <v>0</v>
      </c>
      <c r="JG79">
        <v>0</v>
      </c>
      <c r="JH79">
        <v>5</v>
      </c>
      <c r="JI79">
        <v>2250</v>
      </c>
      <c r="JJ79">
        <v>0</v>
      </c>
      <c r="JK79">
        <v>24</v>
      </c>
      <c r="JL79">
        <v>29348535.7</v>
      </c>
      <c r="JM79">
        <v>29348535.7</v>
      </c>
      <c r="JN79">
        <v>1.02051</v>
      </c>
      <c r="JO79">
        <v>2.62939</v>
      </c>
      <c r="JP79">
        <v>1.54785</v>
      </c>
      <c r="JQ79">
        <v>2.31689</v>
      </c>
      <c r="JR79">
        <v>1.64551</v>
      </c>
      <c r="JS79">
        <v>2.38159</v>
      </c>
      <c r="JT79">
        <v>34.2133</v>
      </c>
      <c r="JU79">
        <v>24.1225</v>
      </c>
      <c r="JV79">
        <v>18</v>
      </c>
      <c r="JW79">
        <v>484.143</v>
      </c>
      <c r="JX79">
        <v>386.501</v>
      </c>
      <c r="JY79">
        <v>35.5548</v>
      </c>
      <c r="JZ79">
        <v>53.0081</v>
      </c>
      <c r="KA79">
        <v>30.0049</v>
      </c>
      <c r="KB79">
        <v>51.9884</v>
      </c>
      <c r="KC79">
        <v>51.7856</v>
      </c>
      <c r="KD79">
        <v>20.4455</v>
      </c>
      <c r="KE79">
        <v>0</v>
      </c>
      <c r="KF79">
        <v>100</v>
      </c>
      <c r="KG79">
        <v>35.5457</v>
      </c>
      <c r="KH79">
        <v>420</v>
      </c>
      <c r="KI79">
        <v>35.6443</v>
      </c>
      <c r="KJ79">
        <v>92.7808</v>
      </c>
      <c r="KK79">
        <v>89.4303</v>
      </c>
    </row>
    <row r="80" spans="1:297">
      <c r="A80">
        <v>64</v>
      </c>
      <c r="B80">
        <v>1760912981.1</v>
      </c>
      <c r="C80">
        <v>19217</v>
      </c>
      <c r="D80" t="s">
        <v>714</v>
      </c>
      <c r="E80" t="s">
        <v>715</v>
      </c>
      <c r="F80">
        <v>5</v>
      </c>
      <c r="G80" t="s">
        <v>495</v>
      </c>
      <c r="H80" t="s">
        <v>436</v>
      </c>
      <c r="I80">
        <v>1760912973.1</v>
      </c>
      <c r="J80">
        <f>(K80)/1000</f>
        <v>0</v>
      </c>
      <c r="K80">
        <f>IF(DP80, AN80, AH80)</f>
        <v>0</v>
      </c>
      <c r="L80">
        <f>IF(DP80, AI80, AG80)</f>
        <v>0</v>
      </c>
      <c r="M80">
        <f>DR80 - IF(AU80&gt;1, L80*DL80*100.0/(AW80), 0)</f>
        <v>0</v>
      </c>
      <c r="N80">
        <f>((T80-J80/2)*M80-L80)/(T80+J80/2)</f>
        <v>0</v>
      </c>
      <c r="O80">
        <f>N80*(DY80+DZ80)/1000.0</f>
        <v>0</v>
      </c>
      <c r="P80">
        <f>(DR80 - IF(AU80&gt;1, L80*DL80*100.0/(AW80), 0))*(DY80+DZ80)/1000.0</f>
        <v>0</v>
      </c>
      <c r="Q80">
        <f>2.0/((1/S80-1/R80)+SIGN(S80)*SQRT((1/S80-1/R80)*(1/S80-1/R80) + 4*DM80/((DM80+1)*(DM80+1))*(2*1/S80*1/R80-1/R80*1/R80)))</f>
        <v>0</v>
      </c>
      <c r="R80">
        <f>IF(LEFT(DN80,1)&lt;&gt;"0",IF(LEFT(DN80,1)="1",3.0,DO80),$D$5+$E$5*(EF80*DY80/($K$5*1000))+$F$5*(EF80*DY80/($K$5*1000))*MAX(MIN(DL80,$J$5),$I$5)*MAX(MIN(DL80,$J$5),$I$5)+$G$5*MAX(MIN(DL80,$J$5),$I$5)*(EF80*DY80/($K$5*1000))+$H$5*(EF80*DY80/($K$5*1000))*(EF80*DY80/($K$5*1000)))</f>
        <v>0</v>
      </c>
      <c r="S80">
        <f>J80*(1000-(1000*0.61365*exp(17.502*W80/(240.97+W80))/(DY80+DZ80)+DT80)/2)/(1000*0.61365*exp(17.502*W80/(240.97+W80))/(DY80+DZ80)-DT80)</f>
        <v>0</v>
      </c>
      <c r="T80">
        <f>1/((DM80+1)/(Q80/1.6)+1/(R80/1.37)) + DM80/((DM80+1)/(Q80/1.6) + DM80/(R80/1.37))</f>
        <v>0</v>
      </c>
      <c r="U80">
        <f>(DH80*DK80)</f>
        <v>0</v>
      </c>
      <c r="V80">
        <f>(EA80+(U80+2*0.95*5.67E-8*(((EA80+$B$7)+273)^4-(EA80+273)^4)-44100*J80)/(1.84*29.3*R80+8*0.95*5.67E-8*(EA80+273)^3))</f>
        <v>0</v>
      </c>
      <c r="W80">
        <f>($C$7*EB80+$D$7*EC80+$E$7*V80)</f>
        <v>0</v>
      </c>
      <c r="X80">
        <f>0.61365*exp(17.502*W80/(240.97+W80))</f>
        <v>0</v>
      </c>
      <c r="Y80">
        <f>(Z80/AA80*100)</f>
        <v>0</v>
      </c>
      <c r="Z80">
        <f>DT80*(DY80+DZ80)/1000</f>
        <v>0</v>
      </c>
      <c r="AA80">
        <f>0.61365*exp(17.502*EA80/(240.97+EA80))</f>
        <v>0</v>
      </c>
      <c r="AB80">
        <f>(X80-DT80*(DY80+DZ80)/1000)</f>
        <v>0</v>
      </c>
      <c r="AC80">
        <f>(-J80*44100)</f>
        <v>0</v>
      </c>
      <c r="AD80">
        <f>2*29.3*R80*0.92*(EA80-W80)</f>
        <v>0</v>
      </c>
      <c r="AE80">
        <f>2*0.95*5.67E-8*(((EA80+$B$7)+273)^4-(W80+273)^4)</f>
        <v>0</v>
      </c>
      <c r="AF80">
        <f>U80+AE80+AC80+AD80</f>
        <v>0</v>
      </c>
      <c r="AG80">
        <f>DX80*AU80*(DS80-DR80*(1000-AU80*DU80)/(1000-AU80*DT80))/(100*DL80)</f>
        <v>0</v>
      </c>
      <c r="AH80">
        <f>1000*DX80*AU80*(DT80-DU80)/(100*DL80*(1000-AU80*DT80))</f>
        <v>0</v>
      </c>
      <c r="AI80">
        <f>(AJ80 - AK80 - DY80*1E3/(8.314*(EA80+273.15)) * AM80/DX80 * AL80) * DX80/(100*DL80) * (1000 - DU80)/1000</f>
        <v>0</v>
      </c>
      <c r="AJ80">
        <v>430.626022852786</v>
      </c>
      <c r="AK80">
        <v>426.228666666667</v>
      </c>
      <c r="AL80">
        <v>-0.000286073544131001</v>
      </c>
      <c r="AM80">
        <v>65.4747832793359</v>
      </c>
      <c r="AN80">
        <f>(AP80 - AO80 + DY80*1E3/(8.314*(EA80+273.15)) * AR80/DX80 * AQ80) * DX80/(100*DL80) * 1000/(1000 - AP80)</f>
        <v>0</v>
      </c>
      <c r="AO80">
        <v>24.6398624783173</v>
      </c>
      <c r="AP80">
        <v>34.243723030303</v>
      </c>
      <c r="AQ80">
        <v>1.50721951998336e-05</v>
      </c>
      <c r="AR80">
        <v>114.190937790014</v>
      </c>
      <c r="AS80">
        <v>21</v>
      </c>
      <c r="AT80">
        <v>4</v>
      </c>
      <c r="AU80">
        <f>IF(AS80*$H$13&gt;=AW80,1.0,(AW80/(AW80-AS80*$H$13)))</f>
        <v>0</v>
      </c>
      <c r="AV80">
        <f>(AU80-1)*100</f>
        <v>0</v>
      </c>
      <c r="AW80">
        <f>MAX(0,($B$13+$C$13*EF80)/(1+$D$13*EF80)*DY80/(EA80+273)*$E$13)</f>
        <v>0</v>
      </c>
      <c r="AX80" t="s">
        <v>437</v>
      </c>
      <c r="AY80">
        <v>5082.33</v>
      </c>
      <c r="AZ80">
        <v>690.032</v>
      </c>
      <c r="BA80">
        <v>1612.68</v>
      </c>
      <c r="BB80">
        <f>1-AZ80/BA80</f>
        <v>0</v>
      </c>
      <c r="BC80">
        <v>-9.7270689171713</v>
      </c>
      <c r="BD80" t="s">
        <v>716</v>
      </c>
      <c r="BE80">
        <v>5091.8</v>
      </c>
      <c r="BF80">
        <v>1191.36384615385</v>
      </c>
      <c r="BG80">
        <v>1426.72137325918</v>
      </c>
      <c r="BH80">
        <f>1-BF80/BG80</f>
        <v>0</v>
      </c>
      <c r="BI80">
        <v>0.5</v>
      </c>
      <c r="BJ80">
        <f>DI80</f>
        <v>0</v>
      </c>
      <c r="BK80">
        <f>L80</f>
        <v>0</v>
      </c>
      <c r="BL80">
        <f>BH80*BI80*BJ80</f>
        <v>0</v>
      </c>
      <c r="BM80">
        <f>(BK80-BC80)/BJ80</f>
        <v>0</v>
      </c>
      <c r="BN80">
        <f>(BA80-BG80)/BG80</f>
        <v>0</v>
      </c>
      <c r="BO80">
        <f>AZ80/(BB80+AZ80/BG80)</f>
        <v>0</v>
      </c>
      <c r="BP80" t="s">
        <v>717</v>
      </c>
      <c r="BQ80">
        <v>814.87</v>
      </c>
      <c r="BR80">
        <f>IF(BQ80&lt;&gt;0, BQ80, BO80)</f>
        <v>0</v>
      </c>
      <c r="BS80">
        <f>1-BR80/BG80</f>
        <v>0</v>
      </c>
      <c r="BT80">
        <f>(BG80-BF80)/(BG80-BR80)</f>
        <v>0</v>
      </c>
      <c r="BU80">
        <f>(BA80-BG80)/(BA80-BR80)</f>
        <v>0</v>
      </c>
      <c r="BV80">
        <f>(BG80-BF80)/(BG80-AZ80)</f>
        <v>0</v>
      </c>
      <c r="BW80">
        <f>(BA80-BG80)/(BA80-AZ80)</f>
        <v>0</v>
      </c>
      <c r="BX80">
        <f>(BT80*BR80/BF80)</f>
        <v>0</v>
      </c>
      <c r="BY80">
        <f>(1-BX80)</f>
        <v>0</v>
      </c>
      <c r="BZ80">
        <v>222</v>
      </c>
      <c r="CA80">
        <v>290</v>
      </c>
      <c r="CB80">
        <v>1352.91</v>
      </c>
      <c r="CC80">
        <v>195</v>
      </c>
      <c r="CD80">
        <v>5091.8</v>
      </c>
      <c r="CE80">
        <v>1352.72</v>
      </c>
      <c r="CF80">
        <v>0.19</v>
      </c>
      <c r="CG80">
        <v>300</v>
      </c>
      <c r="CH80">
        <v>23.9</v>
      </c>
      <c r="CI80">
        <v>1426.72137325918</v>
      </c>
      <c r="CJ80">
        <v>1.33314652702744</v>
      </c>
      <c r="CK80">
        <v>-37.679191179654</v>
      </c>
      <c r="CL80">
        <v>0.610459748606987</v>
      </c>
      <c r="CM80">
        <v>0.992703934933772</v>
      </c>
      <c r="CN80">
        <v>-0.00321299488320356</v>
      </c>
      <c r="CO80">
        <v>290</v>
      </c>
      <c r="CP80">
        <v>1349.34</v>
      </c>
      <c r="CQ80">
        <v>785</v>
      </c>
      <c r="CR80">
        <v>5085.24</v>
      </c>
      <c r="CS80">
        <v>1352.63</v>
      </c>
      <c r="CT80">
        <v>-3.29</v>
      </c>
      <c r="DH80">
        <f>$B$11*EG80+$C$11*EH80+$F$11*ES80*(1-EV80)</f>
        <v>0</v>
      </c>
      <c r="DI80">
        <f>DH80*DJ80</f>
        <v>0</v>
      </c>
      <c r="DJ80">
        <f>($B$11*$D$9+$C$11*$D$9+$F$11*((FF80+EX80)/MAX(FF80+EX80+FG80, 0.1)*$I$9+FG80/MAX(FF80+EX80+FG80, 0.1)*$J$9))/($B$11+$C$11+$F$11)</f>
        <v>0</v>
      </c>
      <c r="DK80">
        <f>($B$11*$K$9+$C$11*$K$9+$F$11*((FF80+EX80)/MAX(FF80+EX80+FG80, 0.1)*$P$9+FG80/MAX(FF80+EX80+FG80, 0.1)*$Q$9))/($B$11+$C$11+$F$11)</f>
        <v>0</v>
      </c>
      <c r="DL80">
        <v>3.21</v>
      </c>
      <c r="DM80">
        <v>0.5</v>
      </c>
      <c r="DN80" t="s">
        <v>440</v>
      </c>
      <c r="DO80">
        <v>2</v>
      </c>
      <c r="DP80" t="b">
        <v>1</v>
      </c>
      <c r="DQ80">
        <v>1760912973.1</v>
      </c>
      <c r="DR80">
        <v>411.607133333333</v>
      </c>
      <c r="DS80">
        <v>419.995933333333</v>
      </c>
      <c r="DT80">
        <v>34.2378466666667</v>
      </c>
      <c r="DU80">
        <v>24.6473933333333</v>
      </c>
      <c r="DV80">
        <v>409.1906</v>
      </c>
      <c r="DW80">
        <v>33.8026333333333</v>
      </c>
      <c r="DX80">
        <v>500.022466666667</v>
      </c>
      <c r="DY80">
        <v>90.65514</v>
      </c>
      <c r="DZ80">
        <v>0.0547272866666667</v>
      </c>
      <c r="EA80">
        <v>44.67134</v>
      </c>
      <c r="EB80">
        <v>43.3240333333333</v>
      </c>
      <c r="EC80">
        <v>999.9</v>
      </c>
      <c r="ED80">
        <v>0</v>
      </c>
      <c r="EE80">
        <v>0</v>
      </c>
      <c r="EF80">
        <v>9997.82666666667</v>
      </c>
      <c r="EG80">
        <v>0</v>
      </c>
      <c r="EH80">
        <v>1172.44666666667</v>
      </c>
      <c r="EI80">
        <v>-8.388762</v>
      </c>
      <c r="EJ80">
        <v>426.199466666667</v>
      </c>
      <c r="EK80">
        <v>430.6092</v>
      </c>
      <c r="EL80">
        <v>9.59046133333334</v>
      </c>
      <c r="EM80">
        <v>419.995933333333</v>
      </c>
      <c r="EN80">
        <v>24.6473933333333</v>
      </c>
      <c r="EO80">
        <v>3.10383733333333</v>
      </c>
      <c r="EP80">
        <v>2.23441133333333</v>
      </c>
      <c r="EQ80">
        <v>24.5957</v>
      </c>
      <c r="ER80">
        <v>19.2111933333333</v>
      </c>
      <c r="ES80">
        <v>1200.04133333333</v>
      </c>
      <c r="ET80">
        <v>0.967004333333333</v>
      </c>
      <c r="EU80">
        <v>0.03299542</v>
      </c>
      <c r="EV80">
        <v>0</v>
      </c>
      <c r="EW80">
        <v>1191.462</v>
      </c>
      <c r="EX80">
        <v>5.00059</v>
      </c>
      <c r="EY80">
        <v>15739.7533333333</v>
      </c>
      <c r="EZ80">
        <v>10359.0933333333</v>
      </c>
      <c r="FA80">
        <v>64.9414</v>
      </c>
      <c r="FB80">
        <v>67.0330666666667</v>
      </c>
      <c r="FC80">
        <v>65.2164</v>
      </c>
      <c r="FD80">
        <v>66.6622</v>
      </c>
      <c r="FE80">
        <v>65.583</v>
      </c>
      <c r="FF80">
        <v>1155.61133333333</v>
      </c>
      <c r="FG80">
        <v>39.43</v>
      </c>
      <c r="FH80">
        <v>0</v>
      </c>
      <c r="FI80">
        <v>836</v>
      </c>
      <c r="FJ80">
        <v>0</v>
      </c>
      <c r="FK80">
        <v>1191.36384615385</v>
      </c>
      <c r="FL80">
        <v>-11.2082051290328</v>
      </c>
      <c r="FM80">
        <v>-104.064957461343</v>
      </c>
      <c r="FN80">
        <v>15738.1807692308</v>
      </c>
      <c r="FO80">
        <v>15</v>
      </c>
      <c r="FP80">
        <v>0</v>
      </c>
      <c r="FQ80" t="s">
        <v>441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-8.38910380952381</v>
      </c>
      <c r="GD80">
        <v>0.0615498701298614</v>
      </c>
      <c r="GE80">
        <v>0.0337405356713891</v>
      </c>
      <c r="GF80">
        <v>1</v>
      </c>
      <c r="GG80">
        <v>1192.13147058824</v>
      </c>
      <c r="GH80">
        <v>-11.140259742246</v>
      </c>
      <c r="GI80">
        <v>1.10719606731955</v>
      </c>
      <c r="GJ80">
        <v>-1</v>
      </c>
      <c r="GK80">
        <v>9.58079857142857</v>
      </c>
      <c r="GL80">
        <v>0.145633246753244</v>
      </c>
      <c r="GM80">
        <v>0.0148498521030677</v>
      </c>
      <c r="GN80">
        <v>0</v>
      </c>
      <c r="GO80">
        <v>1</v>
      </c>
      <c r="GP80">
        <v>2</v>
      </c>
      <c r="GQ80" t="s">
        <v>454</v>
      </c>
      <c r="GR80">
        <v>3.12542</v>
      </c>
      <c r="GS80">
        <v>2.73269</v>
      </c>
      <c r="GT80">
        <v>0.0821619</v>
      </c>
      <c r="GU80">
        <v>0.0839649</v>
      </c>
      <c r="GV80">
        <v>0.124648</v>
      </c>
      <c r="GW80">
        <v>0.0991766</v>
      </c>
      <c r="GX80">
        <v>32498.8</v>
      </c>
      <c r="GY80">
        <v>34188.5</v>
      </c>
      <c r="GZ80">
        <v>32189.5</v>
      </c>
      <c r="HA80">
        <v>33946.5</v>
      </c>
      <c r="HB80">
        <v>40362.9</v>
      </c>
      <c r="HC80">
        <v>44159.8</v>
      </c>
      <c r="HD80">
        <v>50682.2</v>
      </c>
      <c r="HE80">
        <v>54520.9</v>
      </c>
      <c r="HF80">
        <v>1.62507</v>
      </c>
      <c r="HG80">
        <v>1.48915</v>
      </c>
      <c r="HH80">
        <v>-0.117444</v>
      </c>
      <c r="HI80">
        <v>0</v>
      </c>
      <c r="HJ80">
        <v>45.2171</v>
      </c>
      <c r="HK80">
        <v>999.9</v>
      </c>
      <c r="HL80">
        <v>55.073</v>
      </c>
      <c r="HM80">
        <v>30.031</v>
      </c>
      <c r="HN80">
        <v>25.9281</v>
      </c>
      <c r="HO80">
        <v>61.0305</v>
      </c>
      <c r="HP80">
        <v>40.633</v>
      </c>
      <c r="HQ80">
        <v>1</v>
      </c>
      <c r="HR80">
        <v>2.97737</v>
      </c>
      <c r="HS80">
        <v>9.28105</v>
      </c>
      <c r="HT80">
        <v>19.8949</v>
      </c>
      <c r="HU80">
        <v>5.18434</v>
      </c>
      <c r="HV80">
        <v>12.0219</v>
      </c>
      <c r="HW80">
        <v>4.96865</v>
      </c>
      <c r="HX80">
        <v>3.296</v>
      </c>
      <c r="HY80">
        <v>9999</v>
      </c>
      <c r="HZ80">
        <v>999.9</v>
      </c>
      <c r="IA80">
        <v>9999</v>
      </c>
      <c r="IB80">
        <v>9999</v>
      </c>
      <c r="IC80">
        <v>1.86325</v>
      </c>
      <c r="ID80">
        <v>1.868</v>
      </c>
      <c r="IE80">
        <v>1.86783</v>
      </c>
      <c r="IF80">
        <v>1.86905</v>
      </c>
      <c r="IG80">
        <v>1.86981</v>
      </c>
      <c r="IH80">
        <v>1.86584</v>
      </c>
      <c r="II80">
        <v>1.86691</v>
      </c>
      <c r="IJ80">
        <v>1.8683</v>
      </c>
      <c r="IK80">
        <v>5</v>
      </c>
      <c r="IL80">
        <v>0</v>
      </c>
      <c r="IM80">
        <v>0</v>
      </c>
      <c r="IN80">
        <v>0</v>
      </c>
      <c r="IO80" t="s">
        <v>443</v>
      </c>
      <c r="IP80" t="s">
        <v>444</v>
      </c>
      <c r="IQ80" t="s">
        <v>445</v>
      </c>
      <c r="IR80" t="s">
        <v>445</v>
      </c>
      <c r="IS80" t="s">
        <v>445</v>
      </c>
      <c r="IT80" t="s">
        <v>445</v>
      </c>
      <c r="IU80">
        <v>0</v>
      </c>
      <c r="IV80">
        <v>100</v>
      </c>
      <c r="IW80">
        <v>100</v>
      </c>
      <c r="IX80">
        <v>2.417</v>
      </c>
      <c r="IY80">
        <v>0.4352</v>
      </c>
      <c r="IZ80">
        <v>0.833350075594679</v>
      </c>
      <c r="JA80">
        <v>0.00412825224050377</v>
      </c>
      <c r="JB80">
        <v>-7.34426573386615e-07</v>
      </c>
      <c r="JC80">
        <v>2.46800082545482e-10</v>
      </c>
      <c r="JD80">
        <v>0.435209846415365</v>
      </c>
      <c r="JE80">
        <v>0</v>
      </c>
      <c r="JF80">
        <v>0</v>
      </c>
      <c r="JG80">
        <v>0</v>
      </c>
      <c r="JH80">
        <v>5</v>
      </c>
      <c r="JI80">
        <v>2250</v>
      </c>
      <c r="JJ80">
        <v>0</v>
      </c>
      <c r="JK80">
        <v>24</v>
      </c>
      <c r="JL80">
        <v>29348549.7</v>
      </c>
      <c r="JM80">
        <v>29348549.7</v>
      </c>
      <c r="JN80">
        <v>1.02051</v>
      </c>
      <c r="JO80">
        <v>2.63916</v>
      </c>
      <c r="JP80">
        <v>1.54785</v>
      </c>
      <c r="JQ80">
        <v>2.31567</v>
      </c>
      <c r="JR80">
        <v>1.64673</v>
      </c>
      <c r="JS80">
        <v>2.33276</v>
      </c>
      <c r="JT80">
        <v>34.2587</v>
      </c>
      <c r="JU80">
        <v>24.0875</v>
      </c>
      <c r="JV80">
        <v>18</v>
      </c>
      <c r="JW80">
        <v>473.845</v>
      </c>
      <c r="JX80">
        <v>375.466</v>
      </c>
      <c r="JY80">
        <v>36.6317</v>
      </c>
      <c r="JZ80">
        <v>58.6465</v>
      </c>
      <c r="KA80">
        <v>30.0051</v>
      </c>
      <c r="KB80">
        <v>57.4119</v>
      </c>
      <c r="KC80">
        <v>57.1569</v>
      </c>
      <c r="KD80">
        <v>20.4491</v>
      </c>
      <c r="KE80">
        <v>0</v>
      </c>
      <c r="KF80">
        <v>100</v>
      </c>
      <c r="KG80">
        <v>25.0982</v>
      </c>
      <c r="KH80">
        <v>420</v>
      </c>
      <c r="KI80">
        <v>35.6443</v>
      </c>
      <c r="KJ80">
        <v>91.7982</v>
      </c>
      <c r="KK80">
        <v>88.1694</v>
      </c>
    </row>
    <row r="81" spans="1:297">
      <c r="A81">
        <v>65</v>
      </c>
      <c r="B81">
        <v>1760913127</v>
      </c>
      <c r="C81">
        <v>19362.9000000954</v>
      </c>
      <c r="D81" t="s">
        <v>718</v>
      </c>
      <c r="E81" t="s">
        <v>719</v>
      </c>
      <c r="F81">
        <v>5</v>
      </c>
      <c r="G81" t="s">
        <v>495</v>
      </c>
      <c r="H81" t="s">
        <v>436</v>
      </c>
      <c r="I81">
        <v>1760913118.56875</v>
      </c>
      <c r="J81">
        <f>(K81)/1000</f>
        <v>0</v>
      </c>
      <c r="K81">
        <f>IF(DP81, AN81, AH81)</f>
        <v>0</v>
      </c>
      <c r="L81">
        <f>IF(DP81, AI81, AG81)</f>
        <v>0</v>
      </c>
      <c r="M81">
        <f>DR81 - IF(AU81&gt;1, L81*DL81*100.0/(AW81), 0)</f>
        <v>0</v>
      </c>
      <c r="N81">
        <f>((T81-J81/2)*M81-L81)/(T81+J81/2)</f>
        <v>0</v>
      </c>
      <c r="O81">
        <f>N81*(DY81+DZ81)/1000.0</f>
        <v>0</v>
      </c>
      <c r="P81">
        <f>(DR81 - IF(AU81&gt;1, L81*DL81*100.0/(AW81), 0))*(DY81+DZ81)/1000.0</f>
        <v>0</v>
      </c>
      <c r="Q81">
        <f>2.0/((1/S81-1/R81)+SIGN(S81)*SQRT((1/S81-1/R81)*(1/S81-1/R81) + 4*DM81/((DM81+1)*(DM81+1))*(2*1/S81*1/R81-1/R81*1/R81)))</f>
        <v>0</v>
      </c>
      <c r="R81">
        <f>IF(LEFT(DN81,1)&lt;&gt;"0",IF(LEFT(DN81,1)="1",3.0,DO81),$D$5+$E$5*(EF81*DY81/($K$5*1000))+$F$5*(EF81*DY81/($K$5*1000))*MAX(MIN(DL81,$J$5),$I$5)*MAX(MIN(DL81,$J$5),$I$5)+$G$5*MAX(MIN(DL81,$J$5),$I$5)*(EF81*DY81/($K$5*1000))+$H$5*(EF81*DY81/($K$5*1000))*(EF81*DY81/($K$5*1000)))</f>
        <v>0</v>
      </c>
      <c r="S81">
        <f>J81*(1000-(1000*0.61365*exp(17.502*W81/(240.97+W81))/(DY81+DZ81)+DT81)/2)/(1000*0.61365*exp(17.502*W81/(240.97+W81))/(DY81+DZ81)-DT81)</f>
        <v>0</v>
      </c>
      <c r="T81">
        <f>1/((DM81+1)/(Q81/1.6)+1/(R81/1.37)) + DM81/((DM81+1)/(Q81/1.6) + DM81/(R81/1.37))</f>
        <v>0</v>
      </c>
      <c r="U81">
        <f>(DH81*DK81)</f>
        <v>0</v>
      </c>
      <c r="V81">
        <f>(EA81+(U81+2*0.95*5.67E-8*(((EA81+$B$7)+273)^4-(EA81+273)^4)-44100*J81)/(1.84*29.3*R81+8*0.95*5.67E-8*(EA81+273)^3))</f>
        <v>0</v>
      </c>
      <c r="W81">
        <f>($C$7*EB81+$D$7*EC81+$E$7*V81)</f>
        <v>0</v>
      </c>
      <c r="X81">
        <f>0.61365*exp(17.502*W81/(240.97+W81))</f>
        <v>0</v>
      </c>
      <c r="Y81">
        <f>(Z81/AA81*100)</f>
        <v>0</v>
      </c>
      <c r="Z81">
        <f>DT81*(DY81+DZ81)/1000</f>
        <v>0</v>
      </c>
      <c r="AA81">
        <f>0.61365*exp(17.502*EA81/(240.97+EA81))</f>
        <v>0</v>
      </c>
      <c r="AB81">
        <f>(X81-DT81*(DY81+DZ81)/1000)</f>
        <v>0</v>
      </c>
      <c r="AC81">
        <f>(-J81*44100)</f>
        <v>0</v>
      </c>
      <c r="AD81">
        <f>2*29.3*R81*0.92*(EA81-W81)</f>
        <v>0</v>
      </c>
      <c r="AE81">
        <f>2*0.95*5.67E-8*(((EA81+$B$7)+273)^4-(W81+273)^4)</f>
        <v>0</v>
      </c>
      <c r="AF81">
        <f>U81+AE81+AC81+AD81</f>
        <v>0</v>
      </c>
      <c r="AG81">
        <f>DX81*AU81*(DS81-DR81*(1000-AU81*DU81)/(1000-AU81*DT81))/(100*DL81)</f>
        <v>0</v>
      </c>
      <c r="AH81">
        <f>1000*DX81*AU81*(DT81-DU81)/(100*DL81*(1000-AU81*DT81))</f>
        <v>0</v>
      </c>
      <c r="AI81">
        <f>(AJ81 - AK81 - DY81*1E3/(8.314*(EA81+273.15)) * AM81/DX81 * AL81) * DX81/(100*DL81) * (1000 - DU81)/1000</f>
        <v>0</v>
      </c>
      <c r="AJ81">
        <v>430.581911199208</v>
      </c>
      <c r="AK81">
        <v>426.781139104095</v>
      </c>
      <c r="AL81">
        <v>0.000164748885032383</v>
      </c>
      <c r="AM81">
        <v>65.4747832793359</v>
      </c>
      <c r="AN81">
        <f>(AP81 - AO81 + DY81*1E3/(8.314*(EA81+273.15)) * AR81/DX81 * AQ81) * DX81/(100*DL81) * 1000/(1000 - AP81)</f>
        <v>0</v>
      </c>
      <c r="AO81">
        <v>24.4810507601356</v>
      </c>
      <c r="AP81">
        <v>34.4571429949224</v>
      </c>
      <c r="AQ81">
        <v>5.07815755733253e-05</v>
      </c>
      <c r="AR81">
        <v>114.190937790014</v>
      </c>
      <c r="AS81">
        <v>23</v>
      </c>
      <c r="AT81">
        <v>5</v>
      </c>
      <c r="AU81">
        <f>IF(AS81*$H$13&gt;=AW81,1.0,(AW81/(AW81-AS81*$H$13)))</f>
        <v>0</v>
      </c>
      <c r="AV81">
        <f>(AU81-1)*100</f>
        <v>0</v>
      </c>
      <c r="AW81">
        <f>MAX(0,($B$13+$C$13*EF81)/(1+$D$13*EF81)*DY81/(EA81+273)*$E$13)</f>
        <v>0</v>
      </c>
      <c r="AX81" t="s">
        <v>437</v>
      </c>
      <c r="AY81">
        <v>5082.33</v>
      </c>
      <c r="AZ81">
        <v>690.032</v>
      </c>
      <c r="BA81">
        <v>1612.68</v>
      </c>
      <c r="BB81">
        <f>1-AZ81/BA81</f>
        <v>0</v>
      </c>
      <c r="BC81">
        <v>-9.7270689171713</v>
      </c>
      <c r="BD81" t="s">
        <v>720</v>
      </c>
      <c r="BE81">
        <v>5090.42</v>
      </c>
      <c r="BF81">
        <v>1159.55884615385</v>
      </c>
      <c r="BG81">
        <v>1374.72013146912</v>
      </c>
      <c r="BH81">
        <f>1-BF81/BG81</f>
        <v>0</v>
      </c>
      <c r="BI81">
        <v>0.5</v>
      </c>
      <c r="BJ81">
        <f>DI81</f>
        <v>0</v>
      </c>
      <c r="BK81">
        <f>L81</f>
        <v>0</v>
      </c>
      <c r="BL81">
        <f>BH81*BI81*BJ81</f>
        <v>0</v>
      </c>
      <c r="BM81">
        <f>(BK81-BC81)/BJ81</f>
        <v>0</v>
      </c>
      <c r="BN81">
        <f>(BA81-BG81)/BG81</f>
        <v>0</v>
      </c>
      <c r="BO81">
        <f>AZ81/(BB81+AZ81/BG81)</f>
        <v>0</v>
      </c>
      <c r="BP81" t="s">
        <v>721</v>
      </c>
      <c r="BQ81">
        <v>804.6</v>
      </c>
      <c r="BR81">
        <f>IF(BQ81&lt;&gt;0, BQ81, BO81)</f>
        <v>0</v>
      </c>
      <c r="BS81">
        <f>1-BR81/BG81</f>
        <v>0</v>
      </c>
      <c r="BT81">
        <f>(BG81-BF81)/(BG81-BR81)</f>
        <v>0</v>
      </c>
      <c r="BU81">
        <f>(BA81-BG81)/(BA81-BR81)</f>
        <v>0</v>
      </c>
      <c r="BV81">
        <f>(BG81-BF81)/(BG81-AZ81)</f>
        <v>0</v>
      </c>
      <c r="BW81">
        <f>(BA81-BG81)/(BA81-AZ81)</f>
        <v>0</v>
      </c>
      <c r="BX81">
        <f>(BT81*BR81/BF81)</f>
        <v>0</v>
      </c>
      <c r="BY81">
        <f>(1-BX81)</f>
        <v>0</v>
      </c>
      <c r="BZ81">
        <v>224</v>
      </c>
      <c r="CA81">
        <v>290</v>
      </c>
      <c r="CB81">
        <v>1306.32</v>
      </c>
      <c r="CC81">
        <v>175</v>
      </c>
      <c r="CD81">
        <v>5090.42</v>
      </c>
      <c r="CE81">
        <v>1306.25</v>
      </c>
      <c r="CF81">
        <v>0.07</v>
      </c>
      <c r="CG81">
        <v>300</v>
      </c>
      <c r="CH81">
        <v>23.9</v>
      </c>
      <c r="CI81">
        <v>1374.72013146912</v>
      </c>
      <c r="CJ81">
        <v>1.86693326257084</v>
      </c>
      <c r="CK81">
        <v>-34.8544829965743</v>
      </c>
      <c r="CL81">
        <v>0.854519620842416</v>
      </c>
      <c r="CM81">
        <v>0.983448534362631</v>
      </c>
      <c r="CN81">
        <v>-0.00321185428253615</v>
      </c>
      <c r="CO81">
        <v>290</v>
      </c>
      <c r="CP81">
        <v>1303.67</v>
      </c>
      <c r="CQ81">
        <v>635</v>
      </c>
      <c r="CR81">
        <v>5084.76</v>
      </c>
      <c r="CS81">
        <v>1306.17</v>
      </c>
      <c r="CT81">
        <v>-2.5</v>
      </c>
      <c r="DH81">
        <f>$B$11*EG81+$C$11*EH81+$F$11*ES81*(1-EV81)</f>
        <v>0</v>
      </c>
      <c r="DI81">
        <f>DH81*DJ81</f>
        <v>0</v>
      </c>
      <c r="DJ81">
        <f>($B$11*$D$9+$C$11*$D$9+$F$11*((FF81+EX81)/MAX(FF81+EX81+FG81, 0.1)*$I$9+FG81/MAX(FF81+EX81+FG81, 0.1)*$J$9))/($B$11+$C$11+$F$11)</f>
        <v>0</v>
      </c>
      <c r="DK81">
        <f>($B$11*$K$9+$C$11*$K$9+$F$11*((FF81+EX81)/MAX(FF81+EX81+FG81, 0.1)*$P$9+FG81/MAX(FF81+EX81+FG81, 0.1)*$Q$9))/($B$11+$C$11+$F$11)</f>
        <v>0</v>
      </c>
      <c r="DL81">
        <v>3.21</v>
      </c>
      <c r="DM81">
        <v>0.5</v>
      </c>
      <c r="DN81" t="s">
        <v>440</v>
      </c>
      <c r="DO81">
        <v>2</v>
      </c>
      <c r="DP81" t="b">
        <v>1</v>
      </c>
      <c r="DQ81">
        <v>1760913118.56875</v>
      </c>
      <c r="DR81">
        <v>412.065375</v>
      </c>
      <c r="DS81">
        <v>420.00825</v>
      </c>
      <c r="DT81">
        <v>34.44418125</v>
      </c>
      <c r="DU81">
        <v>24.48966875</v>
      </c>
      <c r="DV81">
        <v>409.6471875</v>
      </c>
      <c r="DW81">
        <v>34.0089625</v>
      </c>
      <c r="DX81">
        <v>500.02375</v>
      </c>
      <c r="DY81">
        <v>90.6658</v>
      </c>
      <c r="DZ81">
        <v>0.05474941875</v>
      </c>
      <c r="EA81">
        <v>45.28483125</v>
      </c>
      <c r="EB81">
        <v>43.9049375</v>
      </c>
      <c r="EC81">
        <v>999.9</v>
      </c>
      <c r="ED81">
        <v>0</v>
      </c>
      <c r="EE81">
        <v>0</v>
      </c>
      <c r="EF81">
        <v>10004.87375</v>
      </c>
      <c r="EG81">
        <v>0</v>
      </c>
      <c r="EH81">
        <v>1170.0325</v>
      </c>
      <c r="EI81">
        <v>-7.942743125</v>
      </c>
      <c r="EJ81">
        <v>426.7649375</v>
      </c>
      <c r="EK81">
        <v>430.5521875</v>
      </c>
      <c r="EL81">
        <v>9.954515</v>
      </c>
      <c r="EM81">
        <v>420.00825</v>
      </c>
      <c r="EN81">
        <v>24.48966875</v>
      </c>
      <c r="EO81">
        <v>3.12291</v>
      </c>
      <c r="EP81">
        <v>2.220374375</v>
      </c>
      <c r="EQ81">
        <v>24.6981625</v>
      </c>
      <c r="ER81">
        <v>19.1100875</v>
      </c>
      <c r="ES81">
        <v>1199.995625</v>
      </c>
      <c r="ET81">
        <v>0.9669945</v>
      </c>
      <c r="EU81">
        <v>0.03300535</v>
      </c>
      <c r="EV81">
        <v>0</v>
      </c>
      <c r="EW81">
        <v>1159.785625</v>
      </c>
      <c r="EX81">
        <v>5.00059</v>
      </c>
      <c r="EY81">
        <v>15435.85625</v>
      </c>
      <c r="EZ81">
        <v>10358.6625</v>
      </c>
      <c r="FA81">
        <v>65.8316875</v>
      </c>
      <c r="FB81">
        <v>67.909875</v>
      </c>
      <c r="FC81">
        <v>66.1053125</v>
      </c>
      <c r="FD81">
        <v>67.531</v>
      </c>
      <c r="FE81">
        <v>66.445</v>
      </c>
      <c r="FF81">
        <v>1155.549375</v>
      </c>
      <c r="FG81">
        <v>39.439375</v>
      </c>
      <c r="FH81">
        <v>0</v>
      </c>
      <c r="FI81">
        <v>142.600000143051</v>
      </c>
      <c r="FJ81">
        <v>0</v>
      </c>
      <c r="FK81">
        <v>1159.55884615385</v>
      </c>
      <c r="FL81">
        <v>-12.1282051336766</v>
      </c>
      <c r="FM81">
        <v>-112.437606802317</v>
      </c>
      <c r="FN81">
        <v>15433.3538461538</v>
      </c>
      <c r="FO81">
        <v>15</v>
      </c>
      <c r="FP81">
        <v>0</v>
      </c>
      <c r="FQ81" t="s">
        <v>441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-7.94709380952381</v>
      </c>
      <c r="GD81">
        <v>0.0262579853259233</v>
      </c>
      <c r="GE81">
        <v>0.0301694609823198</v>
      </c>
      <c r="GF81">
        <v>1</v>
      </c>
      <c r="GG81">
        <v>1160.29823529412</v>
      </c>
      <c r="GH81">
        <v>-12.4690603599197</v>
      </c>
      <c r="GI81">
        <v>1.24020982709578</v>
      </c>
      <c r="GJ81">
        <v>-1</v>
      </c>
      <c r="GK81">
        <v>9.94676095238095</v>
      </c>
      <c r="GL81">
        <v>0.192730165011502</v>
      </c>
      <c r="GM81">
        <v>0.0194338136601824</v>
      </c>
      <c r="GN81">
        <v>0</v>
      </c>
      <c r="GO81">
        <v>1</v>
      </c>
      <c r="GP81">
        <v>2</v>
      </c>
      <c r="GQ81" t="s">
        <v>454</v>
      </c>
      <c r="GR81">
        <v>3.12507</v>
      </c>
      <c r="GS81">
        <v>2.73271</v>
      </c>
      <c r="GT81">
        <v>0.0820086</v>
      </c>
      <c r="GU81">
        <v>0.0837518</v>
      </c>
      <c r="GV81">
        <v>0.1249</v>
      </c>
      <c r="GW81">
        <v>0.098482</v>
      </c>
      <c r="GX81">
        <v>32404</v>
      </c>
      <c r="GY81">
        <v>34067.8</v>
      </c>
      <c r="GZ81">
        <v>32096.7</v>
      </c>
      <c r="HA81">
        <v>33825.3</v>
      </c>
      <c r="HB81">
        <v>40261.6</v>
      </c>
      <c r="HC81">
        <v>44046.3</v>
      </c>
      <c r="HD81">
        <v>50558.2</v>
      </c>
      <c r="HE81">
        <v>54339.3</v>
      </c>
      <c r="HF81">
        <v>1.61273</v>
      </c>
      <c r="HG81">
        <v>1.47728</v>
      </c>
      <c r="HH81">
        <v>-0.115354</v>
      </c>
      <c r="HI81">
        <v>0</v>
      </c>
      <c r="HJ81">
        <v>45.7824</v>
      </c>
      <c r="HK81">
        <v>999.9</v>
      </c>
      <c r="HL81">
        <v>54.902</v>
      </c>
      <c r="HM81">
        <v>30.001</v>
      </c>
      <c r="HN81">
        <v>25.8005</v>
      </c>
      <c r="HO81">
        <v>60.6805</v>
      </c>
      <c r="HP81">
        <v>40.4928</v>
      </c>
      <c r="HQ81">
        <v>1</v>
      </c>
      <c r="HR81">
        <v>3.1348</v>
      </c>
      <c r="HS81">
        <v>9.28105</v>
      </c>
      <c r="HT81">
        <v>19.8926</v>
      </c>
      <c r="HU81">
        <v>5.18584</v>
      </c>
      <c r="HV81">
        <v>12.0219</v>
      </c>
      <c r="HW81">
        <v>4.96725</v>
      </c>
      <c r="HX81">
        <v>3.296</v>
      </c>
      <c r="HY81">
        <v>9999</v>
      </c>
      <c r="HZ81">
        <v>999.9</v>
      </c>
      <c r="IA81">
        <v>9999</v>
      </c>
      <c r="IB81">
        <v>9999</v>
      </c>
      <c r="IC81">
        <v>1.86325</v>
      </c>
      <c r="ID81">
        <v>1.86798</v>
      </c>
      <c r="IE81">
        <v>1.86783</v>
      </c>
      <c r="IF81">
        <v>1.86904</v>
      </c>
      <c r="IG81">
        <v>1.86981</v>
      </c>
      <c r="IH81">
        <v>1.86584</v>
      </c>
      <c r="II81">
        <v>1.86691</v>
      </c>
      <c r="IJ81">
        <v>1.86833</v>
      </c>
      <c r="IK81">
        <v>5</v>
      </c>
      <c r="IL81">
        <v>0</v>
      </c>
      <c r="IM81">
        <v>0</v>
      </c>
      <c r="IN81">
        <v>0</v>
      </c>
      <c r="IO81" t="s">
        <v>443</v>
      </c>
      <c r="IP81" t="s">
        <v>444</v>
      </c>
      <c r="IQ81" t="s">
        <v>445</v>
      </c>
      <c r="IR81" t="s">
        <v>445</v>
      </c>
      <c r="IS81" t="s">
        <v>445</v>
      </c>
      <c r="IT81" t="s">
        <v>445</v>
      </c>
      <c r="IU81">
        <v>0</v>
      </c>
      <c r="IV81">
        <v>100</v>
      </c>
      <c r="IW81">
        <v>100</v>
      </c>
      <c r="IX81">
        <v>2.419</v>
      </c>
      <c r="IY81">
        <v>0.4352</v>
      </c>
      <c r="IZ81">
        <v>0.833350075594679</v>
      </c>
      <c r="JA81">
        <v>0.00412825224050377</v>
      </c>
      <c r="JB81">
        <v>-7.34426573386615e-07</v>
      </c>
      <c r="JC81">
        <v>2.46800082545482e-10</v>
      </c>
      <c r="JD81">
        <v>0.435209846415365</v>
      </c>
      <c r="JE81">
        <v>0</v>
      </c>
      <c r="JF81">
        <v>0</v>
      </c>
      <c r="JG81">
        <v>0</v>
      </c>
      <c r="JH81">
        <v>5</v>
      </c>
      <c r="JI81">
        <v>2250</v>
      </c>
      <c r="JJ81">
        <v>0</v>
      </c>
      <c r="JK81">
        <v>24</v>
      </c>
      <c r="JL81">
        <v>29348552.1</v>
      </c>
      <c r="JM81">
        <v>29348552.1</v>
      </c>
      <c r="JN81">
        <v>1.02051</v>
      </c>
      <c r="JO81">
        <v>2.63306</v>
      </c>
      <c r="JP81">
        <v>1.54785</v>
      </c>
      <c r="JQ81">
        <v>2.31689</v>
      </c>
      <c r="JR81">
        <v>1.64551</v>
      </c>
      <c r="JS81">
        <v>2.31445</v>
      </c>
      <c r="JT81">
        <v>34.236</v>
      </c>
      <c r="JU81">
        <v>24.0875</v>
      </c>
      <c r="JV81">
        <v>18</v>
      </c>
      <c r="JW81">
        <v>471.02</v>
      </c>
      <c r="JX81">
        <v>372.843</v>
      </c>
      <c r="JY81">
        <v>37.323</v>
      </c>
      <c r="JZ81">
        <v>59.9285</v>
      </c>
      <c r="KA81">
        <v>30.0048</v>
      </c>
      <c r="KB81">
        <v>58.6207</v>
      </c>
      <c r="KC81">
        <v>58.3465</v>
      </c>
      <c r="KD81">
        <v>20.4465</v>
      </c>
      <c r="KE81">
        <v>0</v>
      </c>
      <c r="KF81">
        <v>100</v>
      </c>
      <c r="KG81">
        <v>25.205</v>
      </c>
      <c r="KH81">
        <v>420</v>
      </c>
      <c r="KI81">
        <v>35.6443</v>
      </c>
      <c r="KJ81">
        <v>91.558</v>
      </c>
      <c r="KK81">
        <v>87.8676</v>
      </c>
    </row>
    <row r="82" spans="1:297">
      <c r="A82">
        <v>66</v>
      </c>
      <c r="B82">
        <v>1760913249</v>
      </c>
      <c r="C82">
        <v>19484.9000000954</v>
      </c>
      <c r="D82" t="s">
        <v>722</v>
      </c>
      <c r="E82" t="s">
        <v>723</v>
      </c>
      <c r="F82">
        <v>5</v>
      </c>
      <c r="G82" t="s">
        <v>495</v>
      </c>
      <c r="H82" t="s">
        <v>436</v>
      </c>
      <c r="I82">
        <v>1760913241</v>
      </c>
      <c r="J82">
        <f>(K82)/1000</f>
        <v>0</v>
      </c>
      <c r="K82">
        <f>IF(DP82, AN82, AH82)</f>
        <v>0</v>
      </c>
      <c r="L82">
        <f>IF(DP82, AI82, AG82)</f>
        <v>0</v>
      </c>
      <c r="M82">
        <f>DR82 - IF(AU82&gt;1, L82*DL82*100.0/(AW82), 0)</f>
        <v>0</v>
      </c>
      <c r="N82">
        <f>((T82-J82/2)*M82-L82)/(T82+J82/2)</f>
        <v>0</v>
      </c>
      <c r="O82">
        <f>N82*(DY82+DZ82)/1000.0</f>
        <v>0</v>
      </c>
      <c r="P82">
        <f>(DR82 - IF(AU82&gt;1, L82*DL82*100.0/(AW82), 0))*(DY82+DZ82)/1000.0</f>
        <v>0</v>
      </c>
      <c r="Q82">
        <f>2.0/((1/S82-1/R82)+SIGN(S82)*SQRT((1/S82-1/R82)*(1/S82-1/R82) + 4*DM82/((DM82+1)*(DM82+1))*(2*1/S82*1/R82-1/R82*1/R82)))</f>
        <v>0</v>
      </c>
      <c r="R82">
        <f>IF(LEFT(DN82,1)&lt;&gt;"0",IF(LEFT(DN82,1)="1",3.0,DO82),$D$5+$E$5*(EF82*DY82/($K$5*1000))+$F$5*(EF82*DY82/($K$5*1000))*MAX(MIN(DL82,$J$5),$I$5)*MAX(MIN(DL82,$J$5),$I$5)+$G$5*MAX(MIN(DL82,$J$5),$I$5)*(EF82*DY82/($K$5*1000))+$H$5*(EF82*DY82/($K$5*1000))*(EF82*DY82/($K$5*1000)))</f>
        <v>0</v>
      </c>
      <c r="S82">
        <f>J82*(1000-(1000*0.61365*exp(17.502*W82/(240.97+W82))/(DY82+DZ82)+DT82)/2)/(1000*0.61365*exp(17.502*W82/(240.97+W82))/(DY82+DZ82)-DT82)</f>
        <v>0</v>
      </c>
      <c r="T82">
        <f>1/((DM82+1)/(Q82/1.6)+1/(R82/1.37)) + DM82/((DM82+1)/(Q82/1.6) + DM82/(R82/1.37))</f>
        <v>0</v>
      </c>
      <c r="U82">
        <f>(DH82*DK82)</f>
        <v>0</v>
      </c>
      <c r="V82">
        <f>(EA82+(U82+2*0.95*5.67E-8*(((EA82+$B$7)+273)^4-(EA82+273)^4)-44100*J82)/(1.84*29.3*R82+8*0.95*5.67E-8*(EA82+273)^3))</f>
        <v>0</v>
      </c>
      <c r="W82">
        <f>($C$7*EB82+$D$7*EC82+$E$7*V82)</f>
        <v>0</v>
      </c>
      <c r="X82">
        <f>0.61365*exp(17.502*W82/(240.97+W82))</f>
        <v>0</v>
      </c>
      <c r="Y82">
        <f>(Z82/AA82*100)</f>
        <v>0</v>
      </c>
      <c r="Z82">
        <f>DT82*(DY82+DZ82)/1000</f>
        <v>0</v>
      </c>
      <c r="AA82">
        <f>0.61365*exp(17.502*EA82/(240.97+EA82))</f>
        <v>0</v>
      </c>
      <c r="AB82">
        <f>(X82-DT82*(DY82+DZ82)/1000)</f>
        <v>0</v>
      </c>
      <c r="AC82">
        <f>(-J82*44100)</f>
        <v>0</v>
      </c>
      <c r="AD82">
        <f>2*29.3*R82*0.92*(EA82-W82)</f>
        <v>0</v>
      </c>
      <c r="AE82">
        <f>2*0.95*5.67E-8*(((EA82+$B$7)+273)^4-(W82+273)^4)</f>
        <v>0</v>
      </c>
      <c r="AF82">
        <f>U82+AE82+AC82+AD82</f>
        <v>0</v>
      </c>
      <c r="AG82">
        <f>DX82*AU82*(DS82-DR82*(1000-AU82*DU82)/(1000-AU82*DT82))/(100*DL82)</f>
        <v>0</v>
      </c>
      <c r="AH82">
        <f>1000*DX82*AU82*(DT82-DU82)/(100*DL82*(1000-AU82*DT82))</f>
        <v>0</v>
      </c>
      <c r="AI82">
        <f>(AJ82 - AK82 - DY82*1E3/(8.314*(EA82+273.15)) * AM82/DX82 * AL82) * DX82/(100*DL82) * (1000 - DU82)/1000</f>
        <v>0</v>
      </c>
      <c r="AJ82">
        <v>430.479318017912</v>
      </c>
      <c r="AK82">
        <v>427.190903030303</v>
      </c>
      <c r="AL82">
        <v>0.00011758058046884</v>
      </c>
      <c r="AM82">
        <v>65.4747832793359</v>
      </c>
      <c r="AN82">
        <f>(AP82 - AO82 + DY82*1E3/(8.314*(EA82+273.15)) * AR82/DX82 * AQ82) * DX82/(100*DL82) * 1000/(1000 - AP82)</f>
        <v>0</v>
      </c>
      <c r="AO82">
        <v>24.3610941604473</v>
      </c>
      <c r="AP82">
        <v>34.789626060606</v>
      </c>
      <c r="AQ82">
        <v>0.0017841538810622</v>
      </c>
      <c r="AR82">
        <v>114.190937790014</v>
      </c>
      <c r="AS82">
        <v>25</v>
      </c>
      <c r="AT82">
        <v>5</v>
      </c>
      <c r="AU82">
        <f>IF(AS82*$H$13&gt;=AW82,1.0,(AW82/(AW82-AS82*$H$13)))</f>
        <v>0</v>
      </c>
      <c r="AV82">
        <f>(AU82-1)*100</f>
        <v>0</v>
      </c>
      <c r="AW82">
        <f>MAX(0,($B$13+$C$13*EF82)/(1+$D$13*EF82)*DY82/(EA82+273)*$E$13)</f>
        <v>0</v>
      </c>
      <c r="AX82" t="s">
        <v>437</v>
      </c>
      <c r="AY82">
        <v>5082.33</v>
      </c>
      <c r="AZ82">
        <v>690.032</v>
      </c>
      <c r="BA82">
        <v>1612.68</v>
      </c>
      <c r="BB82">
        <f>1-AZ82/BA82</f>
        <v>0</v>
      </c>
      <c r="BC82">
        <v>-9.7270689171713</v>
      </c>
      <c r="BD82" t="s">
        <v>724</v>
      </c>
      <c r="BE82">
        <v>5087.69</v>
      </c>
      <c r="BF82">
        <v>1132.14884615385</v>
      </c>
      <c r="BG82">
        <v>1324.2392087148</v>
      </c>
      <c r="BH82">
        <f>1-BF82/BG82</f>
        <v>0</v>
      </c>
      <c r="BI82">
        <v>0.5</v>
      </c>
      <c r="BJ82">
        <f>DI82</f>
        <v>0</v>
      </c>
      <c r="BK82">
        <f>L82</f>
        <v>0</v>
      </c>
      <c r="BL82">
        <f>BH82*BI82*BJ82</f>
        <v>0</v>
      </c>
      <c r="BM82">
        <f>(BK82-BC82)/BJ82</f>
        <v>0</v>
      </c>
      <c r="BN82">
        <f>(BA82-BG82)/BG82</f>
        <v>0</v>
      </c>
      <c r="BO82">
        <f>AZ82/(BB82+AZ82/BG82)</f>
        <v>0</v>
      </c>
      <c r="BP82" t="s">
        <v>725</v>
      </c>
      <c r="BQ82">
        <v>805</v>
      </c>
      <c r="BR82">
        <f>IF(BQ82&lt;&gt;0, BQ82, BO82)</f>
        <v>0</v>
      </c>
      <c r="BS82">
        <f>1-BR82/BG82</f>
        <v>0</v>
      </c>
      <c r="BT82">
        <f>(BG82-BF82)/(BG82-BR82)</f>
        <v>0</v>
      </c>
      <c r="BU82">
        <f>(BA82-BG82)/(BA82-BR82)</f>
        <v>0</v>
      </c>
      <c r="BV82">
        <f>(BG82-BF82)/(BG82-AZ82)</f>
        <v>0</v>
      </c>
      <c r="BW82">
        <f>(BA82-BG82)/(BA82-AZ82)</f>
        <v>0</v>
      </c>
      <c r="BX82">
        <f>(BT82*BR82/BF82)</f>
        <v>0</v>
      </c>
      <c r="BY82">
        <f>(1-BX82)</f>
        <v>0</v>
      </c>
      <c r="BZ82">
        <v>226</v>
      </c>
      <c r="CA82">
        <v>290</v>
      </c>
      <c r="CB82">
        <v>1266.49</v>
      </c>
      <c r="CC82">
        <v>205</v>
      </c>
      <c r="CD82">
        <v>5087.69</v>
      </c>
      <c r="CE82">
        <v>1265.33</v>
      </c>
      <c r="CF82">
        <v>1.16</v>
      </c>
      <c r="CG82">
        <v>300</v>
      </c>
      <c r="CH82">
        <v>23.9</v>
      </c>
      <c r="CI82">
        <v>1324.2392087148</v>
      </c>
      <c r="CJ82">
        <v>1.73449568735527</v>
      </c>
      <c r="CK82">
        <v>-29.9711439670087</v>
      </c>
      <c r="CL82">
        <v>0.793615177182953</v>
      </c>
      <c r="CM82">
        <v>0.980745700019772</v>
      </c>
      <c r="CN82">
        <v>-0.00321090812013349</v>
      </c>
      <c r="CO82">
        <v>290</v>
      </c>
      <c r="CP82">
        <v>1263.54</v>
      </c>
      <c r="CQ82">
        <v>675</v>
      </c>
      <c r="CR82">
        <v>5082.32</v>
      </c>
      <c r="CS82">
        <v>1265.27</v>
      </c>
      <c r="CT82">
        <v>-1.73</v>
      </c>
      <c r="DH82">
        <f>$B$11*EG82+$C$11*EH82+$F$11*ES82*(1-EV82)</f>
        <v>0</v>
      </c>
      <c r="DI82">
        <f>DH82*DJ82</f>
        <v>0</v>
      </c>
      <c r="DJ82">
        <f>($B$11*$D$9+$C$11*$D$9+$F$11*((FF82+EX82)/MAX(FF82+EX82+FG82, 0.1)*$I$9+FG82/MAX(FF82+EX82+FG82, 0.1)*$J$9))/($B$11+$C$11+$F$11)</f>
        <v>0</v>
      </c>
      <c r="DK82">
        <f>($B$11*$K$9+$C$11*$K$9+$F$11*((FF82+EX82)/MAX(FF82+EX82+FG82, 0.1)*$P$9+FG82/MAX(FF82+EX82+FG82, 0.1)*$Q$9))/($B$11+$C$11+$F$11)</f>
        <v>0</v>
      </c>
      <c r="DL82">
        <v>3.21</v>
      </c>
      <c r="DM82">
        <v>0.5</v>
      </c>
      <c r="DN82" t="s">
        <v>440</v>
      </c>
      <c r="DO82">
        <v>2</v>
      </c>
      <c r="DP82" t="b">
        <v>1</v>
      </c>
      <c r="DQ82">
        <v>1760913241</v>
      </c>
      <c r="DR82">
        <v>412.3054</v>
      </c>
      <c r="DS82">
        <v>419.999266666667</v>
      </c>
      <c r="DT82">
        <v>34.7614066666667</v>
      </c>
      <c r="DU82">
        <v>24.3668866666667</v>
      </c>
      <c r="DV82">
        <v>409.886333333333</v>
      </c>
      <c r="DW82">
        <v>34.3261866666667</v>
      </c>
      <c r="DX82">
        <v>500.035333333333</v>
      </c>
      <c r="DY82">
        <v>90.66094</v>
      </c>
      <c r="DZ82">
        <v>0.0537658733333333</v>
      </c>
      <c r="EA82">
        <v>45.8437866666667</v>
      </c>
      <c r="EB82">
        <v>44.4128733333333</v>
      </c>
      <c r="EC82">
        <v>999.9</v>
      </c>
      <c r="ED82">
        <v>0</v>
      </c>
      <c r="EE82">
        <v>0</v>
      </c>
      <c r="EF82">
        <v>9999.45533333334</v>
      </c>
      <c r="EG82">
        <v>0</v>
      </c>
      <c r="EH82">
        <v>1168.12733333333</v>
      </c>
      <c r="EI82">
        <v>-7.69383066666667</v>
      </c>
      <c r="EJ82">
        <v>427.1538</v>
      </c>
      <c r="EK82">
        <v>430.488933333333</v>
      </c>
      <c r="EL82">
        <v>10.39452</v>
      </c>
      <c r="EM82">
        <v>419.999266666667</v>
      </c>
      <c r="EN82">
        <v>24.3668866666667</v>
      </c>
      <c r="EO82">
        <v>3.151502</v>
      </c>
      <c r="EP82">
        <v>2.20912533333333</v>
      </c>
      <c r="EQ82">
        <v>24.8507866666667</v>
      </c>
      <c r="ER82">
        <v>19.0286266666667</v>
      </c>
      <c r="ES82">
        <v>1200.02866666667</v>
      </c>
      <c r="ET82">
        <v>0.967003133333333</v>
      </c>
      <c r="EU82">
        <v>0.03299706</v>
      </c>
      <c r="EV82">
        <v>0</v>
      </c>
      <c r="EW82">
        <v>1132.30933333333</v>
      </c>
      <c r="EX82">
        <v>5.00059</v>
      </c>
      <c r="EY82">
        <v>15166.2066666667</v>
      </c>
      <c r="EZ82">
        <v>10358.9733333333</v>
      </c>
      <c r="FA82">
        <v>66.5413333333333</v>
      </c>
      <c r="FB82">
        <v>68.6332</v>
      </c>
      <c r="FC82">
        <v>66.8079333333333</v>
      </c>
      <c r="FD82">
        <v>68.2498666666667</v>
      </c>
      <c r="FE82">
        <v>67.1539333333333</v>
      </c>
      <c r="FF82">
        <v>1155.59866666667</v>
      </c>
      <c r="FG82">
        <v>39.43</v>
      </c>
      <c r="FH82">
        <v>0</v>
      </c>
      <c r="FI82">
        <v>118.399999856949</v>
      </c>
      <c r="FJ82">
        <v>0</v>
      </c>
      <c r="FK82">
        <v>1132.14884615385</v>
      </c>
      <c r="FL82">
        <v>-11.3309401846567</v>
      </c>
      <c r="FM82">
        <v>-122.882051390682</v>
      </c>
      <c r="FN82">
        <v>15164.4423076923</v>
      </c>
      <c r="FO82">
        <v>15</v>
      </c>
      <c r="FP82">
        <v>0</v>
      </c>
      <c r="FQ82" t="s">
        <v>441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-7.68377333333333</v>
      </c>
      <c r="GD82">
        <v>-0.0138514285714393</v>
      </c>
      <c r="GE82">
        <v>0.0352263740930859</v>
      </c>
      <c r="GF82">
        <v>1</v>
      </c>
      <c r="GG82">
        <v>1133.09470588235</v>
      </c>
      <c r="GH82">
        <v>-12.4421695852761</v>
      </c>
      <c r="GI82">
        <v>1.23396833617046</v>
      </c>
      <c r="GJ82">
        <v>-1</v>
      </c>
      <c r="GK82">
        <v>10.3761380952381</v>
      </c>
      <c r="GL82">
        <v>0.284594805194814</v>
      </c>
      <c r="GM82">
        <v>0.0288286312079549</v>
      </c>
      <c r="GN82">
        <v>0</v>
      </c>
      <c r="GO82">
        <v>1</v>
      </c>
      <c r="GP82">
        <v>2</v>
      </c>
      <c r="GQ82" t="s">
        <v>454</v>
      </c>
      <c r="GR82">
        <v>3.12469</v>
      </c>
      <c r="GS82">
        <v>2.73176</v>
      </c>
      <c r="GT82">
        <v>0.0818513</v>
      </c>
      <c r="GU82">
        <v>0.0835439</v>
      </c>
      <c r="GV82">
        <v>0.125479</v>
      </c>
      <c r="GW82">
        <v>0.0979187</v>
      </c>
      <c r="GX82">
        <v>32326.4</v>
      </c>
      <c r="GY82">
        <v>33969.6</v>
      </c>
      <c r="GZ82">
        <v>32019.7</v>
      </c>
      <c r="HA82">
        <v>33725.6</v>
      </c>
      <c r="HB82">
        <v>40162.7</v>
      </c>
      <c r="HC82">
        <v>43952.4</v>
      </c>
      <c r="HD82">
        <v>50455.7</v>
      </c>
      <c r="HE82">
        <v>54190.1</v>
      </c>
      <c r="HF82">
        <v>1.6029</v>
      </c>
      <c r="HG82">
        <v>1.4672</v>
      </c>
      <c r="HH82">
        <v>-0.117291</v>
      </c>
      <c r="HI82">
        <v>0</v>
      </c>
      <c r="HJ82">
        <v>46.3046</v>
      </c>
      <c r="HK82">
        <v>999.9</v>
      </c>
      <c r="HL82">
        <v>54.78</v>
      </c>
      <c r="HM82">
        <v>29.97</v>
      </c>
      <c r="HN82">
        <v>25.6968</v>
      </c>
      <c r="HO82">
        <v>60.8406</v>
      </c>
      <c r="HP82">
        <v>40.3486</v>
      </c>
      <c r="HQ82">
        <v>1</v>
      </c>
      <c r="HR82">
        <v>3.25444</v>
      </c>
      <c r="HS82">
        <v>9.28105</v>
      </c>
      <c r="HT82">
        <v>19.8904</v>
      </c>
      <c r="HU82">
        <v>5.18659</v>
      </c>
      <c r="HV82">
        <v>12.0219</v>
      </c>
      <c r="HW82">
        <v>4.96715</v>
      </c>
      <c r="HX82">
        <v>3.296</v>
      </c>
      <c r="HY82">
        <v>9999</v>
      </c>
      <c r="HZ82">
        <v>999.9</v>
      </c>
      <c r="IA82">
        <v>9999</v>
      </c>
      <c r="IB82">
        <v>9999</v>
      </c>
      <c r="IC82">
        <v>1.86324</v>
      </c>
      <c r="ID82">
        <v>1.86803</v>
      </c>
      <c r="IE82">
        <v>1.86783</v>
      </c>
      <c r="IF82">
        <v>1.86904</v>
      </c>
      <c r="IG82">
        <v>1.86981</v>
      </c>
      <c r="IH82">
        <v>1.86584</v>
      </c>
      <c r="II82">
        <v>1.86691</v>
      </c>
      <c r="IJ82">
        <v>1.86829</v>
      </c>
      <c r="IK82">
        <v>5</v>
      </c>
      <c r="IL82">
        <v>0</v>
      </c>
      <c r="IM82">
        <v>0</v>
      </c>
      <c r="IN82">
        <v>0</v>
      </c>
      <c r="IO82" t="s">
        <v>443</v>
      </c>
      <c r="IP82" t="s">
        <v>444</v>
      </c>
      <c r="IQ82" t="s">
        <v>445</v>
      </c>
      <c r="IR82" t="s">
        <v>445</v>
      </c>
      <c r="IS82" t="s">
        <v>445</v>
      </c>
      <c r="IT82" t="s">
        <v>445</v>
      </c>
      <c r="IU82">
        <v>0</v>
      </c>
      <c r="IV82">
        <v>100</v>
      </c>
      <c r="IW82">
        <v>100</v>
      </c>
      <c r="IX82">
        <v>2.419</v>
      </c>
      <c r="IY82">
        <v>0.4352</v>
      </c>
      <c r="IZ82">
        <v>0.833350075594679</v>
      </c>
      <c r="JA82">
        <v>0.00412825224050377</v>
      </c>
      <c r="JB82">
        <v>-7.34426573386615e-07</v>
      </c>
      <c r="JC82">
        <v>2.46800082545482e-10</v>
      </c>
      <c r="JD82">
        <v>0.435209846415365</v>
      </c>
      <c r="JE82">
        <v>0</v>
      </c>
      <c r="JF82">
        <v>0</v>
      </c>
      <c r="JG82">
        <v>0</v>
      </c>
      <c r="JH82">
        <v>5</v>
      </c>
      <c r="JI82">
        <v>2250</v>
      </c>
      <c r="JJ82">
        <v>0</v>
      </c>
      <c r="JK82">
        <v>24</v>
      </c>
      <c r="JL82">
        <v>29348554.1</v>
      </c>
      <c r="JM82">
        <v>29348554.1</v>
      </c>
      <c r="JN82">
        <v>1.02051</v>
      </c>
      <c r="JO82">
        <v>2.63672</v>
      </c>
      <c r="JP82">
        <v>1.54785</v>
      </c>
      <c r="JQ82">
        <v>2.31689</v>
      </c>
      <c r="JR82">
        <v>1.64673</v>
      </c>
      <c r="JS82">
        <v>2.33765</v>
      </c>
      <c r="JT82">
        <v>34.1678</v>
      </c>
      <c r="JU82">
        <v>24.0875</v>
      </c>
      <c r="JV82">
        <v>18</v>
      </c>
      <c r="JW82">
        <v>468.906</v>
      </c>
      <c r="JX82">
        <v>370.462</v>
      </c>
      <c r="JY82">
        <v>37.9276</v>
      </c>
      <c r="JZ82">
        <v>61.0017</v>
      </c>
      <c r="KA82">
        <v>30.0048</v>
      </c>
      <c r="KB82">
        <v>59.6302</v>
      </c>
      <c r="KC82">
        <v>59.3394</v>
      </c>
      <c r="KD82">
        <v>20.4471</v>
      </c>
      <c r="KE82">
        <v>0</v>
      </c>
      <c r="KF82">
        <v>100</v>
      </c>
      <c r="KG82">
        <v>25.3629</v>
      </c>
      <c r="KH82">
        <v>420</v>
      </c>
      <c r="KI82">
        <v>35.6443</v>
      </c>
      <c r="KJ82">
        <v>91.3592</v>
      </c>
      <c r="KK82">
        <v>87.6195</v>
      </c>
    </row>
    <row r="83" spans="1:297">
      <c r="A83">
        <v>67</v>
      </c>
      <c r="B83">
        <v>1760913915</v>
      </c>
      <c r="C83">
        <v>20150.9000000954</v>
      </c>
      <c r="D83" t="s">
        <v>726</v>
      </c>
      <c r="E83" t="s">
        <v>727</v>
      </c>
      <c r="F83">
        <v>5</v>
      </c>
      <c r="G83" t="s">
        <v>469</v>
      </c>
      <c r="H83" t="s">
        <v>436</v>
      </c>
      <c r="I83">
        <v>1760913907</v>
      </c>
      <c r="J83">
        <f>(K83)/1000</f>
        <v>0</v>
      </c>
      <c r="K83">
        <f>IF(DP83, AN83, AH83)</f>
        <v>0</v>
      </c>
      <c r="L83">
        <f>IF(DP83, AI83, AG83)</f>
        <v>0</v>
      </c>
      <c r="M83">
        <f>DR83 - IF(AU83&gt;1, L83*DL83*100.0/(AW83), 0)</f>
        <v>0</v>
      </c>
      <c r="N83">
        <f>((T83-J83/2)*M83-L83)/(T83+J83/2)</f>
        <v>0</v>
      </c>
      <c r="O83">
        <f>N83*(DY83+DZ83)/1000.0</f>
        <v>0</v>
      </c>
      <c r="P83">
        <f>(DR83 - IF(AU83&gt;1, L83*DL83*100.0/(AW83), 0))*(DY83+DZ83)/1000.0</f>
        <v>0</v>
      </c>
      <c r="Q83">
        <f>2.0/((1/S83-1/R83)+SIGN(S83)*SQRT((1/S83-1/R83)*(1/S83-1/R83) + 4*DM83/((DM83+1)*(DM83+1))*(2*1/S83*1/R83-1/R83*1/R83)))</f>
        <v>0</v>
      </c>
      <c r="R83">
        <f>IF(LEFT(DN83,1)&lt;&gt;"0",IF(LEFT(DN83,1)="1",3.0,DO83),$D$5+$E$5*(EF83*DY83/($K$5*1000))+$F$5*(EF83*DY83/($K$5*1000))*MAX(MIN(DL83,$J$5),$I$5)*MAX(MIN(DL83,$J$5),$I$5)+$G$5*MAX(MIN(DL83,$J$5),$I$5)*(EF83*DY83/($K$5*1000))+$H$5*(EF83*DY83/($K$5*1000))*(EF83*DY83/($K$5*1000)))</f>
        <v>0</v>
      </c>
      <c r="S83">
        <f>J83*(1000-(1000*0.61365*exp(17.502*W83/(240.97+W83))/(DY83+DZ83)+DT83)/2)/(1000*0.61365*exp(17.502*W83/(240.97+W83))/(DY83+DZ83)-DT83)</f>
        <v>0</v>
      </c>
      <c r="T83">
        <f>1/((DM83+1)/(Q83/1.6)+1/(R83/1.37)) + DM83/((DM83+1)/(Q83/1.6) + DM83/(R83/1.37))</f>
        <v>0</v>
      </c>
      <c r="U83">
        <f>(DH83*DK83)</f>
        <v>0</v>
      </c>
      <c r="V83">
        <f>(EA83+(U83+2*0.95*5.67E-8*(((EA83+$B$7)+273)^4-(EA83+273)^4)-44100*J83)/(1.84*29.3*R83+8*0.95*5.67E-8*(EA83+273)^3))</f>
        <v>0</v>
      </c>
      <c r="W83">
        <f>($C$7*EB83+$D$7*EC83+$E$7*V83)</f>
        <v>0</v>
      </c>
      <c r="X83">
        <f>0.61365*exp(17.502*W83/(240.97+W83))</f>
        <v>0</v>
      </c>
      <c r="Y83">
        <f>(Z83/AA83*100)</f>
        <v>0</v>
      </c>
      <c r="Z83">
        <f>DT83*(DY83+DZ83)/1000</f>
        <v>0</v>
      </c>
      <c r="AA83">
        <f>0.61365*exp(17.502*EA83/(240.97+EA83))</f>
        <v>0</v>
      </c>
      <c r="AB83">
        <f>(X83-DT83*(DY83+DZ83)/1000)</f>
        <v>0</v>
      </c>
      <c r="AC83">
        <f>(-J83*44100)</f>
        <v>0</v>
      </c>
      <c r="AD83">
        <f>2*29.3*R83*0.92*(EA83-W83)</f>
        <v>0</v>
      </c>
      <c r="AE83">
        <f>2*0.95*5.67E-8*(((EA83+$B$7)+273)^4-(W83+273)^4)</f>
        <v>0</v>
      </c>
      <c r="AF83">
        <f>U83+AE83+AC83+AD83</f>
        <v>0</v>
      </c>
      <c r="AG83">
        <f>DX83*AU83*(DS83-DR83*(1000-AU83*DU83)/(1000-AU83*DT83))/(100*DL83)</f>
        <v>0</v>
      </c>
      <c r="AH83">
        <f>1000*DX83*AU83*(DT83-DU83)/(100*DL83*(1000-AU83*DT83))</f>
        <v>0</v>
      </c>
      <c r="AI83">
        <f>(AJ83 - AK83 - DY83*1E3/(8.314*(EA83+273.15)) * AM83/DX83 * AL83) * DX83/(100*DL83) * (1000 - DU83)/1000</f>
        <v>0</v>
      </c>
      <c r="AJ83">
        <v>430.357626004974</v>
      </c>
      <c r="AK83">
        <v>427.519945454545</v>
      </c>
      <c r="AL83">
        <v>-0.0229313584362771</v>
      </c>
      <c r="AM83">
        <v>65.6798345325542</v>
      </c>
      <c r="AN83">
        <f>(AP83 - AO83 + DY83*1E3/(8.314*(EA83+273.15)) * AR83/DX83 * AQ83) * DX83/(100*DL83) * 1000/(1000 - AP83)</f>
        <v>0</v>
      </c>
      <c r="AO83">
        <v>24.0436259578226</v>
      </c>
      <c r="AP83">
        <v>27.3754309090909</v>
      </c>
      <c r="AQ83">
        <v>-7.91291846503441e-05</v>
      </c>
      <c r="AR83">
        <v>113.869530274474</v>
      </c>
      <c r="AS83">
        <v>11</v>
      </c>
      <c r="AT83">
        <v>2</v>
      </c>
      <c r="AU83">
        <f>IF(AS83*$H$13&gt;=AW83,1.0,(AW83/(AW83-AS83*$H$13)))</f>
        <v>0</v>
      </c>
      <c r="AV83">
        <f>(AU83-1)*100</f>
        <v>0</v>
      </c>
      <c r="AW83">
        <f>MAX(0,($B$13+$C$13*EF83)/(1+$D$13*EF83)*DY83/(EA83+273)*$E$13)</f>
        <v>0</v>
      </c>
      <c r="AX83" t="s">
        <v>437</v>
      </c>
      <c r="AY83">
        <v>5082.33</v>
      </c>
      <c r="AZ83">
        <v>690.032</v>
      </c>
      <c r="BA83">
        <v>1612.68</v>
      </c>
      <c r="BB83">
        <f>1-AZ83/BA83</f>
        <v>0</v>
      </c>
      <c r="BC83">
        <v>-9.7270689171713</v>
      </c>
      <c r="BD83" t="s">
        <v>728</v>
      </c>
      <c r="BE83">
        <v>5115.63</v>
      </c>
      <c r="BF83">
        <v>984.730807692308</v>
      </c>
      <c r="BG83">
        <v>1125.0204685435</v>
      </c>
      <c r="BH83">
        <f>1-BF83/BG83</f>
        <v>0</v>
      </c>
      <c r="BI83">
        <v>0.5</v>
      </c>
      <c r="BJ83">
        <f>DI83</f>
        <v>0</v>
      </c>
      <c r="BK83">
        <f>L83</f>
        <v>0</v>
      </c>
      <c r="BL83">
        <f>BH83*BI83*BJ83</f>
        <v>0</v>
      </c>
      <c r="BM83">
        <f>(BK83-BC83)/BJ83</f>
        <v>0</v>
      </c>
      <c r="BN83">
        <f>(BA83-BG83)/BG83</f>
        <v>0</v>
      </c>
      <c r="BO83">
        <f>AZ83/(BB83+AZ83/BG83)</f>
        <v>0</v>
      </c>
      <c r="BP83" t="s">
        <v>729</v>
      </c>
      <c r="BQ83">
        <v>812.27</v>
      </c>
      <c r="BR83">
        <f>IF(BQ83&lt;&gt;0, BQ83, BO83)</f>
        <v>0</v>
      </c>
      <c r="BS83">
        <f>1-BR83/BG83</f>
        <v>0</v>
      </c>
      <c r="BT83">
        <f>(BG83-BF83)/(BG83-BR83)</f>
        <v>0</v>
      </c>
      <c r="BU83">
        <f>(BA83-BG83)/(BA83-BR83)</f>
        <v>0</v>
      </c>
      <c r="BV83">
        <f>(BG83-BF83)/(BG83-AZ83)</f>
        <v>0</v>
      </c>
      <c r="BW83">
        <f>(BA83-BG83)/(BA83-AZ83)</f>
        <v>0</v>
      </c>
      <c r="BX83">
        <f>(BT83*BR83/BF83)</f>
        <v>0</v>
      </c>
      <c r="BY83">
        <f>(1-BX83)</f>
        <v>0</v>
      </c>
      <c r="BZ83">
        <v>228</v>
      </c>
      <c r="CA83">
        <v>290</v>
      </c>
      <c r="CB83">
        <v>1079.88</v>
      </c>
      <c r="CC83">
        <v>295</v>
      </c>
      <c r="CD83">
        <v>5115.63</v>
      </c>
      <c r="CE83">
        <v>1079.78</v>
      </c>
      <c r="CF83">
        <v>0.1</v>
      </c>
      <c r="CG83">
        <v>300</v>
      </c>
      <c r="CH83">
        <v>23.9</v>
      </c>
      <c r="CI83">
        <v>1125.0204685435</v>
      </c>
      <c r="CJ83">
        <v>1.71052405545581</v>
      </c>
      <c r="CK83">
        <v>-23.1451121969434</v>
      </c>
      <c r="CL83">
        <v>0.787331174908618</v>
      </c>
      <c r="CM83">
        <v>0.968616161691777</v>
      </c>
      <c r="CN83">
        <v>-0.00322891323692992</v>
      </c>
      <c r="CO83">
        <v>290</v>
      </c>
      <c r="CP83">
        <v>1077.52</v>
      </c>
      <c r="CQ83">
        <v>635</v>
      </c>
      <c r="CR83">
        <v>5113.42</v>
      </c>
      <c r="CS83">
        <v>1079.76</v>
      </c>
      <c r="CT83">
        <v>-2.24</v>
      </c>
      <c r="DH83">
        <f>$B$11*EG83+$C$11*EH83+$F$11*ES83*(1-EV83)</f>
        <v>0</v>
      </c>
      <c r="DI83">
        <f>DH83*DJ83</f>
        <v>0</v>
      </c>
      <c r="DJ83">
        <f>($B$11*$D$9+$C$11*$D$9+$F$11*((FF83+EX83)/MAX(FF83+EX83+FG83, 0.1)*$I$9+FG83/MAX(FF83+EX83+FG83, 0.1)*$J$9))/($B$11+$C$11+$F$11)</f>
        <v>0</v>
      </c>
      <c r="DK83">
        <f>($B$11*$K$9+$C$11*$K$9+$F$11*((FF83+EX83)/MAX(FF83+EX83+FG83, 0.1)*$P$9+FG83/MAX(FF83+EX83+FG83, 0.1)*$Q$9))/($B$11+$C$11+$F$11)</f>
        <v>0</v>
      </c>
      <c r="DL83">
        <v>3.21</v>
      </c>
      <c r="DM83">
        <v>0.5</v>
      </c>
      <c r="DN83" t="s">
        <v>440</v>
      </c>
      <c r="DO83">
        <v>2</v>
      </c>
      <c r="DP83" t="b">
        <v>1</v>
      </c>
      <c r="DQ83">
        <v>1760913907</v>
      </c>
      <c r="DR83">
        <v>415.8632</v>
      </c>
      <c r="DS83">
        <v>420.0514</v>
      </c>
      <c r="DT83">
        <v>27.37894</v>
      </c>
      <c r="DU83">
        <v>24.04756</v>
      </c>
      <c r="DV83">
        <v>413.4312</v>
      </c>
      <c r="DW83">
        <v>26.9437333333333</v>
      </c>
      <c r="DX83">
        <v>499.885733333333</v>
      </c>
      <c r="DY83">
        <v>90.6211066666667</v>
      </c>
      <c r="DZ83">
        <v>0.0442888466666667</v>
      </c>
      <c r="EA83">
        <v>42.88286</v>
      </c>
      <c r="EB83">
        <v>42.17872</v>
      </c>
      <c r="EC83">
        <v>999.9</v>
      </c>
      <c r="ED83">
        <v>0</v>
      </c>
      <c r="EE83">
        <v>0</v>
      </c>
      <c r="EF83">
        <v>9997.91533333333</v>
      </c>
      <c r="EG83">
        <v>0</v>
      </c>
      <c r="EH83">
        <v>1199.784</v>
      </c>
      <c r="EI83">
        <v>-4.18837266666667</v>
      </c>
      <c r="EJ83">
        <v>427.5694</v>
      </c>
      <c r="EK83">
        <v>430.401533333333</v>
      </c>
      <c r="EL83">
        <v>3.331366</v>
      </c>
      <c r="EM83">
        <v>420.0514</v>
      </c>
      <c r="EN83">
        <v>24.04756</v>
      </c>
      <c r="EO83">
        <v>2.48111066666667</v>
      </c>
      <c r="EP83">
        <v>2.17922066666667</v>
      </c>
      <c r="EQ83">
        <v>20.90312</v>
      </c>
      <c r="ER83">
        <v>18.8103533333333</v>
      </c>
      <c r="ES83">
        <v>1199.972</v>
      </c>
      <c r="ET83">
        <v>0.967003</v>
      </c>
      <c r="EU83">
        <v>0.0329965</v>
      </c>
      <c r="EV83">
        <v>0</v>
      </c>
      <c r="EW83">
        <v>984.714933333333</v>
      </c>
      <c r="EX83">
        <v>5.00059</v>
      </c>
      <c r="EY83">
        <v>12980.22</v>
      </c>
      <c r="EZ83">
        <v>10358.5</v>
      </c>
      <c r="FA83">
        <v>61.6954666666667</v>
      </c>
      <c r="FB83">
        <v>63.7706666666667</v>
      </c>
      <c r="FC83">
        <v>62.0372</v>
      </c>
      <c r="FD83">
        <v>63.0998</v>
      </c>
      <c r="FE83">
        <v>62.4163333333333</v>
      </c>
      <c r="FF83">
        <v>1155.542</v>
      </c>
      <c r="FG83">
        <v>39.43</v>
      </c>
      <c r="FH83">
        <v>0</v>
      </c>
      <c r="FI83">
        <v>662.200000047684</v>
      </c>
      <c r="FJ83">
        <v>0</v>
      </c>
      <c r="FK83">
        <v>984.730807692308</v>
      </c>
      <c r="FL83">
        <v>3.81569231028242</v>
      </c>
      <c r="FM83">
        <v>64.9606837758366</v>
      </c>
      <c r="FN83">
        <v>12980.9576923077</v>
      </c>
      <c r="FO83">
        <v>15</v>
      </c>
      <c r="FP83">
        <v>0</v>
      </c>
      <c r="FQ83" t="s">
        <v>441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-4.20534714285714</v>
      </c>
      <c r="GD83">
        <v>0.372691168831166</v>
      </c>
      <c r="GE83">
        <v>0.0490023769241624</v>
      </c>
      <c r="GF83">
        <v>1</v>
      </c>
      <c r="GG83">
        <v>984.416617647059</v>
      </c>
      <c r="GH83">
        <v>4.68976317776291</v>
      </c>
      <c r="GI83">
        <v>0.511672920268056</v>
      </c>
      <c r="GJ83">
        <v>-1</v>
      </c>
      <c r="GK83">
        <v>3.32991904761905</v>
      </c>
      <c r="GL83">
        <v>0.0216303896103945</v>
      </c>
      <c r="GM83">
        <v>0.00237227217735376</v>
      </c>
      <c r="GN83">
        <v>1</v>
      </c>
      <c r="GO83">
        <v>2</v>
      </c>
      <c r="GP83">
        <v>2</v>
      </c>
      <c r="GQ83" t="s">
        <v>442</v>
      </c>
      <c r="GR83">
        <v>3.12624</v>
      </c>
      <c r="GS83">
        <v>2.72263</v>
      </c>
      <c r="GT83">
        <v>0.0834237</v>
      </c>
      <c r="GU83">
        <v>0.0846053</v>
      </c>
      <c r="GV83">
        <v>0.106864</v>
      </c>
      <c r="GW83">
        <v>0.0981331</v>
      </c>
      <c r="GX83">
        <v>32823.7</v>
      </c>
      <c r="GY83">
        <v>34646.2</v>
      </c>
      <c r="GZ83">
        <v>32532.9</v>
      </c>
      <c r="HA83">
        <v>34401.7</v>
      </c>
      <c r="HB83">
        <v>41471.2</v>
      </c>
      <c r="HC83">
        <v>44754</v>
      </c>
      <c r="HD83">
        <v>51145.9</v>
      </c>
      <c r="HE83">
        <v>55200</v>
      </c>
      <c r="HF83">
        <v>1.6661</v>
      </c>
      <c r="HG83">
        <v>1.5342</v>
      </c>
      <c r="HH83">
        <v>-0.0365824</v>
      </c>
      <c r="HI83">
        <v>0</v>
      </c>
      <c r="HJ83">
        <v>42.8247</v>
      </c>
      <c r="HK83">
        <v>999.9</v>
      </c>
      <c r="HL83">
        <v>54.535</v>
      </c>
      <c r="HM83">
        <v>29.769</v>
      </c>
      <c r="HN83">
        <v>25.3004</v>
      </c>
      <c r="HO83">
        <v>60.8407</v>
      </c>
      <c r="HP83">
        <v>41.0817</v>
      </c>
      <c r="HQ83">
        <v>1</v>
      </c>
      <c r="HR83">
        <v>2.44981</v>
      </c>
      <c r="HS83">
        <v>9.10579</v>
      </c>
      <c r="HT83">
        <v>19.9022</v>
      </c>
      <c r="HU83">
        <v>5.19048</v>
      </c>
      <c r="HV83">
        <v>12.0167</v>
      </c>
      <c r="HW83">
        <v>4.9692</v>
      </c>
      <c r="HX83">
        <v>3.29503</v>
      </c>
      <c r="HY83">
        <v>9999</v>
      </c>
      <c r="HZ83">
        <v>999.9</v>
      </c>
      <c r="IA83">
        <v>9999</v>
      </c>
      <c r="IB83">
        <v>9999</v>
      </c>
      <c r="IC83">
        <v>1.86323</v>
      </c>
      <c r="ID83">
        <v>1.86801</v>
      </c>
      <c r="IE83">
        <v>1.86779</v>
      </c>
      <c r="IF83">
        <v>1.869</v>
      </c>
      <c r="IG83">
        <v>1.86981</v>
      </c>
      <c r="IH83">
        <v>1.86584</v>
      </c>
      <c r="II83">
        <v>1.86691</v>
      </c>
      <c r="IJ83">
        <v>1.86829</v>
      </c>
      <c r="IK83">
        <v>5</v>
      </c>
      <c r="IL83">
        <v>0</v>
      </c>
      <c r="IM83">
        <v>0</v>
      </c>
      <c r="IN83">
        <v>0</v>
      </c>
      <c r="IO83" t="s">
        <v>443</v>
      </c>
      <c r="IP83" t="s">
        <v>444</v>
      </c>
      <c r="IQ83" t="s">
        <v>445</v>
      </c>
      <c r="IR83" t="s">
        <v>445</v>
      </c>
      <c r="IS83" t="s">
        <v>445</v>
      </c>
      <c r="IT83" t="s">
        <v>445</v>
      </c>
      <c r="IU83">
        <v>0</v>
      </c>
      <c r="IV83">
        <v>100</v>
      </c>
      <c r="IW83">
        <v>100</v>
      </c>
      <c r="IX83">
        <v>2.432</v>
      </c>
      <c r="IY83">
        <v>0.4352</v>
      </c>
      <c r="IZ83">
        <v>0.833350075594679</v>
      </c>
      <c r="JA83">
        <v>0.00412825224050377</v>
      </c>
      <c r="JB83">
        <v>-7.34426573386615e-07</v>
      </c>
      <c r="JC83">
        <v>2.46800082545482e-10</v>
      </c>
      <c r="JD83">
        <v>0.435209846415365</v>
      </c>
      <c r="JE83">
        <v>0</v>
      </c>
      <c r="JF83">
        <v>0</v>
      </c>
      <c r="JG83">
        <v>0</v>
      </c>
      <c r="JH83">
        <v>5</v>
      </c>
      <c r="JI83">
        <v>2250</v>
      </c>
      <c r="JJ83">
        <v>0</v>
      </c>
      <c r="JK83">
        <v>24</v>
      </c>
      <c r="JL83">
        <v>29348565.2</v>
      </c>
      <c r="JM83">
        <v>29348565.2</v>
      </c>
      <c r="JN83">
        <v>1.01807</v>
      </c>
      <c r="JO83">
        <v>2.63184</v>
      </c>
      <c r="JP83">
        <v>1.54785</v>
      </c>
      <c r="JQ83">
        <v>2.31689</v>
      </c>
      <c r="JR83">
        <v>1.64551</v>
      </c>
      <c r="JS83">
        <v>2.38037</v>
      </c>
      <c r="JT83">
        <v>33.8961</v>
      </c>
      <c r="JU83">
        <v>24.0963</v>
      </c>
      <c r="JV83">
        <v>18</v>
      </c>
      <c r="JW83">
        <v>485.172</v>
      </c>
      <c r="JX83">
        <v>389.401</v>
      </c>
      <c r="JY83">
        <v>34.8088</v>
      </c>
      <c r="JZ83">
        <v>54.0788</v>
      </c>
      <c r="KA83">
        <v>30.0092</v>
      </c>
      <c r="KB83">
        <v>53.9414</v>
      </c>
      <c r="KC83">
        <v>53.8069</v>
      </c>
      <c r="KD83">
        <v>20.4011</v>
      </c>
      <c r="KE83">
        <v>0</v>
      </c>
      <c r="KF83">
        <v>100</v>
      </c>
      <c r="KG83">
        <v>34.5186</v>
      </c>
      <c r="KH83">
        <v>420</v>
      </c>
      <c r="KI83">
        <v>35.6443</v>
      </c>
      <c r="KJ83">
        <v>92.6922</v>
      </c>
      <c r="KK83">
        <v>89.2999</v>
      </c>
    </row>
    <row r="84" spans="1:297">
      <c r="A84">
        <v>68</v>
      </c>
      <c r="B84">
        <v>1760914010</v>
      </c>
      <c r="C84">
        <v>20245.9000000954</v>
      </c>
      <c r="D84" t="s">
        <v>730</v>
      </c>
      <c r="E84" t="s">
        <v>731</v>
      </c>
      <c r="F84">
        <v>5</v>
      </c>
      <c r="G84" t="s">
        <v>469</v>
      </c>
      <c r="H84" t="s">
        <v>436</v>
      </c>
      <c r="I84">
        <v>1760914002</v>
      </c>
      <c r="J84">
        <f>(K84)/1000</f>
        <v>0</v>
      </c>
      <c r="K84">
        <f>IF(DP84, AN84, AH84)</f>
        <v>0</v>
      </c>
      <c r="L84">
        <f>IF(DP84, AI84, AG84)</f>
        <v>0</v>
      </c>
      <c r="M84">
        <f>DR84 - IF(AU84&gt;1, L84*DL84*100.0/(AW84), 0)</f>
        <v>0</v>
      </c>
      <c r="N84">
        <f>((T84-J84/2)*M84-L84)/(T84+J84/2)</f>
        <v>0</v>
      </c>
      <c r="O84">
        <f>N84*(DY84+DZ84)/1000.0</f>
        <v>0</v>
      </c>
      <c r="P84">
        <f>(DR84 - IF(AU84&gt;1, L84*DL84*100.0/(AW84), 0))*(DY84+DZ84)/1000.0</f>
        <v>0</v>
      </c>
      <c r="Q84">
        <f>2.0/((1/S84-1/R84)+SIGN(S84)*SQRT((1/S84-1/R84)*(1/S84-1/R84) + 4*DM84/((DM84+1)*(DM84+1))*(2*1/S84*1/R84-1/R84*1/R84)))</f>
        <v>0</v>
      </c>
      <c r="R84">
        <f>IF(LEFT(DN84,1)&lt;&gt;"0",IF(LEFT(DN84,1)="1",3.0,DO84),$D$5+$E$5*(EF84*DY84/($K$5*1000))+$F$5*(EF84*DY84/($K$5*1000))*MAX(MIN(DL84,$J$5),$I$5)*MAX(MIN(DL84,$J$5),$I$5)+$G$5*MAX(MIN(DL84,$J$5),$I$5)*(EF84*DY84/($K$5*1000))+$H$5*(EF84*DY84/($K$5*1000))*(EF84*DY84/($K$5*1000)))</f>
        <v>0</v>
      </c>
      <c r="S84">
        <f>J84*(1000-(1000*0.61365*exp(17.502*W84/(240.97+W84))/(DY84+DZ84)+DT84)/2)/(1000*0.61365*exp(17.502*W84/(240.97+W84))/(DY84+DZ84)-DT84)</f>
        <v>0</v>
      </c>
      <c r="T84">
        <f>1/((DM84+1)/(Q84/1.6)+1/(R84/1.37)) + DM84/((DM84+1)/(Q84/1.6) + DM84/(R84/1.37))</f>
        <v>0</v>
      </c>
      <c r="U84">
        <f>(DH84*DK84)</f>
        <v>0</v>
      </c>
      <c r="V84">
        <f>(EA84+(U84+2*0.95*5.67E-8*(((EA84+$B$7)+273)^4-(EA84+273)^4)-44100*J84)/(1.84*29.3*R84+8*0.95*5.67E-8*(EA84+273)^3))</f>
        <v>0</v>
      </c>
      <c r="W84">
        <f>($C$7*EB84+$D$7*EC84+$E$7*V84)</f>
        <v>0</v>
      </c>
      <c r="X84">
        <f>0.61365*exp(17.502*W84/(240.97+W84))</f>
        <v>0</v>
      </c>
      <c r="Y84">
        <f>(Z84/AA84*100)</f>
        <v>0</v>
      </c>
      <c r="Z84">
        <f>DT84*(DY84+DZ84)/1000</f>
        <v>0</v>
      </c>
      <c r="AA84">
        <f>0.61365*exp(17.502*EA84/(240.97+EA84))</f>
        <v>0</v>
      </c>
      <c r="AB84">
        <f>(X84-DT84*(DY84+DZ84)/1000)</f>
        <v>0</v>
      </c>
      <c r="AC84">
        <f>(-J84*44100)</f>
        <v>0</v>
      </c>
      <c r="AD84">
        <f>2*29.3*R84*0.92*(EA84-W84)</f>
        <v>0</v>
      </c>
      <c r="AE84">
        <f>2*0.95*5.67E-8*(((EA84+$B$7)+273)^4-(W84+273)^4)</f>
        <v>0</v>
      </c>
      <c r="AF84">
        <f>U84+AE84+AC84+AD84</f>
        <v>0</v>
      </c>
      <c r="AG84">
        <f>DX84*AU84*(DS84-DR84*(1000-AU84*DU84)/(1000-AU84*DT84))/(100*DL84)</f>
        <v>0</v>
      </c>
      <c r="AH84">
        <f>1000*DX84*AU84*(DT84-DU84)/(100*DL84*(1000-AU84*DT84))</f>
        <v>0</v>
      </c>
      <c r="AI84">
        <f>(AJ84 - AK84 - DY84*1E3/(8.314*(EA84+273.15)) * AM84/DX84 * AL84) * DX84/(100*DL84) * (1000 - DU84)/1000</f>
        <v>0</v>
      </c>
      <c r="AJ84">
        <v>430.308846652608</v>
      </c>
      <c r="AK84">
        <v>427.510284848485</v>
      </c>
      <c r="AL84">
        <v>-0.00091195210189565</v>
      </c>
      <c r="AM84">
        <v>65.6798345325542</v>
      </c>
      <c r="AN84">
        <f>(AP84 - AO84 + DY84*1E3/(8.314*(EA84+273.15)) * AR84/DX84 * AQ84) * DX84/(100*DL84) * 1000/(1000 - AP84)</f>
        <v>0</v>
      </c>
      <c r="AO84">
        <v>24.0001870492848</v>
      </c>
      <c r="AP84">
        <v>27.3498951515151</v>
      </c>
      <c r="AQ84">
        <v>7.61857865211356e-06</v>
      </c>
      <c r="AR84">
        <v>113.869530274474</v>
      </c>
      <c r="AS84">
        <v>13</v>
      </c>
      <c r="AT84">
        <v>3</v>
      </c>
      <c r="AU84">
        <f>IF(AS84*$H$13&gt;=AW84,1.0,(AW84/(AW84-AS84*$H$13)))</f>
        <v>0</v>
      </c>
      <c r="AV84">
        <f>(AU84-1)*100</f>
        <v>0</v>
      </c>
      <c r="AW84">
        <f>MAX(0,($B$13+$C$13*EF84)/(1+$D$13*EF84)*DY84/(EA84+273)*$E$13)</f>
        <v>0</v>
      </c>
      <c r="AX84" t="s">
        <v>437</v>
      </c>
      <c r="AY84">
        <v>5082.33</v>
      </c>
      <c r="AZ84">
        <v>690.032</v>
      </c>
      <c r="BA84">
        <v>1612.68</v>
      </c>
      <c r="BB84">
        <f>1-AZ84/BA84</f>
        <v>0</v>
      </c>
      <c r="BC84">
        <v>-9.7270689171713</v>
      </c>
      <c r="BD84" t="s">
        <v>732</v>
      </c>
      <c r="BE84">
        <v>5114.58</v>
      </c>
      <c r="BF84">
        <v>983.878038461538</v>
      </c>
      <c r="BG84">
        <v>1119.10346032328</v>
      </c>
      <c r="BH84">
        <f>1-BF84/BG84</f>
        <v>0</v>
      </c>
      <c r="BI84">
        <v>0.5</v>
      </c>
      <c r="BJ84">
        <f>DI84</f>
        <v>0</v>
      </c>
      <c r="BK84">
        <f>L84</f>
        <v>0</v>
      </c>
      <c r="BL84">
        <f>BH84*BI84*BJ84</f>
        <v>0</v>
      </c>
      <c r="BM84">
        <f>(BK84-BC84)/BJ84</f>
        <v>0</v>
      </c>
      <c r="BN84">
        <f>(BA84-BG84)/BG84</f>
        <v>0</v>
      </c>
      <c r="BO84">
        <f>AZ84/(BB84+AZ84/BG84)</f>
        <v>0</v>
      </c>
      <c r="BP84" t="s">
        <v>733</v>
      </c>
      <c r="BQ84">
        <v>809.47</v>
      </c>
      <c r="BR84">
        <f>IF(BQ84&lt;&gt;0, BQ84, BO84)</f>
        <v>0</v>
      </c>
      <c r="BS84">
        <f>1-BR84/BG84</f>
        <v>0</v>
      </c>
      <c r="BT84">
        <f>(BG84-BF84)/(BG84-BR84)</f>
        <v>0</v>
      </c>
      <c r="BU84">
        <f>(BA84-BG84)/(BA84-BR84)</f>
        <v>0</v>
      </c>
      <c r="BV84">
        <f>(BG84-BF84)/(BG84-AZ84)</f>
        <v>0</v>
      </c>
      <c r="BW84">
        <f>(BA84-BG84)/(BA84-AZ84)</f>
        <v>0</v>
      </c>
      <c r="BX84">
        <f>(BT84*BR84/BF84)</f>
        <v>0</v>
      </c>
      <c r="BY84">
        <f>(1-BX84)</f>
        <v>0</v>
      </c>
      <c r="BZ84">
        <v>230</v>
      </c>
      <c r="CA84">
        <v>290</v>
      </c>
      <c r="CB84">
        <v>1077.76</v>
      </c>
      <c r="CC84">
        <v>275</v>
      </c>
      <c r="CD84">
        <v>5114.58</v>
      </c>
      <c r="CE84">
        <v>1077.7</v>
      </c>
      <c r="CF84">
        <v>0.06</v>
      </c>
      <c r="CG84">
        <v>300</v>
      </c>
      <c r="CH84">
        <v>23.9</v>
      </c>
      <c r="CI84">
        <v>1119.10346032328</v>
      </c>
      <c r="CJ84">
        <v>1.89998087108316</v>
      </c>
      <c r="CK84">
        <v>-21.177596480546</v>
      </c>
      <c r="CL84">
        <v>0.874312446194725</v>
      </c>
      <c r="CM84">
        <v>0.954449718107919</v>
      </c>
      <c r="CN84">
        <v>-0.00322819688542825</v>
      </c>
      <c r="CO84">
        <v>290</v>
      </c>
      <c r="CP84">
        <v>1075.75</v>
      </c>
      <c r="CQ84">
        <v>735</v>
      </c>
      <c r="CR84">
        <v>5110.94</v>
      </c>
      <c r="CS84">
        <v>1077.67</v>
      </c>
      <c r="CT84">
        <v>-1.92</v>
      </c>
      <c r="DH84">
        <f>$B$11*EG84+$C$11*EH84+$F$11*ES84*(1-EV84)</f>
        <v>0</v>
      </c>
      <c r="DI84">
        <f>DH84*DJ84</f>
        <v>0</v>
      </c>
      <c r="DJ84">
        <f>($B$11*$D$9+$C$11*$D$9+$F$11*((FF84+EX84)/MAX(FF84+EX84+FG84, 0.1)*$I$9+FG84/MAX(FF84+EX84+FG84, 0.1)*$J$9))/($B$11+$C$11+$F$11)</f>
        <v>0</v>
      </c>
      <c r="DK84">
        <f>($B$11*$K$9+$C$11*$K$9+$F$11*((FF84+EX84)/MAX(FF84+EX84+FG84, 0.1)*$P$9+FG84/MAX(FF84+EX84+FG84, 0.1)*$Q$9))/($B$11+$C$11+$F$11)</f>
        <v>0</v>
      </c>
      <c r="DL84">
        <v>3.21</v>
      </c>
      <c r="DM84">
        <v>0.5</v>
      </c>
      <c r="DN84" t="s">
        <v>440</v>
      </c>
      <c r="DO84">
        <v>2</v>
      </c>
      <c r="DP84" t="b">
        <v>1</v>
      </c>
      <c r="DQ84">
        <v>1760914002</v>
      </c>
      <c r="DR84">
        <v>415.831733333333</v>
      </c>
      <c r="DS84">
        <v>420.001666666667</v>
      </c>
      <c r="DT84">
        <v>27.34886</v>
      </c>
      <c r="DU84">
        <v>24.00158</v>
      </c>
      <c r="DV84">
        <v>413.399866666667</v>
      </c>
      <c r="DW84">
        <v>26.9136533333333</v>
      </c>
      <c r="DX84">
        <v>499.995</v>
      </c>
      <c r="DY84">
        <v>90.6158933333333</v>
      </c>
      <c r="DZ84">
        <v>0.0445885466666667</v>
      </c>
      <c r="EA84">
        <v>42.9079466666667</v>
      </c>
      <c r="EB84">
        <v>42.30342</v>
      </c>
      <c r="EC84">
        <v>999.9</v>
      </c>
      <c r="ED84">
        <v>0</v>
      </c>
      <c r="EE84">
        <v>0</v>
      </c>
      <c r="EF84">
        <v>10000.1293333333</v>
      </c>
      <c r="EG84">
        <v>0</v>
      </c>
      <c r="EH84">
        <v>1199.52133333333</v>
      </c>
      <c r="EI84">
        <v>-4.16988066666667</v>
      </c>
      <c r="EJ84">
        <v>427.524066666667</v>
      </c>
      <c r="EK84">
        <v>430.330333333333</v>
      </c>
      <c r="EL84">
        <v>3.347282</v>
      </c>
      <c r="EM84">
        <v>420.001666666667</v>
      </c>
      <c r="EN84">
        <v>24.00158</v>
      </c>
      <c r="EO84">
        <v>2.47824</v>
      </c>
      <c r="EP84">
        <v>2.174926</v>
      </c>
      <c r="EQ84">
        <v>20.8843066666667</v>
      </c>
      <c r="ER84">
        <v>18.7787933333333</v>
      </c>
      <c r="ES84">
        <v>1199.984</v>
      </c>
      <c r="ET84">
        <v>0.9670098</v>
      </c>
      <c r="EU84">
        <v>0.0329900666666667</v>
      </c>
      <c r="EV84">
        <v>0</v>
      </c>
      <c r="EW84">
        <v>983.902266666667</v>
      </c>
      <c r="EX84">
        <v>5.00059</v>
      </c>
      <c r="EY84">
        <v>13009.58</v>
      </c>
      <c r="EZ84">
        <v>10358.6</v>
      </c>
      <c r="FA84">
        <v>62.2248</v>
      </c>
      <c r="FB84">
        <v>64.3414</v>
      </c>
      <c r="FC84">
        <v>62.5414</v>
      </c>
      <c r="FD84">
        <v>63.7122</v>
      </c>
      <c r="FE84">
        <v>62.9246</v>
      </c>
      <c r="FF84">
        <v>1155.562</v>
      </c>
      <c r="FG84">
        <v>39.422</v>
      </c>
      <c r="FH84">
        <v>0</v>
      </c>
      <c r="FI84">
        <v>91.4000000953674</v>
      </c>
      <c r="FJ84">
        <v>0</v>
      </c>
      <c r="FK84">
        <v>983.878038461538</v>
      </c>
      <c r="FL84">
        <v>5.8459828941739</v>
      </c>
      <c r="FM84">
        <v>92.5470085915442</v>
      </c>
      <c r="FN84">
        <v>13010.1538461538</v>
      </c>
      <c r="FO84">
        <v>15</v>
      </c>
      <c r="FP84">
        <v>0</v>
      </c>
      <c r="FQ84" t="s">
        <v>441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-4.15748333333333</v>
      </c>
      <c r="GD84">
        <v>-0.0428181818181811</v>
      </c>
      <c r="GE84">
        <v>0.0345593139996583</v>
      </c>
      <c r="GF84">
        <v>1</v>
      </c>
      <c r="GG84">
        <v>983.624117647059</v>
      </c>
      <c r="GH84">
        <v>5.32800610627601</v>
      </c>
      <c r="GI84">
        <v>0.564563952752401</v>
      </c>
      <c r="GJ84">
        <v>-1</v>
      </c>
      <c r="GK84">
        <v>3.34539476190476</v>
      </c>
      <c r="GL84">
        <v>0.0358628571428601</v>
      </c>
      <c r="GM84">
        <v>0.00382205706150576</v>
      </c>
      <c r="GN84">
        <v>1</v>
      </c>
      <c r="GO84">
        <v>2</v>
      </c>
      <c r="GP84">
        <v>2</v>
      </c>
      <c r="GQ84" t="s">
        <v>442</v>
      </c>
      <c r="GR84">
        <v>3.12633</v>
      </c>
      <c r="GS84">
        <v>2.72242</v>
      </c>
      <c r="GT84">
        <v>0.0834027</v>
      </c>
      <c r="GU84">
        <v>0.0845754</v>
      </c>
      <c r="GV84">
        <v>0.106761</v>
      </c>
      <c r="GW84">
        <v>0.097983</v>
      </c>
      <c r="GX84">
        <v>32785.1</v>
      </c>
      <c r="GY84">
        <v>34595.7</v>
      </c>
      <c r="GZ84">
        <v>32496</v>
      </c>
      <c r="HA84">
        <v>34352.4</v>
      </c>
      <c r="HB84">
        <v>41434.9</v>
      </c>
      <c r="HC84">
        <v>44701.1</v>
      </c>
      <c r="HD84">
        <v>51093.7</v>
      </c>
      <c r="HE84">
        <v>55125.5</v>
      </c>
      <c r="HF84">
        <v>1.66223</v>
      </c>
      <c r="HG84">
        <v>1.5289</v>
      </c>
      <c r="HH84">
        <v>-0.0628121</v>
      </c>
      <c r="HI84">
        <v>0</v>
      </c>
      <c r="HJ84">
        <v>43.304</v>
      </c>
      <c r="HK84">
        <v>999.9</v>
      </c>
      <c r="HL84">
        <v>54.511</v>
      </c>
      <c r="HM84">
        <v>29.759</v>
      </c>
      <c r="HN84">
        <v>25.2749</v>
      </c>
      <c r="HO84">
        <v>60.7907</v>
      </c>
      <c r="HP84">
        <v>40.8974</v>
      </c>
      <c r="HQ84">
        <v>1</v>
      </c>
      <c r="HR84">
        <v>2.5085</v>
      </c>
      <c r="HS84">
        <v>9.28105</v>
      </c>
      <c r="HT84">
        <v>19.9002</v>
      </c>
      <c r="HU84">
        <v>5.18794</v>
      </c>
      <c r="HV84">
        <v>12.0165</v>
      </c>
      <c r="HW84">
        <v>4.96955</v>
      </c>
      <c r="HX84">
        <v>3.2952</v>
      </c>
      <c r="HY84">
        <v>9999</v>
      </c>
      <c r="HZ84">
        <v>999.9</v>
      </c>
      <c r="IA84">
        <v>9999</v>
      </c>
      <c r="IB84">
        <v>9999</v>
      </c>
      <c r="IC84">
        <v>1.86324</v>
      </c>
      <c r="ID84">
        <v>1.868</v>
      </c>
      <c r="IE84">
        <v>1.86782</v>
      </c>
      <c r="IF84">
        <v>1.869</v>
      </c>
      <c r="IG84">
        <v>1.86981</v>
      </c>
      <c r="IH84">
        <v>1.86584</v>
      </c>
      <c r="II84">
        <v>1.86691</v>
      </c>
      <c r="IJ84">
        <v>1.86829</v>
      </c>
      <c r="IK84">
        <v>5</v>
      </c>
      <c r="IL84">
        <v>0</v>
      </c>
      <c r="IM84">
        <v>0</v>
      </c>
      <c r="IN84">
        <v>0</v>
      </c>
      <c r="IO84" t="s">
        <v>443</v>
      </c>
      <c r="IP84" t="s">
        <v>444</v>
      </c>
      <c r="IQ84" t="s">
        <v>445</v>
      </c>
      <c r="IR84" t="s">
        <v>445</v>
      </c>
      <c r="IS84" t="s">
        <v>445</v>
      </c>
      <c r="IT84" t="s">
        <v>445</v>
      </c>
      <c r="IU84">
        <v>0</v>
      </c>
      <c r="IV84">
        <v>100</v>
      </c>
      <c r="IW84">
        <v>100</v>
      </c>
      <c r="IX84">
        <v>2.432</v>
      </c>
      <c r="IY84">
        <v>0.4353</v>
      </c>
      <c r="IZ84">
        <v>0.833350075594679</v>
      </c>
      <c r="JA84">
        <v>0.00412825224050377</v>
      </c>
      <c r="JB84">
        <v>-7.34426573386615e-07</v>
      </c>
      <c r="JC84">
        <v>2.46800082545482e-10</v>
      </c>
      <c r="JD84">
        <v>0.435209846415365</v>
      </c>
      <c r="JE84">
        <v>0</v>
      </c>
      <c r="JF84">
        <v>0</v>
      </c>
      <c r="JG84">
        <v>0</v>
      </c>
      <c r="JH84">
        <v>5</v>
      </c>
      <c r="JI84">
        <v>2250</v>
      </c>
      <c r="JJ84">
        <v>0</v>
      </c>
      <c r="JK84">
        <v>24</v>
      </c>
      <c r="JL84">
        <v>29348566.8</v>
      </c>
      <c r="JM84">
        <v>29348566.8</v>
      </c>
      <c r="JN84">
        <v>1.01807</v>
      </c>
      <c r="JO84">
        <v>2.62939</v>
      </c>
      <c r="JP84">
        <v>1.54785</v>
      </c>
      <c r="JQ84">
        <v>2.31689</v>
      </c>
      <c r="JR84">
        <v>1.64673</v>
      </c>
      <c r="JS84">
        <v>2.3645</v>
      </c>
      <c r="JT84">
        <v>33.8735</v>
      </c>
      <c r="JU84">
        <v>24.0963</v>
      </c>
      <c r="JV84">
        <v>18</v>
      </c>
      <c r="JW84">
        <v>483.015</v>
      </c>
      <c r="JX84">
        <v>386.551</v>
      </c>
      <c r="JY84">
        <v>33.9692</v>
      </c>
      <c r="JZ84">
        <v>54.4758</v>
      </c>
      <c r="KA84">
        <v>30.0032</v>
      </c>
      <c r="KB84">
        <v>54.0643</v>
      </c>
      <c r="KC84">
        <v>53.9106</v>
      </c>
      <c r="KD84">
        <v>20.4035</v>
      </c>
      <c r="KE84">
        <v>0</v>
      </c>
      <c r="KF84">
        <v>100</v>
      </c>
      <c r="KG84">
        <v>30.5333</v>
      </c>
      <c r="KH84">
        <v>420</v>
      </c>
      <c r="KI84">
        <v>35.6443</v>
      </c>
      <c r="KJ84">
        <v>92.5934</v>
      </c>
      <c r="KK84">
        <v>89.1764</v>
      </c>
    </row>
    <row r="85" spans="1:297">
      <c r="A85">
        <v>69</v>
      </c>
      <c r="B85">
        <v>1760914143</v>
      </c>
      <c r="C85">
        <v>20378.9000000954</v>
      </c>
      <c r="D85" t="s">
        <v>734</v>
      </c>
      <c r="E85" t="s">
        <v>735</v>
      </c>
      <c r="F85">
        <v>5</v>
      </c>
      <c r="G85" t="s">
        <v>469</v>
      </c>
      <c r="H85" t="s">
        <v>436</v>
      </c>
      <c r="I85">
        <v>1760914134.5</v>
      </c>
      <c r="J85">
        <f>(K85)/1000</f>
        <v>0</v>
      </c>
      <c r="K85">
        <f>IF(DP85, AN85, AH85)</f>
        <v>0</v>
      </c>
      <c r="L85">
        <f>IF(DP85, AI85, AG85)</f>
        <v>0</v>
      </c>
      <c r="M85">
        <f>DR85 - IF(AU85&gt;1, L85*DL85*100.0/(AW85), 0)</f>
        <v>0</v>
      </c>
      <c r="N85">
        <f>((T85-J85/2)*M85-L85)/(T85+J85/2)</f>
        <v>0</v>
      </c>
      <c r="O85">
        <f>N85*(DY85+DZ85)/1000.0</f>
        <v>0</v>
      </c>
      <c r="P85">
        <f>(DR85 - IF(AU85&gt;1, L85*DL85*100.0/(AW85), 0))*(DY85+DZ85)/1000.0</f>
        <v>0</v>
      </c>
      <c r="Q85">
        <f>2.0/((1/S85-1/R85)+SIGN(S85)*SQRT((1/S85-1/R85)*(1/S85-1/R85) + 4*DM85/((DM85+1)*(DM85+1))*(2*1/S85*1/R85-1/R85*1/R85)))</f>
        <v>0</v>
      </c>
      <c r="R85">
        <f>IF(LEFT(DN85,1)&lt;&gt;"0",IF(LEFT(DN85,1)="1",3.0,DO85),$D$5+$E$5*(EF85*DY85/($K$5*1000))+$F$5*(EF85*DY85/($K$5*1000))*MAX(MIN(DL85,$J$5),$I$5)*MAX(MIN(DL85,$J$5),$I$5)+$G$5*MAX(MIN(DL85,$J$5),$I$5)*(EF85*DY85/($K$5*1000))+$H$5*(EF85*DY85/($K$5*1000))*(EF85*DY85/($K$5*1000)))</f>
        <v>0</v>
      </c>
      <c r="S85">
        <f>J85*(1000-(1000*0.61365*exp(17.502*W85/(240.97+W85))/(DY85+DZ85)+DT85)/2)/(1000*0.61365*exp(17.502*W85/(240.97+W85))/(DY85+DZ85)-DT85)</f>
        <v>0</v>
      </c>
      <c r="T85">
        <f>1/((DM85+1)/(Q85/1.6)+1/(R85/1.37)) + DM85/((DM85+1)/(Q85/1.6) + DM85/(R85/1.37))</f>
        <v>0</v>
      </c>
      <c r="U85">
        <f>(DH85*DK85)</f>
        <v>0</v>
      </c>
      <c r="V85">
        <f>(EA85+(U85+2*0.95*5.67E-8*(((EA85+$B$7)+273)^4-(EA85+273)^4)-44100*J85)/(1.84*29.3*R85+8*0.95*5.67E-8*(EA85+273)^3))</f>
        <v>0</v>
      </c>
      <c r="W85">
        <f>($C$7*EB85+$D$7*EC85+$E$7*V85)</f>
        <v>0</v>
      </c>
      <c r="X85">
        <f>0.61365*exp(17.502*W85/(240.97+W85))</f>
        <v>0</v>
      </c>
      <c r="Y85">
        <f>(Z85/AA85*100)</f>
        <v>0</v>
      </c>
      <c r="Z85">
        <f>DT85*(DY85+DZ85)/1000</f>
        <v>0</v>
      </c>
      <c r="AA85">
        <f>0.61365*exp(17.502*EA85/(240.97+EA85))</f>
        <v>0</v>
      </c>
      <c r="AB85">
        <f>(X85-DT85*(DY85+DZ85)/1000)</f>
        <v>0</v>
      </c>
      <c r="AC85">
        <f>(-J85*44100)</f>
        <v>0</v>
      </c>
      <c r="AD85">
        <f>2*29.3*R85*0.92*(EA85-W85)</f>
        <v>0</v>
      </c>
      <c r="AE85">
        <f>2*0.95*5.67E-8*(((EA85+$B$7)+273)^4-(W85+273)^4)</f>
        <v>0</v>
      </c>
      <c r="AF85">
        <f>U85+AE85+AC85+AD85</f>
        <v>0</v>
      </c>
      <c r="AG85">
        <f>DX85*AU85*(DS85-DR85*(1000-AU85*DU85)/(1000-AU85*DT85))/(100*DL85)</f>
        <v>0</v>
      </c>
      <c r="AH85">
        <f>1000*DX85*AU85*(DT85-DU85)/(100*DL85*(1000-AU85*DT85))</f>
        <v>0</v>
      </c>
      <c r="AI85">
        <f>(AJ85 - AK85 - DY85*1E3/(8.314*(EA85+273.15)) * AM85/DX85 * AL85) * DX85/(100*DL85) * (1000 - DU85)/1000</f>
        <v>0</v>
      </c>
      <c r="AJ85">
        <v>430.354682495287</v>
      </c>
      <c r="AK85">
        <v>427.605872727273</v>
      </c>
      <c r="AL85">
        <v>-0.000377845671896972</v>
      </c>
      <c r="AM85">
        <v>65.6798345325542</v>
      </c>
      <c r="AN85">
        <f>(AP85 - AO85 + DY85*1E3/(8.314*(EA85+273.15)) * AR85/DX85 * AQ85) * DX85/(100*DL85) * 1000/(1000 - AP85)</f>
        <v>0</v>
      </c>
      <c r="AO85">
        <v>24.0086476342954</v>
      </c>
      <c r="AP85">
        <v>27.4125921212121</v>
      </c>
      <c r="AQ85">
        <v>1.3293731182865e-05</v>
      </c>
      <c r="AR85">
        <v>113.869530274474</v>
      </c>
      <c r="AS85">
        <v>16</v>
      </c>
      <c r="AT85">
        <v>3</v>
      </c>
      <c r="AU85">
        <f>IF(AS85*$H$13&gt;=AW85,1.0,(AW85/(AW85-AS85*$H$13)))</f>
        <v>0</v>
      </c>
      <c r="AV85">
        <f>(AU85-1)*100</f>
        <v>0</v>
      </c>
      <c r="AW85">
        <f>MAX(0,($B$13+$C$13*EF85)/(1+$D$13*EF85)*DY85/(EA85+273)*$E$13)</f>
        <v>0</v>
      </c>
      <c r="AX85" t="s">
        <v>437</v>
      </c>
      <c r="AY85">
        <v>5082.33</v>
      </c>
      <c r="AZ85">
        <v>690.032</v>
      </c>
      <c r="BA85">
        <v>1612.68</v>
      </c>
      <c r="BB85">
        <f>1-AZ85/BA85</f>
        <v>0</v>
      </c>
      <c r="BC85">
        <v>-9.7270689171713</v>
      </c>
      <c r="BD85" t="s">
        <v>736</v>
      </c>
      <c r="BE85">
        <v>5115.35</v>
      </c>
      <c r="BF85">
        <v>985.35936</v>
      </c>
      <c r="BG85">
        <v>1122.63843470854</v>
      </c>
      <c r="BH85">
        <f>1-BF85/BG85</f>
        <v>0</v>
      </c>
      <c r="BI85">
        <v>0.5</v>
      </c>
      <c r="BJ85">
        <f>DI85</f>
        <v>0</v>
      </c>
      <c r="BK85">
        <f>L85</f>
        <v>0</v>
      </c>
      <c r="BL85">
        <f>BH85*BI85*BJ85</f>
        <v>0</v>
      </c>
      <c r="BM85">
        <f>(BK85-BC85)/BJ85</f>
        <v>0</v>
      </c>
      <c r="BN85">
        <f>(BA85-BG85)/BG85</f>
        <v>0</v>
      </c>
      <c r="BO85">
        <f>AZ85/(BB85+AZ85/BG85)</f>
        <v>0</v>
      </c>
      <c r="BP85" t="s">
        <v>737</v>
      </c>
      <c r="BQ85">
        <v>811.67</v>
      </c>
      <c r="BR85">
        <f>IF(BQ85&lt;&gt;0, BQ85, BO85)</f>
        <v>0</v>
      </c>
      <c r="BS85">
        <f>1-BR85/BG85</f>
        <v>0</v>
      </c>
      <c r="BT85">
        <f>(BG85-BF85)/(BG85-BR85)</f>
        <v>0</v>
      </c>
      <c r="BU85">
        <f>(BA85-BG85)/(BA85-BR85)</f>
        <v>0</v>
      </c>
      <c r="BV85">
        <f>(BG85-BF85)/(BG85-AZ85)</f>
        <v>0</v>
      </c>
      <c r="BW85">
        <f>(BA85-BG85)/(BA85-AZ85)</f>
        <v>0</v>
      </c>
      <c r="BX85">
        <f>(BT85*BR85/BF85)</f>
        <v>0</v>
      </c>
      <c r="BY85">
        <f>(1-BX85)</f>
        <v>0</v>
      </c>
      <c r="BZ85">
        <v>232</v>
      </c>
      <c r="CA85">
        <v>290</v>
      </c>
      <c r="CB85">
        <v>1079.28</v>
      </c>
      <c r="CC85">
        <v>175</v>
      </c>
      <c r="CD85">
        <v>5115.35</v>
      </c>
      <c r="CE85">
        <v>1079.07</v>
      </c>
      <c r="CF85">
        <v>0.21</v>
      </c>
      <c r="CG85">
        <v>300</v>
      </c>
      <c r="CH85">
        <v>23.9</v>
      </c>
      <c r="CI85">
        <v>1122.63843470854</v>
      </c>
      <c r="CJ85">
        <v>1.8253684391641</v>
      </c>
      <c r="CK85">
        <v>-22.2870345785671</v>
      </c>
      <c r="CL85">
        <v>0.839657467278934</v>
      </c>
      <c r="CM85">
        <v>0.961776374998324</v>
      </c>
      <c r="CN85">
        <v>-0.00322718442714127</v>
      </c>
      <c r="CO85">
        <v>290</v>
      </c>
      <c r="CP85">
        <v>1077.5</v>
      </c>
      <c r="CQ85">
        <v>705</v>
      </c>
      <c r="CR85">
        <v>5109.24</v>
      </c>
      <c r="CS85">
        <v>1079.02</v>
      </c>
      <c r="CT85">
        <v>-1.52</v>
      </c>
      <c r="DH85">
        <f>$B$11*EG85+$C$11*EH85+$F$11*ES85*(1-EV85)</f>
        <v>0</v>
      </c>
      <c r="DI85">
        <f>DH85*DJ85</f>
        <v>0</v>
      </c>
      <c r="DJ85">
        <f>($B$11*$D$9+$C$11*$D$9+$F$11*((FF85+EX85)/MAX(FF85+EX85+FG85, 0.1)*$I$9+FG85/MAX(FF85+EX85+FG85, 0.1)*$J$9))/($B$11+$C$11+$F$11)</f>
        <v>0</v>
      </c>
      <c r="DK85">
        <f>($B$11*$K$9+$C$11*$K$9+$F$11*((FF85+EX85)/MAX(FF85+EX85+FG85, 0.1)*$P$9+FG85/MAX(FF85+EX85+FG85, 0.1)*$Q$9))/($B$11+$C$11+$F$11)</f>
        <v>0</v>
      </c>
      <c r="DL85">
        <v>3.21</v>
      </c>
      <c r="DM85">
        <v>0.5</v>
      </c>
      <c r="DN85" t="s">
        <v>440</v>
      </c>
      <c r="DO85">
        <v>2</v>
      </c>
      <c r="DP85" t="b">
        <v>1</v>
      </c>
      <c r="DQ85">
        <v>1760914134.5</v>
      </c>
      <c r="DR85">
        <v>415.90025</v>
      </c>
      <c r="DS85">
        <v>419.99875</v>
      </c>
      <c r="DT85">
        <v>27.40643125</v>
      </c>
      <c r="DU85">
        <v>24.00829375</v>
      </c>
      <c r="DV85">
        <v>413.46825</v>
      </c>
      <c r="DW85">
        <v>26.97123125</v>
      </c>
      <c r="DX85">
        <v>500.0086875</v>
      </c>
      <c r="DY85">
        <v>90.643975</v>
      </c>
      <c r="DZ85">
        <v>0.0453446125</v>
      </c>
      <c r="EA85">
        <v>43.18213125</v>
      </c>
      <c r="EB85">
        <v>42.59673125</v>
      </c>
      <c r="EC85">
        <v>999.9</v>
      </c>
      <c r="ED85">
        <v>0</v>
      </c>
      <c r="EE85">
        <v>0</v>
      </c>
      <c r="EF85">
        <v>10005.271875</v>
      </c>
      <c r="EG85">
        <v>0</v>
      </c>
      <c r="EH85">
        <v>1197.9775</v>
      </c>
      <c r="EI85">
        <v>-4.098401875</v>
      </c>
      <c r="EJ85">
        <v>427.619875</v>
      </c>
      <c r="EK85">
        <v>430.33025</v>
      </c>
      <c r="EL85">
        <v>3.39816</v>
      </c>
      <c r="EM85">
        <v>419.99875</v>
      </c>
      <c r="EN85">
        <v>24.00829375</v>
      </c>
      <c r="EO85">
        <v>2.484229375</v>
      </c>
      <c r="EP85">
        <v>2.17620625</v>
      </c>
      <c r="EQ85">
        <v>20.92355</v>
      </c>
      <c r="ER85">
        <v>18.78821875</v>
      </c>
      <c r="ES85">
        <v>1200.03125</v>
      </c>
      <c r="ET85">
        <v>0.967</v>
      </c>
      <c r="EU85">
        <v>0.03300001875</v>
      </c>
      <c r="EV85">
        <v>0</v>
      </c>
      <c r="EW85">
        <v>985.4098125</v>
      </c>
      <c r="EX85">
        <v>5.00059</v>
      </c>
      <c r="EY85">
        <v>13093.71875</v>
      </c>
      <c r="EZ85">
        <v>10358.98125</v>
      </c>
      <c r="FA85">
        <v>62.999875</v>
      </c>
      <c r="FB85">
        <v>65.152125</v>
      </c>
      <c r="FC85">
        <v>63.32</v>
      </c>
      <c r="FD85">
        <v>64.589625</v>
      </c>
      <c r="FE85">
        <v>63.6676875</v>
      </c>
      <c r="FF85">
        <v>1155.59125</v>
      </c>
      <c r="FG85">
        <v>39.44</v>
      </c>
      <c r="FH85">
        <v>0</v>
      </c>
      <c r="FI85">
        <v>129.400000095367</v>
      </c>
      <c r="FJ85">
        <v>0</v>
      </c>
      <c r="FK85">
        <v>985.35936</v>
      </c>
      <c r="FL85">
        <v>0.313769241846994</v>
      </c>
      <c r="FM85">
        <v>43.3230768900711</v>
      </c>
      <c r="FN85">
        <v>13094.264</v>
      </c>
      <c r="FO85">
        <v>15</v>
      </c>
      <c r="FP85">
        <v>0</v>
      </c>
      <c r="FQ85" t="s">
        <v>441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-4.09425428571429</v>
      </c>
      <c r="GD85">
        <v>-0.0680937662337663</v>
      </c>
      <c r="GE85">
        <v>0.0288964401451324</v>
      </c>
      <c r="GF85">
        <v>1</v>
      </c>
      <c r="GG85">
        <v>985.3025</v>
      </c>
      <c r="GH85">
        <v>1.02452253941749</v>
      </c>
      <c r="GI85">
        <v>0.238666053920789</v>
      </c>
      <c r="GJ85">
        <v>-1</v>
      </c>
      <c r="GK85">
        <v>3.39593142857143</v>
      </c>
      <c r="GL85">
        <v>0.04112337662338</v>
      </c>
      <c r="GM85">
        <v>0.00423791310470063</v>
      </c>
      <c r="GN85">
        <v>1</v>
      </c>
      <c r="GO85">
        <v>2</v>
      </c>
      <c r="GP85">
        <v>2</v>
      </c>
      <c r="GQ85" t="s">
        <v>442</v>
      </c>
      <c r="GR85">
        <v>3.12616</v>
      </c>
      <c r="GS85">
        <v>2.72351</v>
      </c>
      <c r="GT85">
        <v>0.0833153</v>
      </c>
      <c r="GU85">
        <v>0.0844901</v>
      </c>
      <c r="GV85">
        <v>0.10683</v>
      </c>
      <c r="GW85">
        <v>0.0979197</v>
      </c>
      <c r="GX85">
        <v>32708.5</v>
      </c>
      <c r="GY85">
        <v>34496.1</v>
      </c>
      <c r="GZ85">
        <v>32421.8</v>
      </c>
      <c r="HA85">
        <v>34255.2</v>
      </c>
      <c r="HB85">
        <v>41353.4</v>
      </c>
      <c r="HC85">
        <v>44586.8</v>
      </c>
      <c r="HD85">
        <v>50992.2</v>
      </c>
      <c r="HE85">
        <v>54979.5</v>
      </c>
      <c r="HF85">
        <v>1.65245</v>
      </c>
      <c r="HG85">
        <v>1.51863</v>
      </c>
      <c r="HH85">
        <v>-0.0757314</v>
      </c>
      <c r="HI85">
        <v>0</v>
      </c>
      <c r="HJ85">
        <v>43.8499</v>
      </c>
      <c r="HK85">
        <v>999.9</v>
      </c>
      <c r="HL85">
        <v>54.584</v>
      </c>
      <c r="HM85">
        <v>29.719</v>
      </c>
      <c r="HN85">
        <v>25.242</v>
      </c>
      <c r="HO85">
        <v>60.7208</v>
      </c>
      <c r="HP85">
        <v>40.7732</v>
      </c>
      <c r="HQ85">
        <v>1</v>
      </c>
      <c r="HR85">
        <v>2.61536</v>
      </c>
      <c r="HS85">
        <v>9.28105</v>
      </c>
      <c r="HT85">
        <v>19.9001</v>
      </c>
      <c r="HU85">
        <v>5.18749</v>
      </c>
      <c r="HV85">
        <v>12.018</v>
      </c>
      <c r="HW85">
        <v>4.9695</v>
      </c>
      <c r="HX85">
        <v>3.29565</v>
      </c>
      <c r="HY85">
        <v>9999</v>
      </c>
      <c r="HZ85">
        <v>999.9</v>
      </c>
      <c r="IA85">
        <v>9999</v>
      </c>
      <c r="IB85">
        <v>9999</v>
      </c>
      <c r="IC85">
        <v>1.86323</v>
      </c>
      <c r="ID85">
        <v>1.86798</v>
      </c>
      <c r="IE85">
        <v>1.86782</v>
      </c>
      <c r="IF85">
        <v>1.86899</v>
      </c>
      <c r="IG85">
        <v>1.8698</v>
      </c>
      <c r="IH85">
        <v>1.86584</v>
      </c>
      <c r="II85">
        <v>1.86691</v>
      </c>
      <c r="IJ85">
        <v>1.8683</v>
      </c>
      <c r="IK85">
        <v>5</v>
      </c>
      <c r="IL85">
        <v>0</v>
      </c>
      <c r="IM85">
        <v>0</v>
      </c>
      <c r="IN85">
        <v>0</v>
      </c>
      <c r="IO85" t="s">
        <v>443</v>
      </c>
      <c r="IP85" t="s">
        <v>444</v>
      </c>
      <c r="IQ85" t="s">
        <v>445</v>
      </c>
      <c r="IR85" t="s">
        <v>445</v>
      </c>
      <c r="IS85" t="s">
        <v>445</v>
      </c>
      <c r="IT85" t="s">
        <v>445</v>
      </c>
      <c r="IU85">
        <v>0</v>
      </c>
      <c r="IV85">
        <v>100</v>
      </c>
      <c r="IW85">
        <v>100</v>
      </c>
      <c r="IX85">
        <v>2.432</v>
      </c>
      <c r="IY85">
        <v>0.4352</v>
      </c>
      <c r="IZ85">
        <v>0.833350075594679</v>
      </c>
      <c r="JA85">
        <v>0.00412825224050377</v>
      </c>
      <c r="JB85">
        <v>-7.34426573386615e-07</v>
      </c>
      <c r="JC85">
        <v>2.46800082545482e-10</v>
      </c>
      <c r="JD85">
        <v>0.435209846415365</v>
      </c>
      <c r="JE85">
        <v>0</v>
      </c>
      <c r="JF85">
        <v>0</v>
      </c>
      <c r="JG85">
        <v>0</v>
      </c>
      <c r="JH85">
        <v>5</v>
      </c>
      <c r="JI85">
        <v>2250</v>
      </c>
      <c r="JJ85">
        <v>0</v>
      </c>
      <c r="JK85">
        <v>24</v>
      </c>
      <c r="JL85">
        <v>29348569.1</v>
      </c>
      <c r="JM85">
        <v>29348569.1</v>
      </c>
      <c r="JN85">
        <v>1.01807</v>
      </c>
      <c r="JO85">
        <v>2.63794</v>
      </c>
      <c r="JP85">
        <v>1.54785</v>
      </c>
      <c r="JQ85">
        <v>2.31689</v>
      </c>
      <c r="JR85">
        <v>1.64673</v>
      </c>
      <c r="JS85">
        <v>2.26074</v>
      </c>
      <c r="JT85">
        <v>33.8961</v>
      </c>
      <c r="JU85">
        <v>24.0963</v>
      </c>
      <c r="JV85">
        <v>18</v>
      </c>
      <c r="JW85">
        <v>479.247</v>
      </c>
      <c r="JX85">
        <v>382.656</v>
      </c>
      <c r="JY85">
        <v>34.5138</v>
      </c>
      <c r="JZ85">
        <v>55.4199</v>
      </c>
      <c r="KA85">
        <v>30.0042</v>
      </c>
      <c r="KB85">
        <v>54.6764</v>
      </c>
      <c r="KC85">
        <v>54.4868</v>
      </c>
      <c r="KD85">
        <v>20.4121</v>
      </c>
      <c r="KE85">
        <v>0</v>
      </c>
      <c r="KF85">
        <v>100</v>
      </c>
      <c r="KG85">
        <v>23.689</v>
      </c>
      <c r="KH85">
        <v>420</v>
      </c>
      <c r="KI85">
        <v>35.6443</v>
      </c>
      <c r="KJ85">
        <v>92.3988</v>
      </c>
      <c r="KK85">
        <v>88.934</v>
      </c>
    </row>
    <row r="86" spans="1:297">
      <c r="A86">
        <v>70</v>
      </c>
      <c r="B86">
        <v>1760914609</v>
      </c>
      <c r="C86">
        <v>20844.9000000954</v>
      </c>
      <c r="D86" t="s">
        <v>738</v>
      </c>
      <c r="E86" t="s">
        <v>739</v>
      </c>
      <c r="F86">
        <v>5</v>
      </c>
      <c r="G86" t="s">
        <v>457</v>
      </c>
      <c r="H86" t="s">
        <v>436</v>
      </c>
      <c r="I86">
        <v>1760914601</v>
      </c>
      <c r="J86">
        <f>(K86)/1000</f>
        <v>0</v>
      </c>
      <c r="K86">
        <f>IF(DP86, AN86, AH86)</f>
        <v>0</v>
      </c>
      <c r="L86">
        <f>IF(DP86, AI86, AG86)</f>
        <v>0</v>
      </c>
      <c r="M86">
        <f>DR86 - IF(AU86&gt;1, L86*DL86*100.0/(AW86), 0)</f>
        <v>0</v>
      </c>
      <c r="N86">
        <f>((T86-J86/2)*M86-L86)/(T86+J86/2)</f>
        <v>0</v>
      </c>
      <c r="O86">
        <f>N86*(DY86+DZ86)/1000.0</f>
        <v>0</v>
      </c>
      <c r="P86">
        <f>(DR86 - IF(AU86&gt;1, L86*DL86*100.0/(AW86), 0))*(DY86+DZ86)/1000.0</f>
        <v>0</v>
      </c>
      <c r="Q86">
        <f>2.0/((1/S86-1/R86)+SIGN(S86)*SQRT((1/S86-1/R86)*(1/S86-1/R86) + 4*DM86/((DM86+1)*(DM86+1))*(2*1/S86*1/R86-1/R86*1/R86)))</f>
        <v>0</v>
      </c>
      <c r="R86">
        <f>IF(LEFT(DN86,1)&lt;&gt;"0",IF(LEFT(DN86,1)="1",3.0,DO86),$D$5+$E$5*(EF86*DY86/($K$5*1000))+$F$5*(EF86*DY86/($K$5*1000))*MAX(MIN(DL86,$J$5),$I$5)*MAX(MIN(DL86,$J$5),$I$5)+$G$5*MAX(MIN(DL86,$J$5),$I$5)*(EF86*DY86/($K$5*1000))+$H$5*(EF86*DY86/($K$5*1000))*(EF86*DY86/($K$5*1000)))</f>
        <v>0</v>
      </c>
      <c r="S86">
        <f>J86*(1000-(1000*0.61365*exp(17.502*W86/(240.97+W86))/(DY86+DZ86)+DT86)/2)/(1000*0.61365*exp(17.502*W86/(240.97+W86))/(DY86+DZ86)-DT86)</f>
        <v>0</v>
      </c>
      <c r="T86">
        <f>1/((DM86+1)/(Q86/1.6)+1/(R86/1.37)) + DM86/((DM86+1)/(Q86/1.6) + DM86/(R86/1.37))</f>
        <v>0</v>
      </c>
      <c r="U86">
        <f>(DH86*DK86)</f>
        <v>0</v>
      </c>
      <c r="V86">
        <f>(EA86+(U86+2*0.95*5.67E-8*(((EA86+$B$7)+273)^4-(EA86+273)^4)-44100*J86)/(1.84*29.3*R86+8*0.95*5.67E-8*(EA86+273)^3))</f>
        <v>0</v>
      </c>
      <c r="W86">
        <f>($C$7*EB86+$D$7*EC86+$E$7*V86)</f>
        <v>0</v>
      </c>
      <c r="X86">
        <f>0.61365*exp(17.502*W86/(240.97+W86))</f>
        <v>0</v>
      </c>
      <c r="Y86">
        <f>(Z86/AA86*100)</f>
        <v>0</v>
      </c>
      <c r="Z86">
        <f>DT86*(DY86+DZ86)/1000</f>
        <v>0</v>
      </c>
      <c r="AA86">
        <f>0.61365*exp(17.502*EA86/(240.97+EA86))</f>
        <v>0</v>
      </c>
      <c r="AB86">
        <f>(X86-DT86*(DY86+DZ86)/1000)</f>
        <v>0</v>
      </c>
      <c r="AC86">
        <f>(-J86*44100)</f>
        <v>0</v>
      </c>
      <c r="AD86">
        <f>2*29.3*R86*0.92*(EA86-W86)</f>
        <v>0</v>
      </c>
      <c r="AE86">
        <f>2*0.95*5.67E-8*(((EA86+$B$7)+273)^4-(W86+273)^4)</f>
        <v>0</v>
      </c>
      <c r="AF86">
        <f>U86+AE86+AC86+AD86</f>
        <v>0</v>
      </c>
      <c r="AG86">
        <f>DX86*AU86*(DS86-DR86*(1000-AU86*DU86)/(1000-AU86*DT86))/(100*DL86)</f>
        <v>0</v>
      </c>
      <c r="AH86">
        <f>1000*DX86*AU86*(DT86-DU86)/(100*DL86*(1000-AU86*DT86))</f>
        <v>0</v>
      </c>
      <c r="AI86">
        <f>(AJ86 - AK86 - DY86*1E3/(8.314*(EA86+273.15)) * AM86/DX86 * AL86) * DX86/(100*DL86) * (1000 - DU86)/1000</f>
        <v>0</v>
      </c>
      <c r="AJ86">
        <v>430.440845130323</v>
      </c>
      <c r="AK86">
        <v>426.461606060606</v>
      </c>
      <c r="AL86">
        <v>0.00207746438946004</v>
      </c>
      <c r="AM86">
        <v>65.3986900887677</v>
      </c>
      <c r="AN86">
        <f>(AP86 - AO86 + DY86*1E3/(8.314*(EA86+273.15)) * AR86/DX86 * AQ86) * DX86/(100*DL86) * 1000/(1000 - AP86)</f>
        <v>0</v>
      </c>
      <c r="AO86">
        <v>24.3051862606711</v>
      </c>
      <c r="AP86">
        <v>28.461236969697</v>
      </c>
      <c r="AQ86">
        <v>4.68206167522108e-06</v>
      </c>
      <c r="AR86">
        <v>114.575935620418</v>
      </c>
      <c r="AS86">
        <v>13</v>
      </c>
      <c r="AT86">
        <v>3</v>
      </c>
      <c r="AU86">
        <f>IF(AS86*$H$13&gt;=AW86,1.0,(AW86/(AW86-AS86*$H$13)))</f>
        <v>0</v>
      </c>
      <c r="AV86">
        <f>(AU86-1)*100</f>
        <v>0</v>
      </c>
      <c r="AW86">
        <f>MAX(0,($B$13+$C$13*EF86)/(1+$D$13*EF86)*DY86/(EA86+273)*$E$13)</f>
        <v>0</v>
      </c>
      <c r="AX86" t="s">
        <v>437</v>
      </c>
      <c r="AY86">
        <v>5082.33</v>
      </c>
      <c r="AZ86">
        <v>690.032</v>
      </c>
      <c r="BA86">
        <v>1612.68</v>
      </c>
      <c r="BB86">
        <f>1-AZ86/BA86</f>
        <v>0</v>
      </c>
      <c r="BC86">
        <v>-9.7270689171713</v>
      </c>
      <c r="BD86" t="s">
        <v>740</v>
      </c>
      <c r="BE86">
        <v>5109.65</v>
      </c>
      <c r="BF86">
        <v>879.10784</v>
      </c>
      <c r="BG86">
        <v>1052.44369303952</v>
      </c>
      <c r="BH86">
        <f>1-BF86/BG86</f>
        <v>0</v>
      </c>
      <c r="BI86">
        <v>0.5</v>
      </c>
      <c r="BJ86">
        <f>DI86</f>
        <v>0</v>
      </c>
      <c r="BK86">
        <f>L86</f>
        <v>0</v>
      </c>
      <c r="BL86">
        <f>BH86*BI86*BJ86</f>
        <v>0</v>
      </c>
      <c r="BM86">
        <f>(BK86-BC86)/BJ86</f>
        <v>0</v>
      </c>
      <c r="BN86">
        <f>(BA86-BG86)/BG86</f>
        <v>0</v>
      </c>
      <c r="BO86">
        <f>AZ86/(BB86+AZ86/BG86)</f>
        <v>0</v>
      </c>
      <c r="BP86" t="s">
        <v>741</v>
      </c>
      <c r="BQ86">
        <v>705.4</v>
      </c>
      <c r="BR86">
        <f>IF(BQ86&lt;&gt;0, BQ86, BO86)</f>
        <v>0</v>
      </c>
      <c r="BS86">
        <f>1-BR86/BG86</f>
        <v>0</v>
      </c>
      <c r="BT86">
        <f>(BG86-BF86)/(BG86-BR86)</f>
        <v>0</v>
      </c>
      <c r="BU86">
        <f>(BA86-BG86)/(BA86-BR86)</f>
        <v>0</v>
      </c>
      <c r="BV86">
        <f>(BG86-BF86)/(BG86-AZ86)</f>
        <v>0</v>
      </c>
      <c r="BW86">
        <f>(BA86-BG86)/(BA86-AZ86)</f>
        <v>0</v>
      </c>
      <c r="BX86">
        <f>(BT86*BR86/BF86)</f>
        <v>0</v>
      </c>
      <c r="BY86">
        <f>(1-BX86)</f>
        <v>0</v>
      </c>
      <c r="BZ86">
        <v>234</v>
      </c>
      <c r="CA86">
        <v>290</v>
      </c>
      <c r="CB86">
        <v>996.55</v>
      </c>
      <c r="CC86">
        <v>295</v>
      </c>
      <c r="CD86">
        <v>5109.65</v>
      </c>
      <c r="CE86">
        <v>997.24</v>
      </c>
      <c r="CF86">
        <v>-0.69</v>
      </c>
      <c r="CG86">
        <v>300</v>
      </c>
      <c r="CH86">
        <v>23.9</v>
      </c>
      <c r="CI86">
        <v>1052.44369303952</v>
      </c>
      <c r="CJ86">
        <v>1.5659060607822</v>
      </c>
      <c r="CK86">
        <v>-28.2058912665538</v>
      </c>
      <c r="CL86">
        <v>0.719937745157261</v>
      </c>
      <c r="CM86">
        <v>0.982084978571755</v>
      </c>
      <c r="CN86">
        <v>-0.00322461601779755</v>
      </c>
      <c r="CO86">
        <v>290</v>
      </c>
      <c r="CP86">
        <v>995.91</v>
      </c>
      <c r="CQ86">
        <v>785</v>
      </c>
      <c r="CR86">
        <v>5105.94</v>
      </c>
      <c r="CS86">
        <v>997.2</v>
      </c>
      <c r="CT86">
        <v>-1.29</v>
      </c>
      <c r="DH86">
        <f>$B$11*EG86+$C$11*EH86+$F$11*ES86*(1-EV86)</f>
        <v>0</v>
      </c>
      <c r="DI86">
        <f>DH86*DJ86</f>
        <v>0</v>
      </c>
      <c r="DJ86">
        <f>($B$11*$D$9+$C$11*$D$9+$F$11*((FF86+EX86)/MAX(FF86+EX86+FG86, 0.1)*$I$9+FG86/MAX(FF86+EX86+FG86, 0.1)*$J$9))/($B$11+$C$11+$F$11)</f>
        <v>0</v>
      </c>
      <c r="DK86">
        <f>($B$11*$K$9+$C$11*$K$9+$F$11*((FF86+EX86)/MAX(FF86+EX86+FG86, 0.1)*$P$9+FG86/MAX(FF86+EX86+FG86, 0.1)*$Q$9))/($B$11+$C$11+$F$11)</f>
        <v>0</v>
      </c>
      <c r="DL86">
        <v>3.21</v>
      </c>
      <c r="DM86">
        <v>0.5</v>
      </c>
      <c r="DN86" t="s">
        <v>440</v>
      </c>
      <c r="DO86">
        <v>2</v>
      </c>
      <c r="DP86" t="b">
        <v>1</v>
      </c>
      <c r="DQ86">
        <v>1760914601</v>
      </c>
      <c r="DR86">
        <v>414.348733333333</v>
      </c>
      <c r="DS86">
        <v>419.995933333333</v>
      </c>
      <c r="DT86">
        <v>28.45904</v>
      </c>
      <c r="DU86">
        <v>24.3033666666667</v>
      </c>
      <c r="DV86">
        <v>411.9222</v>
      </c>
      <c r="DW86">
        <v>28.0238333333333</v>
      </c>
      <c r="DX86">
        <v>500.016333333333</v>
      </c>
      <c r="DY86">
        <v>90.63898</v>
      </c>
      <c r="DZ86">
        <v>0.0437341666666667</v>
      </c>
      <c r="EA86">
        <v>42.2792933333333</v>
      </c>
      <c r="EB86">
        <v>42.1144133333333</v>
      </c>
      <c r="EC86">
        <v>999.9</v>
      </c>
      <c r="ED86">
        <v>0</v>
      </c>
      <c r="EE86">
        <v>0</v>
      </c>
      <c r="EF86">
        <v>9999.78533333333</v>
      </c>
      <c r="EG86">
        <v>0</v>
      </c>
      <c r="EH86">
        <v>1223.54866666667</v>
      </c>
      <c r="EI86">
        <v>-5.64709666666667</v>
      </c>
      <c r="EJ86">
        <v>426.486133333333</v>
      </c>
      <c r="EK86">
        <v>430.457266666667</v>
      </c>
      <c r="EL86">
        <v>4.155676</v>
      </c>
      <c r="EM86">
        <v>419.995933333333</v>
      </c>
      <c r="EN86">
        <v>24.3033666666667</v>
      </c>
      <c r="EO86">
        <v>2.57949933333333</v>
      </c>
      <c r="EP86">
        <v>2.202832</v>
      </c>
      <c r="EQ86">
        <v>21.5370066666667</v>
      </c>
      <c r="ER86">
        <v>18.9829266666667</v>
      </c>
      <c r="ES86">
        <v>1200.042</v>
      </c>
      <c r="ET86">
        <v>0.9669934</v>
      </c>
      <c r="EU86">
        <v>0.03300666</v>
      </c>
      <c r="EV86">
        <v>0</v>
      </c>
      <c r="EW86">
        <v>879.151733333333</v>
      </c>
      <c r="EX86">
        <v>5.00059</v>
      </c>
      <c r="EY86">
        <v>11505.8</v>
      </c>
      <c r="EZ86">
        <v>10359.06</v>
      </c>
      <c r="FA86">
        <v>60.7624</v>
      </c>
      <c r="FB86">
        <v>60.812</v>
      </c>
      <c r="FC86">
        <v>60.958</v>
      </c>
      <c r="FD86">
        <v>61.125</v>
      </c>
      <c r="FE86">
        <v>61.5</v>
      </c>
      <c r="FF86">
        <v>1155.59866666667</v>
      </c>
      <c r="FG86">
        <v>39.44</v>
      </c>
      <c r="FH86">
        <v>0</v>
      </c>
      <c r="FI86">
        <v>462.199999809265</v>
      </c>
      <c r="FJ86">
        <v>0</v>
      </c>
      <c r="FK86">
        <v>879.10784</v>
      </c>
      <c r="FL86">
        <v>1.25353846439091</v>
      </c>
      <c r="FM86">
        <v>10.7076924804395</v>
      </c>
      <c r="FN86">
        <v>11505.696</v>
      </c>
      <c r="FO86">
        <v>15</v>
      </c>
      <c r="FP86">
        <v>0</v>
      </c>
      <c r="FQ86" t="s">
        <v>441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-5.643649</v>
      </c>
      <c r="GD86">
        <v>-0.285986165413528</v>
      </c>
      <c r="GE86">
        <v>0.0448882786370785</v>
      </c>
      <c r="GF86">
        <v>1</v>
      </c>
      <c r="GG86">
        <v>878.984264705882</v>
      </c>
      <c r="GH86">
        <v>1.45737203639913</v>
      </c>
      <c r="GI86">
        <v>0.263504694547266</v>
      </c>
      <c r="GJ86">
        <v>-1</v>
      </c>
      <c r="GK86">
        <v>4.1564635</v>
      </c>
      <c r="GL86">
        <v>-0.0124154887218122</v>
      </c>
      <c r="GM86">
        <v>0.00193580028670322</v>
      </c>
      <c r="GN86">
        <v>1</v>
      </c>
      <c r="GO86">
        <v>2</v>
      </c>
      <c r="GP86">
        <v>2</v>
      </c>
      <c r="GQ86" t="s">
        <v>442</v>
      </c>
      <c r="GR86">
        <v>3.12647</v>
      </c>
      <c r="GS86">
        <v>2.72155</v>
      </c>
      <c r="GT86">
        <v>0.0833331</v>
      </c>
      <c r="GU86">
        <v>0.0847666</v>
      </c>
      <c r="GV86">
        <v>0.110098</v>
      </c>
      <c r="GW86">
        <v>0.0990626</v>
      </c>
      <c r="GX86">
        <v>32830.5</v>
      </c>
      <c r="GY86">
        <v>34647.9</v>
      </c>
      <c r="GZ86">
        <v>32535.9</v>
      </c>
      <c r="HA86">
        <v>34408.9</v>
      </c>
      <c r="HB86">
        <v>41331</v>
      </c>
      <c r="HC86">
        <v>44716.8</v>
      </c>
      <c r="HD86">
        <v>51146.6</v>
      </c>
      <c r="HE86">
        <v>55208.9</v>
      </c>
      <c r="HF86">
        <v>1.66812</v>
      </c>
      <c r="HG86">
        <v>1.53497</v>
      </c>
      <c r="HH86">
        <v>-0.0455678</v>
      </c>
      <c r="HI86">
        <v>0</v>
      </c>
      <c r="HJ86">
        <v>42.9051</v>
      </c>
      <c r="HK86">
        <v>999.9</v>
      </c>
      <c r="HL86">
        <v>55.097</v>
      </c>
      <c r="HM86">
        <v>29.719</v>
      </c>
      <c r="HN86">
        <v>25.4819</v>
      </c>
      <c r="HO86">
        <v>60.6808</v>
      </c>
      <c r="HP86">
        <v>41.1378</v>
      </c>
      <c r="HQ86">
        <v>1</v>
      </c>
      <c r="HR86">
        <v>2.44787</v>
      </c>
      <c r="HS86">
        <v>9.28105</v>
      </c>
      <c r="HT86">
        <v>19.899</v>
      </c>
      <c r="HU86">
        <v>5.19183</v>
      </c>
      <c r="HV86">
        <v>12.0159</v>
      </c>
      <c r="HW86">
        <v>4.9703</v>
      </c>
      <c r="HX86">
        <v>3.29533</v>
      </c>
      <c r="HY86">
        <v>9999</v>
      </c>
      <c r="HZ86">
        <v>999.9</v>
      </c>
      <c r="IA86">
        <v>9999</v>
      </c>
      <c r="IB86">
        <v>9999</v>
      </c>
      <c r="IC86">
        <v>1.86325</v>
      </c>
      <c r="ID86">
        <v>1.868</v>
      </c>
      <c r="IE86">
        <v>1.86782</v>
      </c>
      <c r="IF86">
        <v>1.86902</v>
      </c>
      <c r="IG86">
        <v>1.86981</v>
      </c>
      <c r="IH86">
        <v>1.86584</v>
      </c>
      <c r="II86">
        <v>1.86691</v>
      </c>
      <c r="IJ86">
        <v>1.86829</v>
      </c>
      <c r="IK86">
        <v>5</v>
      </c>
      <c r="IL86">
        <v>0</v>
      </c>
      <c r="IM86">
        <v>0</v>
      </c>
      <c r="IN86">
        <v>0</v>
      </c>
      <c r="IO86" t="s">
        <v>443</v>
      </c>
      <c r="IP86" t="s">
        <v>444</v>
      </c>
      <c r="IQ86" t="s">
        <v>445</v>
      </c>
      <c r="IR86" t="s">
        <v>445</v>
      </c>
      <c r="IS86" t="s">
        <v>445</v>
      </c>
      <c r="IT86" t="s">
        <v>445</v>
      </c>
      <c r="IU86">
        <v>0</v>
      </c>
      <c r="IV86">
        <v>100</v>
      </c>
      <c r="IW86">
        <v>100</v>
      </c>
      <c r="IX86">
        <v>2.427</v>
      </c>
      <c r="IY86">
        <v>0.4352</v>
      </c>
      <c r="IZ86">
        <v>0.833350075594679</v>
      </c>
      <c r="JA86">
        <v>0.00412825224050377</v>
      </c>
      <c r="JB86">
        <v>-7.34426573386615e-07</v>
      </c>
      <c r="JC86">
        <v>2.46800082545482e-10</v>
      </c>
      <c r="JD86">
        <v>0.435209846415365</v>
      </c>
      <c r="JE86">
        <v>0</v>
      </c>
      <c r="JF86">
        <v>0</v>
      </c>
      <c r="JG86">
        <v>0</v>
      </c>
      <c r="JH86">
        <v>5</v>
      </c>
      <c r="JI86">
        <v>2250</v>
      </c>
      <c r="JJ86">
        <v>0</v>
      </c>
      <c r="JK86">
        <v>24</v>
      </c>
      <c r="JL86">
        <v>29348576.8</v>
      </c>
      <c r="JM86">
        <v>29348576.8</v>
      </c>
      <c r="JN86">
        <v>1.01929</v>
      </c>
      <c r="JO86">
        <v>2.63062</v>
      </c>
      <c r="JP86">
        <v>1.54785</v>
      </c>
      <c r="JQ86">
        <v>2.31689</v>
      </c>
      <c r="JR86">
        <v>1.64673</v>
      </c>
      <c r="JS86">
        <v>2.39868</v>
      </c>
      <c r="JT86">
        <v>34.0771</v>
      </c>
      <c r="JU86">
        <v>24.105</v>
      </c>
      <c r="JV86">
        <v>18</v>
      </c>
      <c r="JW86">
        <v>483.445</v>
      </c>
      <c r="JX86">
        <v>387.023</v>
      </c>
      <c r="JY86">
        <v>33.3669</v>
      </c>
      <c r="JZ86">
        <v>53.9886</v>
      </c>
      <c r="KA86">
        <v>30.0009</v>
      </c>
      <c r="KB86">
        <v>53.3713</v>
      </c>
      <c r="KC86">
        <v>53.1558</v>
      </c>
      <c r="KD86">
        <v>20.4124</v>
      </c>
      <c r="KE86">
        <v>0</v>
      </c>
      <c r="KF86">
        <v>100</v>
      </c>
      <c r="KG86">
        <v>32.7299</v>
      </c>
      <c r="KH86">
        <v>420</v>
      </c>
      <c r="KI86">
        <v>35.6443</v>
      </c>
      <c r="KJ86">
        <v>92.6964</v>
      </c>
      <c r="KK86">
        <v>89.3158</v>
      </c>
    </row>
    <row r="87" spans="1:297">
      <c r="A87">
        <v>71</v>
      </c>
      <c r="B87">
        <v>1760914754.1</v>
      </c>
      <c r="C87">
        <v>20990</v>
      </c>
      <c r="D87" t="s">
        <v>742</v>
      </c>
      <c r="E87" t="s">
        <v>743</v>
      </c>
      <c r="F87">
        <v>5</v>
      </c>
      <c r="G87" t="s">
        <v>457</v>
      </c>
      <c r="H87" t="s">
        <v>436</v>
      </c>
      <c r="I87">
        <v>1760914746.1</v>
      </c>
      <c r="J87">
        <f>(K87)/1000</f>
        <v>0</v>
      </c>
      <c r="K87">
        <f>IF(DP87, AN87, AH87)</f>
        <v>0</v>
      </c>
      <c r="L87">
        <f>IF(DP87, AI87, AG87)</f>
        <v>0</v>
      </c>
      <c r="M87">
        <f>DR87 - IF(AU87&gt;1, L87*DL87*100.0/(AW87), 0)</f>
        <v>0</v>
      </c>
      <c r="N87">
        <f>((T87-J87/2)*M87-L87)/(T87+J87/2)</f>
        <v>0</v>
      </c>
      <c r="O87">
        <f>N87*(DY87+DZ87)/1000.0</f>
        <v>0</v>
      </c>
      <c r="P87">
        <f>(DR87 - IF(AU87&gt;1, L87*DL87*100.0/(AW87), 0))*(DY87+DZ87)/1000.0</f>
        <v>0</v>
      </c>
      <c r="Q87">
        <f>2.0/((1/S87-1/R87)+SIGN(S87)*SQRT((1/S87-1/R87)*(1/S87-1/R87) + 4*DM87/((DM87+1)*(DM87+1))*(2*1/S87*1/R87-1/R87*1/R87)))</f>
        <v>0</v>
      </c>
      <c r="R87">
        <f>IF(LEFT(DN87,1)&lt;&gt;"0",IF(LEFT(DN87,1)="1",3.0,DO87),$D$5+$E$5*(EF87*DY87/($K$5*1000))+$F$5*(EF87*DY87/($K$5*1000))*MAX(MIN(DL87,$J$5),$I$5)*MAX(MIN(DL87,$J$5),$I$5)+$G$5*MAX(MIN(DL87,$J$5),$I$5)*(EF87*DY87/($K$5*1000))+$H$5*(EF87*DY87/($K$5*1000))*(EF87*DY87/($K$5*1000)))</f>
        <v>0</v>
      </c>
      <c r="S87">
        <f>J87*(1000-(1000*0.61365*exp(17.502*W87/(240.97+W87))/(DY87+DZ87)+DT87)/2)/(1000*0.61365*exp(17.502*W87/(240.97+W87))/(DY87+DZ87)-DT87)</f>
        <v>0</v>
      </c>
      <c r="T87">
        <f>1/((DM87+1)/(Q87/1.6)+1/(R87/1.37)) + DM87/((DM87+1)/(Q87/1.6) + DM87/(R87/1.37))</f>
        <v>0</v>
      </c>
      <c r="U87">
        <f>(DH87*DK87)</f>
        <v>0</v>
      </c>
      <c r="V87">
        <f>(EA87+(U87+2*0.95*5.67E-8*(((EA87+$B$7)+273)^4-(EA87+273)^4)-44100*J87)/(1.84*29.3*R87+8*0.95*5.67E-8*(EA87+273)^3))</f>
        <v>0</v>
      </c>
      <c r="W87">
        <f>($C$7*EB87+$D$7*EC87+$E$7*V87)</f>
        <v>0</v>
      </c>
      <c r="X87">
        <f>0.61365*exp(17.502*W87/(240.97+W87))</f>
        <v>0</v>
      </c>
      <c r="Y87">
        <f>(Z87/AA87*100)</f>
        <v>0</v>
      </c>
      <c r="Z87">
        <f>DT87*(DY87+DZ87)/1000</f>
        <v>0</v>
      </c>
      <c r="AA87">
        <f>0.61365*exp(17.502*EA87/(240.97+EA87))</f>
        <v>0</v>
      </c>
      <c r="AB87">
        <f>(X87-DT87*(DY87+DZ87)/1000)</f>
        <v>0</v>
      </c>
      <c r="AC87">
        <f>(-J87*44100)</f>
        <v>0</v>
      </c>
      <c r="AD87">
        <f>2*29.3*R87*0.92*(EA87-W87)</f>
        <v>0</v>
      </c>
      <c r="AE87">
        <f>2*0.95*5.67E-8*(((EA87+$B$7)+273)^4-(W87+273)^4)</f>
        <v>0</v>
      </c>
      <c r="AF87">
        <f>U87+AE87+AC87+AD87</f>
        <v>0</v>
      </c>
      <c r="AG87">
        <f>DX87*AU87*(DS87-DR87*(1000-AU87*DU87)/(1000-AU87*DT87))/(100*DL87)</f>
        <v>0</v>
      </c>
      <c r="AH87">
        <f>1000*DX87*AU87*(DT87-DU87)/(100*DL87*(1000-AU87*DT87))</f>
        <v>0</v>
      </c>
      <c r="AI87">
        <f>(AJ87 - AK87 - DY87*1E3/(8.314*(EA87+273.15)) * AM87/DX87 * AL87) * DX87/(100*DL87) * (1000 - DU87)/1000</f>
        <v>0</v>
      </c>
      <c r="AJ87">
        <v>430.515298635243</v>
      </c>
      <c r="AK87">
        <v>426.634290909091</v>
      </c>
      <c r="AL87">
        <v>-0.000203390478571709</v>
      </c>
      <c r="AM87">
        <v>65.3986900887677</v>
      </c>
      <c r="AN87">
        <f>(AP87 - AO87 + DY87*1E3/(8.314*(EA87+273.15)) * AR87/DX87 * AQ87) * DX87/(100*DL87) * 1000/(1000 - AP87)</f>
        <v>0</v>
      </c>
      <c r="AO87">
        <v>24.3833776880377</v>
      </c>
      <c r="AP87">
        <v>28.5544690909091</v>
      </c>
      <c r="AQ87">
        <v>4.71593736133291e-05</v>
      </c>
      <c r="AR87">
        <v>114.575935620418</v>
      </c>
      <c r="AS87">
        <v>14</v>
      </c>
      <c r="AT87">
        <v>3</v>
      </c>
      <c r="AU87">
        <f>IF(AS87*$H$13&gt;=AW87,1.0,(AW87/(AW87-AS87*$H$13)))</f>
        <v>0</v>
      </c>
      <c r="AV87">
        <f>(AU87-1)*100</f>
        <v>0</v>
      </c>
      <c r="AW87">
        <f>MAX(0,($B$13+$C$13*EF87)/(1+$D$13*EF87)*DY87/(EA87+273)*$E$13)</f>
        <v>0</v>
      </c>
      <c r="AX87" t="s">
        <v>437</v>
      </c>
      <c r="AY87">
        <v>5082.33</v>
      </c>
      <c r="AZ87">
        <v>690.032</v>
      </c>
      <c r="BA87">
        <v>1612.68</v>
      </c>
      <c r="BB87">
        <f>1-AZ87/BA87</f>
        <v>0</v>
      </c>
      <c r="BC87">
        <v>-9.7270689171713</v>
      </c>
      <c r="BD87" t="s">
        <v>744</v>
      </c>
      <c r="BE87">
        <v>5110.58</v>
      </c>
      <c r="BF87">
        <v>879.3224</v>
      </c>
      <c r="BG87">
        <v>1049.64904718152</v>
      </c>
      <c r="BH87">
        <f>1-BF87/BG87</f>
        <v>0</v>
      </c>
      <c r="BI87">
        <v>0.5</v>
      </c>
      <c r="BJ87">
        <f>DI87</f>
        <v>0</v>
      </c>
      <c r="BK87">
        <f>L87</f>
        <v>0</v>
      </c>
      <c r="BL87">
        <f>BH87*BI87*BJ87</f>
        <v>0</v>
      </c>
      <c r="BM87">
        <f>(BK87-BC87)/BJ87</f>
        <v>0</v>
      </c>
      <c r="BN87">
        <f>(BA87-BG87)/BG87</f>
        <v>0</v>
      </c>
      <c r="BO87">
        <f>AZ87/(BB87+AZ87/BG87)</f>
        <v>0</v>
      </c>
      <c r="BP87" t="s">
        <v>745</v>
      </c>
      <c r="BQ87">
        <v>707.87</v>
      </c>
      <c r="BR87">
        <f>IF(BQ87&lt;&gt;0, BQ87, BO87)</f>
        <v>0</v>
      </c>
      <c r="BS87">
        <f>1-BR87/BG87</f>
        <v>0</v>
      </c>
      <c r="BT87">
        <f>(BG87-BF87)/(BG87-BR87)</f>
        <v>0</v>
      </c>
      <c r="BU87">
        <f>(BA87-BG87)/(BA87-BR87)</f>
        <v>0</v>
      </c>
      <c r="BV87">
        <f>(BG87-BF87)/(BG87-AZ87)</f>
        <v>0</v>
      </c>
      <c r="BW87">
        <f>(BA87-BG87)/(BA87-AZ87)</f>
        <v>0</v>
      </c>
      <c r="BX87">
        <f>(BT87*BR87/BF87)</f>
        <v>0</v>
      </c>
      <c r="BY87">
        <f>(1-BX87)</f>
        <v>0</v>
      </c>
      <c r="BZ87">
        <v>236</v>
      </c>
      <c r="CA87">
        <v>290</v>
      </c>
      <c r="CB87">
        <v>995.06</v>
      </c>
      <c r="CC87">
        <v>235</v>
      </c>
      <c r="CD87">
        <v>5110.58</v>
      </c>
      <c r="CE87">
        <v>995.52</v>
      </c>
      <c r="CF87">
        <v>-0.46</v>
      </c>
      <c r="CG87">
        <v>300</v>
      </c>
      <c r="CH87">
        <v>23.9</v>
      </c>
      <c r="CI87">
        <v>1049.64904718152</v>
      </c>
      <c r="CJ87">
        <v>1.93995784879814</v>
      </c>
      <c r="CK87">
        <v>-27.6652770808503</v>
      </c>
      <c r="CL87">
        <v>0.891881671229831</v>
      </c>
      <c r="CM87">
        <v>0.971722265356628</v>
      </c>
      <c r="CN87">
        <v>-0.00322460444938822</v>
      </c>
      <c r="CO87">
        <v>290</v>
      </c>
      <c r="CP87">
        <v>993.89</v>
      </c>
      <c r="CQ87">
        <v>675</v>
      </c>
      <c r="CR87">
        <v>5106.84</v>
      </c>
      <c r="CS87">
        <v>995.48</v>
      </c>
      <c r="CT87">
        <v>-1.59</v>
      </c>
      <c r="DH87">
        <f>$B$11*EG87+$C$11*EH87+$F$11*ES87*(1-EV87)</f>
        <v>0</v>
      </c>
      <c r="DI87">
        <f>DH87*DJ87</f>
        <v>0</v>
      </c>
      <c r="DJ87">
        <f>($B$11*$D$9+$C$11*$D$9+$F$11*((FF87+EX87)/MAX(FF87+EX87+FG87, 0.1)*$I$9+FG87/MAX(FF87+EX87+FG87, 0.1)*$J$9))/($B$11+$C$11+$F$11)</f>
        <v>0</v>
      </c>
      <c r="DK87">
        <f>($B$11*$K$9+$C$11*$K$9+$F$11*((FF87+EX87)/MAX(FF87+EX87+FG87, 0.1)*$P$9+FG87/MAX(FF87+EX87+FG87, 0.1)*$Q$9))/($B$11+$C$11+$F$11)</f>
        <v>0</v>
      </c>
      <c r="DL87">
        <v>3.21</v>
      </c>
      <c r="DM87">
        <v>0.5</v>
      </c>
      <c r="DN87" t="s">
        <v>440</v>
      </c>
      <c r="DO87">
        <v>2</v>
      </c>
      <c r="DP87" t="b">
        <v>1</v>
      </c>
      <c r="DQ87">
        <v>1760914746.1</v>
      </c>
      <c r="DR87">
        <v>414.454533333333</v>
      </c>
      <c r="DS87">
        <v>420.0056</v>
      </c>
      <c r="DT87">
        <v>28.54416</v>
      </c>
      <c r="DU87">
        <v>24.3808733333333</v>
      </c>
      <c r="DV87">
        <v>412.027533333333</v>
      </c>
      <c r="DW87">
        <v>28.1089533333333</v>
      </c>
      <c r="DX87">
        <v>499.994266666667</v>
      </c>
      <c r="DY87">
        <v>90.6073733333333</v>
      </c>
      <c r="DZ87">
        <v>0.0440079</v>
      </c>
      <c r="EA87">
        <v>42.4817666666667</v>
      </c>
      <c r="EB87">
        <v>42.46398</v>
      </c>
      <c r="EC87">
        <v>999.9</v>
      </c>
      <c r="ED87">
        <v>0</v>
      </c>
      <c r="EE87">
        <v>0</v>
      </c>
      <c r="EF87">
        <v>10000.8353333333</v>
      </c>
      <c r="EG87">
        <v>0</v>
      </c>
      <c r="EH87">
        <v>1225.626</v>
      </c>
      <c r="EI87">
        <v>-5.55102733333333</v>
      </c>
      <c r="EJ87">
        <v>426.632333333333</v>
      </c>
      <c r="EK87">
        <v>430.501466666667</v>
      </c>
      <c r="EL87">
        <v>4.16330333333333</v>
      </c>
      <c r="EM87">
        <v>420.0056</v>
      </c>
      <c r="EN87">
        <v>24.3808733333333</v>
      </c>
      <c r="EO87">
        <v>2.58631333333333</v>
      </c>
      <c r="EP87">
        <v>2.209088</v>
      </c>
      <c r="EQ87">
        <v>21.58012</v>
      </c>
      <c r="ER87">
        <v>19.0283666666667</v>
      </c>
      <c r="ES87">
        <v>1200.024</v>
      </c>
      <c r="ET87">
        <v>0.966994666666667</v>
      </c>
      <c r="EU87">
        <v>0.0330054866666667</v>
      </c>
      <c r="EV87">
        <v>0</v>
      </c>
      <c r="EW87">
        <v>879.285066666667</v>
      </c>
      <c r="EX87">
        <v>5.00059</v>
      </c>
      <c r="EY87">
        <v>11504.6133333333</v>
      </c>
      <c r="EZ87">
        <v>10358.92</v>
      </c>
      <c r="FA87">
        <v>60.7872</v>
      </c>
      <c r="FB87">
        <v>60.875</v>
      </c>
      <c r="FC87">
        <v>60.937</v>
      </c>
      <c r="FD87">
        <v>61.1415333333333</v>
      </c>
      <c r="FE87">
        <v>61.5</v>
      </c>
      <c r="FF87">
        <v>1155.584</v>
      </c>
      <c r="FG87">
        <v>39.44</v>
      </c>
      <c r="FH87">
        <v>0</v>
      </c>
      <c r="FI87">
        <v>141.600000143051</v>
      </c>
      <c r="FJ87">
        <v>0</v>
      </c>
      <c r="FK87">
        <v>879.3224</v>
      </c>
      <c r="FL87">
        <v>1.01969231391686</v>
      </c>
      <c r="FM87">
        <v>20.3076923544442</v>
      </c>
      <c r="FN87">
        <v>11504.692</v>
      </c>
      <c r="FO87">
        <v>15</v>
      </c>
      <c r="FP87">
        <v>0</v>
      </c>
      <c r="FQ87" t="s">
        <v>441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-5.5640419047619</v>
      </c>
      <c r="GD87">
        <v>0.170440105651241</v>
      </c>
      <c r="GE87">
        <v>0.0308491314408946</v>
      </c>
      <c r="GF87">
        <v>1</v>
      </c>
      <c r="GG87">
        <v>879.209470588235</v>
      </c>
      <c r="GH87">
        <v>1.1928495077373</v>
      </c>
      <c r="GI87">
        <v>0.242090070172494</v>
      </c>
      <c r="GJ87">
        <v>-1</v>
      </c>
      <c r="GK87">
        <v>4.15996619047619</v>
      </c>
      <c r="GL87">
        <v>0.0546677958077173</v>
      </c>
      <c r="GM87">
        <v>0.00549484041641009</v>
      </c>
      <c r="GN87">
        <v>1</v>
      </c>
      <c r="GO87">
        <v>2</v>
      </c>
      <c r="GP87">
        <v>2</v>
      </c>
      <c r="GQ87" t="s">
        <v>442</v>
      </c>
      <c r="GR87">
        <v>3.12647</v>
      </c>
      <c r="GS87">
        <v>2.72197</v>
      </c>
      <c r="GT87">
        <v>0.0832763</v>
      </c>
      <c r="GU87">
        <v>0.084684</v>
      </c>
      <c r="GV87">
        <v>0.110258</v>
      </c>
      <c r="GW87">
        <v>0.0992056</v>
      </c>
      <c r="GX87">
        <v>32790</v>
      </c>
      <c r="GY87">
        <v>34595.5</v>
      </c>
      <c r="GZ87">
        <v>32495.8</v>
      </c>
      <c r="HA87">
        <v>34355.7</v>
      </c>
      <c r="HB87">
        <v>41280.4</v>
      </c>
      <c r="HC87">
        <v>44645.4</v>
      </c>
      <c r="HD87">
        <v>51090.5</v>
      </c>
      <c r="HE87">
        <v>55128.5</v>
      </c>
      <c r="HF87">
        <v>1.66363</v>
      </c>
      <c r="HG87">
        <v>1.5298</v>
      </c>
      <c r="HH87">
        <v>-0.0613332</v>
      </c>
      <c r="HI87">
        <v>0</v>
      </c>
      <c r="HJ87">
        <v>43.4548</v>
      </c>
      <c r="HK87">
        <v>999.9</v>
      </c>
      <c r="HL87">
        <v>55.146</v>
      </c>
      <c r="HM87">
        <v>29.729</v>
      </c>
      <c r="HN87">
        <v>25.531</v>
      </c>
      <c r="HO87">
        <v>60.6791</v>
      </c>
      <c r="HP87">
        <v>41.0938</v>
      </c>
      <c r="HQ87">
        <v>1</v>
      </c>
      <c r="HR87">
        <v>2.50537</v>
      </c>
      <c r="HS87">
        <v>9.28105</v>
      </c>
      <c r="HT87">
        <v>19.9006</v>
      </c>
      <c r="HU87">
        <v>5.19063</v>
      </c>
      <c r="HV87">
        <v>12.0159</v>
      </c>
      <c r="HW87">
        <v>4.96975</v>
      </c>
      <c r="HX87">
        <v>3.29525</v>
      </c>
      <c r="HY87">
        <v>9999</v>
      </c>
      <c r="HZ87">
        <v>999.9</v>
      </c>
      <c r="IA87">
        <v>9999</v>
      </c>
      <c r="IB87">
        <v>9999</v>
      </c>
      <c r="IC87">
        <v>1.86325</v>
      </c>
      <c r="ID87">
        <v>1.868</v>
      </c>
      <c r="IE87">
        <v>1.86783</v>
      </c>
      <c r="IF87">
        <v>1.86904</v>
      </c>
      <c r="IG87">
        <v>1.86981</v>
      </c>
      <c r="IH87">
        <v>1.86584</v>
      </c>
      <c r="II87">
        <v>1.86691</v>
      </c>
      <c r="IJ87">
        <v>1.8683</v>
      </c>
      <c r="IK87">
        <v>5</v>
      </c>
      <c r="IL87">
        <v>0</v>
      </c>
      <c r="IM87">
        <v>0</v>
      </c>
      <c r="IN87">
        <v>0</v>
      </c>
      <c r="IO87" t="s">
        <v>443</v>
      </c>
      <c r="IP87" t="s">
        <v>444</v>
      </c>
      <c r="IQ87" t="s">
        <v>445</v>
      </c>
      <c r="IR87" t="s">
        <v>445</v>
      </c>
      <c r="IS87" t="s">
        <v>445</v>
      </c>
      <c r="IT87" t="s">
        <v>445</v>
      </c>
      <c r="IU87">
        <v>0</v>
      </c>
      <c r="IV87">
        <v>100</v>
      </c>
      <c r="IW87">
        <v>100</v>
      </c>
      <c r="IX87">
        <v>2.427</v>
      </c>
      <c r="IY87">
        <v>0.4352</v>
      </c>
      <c r="IZ87">
        <v>0.833350075594679</v>
      </c>
      <c r="JA87">
        <v>0.00412825224050377</v>
      </c>
      <c r="JB87">
        <v>-7.34426573386615e-07</v>
      </c>
      <c r="JC87">
        <v>2.46800082545482e-10</v>
      </c>
      <c r="JD87">
        <v>0.435209846415365</v>
      </c>
      <c r="JE87">
        <v>0</v>
      </c>
      <c r="JF87">
        <v>0</v>
      </c>
      <c r="JG87">
        <v>0</v>
      </c>
      <c r="JH87">
        <v>5</v>
      </c>
      <c r="JI87">
        <v>2250</v>
      </c>
      <c r="JJ87">
        <v>0</v>
      </c>
      <c r="JK87">
        <v>24</v>
      </c>
      <c r="JL87">
        <v>29348579.2</v>
      </c>
      <c r="JM87">
        <v>29348579.2</v>
      </c>
      <c r="JN87">
        <v>1.01807</v>
      </c>
      <c r="JO87">
        <v>2.62939</v>
      </c>
      <c r="JP87">
        <v>1.54785</v>
      </c>
      <c r="JQ87">
        <v>2.31689</v>
      </c>
      <c r="JR87">
        <v>1.64673</v>
      </c>
      <c r="JS87">
        <v>2.40967</v>
      </c>
      <c r="JT87">
        <v>34.1678</v>
      </c>
      <c r="JU87">
        <v>24.105</v>
      </c>
      <c r="JV87">
        <v>18</v>
      </c>
      <c r="JW87">
        <v>481.503</v>
      </c>
      <c r="JX87">
        <v>384.857</v>
      </c>
      <c r="JY87">
        <v>33.7929</v>
      </c>
      <c r="JZ87">
        <v>54.3749</v>
      </c>
      <c r="KA87">
        <v>30.0024</v>
      </c>
      <c r="KB87">
        <v>53.6108</v>
      </c>
      <c r="KC87">
        <v>53.3929</v>
      </c>
      <c r="KD87">
        <v>20.3987</v>
      </c>
      <c r="KE87">
        <v>0</v>
      </c>
      <c r="KF87">
        <v>100</v>
      </c>
      <c r="KG87">
        <v>26.2291</v>
      </c>
      <c r="KH87">
        <v>420</v>
      </c>
      <c r="KI87">
        <v>35.6443</v>
      </c>
      <c r="KJ87">
        <v>92.5897</v>
      </c>
      <c r="KK87">
        <v>89.1828</v>
      </c>
    </row>
    <row r="88" spans="1:297">
      <c r="A88">
        <v>72</v>
      </c>
      <c r="B88">
        <v>1760914872.1</v>
      </c>
      <c r="C88">
        <v>21108</v>
      </c>
      <c r="D88" t="s">
        <v>746</v>
      </c>
      <c r="E88" t="s">
        <v>747</v>
      </c>
      <c r="F88">
        <v>5</v>
      </c>
      <c r="G88" t="s">
        <v>457</v>
      </c>
      <c r="H88" t="s">
        <v>436</v>
      </c>
      <c r="I88">
        <v>1760914864.1</v>
      </c>
      <c r="J88">
        <f>(K88)/1000</f>
        <v>0</v>
      </c>
      <c r="K88">
        <f>IF(DP88, AN88, AH88)</f>
        <v>0</v>
      </c>
      <c r="L88">
        <f>IF(DP88, AI88, AG88)</f>
        <v>0</v>
      </c>
      <c r="M88">
        <f>DR88 - IF(AU88&gt;1, L88*DL88*100.0/(AW88), 0)</f>
        <v>0</v>
      </c>
      <c r="N88">
        <f>((T88-J88/2)*M88-L88)/(T88+J88/2)</f>
        <v>0</v>
      </c>
      <c r="O88">
        <f>N88*(DY88+DZ88)/1000.0</f>
        <v>0</v>
      </c>
      <c r="P88">
        <f>(DR88 - IF(AU88&gt;1, L88*DL88*100.0/(AW88), 0))*(DY88+DZ88)/1000.0</f>
        <v>0</v>
      </c>
      <c r="Q88">
        <f>2.0/((1/S88-1/R88)+SIGN(S88)*SQRT((1/S88-1/R88)*(1/S88-1/R88) + 4*DM88/((DM88+1)*(DM88+1))*(2*1/S88*1/R88-1/R88*1/R88)))</f>
        <v>0</v>
      </c>
      <c r="R88">
        <f>IF(LEFT(DN88,1)&lt;&gt;"0",IF(LEFT(DN88,1)="1",3.0,DO88),$D$5+$E$5*(EF88*DY88/($K$5*1000))+$F$5*(EF88*DY88/($K$5*1000))*MAX(MIN(DL88,$J$5),$I$5)*MAX(MIN(DL88,$J$5),$I$5)+$G$5*MAX(MIN(DL88,$J$5),$I$5)*(EF88*DY88/($K$5*1000))+$H$5*(EF88*DY88/($K$5*1000))*(EF88*DY88/($K$5*1000)))</f>
        <v>0</v>
      </c>
      <c r="S88">
        <f>J88*(1000-(1000*0.61365*exp(17.502*W88/(240.97+W88))/(DY88+DZ88)+DT88)/2)/(1000*0.61365*exp(17.502*W88/(240.97+W88))/(DY88+DZ88)-DT88)</f>
        <v>0</v>
      </c>
      <c r="T88">
        <f>1/((DM88+1)/(Q88/1.6)+1/(R88/1.37)) + DM88/((DM88+1)/(Q88/1.6) + DM88/(R88/1.37))</f>
        <v>0</v>
      </c>
      <c r="U88">
        <f>(DH88*DK88)</f>
        <v>0</v>
      </c>
      <c r="V88">
        <f>(EA88+(U88+2*0.95*5.67E-8*(((EA88+$B$7)+273)^4-(EA88+273)^4)-44100*J88)/(1.84*29.3*R88+8*0.95*5.67E-8*(EA88+273)^3))</f>
        <v>0</v>
      </c>
      <c r="W88">
        <f>($C$7*EB88+$D$7*EC88+$E$7*V88)</f>
        <v>0</v>
      </c>
      <c r="X88">
        <f>0.61365*exp(17.502*W88/(240.97+W88))</f>
        <v>0</v>
      </c>
      <c r="Y88">
        <f>(Z88/AA88*100)</f>
        <v>0</v>
      </c>
      <c r="Z88">
        <f>DT88*(DY88+DZ88)/1000</f>
        <v>0</v>
      </c>
      <c r="AA88">
        <f>0.61365*exp(17.502*EA88/(240.97+EA88))</f>
        <v>0</v>
      </c>
      <c r="AB88">
        <f>(X88-DT88*(DY88+DZ88)/1000)</f>
        <v>0</v>
      </c>
      <c r="AC88">
        <f>(-J88*44100)</f>
        <v>0</v>
      </c>
      <c r="AD88">
        <f>2*29.3*R88*0.92*(EA88-W88)</f>
        <v>0</v>
      </c>
      <c r="AE88">
        <f>2*0.95*5.67E-8*(((EA88+$B$7)+273)^4-(W88+273)^4)</f>
        <v>0</v>
      </c>
      <c r="AF88">
        <f>U88+AE88+AC88+AD88</f>
        <v>0</v>
      </c>
      <c r="AG88">
        <f>DX88*AU88*(DS88-DR88*(1000-AU88*DU88)/(1000-AU88*DT88))/(100*DL88)</f>
        <v>0</v>
      </c>
      <c r="AH88">
        <f>1000*DX88*AU88*(DT88-DU88)/(100*DL88*(1000-AU88*DT88))</f>
        <v>0</v>
      </c>
      <c r="AI88">
        <f>(AJ88 - AK88 - DY88*1E3/(8.314*(EA88+273.15)) * AM88/DX88 * AL88) * DX88/(100*DL88) * (1000 - DU88)/1000</f>
        <v>0</v>
      </c>
      <c r="AJ88">
        <v>430.541621268048</v>
      </c>
      <c r="AK88">
        <v>426.870072727273</v>
      </c>
      <c r="AL88">
        <v>-0.000344236809835864</v>
      </c>
      <c r="AM88">
        <v>65.3986900887677</v>
      </c>
      <c r="AN88">
        <f>(AP88 - AO88 + DY88*1E3/(8.314*(EA88+273.15)) * AR88/DX88 * AQ88) * DX88/(100*DL88) * 1000/(1000 - AP88)</f>
        <v>0</v>
      </c>
      <c r="AO88">
        <v>24.4355878727886</v>
      </c>
      <c r="AP88">
        <v>28.6767072727273</v>
      </c>
      <c r="AQ88">
        <v>4.67469794345342e-05</v>
      </c>
      <c r="AR88">
        <v>114.575935620418</v>
      </c>
      <c r="AS88">
        <v>16</v>
      </c>
      <c r="AT88">
        <v>3</v>
      </c>
      <c r="AU88">
        <f>IF(AS88*$H$13&gt;=AW88,1.0,(AW88/(AW88-AS88*$H$13)))</f>
        <v>0</v>
      </c>
      <c r="AV88">
        <f>(AU88-1)*100</f>
        <v>0</v>
      </c>
      <c r="AW88">
        <f>MAX(0,($B$13+$C$13*EF88)/(1+$D$13*EF88)*DY88/(EA88+273)*$E$13)</f>
        <v>0</v>
      </c>
      <c r="AX88" t="s">
        <v>437</v>
      </c>
      <c r="AY88">
        <v>5082.33</v>
      </c>
      <c r="AZ88">
        <v>690.032</v>
      </c>
      <c r="BA88">
        <v>1612.68</v>
      </c>
      <c r="BB88">
        <f>1-AZ88/BA88</f>
        <v>0</v>
      </c>
      <c r="BC88">
        <v>-9.7270689171713</v>
      </c>
      <c r="BD88" t="s">
        <v>748</v>
      </c>
      <c r="BE88">
        <v>5111.55</v>
      </c>
      <c r="BF88">
        <v>876.27404</v>
      </c>
      <c r="BG88">
        <v>1041.58272907093</v>
      </c>
      <c r="BH88">
        <f>1-BF88/BG88</f>
        <v>0</v>
      </c>
      <c r="BI88">
        <v>0.5</v>
      </c>
      <c r="BJ88">
        <f>DI88</f>
        <v>0</v>
      </c>
      <c r="BK88">
        <f>L88</f>
        <v>0</v>
      </c>
      <c r="BL88">
        <f>BH88*BI88*BJ88</f>
        <v>0</v>
      </c>
      <c r="BM88">
        <f>(BK88-BC88)/BJ88</f>
        <v>0</v>
      </c>
      <c r="BN88">
        <f>(BA88-BG88)/BG88</f>
        <v>0</v>
      </c>
      <c r="BO88">
        <f>AZ88/(BB88+AZ88/BG88)</f>
        <v>0</v>
      </c>
      <c r="BP88" t="s">
        <v>749</v>
      </c>
      <c r="BQ88">
        <v>701.67</v>
      </c>
      <c r="BR88">
        <f>IF(BQ88&lt;&gt;0, BQ88, BO88)</f>
        <v>0</v>
      </c>
      <c r="BS88">
        <f>1-BR88/BG88</f>
        <v>0</v>
      </c>
      <c r="BT88">
        <f>(BG88-BF88)/(BG88-BR88)</f>
        <v>0</v>
      </c>
      <c r="BU88">
        <f>(BA88-BG88)/(BA88-BR88)</f>
        <v>0</v>
      </c>
      <c r="BV88">
        <f>(BG88-BF88)/(BG88-AZ88)</f>
        <v>0</v>
      </c>
      <c r="BW88">
        <f>(BA88-BG88)/(BA88-AZ88)</f>
        <v>0</v>
      </c>
      <c r="BX88">
        <f>(BT88*BR88/BF88)</f>
        <v>0</v>
      </c>
      <c r="BY88">
        <f>(1-BX88)</f>
        <v>0</v>
      </c>
      <c r="BZ88">
        <v>238</v>
      </c>
      <c r="CA88">
        <v>290</v>
      </c>
      <c r="CB88">
        <v>989.3</v>
      </c>
      <c r="CC88">
        <v>175</v>
      </c>
      <c r="CD88">
        <v>5111.55</v>
      </c>
      <c r="CE88">
        <v>988.95</v>
      </c>
      <c r="CF88">
        <v>0.35</v>
      </c>
      <c r="CG88">
        <v>300</v>
      </c>
      <c r="CH88">
        <v>23.9</v>
      </c>
      <c r="CI88">
        <v>1041.58272907093</v>
      </c>
      <c r="CJ88">
        <v>2.08596776702787</v>
      </c>
      <c r="CK88">
        <v>-26.9033765121954</v>
      </c>
      <c r="CL88">
        <v>0.958888013881889</v>
      </c>
      <c r="CM88">
        <v>0.96565204413172</v>
      </c>
      <c r="CN88">
        <v>-0.00322422536151279</v>
      </c>
      <c r="CO88">
        <v>290</v>
      </c>
      <c r="CP88">
        <v>987.6</v>
      </c>
      <c r="CQ88">
        <v>665</v>
      </c>
      <c r="CR88">
        <v>5106.3</v>
      </c>
      <c r="CS88">
        <v>988.9</v>
      </c>
      <c r="CT88">
        <v>-1.3</v>
      </c>
      <c r="DH88">
        <f>$B$11*EG88+$C$11*EH88+$F$11*ES88*(1-EV88)</f>
        <v>0</v>
      </c>
      <c r="DI88">
        <f>DH88*DJ88</f>
        <v>0</v>
      </c>
      <c r="DJ88">
        <f>($B$11*$D$9+$C$11*$D$9+$F$11*((FF88+EX88)/MAX(FF88+EX88+FG88, 0.1)*$I$9+FG88/MAX(FF88+EX88+FG88, 0.1)*$J$9))/($B$11+$C$11+$F$11)</f>
        <v>0</v>
      </c>
      <c r="DK88">
        <f>($B$11*$K$9+$C$11*$K$9+$F$11*((FF88+EX88)/MAX(FF88+EX88+FG88, 0.1)*$P$9+FG88/MAX(FF88+EX88+FG88, 0.1)*$Q$9))/($B$11+$C$11+$F$11)</f>
        <v>0</v>
      </c>
      <c r="DL88">
        <v>3.21</v>
      </c>
      <c r="DM88">
        <v>0.5</v>
      </c>
      <c r="DN88" t="s">
        <v>440</v>
      </c>
      <c r="DO88">
        <v>2</v>
      </c>
      <c r="DP88" t="b">
        <v>1</v>
      </c>
      <c r="DQ88">
        <v>1760914864.1</v>
      </c>
      <c r="DR88">
        <v>414.638333333333</v>
      </c>
      <c r="DS88">
        <v>420.008133333333</v>
      </c>
      <c r="DT88">
        <v>28.66624</v>
      </c>
      <c r="DU88">
        <v>24.4344933333333</v>
      </c>
      <c r="DV88">
        <v>412.210866666667</v>
      </c>
      <c r="DW88">
        <v>28.2310266666667</v>
      </c>
      <c r="DX88">
        <v>499.9966</v>
      </c>
      <c r="DY88">
        <v>90.6081866666667</v>
      </c>
      <c r="DZ88">
        <v>0.0447898333333333</v>
      </c>
      <c r="EA88">
        <v>42.8415933333333</v>
      </c>
      <c r="EB88">
        <v>42.85304</v>
      </c>
      <c r="EC88">
        <v>999.9</v>
      </c>
      <c r="ED88">
        <v>0</v>
      </c>
      <c r="EE88">
        <v>0</v>
      </c>
      <c r="EF88">
        <v>9997.118</v>
      </c>
      <c r="EG88">
        <v>0</v>
      </c>
      <c r="EH88">
        <v>1225.98</v>
      </c>
      <c r="EI88">
        <v>-5.36984266666667</v>
      </c>
      <c r="EJ88">
        <v>426.875333333333</v>
      </c>
      <c r="EK88">
        <v>430.527866666667</v>
      </c>
      <c r="EL88">
        <v>4.23173333333333</v>
      </c>
      <c r="EM88">
        <v>420.008133333333</v>
      </c>
      <c r="EN88">
        <v>24.4344933333333</v>
      </c>
      <c r="EO88">
        <v>2.59739533333333</v>
      </c>
      <c r="EP88">
        <v>2.213964</v>
      </c>
      <c r="EQ88">
        <v>21.65002</v>
      </c>
      <c r="ER88">
        <v>19.0637333333333</v>
      </c>
      <c r="ES88">
        <v>1199.998</v>
      </c>
      <c r="ET88">
        <v>0.9669984</v>
      </c>
      <c r="EU88">
        <v>0.0330020666666667</v>
      </c>
      <c r="EV88">
        <v>0</v>
      </c>
      <c r="EW88">
        <v>876.343533333333</v>
      </c>
      <c r="EX88">
        <v>5.00059</v>
      </c>
      <c r="EY88">
        <v>11477.1733333333</v>
      </c>
      <c r="EZ88">
        <v>10358.6933333333</v>
      </c>
      <c r="FA88">
        <v>60.9538</v>
      </c>
      <c r="FB88">
        <v>61.1374</v>
      </c>
      <c r="FC88">
        <v>61.125</v>
      </c>
      <c r="FD88">
        <v>61.375</v>
      </c>
      <c r="FE88">
        <v>61.687</v>
      </c>
      <c r="FF88">
        <v>1155.558</v>
      </c>
      <c r="FG88">
        <v>39.44</v>
      </c>
      <c r="FH88">
        <v>0</v>
      </c>
      <c r="FI88">
        <v>114.199999809265</v>
      </c>
      <c r="FJ88">
        <v>0</v>
      </c>
      <c r="FK88">
        <v>876.27404</v>
      </c>
      <c r="FL88">
        <v>0.602384607996579</v>
      </c>
      <c r="FM88">
        <v>16.0615384837229</v>
      </c>
      <c r="FN88">
        <v>11477.404</v>
      </c>
      <c r="FO88">
        <v>15</v>
      </c>
      <c r="FP88">
        <v>0</v>
      </c>
      <c r="FQ88" t="s">
        <v>441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-5.3681195</v>
      </c>
      <c r="GD88">
        <v>-0.0568849624059994</v>
      </c>
      <c r="GE88">
        <v>0.0367141052560184</v>
      </c>
      <c r="GF88">
        <v>1</v>
      </c>
      <c r="GG88">
        <v>876.263529411765</v>
      </c>
      <c r="GH88">
        <v>0.731856373673611</v>
      </c>
      <c r="GI88">
        <v>0.22779508791045</v>
      </c>
      <c r="GJ88">
        <v>-1</v>
      </c>
      <c r="GK88">
        <v>4.227764</v>
      </c>
      <c r="GL88">
        <v>0.0699798496240611</v>
      </c>
      <c r="GM88">
        <v>0.00680957517030247</v>
      </c>
      <c r="GN88">
        <v>1</v>
      </c>
      <c r="GO88">
        <v>2</v>
      </c>
      <c r="GP88">
        <v>2</v>
      </c>
      <c r="GQ88" t="s">
        <v>442</v>
      </c>
      <c r="GR88">
        <v>3.12623</v>
      </c>
      <c r="GS88">
        <v>2.72287</v>
      </c>
      <c r="GT88">
        <v>0.0832168</v>
      </c>
      <c r="GU88">
        <v>0.0846035</v>
      </c>
      <c r="GV88">
        <v>0.110502</v>
      </c>
      <c r="GW88">
        <v>0.0992645</v>
      </c>
      <c r="GX88">
        <v>32743.4</v>
      </c>
      <c r="GY88">
        <v>34536.2</v>
      </c>
      <c r="GZ88">
        <v>32450.5</v>
      </c>
      <c r="HA88">
        <v>34296.8</v>
      </c>
      <c r="HB88">
        <v>41222.9</v>
      </c>
      <c r="HC88">
        <v>44571.5</v>
      </c>
      <c r="HD88">
        <v>51029</v>
      </c>
      <c r="HE88">
        <v>55039.8</v>
      </c>
      <c r="HF88">
        <v>1.65727</v>
      </c>
      <c r="HG88">
        <v>1.52365</v>
      </c>
      <c r="HH88">
        <v>-0.0662282</v>
      </c>
      <c r="HI88">
        <v>0</v>
      </c>
      <c r="HJ88">
        <v>43.9284</v>
      </c>
      <c r="HK88">
        <v>999.9</v>
      </c>
      <c r="HL88">
        <v>55.219</v>
      </c>
      <c r="HM88">
        <v>29.769</v>
      </c>
      <c r="HN88">
        <v>25.6218</v>
      </c>
      <c r="HO88">
        <v>60.7291</v>
      </c>
      <c r="HP88">
        <v>41.1378</v>
      </c>
      <c r="HQ88">
        <v>1</v>
      </c>
      <c r="HR88">
        <v>2.56977</v>
      </c>
      <c r="HS88">
        <v>9.28105</v>
      </c>
      <c r="HT88">
        <v>19.9</v>
      </c>
      <c r="HU88">
        <v>5.18824</v>
      </c>
      <c r="HV88">
        <v>12.0165</v>
      </c>
      <c r="HW88">
        <v>4.96985</v>
      </c>
      <c r="HX88">
        <v>3.29548</v>
      </c>
      <c r="HY88">
        <v>9999</v>
      </c>
      <c r="HZ88">
        <v>999.9</v>
      </c>
      <c r="IA88">
        <v>9999</v>
      </c>
      <c r="IB88">
        <v>9999</v>
      </c>
      <c r="IC88">
        <v>1.86325</v>
      </c>
      <c r="ID88">
        <v>1.86801</v>
      </c>
      <c r="IE88">
        <v>1.86783</v>
      </c>
      <c r="IF88">
        <v>1.86904</v>
      </c>
      <c r="IG88">
        <v>1.86981</v>
      </c>
      <c r="IH88">
        <v>1.86584</v>
      </c>
      <c r="II88">
        <v>1.86691</v>
      </c>
      <c r="IJ88">
        <v>1.8683</v>
      </c>
      <c r="IK88">
        <v>5</v>
      </c>
      <c r="IL88">
        <v>0</v>
      </c>
      <c r="IM88">
        <v>0</v>
      </c>
      <c r="IN88">
        <v>0</v>
      </c>
      <c r="IO88" t="s">
        <v>443</v>
      </c>
      <c r="IP88" t="s">
        <v>444</v>
      </c>
      <c r="IQ88" t="s">
        <v>445</v>
      </c>
      <c r="IR88" t="s">
        <v>445</v>
      </c>
      <c r="IS88" t="s">
        <v>445</v>
      </c>
      <c r="IT88" t="s">
        <v>445</v>
      </c>
      <c r="IU88">
        <v>0</v>
      </c>
      <c r="IV88">
        <v>100</v>
      </c>
      <c r="IW88">
        <v>100</v>
      </c>
      <c r="IX88">
        <v>2.427</v>
      </c>
      <c r="IY88">
        <v>0.4352</v>
      </c>
      <c r="IZ88">
        <v>0.833350075594679</v>
      </c>
      <c r="JA88">
        <v>0.00412825224050377</v>
      </c>
      <c r="JB88">
        <v>-7.34426573386615e-07</v>
      </c>
      <c r="JC88">
        <v>2.46800082545482e-10</v>
      </c>
      <c r="JD88">
        <v>0.435209846415365</v>
      </c>
      <c r="JE88">
        <v>0</v>
      </c>
      <c r="JF88">
        <v>0</v>
      </c>
      <c r="JG88">
        <v>0</v>
      </c>
      <c r="JH88">
        <v>5</v>
      </c>
      <c r="JI88">
        <v>2250</v>
      </c>
      <c r="JJ88">
        <v>0</v>
      </c>
      <c r="JK88">
        <v>24</v>
      </c>
      <c r="JL88">
        <v>29348581.2</v>
      </c>
      <c r="JM88">
        <v>29348581.2</v>
      </c>
      <c r="JN88">
        <v>1.01807</v>
      </c>
      <c r="JO88">
        <v>2.63184</v>
      </c>
      <c r="JP88">
        <v>1.54785</v>
      </c>
      <c r="JQ88">
        <v>2.31689</v>
      </c>
      <c r="JR88">
        <v>1.64673</v>
      </c>
      <c r="JS88">
        <v>2.3999</v>
      </c>
      <c r="JT88">
        <v>34.236</v>
      </c>
      <c r="JU88">
        <v>24.0963</v>
      </c>
      <c r="JV88">
        <v>18</v>
      </c>
      <c r="JW88">
        <v>479.317</v>
      </c>
      <c r="JX88">
        <v>382.888</v>
      </c>
      <c r="JY88">
        <v>34.3595</v>
      </c>
      <c r="JZ88">
        <v>54.9523</v>
      </c>
      <c r="KA88">
        <v>30.0029</v>
      </c>
      <c r="KB88">
        <v>54.05</v>
      </c>
      <c r="KC88">
        <v>53.8155</v>
      </c>
      <c r="KD88">
        <v>20.3948</v>
      </c>
      <c r="KE88">
        <v>0</v>
      </c>
      <c r="KF88">
        <v>100</v>
      </c>
      <c r="KG88">
        <v>22.1545</v>
      </c>
      <c r="KH88">
        <v>420</v>
      </c>
      <c r="KI88">
        <v>35.6443</v>
      </c>
      <c r="KJ88">
        <v>92.4714</v>
      </c>
      <c r="KK88">
        <v>89.0357</v>
      </c>
    </row>
    <row r="89" spans="1:297">
      <c r="A89">
        <v>73</v>
      </c>
      <c r="B89">
        <v>1760915367.1</v>
      </c>
      <c r="C89">
        <v>21603</v>
      </c>
      <c r="D89" t="s">
        <v>750</v>
      </c>
      <c r="E89" t="s">
        <v>751</v>
      </c>
      <c r="F89">
        <v>5</v>
      </c>
      <c r="G89" t="s">
        <v>482</v>
      </c>
      <c r="H89" t="s">
        <v>436</v>
      </c>
      <c r="I89">
        <v>1760915358.6</v>
      </c>
      <c r="J89">
        <f>(K89)/1000</f>
        <v>0</v>
      </c>
      <c r="K89">
        <f>IF(DP89, AN89, AH89)</f>
        <v>0</v>
      </c>
      <c r="L89">
        <f>IF(DP89, AI89, AG89)</f>
        <v>0</v>
      </c>
      <c r="M89">
        <f>DR89 - IF(AU89&gt;1, L89*DL89*100.0/(AW89), 0)</f>
        <v>0</v>
      </c>
      <c r="N89">
        <f>((T89-J89/2)*M89-L89)/(T89+J89/2)</f>
        <v>0</v>
      </c>
      <c r="O89">
        <f>N89*(DY89+DZ89)/1000.0</f>
        <v>0</v>
      </c>
      <c r="P89">
        <f>(DR89 - IF(AU89&gt;1, L89*DL89*100.0/(AW89), 0))*(DY89+DZ89)/1000.0</f>
        <v>0</v>
      </c>
      <c r="Q89">
        <f>2.0/((1/S89-1/R89)+SIGN(S89)*SQRT((1/S89-1/R89)*(1/S89-1/R89) + 4*DM89/((DM89+1)*(DM89+1))*(2*1/S89*1/R89-1/R89*1/R89)))</f>
        <v>0</v>
      </c>
      <c r="R89">
        <f>IF(LEFT(DN89,1)&lt;&gt;"0",IF(LEFT(DN89,1)="1",3.0,DO89),$D$5+$E$5*(EF89*DY89/($K$5*1000))+$F$5*(EF89*DY89/($K$5*1000))*MAX(MIN(DL89,$J$5),$I$5)*MAX(MIN(DL89,$J$5),$I$5)+$G$5*MAX(MIN(DL89,$J$5),$I$5)*(EF89*DY89/($K$5*1000))+$H$5*(EF89*DY89/($K$5*1000))*(EF89*DY89/($K$5*1000)))</f>
        <v>0</v>
      </c>
      <c r="S89">
        <f>J89*(1000-(1000*0.61365*exp(17.502*W89/(240.97+W89))/(DY89+DZ89)+DT89)/2)/(1000*0.61365*exp(17.502*W89/(240.97+W89))/(DY89+DZ89)-DT89)</f>
        <v>0</v>
      </c>
      <c r="T89">
        <f>1/((DM89+1)/(Q89/1.6)+1/(R89/1.37)) + DM89/((DM89+1)/(Q89/1.6) + DM89/(R89/1.37))</f>
        <v>0</v>
      </c>
      <c r="U89">
        <f>(DH89*DK89)</f>
        <v>0</v>
      </c>
      <c r="V89">
        <f>(EA89+(U89+2*0.95*5.67E-8*(((EA89+$B$7)+273)^4-(EA89+273)^4)-44100*J89)/(1.84*29.3*R89+8*0.95*5.67E-8*(EA89+273)^3))</f>
        <v>0</v>
      </c>
      <c r="W89">
        <f>($C$7*EB89+$D$7*EC89+$E$7*V89)</f>
        <v>0</v>
      </c>
      <c r="X89">
        <f>0.61365*exp(17.502*W89/(240.97+W89))</f>
        <v>0</v>
      </c>
      <c r="Y89">
        <f>(Z89/AA89*100)</f>
        <v>0</v>
      </c>
      <c r="Z89">
        <f>DT89*(DY89+DZ89)/1000</f>
        <v>0</v>
      </c>
      <c r="AA89">
        <f>0.61365*exp(17.502*EA89/(240.97+EA89))</f>
        <v>0</v>
      </c>
      <c r="AB89">
        <f>(X89-DT89*(DY89+DZ89)/1000)</f>
        <v>0</v>
      </c>
      <c r="AC89">
        <f>(-J89*44100)</f>
        <v>0</v>
      </c>
      <c r="AD89">
        <f>2*29.3*R89*0.92*(EA89-W89)</f>
        <v>0</v>
      </c>
      <c r="AE89">
        <f>2*0.95*5.67E-8*(((EA89+$B$7)+273)^4-(W89+273)^4)</f>
        <v>0</v>
      </c>
      <c r="AF89">
        <f>U89+AE89+AC89+AD89</f>
        <v>0</v>
      </c>
      <c r="AG89">
        <f>DX89*AU89*(DS89-DR89*(1000-AU89*DU89)/(1000-AU89*DT89))/(100*DL89)</f>
        <v>0</v>
      </c>
      <c r="AH89">
        <f>1000*DX89*AU89*(DT89-DU89)/(100*DL89*(1000-AU89*DT89))</f>
        <v>0</v>
      </c>
      <c r="AI89">
        <f>(AJ89 - AK89 - DY89*1E3/(8.314*(EA89+273.15)) * AM89/DX89 * AL89) * DX89/(100*DL89) * (1000 - DU89)/1000</f>
        <v>0</v>
      </c>
      <c r="AJ89">
        <v>430.589941984791</v>
      </c>
      <c r="AK89">
        <v>426.044739393939</v>
      </c>
      <c r="AL89">
        <v>0.000506101241168044</v>
      </c>
      <c r="AM89">
        <v>65.4746721941699</v>
      </c>
      <c r="AN89">
        <f>(AP89 - AO89 + DY89*1E3/(8.314*(EA89+273.15)) * AR89/DX89 * AQ89) * DX89/(100*DL89) * 1000/(1000 - AP89)</f>
        <v>0</v>
      </c>
      <c r="AO89">
        <v>24.6620725226018</v>
      </c>
      <c r="AP89">
        <v>35.7759606060606</v>
      </c>
      <c r="AQ89">
        <v>-0.0072680698532708</v>
      </c>
      <c r="AR89">
        <v>114.186758486758</v>
      </c>
      <c r="AS89">
        <v>19</v>
      </c>
      <c r="AT89">
        <v>4</v>
      </c>
      <c r="AU89">
        <f>IF(AS89*$H$13&gt;=AW89,1.0,(AW89/(AW89-AS89*$H$13)))</f>
        <v>0</v>
      </c>
      <c r="AV89">
        <f>(AU89-1)*100</f>
        <v>0</v>
      </c>
      <c r="AW89">
        <f>MAX(0,($B$13+$C$13*EF89)/(1+$D$13*EF89)*DY89/(EA89+273)*$E$13)</f>
        <v>0</v>
      </c>
      <c r="AX89" t="s">
        <v>437</v>
      </c>
      <c r="AY89">
        <v>5082.33</v>
      </c>
      <c r="AZ89">
        <v>690.032</v>
      </c>
      <c r="BA89">
        <v>1612.68</v>
      </c>
      <c r="BB89">
        <f>1-AZ89/BA89</f>
        <v>0</v>
      </c>
      <c r="BC89">
        <v>-9.7270689171713</v>
      </c>
      <c r="BD89" t="s">
        <v>752</v>
      </c>
      <c r="BE89">
        <v>5101.42</v>
      </c>
      <c r="BF89">
        <v>1310.32461538462</v>
      </c>
      <c r="BG89">
        <v>1526.69363570773</v>
      </c>
      <c r="BH89">
        <f>1-BF89/BG89</f>
        <v>0</v>
      </c>
      <c r="BI89">
        <v>0.5</v>
      </c>
      <c r="BJ89">
        <f>DI89</f>
        <v>0</v>
      </c>
      <c r="BK89">
        <f>L89</f>
        <v>0</v>
      </c>
      <c r="BL89">
        <f>BH89*BI89*BJ89</f>
        <v>0</v>
      </c>
      <c r="BM89">
        <f>(BK89-BC89)/BJ89</f>
        <v>0</v>
      </c>
      <c r="BN89">
        <f>(BA89-BG89)/BG89</f>
        <v>0</v>
      </c>
      <c r="BO89">
        <f>AZ89/(BB89+AZ89/BG89)</f>
        <v>0</v>
      </c>
      <c r="BP89" t="s">
        <v>753</v>
      </c>
      <c r="BQ89">
        <v>830.87</v>
      </c>
      <c r="BR89">
        <f>IF(BQ89&lt;&gt;0, BQ89, BO89)</f>
        <v>0</v>
      </c>
      <c r="BS89">
        <f>1-BR89/BG89</f>
        <v>0</v>
      </c>
      <c r="BT89">
        <f>(BG89-BF89)/(BG89-BR89)</f>
        <v>0</v>
      </c>
      <c r="BU89">
        <f>(BA89-BG89)/(BA89-BR89)</f>
        <v>0</v>
      </c>
      <c r="BV89">
        <f>(BG89-BF89)/(BG89-AZ89)</f>
        <v>0</v>
      </c>
      <c r="BW89">
        <f>(BA89-BG89)/(BA89-AZ89)</f>
        <v>0</v>
      </c>
      <c r="BX89">
        <f>(BT89*BR89/BF89)</f>
        <v>0</v>
      </c>
      <c r="BY89">
        <f>(1-BX89)</f>
        <v>0</v>
      </c>
      <c r="BZ89">
        <v>240</v>
      </c>
      <c r="CA89">
        <v>290</v>
      </c>
      <c r="CB89">
        <v>1463.01</v>
      </c>
      <c r="CC89">
        <v>195</v>
      </c>
      <c r="CD89">
        <v>5101.42</v>
      </c>
      <c r="CE89">
        <v>1461.85</v>
      </c>
      <c r="CF89">
        <v>1.16</v>
      </c>
      <c r="CG89">
        <v>300</v>
      </c>
      <c r="CH89">
        <v>23.9</v>
      </c>
      <c r="CI89">
        <v>1526.69363570773</v>
      </c>
      <c r="CJ89">
        <v>1.7991345679964</v>
      </c>
      <c r="CK89">
        <v>-33.0798991378025</v>
      </c>
      <c r="CL89">
        <v>0.825458790951837</v>
      </c>
      <c r="CM89">
        <v>0.982863827553717</v>
      </c>
      <c r="CN89">
        <v>-0.00321823225806452</v>
      </c>
      <c r="CO89">
        <v>290</v>
      </c>
      <c r="CP89">
        <v>1459.13</v>
      </c>
      <c r="CQ89">
        <v>735</v>
      </c>
      <c r="CR89">
        <v>5095.74</v>
      </c>
      <c r="CS89">
        <v>1461.78</v>
      </c>
      <c r="CT89">
        <v>-2.65</v>
      </c>
      <c r="DH89">
        <f>$B$11*EG89+$C$11*EH89+$F$11*ES89*(1-EV89)</f>
        <v>0</v>
      </c>
      <c r="DI89">
        <f>DH89*DJ89</f>
        <v>0</v>
      </c>
      <c r="DJ89">
        <f>($B$11*$D$9+$C$11*$D$9+$F$11*((FF89+EX89)/MAX(FF89+EX89+FG89, 0.1)*$I$9+FG89/MAX(FF89+EX89+FG89, 0.1)*$J$9))/($B$11+$C$11+$F$11)</f>
        <v>0</v>
      </c>
      <c r="DK89">
        <f>($B$11*$K$9+$C$11*$K$9+$F$11*((FF89+EX89)/MAX(FF89+EX89+FG89, 0.1)*$P$9+FG89/MAX(FF89+EX89+FG89, 0.1)*$Q$9))/($B$11+$C$11+$F$11)</f>
        <v>0</v>
      </c>
      <c r="DL89">
        <v>3.21</v>
      </c>
      <c r="DM89">
        <v>0.5</v>
      </c>
      <c r="DN89" t="s">
        <v>440</v>
      </c>
      <c r="DO89">
        <v>2</v>
      </c>
      <c r="DP89" t="b">
        <v>1</v>
      </c>
      <c r="DQ89">
        <v>1760915358.6</v>
      </c>
      <c r="DR89">
        <v>410.761625</v>
      </c>
      <c r="DS89">
        <v>419.9430625</v>
      </c>
      <c r="DT89">
        <v>35.822475</v>
      </c>
      <c r="DU89">
        <v>24.65990625</v>
      </c>
      <c r="DV89">
        <v>408.348125</v>
      </c>
      <c r="DW89">
        <v>35.38725625</v>
      </c>
      <c r="DX89">
        <v>500.0188125</v>
      </c>
      <c r="DY89">
        <v>90.6250375</v>
      </c>
      <c r="DZ89">
        <v>0.046688125</v>
      </c>
      <c r="EA89">
        <v>43.79955</v>
      </c>
      <c r="EB89">
        <v>42.77664375</v>
      </c>
      <c r="EC89">
        <v>999.9</v>
      </c>
      <c r="ED89">
        <v>0</v>
      </c>
      <c r="EE89">
        <v>0</v>
      </c>
      <c r="EF89">
        <v>10002.3775</v>
      </c>
      <c r="EG89">
        <v>0</v>
      </c>
      <c r="EH89">
        <v>1132.705</v>
      </c>
      <c r="EI89">
        <v>-9.181584375</v>
      </c>
      <c r="EJ89">
        <v>426.022875</v>
      </c>
      <c r="EK89">
        <v>430.5608125</v>
      </c>
      <c r="EL89">
        <v>11.162575</v>
      </c>
      <c r="EM89">
        <v>419.9430625</v>
      </c>
      <c r="EN89">
        <v>24.65990625</v>
      </c>
      <c r="EO89">
        <v>3.246411875</v>
      </c>
      <c r="EP89">
        <v>2.23480375</v>
      </c>
      <c r="EQ89">
        <v>25.34884375</v>
      </c>
      <c r="ER89">
        <v>19.2140125</v>
      </c>
      <c r="ES89">
        <v>1200.055625</v>
      </c>
      <c r="ET89">
        <v>0.96700975</v>
      </c>
      <c r="EU89">
        <v>0.03299049375</v>
      </c>
      <c r="EV89">
        <v>0</v>
      </c>
      <c r="EW89">
        <v>1310.4125</v>
      </c>
      <c r="EX89">
        <v>5.00059</v>
      </c>
      <c r="EY89">
        <v>17022.49375</v>
      </c>
      <c r="EZ89">
        <v>10359.23125</v>
      </c>
      <c r="FA89">
        <v>62.7185</v>
      </c>
      <c r="FB89">
        <v>64.7654375</v>
      </c>
      <c r="FC89">
        <v>63.195125</v>
      </c>
      <c r="FD89">
        <v>63.8435625</v>
      </c>
      <c r="FE89">
        <v>63.656</v>
      </c>
      <c r="FF89">
        <v>1155.629375</v>
      </c>
      <c r="FG89">
        <v>39.42625</v>
      </c>
      <c r="FH89">
        <v>0</v>
      </c>
      <c r="FI89">
        <v>490.799999952316</v>
      </c>
      <c r="FJ89">
        <v>0</v>
      </c>
      <c r="FK89">
        <v>1310.32461538462</v>
      </c>
      <c r="FL89">
        <v>-4.83965811949188</v>
      </c>
      <c r="FM89">
        <v>-19.4837605443943</v>
      </c>
      <c r="FN89">
        <v>17021.35</v>
      </c>
      <c r="FO89">
        <v>15</v>
      </c>
      <c r="FP89">
        <v>0</v>
      </c>
      <c r="FQ89" t="s">
        <v>441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-9.18439238095238</v>
      </c>
      <c r="GD89">
        <v>0.0637168831168767</v>
      </c>
      <c r="GE89">
        <v>0.0463347381669274</v>
      </c>
      <c r="GF89">
        <v>1</v>
      </c>
      <c r="GG89">
        <v>1310.71882352941</v>
      </c>
      <c r="GH89">
        <v>-5.8053475936565</v>
      </c>
      <c r="GI89">
        <v>0.614634107827735</v>
      </c>
      <c r="GJ89">
        <v>-1</v>
      </c>
      <c r="GK89">
        <v>11.1806714285714</v>
      </c>
      <c r="GL89">
        <v>-0.315903896103918</v>
      </c>
      <c r="GM89">
        <v>0.032060896563187</v>
      </c>
      <c r="GN89">
        <v>0</v>
      </c>
      <c r="GO89">
        <v>1</v>
      </c>
      <c r="GP89">
        <v>2</v>
      </c>
      <c r="GQ89" t="s">
        <v>454</v>
      </c>
      <c r="GR89">
        <v>3.12566</v>
      </c>
      <c r="GS89">
        <v>2.72491</v>
      </c>
      <c r="GT89">
        <v>0.0822189</v>
      </c>
      <c r="GU89">
        <v>0.0841561</v>
      </c>
      <c r="GV89">
        <v>0.128779</v>
      </c>
      <c r="GW89">
        <v>0.0994497</v>
      </c>
      <c r="GX89">
        <v>32611.4</v>
      </c>
      <c r="GY89">
        <v>34341.7</v>
      </c>
      <c r="GZ89">
        <v>32297.3</v>
      </c>
      <c r="HA89">
        <v>34100.1</v>
      </c>
      <c r="HB89">
        <v>40297.3</v>
      </c>
      <c r="HC89">
        <v>44329.1</v>
      </c>
      <c r="HD89">
        <v>50827.5</v>
      </c>
      <c r="HE89">
        <v>54747.4</v>
      </c>
      <c r="HF89">
        <v>1.63573</v>
      </c>
      <c r="HG89">
        <v>1.50218</v>
      </c>
      <c r="HH89">
        <v>-0.11225</v>
      </c>
      <c r="HI89">
        <v>0</v>
      </c>
      <c r="HJ89">
        <v>44.4782</v>
      </c>
      <c r="HK89">
        <v>999.9</v>
      </c>
      <c r="HL89">
        <v>55.366</v>
      </c>
      <c r="HM89">
        <v>29.9</v>
      </c>
      <c r="HN89">
        <v>25.8779</v>
      </c>
      <c r="HO89">
        <v>60.7893</v>
      </c>
      <c r="HP89">
        <v>40.6811</v>
      </c>
      <c r="HQ89">
        <v>1</v>
      </c>
      <c r="HR89">
        <v>2.81995</v>
      </c>
      <c r="HS89">
        <v>9.28105</v>
      </c>
      <c r="HT89">
        <v>19.8883</v>
      </c>
      <c r="HU89">
        <v>5.18749</v>
      </c>
      <c r="HV89">
        <v>12.0209</v>
      </c>
      <c r="HW89">
        <v>4.96885</v>
      </c>
      <c r="HX89">
        <v>3.296</v>
      </c>
      <c r="HY89">
        <v>9999</v>
      </c>
      <c r="HZ89">
        <v>999.9</v>
      </c>
      <c r="IA89">
        <v>9999</v>
      </c>
      <c r="IB89">
        <v>9999</v>
      </c>
      <c r="IC89">
        <v>1.86325</v>
      </c>
      <c r="ID89">
        <v>1.868</v>
      </c>
      <c r="IE89">
        <v>1.86782</v>
      </c>
      <c r="IF89">
        <v>1.86904</v>
      </c>
      <c r="IG89">
        <v>1.86981</v>
      </c>
      <c r="IH89">
        <v>1.86584</v>
      </c>
      <c r="II89">
        <v>1.86691</v>
      </c>
      <c r="IJ89">
        <v>1.8683</v>
      </c>
      <c r="IK89">
        <v>5</v>
      </c>
      <c r="IL89">
        <v>0</v>
      </c>
      <c r="IM89">
        <v>0</v>
      </c>
      <c r="IN89">
        <v>0</v>
      </c>
      <c r="IO89" t="s">
        <v>443</v>
      </c>
      <c r="IP89" t="s">
        <v>444</v>
      </c>
      <c r="IQ89" t="s">
        <v>445</v>
      </c>
      <c r="IR89" t="s">
        <v>445</v>
      </c>
      <c r="IS89" t="s">
        <v>445</v>
      </c>
      <c r="IT89" t="s">
        <v>445</v>
      </c>
      <c r="IU89">
        <v>0</v>
      </c>
      <c r="IV89">
        <v>100</v>
      </c>
      <c r="IW89">
        <v>100</v>
      </c>
      <c r="IX89">
        <v>2.414</v>
      </c>
      <c r="IY89">
        <v>0.4352</v>
      </c>
      <c r="IZ89">
        <v>0.833350075594679</v>
      </c>
      <c r="JA89">
        <v>0.00412825224050377</v>
      </c>
      <c r="JB89">
        <v>-7.34426573386615e-07</v>
      </c>
      <c r="JC89">
        <v>2.46800082545482e-10</v>
      </c>
      <c r="JD89">
        <v>0.435209846415365</v>
      </c>
      <c r="JE89">
        <v>0</v>
      </c>
      <c r="JF89">
        <v>0</v>
      </c>
      <c r="JG89">
        <v>0</v>
      </c>
      <c r="JH89">
        <v>5</v>
      </c>
      <c r="JI89">
        <v>2250</v>
      </c>
      <c r="JJ89">
        <v>0</v>
      </c>
      <c r="JK89">
        <v>24</v>
      </c>
      <c r="JL89">
        <v>29348589.5</v>
      </c>
      <c r="JM89">
        <v>29348589.5</v>
      </c>
      <c r="JN89">
        <v>1.01929</v>
      </c>
      <c r="JO89">
        <v>2.63062</v>
      </c>
      <c r="JP89">
        <v>1.54785</v>
      </c>
      <c r="JQ89">
        <v>2.31689</v>
      </c>
      <c r="JR89">
        <v>1.64673</v>
      </c>
      <c r="JS89">
        <v>2.41211</v>
      </c>
      <c r="JT89">
        <v>34.418</v>
      </c>
      <c r="JU89">
        <v>24.0963</v>
      </c>
      <c r="JV89">
        <v>18</v>
      </c>
      <c r="JW89">
        <v>476.224</v>
      </c>
      <c r="JX89">
        <v>379.144</v>
      </c>
      <c r="JY89">
        <v>35.1896</v>
      </c>
      <c r="JZ89">
        <v>57.5261</v>
      </c>
      <c r="KA89">
        <v>29.996</v>
      </c>
      <c r="KB89">
        <v>56.3777</v>
      </c>
      <c r="KC89">
        <v>56.0781</v>
      </c>
      <c r="KD89">
        <v>20.4255</v>
      </c>
      <c r="KE89">
        <v>0</v>
      </c>
      <c r="KF89">
        <v>100</v>
      </c>
      <c r="KG89">
        <v>25.8961</v>
      </c>
      <c r="KH89">
        <v>420</v>
      </c>
      <c r="KI89">
        <v>35.6443</v>
      </c>
      <c r="KJ89">
        <v>92.0785</v>
      </c>
      <c r="KK89">
        <v>88.5482</v>
      </c>
    </row>
    <row r="90" spans="1:297">
      <c r="A90">
        <v>74</v>
      </c>
      <c r="B90">
        <v>1760915459.1</v>
      </c>
      <c r="C90">
        <v>21695</v>
      </c>
      <c r="D90" t="s">
        <v>754</v>
      </c>
      <c r="E90" t="s">
        <v>755</v>
      </c>
      <c r="F90">
        <v>5</v>
      </c>
      <c r="G90" t="s">
        <v>482</v>
      </c>
      <c r="H90" t="s">
        <v>436</v>
      </c>
      <c r="I90">
        <v>1760915451.1</v>
      </c>
      <c r="J90">
        <f>(K90)/1000</f>
        <v>0</v>
      </c>
      <c r="K90">
        <f>IF(DP90, AN90, AH90)</f>
        <v>0</v>
      </c>
      <c r="L90">
        <f>IF(DP90, AI90, AG90)</f>
        <v>0</v>
      </c>
      <c r="M90">
        <f>DR90 - IF(AU90&gt;1, L90*DL90*100.0/(AW90), 0)</f>
        <v>0</v>
      </c>
      <c r="N90">
        <f>((T90-J90/2)*M90-L90)/(T90+J90/2)</f>
        <v>0</v>
      </c>
      <c r="O90">
        <f>N90*(DY90+DZ90)/1000.0</f>
        <v>0</v>
      </c>
      <c r="P90">
        <f>(DR90 - IF(AU90&gt;1, L90*DL90*100.0/(AW90), 0))*(DY90+DZ90)/1000.0</f>
        <v>0</v>
      </c>
      <c r="Q90">
        <f>2.0/((1/S90-1/R90)+SIGN(S90)*SQRT((1/S90-1/R90)*(1/S90-1/R90) + 4*DM90/((DM90+1)*(DM90+1))*(2*1/S90*1/R90-1/R90*1/R90)))</f>
        <v>0</v>
      </c>
      <c r="R90">
        <f>IF(LEFT(DN90,1)&lt;&gt;"0",IF(LEFT(DN90,1)="1",3.0,DO90),$D$5+$E$5*(EF90*DY90/($K$5*1000))+$F$5*(EF90*DY90/($K$5*1000))*MAX(MIN(DL90,$J$5),$I$5)*MAX(MIN(DL90,$J$5),$I$5)+$G$5*MAX(MIN(DL90,$J$5),$I$5)*(EF90*DY90/($K$5*1000))+$H$5*(EF90*DY90/($K$5*1000))*(EF90*DY90/($K$5*1000)))</f>
        <v>0</v>
      </c>
      <c r="S90">
        <f>J90*(1000-(1000*0.61365*exp(17.502*W90/(240.97+W90))/(DY90+DZ90)+DT90)/2)/(1000*0.61365*exp(17.502*W90/(240.97+W90))/(DY90+DZ90)-DT90)</f>
        <v>0</v>
      </c>
      <c r="T90">
        <f>1/((DM90+1)/(Q90/1.6)+1/(R90/1.37)) + DM90/((DM90+1)/(Q90/1.6) + DM90/(R90/1.37))</f>
        <v>0</v>
      </c>
      <c r="U90">
        <f>(DH90*DK90)</f>
        <v>0</v>
      </c>
      <c r="V90">
        <f>(EA90+(U90+2*0.95*5.67E-8*(((EA90+$B$7)+273)^4-(EA90+273)^4)-44100*J90)/(1.84*29.3*R90+8*0.95*5.67E-8*(EA90+273)^3))</f>
        <v>0</v>
      </c>
      <c r="W90">
        <f>($C$7*EB90+$D$7*EC90+$E$7*V90)</f>
        <v>0</v>
      </c>
      <c r="X90">
        <f>0.61365*exp(17.502*W90/(240.97+W90))</f>
        <v>0</v>
      </c>
      <c r="Y90">
        <f>(Z90/AA90*100)</f>
        <v>0</v>
      </c>
      <c r="Z90">
        <f>DT90*(DY90+DZ90)/1000</f>
        <v>0</v>
      </c>
      <c r="AA90">
        <f>0.61365*exp(17.502*EA90/(240.97+EA90))</f>
        <v>0</v>
      </c>
      <c r="AB90">
        <f>(X90-DT90*(DY90+DZ90)/1000)</f>
        <v>0</v>
      </c>
      <c r="AC90">
        <f>(-J90*44100)</f>
        <v>0</v>
      </c>
      <c r="AD90">
        <f>2*29.3*R90*0.92*(EA90-W90)</f>
        <v>0</v>
      </c>
      <c r="AE90">
        <f>2*0.95*5.67E-8*(((EA90+$B$7)+273)^4-(W90+273)^4)</f>
        <v>0</v>
      </c>
      <c r="AF90">
        <f>U90+AE90+AC90+AD90</f>
        <v>0</v>
      </c>
      <c r="AG90">
        <f>DX90*AU90*(DS90-DR90*(1000-AU90*DU90)/(1000-AU90*DT90))/(100*DL90)</f>
        <v>0</v>
      </c>
      <c r="AH90">
        <f>1000*DX90*AU90*(DT90-DU90)/(100*DL90*(1000-AU90*DT90))</f>
        <v>0</v>
      </c>
      <c r="AI90">
        <f>(AJ90 - AK90 - DY90*1E3/(8.314*(EA90+273.15)) * AM90/DX90 * AL90) * DX90/(100*DL90) * (1000 - DU90)/1000</f>
        <v>0</v>
      </c>
      <c r="AJ90">
        <v>430.668494443581</v>
      </c>
      <c r="AK90">
        <v>426.024478787879</v>
      </c>
      <c r="AL90">
        <v>-0.00401517682537832</v>
      </c>
      <c r="AM90">
        <v>65.4746721941699</v>
      </c>
      <c r="AN90">
        <f>(AP90 - AO90 + DY90*1E3/(8.314*(EA90+273.15)) * AR90/DX90 * AQ90) * DX90/(100*DL90) * 1000/(1000 - AP90)</f>
        <v>0</v>
      </c>
      <c r="AO90">
        <v>24.7317154193431</v>
      </c>
      <c r="AP90">
        <v>35.5175672727273</v>
      </c>
      <c r="AQ90">
        <v>4.55679283070726e-05</v>
      </c>
      <c r="AR90">
        <v>114.186758486758</v>
      </c>
      <c r="AS90">
        <v>17</v>
      </c>
      <c r="AT90">
        <v>3</v>
      </c>
      <c r="AU90">
        <f>IF(AS90*$H$13&gt;=AW90,1.0,(AW90/(AW90-AS90*$H$13)))</f>
        <v>0</v>
      </c>
      <c r="AV90">
        <f>(AU90-1)*100</f>
        <v>0</v>
      </c>
      <c r="AW90">
        <f>MAX(0,($B$13+$C$13*EF90)/(1+$D$13*EF90)*DY90/(EA90+273)*$E$13)</f>
        <v>0</v>
      </c>
      <c r="AX90" t="s">
        <v>462</v>
      </c>
      <c r="AY90" t="s">
        <v>462</v>
      </c>
      <c r="AZ90">
        <v>0</v>
      </c>
      <c r="BA90">
        <v>0</v>
      </c>
      <c r="BB90">
        <f>1-AZ90/BA90</f>
        <v>0</v>
      </c>
      <c r="BC90">
        <v>0</v>
      </c>
      <c r="BD90" t="s">
        <v>462</v>
      </c>
      <c r="BE90" t="s">
        <v>462</v>
      </c>
      <c r="BF90">
        <v>0</v>
      </c>
      <c r="BG90">
        <v>0</v>
      </c>
      <c r="BH90">
        <f>1-BF90/BG90</f>
        <v>0</v>
      </c>
      <c r="BI90">
        <v>0.5</v>
      </c>
      <c r="BJ90">
        <f>DI90</f>
        <v>0</v>
      </c>
      <c r="BK90">
        <f>L90</f>
        <v>0</v>
      </c>
      <c r="BL90">
        <f>BH90*BI90*BJ90</f>
        <v>0</v>
      </c>
      <c r="BM90">
        <f>(BK90-BC90)/BJ90</f>
        <v>0</v>
      </c>
      <c r="BN90">
        <f>(BA90-BG90)/BG90</f>
        <v>0</v>
      </c>
      <c r="BO90">
        <f>AZ90/(BB90+AZ90/BG90)</f>
        <v>0</v>
      </c>
      <c r="BP90" t="s">
        <v>462</v>
      </c>
      <c r="BQ90">
        <v>0</v>
      </c>
      <c r="BR90">
        <f>IF(BQ90&lt;&gt;0, BQ90, BO90)</f>
        <v>0</v>
      </c>
      <c r="BS90">
        <f>1-BR90/BG90</f>
        <v>0</v>
      </c>
      <c r="BT90">
        <f>(BG90-BF90)/(BG90-BR90)</f>
        <v>0</v>
      </c>
      <c r="BU90">
        <f>(BA90-BG90)/(BA90-BR90)</f>
        <v>0</v>
      </c>
      <c r="BV90">
        <f>(BG90-BF90)/(BG90-AZ90)</f>
        <v>0</v>
      </c>
      <c r="BW90">
        <f>(BA90-BG90)/(BA90-AZ90)</f>
        <v>0</v>
      </c>
      <c r="BX90">
        <f>(BT90*BR90/BF90)</f>
        <v>0</v>
      </c>
      <c r="BY90">
        <f>(1-BX90)</f>
        <v>0</v>
      </c>
      <c r="BZ90">
        <v>240</v>
      </c>
      <c r="CA90">
        <v>290</v>
      </c>
      <c r="CB90">
        <v>1463.01</v>
      </c>
      <c r="CC90">
        <v>195</v>
      </c>
      <c r="CD90">
        <v>5101.42</v>
      </c>
      <c r="CE90">
        <v>1461.85</v>
      </c>
      <c r="CF90">
        <v>1.16</v>
      </c>
      <c r="CG90">
        <v>300</v>
      </c>
      <c r="CH90">
        <v>23.9</v>
      </c>
      <c r="CI90">
        <v>1526.69363570773</v>
      </c>
      <c r="CJ90">
        <v>1.7991345679964</v>
      </c>
      <c r="CK90">
        <v>-33.0798991378025</v>
      </c>
      <c r="CL90">
        <v>0.825458790951837</v>
      </c>
      <c r="CM90">
        <v>0.982863827553717</v>
      </c>
      <c r="CN90">
        <v>-0.00321823225806452</v>
      </c>
      <c r="CO90">
        <v>290</v>
      </c>
      <c r="CP90">
        <v>1459.13</v>
      </c>
      <c r="CQ90">
        <v>735</v>
      </c>
      <c r="CR90">
        <v>5095.74</v>
      </c>
      <c r="CS90">
        <v>1461.78</v>
      </c>
      <c r="CT90">
        <v>-2.65</v>
      </c>
      <c r="DH90">
        <f>$B$11*EG90+$C$11*EH90+$F$11*ES90*(1-EV90)</f>
        <v>0</v>
      </c>
      <c r="DI90">
        <f>DH90*DJ90</f>
        <v>0</v>
      </c>
      <c r="DJ90">
        <f>($B$11*$D$9+$C$11*$D$9+$F$11*((FF90+EX90)/MAX(FF90+EX90+FG90, 0.1)*$I$9+FG90/MAX(FF90+EX90+FG90, 0.1)*$J$9))/($B$11+$C$11+$F$11)</f>
        <v>0</v>
      </c>
      <c r="DK90">
        <f>($B$11*$K$9+$C$11*$K$9+$F$11*((FF90+EX90)/MAX(FF90+EX90+FG90, 0.1)*$P$9+FG90/MAX(FF90+EX90+FG90, 0.1)*$Q$9))/($B$11+$C$11+$F$11)</f>
        <v>0</v>
      </c>
      <c r="DL90">
        <v>3.21</v>
      </c>
      <c r="DM90">
        <v>0.5</v>
      </c>
      <c r="DN90" t="s">
        <v>440</v>
      </c>
      <c r="DO90">
        <v>2</v>
      </c>
      <c r="DP90" t="b">
        <v>1</v>
      </c>
      <c r="DQ90">
        <v>1760915451.1</v>
      </c>
      <c r="DR90">
        <v>410.925933333333</v>
      </c>
      <c r="DS90">
        <v>420.036266666667</v>
      </c>
      <c r="DT90">
        <v>35.5137133333333</v>
      </c>
      <c r="DU90">
        <v>24.7278866666667</v>
      </c>
      <c r="DV90">
        <v>408.5118</v>
      </c>
      <c r="DW90">
        <v>35.0785066666667</v>
      </c>
      <c r="DX90">
        <v>500.005466666667</v>
      </c>
      <c r="DY90">
        <v>90.6302066666667</v>
      </c>
      <c r="DZ90">
        <v>0.04648084</v>
      </c>
      <c r="EA90">
        <v>43.5986533333333</v>
      </c>
      <c r="EB90">
        <v>42.5654533333333</v>
      </c>
      <c r="EC90">
        <v>999.9</v>
      </c>
      <c r="ED90">
        <v>0</v>
      </c>
      <c r="EE90">
        <v>0</v>
      </c>
      <c r="EF90">
        <v>9997.84066666667</v>
      </c>
      <c r="EG90">
        <v>0</v>
      </c>
      <c r="EH90">
        <v>1227.1</v>
      </c>
      <c r="EI90">
        <v>-9.11039</v>
      </c>
      <c r="EJ90">
        <v>426.056866666667</v>
      </c>
      <c r="EK90">
        <v>430.686266666667</v>
      </c>
      <c r="EL90">
        <v>10.7858066666667</v>
      </c>
      <c r="EM90">
        <v>420.036266666667</v>
      </c>
      <c r="EN90">
        <v>24.7278866666667</v>
      </c>
      <c r="EO90">
        <v>3.21861466666667</v>
      </c>
      <c r="EP90">
        <v>2.241094</v>
      </c>
      <c r="EQ90">
        <v>25.2043066666667</v>
      </c>
      <c r="ER90">
        <v>19.25912</v>
      </c>
      <c r="ES90">
        <v>1199.99933333333</v>
      </c>
      <c r="ET90">
        <v>0.966998</v>
      </c>
      <c r="EU90">
        <v>0.0330018333333333</v>
      </c>
      <c r="EV90">
        <v>0</v>
      </c>
      <c r="EW90">
        <v>1304.89266666667</v>
      </c>
      <c r="EX90">
        <v>5.00059</v>
      </c>
      <c r="EY90">
        <v>16972.06</v>
      </c>
      <c r="EZ90">
        <v>10358.6933333333</v>
      </c>
      <c r="FA90">
        <v>62.9164</v>
      </c>
      <c r="FB90">
        <v>64.8623333333333</v>
      </c>
      <c r="FC90">
        <v>63.2665333333333</v>
      </c>
      <c r="FD90">
        <v>64.1914</v>
      </c>
      <c r="FE90">
        <v>63.5998</v>
      </c>
      <c r="FF90">
        <v>1155.55933333333</v>
      </c>
      <c r="FG90">
        <v>39.44</v>
      </c>
      <c r="FH90">
        <v>0</v>
      </c>
      <c r="FI90">
        <v>88.6000001430511</v>
      </c>
      <c r="FJ90">
        <v>0</v>
      </c>
      <c r="FK90">
        <v>1304.8624</v>
      </c>
      <c r="FL90">
        <v>-4.27846153913287</v>
      </c>
      <c r="FM90">
        <v>-2.65384612925611</v>
      </c>
      <c r="FN90">
        <v>16972.088</v>
      </c>
      <c r="FO90">
        <v>15</v>
      </c>
      <c r="FP90">
        <v>0</v>
      </c>
      <c r="FQ90" t="s">
        <v>441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-9.09284619047619</v>
      </c>
      <c r="GD90">
        <v>-0.064323116883119</v>
      </c>
      <c r="GE90">
        <v>0.040551896494456</v>
      </c>
      <c r="GF90">
        <v>1</v>
      </c>
      <c r="GG90">
        <v>1304.88735294118</v>
      </c>
      <c r="GH90">
        <v>0.0090145038390108</v>
      </c>
      <c r="GI90">
        <v>0.294711312618734</v>
      </c>
      <c r="GJ90">
        <v>-1</v>
      </c>
      <c r="GK90">
        <v>10.7861666666667</v>
      </c>
      <c r="GL90">
        <v>-0.00829090909089897</v>
      </c>
      <c r="GM90">
        <v>0.00194626218889872</v>
      </c>
      <c r="GN90">
        <v>1</v>
      </c>
      <c r="GO90">
        <v>2</v>
      </c>
      <c r="GP90">
        <v>2</v>
      </c>
      <c r="GQ90" t="s">
        <v>442</v>
      </c>
      <c r="GR90">
        <v>3.12576</v>
      </c>
      <c r="GS90">
        <v>2.72464</v>
      </c>
      <c r="GT90">
        <v>0.0822308</v>
      </c>
      <c r="GU90">
        <v>0.084156</v>
      </c>
      <c r="GV90">
        <v>0.128148</v>
      </c>
      <c r="GW90">
        <v>0.099638</v>
      </c>
      <c r="GX90">
        <v>32636.2</v>
      </c>
      <c r="GY90">
        <v>34367.9</v>
      </c>
      <c r="GZ90">
        <v>32321.4</v>
      </c>
      <c r="HA90">
        <v>34125.2</v>
      </c>
      <c r="HB90">
        <v>40350.7</v>
      </c>
      <c r="HC90">
        <v>44351.1</v>
      </c>
      <c r="HD90">
        <v>50862.7</v>
      </c>
      <c r="HE90">
        <v>54785.7</v>
      </c>
      <c r="HF90">
        <v>1.63773</v>
      </c>
      <c r="HG90">
        <v>1.50175</v>
      </c>
      <c r="HH90">
        <v>-0.0930354</v>
      </c>
      <c r="HI90">
        <v>0</v>
      </c>
      <c r="HJ90">
        <v>44.0404</v>
      </c>
      <c r="HK90">
        <v>999.9</v>
      </c>
      <c r="HL90">
        <v>55.39</v>
      </c>
      <c r="HM90">
        <v>29.93</v>
      </c>
      <c r="HN90">
        <v>25.9321</v>
      </c>
      <c r="HO90">
        <v>60.9493</v>
      </c>
      <c r="HP90">
        <v>40.4647</v>
      </c>
      <c r="HQ90">
        <v>1</v>
      </c>
      <c r="HR90">
        <v>2.79357</v>
      </c>
      <c r="HS90">
        <v>9.28105</v>
      </c>
      <c r="HT90">
        <v>19.8968</v>
      </c>
      <c r="HU90">
        <v>5.18614</v>
      </c>
      <c r="HV90">
        <v>12.0198</v>
      </c>
      <c r="HW90">
        <v>4.969</v>
      </c>
      <c r="HX90">
        <v>3.29598</v>
      </c>
      <c r="HY90">
        <v>9999</v>
      </c>
      <c r="HZ90">
        <v>999.9</v>
      </c>
      <c r="IA90">
        <v>9999</v>
      </c>
      <c r="IB90">
        <v>9999</v>
      </c>
      <c r="IC90">
        <v>1.86325</v>
      </c>
      <c r="ID90">
        <v>1.86803</v>
      </c>
      <c r="IE90">
        <v>1.86783</v>
      </c>
      <c r="IF90">
        <v>1.86905</v>
      </c>
      <c r="IG90">
        <v>1.86981</v>
      </c>
      <c r="IH90">
        <v>1.86584</v>
      </c>
      <c r="II90">
        <v>1.86691</v>
      </c>
      <c r="IJ90">
        <v>1.86832</v>
      </c>
      <c r="IK90">
        <v>5</v>
      </c>
      <c r="IL90">
        <v>0</v>
      </c>
      <c r="IM90">
        <v>0</v>
      </c>
      <c r="IN90">
        <v>0</v>
      </c>
      <c r="IO90" t="s">
        <v>443</v>
      </c>
      <c r="IP90" t="s">
        <v>444</v>
      </c>
      <c r="IQ90" t="s">
        <v>445</v>
      </c>
      <c r="IR90" t="s">
        <v>445</v>
      </c>
      <c r="IS90" t="s">
        <v>445</v>
      </c>
      <c r="IT90" t="s">
        <v>445</v>
      </c>
      <c r="IU90">
        <v>0</v>
      </c>
      <c r="IV90">
        <v>100</v>
      </c>
      <c r="IW90">
        <v>100</v>
      </c>
      <c r="IX90">
        <v>2.414</v>
      </c>
      <c r="IY90">
        <v>0.4352</v>
      </c>
      <c r="IZ90">
        <v>0.833350075594679</v>
      </c>
      <c r="JA90">
        <v>0.00412825224050377</v>
      </c>
      <c r="JB90">
        <v>-7.34426573386615e-07</v>
      </c>
      <c r="JC90">
        <v>2.46800082545482e-10</v>
      </c>
      <c r="JD90">
        <v>0.435209846415365</v>
      </c>
      <c r="JE90">
        <v>0</v>
      </c>
      <c r="JF90">
        <v>0</v>
      </c>
      <c r="JG90">
        <v>0</v>
      </c>
      <c r="JH90">
        <v>5</v>
      </c>
      <c r="JI90">
        <v>2250</v>
      </c>
      <c r="JJ90">
        <v>0</v>
      </c>
      <c r="JK90">
        <v>24</v>
      </c>
      <c r="JL90">
        <v>29348591</v>
      </c>
      <c r="JM90">
        <v>29348591</v>
      </c>
      <c r="JN90">
        <v>1.01929</v>
      </c>
      <c r="JO90">
        <v>2.6355</v>
      </c>
      <c r="JP90">
        <v>1.54785</v>
      </c>
      <c r="JQ90">
        <v>2.31689</v>
      </c>
      <c r="JR90">
        <v>1.64673</v>
      </c>
      <c r="JS90">
        <v>2.34009</v>
      </c>
      <c r="JT90">
        <v>34.4408</v>
      </c>
      <c r="JU90">
        <v>24.0875</v>
      </c>
      <c r="JV90">
        <v>18</v>
      </c>
      <c r="JW90">
        <v>477.823</v>
      </c>
      <c r="JX90">
        <v>379.213</v>
      </c>
      <c r="JY90">
        <v>34.8116</v>
      </c>
      <c r="JZ90">
        <v>57.3636</v>
      </c>
      <c r="KA90">
        <v>30.0016</v>
      </c>
      <c r="KB90">
        <v>56.4054</v>
      </c>
      <c r="KC90">
        <v>56.1592</v>
      </c>
      <c r="KD90">
        <v>20.4254</v>
      </c>
      <c r="KE90">
        <v>0</v>
      </c>
      <c r="KF90">
        <v>100</v>
      </c>
      <c r="KG90">
        <v>26.4159</v>
      </c>
      <c r="KH90">
        <v>420</v>
      </c>
      <c r="KI90">
        <v>35.6443</v>
      </c>
      <c r="KJ90">
        <v>92.1442</v>
      </c>
      <c r="KK90">
        <v>88.6114</v>
      </c>
    </row>
    <row r="91" spans="1:297">
      <c r="A91">
        <v>75</v>
      </c>
      <c r="B91">
        <v>1760915612.1</v>
      </c>
      <c r="C91">
        <v>21848</v>
      </c>
      <c r="D91" t="s">
        <v>756</v>
      </c>
      <c r="E91" t="s">
        <v>757</v>
      </c>
      <c r="F91">
        <v>5</v>
      </c>
      <c r="G91" t="s">
        <v>482</v>
      </c>
      <c r="H91" t="s">
        <v>436</v>
      </c>
      <c r="I91">
        <v>1760915604.1</v>
      </c>
      <c r="J91">
        <f>(K91)/1000</f>
        <v>0</v>
      </c>
      <c r="K91">
        <f>IF(DP91, AN91, AH91)</f>
        <v>0</v>
      </c>
      <c r="L91">
        <f>IF(DP91, AI91, AG91)</f>
        <v>0</v>
      </c>
      <c r="M91">
        <f>DR91 - IF(AU91&gt;1, L91*DL91*100.0/(AW91), 0)</f>
        <v>0</v>
      </c>
      <c r="N91">
        <f>((T91-J91/2)*M91-L91)/(T91+J91/2)</f>
        <v>0</v>
      </c>
      <c r="O91">
        <f>N91*(DY91+DZ91)/1000.0</f>
        <v>0</v>
      </c>
      <c r="P91">
        <f>(DR91 - IF(AU91&gt;1, L91*DL91*100.0/(AW91), 0))*(DY91+DZ91)/1000.0</f>
        <v>0</v>
      </c>
      <c r="Q91">
        <f>2.0/((1/S91-1/R91)+SIGN(S91)*SQRT((1/S91-1/R91)*(1/S91-1/R91) + 4*DM91/((DM91+1)*(DM91+1))*(2*1/S91*1/R91-1/R91*1/R91)))</f>
        <v>0</v>
      </c>
      <c r="R91">
        <f>IF(LEFT(DN91,1)&lt;&gt;"0",IF(LEFT(DN91,1)="1",3.0,DO91),$D$5+$E$5*(EF91*DY91/($K$5*1000))+$F$5*(EF91*DY91/($K$5*1000))*MAX(MIN(DL91,$J$5),$I$5)*MAX(MIN(DL91,$J$5),$I$5)+$G$5*MAX(MIN(DL91,$J$5),$I$5)*(EF91*DY91/($K$5*1000))+$H$5*(EF91*DY91/($K$5*1000))*(EF91*DY91/($K$5*1000)))</f>
        <v>0</v>
      </c>
      <c r="S91">
        <f>J91*(1000-(1000*0.61365*exp(17.502*W91/(240.97+W91))/(DY91+DZ91)+DT91)/2)/(1000*0.61365*exp(17.502*W91/(240.97+W91))/(DY91+DZ91)-DT91)</f>
        <v>0</v>
      </c>
      <c r="T91">
        <f>1/((DM91+1)/(Q91/1.6)+1/(R91/1.37)) + DM91/((DM91+1)/(Q91/1.6) + DM91/(R91/1.37))</f>
        <v>0</v>
      </c>
      <c r="U91">
        <f>(DH91*DK91)</f>
        <v>0</v>
      </c>
      <c r="V91">
        <f>(EA91+(U91+2*0.95*5.67E-8*(((EA91+$B$7)+273)^4-(EA91+273)^4)-44100*J91)/(1.84*29.3*R91+8*0.95*5.67E-8*(EA91+273)^3))</f>
        <v>0</v>
      </c>
      <c r="W91">
        <f>($C$7*EB91+$D$7*EC91+$E$7*V91)</f>
        <v>0</v>
      </c>
      <c r="X91">
        <f>0.61365*exp(17.502*W91/(240.97+W91))</f>
        <v>0</v>
      </c>
      <c r="Y91">
        <f>(Z91/AA91*100)</f>
        <v>0</v>
      </c>
      <c r="Z91">
        <f>DT91*(DY91+DZ91)/1000</f>
        <v>0</v>
      </c>
      <c r="AA91">
        <f>0.61365*exp(17.502*EA91/(240.97+EA91))</f>
        <v>0</v>
      </c>
      <c r="AB91">
        <f>(X91-DT91*(DY91+DZ91)/1000)</f>
        <v>0</v>
      </c>
      <c r="AC91">
        <f>(-J91*44100)</f>
        <v>0</v>
      </c>
      <c r="AD91">
        <f>2*29.3*R91*0.92*(EA91-W91)</f>
        <v>0</v>
      </c>
      <c r="AE91">
        <f>2*0.95*5.67E-8*(((EA91+$B$7)+273)^4-(W91+273)^4)</f>
        <v>0</v>
      </c>
      <c r="AF91">
        <f>U91+AE91+AC91+AD91</f>
        <v>0</v>
      </c>
      <c r="AG91">
        <f>DX91*AU91*(DS91-DR91*(1000-AU91*DU91)/(1000-AU91*DT91))/(100*DL91)</f>
        <v>0</v>
      </c>
      <c r="AH91">
        <f>1000*DX91*AU91*(DT91-DU91)/(100*DL91*(1000-AU91*DT91))</f>
        <v>0</v>
      </c>
      <c r="AI91">
        <f>(AJ91 - AK91 - DY91*1E3/(8.314*(EA91+273.15)) * AM91/DX91 * AL91) * DX91/(100*DL91) * (1000 - DU91)/1000</f>
        <v>0</v>
      </c>
      <c r="AJ91">
        <v>430.663135989046</v>
      </c>
      <c r="AK91">
        <v>426.084757575758</v>
      </c>
      <c r="AL91">
        <v>-0.000188840915614024</v>
      </c>
      <c r="AM91">
        <v>65.4746721941699</v>
      </c>
      <c r="AN91">
        <f>(AP91 - AO91 + DY91*1E3/(8.314*(EA91+273.15)) * AR91/DX91 * AQ91) * DX91/(100*DL91) * 1000/(1000 - AP91)</f>
        <v>0</v>
      </c>
      <c r="AO91">
        <v>24.8032060837371</v>
      </c>
      <c r="AP91">
        <v>36.4328745454545</v>
      </c>
      <c r="AQ91">
        <v>0.00685055935325279</v>
      </c>
      <c r="AR91">
        <v>114.186758486758</v>
      </c>
      <c r="AS91">
        <v>19</v>
      </c>
      <c r="AT91">
        <v>4</v>
      </c>
      <c r="AU91">
        <f>IF(AS91*$H$13&gt;=AW91,1.0,(AW91/(AW91-AS91*$H$13)))</f>
        <v>0</v>
      </c>
      <c r="AV91">
        <f>(AU91-1)*100</f>
        <v>0</v>
      </c>
      <c r="AW91">
        <f>MAX(0,($B$13+$C$13*EF91)/(1+$D$13*EF91)*DY91/(EA91+273)*$E$13)</f>
        <v>0</v>
      </c>
      <c r="AX91" t="s">
        <v>437</v>
      </c>
      <c r="AY91">
        <v>5082.33</v>
      </c>
      <c r="AZ91">
        <v>690.032</v>
      </c>
      <c r="BA91">
        <v>1612.68</v>
      </c>
      <c r="BB91">
        <f>1-AZ91/BA91</f>
        <v>0</v>
      </c>
      <c r="BC91">
        <v>-9.7270689171713</v>
      </c>
      <c r="BD91" t="s">
        <v>758</v>
      </c>
      <c r="BE91">
        <v>5095.9</v>
      </c>
      <c r="BF91">
        <v>1289.61461538462</v>
      </c>
      <c r="BG91">
        <v>1498.59668708096</v>
      </c>
      <c r="BH91">
        <f>1-BF91/BG91</f>
        <v>0</v>
      </c>
      <c r="BI91">
        <v>0.5</v>
      </c>
      <c r="BJ91">
        <f>DI91</f>
        <v>0</v>
      </c>
      <c r="BK91">
        <f>L91</f>
        <v>0</v>
      </c>
      <c r="BL91">
        <f>BH91*BI91*BJ91</f>
        <v>0</v>
      </c>
      <c r="BM91">
        <f>(BK91-BC91)/BJ91</f>
        <v>0</v>
      </c>
      <c r="BN91">
        <f>(BA91-BG91)/BG91</f>
        <v>0</v>
      </c>
      <c r="BO91">
        <f>AZ91/(BB91+AZ91/BG91)</f>
        <v>0</v>
      </c>
      <c r="BP91" t="s">
        <v>759</v>
      </c>
      <c r="BQ91">
        <v>837.8</v>
      </c>
      <c r="BR91">
        <f>IF(BQ91&lt;&gt;0, BQ91, BO91)</f>
        <v>0</v>
      </c>
      <c r="BS91">
        <f>1-BR91/BG91</f>
        <v>0</v>
      </c>
      <c r="BT91">
        <f>(BG91-BF91)/(BG91-BR91)</f>
        <v>0</v>
      </c>
      <c r="BU91">
        <f>(BA91-BG91)/(BA91-BR91)</f>
        <v>0</v>
      </c>
      <c r="BV91">
        <f>(BG91-BF91)/(BG91-AZ91)</f>
        <v>0</v>
      </c>
      <c r="BW91">
        <f>(BA91-BG91)/(BA91-AZ91)</f>
        <v>0</v>
      </c>
      <c r="BX91">
        <f>(BT91*BR91/BF91)</f>
        <v>0</v>
      </c>
      <c r="BY91">
        <f>(1-BX91)</f>
        <v>0</v>
      </c>
      <c r="BZ91">
        <v>242</v>
      </c>
      <c r="CA91">
        <v>290</v>
      </c>
      <c r="CB91">
        <v>1435.73</v>
      </c>
      <c r="CC91">
        <v>245</v>
      </c>
      <c r="CD91">
        <v>5095.9</v>
      </c>
      <c r="CE91">
        <v>1435.1</v>
      </c>
      <c r="CF91">
        <v>0.63</v>
      </c>
      <c r="CG91">
        <v>300</v>
      </c>
      <c r="CH91">
        <v>23.9</v>
      </c>
      <c r="CI91">
        <v>1498.59668708096</v>
      </c>
      <c r="CJ91">
        <v>1.75744847337566</v>
      </c>
      <c r="CK91">
        <v>-32.3577518330493</v>
      </c>
      <c r="CL91">
        <v>0.805632420575807</v>
      </c>
      <c r="CM91">
        <v>0.982939104049661</v>
      </c>
      <c r="CN91">
        <v>-0.00321631746384872</v>
      </c>
      <c r="CO91">
        <v>290</v>
      </c>
      <c r="CP91">
        <v>1432.5</v>
      </c>
      <c r="CQ91">
        <v>725</v>
      </c>
      <c r="CR91">
        <v>5091.42</v>
      </c>
      <c r="CS91">
        <v>1435.04</v>
      </c>
      <c r="CT91">
        <v>-2.54</v>
      </c>
      <c r="DH91">
        <f>$B$11*EG91+$C$11*EH91+$F$11*ES91*(1-EV91)</f>
        <v>0</v>
      </c>
      <c r="DI91">
        <f>DH91*DJ91</f>
        <v>0</v>
      </c>
      <c r="DJ91">
        <f>($B$11*$D$9+$C$11*$D$9+$F$11*((FF91+EX91)/MAX(FF91+EX91+FG91, 0.1)*$I$9+FG91/MAX(FF91+EX91+FG91, 0.1)*$J$9))/($B$11+$C$11+$F$11)</f>
        <v>0</v>
      </c>
      <c r="DK91">
        <f>($B$11*$K$9+$C$11*$K$9+$F$11*((FF91+EX91)/MAX(FF91+EX91+FG91, 0.1)*$P$9+FG91/MAX(FF91+EX91+FG91, 0.1)*$Q$9))/($B$11+$C$11+$F$11)</f>
        <v>0</v>
      </c>
      <c r="DL91">
        <v>3.21</v>
      </c>
      <c r="DM91">
        <v>0.5</v>
      </c>
      <c r="DN91" t="s">
        <v>440</v>
      </c>
      <c r="DO91">
        <v>2</v>
      </c>
      <c r="DP91" t="b">
        <v>1</v>
      </c>
      <c r="DQ91">
        <v>1760915604.1</v>
      </c>
      <c r="DR91">
        <v>410.580533333333</v>
      </c>
      <c r="DS91">
        <v>419.996466666667</v>
      </c>
      <c r="DT91">
        <v>36.38348</v>
      </c>
      <c r="DU91">
        <v>24.80014</v>
      </c>
      <c r="DV91">
        <v>408.1676</v>
      </c>
      <c r="DW91">
        <v>35.9482733333333</v>
      </c>
      <c r="DX91">
        <v>500.010533333333</v>
      </c>
      <c r="DY91">
        <v>90.6193333333333</v>
      </c>
      <c r="DZ91">
        <v>0.0471209333333333</v>
      </c>
      <c r="EA91">
        <v>44.04332</v>
      </c>
      <c r="EB91">
        <v>43.0357733333333</v>
      </c>
      <c r="EC91">
        <v>999.9</v>
      </c>
      <c r="ED91">
        <v>0</v>
      </c>
      <c r="EE91">
        <v>0</v>
      </c>
      <c r="EF91">
        <v>10002.7053333333</v>
      </c>
      <c r="EG91">
        <v>0</v>
      </c>
      <c r="EH91">
        <v>1224.97066666667</v>
      </c>
      <c r="EI91">
        <v>-9.415936</v>
      </c>
      <c r="EJ91">
        <v>426.082733333333</v>
      </c>
      <c r="EK91">
        <v>430.677266666667</v>
      </c>
      <c r="EL91">
        <v>11.5833266666667</v>
      </c>
      <c r="EM91">
        <v>419.996466666667</v>
      </c>
      <c r="EN91">
        <v>24.80014</v>
      </c>
      <c r="EO91">
        <v>3.29704666666667</v>
      </c>
      <c r="EP91">
        <v>2.24737266666667</v>
      </c>
      <c r="EQ91">
        <v>25.60936</v>
      </c>
      <c r="ER91">
        <v>19.3040466666667</v>
      </c>
      <c r="ES91">
        <v>1199.94533333333</v>
      </c>
      <c r="ET91">
        <v>0.966991133333333</v>
      </c>
      <c r="EU91">
        <v>0.0330091</v>
      </c>
      <c r="EV91">
        <v>0</v>
      </c>
      <c r="EW91">
        <v>1289.65</v>
      </c>
      <c r="EX91">
        <v>5.00059</v>
      </c>
      <c r="EY91">
        <v>16889.82</v>
      </c>
      <c r="EZ91">
        <v>10358.2066666667</v>
      </c>
      <c r="FA91">
        <v>64.1247333333333</v>
      </c>
      <c r="FB91">
        <v>66.1497333333333</v>
      </c>
      <c r="FC91">
        <v>64.3706</v>
      </c>
      <c r="FD91">
        <v>65.6789333333333</v>
      </c>
      <c r="FE91">
        <v>64.7456</v>
      </c>
      <c r="FF91">
        <v>1155.50333333333</v>
      </c>
      <c r="FG91">
        <v>39.4406666666667</v>
      </c>
      <c r="FH91">
        <v>0</v>
      </c>
      <c r="FI91">
        <v>241.600000143051</v>
      </c>
      <c r="FJ91">
        <v>0</v>
      </c>
      <c r="FK91">
        <v>1289.61461538462</v>
      </c>
      <c r="FL91">
        <v>-6.2345299175684</v>
      </c>
      <c r="FM91">
        <v>-38.584615529976</v>
      </c>
      <c r="FN91">
        <v>16890.2230769231</v>
      </c>
      <c r="FO91">
        <v>15</v>
      </c>
      <c r="FP91">
        <v>0</v>
      </c>
      <c r="FQ91" t="s">
        <v>441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-9.40866476190476</v>
      </c>
      <c r="GD91">
        <v>0.0333825974025995</v>
      </c>
      <c r="GE91">
        <v>0.0355846471200377</v>
      </c>
      <c r="GF91">
        <v>1</v>
      </c>
      <c r="GG91">
        <v>1290.00264705882</v>
      </c>
      <c r="GH91">
        <v>-6.48174179110033</v>
      </c>
      <c r="GI91">
        <v>0.671483471057268</v>
      </c>
      <c r="GJ91">
        <v>-1</v>
      </c>
      <c r="GK91">
        <v>11.564019047619</v>
      </c>
      <c r="GL91">
        <v>0.39009350649351</v>
      </c>
      <c r="GM91">
        <v>0.0393827206374477</v>
      </c>
      <c r="GN91">
        <v>0</v>
      </c>
      <c r="GO91">
        <v>1</v>
      </c>
      <c r="GP91">
        <v>2</v>
      </c>
      <c r="GQ91" t="s">
        <v>454</v>
      </c>
      <c r="GR91">
        <v>3.12566</v>
      </c>
      <c r="GS91">
        <v>2.72502</v>
      </c>
      <c r="GT91">
        <v>0.0820371</v>
      </c>
      <c r="GU91">
        <v>0.0840028</v>
      </c>
      <c r="GV91">
        <v>0.130265</v>
      </c>
      <c r="GW91">
        <v>0.0996785</v>
      </c>
      <c r="GX91">
        <v>32563.8</v>
      </c>
      <c r="GY91">
        <v>34269.5</v>
      </c>
      <c r="GZ91">
        <v>32246.5</v>
      </c>
      <c r="HA91">
        <v>34025.5</v>
      </c>
      <c r="HB91">
        <v>40184.9</v>
      </c>
      <c r="HC91">
        <v>44228</v>
      </c>
      <c r="HD91">
        <v>50759.5</v>
      </c>
      <c r="HE91">
        <v>54634.9</v>
      </c>
      <c r="HF91">
        <v>1.6306</v>
      </c>
      <c r="HG91">
        <v>1.49235</v>
      </c>
      <c r="HH91">
        <v>-0.108145</v>
      </c>
      <c r="HI91">
        <v>0</v>
      </c>
      <c r="HJ91">
        <v>44.7712</v>
      </c>
      <c r="HK91">
        <v>999.9</v>
      </c>
      <c r="HL91">
        <v>55.39</v>
      </c>
      <c r="HM91">
        <v>29.97</v>
      </c>
      <c r="HN91">
        <v>25.9974</v>
      </c>
      <c r="HO91">
        <v>60.6793</v>
      </c>
      <c r="HP91">
        <v>40.5128</v>
      </c>
      <c r="HQ91">
        <v>1</v>
      </c>
      <c r="HR91">
        <v>2.90105</v>
      </c>
      <c r="HS91">
        <v>9.28105</v>
      </c>
      <c r="HT91">
        <v>19.8964</v>
      </c>
      <c r="HU91">
        <v>5.18719</v>
      </c>
      <c r="HV91">
        <v>12.0216</v>
      </c>
      <c r="HW91">
        <v>4.9696</v>
      </c>
      <c r="HX91">
        <v>3.296</v>
      </c>
      <c r="HY91">
        <v>9999</v>
      </c>
      <c r="HZ91">
        <v>999.9</v>
      </c>
      <c r="IA91">
        <v>9999</v>
      </c>
      <c r="IB91">
        <v>9999</v>
      </c>
      <c r="IC91">
        <v>1.86325</v>
      </c>
      <c r="ID91">
        <v>1.86799</v>
      </c>
      <c r="IE91">
        <v>1.86783</v>
      </c>
      <c r="IF91">
        <v>1.86901</v>
      </c>
      <c r="IG91">
        <v>1.86981</v>
      </c>
      <c r="IH91">
        <v>1.86584</v>
      </c>
      <c r="II91">
        <v>1.86691</v>
      </c>
      <c r="IJ91">
        <v>1.8683</v>
      </c>
      <c r="IK91">
        <v>5</v>
      </c>
      <c r="IL91">
        <v>0</v>
      </c>
      <c r="IM91">
        <v>0</v>
      </c>
      <c r="IN91">
        <v>0</v>
      </c>
      <c r="IO91" t="s">
        <v>443</v>
      </c>
      <c r="IP91" t="s">
        <v>444</v>
      </c>
      <c r="IQ91" t="s">
        <v>445</v>
      </c>
      <c r="IR91" t="s">
        <v>445</v>
      </c>
      <c r="IS91" t="s">
        <v>445</v>
      </c>
      <c r="IT91" t="s">
        <v>445</v>
      </c>
      <c r="IU91">
        <v>0</v>
      </c>
      <c r="IV91">
        <v>100</v>
      </c>
      <c r="IW91">
        <v>100</v>
      </c>
      <c r="IX91">
        <v>2.412</v>
      </c>
      <c r="IY91">
        <v>0.4352</v>
      </c>
      <c r="IZ91">
        <v>0.833350075594679</v>
      </c>
      <c r="JA91">
        <v>0.00412825224050377</v>
      </c>
      <c r="JB91">
        <v>-7.34426573386615e-07</v>
      </c>
      <c r="JC91">
        <v>2.46800082545482e-10</v>
      </c>
      <c r="JD91">
        <v>0.435209846415365</v>
      </c>
      <c r="JE91">
        <v>0</v>
      </c>
      <c r="JF91">
        <v>0</v>
      </c>
      <c r="JG91">
        <v>0</v>
      </c>
      <c r="JH91">
        <v>5</v>
      </c>
      <c r="JI91">
        <v>2250</v>
      </c>
      <c r="JJ91">
        <v>0</v>
      </c>
      <c r="JK91">
        <v>24</v>
      </c>
      <c r="JL91">
        <v>29348593.5</v>
      </c>
      <c r="JM91">
        <v>29348593.5</v>
      </c>
      <c r="JN91">
        <v>1.01807</v>
      </c>
      <c r="JO91">
        <v>2.6416</v>
      </c>
      <c r="JP91">
        <v>1.54785</v>
      </c>
      <c r="JQ91">
        <v>2.31689</v>
      </c>
      <c r="JR91">
        <v>1.64673</v>
      </c>
      <c r="JS91">
        <v>2.24365</v>
      </c>
      <c r="JT91">
        <v>34.4864</v>
      </c>
      <c r="JU91">
        <v>24.0963</v>
      </c>
      <c r="JV91">
        <v>18</v>
      </c>
      <c r="JW91">
        <v>476.26</v>
      </c>
      <c r="JX91">
        <v>376.265</v>
      </c>
      <c r="JY91">
        <v>35.8896</v>
      </c>
      <c r="JZ91">
        <v>58.09</v>
      </c>
      <c r="KA91">
        <v>30.0042</v>
      </c>
      <c r="KB91">
        <v>57.098</v>
      </c>
      <c r="KC91">
        <v>56.8638</v>
      </c>
      <c r="KD91">
        <v>20.4026</v>
      </c>
      <c r="KE91">
        <v>0</v>
      </c>
      <c r="KF91">
        <v>100</v>
      </c>
      <c r="KG91">
        <v>26.1227</v>
      </c>
      <c r="KH91">
        <v>420</v>
      </c>
      <c r="KI91">
        <v>35.6443</v>
      </c>
      <c r="KJ91">
        <v>91.947</v>
      </c>
      <c r="KK91">
        <v>88.3618</v>
      </c>
    </row>
    <row r="92" spans="1:297">
      <c r="A92">
        <v>76</v>
      </c>
      <c r="B92">
        <v>1760916195.1</v>
      </c>
      <c r="C92">
        <v>22431</v>
      </c>
      <c r="D92" t="s">
        <v>760</v>
      </c>
      <c r="E92" t="s">
        <v>761</v>
      </c>
      <c r="F92">
        <v>5</v>
      </c>
      <c r="G92" t="s">
        <v>534</v>
      </c>
      <c r="H92" t="s">
        <v>436</v>
      </c>
      <c r="I92">
        <v>1760916186.6</v>
      </c>
      <c r="J92">
        <f>(K92)/1000</f>
        <v>0</v>
      </c>
      <c r="K92">
        <f>IF(DP92, AN92, AH92)</f>
        <v>0</v>
      </c>
      <c r="L92">
        <f>IF(DP92, AI92, AG92)</f>
        <v>0</v>
      </c>
      <c r="M92">
        <f>DR92 - IF(AU92&gt;1, L92*DL92*100.0/(AW92), 0)</f>
        <v>0</v>
      </c>
      <c r="N92">
        <f>((T92-J92/2)*M92-L92)/(T92+J92/2)</f>
        <v>0</v>
      </c>
      <c r="O92">
        <f>N92*(DY92+DZ92)/1000.0</f>
        <v>0</v>
      </c>
      <c r="P92">
        <f>(DR92 - IF(AU92&gt;1, L92*DL92*100.0/(AW92), 0))*(DY92+DZ92)/1000.0</f>
        <v>0</v>
      </c>
      <c r="Q92">
        <f>2.0/((1/S92-1/R92)+SIGN(S92)*SQRT((1/S92-1/R92)*(1/S92-1/R92) + 4*DM92/((DM92+1)*(DM92+1))*(2*1/S92*1/R92-1/R92*1/R92)))</f>
        <v>0</v>
      </c>
      <c r="R92">
        <f>IF(LEFT(DN92,1)&lt;&gt;"0",IF(LEFT(DN92,1)="1",3.0,DO92),$D$5+$E$5*(EF92*DY92/($K$5*1000))+$F$5*(EF92*DY92/($K$5*1000))*MAX(MIN(DL92,$J$5),$I$5)*MAX(MIN(DL92,$J$5),$I$5)+$G$5*MAX(MIN(DL92,$J$5),$I$5)*(EF92*DY92/($K$5*1000))+$H$5*(EF92*DY92/($K$5*1000))*(EF92*DY92/($K$5*1000)))</f>
        <v>0</v>
      </c>
      <c r="S92">
        <f>J92*(1000-(1000*0.61365*exp(17.502*W92/(240.97+W92))/(DY92+DZ92)+DT92)/2)/(1000*0.61365*exp(17.502*W92/(240.97+W92))/(DY92+DZ92)-DT92)</f>
        <v>0</v>
      </c>
      <c r="T92">
        <f>1/((DM92+1)/(Q92/1.6)+1/(R92/1.37)) + DM92/((DM92+1)/(Q92/1.6) + DM92/(R92/1.37))</f>
        <v>0</v>
      </c>
      <c r="U92">
        <f>(DH92*DK92)</f>
        <v>0</v>
      </c>
      <c r="V92">
        <f>(EA92+(U92+2*0.95*5.67E-8*(((EA92+$B$7)+273)^4-(EA92+273)^4)-44100*J92)/(1.84*29.3*R92+8*0.95*5.67E-8*(EA92+273)^3))</f>
        <v>0</v>
      </c>
      <c r="W92">
        <f>($C$7*EB92+$D$7*EC92+$E$7*V92)</f>
        <v>0</v>
      </c>
      <c r="X92">
        <f>0.61365*exp(17.502*W92/(240.97+W92))</f>
        <v>0</v>
      </c>
      <c r="Y92">
        <f>(Z92/AA92*100)</f>
        <v>0</v>
      </c>
      <c r="Z92">
        <f>DT92*(DY92+DZ92)/1000</f>
        <v>0</v>
      </c>
      <c r="AA92">
        <f>0.61365*exp(17.502*EA92/(240.97+EA92))</f>
        <v>0</v>
      </c>
      <c r="AB92">
        <f>(X92-DT92*(DY92+DZ92)/1000)</f>
        <v>0</v>
      </c>
      <c r="AC92">
        <f>(-J92*44100)</f>
        <v>0</v>
      </c>
      <c r="AD92">
        <f>2*29.3*R92*0.92*(EA92-W92)</f>
        <v>0</v>
      </c>
      <c r="AE92">
        <f>2*0.95*5.67E-8*(((EA92+$B$7)+273)^4-(W92+273)^4)</f>
        <v>0</v>
      </c>
      <c r="AF92">
        <f>U92+AE92+AC92+AD92</f>
        <v>0</v>
      </c>
      <c r="AG92">
        <f>DX92*AU92*(DS92-DR92*(1000-AU92*DU92)/(1000-AU92*DT92))/(100*DL92)</f>
        <v>0</v>
      </c>
      <c r="AH92">
        <f>1000*DX92*AU92*(DT92-DU92)/(100*DL92*(1000-AU92*DT92))</f>
        <v>0</v>
      </c>
      <c r="AI92">
        <f>(AJ92 - AK92 - DY92*1E3/(8.314*(EA92+273.15)) * AM92/DX92 * AL92) * DX92/(100*DL92) * (1000 - DU92)/1000</f>
        <v>0</v>
      </c>
      <c r="AJ92">
        <v>428.463250113009</v>
      </c>
      <c r="AK92">
        <v>424.010515151515</v>
      </c>
      <c r="AL92">
        <v>0.02219566034502</v>
      </c>
      <c r="AM92">
        <v>65.6558700765712</v>
      </c>
      <c r="AN92">
        <f>(AP92 - AO92 + DY92*1E3/(8.314*(EA92+273.15)) * AR92/DX92 * AQ92) * DX92/(100*DL92) * 1000/(1000 - AP92)</f>
        <v>0</v>
      </c>
      <c r="AO92">
        <v>19.8965370810759</v>
      </c>
      <c r="AP92">
        <v>43.702706060606</v>
      </c>
      <c r="AQ92">
        <v>-8.92887678234362e-05</v>
      </c>
      <c r="AR92">
        <v>113.926058371202</v>
      </c>
      <c r="AS92">
        <v>19</v>
      </c>
      <c r="AT92">
        <v>4</v>
      </c>
      <c r="AU92">
        <f>IF(AS92*$H$13&gt;=AW92,1.0,(AW92/(AW92-AS92*$H$13)))</f>
        <v>0</v>
      </c>
      <c r="AV92">
        <f>(AU92-1)*100</f>
        <v>0</v>
      </c>
      <c r="AW92">
        <f>MAX(0,($B$13+$C$13*EF92)/(1+$D$13*EF92)*DY92/(EA92+273)*$E$13)</f>
        <v>0</v>
      </c>
      <c r="AX92" t="s">
        <v>437</v>
      </c>
      <c r="AY92">
        <v>5082.33</v>
      </c>
      <c r="AZ92">
        <v>690.032</v>
      </c>
      <c r="BA92">
        <v>1612.68</v>
      </c>
      <c r="BB92">
        <f>1-AZ92/BA92</f>
        <v>0</v>
      </c>
      <c r="BC92">
        <v>-9.7270689171713</v>
      </c>
      <c r="BD92" t="s">
        <v>762</v>
      </c>
      <c r="BE92">
        <v>5092.28</v>
      </c>
      <c r="BF92">
        <v>756.06192</v>
      </c>
      <c r="BG92">
        <v>907.655333297494</v>
      </c>
      <c r="BH92">
        <f>1-BF92/BG92</f>
        <v>0</v>
      </c>
      <c r="BI92">
        <v>0.5</v>
      </c>
      <c r="BJ92">
        <f>DI92</f>
        <v>0</v>
      </c>
      <c r="BK92">
        <f>L92</f>
        <v>0</v>
      </c>
      <c r="BL92">
        <f>BH92*BI92*BJ92</f>
        <v>0</v>
      </c>
      <c r="BM92">
        <f>(BK92-BC92)/BJ92</f>
        <v>0</v>
      </c>
      <c r="BN92">
        <f>(BA92-BG92)/BG92</f>
        <v>0</v>
      </c>
      <c r="BO92">
        <f>AZ92/(BB92+AZ92/BG92)</f>
        <v>0</v>
      </c>
      <c r="BP92" t="s">
        <v>763</v>
      </c>
      <c r="BQ92">
        <v>655.27</v>
      </c>
      <c r="BR92">
        <f>IF(BQ92&lt;&gt;0, BQ92, BO92)</f>
        <v>0</v>
      </c>
      <c r="BS92">
        <f>1-BR92/BG92</f>
        <v>0</v>
      </c>
      <c r="BT92">
        <f>(BG92-BF92)/(BG92-BR92)</f>
        <v>0</v>
      </c>
      <c r="BU92">
        <f>(BA92-BG92)/(BA92-BR92)</f>
        <v>0</v>
      </c>
      <c r="BV92">
        <f>(BG92-BF92)/(BG92-AZ92)</f>
        <v>0</v>
      </c>
      <c r="BW92">
        <f>(BA92-BG92)/(BA92-AZ92)</f>
        <v>0</v>
      </c>
      <c r="BX92">
        <f>(BT92*BR92/BF92)</f>
        <v>0</v>
      </c>
      <c r="BY92">
        <f>(1-BX92)</f>
        <v>0</v>
      </c>
      <c r="BZ92">
        <v>244</v>
      </c>
      <c r="CA92">
        <v>290</v>
      </c>
      <c r="CB92">
        <v>860.83</v>
      </c>
      <c r="CC92">
        <v>195</v>
      </c>
      <c r="CD92">
        <v>5092.28</v>
      </c>
      <c r="CE92">
        <v>862.23</v>
      </c>
      <c r="CF92">
        <v>-1.4</v>
      </c>
      <c r="CG92">
        <v>300</v>
      </c>
      <c r="CH92">
        <v>23.9</v>
      </c>
      <c r="CI92">
        <v>907.655333297494</v>
      </c>
      <c r="CJ92">
        <v>2.14293732296943</v>
      </c>
      <c r="CK92">
        <v>-23.13426509788</v>
      </c>
      <c r="CL92">
        <v>0.981343661583149</v>
      </c>
      <c r="CM92">
        <v>0.952033178307912</v>
      </c>
      <c r="CN92">
        <v>-0.00321295305895439</v>
      </c>
      <c r="CO92">
        <v>290</v>
      </c>
      <c r="CP92">
        <v>862.43</v>
      </c>
      <c r="CQ92">
        <v>895</v>
      </c>
      <c r="CR92">
        <v>5084.69</v>
      </c>
      <c r="CS92">
        <v>862.16</v>
      </c>
      <c r="CT92">
        <v>0.27</v>
      </c>
      <c r="DH92">
        <f>$B$11*EG92+$C$11*EH92+$F$11*ES92*(1-EV92)</f>
        <v>0</v>
      </c>
      <c r="DI92">
        <f>DH92*DJ92</f>
        <v>0</v>
      </c>
      <c r="DJ92">
        <f>($B$11*$D$9+$C$11*$D$9+$F$11*((FF92+EX92)/MAX(FF92+EX92+FG92, 0.1)*$I$9+FG92/MAX(FF92+EX92+FG92, 0.1)*$J$9))/($B$11+$C$11+$F$11)</f>
        <v>0</v>
      </c>
      <c r="DK92">
        <f>($B$11*$K$9+$C$11*$K$9+$F$11*((FF92+EX92)/MAX(FF92+EX92+FG92, 0.1)*$P$9+FG92/MAX(FF92+EX92+FG92, 0.1)*$Q$9))/($B$11+$C$11+$F$11)</f>
        <v>0</v>
      </c>
      <c r="DL92">
        <v>3.21</v>
      </c>
      <c r="DM92">
        <v>0.5</v>
      </c>
      <c r="DN92" t="s">
        <v>440</v>
      </c>
      <c r="DO92">
        <v>2</v>
      </c>
      <c r="DP92" t="b">
        <v>1</v>
      </c>
      <c r="DQ92">
        <v>1760916186.6</v>
      </c>
      <c r="DR92">
        <v>405.4179375</v>
      </c>
      <c r="DS92">
        <v>419.92275</v>
      </c>
      <c r="DT92">
        <v>43.7218375</v>
      </c>
      <c r="DU92">
        <v>19.90113125</v>
      </c>
      <c r="DV92">
        <v>403.0239375</v>
      </c>
      <c r="DW92">
        <v>43.286625</v>
      </c>
      <c r="DX92">
        <v>500.019875</v>
      </c>
      <c r="DY92">
        <v>90.63379375</v>
      </c>
      <c r="DZ92">
        <v>0.04763318125</v>
      </c>
      <c r="EA92">
        <v>51.38181875</v>
      </c>
      <c r="EB92">
        <v>47.7572375</v>
      </c>
      <c r="EC92">
        <v>999.9</v>
      </c>
      <c r="ED92">
        <v>0</v>
      </c>
      <c r="EE92">
        <v>0</v>
      </c>
      <c r="EF92">
        <v>9994.061875</v>
      </c>
      <c r="EG92">
        <v>0</v>
      </c>
      <c r="EH92">
        <v>0.874350375</v>
      </c>
      <c r="EI92">
        <v>-14.5049</v>
      </c>
      <c r="EJ92">
        <v>423.954</v>
      </c>
      <c r="EK92">
        <v>428.449375</v>
      </c>
      <c r="EL92">
        <v>23.82069375</v>
      </c>
      <c r="EM92">
        <v>419.92275</v>
      </c>
      <c r="EN92">
        <v>19.90113125</v>
      </c>
      <c r="EO92">
        <v>3.962675625</v>
      </c>
      <c r="EP92">
        <v>1.803715625</v>
      </c>
      <c r="EQ92">
        <v>28.74440625</v>
      </c>
      <c r="ER92">
        <v>15.81901875</v>
      </c>
      <c r="ES92">
        <v>1200.03625</v>
      </c>
      <c r="ET92">
        <v>0.96699225</v>
      </c>
      <c r="EU92">
        <v>0.033007475</v>
      </c>
      <c r="EV92">
        <v>0</v>
      </c>
      <c r="EW92">
        <v>756.0513125</v>
      </c>
      <c r="EX92">
        <v>5.00059</v>
      </c>
      <c r="EY92">
        <v>10348.53125</v>
      </c>
      <c r="EZ92">
        <v>10359.01875</v>
      </c>
      <c r="FA92">
        <v>66.1520625</v>
      </c>
      <c r="FB92">
        <v>68.1325625</v>
      </c>
      <c r="FC92">
        <v>66.534875</v>
      </c>
      <c r="FD92">
        <v>67.4215625</v>
      </c>
      <c r="FE92">
        <v>67.4294375</v>
      </c>
      <c r="FF92">
        <v>1155.58875</v>
      </c>
      <c r="FG92">
        <v>39.445</v>
      </c>
      <c r="FH92">
        <v>0</v>
      </c>
      <c r="FI92">
        <v>579.199999809265</v>
      </c>
      <c r="FJ92">
        <v>0</v>
      </c>
      <c r="FK92">
        <v>756.06192</v>
      </c>
      <c r="FL92">
        <v>1.84646154296171</v>
      </c>
      <c r="FM92">
        <v>-43.507692444954</v>
      </c>
      <c r="FN92">
        <v>10347.532</v>
      </c>
      <c r="FO92">
        <v>15</v>
      </c>
      <c r="FP92">
        <v>0</v>
      </c>
      <c r="FQ92" t="s">
        <v>441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-14.5204952380952</v>
      </c>
      <c r="GD92">
        <v>0.120763636363645</v>
      </c>
      <c r="GE92">
        <v>0.0380469068411798</v>
      </c>
      <c r="GF92">
        <v>1</v>
      </c>
      <c r="GG92">
        <v>755.963176470588</v>
      </c>
      <c r="GH92">
        <v>0.377081739048477</v>
      </c>
      <c r="GI92">
        <v>0.209942354915695</v>
      </c>
      <c r="GJ92">
        <v>-1</v>
      </c>
      <c r="GK92">
        <v>23.8310047619048</v>
      </c>
      <c r="GL92">
        <v>-0.183599999999959</v>
      </c>
      <c r="GM92">
        <v>0.0188414809899779</v>
      </c>
      <c r="GN92">
        <v>0</v>
      </c>
      <c r="GO92">
        <v>1</v>
      </c>
      <c r="GP92">
        <v>2</v>
      </c>
      <c r="GQ92" t="s">
        <v>454</v>
      </c>
      <c r="GR92">
        <v>3.12368</v>
      </c>
      <c r="GS92">
        <v>2.72536</v>
      </c>
      <c r="GT92">
        <v>0.0807757</v>
      </c>
      <c r="GU92">
        <v>0.0834354</v>
      </c>
      <c r="GV92">
        <v>0.146986</v>
      </c>
      <c r="GW92">
        <v>0.0845473</v>
      </c>
      <c r="GX92">
        <v>32406.1</v>
      </c>
      <c r="GY92">
        <v>34038.6</v>
      </c>
      <c r="GZ92">
        <v>32060.9</v>
      </c>
      <c r="HA92">
        <v>33790.5</v>
      </c>
      <c r="HB92">
        <v>39323.6</v>
      </c>
      <c r="HC92">
        <v>44648.3</v>
      </c>
      <c r="HD92">
        <v>50512.7</v>
      </c>
      <c r="HE92">
        <v>54284.2</v>
      </c>
      <c r="HF92">
        <v>1.6108</v>
      </c>
      <c r="HG92">
        <v>1.4643</v>
      </c>
      <c r="HH92">
        <v>-0.103738</v>
      </c>
      <c r="HI92">
        <v>0</v>
      </c>
      <c r="HJ92">
        <v>49.364</v>
      </c>
      <c r="HK92">
        <v>999.9</v>
      </c>
      <c r="HL92">
        <v>55.341</v>
      </c>
      <c r="HM92">
        <v>30.111</v>
      </c>
      <c r="HN92">
        <v>26.1799</v>
      </c>
      <c r="HO92">
        <v>60.5195</v>
      </c>
      <c r="HP92">
        <v>40.4087</v>
      </c>
      <c r="HQ92">
        <v>1</v>
      </c>
      <c r="HR92">
        <v>3.13363</v>
      </c>
      <c r="HS92">
        <v>1.00804</v>
      </c>
      <c r="HT92">
        <v>20.0988</v>
      </c>
      <c r="HU92">
        <v>5.18135</v>
      </c>
      <c r="HV92">
        <v>12.0159</v>
      </c>
      <c r="HW92">
        <v>4.9663</v>
      </c>
      <c r="HX92">
        <v>3.296</v>
      </c>
      <c r="HY92">
        <v>9999</v>
      </c>
      <c r="HZ92">
        <v>999.9</v>
      </c>
      <c r="IA92">
        <v>9999</v>
      </c>
      <c r="IB92">
        <v>9999</v>
      </c>
      <c r="IC92">
        <v>1.86325</v>
      </c>
      <c r="ID92">
        <v>1.86805</v>
      </c>
      <c r="IE92">
        <v>1.86783</v>
      </c>
      <c r="IF92">
        <v>1.86905</v>
      </c>
      <c r="IG92">
        <v>1.86981</v>
      </c>
      <c r="IH92">
        <v>1.86585</v>
      </c>
      <c r="II92">
        <v>1.86691</v>
      </c>
      <c r="IJ92">
        <v>1.86832</v>
      </c>
      <c r="IK92">
        <v>5</v>
      </c>
      <c r="IL92">
        <v>0</v>
      </c>
      <c r="IM92">
        <v>0</v>
      </c>
      <c r="IN92">
        <v>0</v>
      </c>
      <c r="IO92" t="s">
        <v>443</v>
      </c>
      <c r="IP92" t="s">
        <v>444</v>
      </c>
      <c r="IQ92" t="s">
        <v>445</v>
      </c>
      <c r="IR92" t="s">
        <v>445</v>
      </c>
      <c r="IS92" t="s">
        <v>445</v>
      </c>
      <c r="IT92" t="s">
        <v>445</v>
      </c>
      <c r="IU92">
        <v>0</v>
      </c>
      <c r="IV92">
        <v>100</v>
      </c>
      <c r="IW92">
        <v>100</v>
      </c>
      <c r="IX92">
        <v>2.394</v>
      </c>
      <c r="IY92">
        <v>0.4352</v>
      </c>
      <c r="IZ92">
        <v>0.833350075594679</v>
      </c>
      <c r="JA92">
        <v>0.00412825224050377</v>
      </c>
      <c r="JB92">
        <v>-7.34426573386615e-07</v>
      </c>
      <c r="JC92">
        <v>2.46800082545482e-10</v>
      </c>
      <c r="JD92">
        <v>0.435209846415365</v>
      </c>
      <c r="JE92">
        <v>0</v>
      </c>
      <c r="JF92">
        <v>0</v>
      </c>
      <c r="JG92">
        <v>0</v>
      </c>
      <c r="JH92">
        <v>5</v>
      </c>
      <c r="JI92">
        <v>2250</v>
      </c>
      <c r="JJ92">
        <v>0</v>
      </c>
      <c r="JK92">
        <v>24</v>
      </c>
      <c r="JL92">
        <v>29348603.3</v>
      </c>
      <c r="JM92">
        <v>29348603.3</v>
      </c>
      <c r="JN92">
        <v>1.01562</v>
      </c>
      <c r="JO92">
        <v>2.63794</v>
      </c>
      <c r="JP92">
        <v>1.54785</v>
      </c>
      <c r="JQ92">
        <v>2.31689</v>
      </c>
      <c r="JR92">
        <v>1.64673</v>
      </c>
      <c r="JS92">
        <v>2.33276</v>
      </c>
      <c r="JT92">
        <v>34.5092</v>
      </c>
      <c r="JU92">
        <v>24.1751</v>
      </c>
      <c r="JV92">
        <v>18</v>
      </c>
      <c r="JW92">
        <v>475.742</v>
      </c>
      <c r="JX92">
        <v>369.287</v>
      </c>
      <c r="JY92">
        <v>49.6156</v>
      </c>
      <c r="JZ92">
        <v>61.0171</v>
      </c>
      <c r="KA92">
        <v>29.993</v>
      </c>
      <c r="KB92">
        <v>59.8223</v>
      </c>
      <c r="KC92">
        <v>59.5002</v>
      </c>
      <c r="KD92">
        <v>20.3382</v>
      </c>
      <c r="KE92">
        <v>27.4051</v>
      </c>
      <c r="KF92">
        <v>98.4971</v>
      </c>
      <c r="KG92">
        <v>49.8543</v>
      </c>
      <c r="KH92">
        <v>420</v>
      </c>
      <c r="KI92">
        <v>19.9758</v>
      </c>
      <c r="KJ92">
        <v>91.4679</v>
      </c>
      <c r="KK92">
        <v>87.778</v>
      </c>
    </row>
    <row r="93" spans="1:297">
      <c r="A93">
        <v>77</v>
      </c>
      <c r="B93">
        <v>1760916475</v>
      </c>
      <c r="C93">
        <v>22710.9000000954</v>
      </c>
      <c r="D93" t="s">
        <v>764</v>
      </c>
      <c r="E93" t="s">
        <v>765</v>
      </c>
      <c r="F93">
        <v>5</v>
      </c>
      <c r="G93" t="s">
        <v>534</v>
      </c>
      <c r="H93" t="s">
        <v>436</v>
      </c>
      <c r="I93">
        <v>1760916466.5</v>
      </c>
      <c r="J93">
        <f>(K93)/1000</f>
        <v>0</v>
      </c>
      <c r="K93">
        <f>IF(DP93, AN93, AH93)</f>
        <v>0</v>
      </c>
      <c r="L93">
        <f>IF(DP93, AI93, AG93)</f>
        <v>0</v>
      </c>
      <c r="M93">
        <f>DR93 - IF(AU93&gt;1, L93*DL93*100.0/(AW93), 0)</f>
        <v>0</v>
      </c>
      <c r="N93">
        <f>((T93-J93/2)*M93-L93)/(T93+J93/2)</f>
        <v>0</v>
      </c>
      <c r="O93">
        <f>N93*(DY93+DZ93)/1000.0</f>
        <v>0</v>
      </c>
      <c r="P93">
        <f>(DR93 - IF(AU93&gt;1, L93*DL93*100.0/(AW93), 0))*(DY93+DZ93)/1000.0</f>
        <v>0</v>
      </c>
      <c r="Q93">
        <f>2.0/((1/S93-1/R93)+SIGN(S93)*SQRT((1/S93-1/R93)*(1/S93-1/R93) + 4*DM93/((DM93+1)*(DM93+1))*(2*1/S93*1/R93-1/R93*1/R93)))</f>
        <v>0</v>
      </c>
      <c r="R93">
        <f>IF(LEFT(DN93,1)&lt;&gt;"0",IF(LEFT(DN93,1)="1",3.0,DO93),$D$5+$E$5*(EF93*DY93/($K$5*1000))+$F$5*(EF93*DY93/($K$5*1000))*MAX(MIN(DL93,$J$5),$I$5)*MAX(MIN(DL93,$J$5),$I$5)+$G$5*MAX(MIN(DL93,$J$5),$I$5)*(EF93*DY93/($K$5*1000))+$H$5*(EF93*DY93/($K$5*1000))*(EF93*DY93/($K$5*1000)))</f>
        <v>0</v>
      </c>
      <c r="S93">
        <f>J93*(1000-(1000*0.61365*exp(17.502*W93/(240.97+W93))/(DY93+DZ93)+DT93)/2)/(1000*0.61365*exp(17.502*W93/(240.97+W93))/(DY93+DZ93)-DT93)</f>
        <v>0</v>
      </c>
      <c r="T93">
        <f>1/((DM93+1)/(Q93/1.6)+1/(R93/1.37)) + DM93/((DM93+1)/(Q93/1.6) + DM93/(R93/1.37))</f>
        <v>0</v>
      </c>
      <c r="U93">
        <f>(DH93*DK93)</f>
        <v>0</v>
      </c>
      <c r="V93">
        <f>(EA93+(U93+2*0.95*5.67E-8*(((EA93+$B$7)+273)^4-(EA93+273)^4)-44100*J93)/(1.84*29.3*R93+8*0.95*5.67E-8*(EA93+273)^3))</f>
        <v>0</v>
      </c>
      <c r="W93">
        <f>($C$7*EB93+$D$7*EC93+$E$7*V93)</f>
        <v>0</v>
      </c>
      <c r="X93">
        <f>0.61365*exp(17.502*W93/(240.97+W93))</f>
        <v>0</v>
      </c>
      <c r="Y93">
        <f>(Z93/AA93*100)</f>
        <v>0</v>
      </c>
      <c r="Z93">
        <f>DT93*(DY93+DZ93)/1000</f>
        <v>0</v>
      </c>
      <c r="AA93">
        <f>0.61365*exp(17.502*EA93/(240.97+EA93))</f>
        <v>0</v>
      </c>
      <c r="AB93">
        <f>(X93-DT93*(DY93+DZ93)/1000)</f>
        <v>0</v>
      </c>
      <c r="AC93">
        <f>(-J93*44100)</f>
        <v>0</v>
      </c>
      <c r="AD93">
        <f>2*29.3*R93*0.92*(EA93-W93)</f>
        <v>0</v>
      </c>
      <c r="AE93">
        <f>2*0.95*5.67E-8*(((EA93+$B$7)+273)^4-(W93+273)^4)</f>
        <v>0</v>
      </c>
      <c r="AF93">
        <f>U93+AE93+AC93+AD93</f>
        <v>0</v>
      </c>
      <c r="AG93">
        <f>DX93*AU93*(DS93-DR93*(1000-AU93*DU93)/(1000-AU93*DT93))/(100*DL93)</f>
        <v>0</v>
      </c>
      <c r="AH93">
        <f>1000*DX93*AU93*(DT93-DU93)/(100*DL93*(1000-AU93*DT93))</f>
        <v>0</v>
      </c>
      <c r="AI93">
        <f>(AJ93 - AK93 - DY93*1E3/(8.314*(EA93+273.15)) * AM93/DX93 * AL93) * DX93/(100*DL93) * (1000 - DU93)/1000</f>
        <v>0</v>
      </c>
      <c r="AJ93">
        <v>427.233281020267</v>
      </c>
      <c r="AK93">
        <v>422.992793939394</v>
      </c>
      <c r="AL93">
        <v>-0.0126163259598255</v>
      </c>
      <c r="AM93">
        <v>65.6558700765712</v>
      </c>
      <c r="AN93">
        <f>(AP93 - AO93 + DY93*1E3/(8.314*(EA93+273.15)) * AR93/DX93 * AQ93) * DX93/(100*DL93) * 1000/(1000 - AP93)</f>
        <v>0</v>
      </c>
      <c r="AO93">
        <v>16.9118769989343</v>
      </c>
      <c r="AP93">
        <v>43.9158763636364</v>
      </c>
      <c r="AQ93">
        <v>0.00565318843674122</v>
      </c>
      <c r="AR93">
        <v>113.926058371202</v>
      </c>
      <c r="AS93">
        <v>3</v>
      </c>
      <c r="AT93">
        <v>1</v>
      </c>
      <c r="AU93">
        <f>IF(AS93*$H$13&gt;=AW93,1.0,(AW93/(AW93-AS93*$H$13)))</f>
        <v>0</v>
      </c>
      <c r="AV93">
        <f>(AU93-1)*100</f>
        <v>0</v>
      </c>
      <c r="AW93">
        <f>MAX(0,($B$13+$C$13*EF93)/(1+$D$13*EF93)*DY93/(EA93+273)*$E$13)</f>
        <v>0</v>
      </c>
      <c r="AX93" t="s">
        <v>437</v>
      </c>
      <c r="AY93">
        <v>5082.33</v>
      </c>
      <c r="AZ93">
        <v>690.032</v>
      </c>
      <c r="BA93">
        <v>1612.68</v>
      </c>
      <c r="BB93">
        <f>1-AZ93/BA93</f>
        <v>0</v>
      </c>
      <c r="BC93">
        <v>-9.7270689171713</v>
      </c>
      <c r="BD93" t="s">
        <v>766</v>
      </c>
      <c r="BE93">
        <v>5101</v>
      </c>
      <c r="BF93">
        <v>761.505269230769</v>
      </c>
      <c r="BG93">
        <v>901.007049797622</v>
      </c>
      <c r="BH93">
        <f>1-BF93/BG93</f>
        <v>0</v>
      </c>
      <c r="BI93">
        <v>0.5</v>
      </c>
      <c r="BJ93">
        <f>DI93</f>
        <v>0</v>
      </c>
      <c r="BK93">
        <f>L93</f>
        <v>0</v>
      </c>
      <c r="BL93">
        <f>BH93*BI93*BJ93</f>
        <v>0</v>
      </c>
      <c r="BM93">
        <f>(BK93-BC93)/BJ93</f>
        <v>0</v>
      </c>
      <c r="BN93">
        <f>(BA93-BG93)/BG93</f>
        <v>0</v>
      </c>
      <c r="BO93">
        <f>AZ93/(BB93+AZ93/BG93)</f>
        <v>0</v>
      </c>
      <c r="BP93" t="s">
        <v>767</v>
      </c>
      <c r="BQ93">
        <v>667.2</v>
      </c>
      <c r="BR93">
        <f>IF(BQ93&lt;&gt;0, BQ93, BO93)</f>
        <v>0</v>
      </c>
      <c r="BS93">
        <f>1-BR93/BG93</f>
        <v>0</v>
      </c>
      <c r="BT93">
        <f>(BG93-BF93)/(BG93-BR93)</f>
        <v>0</v>
      </c>
      <c r="BU93">
        <f>(BA93-BG93)/(BA93-BR93)</f>
        <v>0</v>
      </c>
      <c r="BV93">
        <f>(BG93-BF93)/(BG93-AZ93)</f>
        <v>0</v>
      </c>
      <c r="BW93">
        <f>(BA93-BG93)/(BA93-AZ93)</f>
        <v>0</v>
      </c>
      <c r="BX93">
        <f>(BT93*BR93/BF93)</f>
        <v>0</v>
      </c>
      <c r="BY93">
        <f>(1-BX93)</f>
        <v>0</v>
      </c>
      <c r="BZ93">
        <v>246</v>
      </c>
      <c r="CA93">
        <v>290</v>
      </c>
      <c r="CB93">
        <v>862.26</v>
      </c>
      <c r="CC93">
        <v>295</v>
      </c>
      <c r="CD93">
        <v>5101</v>
      </c>
      <c r="CE93">
        <v>862.19</v>
      </c>
      <c r="CF93">
        <v>0.07</v>
      </c>
      <c r="CG93">
        <v>300</v>
      </c>
      <c r="CH93">
        <v>23.9</v>
      </c>
      <c r="CI93">
        <v>901.007049797622</v>
      </c>
      <c r="CJ93">
        <v>1.72259056564949</v>
      </c>
      <c r="CK93">
        <v>-19.8016742714868</v>
      </c>
      <c r="CL93">
        <v>0.790630292643166</v>
      </c>
      <c r="CM93">
        <v>0.957269749193566</v>
      </c>
      <c r="CN93">
        <v>-0.00321896729699667</v>
      </c>
      <c r="CO93">
        <v>290</v>
      </c>
      <c r="CP93">
        <v>862.98</v>
      </c>
      <c r="CQ93">
        <v>885</v>
      </c>
      <c r="CR93">
        <v>5096.5</v>
      </c>
      <c r="CS93">
        <v>862.15</v>
      </c>
      <c r="CT93">
        <v>0.83</v>
      </c>
      <c r="DH93">
        <f>$B$11*EG93+$C$11*EH93+$F$11*ES93*(1-EV93)</f>
        <v>0</v>
      </c>
      <c r="DI93">
        <f>DH93*DJ93</f>
        <v>0</v>
      </c>
      <c r="DJ93">
        <f>($B$11*$D$9+$C$11*$D$9+$F$11*((FF93+EX93)/MAX(FF93+EX93+FG93, 0.1)*$I$9+FG93/MAX(FF93+EX93+FG93, 0.1)*$J$9))/($B$11+$C$11+$F$11)</f>
        <v>0</v>
      </c>
      <c r="DK93">
        <f>($B$11*$K$9+$C$11*$K$9+$F$11*((FF93+EX93)/MAX(FF93+EX93+FG93, 0.1)*$P$9+FG93/MAX(FF93+EX93+FG93, 0.1)*$Q$9))/($B$11+$C$11+$F$11)</f>
        <v>0</v>
      </c>
      <c r="DL93">
        <v>3.21</v>
      </c>
      <c r="DM93">
        <v>0.5</v>
      </c>
      <c r="DN93" t="s">
        <v>440</v>
      </c>
      <c r="DO93">
        <v>2</v>
      </c>
      <c r="DP93" t="b">
        <v>1</v>
      </c>
      <c r="DQ93">
        <v>1760916466.5</v>
      </c>
      <c r="DR93">
        <v>404.5151875</v>
      </c>
      <c r="DS93">
        <v>420.0573125</v>
      </c>
      <c r="DT93">
        <v>43.91265</v>
      </c>
      <c r="DU93">
        <v>16.9543375</v>
      </c>
      <c r="DV93">
        <v>402.1245</v>
      </c>
      <c r="DW93">
        <v>43.47744375</v>
      </c>
      <c r="DX93">
        <v>499.9885</v>
      </c>
      <c r="DY93">
        <v>90.60515</v>
      </c>
      <c r="DZ93">
        <v>0.0430830625</v>
      </c>
      <c r="EA93">
        <v>52.6391625</v>
      </c>
      <c r="EB93">
        <v>47.9514125</v>
      </c>
      <c r="EC93">
        <v>999.9</v>
      </c>
      <c r="ED93">
        <v>0</v>
      </c>
      <c r="EE93">
        <v>0</v>
      </c>
      <c r="EF93">
        <v>10000.698125</v>
      </c>
      <c r="EG93">
        <v>0</v>
      </c>
      <c r="EH93">
        <v>1142.615</v>
      </c>
      <c r="EI93">
        <v>-15.5421625</v>
      </c>
      <c r="EJ93">
        <v>423.094375</v>
      </c>
      <c r="EK93">
        <v>427.3020625</v>
      </c>
      <c r="EL93">
        <v>26.9583125</v>
      </c>
      <c r="EM93">
        <v>420.0573125</v>
      </c>
      <c r="EN93">
        <v>16.9543375</v>
      </c>
      <c r="EO93">
        <v>3.9787125</v>
      </c>
      <c r="EP93">
        <v>1.536150625</v>
      </c>
      <c r="EQ93">
        <v>28.8141</v>
      </c>
      <c r="ER93">
        <v>13.3327625</v>
      </c>
      <c r="ES93">
        <v>1200.030625</v>
      </c>
      <c r="ET93">
        <v>0.966994</v>
      </c>
      <c r="EU93">
        <v>0.0330064</v>
      </c>
      <c r="EV93">
        <v>0</v>
      </c>
      <c r="EW93">
        <v>761.4215625</v>
      </c>
      <c r="EX93">
        <v>5.00059</v>
      </c>
      <c r="EY93">
        <v>10087.3875</v>
      </c>
      <c r="EZ93">
        <v>10358.94375</v>
      </c>
      <c r="FA93">
        <v>61.671625</v>
      </c>
      <c r="FB93">
        <v>63.16775</v>
      </c>
      <c r="FC93">
        <v>62.1248125</v>
      </c>
      <c r="FD93">
        <v>62.1678125</v>
      </c>
      <c r="FE93">
        <v>63.2301875</v>
      </c>
      <c r="FF93">
        <v>1155.589375</v>
      </c>
      <c r="FG93">
        <v>39.44</v>
      </c>
      <c r="FH93">
        <v>0</v>
      </c>
      <c r="FI93">
        <v>276.399999856949</v>
      </c>
      <c r="FJ93">
        <v>0</v>
      </c>
      <c r="FK93">
        <v>761.505269230769</v>
      </c>
      <c r="FL93">
        <v>2.29104273687723</v>
      </c>
      <c r="FM93">
        <v>44.9743590555949</v>
      </c>
      <c r="FN93">
        <v>10087.6115384615</v>
      </c>
      <c r="FO93">
        <v>15</v>
      </c>
      <c r="FP93">
        <v>0</v>
      </c>
      <c r="FQ93" t="s">
        <v>441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-15.5076904761905</v>
      </c>
      <c r="GD93">
        <v>-0.318755844155844</v>
      </c>
      <c r="GE93">
        <v>0.0658185739073843</v>
      </c>
      <c r="GF93">
        <v>1</v>
      </c>
      <c r="GG93">
        <v>761.297970588235</v>
      </c>
      <c r="GH93">
        <v>2.51231474719112</v>
      </c>
      <c r="GI93">
        <v>0.340282104877194</v>
      </c>
      <c r="GJ93">
        <v>-1</v>
      </c>
      <c r="GK93">
        <v>26.9239238095238</v>
      </c>
      <c r="GL93">
        <v>0.544776623376575</v>
      </c>
      <c r="GM93">
        <v>0.0577751215593856</v>
      </c>
      <c r="GN93">
        <v>0</v>
      </c>
      <c r="GO93">
        <v>1</v>
      </c>
      <c r="GP93">
        <v>2</v>
      </c>
      <c r="GQ93" t="s">
        <v>454</v>
      </c>
      <c r="GR93">
        <v>3.12407</v>
      </c>
      <c r="GS93">
        <v>2.7204</v>
      </c>
      <c r="GT93">
        <v>0.0812905</v>
      </c>
      <c r="GU93">
        <v>0.0841194</v>
      </c>
      <c r="GV93">
        <v>0.148538</v>
      </c>
      <c r="GW93">
        <v>0.0754508</v>
      </c>
      <c r="GX93">
        <v>32846.6</v>
      </c>
      <c r="GY93">
        <v>34604.8</v>
      </c>
      <c r="GZ93">
        <v>32490.5</v>
      </c>
      <c r="HA93">
        <v>34354</v>
      </c>
      <c r="HB93">
        <v>39670.6</v>
      </c>
      <c r="HC93">
        <v>45779.4</v>
      </c>
      <c r="HD93">
        <v>51102.6</v>
      </c>
      <c r="HE93">
        <v>55130.9</v>
      </c>
      <c r="HF93">
        <v>1.6628</v>
      </c>
      <c r="HG93">
        <v>1.5122</v>
      </c>
      <c r="HH93">
        <v>0.0387356</v>
      </c>
      <c r="HI93">
        <v>0</v>
      </c>
      <c r="HJ93">
        <v>47.3339</v>
      </c>
      <c r="HK93">
        <v>999.9</v>
      </c>
      <c r="HL93">
        <v>54.951</v>
      </c>
      <c r="HM93">
        <v>30.182</v>
      </c>
      <c r="HN93">
        <v>26.1094</v>
      </c>
      <c r="HO93">
        <v>60.1495</v>
      </c>
      <c r="HP93">
        <v>40.7933</v>
      </c>
      <c r="HQ93">
        <v>1</v>
      </c>
      <c r="HR93">
        <v>2.50773</v>
      </c>
      <c r="HS93">
        <v>-3.32335</v>
      </c>
      <c r="HT93">
        <v>20.0866</v>
      </c>
      <c r="HU93">
        <v>5.18719</v>
      </c>
      <c r="HV93">
        <v>12.0159</v>
      </c>
      <c r="HW93">
        <v>4.96805</v>
      </c>
      <c r="HX93">
        <v>3.296</v>
      </c>
      <c r="HY93">
        <v>9999</v>
      </c>
      <c r="HZ93">
        <v>999.9</v>
      </c>
      <c r="IA93">
        <v>9999</v>
      </c>
      <c r="IB93">
        <v>9999</v>
      </c>
      <c r="IC93">
        <v>1.86325</v>
      </c>
      <c r="ID93">
        <v>1.86801</v>
      </c>
      <c r="IE93">
        <v>1.86783</v>
      </c>
      <c r="IF93">
        <v>1.86905</v>
      </c>
      <c r="IG93">
        <v>1.86981</v>
      </c>
      <c r="IH93">
        <v>1.86584</v>
      </c>
      <c r="II93">
        <v>1.86691</v>
      </c>
      <c r="IJ93">
        <v>1.8683</v>
      </c>
      <c r="IK93">
        <v>5</v>
      </c>
      <c r="IL93">
        <v>0</v>
      </c>
      <c r="IM93">
        <v>0</v>
      </c>
      <c r="IN93">
        <v>0</v>
      </c>
      <c r="IO93" t="s">
        <v>443</v>
      </c>
      <c r="IP93" t="s">
        <v>444</v>
      </c>
      <c r="IQ93" t="s">
        <v>445</v>
      </c>
      <c r="IR93" t="s">
        <v>445</v>
      </c>
      <c r="IS93" t="s">
        <v>445</v>
      </c>
      <c r="IT93" t="s">
        <v>445</v>
      </c>
      <c r="IU93">
        <v>0</v>
      </c>
      <c r="IV93">
        <v>100</v>
      </c>
      <c r="IW93">
        <v>100</v>
      </c>
      <c r="IX93">
        <v>2.39</v>
      </c>
      <c r="IY93">
        <v>0.4352</v>
      </c>
      <c r="IZ93">
        <v>0.833350075594679</v>
      </c>
      <c r="JA93">
        <v>0.00412825224050377</v>
      </c>
      <c r="JB93">
        <v>-7.34426573386615e-07</v>
      </c>
      <c r="JC93">
        <v>2.46800082545482e-10</v>
      </c>
      <c r="JD93">
        <v>0.435209846415365</v>
      </c>
      <c r="JE93">
        <v>0</v>
      </c>
      <c r="JF93">
        <v>0</v>
      </c>
      <c r="JG93">
        <v>0</v>
      </c>
      <c r="JH93">
        <v>5</v>
      </c>
      <c r="JI93">
        <v>2250</v>
      </c>
      <c r="JJ93">
        <v>0</v>
      </c>
      <c r="JK93">
        <v>24</v>
      </c>
      <c r="JL93">
        <v>29348607.9</v>
      </c>
      <c r="JM93">
        <v>29348607.9</v>
      </c>
      <c r="JN93">
        <v>1.01318</v>
      </c>
      <c r="JO93">
        <v>2.62817</v>
      </c>
      <c r="JP93">
        <v>1.54785</v>
      </c>
      <c r="JQ93">
        <v>2.31445</v>
      </c>
      <c r="JR93">
        <v>1.64673</v>
      </c>
      <c r="JS93">
        <v>2.39502</v>
      </c>
      <c r="JT93">
        <v>34.4864</v>
      </c>
      <c r="JU93">
        <v>24.1751</v>
      </c>
      <c r="JV93">
        <v>18</v>
      </c>
      <c r="JW93">
        <v>495.007</v>
      </c>
      <c r="JX93">
        <v>384.644</v>
      </c>
      <c r="JY93">
        <v>56.5133</v>
      </c>
      <c r="JZ93">
        <v>56.2582</v>
      </c>
      <c r="KA93">
        <v>29.9893</v>
      </c>
      <c r="KB93">
        <v>56.1321</v>
      </c>
      <c r="KC93">
        <v>55.8978</v>
      </c>
      <c r="KD93">
        <v>20.3145</v>
      </c>
      <c r="KE93">
        <v>37.1759</v>
      </c>
      <c r="KF93">
        <v>89.8036</v>
      </c>
      <c r="KG93">
        <v>56.5547</v>
      </c>
      <c r="KH93">
        <v>420</v>
      </c>
      <c r="KI93">
        <v>16.7516</v>
      </c>
      <c r="KJ93">
        <v>92.5973</v>
      </c>
      <c r="KK93">
        <v>89.1834</v>
      </c>
    </row>
    <row r="94" spans="1:297">
      <c r="A94">
        <v>78</v>
      </c>
      <c r="B94">
        <v>1760916573</v>
      </c>
      <c r="C94">
        <v>22808.9000000954</v>
      </c>
      <c r="D94" t="s">
        <v>768</v>
      </c>
      <c r="E94" t="s">
        <v>769</v>
      </c>
      <c r="F94">
        <v>5</v>
      </c>
      <c r="G94" t="s">
        <v>534</v>
      </c>
      <c r="H94" t="s">
        <v>436</v>
      </c>
      <c r="I94">
        <v>1760916564.5</v>
      </c>
      <c r="J94">
        <f>(K94)/1000</f>
        <v>0</v>
      </c>
      <c r="K94">
        <f>IF(DP94, AN94, AH94)</f>
        <v>0</v>
      </c>
      <c r="L94">
        <f>IF(DP94, AI94, AG94)</f>
        <v>0</v>
      </c>
      <c r="M94">
        <f>DR94 - IF(AU94&gt;1, L94*DL94*100.0/(AW94), 0)</f>
        <v>0</v>
      </c>
      <c r="N94">
        <f>((T94-J94/2)*M94-L94)/(T94+J94/2)</f>
        <v>0</v>
      </c>
      <c r="O94">
        <f>N94*(DY94+DZ94)/1000.0</f>
        <v>0</v>
      </c>
      <c r="P94">
        <f>(DR94 - IF(AU94&gt;1, L94*DL94*100.0/(AW94), 0))*(DY94+DZ94)/1000.0</f>
        <v>0</v>
      </c>
      <c r="Q94">
        <f>2.0/((1/S94-1/R94)+SIGN(S94)*SQRT((1/S94-1/R94)*(1/S94-1/R94) + 4*DM94/((DM94+1)*(DM94+1))*(2*1/S94*1/R94-1/R94*1/R94)))</f>
        <v>0</v>
      </c>
      <c r="R94">
        <f>IF(LEFT(DN94,1)&lt;&gt;"0",IF(LEFT(DN94,1)="1",3.0,DO94),$D$5+$E$5*(EF94*DY94/($K$5*1000))+$F$5*(EF94*DY94/($K$5*1000))*MAX(MIN(DL94,$J$5),$I$5)*MAX(MIN(DL94,$J$5),$I$5)+$G$5*MAX(MIN(DL94,$J$5),$I$5)*(EF94*DY94/($K$5*1000))+$H$5*(EF94*DY94/($K$5*1000))*(EF94*DY94/($K$5*1000)))</f>
        <v>0</v>
      </c>
      <c r="S94">
        <f>J94*(1000-(1000*0.61365*exp(17.502*W94/(240.97+W94))/(DY94+DZ94)+DT94)/2)/(1000*0.61365*exp(17.502*W94/(240.97+W94))/(DY94+DZ94)-DT94)</f>
        <v>0</v>
      </c>
      <c r="T94">
        <f>1/((DM94+1)/(Q94/1.6)+1/(R94/1.37)) + DM94/((DM94+1)/(Q94/1.6) + DM94/(R94/1.37))</f>
        <v>0</v>
      </c>
      <c r="U94">
        <f>(DH94*DK94)</f>
        <v>0</v>
      </c>
      <c r="V94">
        <f>(EA94+(U94+2*0.95*5.67E-8*(((EA94+$B$7)+273)^4-(EA94+273)^4)-44100*J94)/(1.84*29.3*R94+8*0.95*5.67E-8*(EA94+273)^3))</f>
        <v>0</v>
      </c>
      <c r="W94">
        <f>($C$7*EB94+$D$7*EC94+$E$7*V94)</f>
        <v>0</v>
      </c>
      <c r="X94">
        <f>0.61365*exp(17.502*W94/(240.97+W94))</f>
        <v>0</v>
      </c>
      <c r="Y94">
        <f>(Z94/AA94*100)</f>
        <v>0</v>
      </c>
      <c r="Z94">
        <f>DT94*(DY94+DZ94)/1000</f>
        <v>0</v>
      </c>
      <c r="AA94">
        <f>0.61365*exp(17.502*EA94/(240.97+EA94))</f>
        <v>0</v>
      </c>
      <c r="AB94">
        <f>(X94-DT94*(DY94+DZ94)/1000)</f>
        <v>0</v>
      </c>
      <c r="AC94">
        <f>(-J94*44100)</f>
        <v>0</v>
      </c>
      <c r="AD94">
        <f>2*29.3*R94*0.92*(EA94-W94)</f>
        <v>0</v>
      </c>
      <c r="AE94">
        <f>2*0.95*5.67E-8*(((EA94+$B$7)+273)^4-(W94+273)^4)</f>
        <v>0</v>
      </c>
      <c r="AF94">
        <f>U94+AE94+AC94+AD94</f>
        <v>0</v>
      </c>
      <c r="AG94">
        <f>DX94*AU94*(DS94-DR94*(1000-AU94*DU94)/(1000-AU94*DT94))/(100*DL94)</f>
        <v>0</v>
      </c>
      <c r="AH94">
        <f>1000*DX94*AU94*(DT94-DU94)/(100*DL94*(1000-AU94*DT94))</f>
        <v>0</v>
      </c>
      <c r="AI94">
        <f>(AJ94 - AK94 - DY94*1E3/(8.314*(EA94+273.15)) * AM94/DX94 * AL94) * DX94/(100*DL94) * (1000 - DU94)/1000</f>
        <v>0</v>
      </c>
      <c r="AJ94">
        <v>426.71323961535</v>
      </c>
      <c r="AK94">
        <v>422.906787878788</v>
      </c>
      <c r="AL94">
        <v>-0.00244616622648386</v>
      </c>
      <c r="AM94">
        <v>65.6558700765712</v>
      </c>
      <c r="AN94">
        <f>(AP94 - AO94 + DY94*1E3/(8.314*(EA94+273.15)) * AR94/DX94 * AQ94) * DX94/(100*DL94) * 1000/(1000 - AP94)</f>
        <v>0</v>
      </c>
      <c r="AO94">
        <v>15.6283275181225</v>
      </c>
      <c r="AP94">
        <v>43.8288684848485</v>
      </c>
      <c r="AQ94">
        <v>-0.00167700657952912</v>
      </c>
      <c r="AR94">
        <v>113.926058371202</v>
      </c>
      <c r="AS94">
        <v>0</v>
      </c>
      <c r="AT94">
        <v>0</v>
      </c>
      <c r="AU94">
        <f>IF(AS94*$H$13&gt;=AW94,1.0,(AW94/(AW94-AS94*$H$13)))</f>
        <v>0</v>
      </c>
      <c r="AV94">
        <f>(AU94-1)*100</f>
        <v>0</v>
      </c>
      <c r="AW94">
        <f>MAX(0,($B$13+$C$13*EF94)/(1+$D$13*EF94)*DY94/(EA94+273)*$E$13)</f>
        <v>0</v>
      </c>
      <c r="AX94" t="s">
        <v>437</v>
      </c>
      <c r="AY94">
        <v>5082.33</v>
      </c>
      <c r="AZ94">
        <v>690.032</v>
      </c>
      <c r="BA94">
        <v>1612.68</v>
      </c>
      <c r="BB94">
        <f>1-AZ94/BA94</f>
        <v>0</v>
      </c>
      <c r="BC94">
        <v>-9.7270689171713</v>
      </c>
      <c r="BD94" t="s">
        <v>770</v>
      </c>
      <c r="BE94">
        <v>5100.8</v>
      </c>
      <c r="BF94">
        <v>764.0006</v>
      </c>
      <c r="BG94">
        <v>900.006037749238</v>
      </c>
      <c r="BH94">
        <f>1-BF94/BG94</f>
        <v>0</v>
      </c>
      <c r="BI94">
        <v>0.5</v>
      </c>
      <c r="BJ94">
        <f>DI94</f>
        <v>0</v>
      </c>
      <c r="BK94">
        <f>L94</f>
        <v>0</v>
      </c>
      <c r="BL94">
        <f>BH94*BI94*BJ94</f>
        <v>0</v>
      </c>
      <c r="BM94">
        <f>(BK94-BC94)/BJ94</f>
        <v>0</v>
      </c>
      <c r="BN94">
        <f>(BA94-BG94)/BG94</f>
        <v>0</v>
      </c>
      <c r="BO94">
        <f>AZ94/(BB94+AZ94/BG94)</f>
        <v>0</v>
      </c>
      <c r="BP94" t="s">
        <v>771</v>
      </c>
      <c r="BQ94">
        <v>663.33</v>
      </c>
      <c r="BR94">
        <f>IF(BQ94&lt;&gt;0, BQ94, BO94)</f>
        <v>0</v>
      </c>
      <c r="BS94">
        <f>1-BR94/BG94</f>
        <v>0</v>
      </c>
      <c r="BT94">
        <f>(BG94-BF94)/(BG94-BR94)</f>
        <v>0</v>
      </c>
      <c r="BU94">
        <f>(BA94-BG94)/(BA94-BR94)</f>
        <v>0</v>
      </c>
      <c r="BV94">
        <f>(BG94-BF94)/(BG94-AZ94)</f>
        <v>0</v>
      </c>
      <c r="BW94">
        <f>(BA94-BG94)/(BA94-AZ94)</f>
        <v>0</v>
      </c>
      <c r="BX94">
        <f>(BT94*BR94/BF94)</f>
        <v>0</v>
      </c>
      <c r="BY94">
        <f>(1-BX94)</f>
        <v>0</v>
      </c>
      <c r="BZ94">
        <v>248</v>
      </c>
      <c r="CA94">
        <v>290</v>
      </c>
      <c r="CB94">
        <v>860.64</v>
      </c>
      <c r="CC94">
        <v>285</v>
      </c>
      <c r="CD94">
        <v>5100.8</v>
      </c>
      <c r="CE94">
        <v>860.73</v>
      </c>
      <c r="CF94">
        <v>-0.09</v>
      </c>
      <c r="CG94">
        <v>300</v>
      </c>
      <c r="CH94">
        <v>23.9</v>
      </c>
      <c r="CI94">
        <v>900.006037749238</v>
      </c>
      <c r="CJ94">
        <v>1.61780456168382</v>
      </c>
      <c r="CK94">
        <v>-20.0323198478743</v>
      </c>
      <c r="CL94">
        <v>0.742498290104277</v>
      </c>
      <c r="CM94">
        <v>0.962958051449547</v>
      </c>
      <c r="CN94">
        <v>-0.00321918153503894</v>
      </c>
      <c r="CO94">
        <v>290</v>
      </c>
      <c r="CP94">
        <v>861.08</v>
      </c>
      <c r="CQ94">
        <v>755</v>
      </c>
      <c r="CR94">
        <v>5097.25</v>
      </c>
      <c r="CS94">
        <v>860.71</v>
      </c>
      <c r="CT94">
        <v>0.37</v>
      </c>
      <c r="DH94">
        <f>$B$11*EG94+$C$11*EH94+$F$11*ES94*(1-EV94)</f>
        <v>0</v>
      </c>
      <c r="DI94">
        <f>DH94*DJ94</f>
        <v>0</v>
      </c>
      <c r="DJ94">
        <f>($B$11*$D$9+$C$11*$D$9+$F$11*((FF94+EX94)/MAX(FF94+EX94+FG94, 0.1)*$I$9+FG94/MAX(FF94+EX94+FG94, 0.1)*$J$9))/($B$11+$C$11+$F$11)</f>
        <v>0</v>
      </c>
      <c r="DK94">
        <f>($B$11*$K$9+$C$11*$K$9+$F$11*((FF94+EX94)/MAX(FF94+EX94+FG94, 0.1)*$P$9+FG94/MAX(FF94+EX94+FG94, 0.1)*$Q$9))/($B$11+$C$11+$F$11)</f>
        <v>0</v>
      </c>
      <c r="DL94">
        <v>3.21</v>
      </c>
      <c r="DM94">
        <v>0.5</v>
      </c>
      <c r="DN94" t="s">
        <v>440</v>
      </c>
      <c r="DO94">
        <v>2</v>
      </c>
      <c r="DP94" t="b">
        <v>1</v>
      </c>
      <c r="DQ94">
        <v>1760916564.5</v>
      </c>
      <c r="DR94">
        <v>404.4066875</v>
      </c>
      <c r="DS94">
        <v>420.071875</v>
      </c>
      <c r="DT94">
        <v>43.864775</v>
      </c>
      <c r="DU94">
        <v>15.6718875</v>
      </c>
      <c r="DV94">
        <v>402.016375</v>
      </c>
      <c r="DW94">
        <v>43.42955625</v>
      </c>
      <c r="DX94">
        <v>499.98975</v>
      </c>
      <c r="DY94">
        <v>90.59324375</v>
      </c>
      <c r="DZ94">
        <v>0.04181736875</v>
      </c>
      <c r="EA94">
        <v>53.02670625</v>
      </c>
      <c r="EB94">
        <v>48.24450625</v>
      </c>
      <c r="EC94">
        <v>999.9</v>
      </c>
      <c r="ED94">
        <v>0</v>
      </c>
      <c r="EE94">
        <v>0</v>
      </c>
      <c r="EF94">
        <v>9997.37875</v>
      </c>
      <c r="EG94">
        <v>0</v>
      </c>
      <c r="EH94">
        <v>1182.40625</v>
      </c>
      <c r="EI94">
        <v>-15.66516875</v>
      </c>
      <c r="EJ94">
        <v>422.95975</v>
      </c>
      <c r="EK94">
        <v>426.759875</v>
      </c>
      <c r="EL94">
        <v>28.19289375</v>
      </c>
      <c r="EM94">
        <v>420.071875</v>
      </c>
      <c r="EN94">
        <v>15.6718875</v>
      </c>
      <c r="EO94">
        <v>3.973853125</v>
      </c>
      <c r="EP94">
        <v>1.419765</v>
      </c>
      <c r="EQ94">
        <v>28.79300625</v>
      </c>
      <c r="ER94">
        <v>12.13034375</v>
      </c>
      <c r="ES94">
        <v>1200.02</v>
      </c>
      <c r="ET94">
        <v>0.967002</v>
      </c>
      <c r="EU94">
        <v>0.0329979</v>
      </c>
      <c r="EV94">
        <v>0</v>
      </c>
      <c r="EW94">
        <v>763.9689375</v>
      </c>
      <c r="EX94">
        <v>5.00059</v>
      </c>
      <c r="EY94">
        <v>10079.69375</v>
      </c>
      <c r="EZ94">
        <v>10358.9</v>
      </c>
      <c r="FA94">
        <v>61.4803125</v>
      </c>
      <c r="FB94">
        <v>62.7460625</v>
      </c>
      <c r="FC94">
        <v>61.6131875</v>
      </c>
      <c r="FD94">
        <v>62.2303125</v>
      </c>
      <c r="FE94">
        <v>62.937</v>
      </c>
      <c r="FF94">
        <v>1155.59</v>
      </c>
      <c r="FG94">
        <v>39.43</v>
      </c>
      <c r="FH94">
        <v>0</v>
      </c>
      <c r="FI94">
        <v>94.6000001430511</v>
      </c>
      <c r="FJ94">
        <v>0</v>
      </c>
      <c r="FK94">
        <v>764.0006</v>
      </c>
      <c r="FL94">
        <v>2.96869231377027</v>
      </c>
      <c r="FM94">
        <v>25.430769269312</v>
      </c>
      <c r="FN94">
        <v>10079.96</v>
      </c>
      <c r="FO94">
        <v>15</v>
      </c>
      <c r="FP94">
        <v>0</v>
      </c>
      <c r="FQ94" t="s">
        <v>441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-15.65846</v>
      </c>
      <c r="GD94">
        <v>-0.0852180451128097</v>
      </c>
      <c r="GE94">
        <v>0.0261051412560821</v>
      </c>
      <c r="GF94">
        <v>1</v>
      </c>
      <c r="GG94">
        <v>763.847647058824</v>
      </c>
      <c r="GH94">
        <v>2.36421696346132</v>
      </c>
      <c r="GI94">
        <v>0.311890618303058</v>
      </c>
      <c r="GJ94">
        <v>-1</v>
      </c>
      <c r="GK94">
        <v>28.177895</v>
      </c>
      <c r="GL94">
        <v>0.343989473684207</v>
      </c>
      <c r="GM94">
        <v>0.0396367566155457</v>
      </c>
      <c r="GN94">
        <v>0</v>
      </c>
      <c r="GO94">
        <v>1</v>
      </c>
      <c r="GP94">
        <v>2</v>
      </c>
      <c r="GQ94" t="s">
        <v>454</v>
      </c>
      <c r="GR94">
        <v>3.1243</v>
      </c>
      <c r="GS94">
        <v>2.71956</v>
      </c>
      <c r="GT94">
        <v>0.081536</v>
      </c>
      <c r="GU94">
        <v>0.0843471</v>
      </c>
      <c r="GV94">
        <v>0.148714</v>
      </c>
      <c r="GW94">
        <v>0.0713644</v>
      </c>
      <c r="GX94">
        <v>32928.9</v>
      </c>
      <c r="GY94">
        <v>34708</v>
      </c>
      <c r="GZ94">
        <v>32572.4</v>
      </c>
      <c r="HA94">
        <v>34456.8</v>
      </c>
      <c r="HB94">
        <v>39727.7</v>
      </c>
      <c r="HC94">
        <v>46103.4</v>
      </c>
      <c r="HD94">
        <v>51207.4</v>
      </c>
      <c r="HE94">
        <v>55282.7</v>
      </c>
      <c r="HF94">
        <v>1.6781</v>
      </c>
      <c r="HG94">
        <v>1.51988</v>
      </c>
      <c r="HH94">
        <v>-0.00911579</v>
      </c>
      <c r="HI94">
        <v>0</v>
      </c>
      <c r="HJ94">
        <v>48.3654</v>
      </c>
      <c r="HK94">
        <v>999.9</v>
      </c>
      <c r="HL94">
        <v>54.395</v>
      </c>
      <c r="HM94">
        <v>30.222</v>
      </c>
      <c r="HN94">
        <v>25.9094</v>
      </c>
      <c r="HO94">
        <v>60.2195</v>
      </c>
      <c r="HP94">
        <v>40.9535</v>
      </c>
      <c r="HQ94">
        <v>1</v>
      </c>
      <c r="HR94">
        <v>2.36697</v>
      </c>
      <c r="HS94">
        <v>0.107996</v>
      </c>
      <c r="HT94">
        <v>20.1154</v>
      </c>
      <c r="HU94">
        <v>5.18734</v>
      </c>
      <c r="HV94">
        <v>12.0159</v>
      </c>
      <c r="HW94">
        <v>4.96945</v>
      </c>
      <c r="HX94">
        <v>3.29598</v>
      </c>
      <c r="HY94">
        <v>9999</v>
      </c>
      <c r="HZ94">
        <v>999.9</v>
      </c>
      <c r="IA94">
        <v>9999</v>
      </c>
      <c r="IB94">
        <v>9999</v>
      </c>
      <c r="IC94">
        <v>1.86325</v>
      </c>
      <c r="ID94">
        <v>1.86807</v>
      </c>
      <c r="IE94">
        <v>1.86783</v>
      </c>
      <c r="IF94">
        <v>1.86905</v>
      </c>
      <c r="IG94">
        <v>1.86981</v>
      </c>
      <c r="IH94">
        <v>1.86584</v>
      </c>
      <c r="II94">
        <v>1.86691</v>
      </c>
      <c r="IJ94">
        <v>1.86832</v>
      </c>
      <c r="IK94">
        <v>5</v>
      </c>
      <c r="IL94">
        <v>0</v>
      </c>
      <c r="IM94">
        <v>0</v>
      </c>
      <c r="IN94">
        <v>0</v>
      </c>
      <c r="IO94" t="s">
        <v>443</v>
      </c>
      <c r="IP94" t="s">
        <v>444</v>
      </c>
      <c r="IQ94" t="s">
        <v>445</v>
      </c>
      <c r="IR94" t="s">
        <v>445</v>
      </c>
      <c r="IS94" t="s">
        <v>445</v>
      </c>
      <c r="IT94" t="s">
        <v>445</v>
      </c>
      <c r="IU94">
        <v>0</v>
      </c>
      <c r="IV94">
        <v>100</v>
      </c>
      <c r="IW94">
        <v>100</v>
      </c>
      <c r="IX94">
        <v>2.391</v>
      </c>
      <c r="IY94">
        <v>0.4352</v>
      </c>
      <c r="IZ94">
        <v>0.833350075594679</v>
      </c>
      <c r="JA94">
        <v>0.00412825224050377</v>
      </c>
      <c r="JB94">
        <v>-7.34426573386615e-07</v>
      </c>
      <c r="JC94">
        <v>2.46800082545482e-10</v>
      </c>
      <c r="JD94">
        <v>0.435209846415365</v>
      </c>
      <c r="JE94">
        <v>0</v>
      </c>
      <c r="JF94">
        <v>0</v>
      </c>
      <c r="JG94">
        <v>0</v>
      </c>
      <c r="JH94">
        <v>5</v>
      </c>
      <c r="JI94">
        <v>2250</v>
      </c>
      <c r="JJ94">
        <v>0</v>
      </c>
      <c r="JK94">
        <v>24</v>
      </c>
      <c r="JL94">
        <v>29348609.6</v>
      </c>
      <c r="JM94">
        <v>29348609.6</v>
      </c>
      <c r="JN94">
        <v>1.01074</v>
      </c>
      <c r="JO94">
        <v>2.63794</v>
      </c>
      <c r="JP94">
        <v>1.54785</v>
      </c>
      <c r="JQ94">
        <v>2.31323</v>
      </c>
      <c r="JR94">
        <v>1.64673</v>
      </c>
      <c r="JS94">
        <v>2.35718</v>
      </c>
      <c r="JT94">
        <v>34.4864</v>
      </c>
      <c r="JU94">
        <v>24.1838</v>
      </c>
      <c r="JV94">
        <v>18</v>
      </c>
      <c r="JW94">
        <v>498.944</v>
      </c>
      <c r="JX94">
        <v>384.129</v>
      </c>
      <c r="JY94">
        <v>53.6619</v>
      </c>
      <c r="JZ94">
        <v>54.6707</v>
      </c>
      <c r="KA94">
        <v>29.9969</v>
      </c>
      <c r="KB94">
        <v>54.7939</v>
      </c>
      <c r="KC94">
        <v>54.6486</v>
      </c>
      <c r="KD94">
        <v>20.2591</v>
      </c>
      <c r="KE94">
        <v>40.0848</v>
      </c>
      <c r="KF94">
        <v>84.3807</v>
      </c>
      <c r="KG94">
        <v>53.5955</v>
      </c>
      <c r="KH94">
        <v>420</v>
      </c>
      <c r="KI94">
        <v>15.5798</v>
      </c>
      <c r="KJ94">
        <v>92.804</v>
      </c>
      <c r="KK94">
        <v>89.4372</v>
      </c>
    </row>
    <row r="95" spans="1:297">
      <c r="A95">
        <v>79</v>
      </c>
      <c r="B95">
        <v>1760917078</v>
      </c>
      <c r="C95">
        <v>23313.9000000954</v>
      </c>
      <c r="D95" t="s">
        <v>772</v>
      </c>
      <c r="E95" t="s">
        <v>773</v>
      </c>
      <c r="F95">
        <v>5</v>
      </c>
      <c r="G95" t="s">
        <v>547</v>
      </c>
      <c r="H95" t="s">
        <v>436</v>
      </c>
      <c r="I95">
        <v>1760917069.5</v>
      </c>
      <c r="J95">
        <f>(K95)/1000</f>
        <v>0</v>
      </c>
      <c r="K95">
        <f>IF(DP95, AN95, AH95)</f>
        <v>0</v>
      </c>
      <c r="L95">
        <f>IF(DP95, AI95, AG95)</f>
        <v>0</v>
      </c>
      <c r="M95">
        <f>DR95 - IF(AU95&gt;1, L95*DL95*100.0/(AW95), 0)</f>
        <v>0</v>
      </c>
      <c r="N95">
        <f>((T95-J95/2)*M95-L95)/(T95+J95/2)</f>
        <v>0</v>
      </c>
      <c r="O95">
        <f>N95*(DY95+DZ95)/1000.0</f>
        <v>0</v>
      </c>
      <c r="P95">
        <f>(DR95 - IF(AU95&gt;1, L95*DL95*100.0/(AW95), 0))*(DY95+DZ95)/1000.0</f>
        <v>0</v>
      </c>
      <c r="Q95">
        <f>2.0/((1/S95-1/R95)+SIGN(S95)*SQRT((1/S95-1/R95)*(1/S95-1/R95) + 4*DM95/((DM95+1)*(DM95+1))*(2*1/S95*1/R95-1/R95*1/R95)))</f>
        <v>0</v>
      </c>
      <c r="R95">
        <f>IF(LEFT(DN95,1)&lt;&gt;"0",IF(LEFT(DN95,1)="1",3.0,DO95),$D$5+$E$5*(EF95*DY95/($K$5*1000))+$F$5*(EF95*DY95/($K$5*1000))*MAX(MIN(DL95,$J$5),$I$5)*MAX(MIN(DL95,$J$5),$I$5)+$G$5*MAX(MIN(DL95,$J$5),$I$5)*(EF95*DY95/($K$5*1000))+$H$5*(EF95*DY95/($K$5*1000))*(EF95*DY95/($K$5*1000)))</f>
        <v>0</v>
      </c>
      <c r="S95">
        <f>J95*(1000-(1000*0.61365*exp(17.502*W95/(240.97+W95))/(DY95+DZ95)+DT95)/2)/(1000*0.61365*exp(17.502*W95/(240.97+W95))/(DY95+DZ95)-DT95)</f>
        <v>0</v>
      </c>
      <c r="T95">
        <f>1/((DM95+1)/(Q95/1.6)+1/(R95/1.37)) + DM95/((DM95+1)/(Q95/1.6) + DM95/(R95/1.37))</f>
        <v>0</v>
      </c>
      <c r="U95">
        <f>(DH95*DK95)</f>
        <v>0</v>
      </c>
      <c r="V95">
        <f>(EA95+(U95+2*0.95*5.67E-8*(((EA95+$B$7)+273)^4-(EA95+273)^4)-44100*J95)/(1.84*29.3*R95+8*0.95*5.67E-8*(EA95+273)^3))</f>
        <v>0</v>
      </c>
      <c r="W95">
        <f>($C$7*EB95+$D$7*EC95+$E$7*V95)</f>
        <v>0</v>
      </c>
      <c r="X95">
        <f>0.61365*exp(17.502*W95/(240.97+W95))</f>
        <v>0</v>
      </c>
      <c r="Y95">
        <f>(Z95/AA95*100)</f>
        <v>0</v>
      </c>
      <c r="Z95">
        <f>DT95*(DY95+DZ95)/1000</f>
        <v>0</v>
      </c>
      <c r="AA95">
        <f>0.61365*exp(17.502*EA95/(240.97+EA95))</f>
        <v>0</v>
      </c>
      <c r="AB95">
        <f>(X95-DT95*(DY95+DZ95)/1000)</f>
        <v>0</v>
      </c>
      <c r="AC95">
        <f>(-J95*44100)</f>
        <v>0</v>
      </c>
      <c r="AD95">
        <f>2*29.3*R95*0.92*(EA95-W95)</f>
        <v>0</v>
      </c>
      <c r="AE95">
        <f>2*0.95*5.67E-8*(((EA95+$B$7)+273)^4-(W95+273)^4)</f>
        <v>0</v>
      </c>
      <c r="AF95">
        <f>U95+AE95+AC95+AD95</f>
        <v>0</v>
      </c>
      <c r="AG95">
        <f>DX95*AU95*(DS95-DR95*(1000-AU95*DU95)/(1000-AU95*DT95))/(100*DL95)</f>
        <v>0</v>
      </c>
      <c r="AH95">
        <f>1000*DX95*AU95*(DT95-DU95)/(100*DL95*(1000-AU95*DT95))</f>
        <v>0</v>
      </c>
      <c r="AI95">
        <f>(AJ95 - AK95 - DY95*1E3/(8.314*(EA95+273.15)) * AM95/DX95 * AL95) * DX95/(100*DL95) * (1000 - DU95)/1000</f>
        <v>0</v>
      </c>
      <c r="AJ95">
        <v>430.842162749779</v>
      </c>
      <c r="AK95">
        <v>431.370672727273</v>
      </c>
      <c r="AL95">
        <v>-0.000172782513693403</v>
      </c>
      <c r="AM95">
        <v>65.4545865665808</v>
      </c>
      <c r="AN95">
        <f>(AP95 - AO95 + DY95*1E3/(8.314*(EA95+273.15)) * AR95/DX95 * AQ95) * DX95/(100*DL95) * 1000/(1000 - AP95)</f>
        <v>0</v>
      </c>
      <c r="AO95">
        <v>25.2937723813697</v>
      </c>
      <c r="AP95">
        <v>44.25598</v>
      </c>
      <c r="AQ95">
        <v>0.00781298002870223</v>
      </c>
      <c r="AR95">
        <v>114.280159009066</v>
      </c>
      <c r="AS95">
        <v>10</v>
      </c>
      <c r="AT95">
        <v>2</v>
      </c>
      <c r="AU95">
        <f>IF(AS95*$H$13&gt;=AW95,1.0,(AW95/(AW95-AS95*$H$13)))</f>
        <v>0</v>
      </c>
      <c r="AV95">
        <f>(AU95-1)*100</f>
        <v>0</v>
      </c>
      <c r="AW95">
        <f>MAX(0,($B$13+$C$13*EF95)/(1+$D$13*EF95)*DY95/(EA95+273)*$E$13)</f>
        <v>0</v>
      </c>
      <c r="AX95" t="s">
        <v>437</v>
      </c>
      <c r="AY95">
        <v>5082.33</v>
      </c>
      <c r="AZ95">
        <v>690.032</v>
      </c>
      <c r="BA95">
        <v>1612.68</v>
      </c>
      <c r="BB95">
        <f>1-AZ95/BA95</f>
        <v>0</v>
      </c>
      <c r="BC95">
        <v>-9.7270689171713</v>
      </c>
      <c r="BD95" t="s">
        <v>774</v>
      </c>
      <c r="BE95">
        <v>5101.48</v>
      </c>
      <c r="BF95">
        <v>851.467576923077</v>
      </c>
      <c r="BG95">
        <v>962.229087515268</v>
      </c>
      <c r="BH95">
        <f>1-BF95/BG95</f>
        <v>0</v>
      </c>
      <c r="BI95">
        <v>0.5</v>
      </c>
      <c r="BJ95">
        <f>DI95</f>
        <v>0</v>
      </c>
      <c r="BK95">
        <f>L95</f>
        <v>0</v>
      </c>
      <c r="BL95">
        <f>BH95*BI95*BJ95</f>
        <v>0</v>
      </c>
      <c r="BM95">
        <f>(BK95-BC95)/BJ95</f>
        <v>0</v>
      </c>
      <c r="BN95">
        <f>(BA95-BG95)/BG95</f>
        <v>0</v>
      </c>
      <c r="BO95">
        <f>AZ95/(BB95+AZ95/BG95)</f>
        <v>0</v>
      </c>
      <c r="BP95" t="s">
        <v>775</v>
      </c>
      <c r="BQ95">
        <v>685.33</v>
      </c>
      <c r="BR95">
        <f>IF(BQ95&lt;&gt;0, BQ95, BO95)</f>
        <v>0</v>
      </c>
      <c r="BS95">
        <f>1-BR95/BG95</f>
        <v>0</v>
      </c>
      <c r="BT95">
        <f>(BG95-BF95)/(BG95-BR95)</f>
        <v>0</v>
      </c>
      <c r="BU95">
        <f>(BA95-BG95)/(BA95-BR95)</f>
        <v>0</v>
      </c>
      <c r="BV95">
        <f>(BG95-BF95)/(BG95-AZ95)</f>
        <v>0</v>
      </c>
      <c r="BW95">
        <f>(BA95-BG95)/(BA95-AZ95)</f>
        <v>0</v>
      </c>
      <c r="BX95">
        <f>(BT95*BR95/BF95)</f>
        <v>0</v>
      </c>
      <c r="BY95">
        <f>(1-BX95)</f>
        <v>0</v>
      </c>
      <c r="BZ95">
        <v>250</v>
      </c>
      <c r="CA95">
        <v>290</v>
      </c>
      <c r="CB95">
        <v>926.99</v>
      </c>
      <c r="CC95">
        <v>235</v>
      </c>
      <c r="CD95">
        <v>5101.48</v>
      </c>
      <c r="CE95">
        <v>926.69</v>
      </c>
      <c r="CF95">
        <v>0.3</v>
      </c>
      <c r="CG95">
        <v>300</v>
      </c>
      <c r="CH95">
        <v>23.9</v>
      </c>
      <c r="CI95">
        <v>962.229087515268</v>
      </c>
      <c r="CJ95">
        <v>1.39260839364888</v>
      </c>
      <c r="CK95">
        <v>-18.1279959016707</v>
      </c>
      <c r="CL95">
        <v>0.63906265950192</v>
      </c>
      <c r="CM95">
        <v>0.966372851015816</v>
      </c>
      <c r="CN95">
        <v>-0.00321947919911012</v>
      </c>
      <c r="CO95">
        <v>290</v>
      </c>
      <c r="CP95">
        <v>925.58</v>
      </c>
      <c r="CQ95">
        <v>725</v>
      </c>
      <c r="CR95">
        <v>5096.82</v>
      </c>
      <c r="CS95">
        <v>926.66</v>
      </c>
      <c r="CT95">
        <v>-1.08</v>
      </c>
      <c r="DH95">
        <f>$B$11*EG95+$C$11*EH95+$F$11*ES95*(1-EV95)</f>
        <v>0</v>
      </c>
      <c r="DI95">
        <f>DH95*DJ95</f>
        <v>0</v>
      </c>
      <c r="DJ95">
        <f>($B$11*$D$9+$C$11*$D$9+$F$11*((FF95+EX95)/MAX(FF95+EX95+FG95, 0.1)*$I$9+FG95/MAX(FF95+EX95+FG95, 0.1)*$J$9))/($B$11+$C$11+$F$11)</f>
        <v>0</v>
      </c>
      <c r="DK95">
        <f>($B$11*$K$9+$C$11*$K$9+$F$11*((FF95+EX95)/MAX(FF95+EX95+FG95, 0.1)*$P$9+FG95/MAX(FF95+EX95+FG95, 0.1)*$Q$9))/($B$11+$C$11+$F$11)</f>
        <v>0</v>
      </c>
      <c r="DL95">
        <v>3.21</v>
      </c>
      <c r="DM95">
        <v>0.5</v>
      </c>
      <c r="DN95" t="s">
        <v>440</v>
      </c>
      <c r="DO95">
        <v>2</v>
      </c>
      <c r="DP95" t="b">
        <v>1</v>
      </c>
      <c r="DQ95">
        <v>1760917069.5</v>
      </c>
      <c r="DR95">
        <v>412.316125</v>
      </c>
      <c r="DS95">
        <v>419.98825</v>
      </c>
      <c r="DT95">
        <v>44.20619375</v>
      </c>
      <c r="DU95">
        <v>25.2922875</v>
      </c>
      <c r="DV95">
        <v>409.897125</v>
      </c>
      <c r="DW95">
        <v>43.77099375</v>
      </c>
      <c r="DX95">
        <v>500.0096875</v>
      </c>
      <c r="DY95">
        <v>90.60141875</v>
      </c>
      <c r="DZ95">
        <v>0.04227025625</v>
      </c>
      <c r="EA95">
        <v>50.32888125</v>
      </c>
      <c r="EB95">
        <v>47.9979875</v>
      </c>
      <c r="EC95">
        <v>999.9</v>
      </c>
      <c r="ED95">
        <v>0</v>
      </c>
      <c r="EE95">
        <v>0</v>
      </c>
      <c r="EF95">
        <v>9997.49375</v>
      </c>
      <c r="EG95">
        <v>0</v>
      </c>
      <c r="EH95">
        <v>1186.9625</v>
      </c>
      <c r="EI95">
        <v>-7.672143125</v>
      </c>
      <c r="EJ95">
        <v>431.3860625</v>
      </c>
      <c r="EK95">
        <v>430.8861875</v>
      </c>
      <c r="EL95">
        <v>18.9139125</v>
      </c>
      <c r="EM95">
        <v>419.98825</v>
      </c>
      <c r="EN95">
        <v>25.2922875</v>
      </c>
      <c r="EO95">
        <v>4.005143125</v>
      </c>
      <c r="EP95">
        <v>2.291515625</v>
      </c>
      <c r="EQ95">
        <v>28.92841875</v>
      </c>
      <c r="ER95">
        <v>19.61688125</v>
      </c>
      <c r="ES95">
        <v>1199.9725</v>
      </c>
      <c r="ET95">
        <v>0.9670036875</v>
      </c>
      <c r="EU95">
        <v>0.0329962875</v>
      </c>
      <c r="EV95">
        <v>0</v>
      </c>
      <c r="EW95">
        <v>851.4964375</v>
      </c>
      <c r="EX95">
        <v>5.00059</v>
      </c>
      <c r="EY95">
        <v>11269.06875</v>
      </c>
      <c r="EZ95">
        <v>10358.4875</v>
      </c>
      <c r="FA95">
        <v>63.3395625</v>
      </c>
      <c r="FB95">
        <v>64.9294375</v>
      </c>
      <c r="FC95">
        <v>63.394375</v>
      </c>
      <c r="FD95">
        <v>64.68325</v>
      </c>
      <c r="FE95">
        <v>64.5465</v>
      </c>
      <c r="FF95">
        <v>1155.5425</v>
      </c>
      <c r="FG95">
        <v>39.43</v>
      </c>
      <c r="FH95">
        <v>0</v>
      </c>
      <c r="FI95">
        <v>501.199999809265</v>
      </c>
      <c r="FJ95">
        <v>0</v>
      </c>
      <c r="FK95">
        <v>851.467576923077</v>
      </c>
      <c r="FL95">
        <v>-1.76276923084044</v>
      </c>
      <c r="FM95">
        <v>7.58632486398451</v>
      </c>
      <c r="FN95">
        <v>11269.2961538462</v>
      </c>
      <c r="FO95">
        <v>15</v>
      </c>
      <c r="FP95">
        <v>0</v>
      </c>
      <c r="FQ95" t="s">
        <v>441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-7.664593</v>
      </c>
      <c r="GD95">
        <v>-0.050067969924808</v>
      </c>
      <c r="GE95">
        <v>0.0352266829406346</v>
      </c>
      <c r="GF95">
        <v>1</v>
      </c>
      <c r="GG95">
        <v>851.580794117647</v>
      </c>
      <c r="GH95">
        <v>-1.8438961042774</v>
      </c>
      <c r="GI95">
        <v>0.286489377629979</v>
      </c>
      <c r="GJ95">
        <v>-1</v>
      </c>
      <c r="GK95">
        <v>18.89567</v>
      </c>
      <c r="GL95">
        <v>0.35015639097749</v>
      </c>
      <c r="GM95">
        <v>0.0337702546629432</v>
      </c>
      <c r="GN95">
        <v>0</v>
      </c>
      <c r="GO95">
        <v>1</v>
      </c>
      <c r="GP95">
        <v>2</v>
      </c>
      <c r="GQ95" t="s">
        <v>454</v>
      </c>
      <c r="GR95">
        <v>3.1264</v>
      </c>
      <c r="GS95">
        <v>2.72035</v>
      </c>
      <c r="GT95">
        <v>0.0829118</v>
      </c>
      <c r="GU95">
        <v>0.0845435</v>
      </c>
      <c r="GV95">
        <v>0.149906</v>
      </c>
      <c r="GW95">
        <v>0.101663</v>
      </c>
      <c r="GX95">
        <v>32772.4</v>
      </c>
      <c r="GY95">
        <v>34563.4</v>
      </c>
      <c r="GZ95">
        <v>32467.8</v>
      </c>
      <c r="HA95">
        <v>34321.6</v>
      </c>
      <c r="HB95">
        <v>39560.3</v>
      </c>
      <c r="HC95">
        <v>44485.4</v>
      </c>
      <c r="HD95">
        <v>51052.1</v>
      </c>
      <c r="HE95">
        <v>55073.8</v>
      </c>
      <c r="HF95">
        <v>1.66488</v>
      </c>
      <c r="HG95">
        <v>1.5237</v>
      </c>
      <c r="HH95">
        <v>-0.101589</v>
      </c>
      <c r="HI95">
        <v>0</v>
      </c>
      <c r="HJ95">
        <v>49.6198</v>
      </c>
      <c r="HK95">
        <v>999.9</v>
      </c>
      <c r="HL95">
        <v>55.292</v>
      </c>
      <c r="HM95">
        <v>30.343</v>
      </c>
      <c r="HN95">
        <v>26.5169</v>
      </c>
      <c r="HO95">
        <v>60.3896</v>
      </c>
      <c r="HP95">
        <v>40.9535</v>
      </c>
      <c r="HQ95">
        <v>1</v>
      </c>
      <c r="HR95">
        <v>2.50404</v>
      </c>
      <c r="HS95">
        <v>4.81199</v>
      </c>
      <c r="HT95">
        <v>20.0499</v>
      </c>
      <c r="HU95">
        <v>5.18434</v>
      </c>
      <c r="HV95">
        <v>12.0159</v>
      </c>
      <c r="HW95">
        <v>4.9675</v>
      </c>
      <c r="HX95">
        <v>3.29573</v>
      </c>
      <c r="HY95">
        <v>9999</v>
      </c>
      <c r="HZ95">
        <v>999.9</v>
      </c>
      <c r="IA95">
        <v>9999</v>
      </c>
      <c r="IB95">
        <v>9999</v>
      </c>
      <c r="IC95">
        <v>1.86325</v>
      </c>
      <c r="ID95">
        <v>1.86801</v>
      </c>
      <c r="IE95">
        <v>1.86783</v>
      </c>
      <c r="IF95">
        <v>1.86905</v>
      </c>
      <c r="IG95">
        <v>1.86981</v>
      </c>
      <c r="IH95">
        <v>1.86584</v>
      </c>
      <c r="II95">
        <v>1.86691</v>
      </c>
      <c r="IJ95">
        <v>1.86836</v>
      </c>
      <c r="IK95">
        <v>5</v>
      </c>
      <c r="IL95">
        <v>0</v>
      </c>
      <c r="IM95">
        <v>0</v>
      </c>
      <c r="IN95">
        <v>0</v>
      </c>
      <c r="IO95" t="s">
        <v>443</v>
      </c>
      <c r="IP95" t="s">
        <v>444</v>
      </c>
      <c r="IQ95" t="s">
        <v>445</v>
      </c>
      <c r="IR95" t="s">
        <v>445</v>
      </c>
      <c r="IS95" t="s">
        <v>445</v>
      </c>
      <c r="IT95" t="s">
        <v>445</v>
      </c>
      <c r="IU95">
        <v>0</v>
      </c>
      <c r="IV95">
        <v>100</v>
      </c>
      <c r="IW95">
        <v>100</v>
      </c>
      <c r="IX95">
        <v>2.419</v>
      </c>
      <c r="IY95">
        <v>0.4352</v>
      </c>
      <c r="IZ95">
        <v>0.833350075594679</v>
      </c>
      <c r="JA95">
        <v>0.00412825224050377</v>
      </c>
      <c r="JB95">
        <v>-7.34426573386615e-07</v>
      </c>
      <c r="JC95">
        <v>2.46800082545482e-10</v>
      </c>
      <c r="JD95">
        <v>0.435209846415365</v>
      </c>
      <c r="JE95">
        <v>0</v>
      </c>
      <c r="JF95">
        <v>0</v>
      </c>
      <c r="JG95">
        <v>0</v>
      </c>
      <c r="JH95">
        <v>5</v>
      </c>
      <c r="JI95">
        <v>2250</v>
      </c>
      <c r="JJ95">
        <v>0</v>
      </c>
      <c r="JK95">
        <v>24</v>
      </c>
      <c r="JL95">
        <v>29348618</v>
      </c>
      <c r="JM95">
        <v>29348618</v>
      </c>
      <c r="JN95">
        <v>1.01685</v>
      </c>
      <c r="JO95">
        <v>2.63306</v>
      </c>
      <c r="JP95">
        <v>1.54785</v>
      </c>
      <c r="JQ95">
        <v>2.31689</v>
      </c>
      <c r="JR95">
        <v>1.64673</v>
      </c>
      <c r="JS95">
        <v>2.39014</v>
      </c>
      <c r="JT95">
        <v>34.4408</v>
      </c>
      <c r="JU95">
        <v>24.1663</v>
      </c>
      <c r="JV95">
        <v>18</v>
      </c>
      <c r="JW95">
        <v>486.152</v>
      </c>
      <c r="JX95">
        <v>384.136</v>
      </c>
      <c r="JY95">
        <v>46.5869</v>
      </c>
      <c r="JZ95">
        <v>54.9767</v>
      </c>
      <c r="KA95">
        <v>30.0082</v>
      </c>
      <c r="KB95">
        <v>54.2772</v>
      </c>
      <c r="KC95">
        <v>54.0983</v>
      </c>
      <c r="KD95">
        <v>20.3838</v>
      </c>
      <c r="KE95">
        <v>0</v>
      </c>
      <c r="KF95">
        <v>100</v>
      </c>
      <c r="KG95">
        <v>46.1356</v>
      </c>
      <c r="KH95">
        <v>420</v>
      </c>
      <c r="KI95">
        <v>41.7393</v>
      </c>
      <c r="KJ95">
        <v>92.5162</v>
      </c>
      <c r="KK95">
        <v>89.0943</v>
      </c>
    </row>
    <row r="96" spans="1:297">
      <c r="A96">
        <v>80</v>
      </c>
      <c r="B96">
        <v>1760917234</v>
      </c>
      <c r="C96">
        <v>23469.9000000954</v>
      </c>
      <c r="D96" t="s">
        <v>776</v>
      </c>
      <c r="E96" t="s">
        <v>777</v>
      </c>
      <c r="F96">
        <v>5</v>
      </c>
      <c r="G96" t="s">
        <v>547</v>
      </c>
      <c r="H96" t="s">
        <v>436</v>
      </c>
      <c r="I96">
        <v>1760917226</v>
      </c>
      <c r="J96">
        <f>(K96)/1000</f>
        <v>0</v>
      </c>
      <c r="K96">
        <f>IF(DP96, AN96, AH96)</f>
        <v>0</v>
      </c>
      <c r="L96">
        <f>IF(DP96, AI96, AG96)</f>
        <v>0</v>
      </c>
      <c r="M96">
        <f>DR96 - IF(AU96&gt;1, L96*DL96*100.0/(AW96), 0)</f>
        <v>0</v>
      </c>
      <c r="N96">
        <f>((T96-J96/2)*M96-L96)/(T96+J96/2)</f>
        <v>0</v>
      </c>
      <c r="O96">
        <f>N96*(DY96+DZ96)/1000.0</f>
        <v>0</v>
      </c>
      <c r="P96">
        <f>(DR96 - IF(AU96&gt;1, L96*DL96*100.0/(AW96), 0))*(DY96+DZ96)/1000.0</f>
        <v>0</v>
      </c>
      <c r="Q96">
        <f>2.0/((1/S96-1/R96)+SIGN(S96)*SQRT((1/S96-1/R96)*(1/S96-1/R96) + 4*DM96/((DM96+1)*(DM96+1))*(2*1/S96*1/R96-1/R96*1/R96)))</f>
        <v>0</v>
      </c>
      <c r="R96">
        <f>IF(LEFT(DN96,1)&lt;&gt;"0",IF(LEFT(DN96,1)="1",3.0,DO96),$D$5+$E$5*(EF96*DY96/($K$5*1000))+$F$5*(EF96*DY96/($K$5*1000))*MAX(MIN(DL96,$J$5),$I$5)*MAX(MIN(DL96,$J$5),$I$5)+$G$5*MAX(MIN(DL96,$J$5),$I$5)*(EF96*DY96/($K$5*1000))+$H$5*(EF96*DY96/($K$5*1000))*(EF96*DY96/($K$5*1000)))</f>
        <v>0</v>
      </c>
      <c r="S96">
        <f>J96*(1000-(1000*0.61365*exp(17.502*W96/(240.97+W96))/(DY96+DZ96)+DT96)/2)/(1000*0.61365*exp(17.502*W96/(240.97+W96))/(DY96+DZ96)-DT96)</f>
        <v>0</v>
      </c>
      <c r="T96">
        <f>1/((DM96+1)/(Q96/1.6)+1/(R96/1.37)) + DM96/((DM96+1)/(Q96/1.6) + DM96/(R96/1.37))</f>
        <v>0</v>
      </c>
      <c r="U96">
        <f>(DH96*DK96)</f>
        <v>0</v>
      </c>
      <c r="V96">
        <f>(EA96+(U96+2*0.95*5.67E-8*(((EA96+$B$7)+273)^4-(EA96+273)^4)-44100*J96)/(1.84*29.3*R96+8*0.95*5.67E-8*(EA96+273)^3))</f>
        <v>0</v>
      </c>
      <c r="W96">
        <f>($C$7*EB96+$D$7*EC96+$E$7*V96)</f>
        <v>0</v>
      </c>
      <c r="X96">
        <f>0.61365*exp(17.502*W96/(240.97+W96))</f>
        <v>0</v>
      </c>
      <c r="Y96">
        <f>(Z96/AA96*100)</f>
        <v>0</v>
      </c>
      <c r="Z96">
        <f>DT96*(DY96+DZ96)/1000</f>
        <v>0</v>
      </c>
      <c r="AA96">
        <f>0.61365*exp(17.502*EA96/(240.97+EA96))</f>
        <v>0</v>
      </c>
      <c r="AB96">
        <f>(X96-DT96*(DY96+DZ96)/1000)</f>
        <v>0</v>
      </c>
      <c r="AC96">
        <f>(-J96*44100)</f>
        <v>0</v>
      </c>
      <c r="AD96">
        <f>2*29.3*R96*0.92*(EA96-W96)</f>
        <v>0</v>
      </c>
      <c r="AE96">
        <f>2*0.95*5.67E-8*(((EA96+$B$7)+273)^4-(W96+273)^4)</f>
        <v>0</v>
      </c>
      <c r="AF96">
        <f>U96+AE96+AC96+AD96</f>
        <v>0</v>
      </c>
      <c r="AG96">
        <f>DX96*AU96*(DS96-DR96*(1000-AU96*DU96)/(1000-AU96*DT96))/(100*DL96)</f>
        <v>0</v>
      </c>
      <c r="AH96">
        <f>1000*DX96*AU96*(DT96-DU96)/(100*DL96*(1000-AU96*DT96))</f>
        <v>0</v>
      </c>
      <c r="AI96">
        <f>(AJ96 - AK96 - DY96*1E3/(8.314*(EA96+273.15)) * AM96/DX96 * AL96) * DX96/(100*DL96) * (1000 - DU96)/1000</f>
        <v>0</v>
      </c>
      <c r="AJ96">
        <v>430.931835414361</v>
      </c>
      <c r="AK96">
        <v>431.571527272727</v>
      </c>
      <c r="AL96">
        <v>0.000582333020597379</v>
      </c>
      <c r="AM96">
        <v>65.4545865665808</v>
      </c>
      <c r="AN96">
        <f>(AP96 - AO96 + DY96*1E3/(8.314*(EA96+273.15)) * AR96/DX96 * AQ96) * DX96/(100*DL96) * 1000/(1000 - AP96)</f>
        <v>0</v>
      </c>
      <c r="AO96">
        <v>25.3094066380419</v>
      </c>
      <c r="AP96">
        <v>45.0552527272727</v>
      </c>
      <c r="AQ96">
        <v>0.00200804598705415</v>
      </c>
      <c r="AR96">
        <v>114.280159009066</v>
      </c>
      <c r="AS96">
        <v>13</v>
      </c>
      <c r="AT96">
        <v>3</v>
      </c>
      <c r="AU96">
        <f>IF(AS96*$H$13&gt;=AW96,1.0,(AW96/(AW96-AS96*$H$13)))</f>
        <v>0</v>
      </c>
      <c r="AV96">
        <f>(AU96-1)*100</f>
        <v>0</v>
      </c>
      <c r="AW96">
        <f>MAX(0,($B$13+$C$13*EF96)/(1+$D$13*EF96)*DY96/(EA96+273)*$E$13)</f>
        <v>0</v>
      </c>
      <c r="AX96" t="s">
        <v>437</v>
      </c>
      <c r="AY96">
        <v>5082.33</v>
      </c>
      <c r="AZ96">
        <v>690.032</v>
      </c>
      <c r="BA96">
        <v>1612.68</v>
      </c>
      <c r="BB96">
        <f>1-AZ96/BA96</f>
        <v>0</v>
      </c>
      <c r="BC96">
        <v>-9.7270689171713</v>
      </c>
      <c r="BD96" t="s">
        <v>778</v>
      </c>
      <c r="BE96">
        <v>5099.27</v>
      </c>
      <c r="BF96">
        <v>853.609423076923</v>
      </c>
      <c r="BG96">
        <v>958.986476717324</v>
      </c>
      <c r="BH96">
        <f>1-BF96/BG96</f>
        <v>0</v>
      </c>
      <c r="BI96">
        <v>0.5</v>
      </c>
      <c r="BJ96">
        <f>DI96</f>
        <v>0</v>
      </c>
      <c r="BK96">
        <f>L96</f>
        <v>0</v>
      </c>
      <c r="BL96">
        <f>BH96*BI96*BJ96</f>
        <v>0</v>
      </c>
      <c r="BM96">
        <f>(BK96-BC96)/BJ96</f>
        <v>0</v>
      </c>
      <c r="BN96">
        <f>(BA96-BG96)/BG96</f>
        <v>0</v>
      </c>
      <c r="BO96">
        <f>AZ96/(BB96+AZ96/BG96)</f>
        <v>0</v>
      </c>
      <c r="BP96" t="s">
        <v>779</v>
      </c>
      <c r="BQ96">
        <v>700.27</v>
      </c>
      <c r="BR96">
        <f>IF(BQ96&lt;&gt;0, BQ96, BO96)</f>
        <v>0</v>
      </c>
      <c r="BS96">
        <f>1-BR96/BG96</f>
        <v>0</v>
      </c>
      <c r="BT96">
        <f>(BG96-BF96)/(BG96-BR96)</f>
        <v>0</v>
      </c>
      <c r="BU96">
        <f>(BA96-BG96)/(BA96-BR96)</f>
        <v>0</v>
      </c>
      <c r="BV96">
        <f>(BG96-BF96)/(BG96-AZ96)</f>
        <v>0</v>
      </c>
      <c r="BW96">
        <f>(BA96-BG96)/(BA96-AZ96)</f>
        <v>0</v>
      </c>
      <c r="BX96">
        <f>(BT96*BR96/BF96)</f>
        <v>0</v>
      </c>
      <c r="BY96">
        <f>(1-BX96)</f>
        <v>0</v>
      </c>
      <c r="BZ96">
        <v>252</v>
      </c>
      <c r="CA96">
        <v>290</v>
      </c>
      <c r="CB96">
        <v>926.07</v>
      </c>
      <c r="CC96">
        <v>225</v>
      </c>
      <c r="CD96">
        <v>5099.27</v>
      </c>
      <c r="CE96">
        <v>925.66</v>
      </c>
      <c r="CF96">
        <v>0.41</v>
      </c>
      <c r="CG96">
        <v>300</v>
      </c>
      <c r="CH96">
        <v>23.9</v>
      </c>
      <c r="CI96">
        <v>958.986476717324</v>
      </c>
      <c r="CJ96">
        <v>1.79777677122079</v>
      </c>
      <c r="CK96">
        <v>-16.9950249017875</v>
      </c>
      <c r="CL96">
        <v>0.824579091044454</v>
      </c>
      <c r="CM96">
        <v>0.938161804955876</v>
      </c>
      <c r="CN96">
        <v>-0.0032180616240267</v>
      </c>
      <c r="CO96">
        <v>290</v>
      </c>
      <c r="CP96">
        <v>924.33</v>
      </c>
      <c r="CQ96">
        <v>635</v>
      </c>
      <c r="CR96">
        <v>5095.39</v>
      </c>
      <c r="CS96">
        <v>925.63</v>
      </c>
      <c r="CT96">
        <v>-1.3</v>
      </c>
      <c r="DH96">
        <f>$B$11*EG96+$C$11*EH96+$F$11*ES96*(1-EV96)</f>
        <v>0</v>
      </c>
      <c r="DI96">
        <f>DH96*DJ96</f>
        <v>0</v>
      </c>
      <c r="DJ96">
        <f>($B$11*$D$9+$C$11*$D$9+$F$11*((FF96+EX96)/MAX(FF96+EX96+FG96, 0.1)*$I$9+FG96/MAX(FF96+EX96+FG96, 0.1)*$J$9))/($B$11+$C$11+$F$11)</f>
        <v>0</v>
      </c>
      <c r="DK96">
        <f>($B$11*$K$9+$C$11*$K$9+$F$11*((FF96+EX96)/MAX(FF96+EX96+FG96, 0.1)*$P$9+FG96/MAX(FF96+EX96+FG96, 0.1)*$Q$9))/($B$11+$C$11+$F$11)</f>
        <v>0</v>
      </c>
      <c r="DL96">
        <v>3.21</v>
      </c>
      <c r="DM96">
        <v>0.5</v>
      </c>
      <c r="DN96" t="s">
        <v>440</v>
      </c>
      <c r="DO96">
        <v>2</v>
      </c>
      <c r="DP96" t="b">
        <v>1</v>
      </c>
      <c r="DQ96">
        <v>1760917226</v>
      </c>
      <c r="DR96">
        <v>412.094266666667</v>
      </c>
      <c r="DS96">
        <v>419.987866666667</v>
      </c>
      <c r="DT96">
        <v>45.0241866666667</v>
      </c>
      <c r="DU96">
        <v>25.3088733333333</v>
      </c>
      <c r="DV96">
        <v>409.675933333333</v>
      </c>
      <c r="DW96">
        <v>44.5889733333333</v>
      </c>
      <c r="DX96">
        <v>500.012266666667</v>
      </c>
      <c r="DY96">
        <v>90.59666</v>
      </c>
      <c r="DZ96">
        <v>0.04283738</v>
      </c>
      <c r="EA96">
        <v>50.48742</v>
      </c>
      <c r="EB96">
        <v>48.0033066666667</v>
      </c>
      <c r="EC96">
        <v>999.9</v>
      </c>
      <c r="ED96">
        <v>0</v>
      </c>
      <c r="EE96">
        <v>0</v>
      </c>
      <c r="EF96">
        <v>10003.4566666667</v>
      </c>
      <c r="EG96">
        <v>0</v>
      </c>
      <c r="EH96">
        <v>1184.43866666667</v>
      </c>
      <c r="EI96">
        <v>-7.89363066666667</v>
      </c>
      <c r="EJ96">
        <v>431.5232</v>
      </c>
      <c r="EK96">
        <v>430.893333333333</v>
      </c>
      <c r="EL96">
        <v>19.71532</v>
      </c>
      <c r="EM96">
        <v>419.987866666667</v>
      </c>
      <c r="EN96">
        <v>25.3088733333333</v>
      </c>
      <c r="EO96">
        <v>4.07904133333333</v>
      </c>
      <c r="EP96">
        <v>2.2929</v>
      </c>
      <c r="EQ96">
        <v>29.24456</v>
      </c>
      <c r="ER96">
        <v>19.6266</v>
      </c>
      <c r="ES96">
        <v>1199.996</v>
      </c>
      <c r="ET96">
        <v>0.966995</v>
      </c>
      <c r="EU96">
        <v>0.0330047</v>
      </c>
      <c r="EV96">
        <v>0</v>
      </c>
      <c r="EW96">
        <v>853.6026</v>
      </c>
      <c r="EX96">
        <v>5.00059</v>
      </c>
      <c r="EY96">
        <v>11366.0733333333</v>
      </c>
      <c r="EZ96">
        <v>10358.6666666667</v>
      </c>
      <c r="FA96">
        <v>64.1954</v>
      </c>
      <c r="FB96">
        <v>65.8498</v>
      </c>
      <c r="FC96">
        <v>64.2540666666667</v>
      </c>
      <c r="FD96">
        <v>65.6249333333333</v>
      </c>
      <c r="FE96">
        <v>65.354</v>
      </c>
      <c r="FF96">
        <v>1155.556</v>
      </c>
      <c r="FG96">
        <v>39.44</v>
      </c>
      <c r="FH96">
        <v>0</v>
      </c>
      <c r="FI96">
        <v>152.200000047684</v>
      </c>
      <c r="FJ96">
        <v>0</v>
      </c>
      <c r="FK96">
        <v>853.609423076923</v>
      </c>
      <c r="FL96">
        <v>2.40851282922765</v>
      </c>
      <c r="FM96">
        <v>55.2615384890641</v>
      </c>
      <c r="FN96">
        <v>11366.5461538462</v>
      </c>
      <c r="FO96">
        <v>15</v>
      </c>
      <c r="FP96">
        <v>0</v>
      </c>
      <c r="FQ96" t="s">
        <v>441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-7.89117476190476</v>
      </c>
      <c r="GD96">
        <v>-0.136116623376635</v>
      </c>
      <c r="GE96">
        <v>0.0369030586703735</v>
      </c>
      <c r="GF96">
        <v>1</v>
      </c>
      <c r="GG96">
        <v>853.525823529412</v>
      </c>
      <c r="GH96">
        <v>1.8168678412717</v>
      </c>
      <c r="GI96">
        <v>0.281385591690604</v>
      </c>
      <c r="GJ96">
        <v>-1</v>
      </c>
      <c r="GK96">
        <v>19.7004761904762</v>
      </c>
      <c r="GL96">
        <v>0.285412987012962</v>
      </c>
      <c r="GM96">
        <v>0.0289232466194812</v>
      </c>
      <c r="GN96">
        <v>0</v>
      </c>
      <c r="GO96">
        <v>1</v>
      </c>
      <c r="GP96">
        <v>2</v>
      </c>
      <c r="GQ96" t="s">
        <v>454</v>
      </c>
      <c r="GR96">
        <v>3.12636</v>
      </c>
      <c r="GS96">
        <v>2.72103</v>
      </c>
      <c r="GT96">
        <v>0.0827154</v>
      </c>
      <c r="GU96">
        <v>0.0843657</v>
      </c>
      <c r="GV96">
        <v>0.151474</v>
      </c>
      <c r="GW96">
        <v>0.10152</v>
      </c>
      <c r="GX96">
        <v>32698.3</v>
      </c>
      <c r="GY96">
        <v>34465.2</v>
      </c>
      <c r="GZ96">
        <v>32392.5</v>
      </c>
      <c r="HA96">
        <v>34222.6</v>
      </c>
      <c r="HB96">
        <v>39426.6</v>
      </c>
      <c r="HC96">
        <v>44374.3</v>
      </c>
      <c r="HD96">
        <v>50950.7</v>
      </c>
      <c r="HE96">
        <v>54926.1</v>
      </c>
      <c r="HF96">
        <v>1.65523</v>
      </c>
      <c r="HG96">
        <v>1.51257</v>
      </c>
      <c r="HH96">
        <v>-0.121854</v>
      </c>
      <c r="HI96">
        <v>0</v>
      </c>
      <c r="HJ96">
        <v>49.943</v>
      </c>
      <c r="HK96">
        <v>999.9</v>
      </c>
      <c r="HL96">
        <v>55.317</v>
      </c>
      <c r="HM96">
        <v>30.353</v>
      </c>
      <c r="HN96">
        <v>26.549</v>
      </c>
      <c r="HO96">
        <v>60.4796</v>
      </c>
      <c r="HP96">
        <v>40.5529</v>
      </c>
      <c r="HQ96">
        <v>1</v>
      </c>
      <c r="HR96">
        <v>2.60836</v>
      </c>
      <c r="HS96">
        <v>3.07417</v>
      </c>
      <c r="HT96">
        <v>20.0873</v>
      </c>
      <c r="HU96">
        <v>5.18659</v>
      </c>
      <c r="HV96">
        <v>12.0159</v>
      </c>
      <c r="HW96">
        <v>4.968</v>
      </c>
      <c r="HX96">
        <v>3.29593</v>
      </c>
      <c r="HY96">
        <v>9999</v>
      </c>
      <c r="HZ96">
        <v>999.9</v>
      </c>
      <c r="IA96">
        <v>9999</v>
      </c>
      <c r="IB96">
        <v>9999</v>
      </c>
      <c r="IC96">
        <v>1.86325</v>
      </c>
      <c r="ID96">
        <v>1.86806</v>
      </c>
      <c r="IE96">
        <v>1.86783</v>
      </c>
      <c r="IF96">
        <v>1.86905</v>
      </c>
      <c r="IG96">
        <v>1.86981</v>
      </c>
      <c r="IH96">
        <v>1.86584</v>
      </c>
      <c r="II96">
        <v>1.86691</v>
      </c>
      <c r="IJ96">
        <v>1.8684</v>
      </c>
      <c r="IK96">
        <v>5</v>
      </c>
      <c r="IL96">
        <v>0</v>
      </c>
      <c r="IM96">
        <v>0</v>
      </c>
      <c r="IN96">
        <v>0</v>
      </c>
      <c r="IO96" t="s">
        <v>443</v>
      </c>
      <c r="IP96" t="s">
        <v>444</v>
      </c>
      <c r="IQ96" t="s">
        <v>445</v>
      </c>
      <c r="IR96" t="s">
        <v>445</v>
      </c>
      <c r="IS96" t="s">
        <v>445</v>
      </c>
      <c r="IT96" t="s">
        <v>445</v>
      </c>
      <c r="IU96">
        <v>0</v>
      </c>
      <c r="IV96">
        <v>100</v>
      </c>
      <c r="IW96">
        <v>100</v>
      </c>
      <c r="IX96">
        <v>2.418</v>
      </c>
      <c r="IY96">
        <v>0.4352</v>
      </c>
      <c r="IZ96">
        <v>0.833350075594679</v>
      </c>
      <c r="JA96">
        <v>0.00412825224050377</v>
      </c>
      <c r="JB96">
        <v>-7.34426573386615e-07</v>
      </c>
      <c r="JC96">
        <v>2.46800082545482e-10</v>
      </c>
      <c r="JD96">
        <v>0.435209846415365</v>
      </c>
      <c r="JE96">
        <v>0</v>
      </c>
      <c r="JF96">
        <v>0</v>
      </c>
      <c r="JG96">
        <v>0</v>
      </c>
      <c r="JH96">
        <v>5</v>
      </c>
      <c r="JI96">
        <v>2250</v>
      </c>
      <c r="JJ96">
        <v>0</v>
      </c>
      <c r="JK96">
        <v>24</v>
      </c>
      <c r="JL96">
        <v>29348620.6</v>
      </c>
      <c r="JM96">
        <v>29348620.6</v>
      </c>
      <c r="JN96">
        <v>1.01807</v>
      </c>
      <c r="JO96">
        <v>2.63794</v>
      </c>
      <c r="JP96">
        <v>1.54785</v>
      </c>
      <c r="JQ96">
        <v>2.31567</v>
      </c>
      <c r="JR96">
        <v>1.64551</v>
      </c>
      <c r="JS96">
        <v>2.35474</v>
      </c>
      <c r="JT96">
        <v>34.4408</v>
      </c>
      <c r="JU96">
        <v>24.1751</v>
      </c>
      <c r="JV96">
        <v>18</v>
      </c>
      <c r="JW96">
        <v>483.68</v>
      </c>
      <c r="JX96">
        <v>380.716</v>
      </c>
      <c r="JY96">
        <v>46.4347</v>
      </c>
      <c r="JZ96">
        <v>55.9716</v>
      </c>
      <c r="KA96">
        <v>30.0036</v>
      </c>
      <c r="KB96">
        <v>55.1116</v>
      </c>
      <c r="KC96">
        <v>54.9124</v>
      </c>
      <c r="KD96">
        <v>20.3884</v>
      </c>
      <c r="KE96">
        <v>0</v>
      </c>
      <c r="KF96">
        <v>100</v>
      </c>
      <c r="KG96">
        <v>46.4134</v>
      </c>
      <c r="KH96">
        <v>420</v>
      </c>
      <c r="KI96">
        <v>31.7442</v>
      </c>
      <c r="KJ96">
        <v>92.3204</v>
      </c>
      <c r="KK96">
        <v>88.8483</v>
      </c>
    </row>
    <row r="97" spans="1:297">
      <c r="A97">
        <v>81</v>
      </c>
      <c r="B97">
        <v>1760917383</v>
      </c>
      <c r="C97">
        <v>23618.9000000954</v>
      </c>
      <c r="D97" t="s">
        <v>780</v>
      </c>
      <c r="E97" t="s">
        <v>781</v>
      </c>
      <c r="F97">
        <v>5</v>
      </c>
      <c r="G97" t="s">
        <v>547</v>
      </c>
      <c r="H97" t="s">
        <v>436</v>
      </c>
      <c r="I97">
        <v>1760917374.5</v>
      </c>
      <c r="J97">
        <f>(K97)/1000</f>
        <v>0</v>
      </c>
      <c r="K97">
        <f>IF(DP97, AN97, AH97)</f>
        <v>0</v>
      </c>
      <c r="L97">
        <f>IF(DP97, AI97, AG97)</f>
        <v>0</v>
      </c>
      <c r="M97">
        <f>DR97 - IF(AU97&gt;1, L97*DL97*100.0/(AW97), 0)</f>
        <v>0</v>
      </c>
      <c r="N97">
        <f>((T97-J97/2)*M97-L97)/(T97+J97/2)</f>
        <v>0</v>
      </c>
      <c r="O97">
        <f>N97*(DY97+DZ97)/1000.0</f>
        <v>0</v>
      </c>
      <c r="P97">
        <f>(DR97 - IF(AU97&gt;1, L97*DL97*100.0/(AW97), 0))*(DY97+DZ97)/1000.0</f>
        <v>0</v>
      </c>
      <c r="Q97">
        <f>2.0/((1/S97-1/R97)+SIGN(S97)*SQRT((1/S97-1/R97)*(1/S97-1/R97) + 4*DM97/((DM97+1)*(DM97+1))*(2*1/S97*1/R97-1/R97*1/R97)))</f>
        <v>0</v>
      </c>
      <c r="R97">
        <f>IF(LEFT(DN97,1)&lt;&gt;"0",IF(LEFT(DN97,1)="1",3.0,DO97),$D$5+$E$5*(EF97*DY97/($K$5*1000))+$F$5*(EF97*DY97/($K$5*1000))*MAX(MIN(DL97,$J$5),$I$5)*MAX(MIN(DL97,$J$5),$I$5)+$G$5*MAX(MIN(DL97,$J$5),$I$5)*(EF97*DY97/($K$5*1000))+$H$5*(EF97*DY97/($K$5*1000))*(EF97*DY97/($K$5*1000)))</f>
        <v>0</v>
      </c>
      <c r="S97">
        <f>J97*(1000-(1000*0.61365*exp(17.502*W97/(240.97+W97))/(DY97+DZ97)+DT97)/2)/(1000*0.61365*exp(17.502*W97/(240.97+W97))/(DY97+DZ97)-DT97)</f>
        <v>0</v>
      </c>
      <c r="T97">
        <f>1/((DM97+1)/(Q97/1.6)+1/(R97/1.37)) + DM97/((DM97+1)/(Q97/1.6) + DM97/(R97/1.37))</f>
        <v>0</v>
      </c>
      <c r="U97">
        <f>(DH97*DK97)</f>
        <v>0</v>
      </c>
      <c r="V97">
        <f>(EA97+(U97+2*0.95*5.67E-8*(((EA97+$B$7)+273)^4-(EA97+273)^4)-44100*J97)/(1.84*29.3*R97+8*0.95*5.67E-8*(EA97+273)^3))</f>
        <v>0</v>
      </c>
      <c r="W97">
        <f>($C$7*EB97+$D$7*EC97+$E$7*V97)</f>
        <v>0</v>
      </c>
      <c r="X97">
        <f>0.61365*exp(17.502*W97/(240.97+W97))</f>
        <v>0</v>
      </c>
      <c r="Y97">
        <f>(Z97/AA97*100)</f>
        <v>0</v>
      </c>
      <c r="Z97">
        <f>DT97*(DY97+DZ97)/1000</f>
        <v>0</v>
      </c>
      <c r="AA97">
        <f>0.61365*exp(17.502*EA97/(240.97+EA97))</f>
        <v>0</v>
      </c>
      <c r="AB97">
        <f>(X97-DT97*(DY97+DZ97)/1000)</f>
        <v>0</v>
      </c>
      <c r="AC97">
        <f>(-J97*44100)</f>
        <v>0</v>
      </c>
      <c r="AD97">
        <f>2*29.3*R97*0.92*(EA97-W97)</f>
        <v>0</v>
      </c>
      <c r="AE97">
        <f>2*0.95*5.67E-8*(((EA97+$B$7)+273)^4-(W97+273)^4)</f>
        <v>0</v>
      </c>
      <c r="AF97">
        <f>U97+AE97+AC97+AD97</f>
        <v>0</v>
      </c>
      <c r="AG97">
        <f>DX97*AU97*(DS97-DR97*(1000-AU97*DU97)/(1000-AU97*DT97))/(100*DL97)</f>
        <v>0</v>
      </c>
      <c r="AH97">
        <f>1000*DX97*AU97*(DT97-DU97)/(100*DL97*(1000-AU97*DT97))</f>
        <v>0</v>
      </c>
      <c r="AI97">
        <f>(AJ97 - AK97 - DY97*1E3/(8.314*(EA97+273.15)) * AM97/DX97 * AL97) * DX97/(100*DL97) * (1000 - DU97)/1000</f>
        <v>0</v>
      </c>
      <c r="AJ97">
        <v>430.031895933373</v>
      </c>
      <c r="AK97">
        <v>430.783636363636</v>
      </c>
      <c r="AL97">
        <v>0.000115985170337302</v>
      </c>
      <c r="AM97">
        <v>65.4545865665808</v>
      </c>
      <c r="AN97">
        <f>(AP97 - AO97 + DY97*1E3/(8.314*(EA97+273.15)) * AR97/DX97 * AQ97) * DX97/(100*DL97) * 1000/(1000 - AP97)</f>
        <v>0</v>
      </c>
      <c r="AO97">
        <v>23.3334448541896</v>
      </c>
      <c r="AP97">
        <v>43.7781963636364</v>
      </c>
      <c r="AQ97">
        <v>-0.000284813717727186</v>
      </c>
      <c r="AR97">
        <v>114.280159009066</v>
      </c>
      <c r="AS97">
        <v>14</v>
      </c>
      <c r="AT97">
        <v>3</v>
      </c>
      <c r="AU97">
        <f>IF(AS97*$H$13&gt;=AW97,1.0,(AW97/(AW97-AS97*$H$13)))</f>
        <v>0</v>
      </c>
      <c r="AV97">
        <f>(AU97-1)*100</f>
        <v>0</v>
      </c>
      <c r="AW97">
        <f>MAX(0,($B$13+$C$13*EF97)/(1+$D$13*EF97)*DY97/(EA97+273)*$E$13)</f>
        <v>0</v>
      </c>
      <c r="AX97" t="s">
        <v>437</v>
      </c>
      <c r="AY97">
        <v>5082.33</v>
      </c>
      <c r="AZ97">
        <v>690.032</v>
      </c>
      <c r="BA97">
        <v>1612.68</v>
      </c>
      <c r="BB97">
        <f>1-AZ97/BA97</f>
        <v>0</v>
      </c>
      <c r="BC97">
        <v>-9.7270689171713</v>
      </c>
      <c r="BD97" t="s">
        <v>782</v>
      </c>
      <c r="BE97">
        <v>5098.6</v>
      </c>
      <c r="BF97">
        <v>859.02884</v>
      </c>
      <c r="BG97">
        <v>960.90141030307</v>
      </c>
      <c r="BH97">
        <f>1-BF97/BG97</f>
        <v>0</v>
      </c>
      <c r="BI97">
        <v>0.5</v>
      </c>
      <c r="BJ97">
        <f>DI97</f>
        <v>0</v>
      </c>
      <c r="BK97">
        <f>L97</f>
        <v>0</v>
      </c>
      <c r="BL97">
        <f>BH97*BI97*BJ97</f>
        <v>0</v>
      </c>
      <c r="BM97">
        <f>(BK97-BC97)/BJ97</f>
        <v>0</v>
      </c>
      <c r="BN97">
        <f>(BA97-BG97)/BG97</f>
        <v>0</v>
      </c>
      <c r="BO97">
        <f>AZ97/(BB97+AZ97/BG97)</f>
        <v>0</v>
      </c>
      <c r="BP97" t="s">
        <v>783</v>
      </c>
      <c r="BQ97">
        <v>683.67</v>
      </c>
      <c r="BR97">
        <f>IF(BQ97&lt;&gt;0, BQ97, BO97)</f>
        <v>0</v>
      </c>
      <c r="BS97">
        <f>1-BR97/BG97</f>
        <v>0</v>
      </c>
      <c r="BT97">
        <f>(BG97-BF97)/(BG97-BR97)</f>
        <v>0</v>
      </c>
      <c r="BU97">
        <f>(BA97-BG97)/(BA97-BR97)</f>
        <v>0</v>
      </c>
      <c r="BV97">
        <f>(BG97-BF97)/(BG97-AZ97)</f>
        <v>0</v>
      </c>
      <c r="BW97">
        <f>(BA97-BG97)/(BA97-AZ97)</f>
        <v>0</v>
      </c>
      <c r="BX97">
        <f>(BT97*BR97/BF97)</f>
        <v>0</v>
      </c>
      <c r="BY97">
        <f>(1-BX97)</f>
        <v>0</v>
      </c>
      <c r="BZ97">
        <v>254</v>
      </c>
      <c r="CA97">
        <v>290</v>
      </c>
      <c r="CB97">
        <v>928.55</v>
      </c>
      <c r="CC97">
        <v>165</v>
      </c>
      <c r="CD97">
        <v>5098.6</v>
      </c>
      <c r="CE97">
        <v>928.49</v>
      </c>
      <c r="CF97">
        <v>0.06</v>
      </c>
      <c r="CG97">
        <v>300</v>
      </c>
      <c r="CH97">
        <v>23.9</v>
      </c>
      <c r="CI97">
        <v>960.90141030307</v>
      </c>
      <c r="CJ97">
        <v>1.60769866832197</v>
      </c>
      <c r="CK97">
        <v>-16.5276656739747</v>
      </c>
      <c r="CL97">
        <v>0.737012164407204</v>
      </c>
      <c r="CM97">
        <v>0.94725846105094</v>
      </c>
      <c r="CN97">
        <v>-0.00321670077864294</v>
      </c>
      <c r="CO97">
        <v>290</v>
      </c>
      <c r="CP97">
        <v>926.7</v>
      </c>
      <c r="CQ97">
        <v>795</v>
      </c>
      <c r="CR97">
        <v>5090.86</v>
      </c>
      <c r="CS97">
        <v>928.44</v>
      </c>
      <c r="CT97">
        <v>-1.74</v>
      </c>
      <c r="DH97">
        <f>$B$11*EG97+$C$11*EH97+$F$11*ES97*(1-EV97)</f>
        <v>0</v>
      </c>
      <c r="DI97">
        <f>DH97*DJ97</f>
        <v>0</v>
      </c>
      <c r="DJ97">
        <f>($B$11*$D$9+$C$11*$D$9+$F$11*((FF97+EX97)/MAX(FF97+EX97+FG97, 0.1)*$I$9+FG97/MAX(FF97+EX97+FG97, 0.1)*$J$9))/($B$11+$C$11+$F$11)</f>
        <v>0</v>
      </c>
      <c r="DK97">
        <f>($B$11*$K$9+$C$11*$K$9+$F$11*((FF97+EX97)/MAX(FF97+EX97+FG97, 0.1)*$P$9+FG97/MAX(FF97+EX97+FG97, 0.1)*$Q$9))/($B$11+$C$11+$F$11)</f>
        <v>0</v>
      </c>
      <c r="DL97">
        <v>3.21</v>
      </c>
      <c r="DM97">
        <v>0.5</v>
      </c>
      <c r="DN97" t="s">
        <v>440</v>
      </c>
      <c r="DO97">
        <v>2</v>
      </c>
      <c r="DP97" t="b">
        <v>1</v>
      </c>
      <c r="DQ97">
        <v>1760917374.5</v>
      </c>
      <c r="DR97">
        <v>411.9191875</v>
      </c>
      <c r="DS97">
        <v>420.0133125</v>
      </c>
      <c r="DT97">
        <v>43.7799375</v>
      </c>
      <c r="DU97">
        <v>23.3389875</v>
      </c>
      <c r="DV97">
        <v>409.5013125</v>
      </c>
      <c r="DW97">
        <v>43.34470625</v>
      </c>
      <c r="DX97">
        <v>500.0108125</v>
      </c>
      <c r="DY97">
        <v>90.6020875</v>
      </c>
      <c r="DZ97">
        <v>0.04403346875</v>
      </c>
      <c r="EA97">
        <v>50.63865</v>
      </c>
      <c r="EB97">
        <v>48.0297375</v>
      </c>
      <c r="EC97">
        <v>999.9</v>
      </c>
      <c r="ED97">
        <v>0</v>
      </c>
      <c r="EE97">
        <v>0</v>
      </c>
      <c r="EF97">
        <v>9997.226875</v>
      </c>
      <c r="EG97">
        <v>0</v>
      </c>
      <c r="EH97">
        <v>1181.99375</v>
      </c>
      <c r="EI97">
        <v>-8.09422875</v>
      </c>
      <c r="EJ97">
        <v>430.778375</v>
      </c>
      <c r="EK97">
        <v>430.050125</v>
      </c>
      <c r="EL97">
        <v>20.440925</v>
      </c>
      <c r="EM97">
        <v>420.0133125</v>
      </c>
      <c r="EN97">
        <v>23.3389875</v>
      </c>
      <c r="EO97">
        <v>3.966554375</v>
      </c>
      <c r="EP97">
        <v>2.114561875</v>
      </c>
      <c r="EQ97">
        <v>28.7612875</v>
      </c>
      <c r="ER97">
        <v>18.32930625</v>
      </c>
      <c r="ES97">
        <v>1200.023125</v>
      </c>
      <c r="ET97">
        <v>0.9670105</v>
      </c>
      <c r="EU97">
        <v>0.03298920625</v>
      </c>
      <c r="EV97">
        <v>0</v>
      </c>
      <c r="EW97">
        <v>858.923375</v>
      </c>
      <c r="EX97">
        <v>5.00059</v>
      </c>
      <c r="EY97">
        <v>11508.2</v>
      </c>
      <c r="EZ97">
        <v>10358.9625</v>
      </c>
      <c r="FA97">
        <v>65.03875</v>
      </c>
      <c r="FB97">
        <v>66.726375</v>
      </c>
      <c r="FC97">
        <v>65.10925</v>
      </c>
      <c r="FD97">
        <v>66.5115625</v>
      </c>
      <c r="FE97">
        <v>66.156</v>
      </c>
      <c r="FF97">
        <v>1155.60125</v>
      </c>
      <c r="FG97">
        <v>39.421875</v>
      </c>
      <c r="FH97">
        <v>0</v>
      </c>
      <c r="FI97">
        <v>145.699999809265</v>
      </c>
      <c r="FJ97">
        <v>0</v>
      </c>
      <c r="FK97">
        <v>859.02884</v>
      </c>
      <c r="FL97">
        <v>1.82899999827277</v>
      </c>
      <c r="FM97">
        <v>68.9538462588372</v>
      </c>
      <c r="FN97">
        <v>11509.66</v>
      </c>
      <c r="FO97">
        <v>15</v>
      </c>
      <c r="FP97">
        <v>0</v>
      </c>
      <c r="FQ97" t="s">
        <v>441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-8.08405095238095</v>
      </c>
      <c r="GD97">
        <v>0.0128742857142939</v>
      </c>
      <c r="GE97">
        <v>0.0325012162270249</v>
      </c>
      <c r="GF97">
        <v>1</v>
      </c>
      <c r="GG97">
        <v>858.743970588235</v>
      </c>
      <c r="GH97">
        <v>3.54235294622447</v>
      </c>
      <c r="GI97">
        <v>0.404689240637669</v>
      </c>
      <c r="GJ97">
        <v>-1</v>
      </c>
      <c r="GK97">
        <v>20.4375380952381</v>
      </c>
      <c r="GL97">
        <v>0.0663350649350972</v>
      </c>
      <c r="GM97">
        <v>0.00750774052564793</v>
      </c>
      <c r="GN97">
        <v>1</v>
      </c>
      <c r="GO97">
        <v>2</v>
      </c>
      <c r="GP97">
        <v>2</v>
      </c>
      <c r="GQ97" t="s">
        <v>442</v>
      </c>
      <c r="GR97">
        <v>3.12552</v>
      </c>
      <c r="GS97">
        <v>2.72203</v>
      </c>
      <c r="GT97">
        <v>0.0825011</v>
      </c>
      <c r="GU97">
        <v>0.0841865</v>
      </c>
      <c r="GV97">
        <v>0.148252</v>
      </c>
      <c r="GW97">
        <v>0.0955917</v>
      </c>
      <c r="GX97">
        <v>32624.5</v>
      </c>
      <c r="GY97">
        <v>34367.4</v>
      </c>
      <c r="GZ97">
        <v>32317.2</v>
      </c>
      <c r="HA97">
        <v>34124.2</v>
      </c>
      <c r="HB97">
        <v>39494.2</v>
      </c>
      <c r="HC97">
        <v>44535.2</v>
      </c>
      <c r="HD97">
        <v>50850</v>
      </c>
      <c r="HE97">
        <v>54778.9</v>
      </c>
      <c r="HF97">
        <v>1.64533</v>
      </c>
      <c r="HG97">
        <v>1.5002</v>
      </c>
      <c r="HH97">
        <v>-0.139289</v>
      </c>
      <c r="HI97">
        <v>0</v>
      </c>
      <c r="HJ97">
        <v>50.2353</v>
      </c>
      <c r="HK97">
        <v>999.9</v>
      </c>
      <c r="HL97">
        <v>55.341</v>
      </c>
      <c r="HM97">
        <v>30.363</v>
      </c>
      <c r="HN97">
        <v>26.5733</v>
      </c>
      <c r="HO97">
        <v>60.2197</v>
      </c>
      <c r="HP97">
        <v>40.8293</v>
      </c>
      <c r="HQ97">
        <v>1</v>
      </c>
      <c r="HR97">
        <v>2.72699</v>
      </c>
      <c r="HS97">
        <v>3.79844</v>
      </c>
      <c r="HT97">
        <v>20.0722</v>
      </c>
      <c r="HU97">
        <v>5.18539</v>
      </c>
      <c r="HV97">
        <v>12.0159</v>
      </c>
      <c r="HW97">
        <v>4.96705</v>
      </c>
      <c r="HX97">
        <v>3.29585</v>
      </c>
      <c r="HY97">
        <v>9999</v>
      </c>
      <c r="HZ97">
        <v>999.9</v>
      </c>
      <c r="IA97">
        <v>9999</v>
      </c>
      <c r="IB97">
        <v>9999</v>
      </c>
      <c r="IC97">
        <v>1.86325</v>
      </c>
      <c r="ID97">
        <v>1.868</v>
      </c>
      <c r="IE97">
        <v>1.86783</v>
      </c>
      <c r="IF97">
        <v>1.86904</v>
      </c>
      <c r="IG97">
        <v>1.86981</v>
      </c>
      <c r="IH97">
        <v>1.86584</v>
      </c>
      <c r="II97">
        <v>1.86691</v>
      </c>
      <c r="IJ97">
        <v>1.86836</v>
      </c>
      <c r="IK97">
        <v>5</v>
      </c>
      <c r="IL97">
        <v>0</v>
      </c>
      <c r="IM97">
        <v>0</v>
      </c>
      <c r="IN97">
        <v>0</v>
      </c>
      <c r="IO97" t="s">
        <v>443</v>
      </c>
      <c r="IP97" t="s">
        <v>444</v>
      </c>
      <c r="IQ97" t="s">
        <v>445</v>
      </c>
      <c r="IR97" t="s">
        <v>445</v>
      </c>
      <c r="IS97" t="s">
        <v>445</v>
      </c>
      <c r="IT97" t="s">
        <v>445</v>
      </c>
      <c r="IU97">
        <v>0</v>
      </c>
      <c r="IV97">
        <v>100</v>
      </c>
      <c r="IW97">
        <v>100</v>
      </c>
      <c r="IX97">
        <v>2.417</v>
      </c>
      <c r="IY97">
        <v>0.4352</v>
      </c>
      <c r="IZ97">
        <v>0.833350075594679</v>
      </c>
      <c r="JA97">
        <v>0.00412825224050377</v>
      </c>
      <c r="JB97">
        <v>-7.34426573386615e-07</v>
      </c>
      <c r="JC97">
        <v>2.46800082545482e-10</v>
      </c>
      <c r="JD97">
        <v>0.435209846415365</v>
      </c>
      <c r="JE97">
        <v>0</v>
      </c>
      <c r="JF97">
        <v>0</v>
      </c>
      <c r="JG97">
        <v>0</v>
      </c>
      <c r="JH97">
        <v>5</v>
      </c>
      <c r="JI97">
        <v>2250</v>
      </c>
      <c r="JJ97">
        <v>0</v>
      </c>
      <c r="JK97">
        <v>24</v>
      </c>
      <c r="JL97">
        <v>29348623.1</v>
      </c>
      <c r="JM97">
        <v>29348623.1</v>
      </c>
      <c r="JN97">
        <v>1.01685</v>
      </c>
      <c r="JO97">
        <v>2.6355</v>
      </c>
      <c r="JP97">
        <v>1.54785</v>
      </c>
      <c r="JQ97">
        <v>2.31567</v>
      </c>
      <c r="JR97">
        <v>1.64673</v>
      </c>
      <c r="JS97">
        <v>2.36206</v>
      </c>
      <c r="JT97">
        <v>34.418</v>
      </c>
      <c r="JU97">
        <v>24.1663</v>
      </c>
      <c r="JV97">
        <v>18</v>
      </c>
      <c r="JW97">
        <v>481.409</v>
      </c>
      <c r="JX97">
        <v>376.854</v>
      </c>
      <c r="JY97">
        <v>46.1524</v>
      </c>
      <c r="JZ97">
        <v>57.004</v>
      </c>
      <c r="KA97">
        <v>30.0045</v>
      </c>
      <c r="KB97">
        <v>56.0318</v>
      </c>
      <c r="KC97">
        <v>55.82</v>
      </c>
      <c r="KD97">
        <v>20.3623</v>
      </c>
      <c r="KE97">
        <v>16.1674</v>
      </c>
      <c r="KF97">
        <v>100</v>
      </c>
      <c r="KG97">
        <v>46.1314</v>
      </c>
      <c r="KH97">
        <v>420</v>
      </c>
      <c r="KI97">
        <v>23.2965</v>
      </c>
      <c r="KJ97">
        <v>92.1254</v>
      </c>
      <c r="KK97">
        <v>88.6036</v>
      </c>
    </row>
    <row r="98" spans="1:297">
      <c r="A98">
        <v>82</v>
      </c>
      <c r="B98">
        <v>1760917673</v>
      </c>
      <c r="C98">
        <v>23908.9000000954</v>
      </c>
      <c r="D98" t="s">
        <v>784</v>
      </c>
      <c r="E98" t="s">
        <v>785</v>
      </c>
      <c r="F98">
        <v>5</v>
      </c>
      <c r="G98" t="s">
        <v>521</v>
      </c>
      <c r="H98" t="s">
        <v>436</v>
      </c>
      <c r="I98">
        <v>1760917665</v>
      </c>
      <c r="J98">
        <f>(K98)/1000</f>
        <v>0</v>
      </c>
      <c r="K98">
        <f>IF(DP98, AN98, AH98)</f>
        <v>0</v>
      </c>
      <c r="L98">
        <f>IF(DP98, AI98, AG98)</f>
        <v>0</v>
      </c>
      <c r="M98">
        <f>DR98 - IF(AU98&gt;1, L98*DL98*100.0/(AW98), 0)</f>
        <v>0</v>
      </c>
      <c r="N98">
        <f>((T98-J98/2)*M98-L98)/(T98+J98/2)</f>
        <v>0</v>
      </c>
      <c r="O98">
        <f>N98*(DY98+DZ98)/1000.0</f>
        <v>0</v>
      </c>
      <c r="P98">
        <f>(DR98 - IF(AU98&gt;1, L98*DL98*100.0/(AW98), 0))*(DY98+DZ98)/1000.0</f>
        <v>0</v>
      </c>
      <c r="Q98">
        <f>2.0/((1/S98-1/R98)+SIGN(S98)*SQRT((1/S98-1/R98)*(1/S98-1/R98) + 4*DM98/((DM98+1)*(DM98+1))*(2*1/S98*1/R98-1/R98*1/R98)))</f>
        <v>0</v>
      </c>
      <c r="R98">
        <f>IF(LEFT(DN98,1)&lt;&gt;"0",IF(LEFT(DN98,1)="1",3.0,DO98),$D$5+$E$5*(EF98*DY98/($K$5*1000))+$F$5*(EF98*DY98/($K$5*1000))*MAX(MIN(DL98,$J$5),$I$5)*MAX(MIN(DL98,$J$5),$I$5)+$G$5*MAX(MIN(DL98,$J$5),$I$5)*(EF98*DY98/($K$5*1000))+$H$5*(EF98*DY98/($K$5*1000))*(EF98*DY98/($K$5*1000)))</f>
        <v>0</v>
      </c>
      <c r="S98">
        <f>J98*(1000-(1000*0.61365*exp(17.502*W98/(240.97+W98))/(DY98+DZ98)+DT98)/2)/(1000*0.61365*exp(17.502*W98/(240.97+W98))/(DY98+DZ98)-DT98)</f>
        <v>0</v>
      </c>
      <c r="T98">
        <f>1/((DM98+1)/(Q98/1.6)+1/(R98/1.37)) + DM98/((DM98+1)/(Q98/1.6) + DM98/(R98/1.37))</f>
        <v>0</v>
      </c>
      <c r="U98">
        <f>(DH98*DK98)</f>
        <v>0</v>
      </c>
      <c r="V98">
        <f>(EA98+(U98+2*0.95*5.67E-8*(((EA98+$B$7)+273)^4-(EA98+273)^4)-44100*J98)/(1.84*29.3*R98+8*0.95*5.67E-8*(EA98+273)^3))</f>
        <v>0</v>
      </c>
      <c r="W98">
        <f>($C$7*EB98+$D$7*EC98+$E$7*V98)</f>
        <v>0</v>
      </c>
      <c r="X98">
        <f>0.61365*exp(17.502*W98/(240.97+W98))</f>
        <v>0</v>
      </c>
      <c r="Y98">
        <f>(Z98/AA98*100)</f>
        <v>0</v>
      </c>
      <c r="Z98">
        <f>DT98*(DY98+DZ98)/1000</f>
        <v>0</v>
      </c>
      <c r="AA98">
        <f>0.61365*exp(17.502*EA98/(240.97+EA98))</f>
        <v>0</v>
      </c>
      <c r="AB98">
        <f>(X98-DT98*(DY98+DZ98)/1000)</f>
        <v>0</v>
      </c>
      <c r="AC98">
        <f>(-J98*44100)</f>
        <v>0</v>
      </c>
      <c r="AD98">
        <f>2*29.3*R98*0.92*(EA98-W98)</f>
        <v>0</v>
      </c>
      <c r="AE98">
        <f>2*0.95*5.67E-8*(((EA98+$B$7)+273)^4-(W98+273)^4)</f>
        <v>0</v>
      </c>
      <c r="AF98">
        <f>U98+AE98+AC98+AD98</f>
        <v>0</v>
      </c>
      <c r="AG98">
        <f>DX98*AU98*(DS98-DR98*(1000-AU98*DU98)/(1000-AU98*DT98))/(100*DL98)</f>
        <v>0</v>
      </c>
      <c r="AH98">
        <f>1000*DX98*AU98*(DT98-DU98)/(100*DL98*(1000-AU98*DT98))</f>
        <v>0</v>
      </c>
      <c r="AI98">
        <f>(AJ98 - AK98 - DY98*1E3/(8.314*(EA98+273.15)) * AM98/DX98 * AL98) * DX98/(100*DL98) * (1000 - DU98)/1000</f>
        <v>0</v>
      </c>
      <c r="AJ98">
        <v>430.87773580726</v>
      </c>
      <c r="AK98">
        <v>429.901224242424</v>
      </c>
      <c r="AL98">
        <v>-0.0068211820690819</v>
      </c>
      <c r="AM98">
        <v>65.5739212532621</v>
      </c>
      <c r="AN98">
        <f>(AP98 - AO98 + DY98*1E3/(8.314*(EA98+273.15)) * AR98/DX98 * AQ98) * DX98/(100*DL98) * 1000/(1000 - AP98)</f>
        <v>0</v>
      </c>
      <c r="AO98">
        <v>25.1903695232222</v>
      </c>
      <c r="AP98">
        <v>37.8198296969697</v>
      </c>
      <c r="AQ98">
        <v>0.000698095728992515</v>
      </c>
      <c r="AR98">
        <v>114.097043996515</v>
      </c>
      <c r="AS98">
        <v>20</v>
      </c>
      <c r="AT98">
        <v>4</v>
      </c>
      <c r="AU98">
        <f>IF(AS98*$H$13&gt;=AW98,1.0,(AW98/(AW98-AS98*$H$13)))</f>
        <v>0</v>
      </c>
      <c r="AV98">
        <f>(AU98-1)*100</f>
        <v>0</v>
      </c>
      <c r="AW98">
        <f>MAX(0,($B$13+$C$13*EF98)/(1+$D$13*EF98)*DY98/(EA98+273)*$E$13)</f>
        <v>0</v>
      </c>
      <c r="AX98" t="s">
        <v>437</v>
      </c>
      <c r="AY98">
        <v>5082.33</v>
      </c>
      <c r="AZ98">
        <v>690.032</v>
      </c>
      <c r="BA98">
        <v>1612.68</v>
      </c>
      <c r="BB98">
        <f>1-AZ98/BA98</f>
        <v>0</v>
      </c>
      <c r="BC98">
        <v>-9.7270689171713</v>
      </c>
      <c r="BD98" t="s">
        <v>786</v>
      </c>
      <c r="BE98">
        <v>5088.19</v>
      </c>
      <c r="BF98">
        <v>787.200307692308</v>
      </c>
      <c r="BG98">
        <v>902.254783614786</v>
      </c>
      <c r="BH98">
        <f>1-BF98/BG98</f>
        <v>0</v>
      </c>
      <c r="BI98">
        <v>0.5</v>
      </c>
      <c r="BJ98">
        <f>DI98</f>
        <v>0</v>
      </c>
      <c r="BK98">
        <f>L98</f>
        <v>0</v>
      </c>
      <c r="BL98">
        <f>BH98*BI98*BJ98</f>
        <v>0</v>
      </c>
      <c r="BM98">
        <f>(BK98-BC98)/BJ98</f>
        <v>0</v>
      </c>
      <c r="BN98">
        <f>(BA98-BG98)/BG98</f>
        <v>0</v>
      </c>
      <c r="BO98">
        <f>AZ98/(BB98+AZ98/BG98)</f>
        <v>0</v>
      </c>
      <c r="BP98" t="s">
        <v>787</v>
      </c>
      <c r="BQ98">
        <v>683.8</v>
      </c>
      <c r="BR98">
        <f>IF(BQ98&lt;&gt;0, BQ98, BO98)</f>
        <v>0</v>
      </c>
      <c r="BS98">
        <f>1-BR98/BG98</f>
        <v>0</v>
      </c>
      <c r="BT98">
        <f>(BG98-BF98)/(BG98-BR98)</f>
        <v>0</v>
      </c>
      <c r="BU98">
        <f>(BA98-BG98)/(BA98-BR98)</f>
        <v>0</v>
      </c>
      <c r="BV98">
        <f>(BG98-BF98)/(BG98-AZ98)</f>
        <v>0</v>
      </c>
      <c r="BW98">
        <f>(BA98-BG98)/(BA98-AZ98)</f>
        <v>0</v>
      </c>
      <c r="BX98">
        <f>(BT98*BR98/BF98)</f>
        <v>0</v>
      </c>
      <c r="BY98">
        <f>(1-BX98)</f>
        <v>0</v>
      </c>
      <c r="BZ98">
        <v>256</v>
      </c>
      <c r="CA98">
        <v>290</v>
      </c>
      <c r="CB98">
        <v>863.98</v>
      </c>
      <c r="CC98">
        <v>255</v>
      </c>
      <c r="CD98">
        <v>5088.19</v>
      </c>
      <c r="CE98">
        <v>864.02</v>
      </c>
      <c r="CF98">
        <v>-0.04</v>
      </c>
      <c r="CG98">
        <v>300</v>
      </c>
      <c r="CH98">
        <v>23.9</v>
      </c>
      <c r="CI98">
        <v>902.254783614786</v>
      </c>
      <c r="CJ98">
        <v>1.41280462595707</v>
      </c>
      <c r="CK98">
        <v>-19.4570761447567</v>
      </c>
      <c r="CL98">
        <v>0.646668020117473</v>
      </c>
      <c r="CM98">
        <v>0.969998919707768</v>
      </c>
      <c r="CN98">
        <v>-0.00321203581757508</v>
      </c>
      <c r="CO98">
        <v>290</v>
      </c>
      <c r="CP98">
        <v>861.5</v>
      </c>
      <c r="CQ98">
        <v>745</v>
      </c>
      <c r="CR98">
        <v>5083.39</v>
      </c>
      <c r="CS98">
        <v>863.98</v>
      </c>
      <c r="CT98">
        <v>-2.48</v>
      </c>
      <c r="DH98">
        <f>$B$11*EG98+$C$11*EH98+$F$11*ES98*(1-EV98)</f>
        <v>0</v>
      </c>
      <c r="DI98">
        <f>DH98*DJ98</f>
        <v>0</v>
      </c>
      <c r="DJ98">
        <f>($B$11*$D$9+$C$11*$D$9+$F$11*((FF98+EX98)/MAX(FF98+EX98+FG98, 0.1)*$I$9+FG98/MAX(FF98+EX98+FG98, 0.1)*$J$9))/($B$11+$C$11+$F$11)</f>
        <v>0</v>
      </c>
      <c r="DK98">
        <f>($B$11*$K$9+$C$11*$K$9+$F$11*((FF98+EX98)/MAX(FF98+EX98+FG98, 0.1)*$P$9+FG98/MAX(FF98+EX98+FG98, 0.1)*$Q$9))/($B$11+$C$11+$F$11)</f>
        <v>0</v>
      </c>
      <c r="DL98">
        <v>3.21</v>
      </c>
      <c r="DM98">
        <v>0.5</v>
      </c>
      <c r="DN98" t="s">
        <v>440</v>
      </c>
      <c r="DO98">
        <v>2</v>
      </c>
      <c r="DP98" t="b">
        <v>1</v>
      </c>
      <c r="DQ98">
        <v>1760917665</v>
      </c>
      <c r="DR98">
        <v>413.653866666667</v>
      </c>
      <c r="DS98">
        <v>420.046266666667</v>
      </c>
      <c r="DT98">
        <v>37.7926333333333</v>
      </c>
      <c r="DU98">
        <v>25.1929</v>
      </c>
      <c r="DV98">
        <v>411.23</v>
      </c>
      <c r="DW98">
        <v>37.35742</v>
      </c>
      <c r="DX98">
        <v>500.0558</v>
      </c>
      <c r="DY98">
        <v>90.6050933333333</v>
      </c>
      <c r="DZ98">
        <v>0.0452375</v>
      </c>
      <c r="EA98">
        <v>49.3034133333333</v>
      </c>
      <c r="EB98">
        <v>48.25724</v>
      </c>
      <c r="EC98">
        <v>999.9</v>
      </c>
      <c r="ED98">
        <v>0</v>
      </c>
      <c r="EE98">
        <v>0</v>
      </c>
      <c r="EF98">
        <v>10003.6593333333</v>
      </c>
      <c r="EG98">
        <v>0</v>
      </c>
      <c r="EH98">
        <v>1191.528</v>
      </c>
      <c r="EI98">
        <v>-6.39246333333333</v>
      </c>
      <c r="EJ98">
        <v>429.901</v>
      </c>
      <c r="EK98">
        <v>430.902</v>
      </c>
      <c r="EL98">
        <v>12.5997333333333</v>
      </c>
      <c r="EM98">
        <v>420.046266666667</v>
      </c>
      <c r="EN98">
        <v>25.1929</v>
      </c>
      <c r="EO98">
        <v>3.42420533333333</v>
      </c>
      <c r="EP98">
        <v>2.28260533333333</v>
      </c>
      <c r="EQ98">
        <v>26.2485533333333</v>
      </c>
      <c r="ER98">
        <v>19.55418</v>
      </c>
      <c r="ES98">
        <v>1200.00466666667</v>
      </c>
      <c r="ET98">
        <v>0.966998733333333</v>
      </c>
      <c r="EU98">
        <v>0.0330011066666667</v>
      </c>
      <c r="EV98">
        <v>0</v>
      </c>
      <c r="EW98">
        <v>787.1828</v>
      </c>
      <c r="EX98">
        <v>5.00059</v>
      </c>
      <c r="EY98">
        <v>10820.9133333333</v>
      </c>
      <c r="EZ98">
        <v>10358.7533333333</v>
      </c>
      <c r="FA98">
        <v>66.3414</v>
      </c>
      <c r="FB98">
        <v>68.083</v>
      </c>
      <c r="FC98">
        <v>66.4664</v>
      </c>
      <c r="FD98">
        <v>67.7748</v>
      </c>
      <c r="FE98">
        <v>67.2374</v>
      </c>
      <c r="FF98">
        <v>1155.56666666667</v>
      </c>
      <c r="FG98">
        <v>39.438</v>
      </c>
      <c r="FH98">
        <v>0</v>
      </c>
      <c r="FI98">
        <v>286.400000095367</v>
      </c>
      <c r="FJ98">
        <v>0</v>
      </c>
      <c r="FK98">
        <v>787.200307692308</v>
      </c>
      <c r="FL98">
        <v>0.354803415041006</v>
      </c>
      <c r="FM98">
        <v>54.6564103046718</v>
      </c>
      <c r="FN98">
        <v>10821.3115384615</v>
      </c>
      <c r="FO98">
        <v>15</v>
      </c>
      <c r="FP98">
        <v>0</v>
      </c>
      <c r="FQ98" t="s">
        <v>441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-6.4058085</v>
      </c>
      <c r="GD98">
        <v>0.465077142857135</v>
      </c>
      <c r="GE98">
        <v>0.0731127606697353</v>
      </c>
      <c r="GF98">
        <v>1</v>
      </c>
      <c r="GG98">
        <v>787.061235294118</v>
      </c>
      <c r="GH98">
        <v>2.19077158043216</v>
      </c>
      <c r="GI98">
        <v>0.317818210971172</v>
      </c>
      <c r="GJ98">
        <v>-1</v>
      </c>
      <c r="GK98">
        <v>12.58597</v>
      </c>
      <c r="GL98">
        <v>0.327464661654117</v>
      </c>
      <c r="GM98">
        <v>0.0315990838474789</v>
      </c>
      <c r="GN98">
        <v>0</v>
      </c>
      <c r="GO98">
        <v>1</v>
      </c>
      <c r="GP98">
        <v>2</v>
      </c>
      <c r="GQ98" t="s">
        <v>454</v>
      </c>
      <c r="GR98">
        <v>3.1251</v>
      </c>
      <c r="GS98">
        <v>2.72357</v>
      </c>
      <c r="GT98">
        <v>0.0824556</v>
      </c>
      <c r="GU98">
        <v>0.0839366</v>
      </c>
      <c r="GV98">
        <v>0.133599</v>
      </c>
      <c r="GW98">
        <v>0.100687</v>
      </c>
      <c r="GX98">
        <v>32515.4</v>
      </c>
      <c r="GY98">
        <v>34233.2</v>
      </c>
      <c r="GZ98">
        <v>32215.7</v>
      </c>
      <c r="HA98">
        <v>33989.5</v>
      </c>
      <c r="HB98">
        <v>40014.6</v>
      </c>
      <c r="HC98">
        <v>44135.1</v>
      </c>
      <c r="HD98">
        <v>50715.8</v>
      </c>
      <c r="HE98">
        <v>54577.5</v>
      </c>
      <c r="HF98">
        <v>1.62577</v>
      </c>
      <c r="HG98">
        <v>1.48728</v>
      </c>
      <c r="HH98">
        <v>-0.0843778</v>
      </c>
      <c r="HI98">
        <v>0</v>
      </c>
      <c r="HJ98">
        <v>49.6817</v>
      </c>
      <c r="HK98">
        <v>999.9</v>
      </c>
      <c r="HL98">
        <v>55.244</v>
      </c>
      <c r="HM98">
        <v>30.353</v>
      </c>
      <c r="HN98">
        <v>26.5075</v>
      </c>
      <c r="HO98">
        <v>60.6197</v>
      </c>
      <c r="HP98">
        <v>40.3566</v>
      </c>
      <c r="HQ98">
        <v>1</v>
      </c>
      <c r="HR98">
        <v>2.9352</v>
      </c>
      <c r="HS98">
        <v>8.39254</v>
      </c>
      <c r="HT98">
        <v>19.9245</v>
      </c>
      <c r="HU98">
        <v>5.18674</v>
      </c>
      <c r="HV98">
        <v>12.0215</v>
      </c>
      <c r="HW98">
        <v>4.96795</v>
      </c>
      <c r="HX98">
        <v>3.296</v>
      </c>
      <c r="HY98">
        <v>9999</v>
      </c>
      <c r="HZ98">
        <v>999.9</v>
      </c>
      <c r="IA98">
        <v>9999</v>
      </c>
      <c r="IB98">
        <v>9999</v>
      </c>
      <c r="IC98">
        <v>1.86325</v>
      </c>
      <c r="ID98">
        <v>1.86799</v>
      </c>
      <c r="IE98">
        <v>1.86783</v>
      </c>
      <c r="IF98">
        <v>1.86905</v>
      </c>
      <c r="IG98">
        <v>1.86981</v>
      </c>
      <c r="IH98">
        <v>1.86584</v>
      </c>
      <c r="II98">
        <v>1.86691</v>
      </c>
      <c r="IJ98">
        <v>1.86833</v>
      </c>
      <c r="IK98">
        <v>5</v>
      </c>
      <c r="IL98">
        <v>0</v>
      </c>
      <c r="IM98">
        <v>0</v>
      </c>
      <c r="IN98">
        <v>0</v>
      </c>
      <c r="IO98" t="s">
        <v>443</v>
      </c>
      <c r="IP98" t="s">
        <v>444</v>
      </c>
      <c r="IQ98" t="s">
        <v>445</v>
      </c>
      <c r="IR98" t="s">
        <v>445</v>
      </c>
      <c r="IS98" t="s">
        <v>445</v>
      </c>
      <c r="IT98" t="s">
        <v>445</v>
      </c>
      <c r="IU98">
        <v>0</v>
      </c>
      <c r="IV98">
        <v>100</v>
      </c>
      <c r="IW98">
        <v>100</v>
      </c>
      <c r="IX98">
        <v>2.424</v>
      </c>
      <c r="IY98">
        <v>0.4352</v>
      </c>
      <c r="IZ98">
        <v>0.833350075594679</v>
      </c>
      <c r="JA98">
        <v>0.00412825224050377</v>
      </c>
      <c r="JB98">
        <v>-7.34426573386615e-07</v>
      </c>
      <c r="JC98">
        <v>2.46800082545482e-10</v>
      </c>
      <c r="JD98">
        <v>0.435209846415365</v>
      </c>
      <c r="JE98">
        <v>0</v>
      </c>
      <c r="JF98">
        <v>0</v>
      </c>
      <c r="JG98">
        <v>0</v>
      </c>
      <c r="JH98">
        <v>5</v>
      </c>
      <c r="JI98">
        <v>2250</v>
      </c>
      <c r="JJ98">
        <v>0</v>
      </c>
      <c r="JK98">
        <v>24</v>
      </c>
      <c r="JL98">
        <v>29348627.9</v>
      </c>
      <c r="JM98">
        <v>29348627.9</v>
      </c>
      <c r="JN98">
        <v>1.01807</v>
      </c>
      <c r="JO98">
        <v>2.64526</v>
      </c>
      <c r="JP98">
        <v>1.54785</v>
      </c>
      <c r="JQ98">
        <v>2.31567</v>
      </c>
      <c r="JR98">
        <v>1.64673</v>
      </c>
      <c r="JS98">
        <v>2.34253</v>
      </c>
      <c r="JT98">
        <v>34.4636</v>
      </c>
      <c r="JU98">
        <v>24.0963</v>
      </c>
      <c r="JV98">
        <v>18</v>
      </c>
      <c r="JW98">
        <v>474.67</v>
      </c>
      <c r="JX98">
        <v>374.582</v>
      </c>
      <c r="JY98">
        <v>42.8488</v>
      </c>
      <c r="JZ98">
        <v>58.5823</v>
      </c>
      <c r="KA98">
        <v>30.0157</v>
      </c>
      <c r="KB98">
        <v>57.4711</v>
      </c>
      <c r="KC98">
        <v>57.2254</v>
      </c>
      <c r="KD98">
        <v>20.4071</v>
      </c>
      <c r="KE98">
        <v>0</v>
      </c>
      <c r="KF98">
        <v>100</v>
      </c>
      <c r="KG98">
        <v>42.4929</v>
      </c>
      <c r="KH98">
        <v>420</v>
      </c>
      <c r="KI98">
        <v>30.6849</v>
      </c>
      <c r="KJ98">
        <v>91.8644</v>
      </c>
      <c r="KK98">
        <v>88.2686</v>
      </c>
    </row>
    <row r="99" spans="1:297">
      <c r="A99">
        <v>83</v>
      </c>
      <c r="B99">
        <v>1760917794</v>
      </c>
      <c r="C99">
        <v>24029.9000000954</v>
      </c>
      <c r="D99" t="s">
        <v>788</v>
      </c>
      <c r="E99" t="s">
        <v>789</v>
      </c>
      <c r="F99">
        <v>5</v>
      </c>
      <c r="G99" t="s">
        <v>521</v>
      </c>
      <c r="H99" t="s">
        <v>436</v>
      </c>
      <c r="I99">
        <v>1760917786</v>
      </c>
      <c r="J99">
        <f>(K99)/1000</f>
        <v>0</v>
      </c>
      <c r="K99">
        <f>IF(DP99, AN99, AH99)</f>
        <v>0</v>
      </c>
      <c r="L99">
        <f>IF(DP99, AI99, AG99)</f>
        <v>0</v>
      </c>
      <c r="M99">
        <f>DR99 - IF(AU99&gt;1, L99*DL99*100.0/(AW99), 0)</f>
        <v>0</v>
      </c>
      <c r="N99">
        <f>((T99-J99/2)*M99-L99)/(T99+J99/2)</f>
        <v>0</v>
      </c>
      <c r="O99">
        <f>N99*(DY99+DZ99)/1000.0</f>
        <v>0</v>
      </c>
      <c r="P99">
        <f>(DR99 - IF(AU99&gt;1, L99*DL99*100.0/(AW99), 0))*(DY99+DZ99)/1000.0</f>
        <v>0</v>
      </c>
      <c r="Q99">
        <f>2.0/((1/S99-1/R99)+SIGN(S99)*SQRT((1/S99-1/R99)*(1/S99-1/R99) + 4*DM99/((DM99+1)*(DM99+1))*(2*1/S99*1/R99-1/R99*1/R99)))</f>
        <v>0</v>
      </c>
      <c r="R99">
        <f>IF(LEFT(DN99,1)&lt;&gt;"0",IF(LEFT(DN99,1)="1",3.0,DO99),$D$5+$E$5*(EF99*DY99/($K$5*1000))+$F$5*(EF99*DY99/($K$5*1000))*MAX(MIN(DL99,$J$5),$I$5)*MAX(MIN(DL99,$J$5),$I$5)+$G$5*MAX(MIN(DL99,$J$5),$I$5)*(EF99*DY99/($K$5*1000))+$H$5*(EF99*DY99/($K$5*1000))*(EF99*DY99/($K$5*1000)))</f>
        <v>0</v>
      </c>
      <c r="S99">
        <f>J99*(1000-(1000*0.61365*exp(17.502*W99/(240.97+W99))/(DY99+DZ99)+DT99)/2)/(1000*0.61365*exp(17.502*W99/(240.97+W99))/(DY99+DZ99)-DT99)</f>
        <v>0</v>
      </c>
      <c r="T99">
        <f>1/((DM99+1)/(Q99/1.6)+1/(R99/1.37)) + DM99/((DM99+1)/(Q99/1.6) + DM99/(R99/1.37))</f>
        <v>0</v>
      </c>
      <c r="U99">
        <f>(DH99*DK99)</f>
        <v>0</v>
      </c>
      <c r="V99">
        <f>(EA99+(U99+2*0.95*5.67E-8*(((EA99+$B$7)+273)^4-(EA99+273)^4)-44100*J99)/(1.84*29.3*R99+8*0.95*5.67E-8*(EA99+273)^3))</f>
        <v>0</v>
      </c>
      <c r="W99">
        <f>($C$7*EB99+$D$7*EC99+$E$7*V99)</f>
        <v>0</v>
      </c>
      <c r="X99">
        <f>0.61365*exp(17.502*W99/(240.97+W99))</f>
        <v>0</v>
      </c>
      <c r="Y99">
        <f>(Z99/AA99*100)</f>
        <v>0</v>
      </c>
      <c r="Z99">
        <f>DT99*(DY99+DZ99)/1000</f>
        <v>0</v>
      </c>
      <c r="AA99">
        <f>0.61365*exp(17.502*EA99/(240.97+EA99))</f>
        <v>0</v>
      </c>
      <c r="AB99">
        <f>(X99-DT99*(DY99+DZ99)/1000)</f>
        <v>0</v>
      </c>
      <c r="AC99">
        <f>(-J99*44100)</f>
        <v>0</v>
      </c>
      <c r="AD99">
        <f>2*29.3*R99*0.92*(EA99-W99)</f>
        <v>0</v>
      </c>
      <c r="AE99">
        <f>2*0.95*5.67E-8*(((EA99+$B$7)+273)^4-(W99+273)^4)</f>
        <v>0</v>
      </c>
      <c r="AF99">
        <f>U99+AE99+AC99+AD99</f>
        <v>0</v>
      </c>
      <c r="AG99">
        <f>DX99*AU99*(DS99-DR99*(1000-AU99*DU99)/(1000-AU99*DT99))/(100*DL99)</f>
        <v>0</v>
      </c>
      <c r="AH99">
        <f>1000*DX99*AU99*(DT99-DU99)/(100*DL99*(1000-AU99*DT99))</f>
        <v>0</v>
      </c>
      <c r="AI99">
        <f>(AJ99 - AK99 - DY99*1E3/(8.314*(EA99+273.15)) * AM99/DX99 * AL99) * DX99/(100*DL99) * (1000 - DU99)/1000</f>
        <v>0</v>
      </c>
      <c r="AJ99">
        <v>430.837157438774</v>
      </c>
      <c r="AK99">
        <v>429.647896969697</v>
      </c>
      <c r="AL99">
        <v>-0.00437037018896289</v>
      </c>
      <c r="AM99">
        <v>65.5739212532621</v>
      </c>
      <c r="AN99">
        <f>(AP99 - AO99 + DY99*1E3/(8.314*(EA99+273.15)) * AR99/DX99 * AQ99) * DX99/(100*DL99) * 1000/(1000 - AP99)</f>
        <v>0</v>
      </c>
      <c r="AO99">
        <v>25.0874544805627</v>
      </c>
      <c r="AP99">
        <v>38.0114672727273</v>
      </c>
      <c r="AQ99">
        <v>0.000117377127734471</v>
      </c>
      <c r="AR99">
        <v>114.097043996515</v>
      </c>
      <c r="AS99">
        <v>21</v>
      </c>
      <c r="AT99">
        <v>4</v>
      </c>
      <c r="AU99">
        <f>IF(AS99*$H$13&gt;=AW99,1.0,(AW99/(AW99-AS99*$H$13)))</f>
        <v>0</v>
      </c>
      <c r="AV99">
        <f>(AU99-1)*100</f>
        <v>0</v>
      </c>
      <c r="AW99">
        <f>MAX(0,($B$13+$C$13*EF99)/(1+$D$13*EF99)*DY99/(EA99+273)*$E$13)</f>
        <v>0</v>
      </c>
      <c r="AX99" t="s">
        <v>437</v>
      </c>
      <c r="AY99">
        <v>5082.33</v>
      </c>
      <c r="AZ99">
        <v>690.032</v>
      </c>
      <c r="BA99">
        <v>1612.68</v>
      </c>
      <c r="BB99">
        <f>1-AZ99/BA99</f>
        <v>0</v>
      </c>
      <c r="BC99">
        <v>-9.7270689171713</v>
      </c>
      <c r="BD99" t="s">
        <v>790</v>
      </c>
      <c r="BE99">
        <v>5086.72</v>
      </c>
      <c r="BF99">
        <v>787.690230769231</v>
      </c>
      <c r="BG99">
        <v>902.407764027843</v>
      </c>
      <c r="BH99">
        <f>1-BF99/BG99</f>
        <v>0</v>
      </c>
      <c r="BI99">
        <v>0.5</v>
      </c>
      <c r="BJ99">
        <f>DI99</f>
        <v>0</v>
      </c>
      <c r="BK99">
        <f>L99</f>
        <v>0</v>
      </c>
      <c r="BL99">
        <f>BH99*BI99*BJ99</f>
        <v>0</v>
      </c>
      <c r="BM99">
        <f>(BK99-BC99)/BJ99</f>
        <v>0</v>
      </c>
      <c r="BN99">
        <f>(BA99-BG99)/BG99</f>
        <v>0</v>
      </c>
      <c r="BO99">
        <f>AZ99/(BB99+AZ99/BG99)</f>
        <v>0</v>
      </c>
      <c r="BP99" t="s">
        <v>791</v>
      </c>
      <c r="BQ99">
        <v>689.47</v>
      </c>
      <c r="BR99">
        <f>IF(BQ99&lt;&gt;0, BQ99, BO99)</f>
        <v>0</v>
      </c>
      <c r="BS99">
        <f>1-BR99/BG99</f>
        <v>0</v>
      </c>
      <c r="BT99">
        <f>(BG99-BF99)/(BG99-BR99)</f>
        <v>0</v>
      </c>
      <c r="BU99">
        <f>(BA99-BG99)/(BA99-BR99)</f>
        <v>0</v>
      </c>
      <c r="BV99">
        <f>(BG99-BF99)/(BG99-AZ99)</f>
        <v>0</v>
      </c>
      <c r="BW99">
        <f>(BA99-BG99)/(BA99-AZ99)</f>
        <v>0</v>
      </c>
      <c r="BX99">
        <f>(BT99*BR99/BF99)</f>
        <v>0</v>
      </c>
      <c r="BY99">
        <f>(1-BX99)</f>
        <v>0</v>
      </c>
      <c r="BZ99">
        <v>258</v>
      </c>
      <c r="CA99">
        <v>290</v>
      </c>
      <c r="CB99">
        <v>862.81</v>
      </c>
      <c r="CC99">
        <v>245</v>
      </c>
      <c r="CD99">
        <v>5086.72</v>
      </c>
      <c r="CE99">
        <v>862.97</v>
      </c>
      <c r="CF99">
        <v>-0.16</v>
      </c>
      <c r="CG99">
        <v>300</v>
      </c>
      <c r="CH99">
        <v>23.9</v>
      </c>
      <c r="CI99">
        <v>902.407764027843</v>
      </c>
      <c r="CJ99">
        <v>1.59953867519937</v>
      </c>
      <c r="CK99">
        <v>-20.0596326620234</v>
      </c>
      <c r="CL99">
        <v>0.731877043323336</v>
      </c>
      <c r="CM99">
        <v>0.964066834936762</v>
      </c>
      <c r="CN99">
        <v>-0.00321117975528365</v>
      </c>
      <c r="CO99">
        <v>290</v>
      </c>
      <c r="CP99">
        <v>860.19</v>
      </c>
      <c r="CQ99">
        <v>685</v>
      </c>
      <c r="CR99">
        <v>5082.24</v>
      </c>
      <c r="CS99">
        <v>862.94</v>
      </c>
      <c r="CT99">
        <v>-2.75</v>
      </c>
      <c r="DH99">
        <f>$B$11*EG99+$C$11*EH99+$F$11*ES99*(1-EV99)</f>
        <v>0</v>
      </c>
      <c r="DI99">
        <f>DH99*DJ99</f>
        <v>0</v>
      </c>
      <c r="DJ99">
        <f>($B$11*$D$9+$C$11*$D$9+$F$11*((FF99+EX99)/MAX(FF99+EX99+FG99, 0.1)*$I$9+FG99/MAX(FF99+EX99+FG99, 0.1)*$J$9))/($B$11+$C$11+$F$11)</f>
        <v>0</v>
      </c>
      <c r="DK99">
        <f>($B$11*$K$9+$C$11*$K$9+$F$11*((FF99+EX99)/MAX(FF99+EX99+FG99, 0.1)*$P$9+FG99/MAX(FF99+EX99+FG99, 0.1)*$Q$9))/($B$11+$C$11+$F$11)</f>
        <v>0</v>
      </c>
      <c r="DL99">
        <v>3.21</v>
      </c>
      <c r="DM99">
        <v>0.5</v>
      </c>
      <c r="DN99" t="s">
        <v>440</v>
      </c>
      <c r="DO99">
        <v>2</v>
      </c>
      <c r="DP99" t="b">
        <v>1</v>
      </c>
      <c r="DQ99">
        <v>1760917786</v>
      </c>
      <c r="DR99">
        <v>413.351</v>
      </c>
      <c r="DS99">
        <v>420.014333333333</v>
      </c>
      <c r="DT99">
        <v>38.0071066666667</v>
      </c>
      <c r="DU99">
        <v>25.0934733333333</v>
      </c>
      <c r="DV99">
        <v>410.9282</v>
      </c>
      <c r="DW99">
        <v>37.57188</v>
      </c>
      <c r="DX99">
        <v>500.057</v>
      </c>
      <c r="DY99">
        <v>90.61336</v>
      </c>
      <c r="DZ99">
        <v>0.0461077</v>
      </c>
      <c r="EA99">
        <v>49.13344</v>
      </c>
      <c r="EB99">
        <v>47.93694</v>
      </c>
      <c r="EC99">
        <v>999.9</v>
      </c>
      <c r="ED99">
        <v>0</v>
      </c>
      <c r="EE99">
        <v>0</v>
      </c>
      <c r="EF99">
        <v>10003.0486666667</v>
      </c>
      <c r="EG99">
        <v>0</v>
      </c>
      <c r="EH99">
        <v>1189.86066666667</v>
      </c>
      <c r="EI99">
        <v>-6.663304</v>
      </c>
      <c r="EJ99">
        <v>429.682</v>
      </c>
      <c r="EK99">
        <v>430.8252</v>
      </c>
      <c r="EL99">
        <v>12.9136</v>
      </c>
      <c r="EM99">
        <v>420.014333333333</v>
      </c>
      <c r="EN99">
        <v>25.0934733333333</v>
      </c>
      <c r="EO99">
        <v>3.44395066666667</v>
      </c>
      <c r="EP99">
        <v>2.27380666666667</v>
      </c>
      <c r="EQ99">
        <v>26.3459266666667</v>
      </c>
      <c r="ER99">
        <v>19.4920066666667</v>
      </c>
      <c r="ES99">
        <v>1199.99066666667</v>
      </c>
      <c r="ET99">
        <v>0.9669998</v>
      </c>
      <c r="EU99">
        <v>0.03300042</v>
      </c>
      <c r="EV99">
        <v>0</v>
      </c>
      <c r="EW99">
        <v>787.6514</v>
      </c>
      <c r="EX99">
        <v>5.00059</v>
      </c>
      <c r="EY99">
        <v>10896.8933333333</v>
      </c>
      <c r="EZ99">
        <v>10358.6266666667</v>
      </c>
      <c r="FA99">
        <v>67.0455333333333</v>
      </c>
      <c r="FB99">
        <v>68.8372</v>
      </c>
      <c r="FC99">
        <v>67.2122</v>
      </c>
      <c r="FD99">
        <v>68.504</v>
      </c>
      <c r="FE99">
        <v>67.9039333333333</v>
      </c>
      <c r="FF99">
        <v>1155.552</v>
      </c>
      <c r="FG99">
        <v>39.4373333333333</v>
      </c>
      <c r="FH99">
        <v>0</v>
      </c>
      <c r="FI99">
        <v>117.200000047684</v>
      </c>
      <c r="FJ99">
        <v>0</v>
      </c>
      <c r="FK99">
        <v>787.690230769231</v>
      </c>
      <c r="FL99">
        <v>4.77941880957177</v>
      </c>
      <c r="FM99">
        <v>100.882051332641</v>
      </c>
      <c r="FN99">
        <v>10897.8153846154</v>
      </c>
      <c r="FO99">
        <v>15</v>
      </c>
      <c r="FP99">
        <v>0</v>
      </c>
      <c r="FQ99" t="s">
        <v>441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-6.63313380952381</v>
      </c>
      <c r="GD99">
        <v>-0.40711012987013</v>
      </c>
      <c r="GE99">
        <v>0.0575786906247351</v>
      </c>
      <c r="GF99">
        <v>1</v>
      </c>
      <c r="GG99">
        <v>787.404647058824</v>
      </c>
      <c r="GH99">
        <v>4.80687548069191</v>
      </c>
      <c r="GI99">
        <v>0.49838963509859</v>
      </c>
      <c r="GJ99">
        <v>-1</v>
      </c>
      <c r="GK99">
        <v>12.912180952381</v>
      </c>
      <c r="GL99">
        <v>0.041181818181848</v>
      </c>
      <c r="GM99">
        <v>0.00532904164060066</v>
      </c>
      <c r="GN99">
        <v>1</v>
      </c>
      <c r="GO99">
        <v>2</v>
      </c>
      <c r="GP99">
        <v>2</v>
      </c>
      <c r="GQ99" t="s">
        <v>442</v>
      </c>
      <c r="GR99">
        <v>3.12539</v>
      </c>
      <c r="GS99">
        <v>2.7236</v>
      </c>
      <c r="GT99">
        <v>0.0822333</v>
      </c>
      <c r="GU99">
        <v>0.0837541</v>
      </c>
      <c r="GV99">
        <v>0.133827</v>
      </c>
      <c r="GW99">
        <v>0.100206</v>
      </c>
      <c r="GX99">
        <v>32449.6</v>
      </c>
      <c r="GY99">
        <v>34143.5</v>
      </c>
      <c r="GZ99">
        <v>32147.6</v>
      </c>
      <c r="HA99">
        <v>33898.5</v>
      </c>
      <c r="HB99">
        <v>39939.9</v>
      </c>
      <c r="HC99">
        <v>44048.9</v>
      </c>
      <c r="HD99">
        <v>50623.9</v>
      </c>
      <c r="HE99">
        <v>54441.8</v>
      </c>
      <c r="HF99">
        <v>1.61758</v>
      </c>
      <c r="HG99">
        <v>1.4761</v>
      </c>
      <c r="HH99">
        <v>-0.119992</v>
      </c>
      <c r="HI99">
        <v>0</v>
      </c>
      <c r="HJ99">
        <v>49.7739</v>
      </c>
      <c r="HK99">
        <v>999.9</v>
      </c>
      <c r="HL99">
        <v>55.121</v>
      </c>
      <c r="HM99">
        <v>30.353</v>
      </c>
      <c r="HN99">
        <v>26.4463</v>
      </c>
      <c r="HO99">
        <v>60.6098</v>
      </c>
      <c r="HP99">
        <v>40.2444</v>
      </c>
      <c r="HQ99">
        <v>1</v>
      </c>
      <c r="HR99">
        <v>3.03901</v>
      </c>
      <c r="HS99">
        <v>5.51168</v>
      </c>
      <c r="HT99">
        <v>20.0362</v>
      </c>
      <c r="HU99">
        <v>5.18569</v>
      </c>
      <c r="HV99">
        <v>12.0159</v>
      </c>
      <c r="HW99">
        <v>4.96725</v>
      </c>
      <c r="HX99">
        <v>3.296</v>
      </c>
      <c r="HY99">
        <v>9999</v>
      </c>
      <c r="HZ99">
        <v>999.9</v>
      </c>
      <c r="IA99">
        <v>9999</v>
      </c>
      <c r="IB99">
        <v>9999</v>
      </c>
      <c r="IC99">
        <v>1.86325</v>
      </c>
      <c r="ID99">
        <v>1.86803</v>
      </c>
      <c r="IE99">
        <v>1.86783</v>
      </c>
      <c r="IF99">
        <v>1.86905</v>
      </c>
      <c r="IG99">
        <v>1.86981</v>
      </c>
      <c r="IH99">
        <v>1.86584</v>
      </c>
      <c r="II99">
        <v>1.86691</v>
      </c>
      <c r="IJ99">
        <v>1.86836</v>
      </c>
      <c r="IK99">
        <v>5</v>
      </c>
      <c r="IL99">
        <v>0</v>
      </c>
      <c r="IM99">
        <v>0</v>
      </c>
      <c r="IN99">
        <v>0</v>
      </c>
      <c r="IO99" t="s">
        <v>443</v>
      </c>
      <c r="IP99" t="s">
        <v>444</v>
      </c>
      <c r="IQ99" t="s">
        <v>445</v>
      </c>
      <c r="IR99" t="s">
        <v>445</v>
      </c>
      <c r="IS99" t="s">
        <v>445</v>
      </c>
      <c r="IT99" t="s">
        <v>445</v>
      </c>
      <c r="IU99">
        <v>0</v>
      </c>
      <c r="IV99">
        <v>100</v>
      </c>
      <c r="IW99">
        <v>100</v>
      </c>
      <c r="IX99">
        <v>2.422</v>
      </c>
      <c r="IY99">
        <v>0.4352</v>
      </c>
      <c r="IZ99">
        <v>0.833350075594679</v>
      </c>
      <c r="JA99">
        <v>0.00412825224050377</v>
      </c>
      <c r="JB99">
        <v>-7.34426573386615e-07</v>
      </c>
      <c r="JC99">
        <v>2.46800082545482e-10</v>
      </c>
      <c r="JD99">
        <v>0.435209846415365</v>
      </c>
      <c r="JE99">
        <v>0</v>
      </c>
      <c r="JF99">
        <v>0</v>
      </c>
      <c r="JG99">
        <v>0</v>
      </c>
      <c r="JH99">
        <v>5</v>
      </c>
      <c r="JI99">
        <v>2250</v>
      </c>
      <c r="JJ99">
        <v>0</v>
      </c>
      <c r="JK99">
        <v>24</v>
      </c>
      <c r="JL99">
        <v>29348629.9</v>
      </c>
      <c r="JM99">
        <v>29348629.9</v>
      </c>
      <c r="JN99">
        <v>1.01807</v>
      </c>
      <c r="JO99">
        <v>2.63306</v>
      </c>
      <c r="JP99">
        <v>1.54785</v>
      </c>
      <c r="JQ99">
        <v>2.31567</v>
      </c>
      <c r="JR99">
        <v>1.64673</v>
      </c>
      <c r="JS99">
        <v>2.3938</v>
      </c>
      <c r="JT99">
        <v>34.4636</v>
      </c>
      <c r="JU99">
        <v>24.1575</v>
      </c>
      <c r="JV99">
        <v>18</v>
      </c>
      <c r="JW99">
        <v>473.038</v>
      </c>
      <c r="JX99">
        <v>370.985</v>
      </c>
      <c r="JY99">
        <v>40.8585</v>
      </c>
      <c r="JZ99">
        <v>59.5283</v>
      </c>
      <c r="KA99">
        <v>29.9888</v>
      </c>
      <c r="KB99">
        <v>58.3182</v>
      </c>
      <c r="KC99">
        <v>58.0574</v>
      </c>
      <c r="KD99">
        <v>20.4064</v>
      </c>
      <c r="KE99">
        <v>0</v>
      </c>
      <c r="KF99">
        <v>100</v>
      </c>
      <c r="KG99">
        <v>41.5101</v>
      </c>
      <c r="KH99">
        <v>420</v>
      </c>
      <c r="KI99">
        <v>30.6849</v>
      </c>
      <c r="KJ99">
        <v>91.6872</v>
      </c>
      <c r="KK99">
        <v>88.0427</v>
      </c>
    </row>
    <row r="100" spans="1:297">
      <c r="A100">
        <v>84</v>
      </c>
      <c r="B100">
        <v>1760917990.1</v>
      </c>
      <c r="C100">
        <v>24226</v>
      </c>
      <c r="D100" t="s">
        <v>792</v>
      </c>
      <c r="E100" t="s">
        <v>793</v>
      </c>
      <c r="F100">
        <v>5</v>
      </c>
      <c r="G100" t="s">
        <v>521</v>
      </c>
      <c r="H100" t="s">
        <v>436</v>
      </c>
      <c r="I100">
        <v>1760917982.1</v>
      </c>
      <c r="J100">
        <f>(K100)/1000</f>
        <v>0</v>
      </c>
      <c r="K100">
        <f>IF(DP100, AN100, AH100)</f>
        <v>0</v>
      </c>
      <c r="L100">
        <f>IF(DP100, AI100, AG100)</f>
        <v>0</v>
      </c>
      <c r="M100">
        <f>DR100 - IF(AU100&gt;1, L100*DL100*100.0/(AW100), 0)</f>
        <v>0</v>
      </c>
      <c r="N100">
        <f>((T100-J100/2)*M100-L100)/(T100+J100/2)</f>
        <v>0</v>
      </c>
      <c r="O100">
        <f>N100*(DY100+DZ100)/1000.0</f>
        <v>0</v>
      </c>
      <c r="P100">
        <f>(DR100 - IF(AU100&gt;1, L100*DL100*100.0/(AW100), 0))*(DY100+DZ100)/1000.0</f>
        <v>0</v>
      </c>
      <c r="Q100">
        <f>2.0/((1/S100-1/R100)+SIGN(S100)*SQRT((1/S100-1/R100)*(1/S100-1/R100) + 4*DM100/((DM100+1)*(DM100+1))*(2*1/S100*1/R100-1/R100*1/R100)))</f>
        <v>0</v>
      </c>
      <c r="R100">
        <f>IF(LEFT(DN100,1)&lt;&gt;"0",IF(LEFT(DN100,1)="1",3.0,DO100),$D$5+$E$5*(EF100*DY100/($K$5*1000))+$F$5*(EF100*DY100/($K$5*1000))*MAX(MIN(DL100,$J$5),$I$5)*MAX(MIN(DL100,$J$5),$I$5)+$G$5*MAX(MIN(DL100,$J$5),$I$5)*(EF100*DY100/($K$5*1000))+$H$5*(EF100*DY100/($K$5*1000))*(EF100*DY100/($K$5*1000)))</f>
        <v>0</v>
      </c>
      <c r="S100">
        <f>J100*(1000-(1000*0.61365*exp(17.502*W100/(240.97+W100))/(DY100+DZ100)+DT100)/2)/(1000*0.61365*exp(17.502*W100/(240.97+W100))/(DY100+DZ100)-DT100)</f>
        <v>0</v>
      </c>
      <c r="T100">
        <f>1/((DM100+1)/(Q100/1.6)+1/(R100/1.37)) + DM100/((DM100+1)/(Q100/1.6) + DM100/(R100/1.37))</f>
        <v>0</v>
      </c>
      <c r="U100">
        <f>(DH100*DK100)</f>
        <v>0</v>
      </c>
      <c r="V100">
        <f>(EA100+(U100+2*0.95*5.67E-8*(((EA100+$B$7)+273)^4-(EA100+273)^4)-44100*J100)/(1.84*29.3*R100+8*0.95*5.67E-8*(EA100+273)^3))</f>
        <v>0</v>
      </c>
      <c r="W100">
        <f>($C$7*EB100+$D$7*EC100+$E$7*V100)</f>
        <v>0</v>
      </c>
      <c r="X100">
        <f>0.61365*exp(17.502*W100/(240.97+W100))</f>
        <v>0</v>
      </c>
      <c r="Y100">
        <f>(Z100/AA100*100)</f>
        <v>0</v>
      </c>
      <c r="Z100">
        <f>DT100*(DY100+DZ100)/1000</f>
        <v>0</v>
      </c>
      <c r="AA100">
        <f>0.61365*exp(17.502*EA100/(240.97+EA100))</f>
        <v>0</v>
      </c>
      <c r="AB100">
        <f>(X100-DT100*(DY100+DZ100)/1000)</f>
        <v>0</v>
      </c>
      <c r="AC100">
        <f>(-J100*44100)</f>
        <v>0</v>
      </c>
      <c r="AD100">
        <f>2*29.3*R100*0.92*(EA100-W100)</f>
        <v>0</v>
      </c>
      <c r="AE100">
        <f>2*0.95*5.67E-8*(((EA100+$B$7)+273)^4-(W100+273)^4)</f>
        <v>0</v>
      </c>
      <c r="AF100">
        <f>U100+AE100+AC100+AD100</f>
        <v>0</v>
      </c>
      <c r="AG100">
        <f>DX100*AU100*(DS100-DR100*(1000-AU100*DU100)/(1000-AU100*DT100))/(100*DL100)</f>
        <v>0</v>
      </c>
      <c r="AH100">
        <f>1000*DX100*AU100*(DT100-DU100)/(100*DL100*(1000-AU100*DT100))</f>
        <v>0</v>
      </c>
      <c r="AI100">
        <f>(AJ100 - AK100 - DY100*1E3/(8.314*(EA100+273.15)) * AM100/DX100 * AL100) * DX100/(100*DL100) * (1000 - DU100)/1000</f>
        <v>0</v>
      </c>
      <c r="AJ100">
        <v>430.58956438231</v>
      </c>
      <c r="AK100">
        <v>429.102248484848</v>
      </c>
      <c r="AL100">
        <v>-0.00316319259427493</v>
      </c>
      <c r="AM100">
        <v>65.5739212532621</v>
      </c>
      <c r="AN100">
        <f>(AP100 - AO100 + DY100*1E3/(8.314*(EA100+273.15)) * AR100/DX100 * AQ100) * DX100/(100*DL100) * 1000/(1000 - AP100)</f>
        <v>0</v>
      </c>
      <c r="AO100">
        <v>24.829262639521</v>
      </c>
      <c r="AP100">
        <v>37.9460078787879</v>
      </c>
      <c r="AQ100">
        <v>0.000271347605781805</v>
      </c>
      <c r="AR100">
        <v>114.097043996515</v>
      </c>
      <c r="AS100">
        <v>23</v>
      </c>
      <c r="AT100">
        <v>5</v>
      </c>
      <c r="AU100">
        <f>IF(AS100*$H$13&gt;=AW100,1.0,(AW100/(AW100-AS100*$H$13)))</f>
        <v>0</v>
      </c>
      <c r="AV100">
        <f>(AU100-1)*100</f>
        <v>0</v>
      </c>
      <c r="AW100">
        <f>MAX(0,($B$13+$C$13*EF100)/(1+$D$13*EF100)*DY100/(EA100+273)*$E$13)</f>
        <v>0</v>
      </c>
      <c r="AX100" t="s">
        <v>437</v>
      </c>
      <c r="AY100">
        <v>5082.33</v>
      </c>
      <c r="AZ100">
        <v>690.032</v>
      </c>
      <c r="BA100">
        <v>1612.68</v>
      </c>
      <c r="BB100">
        <f>1-AZ100/BA100</f>
        <v>0</v>
      </c>
      <c r="BC100">
        <v>-9.7270689171713</v>
      </c>
      <c r="BD100" t="s">
        <v>794</v>
      </c>
      <c r="BE100">
        <v>5087.69</v>
      </c>
      <c r="BF100">
        <v>798.59464</v>
      </c>
      <c r="BG100">
        <v>914.604444817287</v>
      </c>
      <c r="BH100">
        <f>1-BF100/BG100</f>
        <v>0</v>
      </c>
      <c r="BI100">
        <v>0.5</v>
      </c>
      <c r="BJ100">
        <f>DI100</f>
        <v>0</v>
      </c>
      <c r="BK100">
        <f>L100</f>
        <v>0</v>
      </c>
      <c r="BL100">
        <f>BH100*BI100*BJ100</f>
        <v>0</v>
      </c>
      <c r="BM100">
        <f>(BK100-BC100)/BJ100</f>
        <v>0</v>
      </c>
      <c r="BN100">
        <f>(BA100-BG100)/BG100</f>
        <v>0</v>
      </c>
      <c r="BO100">
        <f>AZ100/(BB100+AZ100/BG100)</f>
        <v>0</v>
      </c>
      <c r="BP100" t="s">
        <v>795</v>
      </c>
      <c r="BQ100">
        <v>680.73</v>
      </c>
      <c r="BR100">
        <f>IF(BQ100&lt;&gt;0, BQ100, BO100)</f>
        <v>0</v>
      </c>
      <c r="BS100">
        <f>1-BR100/BG100</f>
        <v>0</v>
      </c>
      <c r="BT100">
        <f>(BG100-BF100)/(BG100-BR100)</f>
        <v>0</v>
      </c>
      <c r="BU100">
        <f>(BA100-BG100)/(BA100-BR100)</f>
        <v>0</v>
      </c>
      <c r="BV100">
        <f>(BG100-BF100)/(BG100-AZ100)</f>
        <v>0</v>
      </c>
      <c r="BW100">
        <f>(BA100-BG100)/(BA100-AZ100)</f>
        <v>0</v>
      </c>
      <c r="BX100">
        <f>(BT100*BR100/BF100)</f>
        <v>0</v>
      </c>
      <c r="BY100">
        <f>(1-BX100)</f>
        <v>0</v>
      </c>
      <c r="BZ100">
        <v>260</v>
      </c>
      <c r="CA100">
        <v>290</v>
      </c>
      <c r="CB100">
        <v>873.94</v>
      </c>
      <c r="CC100">
        <v>265</v>
      </c>
      <c r="CD100">
        <v>5087.69</v>
      </c>
      <c r="CE100">
        <v>874.5</v>
      </c>
      <c r="CF100">
        <v>-0.56</v>
      </c>
      <c r="CG100">
        <v>300</v>
      </c>
      <c r="CH100">
        <v>23.9</v>
      </c>
      <c r="CI100">
        <v>914.604444817287</v>
      </c>
      <c r="CJ100">
        <v>1.49523095698125</v>
      </c>
      <c r="CK100">
        <v>-20.4028067836384</v>
      </c>
      <c r="CL100">
        <v>0.684366280250495</v>
      </c>
      <c r="CM100">
        <v>0.969458891076609</v>
      </c>
      <c r="CN100">
        <v>-0.00321147141268076</v>
      </c>
      <c r="CO100">
        <v>290</v>
      </c>
      <c r="CP100">
        <v>872.05</v>
      </c>
      <c r="CQ100">
        <v>655</v>
      </c>
      <c r="CR100">
        <v>5084.14</v>
      </c>
      <c r="CS100">
        <v>874.47</v>
      </c>
      <c r="CT100">
        <v>-2.42</v>
      </c>
      <c r="DH100">
        <f>$B$11*EG100+$C$11*EH100+$F$11*ES100*(1-EV100)</f>
        <v>0</v>
      </c>
      <c r="DI100">
        <f>DH100*DJ100</f>
        <v>0</v>
      </c>
      <c r="DJ100">
        <f>($B$11*$D$9+$C$11*$D$9+$F$11*((FF100+EX100)/MAX(FF100+EX100+FG100, 0.1)*$I$9+FG100/MAX(FF100+EX100+FG100, 0.1)*$J$9))/($B$11+$C$11+$F$11)</f>
        <v>0</v>
      </c>
      <c r="DK100">
        <f>($B$11*$K$9+$C$11*$K$9+$F$11*((FF100+EX100)/MAX(FF100+EX100+FG100, 0.1)*$P$9+FG100/MAX(FF100+EX100+FG100, 0.1)*$Q$9))/($B$11+$C$11+$F$11)</f>
        <v>0</v>
      </c>
      <c r="DL100">
        <v>3.21</v>
      </c>
      <c r="DM100">
        <v>0.5</v>
      </c>
      <c r="DN100" t="s">
        <v>440</v>
      </c>
      <c r="DO100">
        <v>2</v>
      </c>
      <c r="DP100" t="b">
        <v>1</v>
      </c>
      <c r="DQ100">
        <v>1760917982.1</v>
      </c>
      <c r="DR100">
        <v>412.889933333333</v>
      </c>
      <c r="DS100">
        <v>419.919733333333</v>
      </c>
      <c r="DT100">
        <v>37.94804</v>
      </c>
      <c r="DU100">
        <v>24.8386266666667</v>
      </c>
      <c r="DV100">
        <v>410.4686</v>
      </c>
      <c r="DW100">
        <v>37.51284</v>
      </c>
      <c r="DX100">
        <v>500.0138</v>
      </c>
      <c r="DY100">
        <v>90.6134266666667</v>
      </c>
      <c r="DZ100">
        <v>0.0469436533333333</v>
      </c>
      <c r="EA100">
        <v>48.9986133333333</v>
      </c>
      <c r="EB100">
        <v>47.4616533333333</v>
      </c>
      <c r="EC100">
        <v>999.9</v>
      </c>
      <c r="ED100">
        <v>0</v>
      </c>
      <c r="EE100">
        <v>0</v>
      </c>
      <c r="EF100">
        <v>9997.87733333333</v>
      </c>
      <c r="EG100">
        <v>0</v>
      </c>
      <c r="EH100">
        <v>0.9414666</v>
      </c>
      <c r="EI100">
        <v>-7.029858</v>
      </c>
      <c r="EJ100">
        <v>429.176133333333</v>
      </c>
      <c r="EK100">
        <v>430.615666666667</v>
      </c>
      <c r="EL100">
        <v>13.10944</v>
      </c>
      <c r="EM100">
        <v>419.919733333333</v>
      </c>
      <c r="EN100">
        <v>24.8386266666667</v>
      </c>
      <c r="EO100">
        <v>3.43860266666667</v>
      </c>
      <c r="EP100">
        <v>2.25071266666667</v>
      </c>
      <c r="EQ100">
        <v>26.3195866666667</v>
      </c>
      <c r="ER100">
        <v>19.32792</v>
      </c>
      <c r="ES100">
        <v>1199.988</v>
      </c>
      <c r="ET100">
        <v>0.967005533333334</v>
      </c>
      <c r="EU100">
        <v>0.03299414</v>
      </c>
      <c r="EV100">
        <v>0</v>
      </c>
      <c r="EW100">
        <v>798.4414</v>
      </c>
      <c r="EX100">
        <v>5.00059</v>
      </c>
      <c r="EY100">
        <v>11060.1</v>
      </c>
      <c r="EZ100">
        <v>10358.6133333333</v>
      </c>
      <c r="FA100">
        <v>67.3122666666667</v>
      </c>
      <c r="FB100">
        <v>69.2289333333333</v>
      </c>
      <c r="FC100">
        <v>67.7289333333333</v>
      </c>
      <c r="FD100">
        <v>68.4538666666667</v>
      </c>
      <c r="FE100">
        <v>68.3497333333333</v>
      </c>
      <c r="FF100">
        <v>1155.56</v>
      </c>
      <c r="FG100">
        <v>39.428</v>
      </c>
      <c r="FH100">
        <v>0</v>
      </c>
      <c r="FI100">
        <v>192</v>
      </c>
      <c r="FJ100">
        <v>0</v>
      </c>
      <c r="FK100">
        <v>798.59464</v>
      </c>
      <c r="FL100">
        <v>8.95953843609789</v>
      </c>
      <c r="FM100">
        <v>35.223076884519</v>
      </c>
      <c r="FN100">
        <v>11061.044</v>
      </c>
      <c r="FO100">
        <v>15</v>
      </c>
      <c r="FP100">
        <v>0</v>
      </c>
      <c r="FQ100" t="s">
        <v>441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-7.00845095238095</v>
      </c>
      <c r="GD100">
        <v>-0.349538181818185</v>
      </c>
      <c r="GE100">
        <v>0.0406794935943526</v>
      </c>
      <c r="GF100">
        <v>1</v>
      </c>
      <c r="GG100">
        <v>798.129852941176</v>
      </c>
      <c r="GH100">
        <v>6.99781512543714</v>
      </c>
      <c r="GI100">
        <v>0.720689340446032</v>
      </c>
      <c r="GJ100">
        <v>-1</v>
      </c>
      <c r="GK100">
        <v>13.1123666666667</v>
      </c>
      <c r="GL100">
        <v>-0.03448051948052</v>
      </c>
      <c r="GM100">
        <v>0.00595269713445957</v>
      </c>
      <c r="GN100">
        <v>1</v>
      </c>
      <c r="GO100">
        <v>2</v>
      </c>
      <c r="GP100">
        <v>2</v>
      </c>
      <c r="GQ100" t="s">
        <v>442</v>
      </c>
      <c r="GR100">
        <v>3.12506</v>
      </c>
      <c r="GS100">
        <v>2.72499</v>
      </c>
      <c r="GT100">
        <v>0.0819334</v>
      </c>
      <c r="GU100">
        <v>0.0835351</v>
      </c>
      <c r="GV100">
        <v>0.133332</v>
      </c>
      <c r="GW100">
        <v>0.0992392</v>
      </c>
      <c r="GX100">
        <v>32383.2</v>
      </c>
      <c r="GY100">
        <v>34061.2</v>
      </c>
      <c r="GZ100">
        <v>32077.7</v>
      </c>
      <c r="HA100">
        <v>33815.1</v>
      </c>
      <c r="HB100">
        <v>39898.7</v>
      </c>
      <c r="HC100">
        <v>43994.4</v>
      </c>
      <c r="HD100">
        <v>50533.8</v>
      </c>
      <c r="HE100">
        <v>54317.3</v>
      </c>
      <c r="HF100">
        <v>1.6068</v>
      </c>
      <c r="HG100">
        <v>1.47135</v>
      </c>
      <c r="HH100">
        <v>-0.0967793</v>
      </c>
      <c r="HI100">
        <v>0</v>
      </c>
      <c r="HJ100">
        <v>48.9748</v>
      </c>
      <c r="HK100">
        <v>999.9</v>
      </c>
      <c r="HL100">
        <v>54.877</v>
      </c>
      <c r="HM100">
        <v>30.323</v>
      </c>
      <c r="HN100">
        <v>26.2854</v>
      </c>
      <c r="HO100">
        <v>60.5589</v>
      </c>
      <c r="HP100">
        <v>39.972</v>
      </c>
      <c r="HQ100">
        <v>1</v>
      </c>
      <c r="HR100">
        <v>3.12369</v>
      </c>
      <c r="HS100">
        <v>2.51417</v>
      </c>
      <c r="HT100">
        <v>20.0877</v>
      </c>
      <c r="HU100">
        <v>5.18225</v>
      </c>
      <c r="HV100">
        <v>12.0161</v>
      </c>
      <c r="HW100">
        <v>4.96725</v>
      </c>
      <c r="HX100">
        <v>3.296</v>
      </c>
      <c r="HY100">
        <v>9999</v>
      </c>
      <c r="HZ100">
        <v>999.9</v>
      </c>
      <c r="IA100">
        <v>9999</v>
      </c>
      <c r="IB100">
        <v>9999</v>
      </c>
      <c r="IC100">
        <v>1.86325</v>
      </c>
      <c r="ID100">
        <v>1.86806</v>
      </c>
      <c r="IE100">
        <v>1.86783</v>
      </c>
      <c r="IF100">
        <v>1.86905</v>
      </c>
      <c r="IG100">
        <v>1.86981</v>
      </c>
      <c r="IH100">
        <v>1.86585</v>
      </c>
      <c r="II100">
        <v>1.86692</v>
      </c>
      <c r="IJ100">
        <v>1.86834</v>
      </c>
      <c r="IK100">
        <v>5</v>
      </c>
      <c r="IL100">
        <v>0</v>
      </c>
      <c r="IM100">
        <v>0</v>
      </c>
      <c r="IN100">
        <v>0</v>
      </c>
      <c r="IO100" t="s">
        <v>443</v>
      </c>
      <c r="IP100" t="s">
        <v>444</v>
      </c>
      <c r="IQ100" t="s">
        <v>445</v>
      </c>
      <c r="IR100" t="s">
        <v>445</v>
      </c>
      <c r="IS100" t="s">
        <v>445</v>
      </c>
      <c r="IT100" t="s">
        <v>445</v>
      </c>
      <c r="IU100">
        <v>0</v>
      </c>
      <c r="IV100">
        <v>100</v>
      </c>
      <c r="IW100">
        <v>100</v>
      </c>
      <c r="IX100">
        <v>2.421</v>
      </c>
      <c r="IY100">
        <v>0.4352</v>
      </c>
      <c r="IZ100">
        <v>0.833350075594679</v>
      </c>
      <c r="JA100">
        <v>0.00412825224050377</v>
      </c>
      <c r="JB100">
        <v>-7.34426573386615e-07</v>
      </c>
      <c r="JC100">
        <v>2.46800082545482e-10</v>
      </c>
      <c r="JD100">
        <v>0.435209846415365</v>
      </c>
      <c r="JE100">
        <v>0</v>
      </c>
      <c r="JF100">
        <v>0</v>
      </c>
      <c r="JG100">
        <v>0</v>
      </c>
      <c r="JH100">
        <v>5</v>
      </c>
      <c r="JI100">
        <v>2250</v>
      </c>
      <c r="JJ100">
        <v>0</v>
      </c>
      <c r="JK100">
        <v>24</v>
      </c>
      <c r="JL100">
        <v>29348633.2</v>
      </c>
      <c r="JM100">
        <v>29348633.2</v>
      </c>
      <c r="JN100">
        <v>1.01929</v>
      </c>
      <c r="JO100">
        <v>2.63794</v>
      </c>
      <c r="JP100">
        <v>1.54785</v>
      </c>
      <c r="JQ100">
        <v>2.31567</v>
      </c>
      <c r="JR100">
        <v>1.64673</v>
      </c>
      <c r="JS100">
        <v>2.38159</v>
      </c>
      <c r="JT100">
        <v>34.418</v>
      </c>
      <c r="JU100">
        <v>24.1751</v>
      </c>
      <c r="JV100">
        <v>18</v>
      </c>
      <c r="JW100">
        <v>470.985</v>
      </c>
      <c r="JX100">
        <v>372.233</v>
      </c>
      <c r="JY100">
        <v>43.5714</v>
      </c>
      <c r="JZ100">
        <v>60.7903</v>
      </c>
      <c r="KA100">
        <v>29.9898</v>
      </c>
      <c r="KB100">
        <v>59.4707</v>
      </c>
      <c r="KC100">
        <v>59.1296</v>
      </c>
      <c r="KD100">
        <v>20.425</v>
      </c>
      <c r="KE100">
        <v>0</v>
      </c>
      <c r="KF100">
        <v>100</v>
      </c>
      <c r="KG100">
        <v>43.9922</v>
      </c>
      <c r="KH100">
        <v>420</v>
      </c>
      <c r="KI100">
        <v>30.6849</v>
      </c>
      <c r="KJ100">
        <v>91.5099</v>
      </c>
      <c r="KK100">
        <v>87.8356</v>
      </c>
    </row>
    <row r="101" spans="1:297">
      <c r="A101">
        <v>85</v>
      </c>
      <c r="B101">
        <v>1760918508.1</v>
      </c>
      <c r="C101">
        <v>24744</v>
      </c>
      <c r="D101" t="s">
        <v>796</v>
      </c>
      <c r="E101" t="s">
        <v>797</v>
      </c>
      <c r="F101">
        <v>5</v>
      </c>
      <c r="G101" t="s">
        <v>560</v>
      </c>
      <c r="H101" t="s">
        <v>436</v>
      </c>
      <c r="I101">
        <v>1760918500.1</v>
      </c>
      <c r="J101">
        <f>(K101)/1000</f>
        <v>0</v>
      </c>
      <c r="K101">
        <f>IF(DP101, AN101, AH101)</f>
        <v>0</v>
      </c>
      <c r="L101">
        <f>IF(DP101, AI101, AG101)</f>
        <v>0</v>
      </c>
      <c r="M101">
        <f>DR101 - IF(AU101&gt;1, L101*DL101*100.0/(AW101), 0)</f>
        <v>0</v>
      </c>
      <c r="N101">
        <f>((T101-J101/2)*M101-L101)/(T101+J101/2)</f>
        <v>0</v>
      </c>
      <c r="O101">
        <f>N101*(DY101+DZ101)/1000.0</f>
        <v>0</v>
      </c>
      <c r="P101">
        <f>(DR101 - IF(AU101&gt;1, L101*DL101*100.0/(AW101), 0))*(DY101+DZ101)/1000.0</f>
        <v>0</v>
      </c>
      <c r="Q101">
        <f>2.0/((1/S101-1/R101)+SIGN(S101)*SQRT((1/S101-1/R101)*(1/S101-1/R101) + 4*DM101/((DM101+1)*(DM101+1))*(2*1/S101*1/R101-1/R101*1/R101)))</f>
        <v>0</v>
      </c>
      <c r="R101">
        <f>IF(LEFT(DN101,1)&lt;&gt;"0",IF(LEFT(DN101,1)="1",3.0,DO101),$D$5+$E$5*(EF101*DY101/($K$5*1000))+$F$5*(EF101*DY101/($K$5*1000))*MAX(MIN(DL101,$J$5),$I$5)*MAX(MIN(DL101,$J$5),$I$5)+$G$5*MAX(MIN(DL101,$J$5),$I$5)*(EF101*DY101/($K$5*1000))+$H$5*(EF101*DY101/($K$5*1000))*(EF101*DY101/($K$5*1000)))</f>
        <v>0</v>
      </c>
      <c r="S101">
        <f>J101*(1000-(1000*0.61365*exp(17.502*W101/(240.97+W101))/(DY101+DZ101)+DT101)/2)/(1000*0.61365*exp(17.502*W101/(240.97+W101))/(DY101+DZ101)-DT101)</f>
        <v>0</v>
      </c>
      <c r="T101">
        <f>1/((DM101+1)/(Q101/1.6)+1/(R101/1.37)) + DM101/((DM101+1)/(Q101/1.6) + DM101/(R101/1.37))</f>
        <v>0</v>
      </c>
      <c r="U101">
        <f>(DH101*DK101)</f>
        <v>0</v>
      </c>
      <c r="V101">
        <f>(EA101+(U101+2*0.95*5.67E-8*(((EA101+$B$7)+273)^4-(EA101+273)^4)-44100*J101)/(1.84*29.3*R101+8*0.95*5.67E-8*(EA101+273)^3))</f>
        <v>0</v>
      </c>
      <c r="W101">
        <f>($C$7*EB101+$D$7*EC101+$E$7*V101)</f>
        <v>0</v>
      </c>
      <c r="X101">
        <f>0.61365*exp(17.502*W101/(240.97+W101))</f>
        <v>0</v>
      </c>
      <c r="Y101">
        <f>(Z101/AA101*100)</f>
        <v>0</v>
      </c>
      <c r="Z101">
        <f>DT101*(DY101+DZ101)/1000</f>
        <v>0</v>
      </c>
      <c r="AA101">
        <f>0.61365*exp(17.502*EA101/(240.97+EA101))</f>
        <v>0</v>
      </c>
      <c r="AB101">
        <f>(X101-DT101*(DY101+DZ101)/1000)</f>
        <v>0</v>
      </c>
      <c r="AC101">
        <f>(-J101*44100)</f>
        <v>0</v>
      </c>
      <c r="AD101">
        <f>2*29.3*R101*0.92*(EA101-W101)</f>
        <v>0</v>
      </c>
      <c r="AE101">
        <f>2*0.95*5.67E-8*(((EA101+$B$7)+273)^4-(W101+273)^4)</f>
        <v>0</v>
      </c>
      <c r="AF101">
        <f>U101+AE101+AC101+AD101</f>
        <v>0</v>
      </c>
      <c r="AG101">
        <f>DX101*AU101*(DS101-DR101*(1000-AU101*DU101)/(1000-AU101*DT101))/(100*DL101)</f>
        <v>0</v>
      </c>
      <c r="AH101">
        <f>1000*DX101*AU101*(DT101-DU101)/(100*DL101*(1000-AU101*DT101))</f>
        <v>0</v>
      </c>
      <c r="AI101">
        <f>(AJ101 - AK101 - DY101*1E3/(8.314*(EA101+273.15)) * AM101/DX101 * AL101) * DX101/(100*DL101) * (1000 - DU101)/1000</f>
        <v>0</v>
      </c>
      <c r="AJ101">
        <v>430.578991310657</v>
      </c>
      <c r="AK101">
        <v>427.883139393939</v>
      </c>
      <c r="AL101">
        <v>-0.0255121911806953</v>
      </c>
      <c r="AM101">
        <v>65.582932055931</v>
      </c>
      <c r="AN101">
        <f>(AP101 - AO101 + DY101*1E3/(8.314*(EA101+273.15)) * AR101/DX101 * AQ101) * DX101/(100*DL101) * 1000/(1000 - AP101)</f>
        <v>0</v>
      </c>
      <c r="AO101">
        <v>24.4576774930941</v>
      </c>
      <c r="AP101">
        <v>43.2772212121212</v>
      </c>
      <c r="AQ101">
        <v>0.00933208671375705</v>
      </c>
      <c r="AR101">
        <v>114.066769039123</v>
      </c>
      <c r="AS101">
        <v>0</v>
      </c>
      <c r="AT101">
        <v>0</v>
      </c>
      <c r="AU101">
        <f>IF(AS101*$H$13&gt;=AW101,1.0,(AW101/(AW101-AS101*$H$13)))</f>
        <v>0</v>
      </c>
      <c r="AV101">
        <f>(AU101-1)*100</f>
        <v>0</v>
      </c>
      <c r="AW101">
        <f>MAX(0,($B$13+$C$13*EF101)/(1+$D$13*EF101)*DY101/(EA101+273)*$E$13)</f>
        <v>0</v>
      </c>
      <c r="AX101" t="s">
        <v>437</v>
      </c>
      <c r="AY101">
        <v>5082.33</v>
      </c>
      <c r="AZ101">
        <v>690.032</v>
      </c>
      <c r="BA101">
        <v>1612.68</v>
      </c>
      <c r="BB101">
        <f>1-AZ101/BA101</f>
        <v>0</v>
      </c>
      <c r="BC101">
        <v>-9.7270689171713</v>
      </c>
      <c r="BD101" t="s">
        <v>798</v>
      </c>
      <c r="BE101">
        <v>5101.93</v>
      </c>
      <c r="BF101">
        <v>773.938192307692</v>
      </c>
      <c r="BG101">
        <v>887.63236080883</v>
      </c>
      <c r="BH101">
        <f>1-BF101/BG101</f>
        <v>0</v>
      </c>
      <c r="BI101">
        <v>0.5</v>
      </c>
      <c r="BJ101">
        <f>DI101</f>
        <v>0</v>
      </c>
      <c r="BK101">
        <f>L101</f>
        <v>0</v>
      </c>
      <c r="BL101">
        <f>BH101*BI101*BJ101</f>
        <v>0</v>
      </c>
      <c r="BM101">
        <f>(BK101-BC101)/BJ101</f>
        <v>0</v>
      </c>
      <c r="BN101">
        <f>(BA101-BG101)/BG101</f>
        <v>0</v>
      </c>
      <c r="BO101">
        <f>AZ101/(BB101+AZ101/BG101)</f>
        <v>0</v>
      </c>
      <c r="BP101" t="s">
        <v>799</v>
      </c>
      <c r="BQ101">
        <v>664.67</v>
      </c>
      <c r="BR101">
        <f>IF(BQ101&lt;&gt;0, BQ101, BO101)</f>
        <v>0</v>
      </c>
      <c r="BS101">
        <f>1-BR101/BG101</f>
        <v>0</v>
      </c>
      <c r="BT101">
        <f>(BG101-BF101)/(BG101-BR101)</f>
        <v>0</v>
      </c>
      <c r="BU101">
        <f>(BA101-BG101)/(BA101-BR101)</f>
        <v>0</v>
      </c>
      <c r="BV101">
        <f>(BG101-BF101)/(BG101-AZ101)</f>
        <v>0</v>
      </c>
      <c r="BW101">
        <f>(BA101-BG101)/(BA101-AZ101)</f>
        <v>0</v>
      </c>
      <c r="BX101">
        <f>(BT101*BR101/BF101)</f>
        <v>0</v>
      </c>
      <c r="BY101">
        <f>(1-BX101)</f>
        <v>0</v>
      </c>
      <c r="BZ101">
        <v>262</v>
      </c>
      <c r="CA101">
        <v>290</v>
      </c>
      <c r="CB101">
        <v>847.5</v>
      </c>
      <c r="CC101">
        <v>295</v>
      </c>
      <c r="CD101">
        <v>5101.93</v>
      </c>
      <c r="CE101">
        <v>847.43</v>
      </c>
      <c r="CF101">
        <v>0.07</v>
      </c>
      <c r="CG101">
        <v>300</v>
      </c>
      <c r="CH101">
        <v>23.9</v>
      </c>
      <c r="CI101">
        <v>887.63236080883</v>
      </c>
      <c r="CJ101">
        <v>1.89798173733988</v>
      </c>
      <c r="CK101">
        <v>-20.5102567954825</v>
      </c>
      <c r="CL101">
        <v>0.871296237670635</v>
      </c>
      <c r="CM101">
        <v>0.951900657504646</v>
      </c>
      <c r="CN101">
        <v>-0.00321948832035595</v>
      </c>
      <c r="CO101">
        <v>290</v>
      </c>
      <c r="CP101">
        <v>845</v>
      </c>
      <c r="CQ101">
        <v>745</v>
      </c>
      <c r="CR101">
        <v>5098.56</v>
      </c>
      <c r="CS101">
        <v>847.4</v>
      </c>
      <c r="CT101">
        <v>-2.4</v>
      </c>
      <c r="DH101">
        <f>$B$11*EG101+$C$11*EH101+$F$11*ES101*(1-EV101)</f>
        <v>0</v>
      </c>
      <c r="DI101">
        <f>DH101*DJ101</f>
        <v>0</v>
      </c>
      <c r="DJ101">
        <f>($B$11*$D$9+$C$11*$D$9+$F$11*((FF101+EX101)/MAX(FF101+EX101+FG101, 0.1)*$I$9+FG101/MAX(FF101+EX101+FG101, 0.1)*$J$9))/($B$11+$C$11+$F$11)</f>
        <v>0</v>
      </c>
      <c r="DK101">
        <f>($B$11*$K$9+$C$11*$K$9+$F$11*((FF101+EX101)/MAX(FF101+EX101+FG101, 0.1)*$P$9+FG101/MAX(FF101+EX101+FG101, 0.1)*$Q$9))/($B$11+$C$11+$F$11)</f>
        <v>0</v>
      </c>
      <c r="DL101">
        <v>3.21</v>
      </c>
      <c r="DM101">
        <v>0.5</v>
      </c>
      <c r="DN101" t="s">
        <v>440</v>
      </c>
      <c r="DO101">
        <v>2</v>
      </c>
      <c r="DP101" t="b">
        <v>1</v>
      </c>
      <c r="DQ101">
        <v>1760918500.1</v>
      </c>
      <c r="DR101">
        <v>409.4824</v>
      </c>
      <c r="DS101">
        <v>420.009133333333</v>
      </c>
      <c r="DT101">
        <v>43.1941866666667</v>
      </c>
      <c r="DU101">
        <v>24.46176</v>
      </c>
      <c r="DV101">
        <v>407.073666666667</v>
      </c>
      <c r="DW101">
        <v>42.7589666666667</v>
      </c>
      <c r="DX101">
        <v>499.9972</v>
      </c>
      <c r="DY101">
        <v>90.56006</v>
      </c>
      <c r="DZ101">
        <v>0.0393618133333333</v>
      </c>
      <c r="EA101">
        <v>50.52558</v>
      </c>
      <c r="EB101">
        <v>47.9198666666667</v>
      </c>
      <c r="EC101">
        <v>999.9</v>
      </c>
      <c r="ED101">
        <v>0</v>
      </c>
      <c r="EE101">
        <v>0</v>
      </c>
      <c r="EF101">
        <v>10003.5893333333</v>
      </c>
      <c r="EG101">
        <v>0</v>
      </c>
      <c r="EH101">
        <v>1209.91933333333</v>
      </c>
      <c r="EI101">
        <v>-10.5266133333333</v>
      </c>
      <c r="EJ101">
        <v>427.968066666667</v>
      </c>
      <c r="EK101">
        <v>430.5408</v>
      </c>
      <c r="EL101">
        <v>18.7324133333333</v>
      </c>
      <c r="EM101">
        <v>420.009133333333</v>
      </c>
      <c r="EN101">
        <v>24.46176</v>
      </c>
      <c r="EO101">
        <v>3.911668</v>
      </c>
      <c r="EP101">
        <v>2.21525933333333</v>
      </c>
      <c r="EQ101">
        <v>28.5211133333333</v>
      </c>
      <c r="ER101">
        <v>19.0730933333333</v>
      </c>
      <c r="ES101">
        <v>1199.99</v>
      </c>
      <c r="ET101">
        <v>0.966990866666667</v>
      </c>
      <c r="EU101">
        <v>0.0330092933333333</v>
      </c>
      <c r="EV101">
        <v>0</v>
      </c>
      <c r="EW101">
        <v>773.842533333333</v>
      </c>
      <c r="EX101">
        <v>5.00059</v>
      </c>
      <c r="EY101">
        <v>10176.7333333333</v>
      </c>
      <c r="EZ101">
        <v>10358.6</v>
      </c>
      <c r="FA101">
        <v>60.4122666666667</v>
      </c>
      <c r="FB101">
        <v>62.0539333333333</v>
      </c>
      <c r="FC101">
        <v>60.7414666666667</v>
      </c>
      <c r="FD101">
        <v>61.2497333333333</v>
      </c>
      <c r="FE101">
        <v>61.9372666666667</v>
      </c>
      <c r="FF101">
        <v>1155.54</v>
      </c>
      <c r="FG101">
        <v>39.4473333333333</v>
      </c>
      <c r="FH101">
        <v>0</v>
      </c>
      <c r="FI101">
        <v>514.200000047684</v>
      </c>
      <c r="FJ101">
        <v>0</v>
      </c>
      <c r="FK101">
        <v>773.938192307692</v>
      </c>
      <c r="FL101">
        <v>5.5852649748262</v>
      </c>
      <c r="FM101">
        <v>50.5572650042322</v>
      </c>
      <c r="FN101">
        <v>10177.4076923077</v>
      </c>
      <c r="FO101">
        <v>15</v>
      </c>
      <c r="FP101">
        <v>0</v>
      </c>
      <c r="FQ101" t="s">
        <v>441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-10.4869333333333</v>
      </c>
      <c r="GD101">
        <v>-0.885296103896119</v>
      </c>
      <c r="GE101">
        <v>0.0941568414596136</v>
      </c>
      <c r="GF101">
        <v>0</v>
      </c>
      <c r="GG101">
        <v>773.539176470588</v>
      </c>
      <c r="GH101">
        <v>5.96647823598105</v>
      </c>
      <c r="GI101">
        <v>0.6287403125479</v>
      </c>
      <c r="GJ101">
        <v>-1</v>
      </c>
      <c r="GK101">
        <v>18.6916</v>
      </c>
      <c r="GL101">
        <v>0.815135064935077</v>
      </c>
      <c r="GM101">
        <v>0.0823300153563173</v>
      </c>
      <c r="GN101">
        <v>0</v>
      </c>
      <c r="GO101">
        <v>0</v>
      </c>
      <c r="GP101">
        <v>2</v>
      </c>
      <c r="GQ101" t="s">
        <v>654</v>
      </c>
      <c r="GR101">
        <v>3.12689</v>
      </c>
      <c r="GS101">
        <v>2.71714</v>
      </c>
      <c r="GT101">
        <v>0.0827245</v>
      </c>
      <c r="GU101">
        <v>0.0848166</v>
      </c>
      <c r="GV101">
        <v>0.148077</v>
      </c>
      <c r="GW101">
        <v>0.0995551</v>
      </c>
      <c r="GX101">
        <v>33051.2</v>
      </c>
      <c r="GY101">
        <v>34913.6</v>
      </c>
      <c r="GZ101">
        <v>32724.6</v>
      </c>
      <c r="HA101">
        <v>34666.9</v>
      </c>
      <c r="HB101">
        <v>39885.8</v>
      </c>
      <c r="HC101">
        <v>45001.2</v>
      </c>
      <c r="HD101">
        <v>51406.1</v>
      </c>
      <c r="HE101">
        <v>55591.7</v>
      </c>
      <c r="HF101">
        <v>1.69403</v>
      </c>
      <c r="HG101">
        <v>1.55702</v>
      </c>
      <c r="HH101">
        <v>0.0543632</v>
      </c>
      <c r="HI101">
        <v>0</v>
      </c>
      <c r="HJ101">
        <v>47.0405</v>
      </c>
      <c r="HK101">
        <v>999.9</v>
      </c>
      <c r="HL101">
        <v>54.322</v>
      </c>
      <c r="HM101">
        <v>30.202</v>
      </c>
      <c r="HN101">
        <v>25.8526</v>
      </c>
      <c r="HO101">
        <v>60.149</v>
      </c>
      <c r="HP101">
        <v>40.605</v>
      </c>
      <c r="HQ101">
        <v>1</v>
      </c>
      <c r="HR101">
        <v>2.13517</v>
      </c>
      <c r="HS101">
        <v>-1.50542</v>
      </c>
      <c r="HT101">
        <v>20.1131</v>
      </c>
      <c r="HU101">
        <v>5.18704</v>
      </c>
      <c r="HV101">
        <v>12.0159</v>
      </c>
      <c r="HW101">
        <v>4.96925</v>
      </c>
      <c r="HX101">
        <v>3.29565</v>
      </c>
      <c r="HY101">
        <v>9999</v>
      </c>
      <c r="HZ101">
        <v>999.9</v>
      </c>
      <c r="IA101">
        <v>9999</v>
      </c>
      <c r="IB101">
        <v>9999</v>
      </c>
      <c r="IC101">
        <v>1.86325</v>
      </c>
      <c r="ID101">
        <v>1.86799</v>
      </c>
      <c r="IE101">
        <v>1.86783</v>
      </c>
      <c r="IF101">
        <v>1.86905</v>
      </c>
      <c r="IG101">
        <v>1.86981</v>
      </c>
      <c r="IH101">
        <v>1.86584</v>
      </c>
      <c r="II101">
        <v>1.86691</v>
      </c>
      <c r="IJ101">
        <v>1.86835</v>
      </c>
      <c r="IK101">
        <v>5</v>
      </c>
      <c r="IL101">
        <v>0</v>
      </c>
      <c r="IM101">
        <v>0</v>
      </c>
      <c r="IN101">
        <v>0</v>
      </c>
      <c r="IO101" t="s">
        <v>443</v>
      </c>
      <c r="IP101" t="s">
        <v>444</v>
      </c>
      <c r="IQ101" t="s">
        <v>445</v>
      </c>
      <c r="IR101" t="s">
        <v>445</v>
      </c>
      <c r="IS101" t="s">
        <v>445</v>
      </c>
      <c r="IT101" t="s">
        <v>445</v>
      </c>
      <c r="IU101">
        <v>0</v>
      </c>
      <c r="IV101">
        <v>100</v>
      </c>
      <c r="IW101">
        <v>100</v>
      </c>
      <c r="IX101">
        <v>2.408</v>
      </c>
      <c r="IY101">
        <v>0.4352</v>
      </c>
      <c r="IZ101">
        <v>0.833350075594679</v>
      </c>
      <c r="JA101">
        <v>0.00412825224050377</v>
      </c>
      <c r="JB101">
        <v>-7.34426573386615e-07</v>
      </c>
      <c r="JC101">
        <v>2.46800082545482e-10</v>
      </c>
      <c r="JD101">
        <v>0.435209846415365</v>
      </c>
      <c r="JE101">
        <v>0</v>
      </c>
      <c r="JF101">
        <v>0</v>
      </c>
      <c r="JG101">
        <v>0</v>
      </c>
      <c r="JH101">
        <v>5</v>
      </c>
      <c r="JI101">
        <v>2250</v>
      </c>
      <c r="JJ101">
        <v>0</v>
      </c>
      <c r="JK101">
        <v>24</v>
      </c>
      <c r="JL101">
        <v>29348641.8</v>
      </c>
      <c r="JM101">
        <v>29348641.8</v>
      </c>
      <c r="JN101">
        <v>1.01807</v>
      </c>
      <c r="JO101">
        <v>2.6355</v>
      </c>
      <c r="JP101">
        <v>1.54785</v>
      </c>
      <c r="JQ101">
        <v>2.31689</v>
      </c>
      <c r="JR101">
        <v>1.64673</v>
      </c>
      <c r="JS101">
        <v>2.38037</v>
      </c>
      <c r="JT101">
        <v>34.1225</v>
      </c>
      <c r="JU101">
        <v>24.1838</v>
      </c>
      <c r="JV101">
        <v>18</v>
      </c>
      <c r="JW101">
        <v>498.42</v>
      </c>
      <c r="JX101">
        <v>397.905</v>
      </c>
      <c r="JY101">
        <v>50.9322</v>
      </c>
      <c r="JZ101">
        <v>52.496</v>
      </c>
      <c r="KA101">
        <v>29.9941</v>
      </c>
      <c r="KB101">
        <v>52.654</v>
      </c>
      <c r="KC101">
        <v>52.5097</v>
      </c>
      <c r="KD101">
        <v>20.4135</v>
      </c>
      <c r="KE101">
        <v>0</v>
      </c>
      <c r="KF101">
        <v>100</v>
      </c>
      <c r="KG101">
        <v>50.9938</v>
      </c>
      <c r="KH101">
        <v>420</v>
      </c>
      <c r="KI101">
        <v>30.6849</v>
      </c>
      <c r="KJ101">
        <v>93.1928</v>
      </c>
      <c r="KK101">
        <v>89.9546</v>
      </c>
    </row>
    <row r="102" spans="1:297">
      <c r="A102">
        <v>86</v>
      </c>
      <c r="B102">
        <v>1760918620.1</v>
      </c>
      <c r="C102">
        <v>24856</v>
      </c>
      <c r="D102" t="s">
        <v>800</v>
      </c>
      <c r="E102" t="s">
        <v>801</v>
      </c>
      <c r="F102">
        <v>5</v>
      </c>
      <c r="G102" t="s">
        <v>560</v>
      </c>
      <c r="H102" t="s">
        <v>436</v>
      </c>
      <c r="I102">
        <v>1760918611.6</v>
      </c>
      <c r="J102">
        <f>(K102)/1000</f>
        <v>0</v>
      </c>
      <c r="K102">
        <f>IF(DP102, AN102, AH102)</f>
        <v>0</v>
      </c>
      <c r="L102">
        <f>IF(DP102, AI102, AG102)</f>
        <v>0</v>
      </c>
      <c r="M102">
        <f>DR102 - IF(AU102&gt;1, L102*DL102*100.0/(AW102), 0)</f>
        <v>0</v>
      </c>
      <c r="N102">
        <f>((T102-J102/2)*M102-L102)/(T102+J102/2)</f>
        <v>0</v>
      </c>
      <c r="O102">
        <f>N102*(DY102+DZ102)/1000.0</f>
        <v>0</v>
      </c>
      <c r="P102">
        <f>(DR102 - IF(AU102&gt;1, L102*DL102*100.0/(AW102), 0))*(DY102+DZ102)/1000.0</f>
        <v>0</v>
      </c>
      <c r="Q102">
        <f>2.0/((1/S102-1/R102)+SIGN(S102)*SQRT((1/S102-1/R102)*(1/S102-1/R102) + 4*DM102/((DM102+1)*(DM102+1))*(2*1/S102*1/R102-1/R102*1/R102)))</f>
        <v>0</v>
      </c>
      <c r="R102">
        <f>IF(LEFT(DN102,1)&lt;&gt;"0",IF(LEFT(DN102,1)="1",3.0,DO102),$D$5+$E$5*(EF102*DY102/($K$5*1000))+$F$5*(EF102*DY102/($K$5*1000))*MAX(MIN(DL102,$J$5),$I$5)*MAX(MIN(DL102,$J$5),$I$5)+$G$5*MAX(MIN(DL102,$J$5),$I$5)*(EF102*DY102/($K$5*1000))+$H$5*(EF102*DY102/($K$5*1000))*(EF102*DY102/($K$5*1000)))</f>
        <v>0</v>
      </c>
      <c r="S102">
        <f>J102*(1000-(1000*0.61365*exp(17.502*W102/(240.97+W102))/(DY102+DZ102)+DT102)/2)/(1000*0.61365*exp(17.502*W102/(240.97+W102))/(DY102+DZ102)-DT102)</f>
        <v>0</v>
      </c>
      <c r="T102">
        <f>1/((DM102+1)/(Q102/1.6)+1/(R102/1.37)) + DM102/((DM102+1)/(Q102/1.6) + DM102/(R102/1.37))</f>
        <v>0</v>
      </c>
      <c r="U102">
        <f>(DH102*DK102)</f>
        <v>0</v>
      </c>
      <c r="V102">
        <f>(EA102+(U102+2*0.95*5.67E-8*(((EA102+$B$7)+273)^4-(EA102+273)^4)-44100*J102)/(1.84*29.3*R102+8*0.95*5.67E-8*(EA102+273)^3))</f>
        <v>0</v>
      </c>
      <c r="W102">
        <f>($C$7*EB102+$D$7*EC102+$E$7*V102)</f>
        <v>0</v>
      </c>
      <c r="X102">
        <f>0.61365*exp(17.502*W102/(240.97+W102))</f>
        <v>0</v>
      </c>
      <c r="Y102">
        <f>(Z102/AA102*100)</f>
        <v>0</v>
      </c>
      <c r="Z102">
        <f>DT102*(DY102+DZ102)/1000</f>
        <v>0</v>
      </c>
      <c r="AA102">
        <f>0.61365*exp(17.502*EA102/(240.97+EA102))</f>
        <v>0</v>
      </c>
      <c r="AB102">
        <f>(X102-DT102*(DY102+DZ102)/1000)</f>
        <v>0</v>
      </c>
      <c r="AC102">
        <f>(-J102*44100)</f>
        <v>0</v>
      </c>
      <c r="AD102">
        <f>2*29.3*R102*0.92*(EA102-W102)</f>
        <v>0</v>
      </c>
      <c r="AE102">
        <f>2*0.95*5.67E-8*(((EA102+$B$7)+273)^4-(W102+273)^4)</f>
        <v>0</v>
      </c>
      <c r="AF102">
        <f>U102+AE102+AC102+AD102</f>
        <v>0</v>
      </c>
      <c r="AG102">
        <f>DX102*AU102*(DS102-DR102*(1000-AU102*DU102)/(1000-AU102*DT102))/(100*DL102)</f>
        <v>0</v>
      </c>
      <c r="AH102">
        <f>1000*DX102*AU102*(DT102-DU102)/(100*DL102*(1000-AU102*DT102))</f>
        <v>0</v>
      </c>
      <c r="AI102">
        <f>(AJ102 - AK102 - DY102*1E3/(8.314*(EA102+273.15)) * AM102/DX102 * AL102) * DX102/(100*DL102) * (1000 - DU102)/1000</f>
        <v>0</v>
      </c>
      <c r="AJ102">
        <v>430.497350445976</v>
      </c>
      <c r="AK102">
        <v>427.78243030303</v>
      </c>
      <c r="AL102">
        <v>6.51239201940362e-05</v>
      </c>
      <c r="AM102">
        <v>65.582932055931</v>
      </c>
      <c r="AN102">
        <f>(AP102 - AO102 + DY102*1E3/(8.314*(EA102+273.15)) * AR102/DX102 * AQ102) * DX102/(100*DL102) * 1000/(1000 - AP102)</f>
        <v>0</v>
      </c>
      <c r="AO102">
        <v>24.3653921623188</v>
      </c>
      <c r="AP102">
        <v>44.1019781818182</v>
      </c>
      <c r="AQ102">
        <v>0.00121658474257121</v>
      </c>
      <c r="AR102">
        <v>114.066769039123</v>
      </c>
      <c r="AS102">
        <v>0</v>
      </c>
      <c r="AT102">
        <v>0</v>
      </c>
      <c r="AU102">
        <f>IF(AS102*$H$13&gt;=AW102,1.0,(AW102/(AW102-AS102*$H$13)))</f>
        <v>0</v>
      </c>
      <c r="AV102">
        <f>(AU102-1)*100</f>
        <v>0</v>
      </c>
      <c r="AW102">
        <f>MAX(0,($B$13+$C$13*EF102)/(1+$D$13*EF102)*DY102/(EA102+273)*$E$13)</f>
        <v>0</v>
      </c>
      <c r="AX102" t="s">
        <v>437</v>
      </c>
      <c r="AY102">
        <v>5082.33</v>
      </c>
      <c r="AZ102">
        <v>690.032</v>
      </c>
      <c r="BA102">
        <v>1612.68</v>
      </c>
      <c r="BB102">
        <f>1-AZ102/BA102</f>
        <v>0</v>
      </c>
      <c r="BC102">
        <v>-9.7270689171713</v>
      </c>
      <c r="BD102" t="s">
        <v>802</v>
      </c>
      <c r="BE102">
        <v>5106.21</v>
      </c>
      <c r="BF102">
        <v>784.460038461538</v>
      </c>
      <c r="BG102">
        <v>897.02586642909</v>
      </c>
      <c r="BH102">
        <f>1-BF102/BG102</f>
        <v>0</v>
      </c>
      <c r="BI102">
        <v>0.5</v>
      </c>
      <c r="BJ102">
        <f>DI102</f>
        <v>0</v>
      </c>
      <c r="BK102">
        <f>L102</f>
        <v>0</v>
      </c>
      <c r="BL102">
        <f>BH102*BI102*BJ102</f>
        <v>0</v>
      </c>
      <c r="BM102">
        <f>(BK102-BC102)/BJ102</f>
        <v>0</v>
      </c>
      <c r="BN102">
        <f>(BA102-BG102)/BG102</f>
        <v>0</v>
      </c>
      <c r="BO102">
        <f>AZ102/(BB102+AZ102/BG102)</f>
        <v>0</v>
      </c>
      <c r="BP102" t="s">
        <v>803</v>
      </c>
      <c r="BQ102">
        <v>670.6</v>
      </c>
      <c r="BR102">
        <f>IF(BQ102&lt;&gt;0, BQ102, BO102)</f>
        <v>0</v>
      </c>
      <c r="BS102">
        <f>1-BR102/BG102</f>
        <v>0</v>
      </c>
      <c r="BT102">
        <f>(BG102-BF102)/(BG102-BR102)</f>
        <v>0</v>
      </c>
      <c r="BU102">
        <f>(BA102-BG102)/(BA102-BR102)</f>
        <v>0</v>
      </c>
      <c r="BV102">
        <f>(BG102-BF102)/(BG102-AZ102)</f>
        <v>0</v>
      </c>
      <c r="BW102">
        <f>(BA102-BG102)/(BA102-AZ102)</f>
        <v>0</v>
      </c>
      <c r="BX102">
        <f>(BT102*BR102/BF102)</f>
        <v>0</v>
      </c>
      <c r="BY102">
        <f>(1-BX102)</f>
        <v>0</v>
      </c>
      <c r="BZ102">
        <v>264</v>
      </c>
      <c r="CA102">
        <v>290</v>
      </c>
      <c r="CB102">
        <v>859.3</v>
      </c>
      <c r="CC102">
        <v>195</v>
      </c>
      <c r="CD102">
        <v>5106.21</v>
      </c>
      <c r="CE102">
        <v>859.01</v>
      </c>
      <c r="CF102">
        <v>0.29</v>
      </c>
      <c r="CG102">
        <v>300</v>
      </c>
      <c r="CH102">
        <v>23.9</v>
      </c>
      <c r="CI102">
        <v>897.02586642909</v>
      </c>
      <c r="CJ102">
        <v>1.49635964426848</v>
      </c>
      <c r="CK102">
        <v>-19.4098898755226</v>
      </c>
      <c r="CL102">
        <v>0.687248964474683</v>
      </c>
      <c r="CM102">
        <v>0.966087746456368</v>
      </c>
      <c r="CN102">
        <v>-0.00322070033370411</v>
      </c>
      <c r="CO102">
        <v>290</v>
      </c>
      <c r="CP102">
        <v>857.01</v>
      </c>
      <c r="CQ102">
        <v>645</v>
      </c>
      <c r="CR102">
        <v>5102.07</v>
      </c>
      <c r="CS102">
        <v>858.98</v>
      </c>
      <c r="CT102">
        <v>-1.97</v>
      </c>
      <c r="DH102">
        <f>$B$11*EG102+$C$11*EH102+$F$11*ES102*(1-EV102)</f>
        <v>0</v>
      </c>
      <c r="DI102">
        <f>DH102*DJ102</f>
        <v>0</v>
      </c>
      <c r="DJ102">
        <f>($B$11*$D$9+$C$11*$D$9+$F$11*((FF102+EX102)/MAX(FF102+EX102+FG102, 0.1)*$I$9+FG102/MAX(FF102+EX102+FG102, 0.1)*$J$9))/($B$11+$C$11+$F$11)</f>
        <v>0</v>
      </c>
      <c r="DK102">
        <f>($B$11*$K$9+$C$11*$K$9+$F$11*((FF102+EX102)/MAX(FF102+EX102+FG102, 0.1)*$P$9+FG102/MAX(FF102+EX102+FG102, 0.1)*$Q$9))/($B$11+$C$11+$F$11)</f>
        <v>0</v>
      </c>
      <c r="DL102">
        <v>3.21</v>
      </c>
      <c r="DM102">
        <v>0.5</v>
      </c>
      <c r="DN102" t="s">
        <v>440</v>
      </c>
      <c r="DO102">
        <v>2</v>
      </c>
      <c r="DP102" t="b">
        <v>1</v>
      </c>
      <c r="DQ102">
        <v>1760918611.6</v>
      </c>
      <c r="DR102">
        <v>408.9219375</v>
      </c>
      <c r="DS102">
        <v>420.0019375</v>
      </c>
      <c r="DT102">
        <v>44.08451875</v>
      </c>
      <c r="DU102">
        <v>24.37030625</v>
      </c>
      <c r="DV102">
        <v>406.515125</v>
      </c>
      <c r="DW102">
        <v>43.6493</v>
      </c>
      <c r="DX102">
        <v>500.0115</v>
      </c>
      <c r="DY102">
        <v>90.55361875</v>
      </c>
      <c r="DZ102">
        <v>0.0384722625</v>
      </c>
      <c r="EA102">
        <v>50.67035625</v>
      </c>
      <c r="EB102">
        <v>47.957475</v>
      </c>
      <c r="EC102">
        <v>999.9</v>
      </c>
      <c r="ED102">
        <v>0</v>
      </c>
      <c r="EE102">
        <v>0</v>
      </c>
      <c r="EF102">
        <v>10017.536875</v>
      </c>
      <c r="EG102">
        <v>0</v>
      </c>
      <c r="EH102">
        <v>1166.22125</v>
      </c>
      <c r="EI102">
        <v>-11.07995625</v>
      </c>
      <c r="EJ102">
        <v>427.7805</v>
      </c>
      <c r="EK102">
        <v>430.493125</v>
      </c>
      <c r="EL102">
        <v>19.71423125</v>
      </c>
      <c r="EM102">
        <v>420.0019375</v>
      </c>
      <c r="EN102">
        <v>24.37030625</v>
      </c>
      <c r="EO102">
        <v>3.992014375</v>
      </c>
      <c r="EP102">
        <v>2.206819375</v>
      </c>
      <c r="EQ102">
        <v>28.8717125</v>
      </c>
      <c r="ER102">
        <v>19.01190625</v>
      </c>
      <c r="ES102">
        <v>1200.00125</v>
      </c>
      <c r="ET102">
        <v>0.967001125</v>
      </c>
      <c r="EU102">
        <v>0.03299860625</v>
      </c>
      <c r="EV102">
        <v>0</v>
      </c>
      <c r="EW102">
        <v>784.28875</v>
      </c>
      <c r="EX102">
        <v>5.00059</v>
      </c>
      <c r="EY102">
        <v>10235.8625</v>
      </c>
      <c r="EZ102">
        <v>10358.7375</v>
      </c>
      <c r="FA102">
        <v>59.54275</v>
      </c>
      <c r="FB102">
        <v>61.199</v>
      </c>
      <c r="FC102">
        <v>59.8746875</v>
      </c>
      <c r="FD102">
        <v>60.3513125</v>
      </c>
      <c r="FE102">
        <v>61.1481875</v>
      </c>
      <c r="FF102">
        <v>1155.566875</v>
      </c>
      <c r="FG102">
        <v>39.43125</v>
      </c>
      <c r="FH102">
        <v>0</v>
      </c>
      <c r="FI102">
        <v>108.799999952316</v>
      </c>
      <c r="FJ102">
        <v>0</v>
      </c>
      <c r="FK102">
        <v>784.460038461538</v>
      </c>
      <c r="FL102">
        <v>6.49644443888184</v>
      </c>
      <c r="FM102">
        <v>14.4820512426137</v>
      </c>
      <c r="FN102">
        <v>10236.1230769231</v>
      </c>
      <c r="FO102">
        <v>15</v>
      </c>
      <c r="FP102">
        <v>0</v>
      </c>
      <c r="FQ102" t="s">
        <v>441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-11.061555</v>
      </c>
      <c r="GD102">
        <v>-0.31838345864664</v>
      </c>
      <c r="GE102">
        <v>0.046186280159805</v>
      </c>
      <c r="GF102">
        <v>1</v>
      </c>
      <c r="GG102">
        <v>783.918852941177</v>
      </c>
      <c r="GH102">
        <v>6.34519480584602</v>
      </c>
      <c r="GI102">
        <v>0.644907204102351</v>
      </c>
      <c r="GJ102">
        <v>-1</v>
      </c>
      <c r="GK102">
        <v>19.701105</v>
      </c>
      <c r="GL102">
        <v>0.21997443609023</v>
      </c>
      <c r="GM102">
        <v>0.0224453887246358</v>
      </c>
      <c r="GN102">
        <v>0</v>
      </c>
      <c r="GO102">
        <v>1</v>
      </c>
      <c r="GP102">
        <v>2</v>
      </c>
      <c r="GQ102" t="s">
        <v>454</v>
      </c>
      <c r="GR102">
        <v>3.12718</v>
      </c>
      <c r="GS102">
        <v>2.71629</v>
      </c>
      <c r="GT102">
        <v>0.0829305</v>
      </c>
      <c r="GU102">
        <v>0.0850843</v>
      </c>
      <c r="GV102">
        <v>0.15042</v>
      </c>
      <c r="GW102">
        <v>0.099583</v>
      </c>
      <c r="GX102">
        <v>33143.4</v>
      </c>
      <c r="GY102">
        <v>35035.4</v>
      </c>
      <c r="GZ102">
        <v>32815.8</v>
      </c>
      <c r="HA102">
        <v>34790.6</v>
      </c>
      <c r="HB102">
        <v>39860.3</v>
      </c>
      <c r="HC102">
        <v>45146.4</v>
      </c>
      <c r="HD102">
        <v>51524.4</v>
      </c>
      <c r="HE102">
        <v>55775.1</v>
      </c>
      <c r="HF102">
        <v>1.70912</v>
      </c>
      <c r="HG102">
        <v>1.5714</v>
      </c>
      <c r="HH102">
        <v>0.067316</v>
      </c>
      <c r="HI102">
        <v>0</v>
      </c>
      <c r="HJ102">
        <v>46.872</v>
      </c>
      <c r="HK102">
        <v>999.9</v>
      </c>
      <c r="HL102">
        <v>54.249</v>
      </c>
      <c r="HM102">
        <v>30.172</v>
      </c>
      <c r="HN102">
        <v>25.7739</v>
      </c>
      <c r="HO102">
        <v>60.019</v>
      </c>
      <c r="HP102">
        <v>40.8133</v>
      </c>
      <c r="HQ102">
        <v>1</v>
      </c>
      <c r="HR102">
        <v>1.99777</v>
      </c>
      <c r="HS102">
        <v>-1.89474</v>
      </c>
      <c r="HT102">
        <v>20.1115</v>
      </c>
      <c r="HU102">
        <v>5.18959</v>
      </c>
      <c r="HV102">
        <v>12.0159</v>
      </c>
      <c r="HW102">
        <v>4.97045</v>
      </c>
      <c r="HX102">
        <v>3.29548</v>
      </c>
      <c r="HY102">
        <v>9999</v>
      </c>
      <c r="HZ102">
        <v>999.9</v>
      </c>
      <c r="IA102">
        <v>9999</v>
      </c>
      <c r="IB102">
        <v>9999</v>
      </c>
      <c r="IC102">
        <v>1.86325</v>
      </c>
      <c r="ID102">
        <v>1.86801</v>
      </c>
      <c r="IE102">
        <v>1.86783</v>
      </c>
      <c r="IF102">
        <v>1.86905</v>
      </c>
      <c r="IG102">
        <v>1.86981</v>
      </c>
      <c r="IH102">
        <v>1.86584</v>
      </c>
      <c r="II102">
        <v>1.86692</v>
      </c>
      <c r="IJ102">
        <v>1.86836</v>
      </c>
      <c r="IK102">
        <v>5</v>
      </c>
      <c r="IL102">
        <v>0</v>
      </c>
      <c r="IM102">
        <v>0</v>
      </c>
      <c r="IN102">
        <v>0</v>
      </c>
      <c r="IO102" t="s">
        <v>443</v>
      </c>
      <c r="IP102" t="s">
        <v>444</v>
      </c>
      <c r="IQ102" t="s">
        <v>445</v>
      </c>
      <c r="IR102" t="s">
        <v>445</v>
      </c>
      <c r="IS102" t="s">
        <v>445</v>
      </c>
      <c r="IT102" t="s">
        <v>445</v>
      </c>
      <c r="IU102">
        <v>0</v>
      </c>
      <c r="IV102">
        <v>100</v>
      </c>
      <c r="IW102">
        <v>100</v>
      </c>
      <c r="IX102">
        <v>2.407</v>
      </c>
      <c r="IY102">
        <v>0.4352</v>
      </c>
      <c r="IZ102">
        <v>0.833350075594679</v>
      </c>
      <c r="JA102">
        <v>0.00412825224050377</v>
      </c>
      <c r="JB102">
        <v>-7.34426573386615e-07</v>
      </c>
      <c r="JC102">
        <v>2.46800082545482e-10</v>
      </c>
      <c r="JD102">
        <v>0.435209846415365</v>
      </c>
      <c r="JE102">
        <v>0</v>
      </c>
      <c r="JF102">
        <v>0</v>
      </c>
      <c r="JG102">
        <v>0</v>
      </c>
      <c r="JH102">
        <v>5</v>
      </c>
      <c r="JI102">
        <v>2250</v>
      </c>
      <c r="JJ102">
        <v>0</v>
      </c>
      <c r="JK102">
        <v>24</v>
      </c>
      <c r="JL102">
        <v>29348643.7</v>
      </c>
      <c r="JM102">
        <v>29348643.7</v>
      </c>
      <c r="JN102">
        <v>1.01807</v>
      </c>
      <c r="JO102">
        <v>2.63428</v>
      </c>
      <c r="JP102">
        <v>1.54785</v>
      </c>
      <c r="JQ102">
        <v>2.31567</v>
      </c>
      <c r="JR102">
        <v>1.64551</v>
      </c>
      <c r="JS102">
        <v>2.39746</v>
      </c>
      <c r="JT102">
        <v>34.0545</v>
      </c>
      <c r="JU102">
        <v>24.1926</v>
      </c>
      <c r="JV102">
        <v>18</v>
      </c>
      <c r="JW102">
        <v>501.265</v>
      </c>
      <c r="JX102">
        <v>400.475</v>
      </c>
      <c r="JY102">
        <v>51.552</v>
      </c>
      <c r="JZ102">
        <v>51.0651</v>
      </c>
      <c r="KA102">
        <v>29.9945</v>
      </c>
      <c r="KB102">
        <v>51.2505</v>
      </c>
      <c r="KC102">
        <v>51.1155</v>
      </c>
      <c r="KD102">
        <v>20.4092</v>
      </c>
      <c r="KE102">
        <v>0</v>
      </c>
      <c r="KF102">
        <v>100</v>
      </c>
      <c r="KG102">
        <v>51.5776</v>
      </c>
      <c r="KH102">
        <v>420</v>
      </c>
      <c r="KI102">
        <v>42.4948</v>
      </c>
      <c r="KJ102">
        <v>93.4248</v>
      </c>
      <c r="KK102">
        <v>90.2607</v>
      </c>
    </row>
    <row r="103" spans="1:297">
      <c r="A103">
        <v>87</v>
      </c>
      <c r="B103">
        <v>1760918873.1</v>
      </c>
      <c r="C103">
        <v>25109</v>
      </c>
      <c r="D103" t="s">
        <v>804</v>
      </c>
      <c r="E103" t="s">
        <v>805</v>
      </c>
      <c r="F103">
        <v>5</v>
      </c>
      <c r="G103" t="s">
        <v>560</v>
      </c>
      <c r="H103" t="s">
        <v>436</v>
      </c>
      <c r="I103">
        <v>1760918864.6</v>
      </c>
      <c r="J103">
        <f>(K103)/1000</f>
        <v>0</v>
      </c>
      <c r="K103">
        <f>IF(DP103, AN103, AH103)</f>
        <v>0</v>
      </c>
      <c r="L103">
        <f>IF(DP103, AI103, AG103)</f>
        <v>0</v>
      </c>
      <c r="M103">
        <f>DR103 - IF(AU103&gt;1, L103*DL103*100.0/(AW103), 0)</f>
        <v>0</v>
      </c>
      <c r="N103">
        <f>((T103-J103/2)*M103-L103)/(T103+J103/2)</f>
        <v>0</v>
      </c>
      <c r="O103">
        <f>N103*(DY103+DZ103)/1000.0</f>
        <v>0</v>
      </c>
      <c r="P103">
        <f>(DR103 - IF(AU103&gt;1, L103*DL103*100.0/(AW103), 0))*(DY103+DZ103)/1000.0</f>
        <v>0</v>
      </c>
      <c r="Q103">
        <f>2.0/((1/S103-1/R103)+SIGN(S103)*SQRT((1/S103-1/R103)*(1/S103-1/R103) + 4*DM103/((DM103+1)*(DM103+1))*(2*1/S103*1/R103-1/R103*1/R103)))</f>
        <v>0</v>
      </c>
      <c r="R103">
        <f>IF(LEFT(DN103,1)&lt;&gt;"0",IF(LEFT(DN103,1)="1",3.0,DO103),$D$5+$E$5*(EF103*DY103/($K$5*1000))+$F$5*(EF103*DY103/($K$5*1000))*MAX(MIN(DL103,$J$5),$I$5)*MAX(MIN(DL103,$J$5),$I$5)+$G$5*MAX(MIN(DL103,$J$5),$I$5)*(EF103*DY103/($K$5*1000))+$H$5*(EF103*DY103/($K$5*1000))*(EF103*DY103/($K$5*1000)))</f>
        <v>0</v>
      </c>
      <c r="S103">
        <f>J103*(1000-(1000*0.61365*exp(17.502*W103/(240.97+W103))/(DY103+DZ103)+DT103)/2)/(1000*0.61365*exp(17.502*W103/(240.97+W103))/(DY103+DZ103)-DT103)</f>
        <v>0</v>
      </c>
      <c r="T103">
        <f>1/((DM103+1)/(Q103/1.6)+1/(R103/1.37)) + DM103/((DM103+1)/(Q103/1.6) + DM103/(R103/1.37))</f>
        <v>0</v>
      </c>
      <c r="U103">
        <f>(DH103*DK103)</f>
        <v>0</v>
      </c>
      <c r="V103">
        <f>(EA103+(U103+2*0.95*5.67E-8*(((EA103+$B$7)+273)^4-(EA103+273)^4)-44100*J103)/(1.84*29.3*R103+8*0.95*5.67E-8*(EA103+273)^3))</f>
        <v>0</v>
      </c>
      <c r="W103">
        <f>($C$7*EB103+$D$7*EC103+$E$7*V103)</f>
        <v>0</v>
      </c>
      <c r="X103">
        <f>0.61365*exp(17.502*W103/(240.97+W103))</f>
        <v>0</v>
      </c>
      <c r="Y103">
        <f>(Z103/AA103*100)</f>
        <v>0</v>
      </c>
      <c r="Z103">
        <f>DT103*(DY103+DZ103)/1000</f>
        <v>0</v>
      </c>
      <c r="AA103">
        <f>0.61365*exp(17.502*EA103/(240.97+EA103))</f>
        <v>0</v>
      </c>
      <c r="AB103">
        <f>(X103-DT103*(DY103+DZ103)/1000)</f>
        <v>0</v>
      </c>
      <c r="AC103">
        <f>(-J103*44100)</f>
        <v>0</v>
      </c>
      <c r="AD103">
        <f>2*29.3*R103*0.92*(EA103-W103)</f>
        <v>0</v>
      </c>
      <c r="AE103">
        <f>2*0.95*5.67E-8*(((EA103+$B$7)+273)^4-(W103+273)^4)</f>
        <v>0</v>
      </c>
      <c r="AF103">
        <f>U103+AE103+AC103+AD103</f>
        <v>0</v>
      </c>
      <c r="AG103">
        <f>DX103*AU103*(DS103-DR103*(1000-AU103*DU103)/(1000-AU103*DT103))/(100*DL103)</f>
        <v>0</v>
      </c>
      <c r="AH103">
        <f>1000*DX103*AU103*(DT103-DU103)/(100*DL103*(1000-AU103*DT103))</f>
        <v>0</v>
      </c>
      <c r="AI103">
        <f>(AJ103 - AK103 - DY103*1E3/(8.314*(EA103+273.15)) * AM103/DX103 * AL103) * DX103/(100*DL103) * (1000 - DU103)/1000</f>
        <v>0</v>
      </c>
      <c r="AJ103">
        <v>430.352238982252</v>
      </c>
      <c r="AK103">
        <v>427.321715151515</v>
      </c>
      <c r="AL103">
        <v>0.000412763482966517</v>
      </c>
      <c r="AM103">
        <v>65.582932055931</v>
      </c>
      <c r="AN103">
        <f>(AP103 - AO103 + DY103*1E3/(8.314*(EA103+273.15)) * AR103/DX103 * AQ103) * DX103/(100*DL103) * 1000/(1000 - AP103)</f>
        <v>0</v>
      </c>
      <c r="AO103">
        <v>24.2098394833617</v>
      </c>
      <c r="AP103">
        <v>44.7441436363636</v>
      </c>
      <c r="AQ103">
        <v>-0.00362866450374605</v>
      </c>
      <c r="AR103">
        <v>114.066769039123</v>
      </c>
      <c r="AS103">
        <v>0</v>
      </c>
      <c r="AT103">
        <v>0</v>
      </c>
      <c r="AU103">
        <f>IF(AS103*$H$13&gt;=AW103,1.0,(AW103/(AW103-AS103*$H$13)))</f>
        <v>0</v>
      </c>
      <c r="AV103">
        <f>(AU103-1)*100</f>
        <v>0</v>
      </c>
      <c r="AW103">
        <f>MAX(0,($B$13+$C$13*EF103)/(1+$D$13*EF103)*DY103/(EA103+273)*$E$13)</f>
        <v>0</v>
      </c>
      <c r="AX103" t="s">
        <v>437</v>
      </c>
      <c r="AY103">
        <v>5082.33</v>
      </c>
      <c r="AZ103">
        <v>690.032</v>
      </c>
      <c r="BA103">
        <v>1612.68</v>
      </c>
      <c r="BB103">
        <f>1-AZ103/BA103</f>
        <v>0</v>
      </c>
      <c r="BC103">
        <v>-9.7270689171713</v>
      </c>
      <c r="BD103" t="s">
        <v>806</v>
      </c>
      <c r="BE103">
        <v>5106.11</v>
      </c>
      <c r="BF103">
        <v>806.67632</v>
      </c>
      <c r="BG103">
        <v>925.597104379821</v>
      </c>
      <c r="BH103">
        <f>1-BF103/BG103</f>
        <v>0</v>
      </c>
      <c r="BI103">
        <v>0.5</v>
      </c>
      <c r="BJ103">
        <f>DI103</f>
        <v>0</v>
      </c>
      <c r="BK103">
        <f>L103</f>
        <v>0</v>
      </c>
      <c r="BL103">
        <f>BH103*BI103*BJ103</f>
        <v>0</v>
      </c>
      <c r="BM103">
        <f>(BK103-BC103)/BJ103</f>
        <v>0</v>
      </c>
      <c r="BN103">
        <f>(BA103-BG103)/BG103</f>
        <v>0</v>
      </c>
      <c r="BO103">
        <f>AZ103/(BB103+AZ103/BG103)</f>
        <v>0</v>
      </c>
      <c r="BP103" t="s">
        <v>807</v>
      </c>
      <c r="BQ103">
        <v>673.4</v>
      </c>
      <c r="BR103">
        <f>IF(BQ103&lt;&gt;0, BQ103, BO103)</f>
        <v>0</v>
      </c>
      <c r="BS103">
        <f>1-BR103/BG103</f>
        <v>0</v>
      </c>
      <c r="BT103">
        <f>(BG103-BF103)/(BG103-BR103)</f>
        <v>0</v>
      </c>
      <c r="BU103">
        <f>(BA103-BG103)/(BA103-BR103)</f>
        <v>0</v>
      </c>
      <c r="BV103">
        <f>(BG103-BF103)/(BG103-AZ103)</f>
        <v>0</v>
      </c>
      <c r="BW103">
        <f>(BA103-BG103)/(BA103-AZ103)</f>
        <v>0</v>
      </c>
      <c r="BX103">
        <f>(BT103*BR103/BF103)</f>
        <v>0</v>
      </c>
      <c r="BY103">
        <f>(1-BX103)</f>
        <v>0</v>
      </c>
      <c r="BZ103">
        <v>266</v>
      </c>
      <c r="CA103">
        <v>290</v>
      </c>
      <c r="CB103">
        <v>884.59</v>
      </c>
      <c r="CC103">
        <v>255</v>
      </c>
      <c r="CD103">
        <v>5106.11</v>
      </c>
      <c r="CE103">
        <v>884.28</v>
      </c>
      <c r="CF103">
        <v>0.31</v>
      </c>
      <c r="CG103">
        <v>300</v>
      </c>
      <c r="CH103">
        <v>23.9</v>
      </c>
      <c r="CI103">
        <v>925.597104379821</v>
      </c>
      <c r="CJ103">
        <v>1.74441692387619</v>
      </c>
      <c r="CK103">
        <v>-21.09898465603</v>
      </c>
      <c r="CL103">
        <v>0.801384340786369</v>
      </c>
      <c r="CM103">
        <v>0.961174344830258</v>
      </c>
      <c r="CN103">
        <v>-0.00322145539488321</v>
      </c>
      <c r="CO103">
        <v>290</v>
      </c>
      <c r="CP103">
        <v>882.49</v>
      </c>
      <c r="CQ103">
        <v>675</v>
      </c>
      <c r="CR103">
        <v>5103.02</v>
      </c>
      <c r="CS103">
        <v>884.25</v>
      </c>
      <c r="CT103">
        <v>-1.76</v>
      </c>
      <c r="DH103">
        <f>$B$11*EG103+$C$11*EH103+$F$11*ES103*(1-EV103)</f>
        <v>0</v>
      </c>
      <c r="DI103">
        <f>DH103*DJ103</f>
        <v>0</v>
      </c>
      <c r="DJ103">
        <f>($B$11*$D$9+$C$11*$D$9+$F$11*((FF103+EX103)/MAX(FF103+EX103+FG103, 0.1)*$I$9+FG103/MAX(FF103+EX103+FG103, 0.1)*$J$9))/($B$11+$C$11+$F$11)</f>
        <v>0</v>
      </c>
      <c r="DK103">
        <f>($B$11*$K$9+$C$11*$K$9+$F$11*((FF103+EX103)/MAX(FF103+EX103+FG103, 0.1)*$P$9+FG103/MAX(FF103+EX103+FG103, 0.1)*$Q$9))/($B$11+$C$11+$F$11)</f>
        <v>0</v>
      </c>
      <c r="DL103">
        <v>3.21</v>
      </c>
      <c r="DM103">
        <v>0.5</v>
      </c>
      <c r="DN103" t="s">
        <v>440</v>
      </c>
      <c r="DO103">
        <v>2</v>
      </c>
      <c r="DP103" t="b">
        <v>1</v>
      </c>
      <c r="DQ103">
        <v>1760918864.6</v>
      </c>
      <c r="DR103">
        <v>408.196875</v>
      </c>
      <c r="DS103">
        <v>419.9546875</v>
      </c>
      <c r="DT103">
        <v>44.7709125</v>
      </c>
      <c r="DU103">
        <v>24.215075</v>
      </c>
      <c r="DV103">
        <v>405.792875</v>
      </c>
      <c r="DW103">
        <v>44.3357125</v>
      </c>
      <c r="DX103">
        <v>500.01075</v>
      </c>
      <c r="DY103">
        <v>90.55445625</v>
      </c>
      <c r="DZ103">
        <v>0.0374992375</v>
      </c>
      <c r="EA103">
        <v>50.53445</v>
      </c>
      <c r="EB103">
        <v>47.86931875</v>
      </c>
      <c r="EC103">
        <v>999.9</v>
      </c>
      <c r="ED103">
        <v>0</v>
      </c>
      <c r="EE103">
        <v>0</v>
      </c>
      <c r="EF103">
        <v>10006.90125</v>
      </c>
      <c r="EG103">
        <v>0</v>
      </c>
      <c r="EH103">
        <v>1137.715</v>
      </c>
      <c r="EI103">
        <v>-11.75776875</v>
      </c>
      <c r="EJ103">
        <v>427.3288125</v>
      </c>
      <c r="EK103">
        <v>430.3763125</v>
      </c>
      <c r="EL103">
        <v>20.55583125</v>
      </c>
      <c r="EM103">
        <v>419.9546875</v>
      </c>
      <c r="EN103">
        <v>24.215075</v>
      </c>
      <c r="EO103">
        <v>4.054205625</v>
      </c>
      <c r="EP103">
        <v>2.1927825</v>
      </c>
      <c r="EQ103">
        <v>29.1388625</v>
      </c>
      <c r="ER103">
        <v>18.909675</v>
      </c>
      <c r="ES103">
        <v>1200.015</v>
      </c>
      <c r="ET103">
        <v>0.9669935</v>
      </c>
      <c r="EU103">
        <v>0.03300661875</v>
      </c>
      <c r="EV103">
        <v>0</v>
      </c>
      <c r="EW103">
        <v>806.5168125</v>
      </c>
      <c r="EX103">
        <v>5.00059</v>
      </c>
      <c r="EY103">
        <v>10482.85625</v>
      </c>
      <c r="EZ103">
        <v>10358.825</v>
      </c>
      <c r="FA103">
        <v>59.2340625</v>
      </c>
      <c r="FB103">
        <v>60.945125</v>
      </c>
      <c r="FC103">
        <v>59.5114375</v>
      </c>
      <c r="FD103">
        <v>60.19125</v>
      </c>
      <c r="FE103">
        <v>60.9334375</v>
      </c>
      <c r="FF103">
        <v>1155.571875</v>
      </c>
      <c r="FG103">
        <v>39.44125</v>
      </c>
      <c r="FH103">
        <v>0</v>
      </c>
      <c r="FI103">
        <v>250</v>
      </c>
      <c r="FJ103">
        <v>0</v>
      </c>
      <c r="FK103">
        <v>806.67632</v>
      </c>
      <c r="FL103">
        <v>6.89669229857881</v>
      </c>
      <c r="FM103">
        <v>56.1307691581807</v>
      </c>
      <c r="FN103">
        <v>10484.016</v>
      </c>
      <c r="FO103">
        <v>15</v>
      </c>
      <c r="FP103">
        <v>0</v>
      </c>
      <c r="FQ103" t="s">
        <v>441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-11.7485952380952</v>
      </c>
      <c r="GD103">
        <v>-0.0957584415584702</v>
      </c>
      <c r="GE103">
        <v>0.0222822260192262</v>
      </c>
      <c r="GF103">
        <v>1</v>
      </c>
      <c r="GG103">
        <v>806.212970588235</v>
      </c>
      <c r="GH103">
        <v>5.17834988584147</v>
      </c>
      <c r="GI103">
        <v>0.562302748959932</v>
      </c>
      <c r="GJ103">
        <v>-1</v>
      </c>
      <c r="GK103">
        <v>20.5637666666667</v>
      </c>
      <c r="GL103">
        <v>-0.132771428571477</v>
      </c>
      <c r="GM103">
        <v>0.0136918235361848</v>
      </c>
      <c r="GN103">
        <v>0</v>
      </c>
      <c r="GO103">
        <v>1</v>
      </c>
      <c r="GP103">
        <v>2</v>
      </c>
      <c r="GQ103" t="s">
        <v>454</v>
      </c>
      <c r="GR103">
        <v>3.1277</v>
      </c>
      <c r="GS103">
        <v>2.71505</v>
      </c>
      <c r="GT103">
        <v>0.0831532</v>
      </c>
      <c r="GU103">
        <v>0.0854261</v>
      </c>
      <c r="GV103">
        <v>0.152424</v>
      </c>
      <c r="GW103">
        <v>0.0994946</v>
      </c>
      <c r="GX103">
        <v>33189.5</v>
      </c>
      <c r="GY103">
        <v>35096.5</v>
      </c>
      <c r="GZ103">
        <v>32862.4</v>
      </c>
      <c r="HA103">
        <v>34857.4</v>
      </c>
      <c r="HB103">
        <v>39798.4</v>
      </c>
      <c r="HC103">
        <v>45226.9</v>
      </c>
      <c r="HD103">
        <v>51577.2</v>
      </c>
      <c r="HE103">
        <v>55871.5</v>
      </c>
      <c r="HF103">
        <v>1.7225</v>
      </c>
      <c r="HG103">
        <v>1.58228</v>
      </c>
      <c r="HH103">
        <v>0.00447035</v>
      </c>
      <c r="HI103">
        <v>0</v>
      </c>
      <c r="HJ103">
        <v>47.7763</v>
      </c>
      <c r="HK103">
        <v>999.9</v>
      </c>
      <c r="HL103">
        <v>54.2</v>
      </c>
      <c r="HM103">
        <v>30.051</v>
      </c>
      <c r="HN103">
        <v>25.5751</v>
      </c>
      <c r="HO103">
        <v>59.9791</v>
      </c>
      <c r="HP103">
        <v>41.1018</v>
      </c>
      <c r="HQ103">
        <v>1</v>
      </c>
      <c r="HR103">
        <v>1.91071</v>
      </c>
      <c r="HS103">
        <v>-1.74676</v>
      </c>
      <c r="HT103">
        <v>20.1134</v>
      </c>
      <c r="HU103">
        <v>5.18734</v>
      </c>
      <c r="HV103">
        <v>12.0159</v>
      </c>
      <c r="HW103">
        <v>4.9716</v>
      </c>
      <c r="HX103">
        <v>3.295</v>
      </c>
      <c r="HY103">
        <v>9999</v>
      </c>
      <c r="HZ103">
        <v>999.9</v>
      </c>
      <c r="IA103">
        <v>9999</v>
      </c>
      <c r="IB103">
        <v>9999</v>
      </c>
      <c r="IC103">
        <v>1.86325</v>
      </c>
      <c r="ID103">
        <v>1.86802</v>
      </c>
      <c r="IE103">
        <v>1.86783</v>
      </c>
      <c r="IF103">
        <v>1.86904</v>
      </c>
      <c r="IG103">
        <v>1.86981</v>
      </c>
      <c r="IH103">
        <v>1.86584</v>
      </c>
      <c r="II103">
        <v>1.86691</v>
      </c>
      <c r="IJ103">
        <v>1.86837</v>
      </c>
      <c r="IK103">
        <v>5</v>
      </c>
      <c r="IL103">
        <v>0</v>
      </c>
      <c r="IM103">
        <v>0</v>
      </c>
      <c r="IN103">
        <v>0</v>
      </c>
      <c r="IO103" t="s">
        <v>443</v>
      </c>
      <c r="IP103" t="s">
        <v>444</v>
      </c>
      <c r="IQ103" t="s">
        <v>445</v>
      </c>
      <c r="IR103" t="s">
        <v>445</v>
      </c>
      <c r="IS103" t="s">
        <v>445</v>
      </c>
      <c r="IT103" t="s">
        <v>445</v>
      </c>
      <c r="IU103">
        <v>0</v>
      </c>
      <c r="IV103">
        <v>100</v>
      </c>
      <c r="IW103">
        <v>100</v>
      </c>
      <c r="IX103">
        <v>2.404</v>
      </c>
      <c r="IY103">
        <v>0.4353</v>
      </c>
      <c r="IZ103">
        <v>0.833350075594679</v>
      </c>
      <c r="JA103">
        <v>0.00412825224050377</v>
      </c>
      <c r="JB103">
        <v>-7.34426573386615e-07</v>
      </c>
      <c r="JC103">
        <v>2.46800082545482e-10</v>
      </c>
      <c r="JD103">
        <v>0.435209846415365</v>
      </c>
      <c r="JE103">
        <v>0</v>
      </c>
      <c r="JF103">
        <v>0</v>
      </c>
      <c r="JG103">
        <v>0</v>
      </c>
      <c r="JH103">
        <v>5</v>
      </c>
      <c r="JI103">
        <v>2250</v>
      </c>
      <c r="JJ103">
        <v>0</v>
      </c>
      <c r="JK103">
        <v>24</v>
      </c>
      <c r="JL103">
        <v>29348647.9</v>
      </c>
      <c r="JM103">
        <v>29348647.9</v>
      </c>
      <c r="JN103">
        <v>1.01807</v>
      </c>
      <c r="JO103">
        <v>2.63184</v>
      </c>
      <c r="JP103">
        <v>1.54785</v>
      </c>
      <c r="JQ103">
        <v>2.31689</v>
      </c>
      <c r="JR103">
        <v>1.64673</v>
      </c>
      <c r="JS103">
        <v>2.39014</v>
      </c>
      <c r="JT103">
        <v>33.9639</v>
      </c>
      <c r="JU103">
        <v>24.1926</v>
      </c>
      <c r="JV103">
        <v>18</v>
      </c>
      <c r="JW103">
        <v>501.258</v>
      </c>
      <c r="JX103">
        <v>399.552</v>
      </c>
      <c r="JY103">
        <v>50.8865</v>
      </c>
      <c r="JZ103">
        <v>49.7349</v>
      </c>
      <c r="KA103">
        <v>29.9964</v>
      </c>
      <c r="KB103">
        <v>49.6325</v>
      </c>
      <c r="KC103">
        <v>49.4907</v>
      </c>
      <c r="KD103">
        <v>20.3942</v>
      </c>
      <c r="KE103">
        <v>0</v>
      </c>
      <c r="KF103">
        <v>100</v>
      </c>
      <c r="KG103">
        <v>50.9081</v>
      </c>
      <c r="KH103">
        <v>420</v>
      </c>
      <c r="KI103">
        <v>26.2383</v>
      </c>
      <c r="KJ103">
        <v>93.535</v>
      </c>
      <c r="KK103">
        <v>90.4233</v>
      </c>
    </row>
    <row r="104" spans="1:297">
      <c r="A104">
        <v>88</v>
      </c>
      <c r="B104">
        <v>1760919374.1</v>
      </c>
      <c r="C104">
        <v>25610</v>
      </c>
      <c r="D104" t="s">
        <v>808</v>
      </c>
      <c r="E104" t="s">
        <v>809</v>
      </c>
      <c r="F104">
        <v>5</v>
      </c>
      <c r="G104" t="s">
        <v>508</v>
      </c>
      <c r="H104" t="s">
        <v>436</v>
      </c>
      <c r="I104">
        <v>1760919365.6</v>
      </c>
      <c r="J104">
        <f>(K104)/1000</f>
        <v>0</v>
      </c>
      <c r="K104">
        <f>IF(DP104, AN104, AH104)</f>
        <v>0</v>
      </c>
      <c r="L104">
        <f>IF(DP104, AI104, AG104)</f>
        <v>0</v>
      </c>
      <c r="M104">
        <f>DR104 - IF(AU104&gt;1, L104*DL104*100.0/(AW104), 0)</f>
        <v>0</v>
      </c>
      <c r="N104">
        <f>((T104-J104/2)*M104-L104)/(T104+J104/2)</f>
        <v>0</v>
      </c>
      <c r="O104">
        <f>N104*(DY104+DZ104)/1000.0</f>
        <v>0</v>
      </c>
      <c r="P104">
        <f>(DR104 - IF(AU104&gt;1, L104*DL104*100.0/(AW104), 0))*(DY104+DZ104)/1000.0</f>
        <v>0</v>
      </c>
      <c r="Q104">
        <f>2.0/((1/S104-1/R104)+SIGN(S104)*SQRT((1/S104-1/R104)*(1/S104-1/R104) + 4*DM104/((DM104+1)*(DM104+1))*(2*1/S104*1/R104-1/R104*1/R104)))</f>
        <v>0</v>
      </c>
      <c r="R104">
        <f>IF(LEFT(DN104,1)&lt;&gt;"0",IF(LEFT(DN104,1)="1",3.0,DO104),$D$5+$E$5*(EF104*DY104/($K$5*1000))+$F$5*(EF104*DY104/($K$5*1000))*MAX(MIN(DL104,$J$5),$I$5)*MAX(MIN(DL104,$J$5),$I$5)+$G$5*MAX(MIN(DL104,$J$5),$I$5)*(EF104*DY104/($K$5*1000))+$H$5*(EF104*DY104/($K$5*1000))*(EF104*DY104/($K$5*1000)))</f>
        <v>0</v>
      </c>
      <c r="S104">
        <f>J104*(1000-(1000*0.61365*exp(17.502*W104/(240.97+W104))/(DY104+DZ104)+DT104)/2)/(1000*0.61365*exp(17.502*W104/(240.97+W104))/(DY104+DZ104)-DT104)</f>
        <v>0</v>
      </c>
      <c r="T104">
        <f>1/((DM104+1)/(Q104/1.6)+1/(R104/1.37)) + DM104/((DM104+1)/(Q104/1.6) + DM104/(R104/1.37))</f>
        <v>0</v>
      </c>
      <c r="U104">
        <f>(DH104*DK104)</f>
        <v>0</v>
      </c>
      <c r="V104">
        <f>(EA104+(U104+2*0.95*5.67E-8*(((EA104+$B$7)+273)^4-(EA104+273)^4)-44100*J104)/(1.84*29.3*R104+8*0.95*5.67E-8*(EA104+273)^3))</f>
        <v>0</v>
      </c>
      <c r="W104">
        <f>($C$7*EB104+$D$7*EC104+$E$7*V104)</f>
        <v>0</v>
      </c>
      <c r="X104">
        <f>0.61365*exp(17.502*W104/(240.97+W104))</f>
        <v>0</v>
      </c>
      <c r="Y104">
        <f>(Z104/AA104*100)</f>
        <v>0</v>
      </c>
      <c r="Z104">
        <f>DT104*(DY104+DZ104)/1000</f>
        <v>0</v>
      </c>
      <c r="AA104">
        <f>0.61365*exp(17.502*EA104/(240.97+EA104))</f>
        <v>0</v>
      </c>
      <c r="AB104">
        <f>(X104-DT104*(DY104+DZ104)/1000)</f>
        <v>0</v>
      </c>
      <c r="AC104">
        <f>(-J104*44100)</f>
        <v>0</v>
      </c>
      <c r="AD104">
        <f>2*29.3*R104*0.92*(EA104-W104)</f>
        <v>0</v>
      </c>
      <c r="AE104">
        <f>2*0.95*5.67E-8*(((EA104+$B$7)+273)^4-(W104+273)^4)</f>
        <v>0</v>
      </c>
      <c r="AF104">
        <f>U104+AE104+AC104+AD104</f>
        <v>0</v>
      </c>
      <c r="AG104">
        <f>DX104*AU104*(DS104-DR104*(1000-AU104*DU104)/(1000-AU104*DT104))/(100*DL104)</f>
        <v>0</v>
      </c>
      <c r="AH104">
        <f>1000*DX104*AU104*(DT104-DU104)/(100*DL104*(1000-AU104*DT104))</f>
        <v>0</v>
      </c>
      <c r="AI104">
        <f>(AJ104 - AK104 - DY104*1E3/(8.314*(EA104+273.15)) * AM104/DX104 * AL104) * DX104/(100*DL104) * (1000 - DU104)/1000</f>
        <v>0</v>
      </c>
      <c r="AJ104">
        <v>430.248756360011</v>
      </c>
      <c r="AK104">
        <v>431.545903030303</v>
      </c>
      <c r="AL104">
        <v>0.000695910768422082</v>
      </c>
      <c r="AM104">
        <v>65.1762611912874</v>
      </c>
      <c r="AN104">
        <f>(AP104 - AO104 + DY104*1E3/(8.314*(EA104+273.15)) * AR104/DX104 * AQ104) * DX104/(100*DL104) * 1000/(1000 - AP104)</f>
        <v>0</v>
      </c>
      <c r="AO104">
        <v>23.8904104333487</v>
      </c>
      <c r="AP104">
        <v>31.8704587878788</v>
      </c>
      <c r="AQ104">
        <v>-6.04823377541242e-05</v>
      </c>
      <c r="AR104">
        <v>116.032530186064</v>
      </c>
      <c r="AS104">
        <v>8</v>
      </c>
      <c r="AT104">
        <v>2</v>
      </c>
      <c r="AU104">
        <f>IF(AS104*$H$13&gt;=AW104,1.0,(AW104/(AW104-AS104*$H$13)))</f>
        <v>0</v>
      </c>
      <c r="AV104">
        <f>(AU104-1)*100</f>
        <v>0</v>
      </c>
      <c r="AW104">
        <f>MAX(0,($B$13+$C$13*EF104)/(1+$D$13*EF104)*DY104/(EA104+273)*$E$13)</f>
        <v>0</v>
      </c>
      <c r="AX104" t="s">
        <v>437</v>
      </c>
      <c r="AY104">
        <v>5082.33</v>
      </c>
      <c r="AZ104">
        <v>690.032</v>
      </c>
      <c r="BA104">
        <v>1612.68</v>
      </c>
      <c r="BB104">
        <f>1-AZ104/BA104</f>
        <v>0</v>
      </c>
      <c r="BC104">
        <v>-9.7270689171713</v>
      </c>
      <c r="BD104" t="s">
        <v>810</v>
      </c>
      <c r="BE104">
        <v>5109.86</v>
      </c>
      <c r="BF104">
        <v>823.07132</v>
      </c>
      <c r="BG104">
        <v>891.450216869913</v>
      </c>
      <c r="BH104">
        <f>1-BF104/BG104</f>
        <v>0</v>
      </c>
      <c r="BI104">
        <v>0.5</v>
      </c>
      <c r="BJ104">
        <f>DI104</f>
        <v>0</v>
      </c>
      <c r="BK104">
        <f>L104</f>
        <v>0</v>
      </c>
      <c r="BL104">
        <f>BH104*BI104*BJ104</f>
        <v>0</v>
      </c>
      <c r="BM104">
        <f>(BK104-BC104)/BJ104</f>
        <v>0</v>
      </c>
      <c r="BN104">
        <f>(BA104-BG104)/BG104</f>
        <v>0</v>
      </c>
      <c r="BO104">
        <f>AZ104/(BB104+AZ104/BG104)</f>
        <v>0</v>
      </c>
      <c r="BP104" t="s">
        <v>811</v>
      </c>
      <c r="BQ104">
        <v>686.67</v>
      </c>
      <c r="BR104">
        <f>IF(BQ104&lt;&gt;0, BQ104, BO104)</f>
        <v>0</v>
      </c>
      <c r="BS104">
        <f>1-BR104/BG104</f>
        <v>0</v>
      </c>
      <c r="BT104">
        <f>(BG104-BF104)/(BG104-BR104)</f>
        <v>0</v>
      </c>
      <c r="BU104">
        <f>(BA104-BG104)/(BA104-BR104)</f>
        <v>0</v>
      </c>
      <c r="BV104">
        <f>(BG104-BF104)/(BG104-AZ104)</f>
        <v>0</v>
      </c>
      <c r="BW104">
        <f>(BA104-BG104)/(BA104-AZ104)</f>
        <v>0</v>
      </c>
      <c r="BX104">
        <f>(BT104*BR104/BF104)</f>
        <v>0</v>
      </c>
      <c r="BY104">
        <f>(1-BX104)</f>
        <v>0</v>
      </c>
      <c r="BZ104">
        <v>268</v>
      </c>
      <c r="CA104">
        <v>290</v>
      </c>
      <c r="CB104">
        <v>874.05</v>
      </c>
      <c r="CC104">
        <v>285</v>
      </c>
      <c r="CD104">
        <v>5109.86</v>
      </c>
      <c r="CE104">
        <v>873.67</v>
      </c>
      <c r="CF104">
        <v>0.38</v>
      </c>
      <c r="CG104">
        <v>300</v>
      </c>
      <c r="CH104">
        <v>23.9</v>
      </c>
      <c r="CI104">
        <v>891.450216869913</v>
      </c>
      <c r="CJ104">
        <v>1.80166340261603</v>
      </c>
      <c r="CK104">
        <v>-9.08755054328318</v>
      </c>
      <c r="CL104">
        <v>0.828355790836217</v>
      </c>
      <c r="CM104">
        <v>0.811262013005373</v>
      </c>
      <c r="CN104">
        <v>-0.00322499065628476</v>
      </c>
      <c r="CO104">
        <v>290</v>
      </c>
      <c r="CP104">
        <v>874.32</v>
      </c>
      <c r="CQ104">
        <v>855</v>
      </c>
      <c r="CR104">
        <v>5105.69</v>
      </c>
      <c r="CS104">
        <v>873.65</v>
      </c>
      <c r="CT104">
        <v>0.67</v>
      </c>
      <c r="DH104">
        <f>$B$11*EG104+$C$11*EH104+$F$11*ES104*(1-EV104)</f>
        <v>0</v>
      </c>
      <c r="DI104">
        <f>DH104*DJ104</f>
        <v>0</v>
      </c>
      <c r="DJ104">
        <f>($B$11*$D$9+$C$11*$D$9+$F$11*((FF104+EX104)/MAX(FF104+EX104+FG104, 0.1)*$I$9+FG104/MAX(FF104+EX104+FG104, 0.1)*$J$9))/($B$11+$C$11+$F$11)</f>
        <v>0</v>
      </c>
      <c r="DK104">
        <f>($B$11*$K$9+$C$11*$K$9+$F$11*((FF104+EX104)/MAX(FF104+EX104+FG104, 0.1)*$P$9+FG104/MAX(FF104+EX104+FG104, 0.1)*$Q$9))/($B$11+$C$11+$F$11)</f>
        <v>0</v>
      </c>
      <c r="DL104">
        <v>3.21</v>
      </c>
      <c r="DM104">
        <v>0.5</v>
      </c>
      <c r="DN104" t="s">
        <v>440</v>
      </c>
      <c r="DO104">
        <v>2</v>
      </c>
      <c r="DP104" t="b">
        <v>1</v>
      </c>
      <c r="DQ104">
        <v>1760919365.6</v>
      </c>
      <c r="DR104">
        <v>417.7721875</v>
      </c>
      <c r="DS104">
        <v>419.98975</v>
      </c>
      <c r="DT104">
        <v>31.8802875</v>
      </c>
      <c r="DU104">
        <v>23.8929875</v>
      </c>
      <c r="DV104">
        <v>415.3331875</v>
      </c>
      <c r="DW104">
        <v>31.445075</v>
      </c>
      <c r="DX104">
        <v>500.02</v>
      </c>
      <c r="DY104">
        <v>90.5458</v>
      </c>
      <c r="DZ104">
        <v>0.03758129375</v>
      </c>
      <c r="EA104">
        <v>48.75424375</v>
      </c>
      <c r="EB104">
        <v>48.04179375</v>
      </c>
      <c r="EC104">
        <v>999.9</v>
      </c>
      <c r="ED104">
        <v>0</v>
      </c>
      <c r="EE104">
        <v>0</v>
      </c>
      <c r="EF104">
        <v>10002.501875</v>
      </c>
      <c r="EG104">
        <v>0</v>
      </c>
      <c r="EH104">
        <v>1242.771875</v>
      </c>
      <c r="EI104">
        <v>-2.2175825</v>
      </c>
      <c r="EJ104">
        <v>431.5295</v>
      </c>
      <c r="EK104">
        <v>430.270375</v>
      </c>
      <c r="EL104">
        <v>7.9872925</v>
      </c>
      <c r="EM104">
        <v>419.98975</v>
      </c>
      <c r="EN104">
        <v>23.8929875</v>
      </c>
      <c r="EO104">
        <v>2.886625625</v>
      </c>
      <c r="EP104">
        <v>2.16341</v>
      </c>
      <c r="EQ104">
        <v>23.388</v>
      </c>
      <c r="ER104">
        <v>18.69390625</v>
      </c>
      <c r="ES104">
        <v>1199.971875</v>
      </c>
      <c r="ET104">
        <v>0.9669944375</v>
      </c>
      <c r="EU104">
        <v>0.03300574375</v>
      </c>
      <c r="EV104">
        <v>0</v>
      </c>
      <c r="EW104">
        <v>823.0045</v>
      </c>
      <c r="EX104">
        <v>5.00059</v>
      </c>
      <c r="EY104">
        <v>10719.45</v>
      </c>
      <c r="EZ104">
        <v>10358.45</v>
      </c>
      <c r="FA104">
        <v>60.5778125</v>
      </c>
      <c r="FB104">
        <v>62.2068125</v>
      </c>
      <c r="FC104">
        <v>60.62875</v>
      </c>
      <c r="FD104">
        <v>61.9138125</v>
      </c>
      <c r="FE104">
        <v>61.863125</v>
      </c>
      <c r="FF104">
        <v>1155.531875</v>
      </c>
      <c r="FG104">
        <v>39.44</v>
      </c>
      <c r="FH104">
        <v>0</v>
      </c>
      <c r="FI104">
        <v>497.599999904633</v>
      </c>
      <c r="FJ104">
        <v>0</v>
      </c>
      <c r="FK104">
        <v>823.07132</v>
      </c>
      <c r="FL104">
        <v>1.06161538828469</v>
      </c>
      <c r="FM104">
        <v>31.1230768983894</v>
      </c>
      <c r="FN104">
        <v>10720.272</v>
      </c>
      <c r="FO104">
        <v>15</v>
      </c>
      <c r="FP104">
        <v>0</v>
      </c>
      <c r="FQ104" t="s">
        <v>441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-2.24055238095238</v>
      </c>
      <c r="GD104">
        <v>0.434466233766232</v>
      </c>
      <c r="GE104">
        <v>0.0575072187522296</v>
      </c>
      <c r="GF104">
        <v>1</v>
      </c>
      <c r="GG104">
        <v>823.004941176471</v>
      </c>
      <c r="GH104">
        <v>0.925103131725842</v>
      </c>
      <c r="GI104">
        <v>0.222041191352954</v>
      </c>
      <c r="GJ104">
        <v>-1</v>
      </c>
      <c r="GK104">
        <v>7.98917666666667</v>
      </c>
      <c r="GL104">
        <v>-0.0542259740259676</v>
      </c>
      <c r="GM104">
        <v>0.00571119063004367</v>
      </c>
      <c r="GN104">
        <v>1</v>
      </c>
      <c r="GO104">
        <v>2</v>
      </c>
      <c r="GP104">
        <v>2</v>
      </c>
      <c r="GQ104" t="s">
        <v>442</v>
      </c>
      <c r="GR104">
        <v>3.12735</v>
      </c>
      <c r="GS104">
        <v>2.71582</v>
      </c>
      <c r="GT104">
        <v>0.084635</v>
      </c>
      <c r="GU104">
        <v>0.0854834</v>
      </c>
      <c r="GV104">
        <v>0.120371</v>
      </c>
      <c r="GW104">
        <v>0.0986035</v>
      </c>
      <c r="GX104">
        <v>33075.4</v>
      </c>
      <c r="GY104">
        <v>35011.8</v>
      </c>
      <c r="GZ104">
        <v>32804.2</v>
      </c>
      <c r="HA104">
        <v>34776.6</v>
      </c>
      <c r="HB104">
        <v>41138.5</v>
      </c>
      <c r="HC104">
        <v>45171.1</v>
      </c>
      <c r="HD104">
        <v>51492.8</v>
      </c>
      <c r="HE104">
        <v>55748.8</v>
      </c>
      <c r="HF104">
        <v>1.7083</v>
      </c>
      <c r="HG104">
        <v>1.57425</v>
      </c>
      <c r="HH104">
        <v>-0.0210106</v>
      </c>
      <c r="HI104">
        <v>0</v>
      </c>
      <c r="HJ104">
        <v>48.3554</v>
      </c>
      <c r="HK104">
        <v>999.9</v>
      </c>
      <c r="HL104">
        <v>54.126</v>
      </c>
      <c r="HM104">
        <v>29.86</v>
      </c>
      <c r="HN104">
        <v>25.2643</v>
      </c>
      <c r="HO104">
        <v>60.0991</v>
      </c>
      <c r="HP104">
        <v>41.6026</v>
      </c>
      <c r="HQ104">
        <v>1</v>
      </c>
      <c r="HR104">
        <v>1.99371</v>
      </c>
      <c r="HS104">
        <v>3.71927</v>
      </c>
      <c r="HT104">
        <v>20.0852</v>
      </c>
      <c r="HU104">
        <v>5.18734</v>
      </c>
      <c r="HV104">
        <v>12.0159</v>
      </c>
      <c r="HW104">
        <v>4.97035</v>
      </c>
      <c r="HX104">
        <v>3.295</v>
      </c>
      <c r="HY104">
        <v>9999</v>
      </c>
      <c r="HZ104">
        <v>999.9</v>
      </c>
      <c r="IA104">
        <v>9999</v>
      </c>
      <c r="IB104">
        <v>9999</v>
      </c>
      <c r="IC104">
        <v>1.86324</v>
      </c>
      <c r="ID104">
        <v>1.86801</v>
      </c>
      <c r="IE104">
        <v>1.86781</v>
      </c>
      <c r="IF104">
        <v>1.86902</v>
      </c>
      <c r="IG104">
        <v>1.86981</v>
      </c>
      <c r="IH104">
        <v>1.86584</v>
      </c>
      <c r="II104">
        <v>1.86691</v>
      </c>
      <c r="IJ104">
        <v>1.86832</v>
      </c>
      <c r="IK104">
        <v>5</v>
      </c>
      <c r="IL104">
        <v>0</v>
      </c>
      <c r="IM104">
        <v>0</v>
      </c>
      <c r="IN104">
        <v>0</v>
      </c>
      <c r="IO104" t="s">
        <v>443</v>
      </c>
      <c r="IP104" t="s">
        <v>444</v>
      </c>
      <c r="IQ104" t="s">
        <v>445</v>
      </c>
      <c r="IR104" t="s">
        <v>445</v>
      </c>
      <c r="IS104" t="s">
        <v>445</v>
      </c>
      <c r="IT104" t="s">
        <v>445</v>
      </c>
      <c r="IU104">
        <v>0</v>
      </c>
      <c r="IV104">
        <v>100</v>
      </c>
      <c r="IW104">
        <v>100</v>
      </c>
      <c r="IX104">
        <v>2.439</v>
      </c>
      <c r="IY104">
        <v>0.4352</v>
      </c>
      <c r="IZ104">
        <v>0.833350075594679</v>
      </c>
      <c r="JA104">
        <v>0.00412825224050377</v>
      </c>
      <c r="JB104">
        <v>-7.34426573386615e-07</v>
      </c>
      <c r="JC104">
        <v>2.46800082545482e-10</v>
      </c>
      <c r="JD104">
        <v>0.435209846415365</v>
      </c>
      <c r="JE104">
        <v>0</v>
      </c>
      <c r="JF104">
        <v>0</v>
      </c>
      <c r="JG104">
        <v>0</v>
      </c>
      <c r="JH104">
        <v>5</v>
      </c>
      <c r="JI104">
        <v>2250</v>
      </c>
      <c r="JJ104">
        <v>0</v>
      </c>
      <c r="JK104">
        <v>24</v>
      </c>
      <c r="JL104">
        <v>29348656.2</v>
      </c>
      <c r="JM104">
        <v>29348656.2</v>
      </c>
      <c r="JN104">
        <v>1.01685</v>
      </c>
      <c r="JO104">
        <v>2.64526</v>
      </c>
      <c r="JP104">
        <v>1.54785</v>
      </c>
      <c r="JQ104">
        <v>2.31689</v>
      </c>
      <c r="JR104">
        <v>1.64673</v>
      </c>
      <c r="JS104">
        <v>2.31079</v>
      </c>
      <c r="JT104">
        <v>33.8057</v>
      </c>
      <c r="JU104">
        <v>24.1751</v>
      </c>
      <c r="JV104">
        <v>18</v>
      </c>
      <c r="JW104">
        <v>489.142</v>
      </c>
      <c r="JX104">
        <v>393.197</v>
      </c>
      <c r="JY104">
        <v>43.3347</v>
      </c>
      <c r="JZ104">
        <v>49.9617</v>
      </c>
      <c r="KA104">
        <v>30.0039</v>
      </c>
      <c r="KB104">
        <v>49.3384</v>
      </c>
      <c r="KC104">
        <v>49.1974</v>
      </c>
      <c r="KD104">
        <v>20.3775</v>
      </c>
      <c r="KE104">
        <v>0</v>
      </c>
      <c r="KF104">
        <v>100</v>
      </c>
      <c r="KG104">
        <v>43.3128</v>
      </c>
      <c r="KH104">
        <v>420</v>
      </c>
      <c r="KI104">
        <v>33.7599</v>
      </c>
      <c r="KJ104">
        <v>93.377</v>
      </c>
      <c r="KK104">
        <v>90.2205</v>
      </c>
    </row>
    <row r="105" spans="1:297">
      <c r="A105">
        <v>89</v>
      </c>
      <c r="B105">
        <v>1760919550</v>
      </c>
      <c r="C105">
        <v>25785.9000000954</v>
      </c>
      <c r="D105" t="s">
        <v>812</v>
      </c>
      <c r="E105" t="s">
        <v>813</v>
      </c>
      <c r="F105">
        <v>5</v>
      </c>
      <c r="G105" t="s">
        <v>508</v>
      </c>
      <c r="H105" t="s">
        <v>436</v>
      </c>
      <c r="I105">
        <v>1760919541.5</v>
      </c>
      <c r="J105">
        <f>(K105)/1000</f>
        <v>0</v>
      </c>
      <c r="K105">
        <f>IF(DP105, AN105, AH105)</f>
        <v>0</v>
      </c>
      <c r="L105">
        <f>IF(DP105, AI105, AG105)</f>
        <v>0</v>
      </c>
      <c r="M105">
        <f>DR105 - IF(AU105&gt;1, L105*DL105*100.0/(AW105), 0)</f>
        <v>0</v>
      </c>
      <c r="N105">
        <f>((T105-J105/2)*M105-L105)/(T105+J105/2)</f>
        <v>0</v>
      </c>
      <c r="O105">
        <f>N105*(DY105+DZ105)/1000.0</f>
        <v>0</v>
      </c>
      <c r="P105">
        <f>(DR105 - IF(AU105&gt;1, L105*DL105*100.0/(AW105), 0))*(DY105+DZ105)/1000.0</f>
        <v>0</v>
      </c>
      <c r="Q105">
        <f>2.0/((1/S105-1/R105)+SIGN(S105)*SQRT((1/S105-1/R105)*(1/S105-1/R105) + 4*DM105/((DM105+1)*(DM105+1))*(2*1/S105*1/R105-1/R105*1/R105)))</f>
        <v>0</v>
      </c>
      <c r="R105">
        <f>IF(LEFT(DN105,1)&lt;&gt;"0",IF(LEFT(DN105,1)="1",3.0,DO105),$D$5+$E$5*(EF105*DY105/($K$5*1000))+$F$5*(EF105*DY105/($K$5*1000))*MAX(MIN(DL105,$J$5),$I$5)*MAX(MIN(DL105,$J$5),$I$5)+$G$5*MAX(MIN(DL105,$J$5),$I$5)*(EF105*DY105/($K$5*1000))+$H$5*(EF105*DY105/($K$5*1000))*(EF105*DY105/($K$5*1000)))</f>
        <v>0</v>
      </c>
      <c r="S105">
        <f>J105*(1000-(1000*0.61365*exp(17.502*W105/(240.97+W105))/(DY105+DZ105)+DT105)/2)/(1000*0.61365*exp(17.502*W105/(240.97+W105))/(DY105+DZ105)-DT105)</f>
        <v>0</v>
      </c>
      <c r="T105">
        <f>1/((DM105+1)/(Q105/1.6)+1/(R105/1.37)) + DM105/((DM105+1)/(Q105/1.6) + DM105/(R105/1.37))</f>
        <v>0</v>
      </c>
      <c r="U105">
        <f>(DH105*DK105)</f>
        <v>0</v>
      </c>
      <c r="V105">
        <f>(EA105+(U105+2*0.95*5.67E-8*(((EA105+$B$7)+273)^4-(EA105+273)^4)-44100*J105)/(1.84*29.3*R105+8*0.95*5.67E-8*(EA105+273)^3))</f>
        <v>0</v>
      </c>
      <c r="W105">
        <f>($C$7*EB105+$D$7*EC105+$E$7*V105)</f>
        <v>0</v>
      </c>
      <c r="X105">
        <f>0.61365*exp(17.502*W105/(240.97+W105))</f>
        <v>0</v>
      </c>
      <c r="Y105">
        <f>(Z105/AA105*100)</f>
        <v>0</v>
      </c>
      <c r="Z105">
        <f>DT105*(DY105+DZ105)/1000</f>
        <v>0</v>
      </c>
      <c r="AA105">
        <f>0.61365*exp(17.502*EA105/(240.97+EA105))</f>
        <v>0</v>
      </c>
      <c r="AB105">
        <f>(X105-DT105*(DY105+DZ105)/1000)</f>
        <v>0</v>
      </c>
      <c r="AC105">
        <f>(-J105*44100)</f>
        <v>0</v>
      </c>
      <c r="AD105">
        <f>2*29.3*R105*0.92*(EA105-W105)</f>
        <v>0</v>
      </c>
      <c r="AE105">
        <f>2*0.95*5.67E-8*(((EA105+$B$7)+273)^4-(W105+273)^4)</f>
        <v>0</v>
      </c>
      <c r="AF105">
        <f>U105+AE105+AC105+AD105</f>
        <v>0</v>
      </c>
      <c r="AG105">
        <f>DX105*AU105*(DS105-DR105*(1000-AU105*DU105)/(1000-AU105*DT105))/(100*DL105)</f>
        <v>0</v>
      </c>
      <c r="AH105">
        <f>1000*DX105*AU105*(DT105-DU105)/(100*DL105*(1000-AU105*DT105))</f>
        <v>0</v>
      </c>
      <c r="AI105">
        <f>(AJ105 - AK105 - DY105*1E3/(8.314*(EA105+273.15)) * AM105/DX105 * AL105) * DX105/(100*DL105) * (1000 - DU105)/1000</f>
        <v>0</v>
      </c>
      <c r="AJ105">
        <v>430.314972513838</v>
      </c>
      <c r="AK105">
        <v>431.617496969697</v>
      </c>
      <c r="AL105">
        <v>0.000306580423723345</v>
      </c>
      <c r="AM105">
        <v>65.1762611912874</v>
      </c>
      <c r="AN105">
        <f>(AP105 - AO105 + DY105*1E3/(8.314*(EA105+273.15)) * AR105/DX105 * AQ105) * DX105/(100*DL105) * 1000/(1000 - AP105)</f>
        <v>0</v>
      </c>
      <c r="AO105">
        <v>23.8674594151779</v>
      </c>
      <c r="AP105">
        <v>31.8477927272727</v>
      </c>
      <c r="AQ105">
        <v>4.41149924992096e-05</v>
      </c>
      <c r="AR105">
        <v>116.032530186064</v>
      </c>
      <c r="AS105">
        <v>10</v>
      </c>
      <c r="AT105">
        <v>2</v>
      </c>
      <c r="AU105">
        <f>IF(AS105*$H$13&gt;=AW105,1.0,(AW105/(AW105-AS105*$H$13)))</f>
        <v>0</v>
      </c>
      <c r="AV105">
        <f>(AU105-1)*100</f>
        <v>0</v>
      </c>
      <c r="AW105">
        <f>MAX(0,($B$13+$C$13*EF105)/(1+$D$13*EF105)*DY105/(EA105+273)*$E$13)</f>
        <v>0</v>
      </c>
      <c r="AX105" t="s">
        <v>437</v>
      </c>
      <c r="AY105">
        <v>5082.33</v>
      </c>
      <c r="AZ105">
        <v>690.032</v>
      </c>
      <c r="BA105">
        <v>1612.68</v>
      </c>
      <c r="BB105">
        <f>1-AZ105/BA105</f>
        <v>0</v>
      </c>
      <c r="BC105">
        <v>-9.7270689171713</v>
      </c>
      <c r="BD105" t="s">
        <v>814</v>
      </c>
      <c r="BE105">
        <v>5107.1</v>
      </c>
      <c r="BF105">
        <v>827.622461538462</v>
      </c>
      <c r="BG105">
        <v>896.229252275373</v>
      </c>
      <c r="BH105">
        <f>1-BF105/BG105</f>
        <v>0</v>
      </c>
      <c r="BI105">
        <v>0.5</v>
      </c>
      <c r="BJ105">
        <f>DI105</f>
        <v>0</v>
      </c>
      <c r="BK105">
        <f>L105</f>
        <v>0</v>
      </c>
      <c r="BL105">
        <f>BH105*BI105*BJ105</f>
        <v>0</v>
      </c>
      <c r="BM105">
        <f>(BK105-BC105)/BJ105</f>
        <v>0</v>
      </c>
      <c r="BN105">
        <f>(BA105-BG105)/BG105</f>
        <v>0</v>
      </c>
      <c r="BO105">
        <f>AZ105/(BB105+AZ105/BG105)</f>
        <v>0</v>
      </c>
      <c r="BP105" t="s">
        <v>815</v>
      </c>
      <c r="BQ105">
        <v>688.87</v>
      </c>
      <c r="BR105">
        <f>IF(BQ105&lt;&gt;0, BQ105, BO105)</f>
        <v>0</v>
      </c>
      <c r="BS105">
        <f>1-BR105/BG105</f>
        <v>0</v>
      </c>
      <c r="BT105">
        <f>(BG105-BF105)/(BG105-BR105)</f>
        <v>0</v>
      </c>
      <c r="BU105">
        <f>(BA105-BG105)/(BA105-BR105)</f>
        <v>0</v>
      </c>
      <c r="BV105">
        <f>(BG105-BF105)/(BG105-AZ105)</f>
        <v>0</v>
      </c>
      <c r="BW105">
        <f>(BA105-BG105)/(BA105-AZ105)</f>
        <v>0</v>
      </c>
      <c r="BX105">
        <f>(BT105*BR105/BF105)</f>
        <v>0</v>
      </c>
      <c r="BY105">
        <f>(1-BX105)</f>
        <v>0</v>
      </c>
      <c r="BZ105">
        <v>270</v>
      </c>
      <c r="CA105">
        <v>290</v>
      </c>
      <c r="CB105">
        <v>877.16</v>
      </c>
      <c r="CC105">
        <v>295</v>
      </c>
      <c r="CD105">
        <v>5107.1</v>
      </c>
      <c r="CE105">
        <v>877.3</v>
      </c>
      <c r="CF105">
        <v>-0.14</v>
      </c>
      <c r="CG105">
        <v>300</v>
      </c>
      <c r="CH105">
        <v>23.9</v>
      </c>
      <c r="CI105">
        <v>896.229252275373</v>
      </c>
      <c r="CJ105">
        <v>1.66068535124843</v>
      </c>
      <c r="CK105">
        <v>-9.66911966024898</v>
      </c>
      <c r="CL105">
        <v>0.76311320615589</v>
      </c>
      <c r="CM105">
        <v>0.851494089706739</v>
      </c>
      <c r="CN105">
        <v>-0.00322344783092325</v>
      </c>
      <c r="CO105">
        <v>290</v>
      </c>
      <c r="CP105">
        <v>878</v>
      </c>
      <c r="CQ105">
        <v>765</v>
      </c>
      <c r="CR105">
        <v>5103.46</v>
      </c>
      <c r="CS105">
        <v>877.28</v>
      </c>
      <c r="CT105">
        <v>0.72</v>
      </c>
      <c r="DH105">
        <f>$B$11*EG105+$C$11*EH105+$F$11*ES105*(1-EV105)</f>
        <v>0</v>
      </c>
      <c r="DI105">
        <f>DH105*DJ105</f>
        <v>0</v>
      </c>
      <c r="DJ105">
        <f>($B$11*$D$9+$C$11*$D$9+$F$11*((FF105+EX105)/MAX(FF105+EX105+FG105, 0.1)*$I$9+FG105/MAX(FF105+EX105+FG105, 0.1)*$J$9))/($B$11+$C$11+$F$11)</f>
        <v>0</v>
      </c>
      <c r="DK105">
        <f>($B$11*$K$9+$C$11*$K$9+$F$11*((FF105+EX105)/MAX(FF105+EX105+FG105, 0.1)*$P$9+FG105/MAX(FF105+EX105+FG105, 0.1)*$Q$9))/($B$11+$C$11+$F$11)</f>
        <v>0</v>
      </c>
      <c r="DL105">
        <v>3.21</v>
      </c>
      <c r="DM105">
        <v>0.5</v>
      </c>
      <c r="DN105" t="s">
        <v>440</v>
      </c>
      <c r="DO105">
        <v>2</v>
      </c>
      <c r="DP105" t="b">
        <v>1</v>
      </c>
      <c r="DQ105">
        <v>1760919541.5</v>
      </c>
      <c r="DR105">
        <v>417.845875</v>
      </c>
      <c r="DS105">
        <v>420.0004375</v>
      </c>
      <c r="DT105">
        <v>31.845125</v>
      </c>
      <c r="DU105">
        <v>23.8681375</v>
      </c>
      <c r="DV105">
        <v>415.406625</v>
      </c>
      <c r="DW105">
        <v>31.40990625</v>
      </c>
      <c r="DX105">
        <v>500.0074375</v>
      </c>
      <c r="DY105">
        <v>90.56509375</v>
      </c>
      <c r="DZ105">
        <v>0.03898108125</v>
      </c>
      <c r="EA105">
        <v>48.7036125</v>
      </c>
      <c r="EB105">
        <v>48.032475</v>
      </c>
      <c r="EC105">
        <v>999.9</v>
      </c>
      <c r="ED105">
        <v>0</v>
      </c>
      <c r="EE105">
        <v>0</v>
      </c>
      <c r="EF105">
        <v>9997.4275</v>
      </c>
      <c r="EG105">
        <v>0</v>
      </c>
      <c r="EH105">
        <v>1242.59</v>
      </c>
      <c r="EI105">
        <v>-2.15455</v>
      </c>
      <c r="EJ105">
        <v>431.5898125</v>
      </c>
      <c r="EK105">
        <v>430.270125</v>
      </c>
      <c r="EL105">
        <v>7.976974375</v>
      </c>
      <c r="EM105">
        <v>420.0004375</v>
      </c>
      <c r="EN105">
        <v>23.8681375</v>
      </c>
      <c r="EO105">
        <v>2.88405625</v>
      </c>
      <c r="EP105">
        <v>2.161620625</v>
      </c>
      <c r="EQ105">
        <v>23.37325</v>
      </c>
      <c r="ER105">
        <v>18.68068125</v>
      </c>
      <c r="ES105">
        <v>1200.03875</v>
      </c>
      <c r="ET105">
        <v>0.967002125</v>
      </c>
      <c r="EU105">
        <v>0.0329979125</v>
      </c>
      <c r="EV105">
        <v>0</v>
      </c>
      <c r="EW105">
        <v>827.67625</v>
      </c>
      <c r="EX105">
        <v>5.00059</v>
      </c>
      <c r="EY105">
        <v>10860.13125</v>
      </c>
      <c r="EZ105">
        <v>10359.05</v>
      </c>
      <c r="FA105">
        <v>61.7731875</v>
      </c>
      <c r="FB105">
        <v>63.4645625</v>
      </c>
      <c r="FC105">
        <v>61.847375</v>
      </c>
      <c r="FD105">
        <v>63.1638125</v>
      </c>
      <c r="FE105">
        <v>62.95675</v>
      </c>
      <c r="FF105">
        <v>1155.605625</v>
      </c>
      <c r="FG105">
        <v>39.433125</v>
      </c>
      <c r="FH105">
        <v>0</v>
      </c>
      <c r="FI105">
        <v>172.400000095367</v>
      </c>
      <c r="FJ105">
        <v>0</v>
      </c>
      <c r="FK105">
        <v>827.622461538462</v>
      </c>
      <c r="FL105">
        <v>0.55644443070316</v>
      </c>
      <c r="FM105">
        <v>46.5572648264286</v>
      </c>
      <c r="FN105">
        <v>10860.6</v>
      </c>
      <c r="FO105">
        <v>15</v>
      </c>
      <c r="FP105">
        <v>0</v>
      </c>
      <c r="FQ105" t="s">
        <v>441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-2.158825</v>
      </c>
      <c r="GD105">
        <v>-0.0016105263157896</v>
      </c>
      <c r="GE105">
        <v>0.0313410142624645</v>
      </c>
      <c r="GF105">
        <v>1</v>
      </c>
      <c r="GG105">
        <v>827.590970588235</v>
      </c>
      <c r="GH105">
        <v>0.941741786435623</v>
      </c>
      <c r="GI105">
        <v>0.211664757867676</v>
      </c>
      <c r="GJ105">
        <v>-1</v>
      </c>
      <c r="GK105">
        <v>7.9785425</v>
      </c>
      <c r="GL105">
        <v>-0.0230485714285642</v>
      </c>
      <c r="GM105">
        <v>0.0035639456715836</v>
      </c>
      <c r="GN105">
        <v>1</v>
      </c>
      <c r="GO105">
        <v>2</v>
      </c>
      <c r="GP105">
        <v>2</v>
      </c>
      <c r="GQ105" t="s">
        <v>442</v>
      </c>
      <c r="GR105">
        <v>3.12705</v>
      </c>
      <c r="GS105">
        <v>2.71696</v>
      </c>
      <c r="GT105">
        <v>0.0844143</v>
      </c>
      <c r="GU105">
        <v>0.0852453</v>
      </c>
      <c r="GV105">
        <v>0.120016</v>
      </c>
      <c r="GW105">
        <v>0.098302</v>
      </c>
      <c r="GX105">
        <v>32971.2</v>
      </c>
      <c r="GY105">
        <v>34872.1</v>
      </c>
      <c r="GZ105">
        <v>32700.4</v>
      </c>
      <c r="HA105">
        <v>34636.2</v>
      </c>
      <c r="HB105">
        <v>41052.2</v>
      </c>
      <c r="HC105">
        <v>45017.5</v>
      </c>
      <c r="HD105">
        <v>51354.3</v>
      </c>
      <c r="HE105">
        <v>55539.1</v>
      </c>
      <c r="HF105">
        <v>1.69422</v>
      </c>
      <c r="HG105">
        <v>1.55942</v>
      </c>
      <c r="HH105">
        <v>-0.0376627</v>
      </c>
      <c r="HI105">
        <v>0</v>
      </c>
      <c r="HJ105">
        <v>48.6249</v>
      </c>
      <c r="HK105">
        <v>999.9</v>
      </c>
      <c r="HL105">
        <v>54.2</v>
      </c>
      <c r="HM105">
        <v>29.799</v>
      </c>
      <c r="HN105">
        <v>25.2057</v>
      </c>
      <c r="HO105">
        <v>60.2592</v>
      </c>
      <c r="HP105">
        <v>41.2099</v>
      </c>
      <c r="HQ105">
        <v>1</v>
      </c>
      <c r="HR105">
        <v>2.14364</v>
      </c>
      <c r="HS105">
        <v>3.90564</v>
      </c>
      <c r="HT105">
        <v>20.08</v>
      </c>
      <c r="HU105">
        <v>5.18734</v>
      </c>
      <c r="HV105">
        <v>12.0159</v>
      </c>
      <c r="HW105">
        <v>4.9695</v>
      </c>
      <c r="HX105">
        <v>3.295</v>
      </c>
      <c r="HY105">
        <v>9999</v>
      </c>
      <c r="HZ105">
        <v>999.9</v>
      </c>
      <c r="IA105">
        <v>9999</v>
      </c>
      <c r="IB105">
        <v>9999</v>
      </c>
      <c r="IC105">
        <v>1.86324</v>
      </c>
      <c r="ID105">
        <v>1.86802</v>
      </c>
      <c r="IE105">
        <v>1.86781</v>
      </c>
      <c r="IF105">
        <v>1.86905</v>
      </c>
      <c r="IG105">
        <v>1.86981</v>
      </c>
      <c r="IH105">
        <v>1.86584</v>
      </c>
      <c r="II105">
        <v>1.86691</v>
      </c>
      <c r="IJ105">
        <v>1.86832</v>
      </c>
      <c r="IK105">
        <v>5</v>
      </c>
      <c r="IL105">
        <v>0</v>
      </c>
      <c r="IM105">
        <v>0</v>
      </c>
      <c r="IN105">
        <v>0</v>
      </c>
      <c r="IO105" t="s">
        <v>443</v>
      </c>
      <c r="IP105" t="s">
        <v>444</v>
      </c>
      <c r="IQ105" t="s">
        <v>445</v>
      </c>
      <c r="IR105" t="s">
        <v>445</v>
      </c>
      <c r="IS105" t="s">
        <v>445</v>
      </c>
      <c r="IT105" t="s">
        <v>445</v>
      </c>
      <c r="IU105">
        <v>0</v>
      </c>
      <c r="IV105">
        <v>100</v>
      </c>
      <c r="IW105">
        <v>100</v>
      </c>
      <c r="IX105">
        <v>2.44</v>
      </c>
      <c r="IY105">
        <v>0.4352</v>
      </c>
      <c r="IZ105">
        <v>0.833350075594679</v>
      </c>
      <c r="JA105">
        <v>0.00412825224050377</v>
      </c>
      <c r="JB105">
        <v>-7.34426573386615e-07</v>
      </c>
      <c r="JC105">
        <v>2.46800082545482e-10</v>
      </c>
      <c r="JD105">
        <v>0.435209846415365</v>
      </c>
      <c r="JE105">
        <v>0</v>
      </c>
      <c r="JF105">
        <v>0</v>
      </c>
      <c r="JG105">
        <v>0</v>
      </c>
      <c r="JH105">
        <v>5</v>
      </c>
      <c r="JI105">
        <v>2250</v>
      </c>
      <c r="JJ105">
        <v>0</v>
      </c>
      <c r="JK105">
        <v>24</v>
      </c>
      <c r="JL105">
        <v>29348659.2</v>
      </c>
      <c r="JM105">
        <v>29348659.2</v>
      </c>
      <c r="JN105">
        <v>1.01685</v>
      </c>
      <c r="JO105">
        <v>2.64771</v>
      </c>
      <c r="JP105">
        <v>1.54785</v>
      </c>
      <c r="JQ105">
        <v>2.31689</v>
      </c>
      <c r="JR105">
        <v>1.64673</v>
      </c>
      <c r="JS105">
        <v>2.27539</v>
      </c>
      <c r="JT105">
        <v>33.7606</v>
      </c>
      <c r="JU105">
        <v>24.1663</v>
      </c>
      <c r="JV105">
        <v>18</v>
      </c>
      <c r="JW105">
        <v>486.232</v>
      </c>
      <c r="JX105">
        <v>389.689</v>
      </c>
      <c r="JY105">
        <v>43.1462</v>
      </c>
      <c r="JZ105">
        <v>51.3816</v>
      </c>
      <c r="KA105">
        <v>30.0048</v>
      </c>
      <c r="KB105">
        <v>50.5639</v>
      </c>
      <c r="KC105">
        <v>50.3965</v>
      </c>
      <c r="KD105">
        <v>20.3804</v>
      </c>
      <c r="KE105">
        <v>0</v>
      </c>
      <c r="KF105">
        <v>100</v>
      </c>
      <c r="KG105">
        <v>43.1157</v>
      </c>
      <c r="KH105">
        <v>420</v>
      </c>
      <c r="KI105">
        <v>33.7599</v>
      </c>
      <c r="KJ105">
        <v>93.1086</v>
      </c>
      <c r="KK105">
        <v>89.8715</v>
      </c>
    </row>
    <row r="106" spans="1:297">
      <c r="A106">
        <v>90</v>
      </c>
      <c r="B106">
        <v>1760919687</v>
      </c>
      <c r="C106">
        <v>25922.9000000954</v>
      </c>
      <c r="D106" t="s">
        <v>816</v>
      </c>
      <c r="E106" t="s">
        <v>817</v>
      </c>
      <c r="F106">
        <v>5</v>
      </c>
      <c r="G106" t="s">
        <v>508</v>
      </c>
      <c r="H106" t="s">
        <v>436</v>
      </c>
      <c r="I106">
        <v>1760919679</v>
      </c>
      <c r="J106">
        <f>(K106)/1000</f>
        <v>0</v>
      </c>
      <c r="K106">
        <f>IF(DP106, AN106, AH106)</f>
        <v>0</v>
      </c>
      <c r="L106">
        <f>IF(DP106, AI106, AG106)</f>
        <v>0</v>
      </c>
      <c r="M106">
        <f>DR106 - IF(AU106&gt;1, L106*DL106*100.0/(AW106), 0)</f>
        <v>0</v>
      </c>
      <c r="N106">
        <f>((T106-J106/2)*M106-L106)/(T106+J106/2)</f>
        <v>0</v>
      </c>
      <c r="O106">
        <f>N106*(DY106+DZ106)/1000.0</f>
        <v>0</v>
      </c>
      <c r="P106">
        <f>(DR106 - IF(AU106&gt;1, L106*DL106*100.0/(AW106), 0))*(DY106+DZ106)/1000.0</f>
        <v>0</v>
      </c>
      <c r="Q106">
        <f>2.0/((1/S106-1/R106)+SIGN(S106)*SQRT((1/S106-1/R106)*(1/S106-1/R106) + 4*DM106/((DM106+1)*(DM106+1))*(2*1/S106*1/R106-1/R106*1/R106)))</f>
        <v>0</v>
      </c>
      <c r="R106">
        <f>IF(LEFT(DN106,1)&lt;&gt;"0",IF(LEFT(DN106,1)="1",3.0,DO106),$D$5+$E$5*(EF106*DY106/($K$5*1000))+$F$5*(EF106*DY106/($K$5*1000))*MAX(MIN(DL106,$J$5),$I$5)*MAX(MIN(DL106,$J$5),$I$5)+$G$5*MAX(MIN(DL106,$J$5),$I$5)*(EF106*DY106/($K$5*1000))+$H$5*(EF106*DY106/($K$5*1000))*(EF106*DY106/($K$5*1000)))</f>
        <v>0</v>
      </c>
      <c r="S106">
        <f>J106*(1000-(1000*0.61365*exp(17.502*W106/(240.97+W106))/(DY106+DZ106)+DT106)/2)/(1000*0.61365*exp(17.502*W106/(240.97+W106))/(DY106+DZ106)-DT106)</f>
        <v>0</v>
      </c>
      <c r="T106">
        <f>1/((DM106+1)/(Q106/1.6)+1/(R106/1.37)) + DM106/((DM106+1)/(Q106/1.6) + DM106/(R106/1.37))</f>
        <v>0</v>
      </c>
      <c r="U106">
        <f>(DH106*DK106)</f>
        <v>0</v>
      </c>
      <c r="V106">
        <f>(EA106+(U106+2*0.95*5.67E-8*(((EA106+$B$7)+273)^4-(EA106+273)^4)-44100*J106)/(1.84*29.3*R106+8*0.95*5.67E-8*(EA106+273)^3))</f>
        <v>0</v>
      </c>
      <c r="W106">
        <f>($C$7*EB106+$D$7*EC106+$E$7*V106)</f>
        <v>0</v>
      </c>
      <c r="X106">
        <f>0.61365*exp(17.502*W106/(240.97+W106))</f>
        <v>0</v>
      </c>
      <c r="Y106">
        <f>(Z106/AA106*100)</f>
        <v>0</v>
      </c>
      <c r="Z106">
        <f>DT106*(DY106+DZ106)/1000</f>
        <v>0</v>
      </c>
      <c r="AA106">
        <f>0.61365*exp(17.502*EA106/(240.97+EA106))</f>
        <v>0</v>
      </c>
      <c r="AB106">
        <f>(X106-DT106*(DY106+DZ106)/1000)</f>
        <v>0</v>
      </c>
      <c r="AC106">
        <f>(-J106*44100)</f>
        <v>0</v>
      </c>
      <c r="AD106">
        <f>2*29.3*R106*0.92*(EA106-W106)</f>
        <v>0</v>
      </c>
      <c r="AE106">
        <f>2*0.95*5.67E-8*(((EA106+$B$7)+273)^4-(W106+273)^4)</f>
        <v>0</v>
      </c>
      <c r="AF106">
        <f>U106+AE106+AC106+AD106</f>
        <v>0</v>
      </c>
      <c r="AG106">
        <f>DX106*AU106*(DS106-DR106*(1000-AU106*DU106)/(1000-AU106*DT106))/(100*DL106)</f>
        <v>0</v>
      </c>
      <c r="AH106">
        <f>1000*DX106*AU106*(DT106-DU106)/(100*DL106*(1000-AU106*DT106))</f>
        <v>0</v>
      </c>
      <c r="AI106">
        <f>(AJ106 - AK106 - DY106*1E3/(8.314*(EA106+273.15)) * AM106/DX106 * AL106) * DX106/(100*DL106) * (1000 - DU106)/1000</f>
        <v>0</v>
      </c>
      <c r="AJ106">
        <v>430.313352092668</v>
      </c>
      <c r="AK106">
        <v>431.762090909091</v>
      </c>
      <c r="AL106">
        <v>-0.00152327876475049</v>
      </c>
      <c r="AM106">
        <v>65.1762611912874</v>
      </c>
      <c r="AN106">
        <f>(AP106 - AO106 + DY106*1E3/(8.314*(EA106+273.15)) * AR106/DX106 * AQ106) * DX106/(100*DL106) * 1000/(1000 - AP106)</f>
        <v>0</v>
      </c>
      <c r="AO106">
        <v>23.924769819604</v>
      </c>
      <c r="AP106">
        <v>31.8800278787879</v>
      </c>
      <c r="AQ106">
        <v>-2.11728114925996e-06</v>
      </c>
      <c r="AR106">
        <v>116.032530186064</v>
      </c>
      <c r="AS106">
        <v>13</v>
      </c>
      <c r="AT106">
        <v>3</v>
      </c>
      <c r="AU106">
        <f>IF(AS106*$H$13&gt;=AW106,1.0,(AW106/(AW106-AS106*$H$13)))</f>
        <v>0</v>
      </c>
      <c r="AV106">
        <f>(AU106-1)*100</f>
        <v>0</v>
      </c>
      <c r="AW106">
        <f>MAX(0,($B$13+$C$13*EF106)/(1+$D$13*EF106)*DY106/(EA106+273)*$E$13)</f>
        <v>0</v>
      </c>
      <c r="AX106" t="s">
        <v>437</v>
      </c>
      <c r="AY106">
        <v>5082.33</v>
      </c>
      <c r="AZ106">
        <v>690.032</v>
      </c>
      <c r="BA106">
        <v>1612.68</v>
      </c>
      <c r="BB106">
        <f>1-AZ106/BA106</f>
        <v>0</v>
      </c>
      <c r="BC106">
        <v>-9.7270689171713</v>
      </c>
      <c r="BD106" t="s">
        <v>818</v>
      </c>
      <c r="BE106">
        <v>5107.02</v>
      </c>
      <c r="BF106">
        <v>829.51304</v>
      </c>
      <c r="BG106">
        <v>896.088544453424</v>
      </c>
      <c r="BH106">
        <f>1-BF106/BG106</f>
        <v>0</v>
      </c>
      <c r="BI106">
        <v>0.5</v>
      </c>
      <c r="BJ106">
        <f>DI106</f>
        <v>0</v>
      </c>
      <c r="BK106">
        <f>L106</f>
        <v>0</v>
      </c>
      <c r="BL106">
        <f>BH106*BI106*BJ106</f>
        <v>0</v>
      </c>
      <c r="BM106">
        <f>(BK106-BC106)/BJ106</f>
        <v>0</v>
      </c>
      <c r="BN106">
        <f>(BA106-BG106)/BG106</f>
        <v>0</v>
      </c>
      <c r="BO106">
        <f>AZ106/(BB106+AZ106/BG106)</f>
        <v>0</v>
      </c>
      <c r="BP106" t="s">
        <v>819</v>
      </c>
      <c r="BQ106">
        <v>674.33</v>
      </c>
      <c r="BR106">
        <f>IF(BQ106&lt;&gt;0, BQ106, BO106)</f>
        <v>0</v>
      </c>
      <c r="BS106">
        <f>1-BR106/BG106</f>
        <v>0</v>
      </c>
      <c r="BT106">
        <f>(BG106-BF106)/(BG106-BR106)</f>
        <v>0</v>
      </c>
      <c r="BU106">
        <f>(BA106-BG106)/(BA106-BR106)</f>
        <v>0</v>
      </c>
      <c r="BV106">
        <f>(BG106-BF106)/(BG106-AZ106)</f>
        <v>0</v>
      </c>
      <c r="BW106">
        <f>(BA106-BG106)/(BA106-AZ106)</f>
        <v>0</v>
      </c>
      <c r="BX106">
        <f>(BT106*BR106/BF106)</f>
        <v>0</v>
      </c>
      <c r="BY106">
        <f>(1-BX106)</f>
        <v>0</v>
      </c>
      <c r="BZ106">
        <v>272</v>
      </c>
      <c r="CA106">
        <v>290</v>
      </c>
      <c r="CB106">
        <v>877.6</v>
      </c>
      <c r="CC106">
        <v>195</v>
      </c>
      <c r="CD106">
        <v>5107.02</v>
      </c>
      <c r="CE106">
        <v>878.12</v>
      </c>
      <c r="CF106">
        <v>-0.52</v>
      </c>
      <c r="CG106">
        <v>300</v>
      </c>
      <c r="CH106">
        <v>23.9</v>
      </c>
      <c r="CI106">
        <v>896.088544453424</v>
      </c>
      <c r="CJ106">
        <v>1.72016931969655</v>
      </c>
      <c r="CK106">
        <v>-9.17703269159615</v>
      </c>
      <c r="CL106">
        <v>0.790080431983189</v>
      </c>
      <c r="CM106">
        <v>0.828131794006021</v>
      </c>
      <c r="CN106">
        <v>-0.00322225895439377</v>
      </c>
      <c r="CO106">
        <v>290</v>
      </c>
      <c r="CP106">
        <v>878.94</v>
      </c>
      <c r="CQ106">
        <v>705</v>
      </c>
      <c r="CR106">
        <v>5101.61</v>
      </c>
      <c r="CS106">
        <v>878.1</v>
      </c>
      <c r="CT106">
        <v>0.84</v>
      </c>
      <c r="DH106">
        <f>$B$11*EG106+$C$11*EH106+$F$11*ES106*(1-EV106)</f>
        <v>0</v>
      </c>
      <c r="DI106">
        <f>DH106*DJ106</f>
        <v>0</v>
      </c>
      <c r="DJ106">
        <f>($B$11*$D$9+$C$11*$D$9+$F$11*((FF106+EX106)/MAX(FF106+EX106+FG106, 0.1)*$I$9+FG106/MAX(FF106+EX106+FG106, 0.1)*$J$9))/($B$11+$C$11+$F$11)</f>
        <v>0</v>
      </c>
      <c r="DK106">
        <f>($B$11*$K$9+$C$11*$K$9+$F$11*((FF106+EX106)/MAX(FF106+EX106+FG106, 0.1)*$P$9+FG106/MAX(FF106+EX106+FG106, 0.1)*$Q$9))/($B$11+$C$11+$F$11)</f>
        <v>0</v>
      </c>
      <c r="DL106">
        <v>3.21</v>
      </c>
      <c r="DM106">
        <v>0.5</v>
      </c>
      <c r="DN106" t="s">
        <v>440</v>
      </c>
      <c r="DO106">
        <v>2</v>
      </c>
      <c r="DP106" t="b">
        <v>1</v>
      </c>
      <c r="DQ106">
        <v>1760919679</v>
      </c>
      <c r="DR106">
        <v>417.9794</v>
      </c>
      <c r="DS106">
        <v>420.011066666667</v>
      </c>
      <c r="DT106">
        <v>31.8792266666667</v>
      </c>
      <c r="DU106">
        <v>23.9204</v>
      </c>
      <c r="DV106">
        <v>415.5396</v>
      </c>
      <c r="DW106">
        <v>31.44402</v>
      </c>
      <c r="DX106">
        <v>500.018</v>
      </c>
      <c r="DY106">
        <v>90.5649333333333</v>
      </c>
      <c r="DZ106">
        <v>0.0404971266666667</v>
      </c>
      <c r="EA106">
        <v>48.6666133333333</v>
      </c>
      <c r="EB106">
        <v>48.0115</v>
      </c>
      <c r="EC106">
        <v>999.9</v>
      </c>
      <c r="ED106">
        <v>0</v>
      </c>
      <c r="EE106">
        <v>0</v>
      </c>
      <c r="EF106">
        <v>10006.8413333333</v>
      </c>
      <c r="EG106">
        <v>0</v>
      </c>
      <c r="EH106">
        <v>1240.35466666667</v>
      </c>
      <c r="EI106">
        <v>-2.03169866666667</v>
      </c>
      <c r="EJ106">
        <v>431.743133333333</v>
      </c>
      <c r="EK106">
        <v>430.304066666667</v>
      </c>
      <c r="EL106">
        <v>7.958816</v>
      </c>
      <c r="EM106">
        <v>420.011066666667</v>
      </c>
      <c r="EN106">
        <v>23.9204</v>
      </c>
      <c r="EO106">
        <v>2.88714066666667</v>
      </c>
      <c r="EP106">
        <v>2.16635</v>
      </c>
      <c r="EQ106">
        <v>23.39096</v>
      </c>
      <c r="ER106">
        <v>18.7156133333333</v>
      </c>
      <c r="ES106">
        <v>1199.982</v>
      </c>
      <c r="ET106">
        <v>0.967000666666667</v>
      </c>
      <c r="EU106">
        <v>0.0329990933333333</v>
      </c>
      <c r="EV106">
        <v>0</v>
      </c>
      <c r="EW106">
        <v>829.5592</v>
      </c>
      <c r="EX106">
        <v>5.00059</v>
      </c>
      <c r="EY106">
        <v>10959.2</v>
      </c>
      <c r="EZ106">
        <v>10358.56</v>
      </c>
      <c r="FA106">
        <v>62.7581333333333</v>
      </c>
      <c r="FB106">
        <v>64.4914666666667</v>
      </c>
      <c r="FC106">
        <v>62.8455333333333</v>
      </c>
      <c r="FD106">
        <v>64.2164</v>
      </c>
      <c r="FE106">
        <v>63.8874</v>
      </c>
      <c r="FF106">
        <v>1155.55133333333</v>
      </c>
      <c r="FG106">
        <v>39.43</v>
      </c>
      <c r="FH106">
        <v>0</v>
      </c>
      <c r="FI106">
        <v>133.400000095367</v>
      </c>
      <c r="FJ106">
        <v>0</v>
      </c>
      <c r="FK106">
        <v>829.51304</v>
      </c>
      <c r="FL106">
        <v>1.13576922666465</v>
      </c>
      <c r="FM106">
        <v>52.0153844839546</v>
      </c>
      <c r="FN106">
        <v>10959.996</v>
      </c>
      <c r="FO106">
        <v>15</v>
      </c>
      <c r="FP106">
        <v>0</v>
      </c>
      <c r="FQ106" t="s">
        <v>441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-2.04206142857143</v>
      </c>
      <c r="GD106">
        <v>0.151340259740257</v>
      </c>
      <c r="GE106">
        <v>0.0373669496551513</v>
      </c>
      <c r="GF106">
        <v>1</v>
      </c>
      <c r="GG106">
        <v>829.496294117647</v>
      </c>
      <c r="GH106">
        <v>0.347379680735524</v>
      </c>
      <c r="GI106">
        <v>0.234651998827264</v>
      </c>
      <c r="GJ106">
        <v>-1</v>
      </c>
      <c r="GK106">
        <v>7.96086047619048</v>
      </c>
      <c r="GL106">
        <v>-0.0384896103896202</v>
      </c>
      <c r="GM106">
        <v>0.00411464802196631</v>
      </c>
      <c r="GN106">
        <v>1</v>
      </c>
      <c r="GO106">
        <v>2</v>
      </c>
      <c r="GP106">
        <v>2</v>
      </c>
      <c r="GQ106" t="s">
        <v>442</v>
      </c>
      <c r="GR106">
        <v>3.1268</v>
      </c>
      <c r="GS106">
        <v>2.71879</v>
      </c>
      <c r="GT106">
        <v>0.0841975</v>
      </c>
      <c r="GU106">
        <v>0.0850279</v>
      </c>
      <c r="GV106">
        <v>0.119805</v>
      </c>
      <c r="GW106">
        <v>0.0982256</v>
      </c>
      <c r="GX106">
        <v>32884.7</v>
      </c>
      <c r="GY106">
        <v>34756.9</v>
      </c>
      <c r="GZ106">
        <v>32613.2</v>
      </c>
      <c r="HA106">
        <v>34520</v>
      </c>
      <c r="HB106">
        <v>40976.7</v>
      </c>
      <c r="HC106">
        <v>44881.9</v>
      </c>
      <c r="HD106">
        <v>51238.8</v>
      </c>
      <c r="HE106">
        <v>55365.3</v>
      </c>
      <c r="HF106">
        <v>1.6814</v>
      </c>
      <c r="HG106">
        <v>1.5468</v>
      </c>
      <c r="HH106">
        <v>-0.0555813</v>
      </c>
      <c r="HI106">
        <v>0</v>
      </c>
      <c r="HJ106">
        <v>48.8836</v>
      </c>
      <c r="HK106">
        <v>999.9</v>
      </c>
      <c r="HL106">
        <v>54.346</v>
      </c>
      <c r="HM106">
        <v>29.769</v>
      </c>
      <c r="HN106">
        <v>25.2298</v>
      </c>
      <c r="HO106">
        <v>60.4792</v>
      </c>
      <c r="HP106">
        <v>41.0337</v>
      </c>
      <c r="HQ106">
        <v>1</v>
      </c>
      <c r="HR106">
        <v>2.28051</v>
      </c>
      <c r="HS106">
        <v>4.81967</v>
      </c>
      <c r="HT106">
        <v>20.0576</v>
      </c>
      <c r="HU106">
        <v>5.18734</v>
      </c>
      <c r="HV106">
        <v>12.0159</v>
      </c>
      <c r="HW106">
        <v>4.9693</v>
      </c>
      <c r="HX106">
        <v>3.295</v>
      </c>
      <c r="HY106">
        <v>9999</v>
      </c>
      <c r="HZ106">
        <v>999.9</v>
      </c>
      <c r="IA106">
        <v>9999</v>
      </c>
      <c r="IB106">
        <v>9999</v>
      </c>
      <c r="IC106">
        <v>1.86325</v>
      </c>
      <c r="ID106">
        <v>1.86804</v>
      </c>
      <c r="IE106">
        <v>1.86783</v>
      </c>
      <c r="IF106">
        <v>1.86904</v>
      </c>
      <c r="IG106">
        <v>1.86981</v>
      </c>
      <c r="IH106">
        <v>1.86584</v>
      </c>
      <c r="II106">
        <v>1.86693</v>
      </c>
      <c r="IJ106">
        <v>1.86834</v>
      </c>
      <c r="IK106">
        <v>5</v>
      </c>
      <c r="IL106">
        <v>0</v>
      </c>
      <c r="IM106">
        <v>0</v>
      </c>
      <c r="IN106">
        <v>0</v>
      </c>
      <c r="IO106" t="s">
        <v>443</v>
      </c>
      <c r="IP106" t="s">
        <v>444</v>
      </c>
      <c r="IQ106" t="s">
        <v>445</v>
      </c>
      <c r="IR106" t="s">
        <v>445</v>
      </c>
      <c r="IS106" t="s">
        <v>445</v>
      </c>
      <c r="IT106" t="s">
        <v>445</v>
      </c>
      <c r="IU106">
        <v>0</v>
      </c>
      <c r="IV106">
        <v>100</v>
      </c>
      <c r="IW106">
        <v>100</v>
      </c>
      <c r="IX106">
        <v>2.44</v>
      </c>
      <c r="IY106">
        <v>0.4352</v>
      </c>
      <c r="IZ106">
        <v>0.833350075594679</v>
      </c>
      <c r="JA106">
        <v>0.00412825224050377</v>
      </c>
      <c r="JB106">
        <v>-7.34426573386615e-07</v>
      </c>
      <c r="JC106">
        <v>2.46800082545482e-10</v>
      </c>
      <c r="JD106">
        <v>0.435209846415365</v>
      </c>
      <c r="JE106">
        <v>0</v>
      </c>
      <c r="JF106">
        <v>0</v>
      </c>
      <c r="JG106">
        <v>0</v>
      </c>
      <c r="JH106">
        <v>5</v>
      </c>
      <c r="JI106">
        <v>2250</v>
      </c>
      <c r="JJ106">
        <v>0</v>
      </c>
      <c r="JK106">
        <v>24</v>
      </c>
      <c r="JL106">
        <v>29348661.4</v>
      </c>
      <c r="JM106">
        <v>29348661.4</v>
      </c>
      <c r="JN106">
        <v>1.01685</v>
      </c>
      <c r="JO106">
        <v>2.64404</v>
      </c>
      <c r="JP106">
        <v>1.54785</v>
      </c>
      <c r="JQ106">
        <v>2.31689</v>
      </c>
      <c r="JR106">
        <v>1.64673</v>
      </c>
      <c r="JS106">
        <v>2.32422</v>
      </c>
      <c r="JT106">
        <v>33.7832</v>
      </c>
      <c r="JU106">
        <v>24.1575</v>
      </c>
      <c r="JV106">
        <v>18</v>
      </c>
      <c r="JW106">
        <v>483.522</v>
      </c>
      <c r="JX106">
        <v>386.981</v>
      </c>
      <c r="JY106">
        <v>42.1653</v>
      </c>
      <c r="JZ106">
        <v>52.6265</v>
      </c>
      <c r="KA106">
        <v>30.0047</v>
      </c>
      <c r="KB106">
        <v>51.6917</v>
      </c>
      <c r="KC106">
        <v>51.5055</v>
      </c>
      <c r="KD106">
        <v>20.3784</v>
      </c>
      <c r="KE106">
        <v>0</v>
      </c>
      <c r="KF106">
        <v>100</v>
      </c>
      <c r="KG106">
        <v>42.1643</v>
      </c>
      <c r="KH106">
        <v>420</v>
      </c>
      <c r="KI106">
        <v>33.7599</v>
      </c>
      <c r="KJ106">
        <v>92.8841</v>
      </c>
      <c r="KK106">
        <v>89.5825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2025-10-19T19:24:32Z</dcterms:created>
  <dcterms:modified xsi:type="dcterms:W3CDTF">2025-10-19T19:24:32Z</dcterms:modified>
</cp:coreProperties>
</file>