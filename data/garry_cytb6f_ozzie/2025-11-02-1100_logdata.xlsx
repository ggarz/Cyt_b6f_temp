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<sst xmlns="http://schemas.openxmlformats.org/spreadsheetml/2006/main" count="1577" uniqueCount="542">
  <si>
    <t>File opened</t>
  </si>
  <si>
    <t>2025-11-02 11:00:53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</si>
  <si>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</si>
  <si>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</si>
  <si>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</si>
  <si>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</si>
  <si>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</si>
  <si>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</si>
  <si>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</si>
  <si>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</si>
  <si>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</si>
  <si>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</si>
  <si>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</si>
  <si>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{"chamberpressurezero": "2.62959", "co2bspan2": "-0.0354637", "h2obspanconc1": "11.69", "h2oaspan2b": "0.0649319", "h2obzero": "1.10982", "co2bzero": "0.901409", "co2bspan2b": "0.297586", "h2obspan2": "0", "h2obspan1": "1.01187", "h2oazero": "1.10043", "co2aspan2": "-0.0352407", "co2azero": "0.900515", "h2obspan2a": "0.0647193", "h2oaspan2a": "0.0642495", "flowazero": "0.29401", "co2aspanconc2": "301.4", "oxygen": "21", "co2aspanconc1": "2473", "tazero": "0.20418", "h2oaspan2": "0", "co2aspan1": "1.00063", "h2oaspan1": "1.01062", "co2bspan1": "1.00051", "co2aspan2a": "0.300986", "h2obspan2b": "0.0654872", "h2oaspanconc2": "0", "flowmeterzero": "2.49091", "h2obspanconc2": "0", "co2bspan2a": "0.300636", "tbzero": "0.339216", "co2aspan2b": "0.297984", "co2bspanconc2": "301.4", "flowbzero": "0.28105", "h2oaspanconc1": "11.69", "co2bspanconc1": "2473", "ssa_ref": "45138", "ssb_ref": "50169"}</t>
  </si>
  <si>
    <t>Factory cal date</t>
  </si>
  <si>
    <t>19 Oct 2023</t>
  </si>
  <si>
    <t>CO2 rangematch</t>
  </si>
  <si>
    <t>Sun Nov  2 10:38</t>
  </si>
  <si>
    <t>H2O rangematch</t>
  </si>
  <si>
    <t>Sun Nov  2 10:45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</si>
  <si>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</si>
  <si>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</si>
  <si>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</si>
  <si>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</si>
  <si>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</si>
  <si>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</si>
  <si>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</si>
  <si>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</si>
  <si>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</si>
  <si>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11:00:54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</si>
  <si>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</si>
  <si>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</si>
  <si>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</si>
  <si>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</si>
  <si>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</si>
  <si>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</si>
  <si>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</si>
  <si>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</si>
  <si>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</si>
  <si>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</si>
  <si>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</si>
  <si>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</si>
  <si>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</si>
  <si>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</si>
  <si>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</si>
  <si>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</si>
  <si>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</si>
  <si>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</si>
  <si>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</si>
  <si>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</si>
  <si>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</si>
  <si>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</si>
  <si>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</si>
  <si>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</si>
  <si>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</si>
  <si>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</si>
  <si>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</si>
  <si>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</si>
  <si>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</si>
  <si>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</si>
  <si>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</si>
  <si>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</si>
  <si>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</si>
  <si>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</si>
  <si>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</si>
  <si>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</si>
  <si>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</si>
  <si>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</si>
  <si>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</si>
  <si>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</si>
  <si>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</si>
  <si>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</si>
  <si>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</si>
  <si>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</si>
  <si>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</si>
  <si>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</si>
  <si>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</si>
  <si>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</si>
  <si>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</si>
  <si>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</si>
  <si>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</si>
  <si>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</si>
  <si>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4.12896 185.644 343.295 628.865 867.355 1077.45 1242.43 1403.78</t>
  </si>
  <si>
    <t>Fs_true</t>
  </si>
  <si>
    <t>-0.455875 214.375 373.94 614.872 800.101 1005.86 1201.16 1401.48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</si>
  <si>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</si>
  <si>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</si>
  <si>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</si>
  <si>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</si>
  <si>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</si>
  <si>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</si>
  <si>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</si>
  <si>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</si>
  <si>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</si>
  <si>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</si>
  <si>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</si>
  <si>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</si>
  <si>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</si>
  <si>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</si>
  <si>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</si>
  <si>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</si>
  <si>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</si>
  <si>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</si>
  <si>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</si>
  <si>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</si>
  <si>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</si>
  <si>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</si>
  <si>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</si>
  <si>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</si>
  <si>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</si>
  <si>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</si>
  <si>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</si>
  <si>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</si>
  <si>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</si>
  <si>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</si>
  <si>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</si>
  <si>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</si>
  <si>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</si>
  <si>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</si>
  <si>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</si>
  <si>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</si>
  <si>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</si>
  <si>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</si>
  <si>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</si>
  <si>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</si>
  <si>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</si>
  <si>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</si>
  <si>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</si>
  <si>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</si>
  <si>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</si>
  <si>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</si>
  <si>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</si>
  <si>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</si>
  <si>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</si>
  <si>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</si>
  <si>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</si>
  <si>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</si>
  <si>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</si>
  <si>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</si>
  <si>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</si>
  <si>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</si>
  <si>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</si>
  <si>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</si>
  <si>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</si>
  <si>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</si>
  <si>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</si>
  <si>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</si>
  <si>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</si>
  <si>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</si>
  <si>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</si>
  <si>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</si>
  <si>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</si>
  <si>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</si>
  <si>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</si>
  <si>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</si>
  <si>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</si>
  <si>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</si>
  <si>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</si>
  <si>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</si>
  <si>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</si>
  <si>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</si>
  <si>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</si>
  <si>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</si>
  <si>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</si>
  <si>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</si>
  <si>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</si>
  <si>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</si>
  <si>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</si>
  <si>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</si>
  <si>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</si>
  <si>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</si>
  <si>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</si>
  <si>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</si>
  <si>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</si>
  <si>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</si>
  <si>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</si>
  <si>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</si>
  <si>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</si>
  <si>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</si>
  <si>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</si>
  <si>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</si>
  <si>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</si>
  <si>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</si>
  <si>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</si>
  <si>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</si>
  <si>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</si>
  <si>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</si>
  <si>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</si>
  <si>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</si>
  <si>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</si>
  <si>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</si>
  <si>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</si>
  <si>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</si>
  <si>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</si>
  <si>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</si>
  <si>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</si>
  <si>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</si>
  <si>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</si>
  <si>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</si>
  <si>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</si>
  <si>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</si>
  <si>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</si>
  <si>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</si>
  <si>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</si>
  <si>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</si>
  <si>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</si>
  <si>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</si>
  <si>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</si>
  <si>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</si>
  <si>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</si>
  <si>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</si>
  <si>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</si>
  <si>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</si>
  <si>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</si>
  <si>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</si>
  <si>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</si>
  <si>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</si>
  <si>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</si>
  <si>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</si>
  <si>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</si>
  <si>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</si>
  <si>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</si>
  <si>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</si>
  <si>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</si>
  <si>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</si>
  <si>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</si>
  <si>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</si>
  <si>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</si>
  <si>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</si>
  <si>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</si>
  <si>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</si>
  <si>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</si>
  <si>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</si>
  <si>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</si>
  <si>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</si>
  <si>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</si>
  <si>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</si>
  <si>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</si>
  <si>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</si>
  <si>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</si>
  <si>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</si>
  <si>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</si>
  <si>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</si>
  <si>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</si>
  <si>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</si>
  <si>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</si>
  <si>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</si>
  <si>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</si>
  <si>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</si>
  <si>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</si>
  <si>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</si>
  <si>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</si>
  <si>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</si>
  <si>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</si>
  <si>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</si>
  <si>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</si>
  <si>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</si>
  <si>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</si>
  <si>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</si>
  <si>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</si>
  <si>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</si>
  <si>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</si>
  <si>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</si>
  <si>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</si>
  <si>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</si>
  <si>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</si>
  <si>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</si>
  <si>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</si>
  <si>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</si>
  <si>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</si>
  <si>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</si>
  <si>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</si>
  <si>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</si>
  <si>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</si>
  <si>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</si>
  <si>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</si>
  <si>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</si>
  <si>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</si>
  <si>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</si>
  <si>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</si>
  <si>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</si>
  <si>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</si>
  <si>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</si>
  <si>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</si>
  <si>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</si>
  <si>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</si>
  <si>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</si>
  <si>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</si>
  <si>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</si>
  <si>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</si>
  <si>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</si>
  <si>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</si>
  <si>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</si>
  <si>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</si>
  <si>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</si>
  <si>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</si>
  <si>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</si>
  <si>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</si>
  <si>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</si>
  <si>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</si>
  <si>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</si>
  <si>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</si>
  <si>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</si>
  <si>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</si>
  <si>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</si>
  <si>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</si>
  <si>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</si>
  <si>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</si>
  <si>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</si>
  <si>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</si>
  <si>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</si>
  <si>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</si>
  <si>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</si>
  <si>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</si>
  <si>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</si>
  <si>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</si>
  <si>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</si>
  <si>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</si>
  <si>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</si>
  <si>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</si>
  <si>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</si>
  <si>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</si>
  <si>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</si>
  <si>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</si>
  <si>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</si>
  <si>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</si>
  <si>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</si>
  <si>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</si>
  <si>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</si>
  <si>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</si>
  <si>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</si>
  <si>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</si>
  <si>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</si>
  <si>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</si>
  <si>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</si>
  <si>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</si>
  <si>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</si>
  <si>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</si>
  <si>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</si>
  <si>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</si>
  <si>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</si>
  <si>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</si>
  <si>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</si>
  <si>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</si>
  <si>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</si>
  <si>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</si>
  <si>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</si>
  <si>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</si>
  <si>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</si>
  <si>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</si>
  <si>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</si>
  <si>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</si>
  <si>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</si>
  <si>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</si>
  <si>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</si>
  <si>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</si>
  <si>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</si>
  <si>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</si>
  <si>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</si>
  <si>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</si>
  <si>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</si>
  <si>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</si>
  <si>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</si>
  <si>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</si>
  <si>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</si>
  <si>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</si>
  <si>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</si>
  <si>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</si>
  <si>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</si>
  <si>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</si>
  <si>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</si>
  <si>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</si>
  <si>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</si>
  <si>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</si>
  <si>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</si>
  <si>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</si>
  <si>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</si>
  <si>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</si>
  <si>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</si>
  <si>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</si>
  <si>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</si>
  <si>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</si>
  <si>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</si>
  <si>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</si>
  <si>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</si>
  <si>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</si>
  <si>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</si>
  <si>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</si>
  <si>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</si>
  <si>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</si>
  <si>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</si>
  <si>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</si>
  <si>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</si>
  <si>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</si>
  <si>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</si>
  <si>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</si>
  <si>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</si>
  <si>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</si>
  <si>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</si>
  <si>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</si>
  <si>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</si>
  <si>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</si>
  <si>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</si>
  <si>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</si>
  <si>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</si>
  <si>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</si>
  <si>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</si>
  <si>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</si>
  <si>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</si>
  <si>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</si>
  <si>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</si>
  <si>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</si>
  <si>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</si>
  <si>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</si>
  <si>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</si>
  <si>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</si>
  <si>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</si>
  <si>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</si>
  <si>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</si>
  <si>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</si>
  <si>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</si>
  <si>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</si>
  <si>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</si>
  <si>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</si>
  <si>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</si>
  <si>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</si>
  <si>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</si>
  <si>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</si>
  <si>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</si>
  <si>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</si>
  <si>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</si>
  <si>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</si>
  <si>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</si>
  <si>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11:13:15</t>
  </si>
  <si>
    <t>11:13:15</t>
  </si>
  <si>
    <t>gg_39</t>
  </si>
  <si>
    <t>ozzie</t>
  </si>
  <si>
    <t>RECT-420-20251102-11_12_12</t>
  </si>
  <si>
    <t>-</t>
  </si>
  <si>
    <t>0: Broadleaf</t>
  </si>
  <si>
    <t>--:--:--</t>
  </si>
  <si>
    <t>1/2</t>
  </si>
  <si>
    <t>11111111</t>
  </si>
  <si>
    <t>oooooooo</t>
  </si>
  <si>
    <t>off</t>
  </si>
  <si>
    <t>20251103 11:15:15</t>
  </si>
  <si>
    <t>11:15:15</t>
  </si>
  <si>
    <t>RECT-421-20251102-11_14_12</t>
  </si>
  <si>
    <t>20251103 11:17:01</t>
  </si>
  <si>
    <t>11:17:01</t>
  </si>
  <si>
    <t>RECT-422-20251102-11_15_58</t>
  </si>
  <si>
    <t>20251103 11:26:05</t>
  </si>
  <si>
    <t>11:26:05</t>
  </si>
  <si>
    <t>gg_37</t>
  </si>
  <si>
    <t>RECT-423-20251102-11_25_02</t>
  </si>
  <si>
    <t>20251103 11:28:43</t>
  </si>
  <si>
    <t>11:28:43</t>
  </si>
  <si>
    <t>RECT-424-20251102-11_27_40</t>
  </si>
  <si>
    <t>20251103 11:31:09</t>
  </si>
  <si>
    <t>11:31:09</t>
  </si>
  <si>
    <t>RECT-425-20251102-11_30_06</t>
  </si>
  <si>
    <t>20251103 11:39:58</t>
  </si>
  <si>
    <t>11:39:58</t>
  </si>
  <si>
    <t>gg_13</t>
  </si>
  <si>
    <t>RECT-426-20251102-11_38_55</t>
  </si>
  <si>
    <t>20251103 11:42:36</t>
  </si>
  <si>
    <t>11:42:36</t>
  </si>
  <si>
    <t>RECT-427-20251102-11_41_33</t>
  </si>
  <si>
    <t>2/2</t>
  </si>
  <si>
    <t>20251103 11:44:29</t>
  </si>
  <si>
    <t>11:44:29</t>
  </si>
  <si>
    <t>RECT-428-20251102-11_43_26</t>
  </si>
  <si>
    <t>20251103 11:53:38</t>
  </si>
  <si>
    <t>11:53:38</t>
  </si>
  <si>
    <t>gg_11</t>
  </si>
  <si>
    <t>RECT-429-20251102-11_52_35</t>
  </si>
  <si>
    <t>20251103 11:55:57</t>
  </si>
  <si>
    <t>11:55:57</t>
  </si>
  <si>
    <t>RECT-430-20251102-11_54_54</t>
  </si>
  <si>
    <t>20251103 11:57:48</t>
  </si>
  <si>
    <t>11:57:48</t>
  </si>
  <si>
    <t>RECT-431-20251102-11_56_44</t>
  </si>
  <si>
    <t>20251103 12:05:40</t>
  </si>
  <si>
    <t>12:05:40</t>
  </si>
  <si>
    <t>gg_31</t>
  </si>
  <si>
    <t>RECT-432-20251102-12_04_37</t>
  </si>
  <si>
    <t>0/2</t>
  </si>
  <si>
    <t>20251103 12:08:24</t>
  </si>
  <si>
    <t>12:08:24</t>
  </si>
  <si>
    <t>RECT-433-20251102-12_07_21</t>
  </si>
  <si>
    <t>20251103 12:10:11</t>
  </si>
  <si>
    <t>12:10:11</t>
  </si>
  <si>
    <t>RECT-434-20251102-12_09_08</t>
  </si>
  <si>
    <t>20251103 12:18:15</t>
  </si>
  <si>
    <t>12:18:15</t>
  </si>
  <si>
    <t>gg_29</t>
  </si>
  <si>
    <t>RECT-435-20251102-12_17_12</t>
  </si>
  <si>
    <t>20251103 12:19:24</t>
  </si>
  <si>
    <t>12:19:24</t>
  </si>
  <si>
    <t>20251103 12:21:55</t>
  </si>
  <si>
    <t>12:21:55</t>
  </si>
  <si>
    <t>RECT-436-20251102-12_20_52</t>
  </si>
  <si>
    <t>20251103 12:33:37</t>
  </si>
  <si>
    <t>12:33:37</t>
  </si>
  <si>
    <t>gg_5</t>
  </si>
  <si>
    <t>RECT-437-20251102-12_32_34</t>
  </si>
  <si>
    <t>20251103 12:36:11</t>
  </si>
  <si>
    <t>12:36:11</t>
  </si>
  <si>
    <t>RECT-438-20251102-12_35_08</t>
  </si>
  <si>
    <t>20251103 12:39:03</t>
  </si>
  <si>
    <t>12:39:03</t>
  </si>
  <si>
    <t>RECT-439-20251102-12_38_00</t>
  </si>
  <si>
    <t>20251103 12:50:59</t>
  </si>
  <si>
    <t>12:50:59</t>
  </si>
  <si>
    <t>gg_35</t>
  </si>
  <si>
    <t>RECT-440-20251102-12_49_56</t>
  </si>
  <si>
    <t>20251103 12:54:46</t>
  </si>
  <si>
    <t>12:54:46</t>
  </si>
  <si>
    <t>RECT-441-20251102-12_53_44</t>
  </si>
  <si>
    <t>20251103 12:57:26</t>
  </si>
  <si>
    <t>12:57:26</t>
  </si>
  <si>
    <t>RECT-442-20251102-12_56_23</t>
  </si>
  <si>
    <t>20251103 13:04:47</t>
  </si>
  <si>
    <t>13:04:47</t>
  </si>
  <si>
    <t>gg_21</t>
  </si>
  <si>
    <t>RECT-443-20251102-13_03_44</t>
  </si>
  <si>
    <t>20251103 13:06:56</t>
  </si>
  <si>
    <t>13:06:56</t>
  </si>
  <si>
    <t>RECT-444-20251102-13_05_53</t>
  </si>
  <si>
    <t>20251103 13:08:48</t>
  </si>
  <si>
    <t>13:08:48</t>
  </si>
  <si>
    <t>RECT-445-20251102-13_07_45</t>
  </si>
  <si>
    <t>20251103 13:18:11</t>
  </si>
  <si>
    <t>13:18:11</t>
  </si>
  <si>
    <t>gg_15</t>
  </si>
  <si>
    <t>RECT-446-20251102-13_17_08</t>
  </si>
  <si>
    <t>20251103 13:21:16</t>
  </si>
  <si>
    <t>13:21:16</t>
  </si>
  <si>
    <t>RECT-447-20251102-13_20_13</t>
  </si>
  <si>
    <t>20251103 13:22:52</t>
  </si>
  <si>
    <t>13:22:52</t>
  </si>
  <si>
    <t>RECT-448-20251102-13_21_50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</si>
</sst>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1762189995.1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1762189986.6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429.283109382963</v>
      </c>
      <c r="AK17">
        <v>439.991036363637</v>
      </c>
      <c r="AL17">
        <v>-0.00526963685502344</v>
      </c>
      <c r="AM17">
        <v>63.5862608009497</v>
      </c>
      <c r="AN17">
        <f>(AP17 - AO17 + DY17*1E3/(8.314*(EA17+273.15)) * AR17/DX17 * AQ17) * DX17/(100*DL17) * 1000/(1000 - AP17)</f>
        <v>0</v>
      </c>
      <c r="AO17">
        <v>21.7639373478366</v>
      </c>
      <c r="AP17">
        <v>28.1876612121212</v>
      </c>
      <c r="AQ17">
        <v>0.00554225285027827</v>
      </c>
      <c r="AR17">
        <v>99.9919565639748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5092.04</v>
      </c>
      <c r="AZ17">
        <v>1008.812</v>
      </c>
      <c r="BA17">
        <v>2157.96</v>
      </c>
      <c r="BB17">
        <f>1-AZ17/BA17</f>
        <v>0</v>
      </c>
      <c r="BC17">
        <v>-8.71031313596197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1762189986.6</v>
      </c>
      <c r="DR17">
        <v>427.63375</v>
      </c>
      <c r="DS17">
        <v>420.0133125</v>
      </c>
      <c r="DT17">
        <v>28.1495</v>
      </c>
      <c r="DU17">
        <v>21.7672375</v>
      </c>
      <c r="DV17">
        <v>424.59875</v>
      </c>
      <c r="DW17">
        <v>27.9253</v>
      </c>
      <c r="DX17">
        <v>500.0080625</v>
      </c>
      <c r="DY17">
        <v>90.89998125</v>
      </c>
      <c r="DZ17">
        <v>0.10000725625</v>
      </c>
      <c r="EA17">
        <v>43.4634125</v>
      </c>
      <c r="EB17">
        <v>41.89639375</v>
      </c>
      <c r="EC17">
        <v>999.9</v>
      </c>
      <c r="ED17">
        <v>0</v>
      </c>
      <c r="EE17">
        <v>0</v>
      </c>
      <c r="EF17">
        <v>10000.078125</v>
      </c>
      <c r="EG17">
        <v>0</v>
      </c>
      <c r="EH17">
        <v>0.27582</v>
      </c>
      <c r="EI17">
        <v>7.62051</v>
      </c>
      <c r="EJ17">
        <v>440.020125</v>
      </c>
      <c r="EK17">
        <v>429.35925</v>
      </c>
      <c r="EL17">
        <v>6.382275625</v>
      </c>
      <c r="EM17">
        <v>420.0133125</v>
      </c>
      <c r="EN17">
        <v>21.7672375</v>
      </c>
      <c r="EO17">
        <v>2.55879</v>
      </c>
      <c r="EP17">
        <v>1.9786425</v>
      </c>
      <c r="EQ17">
        <v>21.40535</v>
      </c>
      <c r="ER17">
        <v>17.27445</v>
      </c>
      <c r="ES17">
        <v>0.00500059</v>
      </c>
      <c r="ET17">
        <v>0</v>
      </c>
      <c r="EU17">
        <v>0</v>
      </c>
      <c r="EV17">
        <v>0</v>
      </c>
      <c r="EW17">
        <v>1007.8125</v>
      </c>
      <c r="EX17">
        <v>0.00500059</v>
      </c>
      <c r="EY17">
        <v>39.55625</v>
      </c>
      <c r="EZ17">
        <v>0.89375</v>
      </c>
      <c r="FA17">
        <v>44.562</v>
      </c>
      <c r="FB17">
        <v>47.187</v>
      </c>
      <c r="FC17">
        <v>45.511625</v>
      </c>
      <c r="FD17">
        <v>47.312</v>
      </c>
      <c r="FE17">
        <v>46.944875</v>
      </c>
      <c r="FF17">
        <v>0</v>
      </c>
      <c r="FG17">
        <v>0</v>
      </c>
      <c r="FH17">
        <v>0</v>
      </c>
      <c r="FI17">
        <v>1762189940.8</v>
      </c>
      <c r="FJ17">
        <v>0</v>
      </c>
      <c r="FK17">
        <v>1008.812</v>
      </c>
      <c r="FL17">
        <v>12.5846152989827</v>
      </c>
      <c r="FM17">
        <v>4.56153889852159</v>
      </c>
      <c r="FN17">
        <v>39.124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7.616841</v>
      </c>
      <c r="GD17">
        <v>0.3868890225564</v>
      </c>
      <c r="GE17">
        <v>0.0899256071928347</v>
      </c>
      <c r="GF17">
        <v>1</v>
      </c>
      <c r="GG17">
        <v>1008.69705882353</v>
      </c>
      <c r="GH17">
        <v>5.33689826256948</v>
      </c>
      <c r="GI17">
        <v>5.68726571820598</v>
      </c>
      <c r="GJ17">
        <v>-1</v>
      </c>
      <c r="GK17">
        <v>6.371665</v>
      </c>
      <c r="GL17">
        <v>0.31780962406015</v>
      </c>
      <c r="GM17">
        <v>0.0306201245098709</v>
      </c>
      <c r="GN17">
        <v>0</v>
      </c>
      <c r="GO17">
        <v>1</v>
      </c>
      <c r="GP17">
        <v>2</v>
      </c>
      <c r="GQ17" t="s">
        <v>441</v>
      </c>
      <c r="GR17">
        <v>3.12898</v>
      </c>
      <c r="GS17">
        <v>2.77793</v>
      </c>
      <c r="GT17">
        <v>0.0880894</v>
      </c>
      <c r="GU17">
        <v>0.0874719</v>
      </c>
      <c r="GV17">
        <v>0.113241</v>
      </c>
      <c r="GW17">
        <v>0.094281</v>
      </c>
      <c r="GX17">
        <v>33507.2</v>
      </c>
      <c r="GY17">
        <v>35667.8</v>
      </c>
      <c r="GZ17">
        <v>33314.9</v>
      </c>
      <c r="HA17">
        <v>35461.6</v>
      </c>
      <c r="HB17">
        <v>41915.5</v>
      </c>
      <c r="HC17">
        <v>46158.3</v>
      </c>
      <c r="HD17">
        <v>52124.3</v>
      </c>
      <c r="HE17">
        <v>56713.5</v>
      </c>
      <c r="HF17">
        <v>1.79635</v>
      </c>
      <c r="HG17">
        <v>2.16077</v>
      </c>
      <c r="HH17">
        <v>0.0692531</v>
      </c>
      <c r="HI17">
        <v>0</v>
      </c>
      <c r="HJ17">
        <v>40.8053</v>
      </c>
      <c r="HK17">
        <v>999.9</v>
      </c>
      <c r="HL17">
        <v>61.574</v>
      </c>
      <c r="HM17">
        <v>25.962</v>
      </c>
      <c r="HN17">
        <v>22.8071</v>
      </c>
      <c r="HO17">
        <v>60.0474</v>
      </c>
      <c r="HP17">
        <v>33.9303</v>
      </c>
      <c r="HQ17">
        <v>2</v>
      </c>
      <c r="HR17">
        <v>1.20835</v>
      </c>
      <c r="HS17">
        <v>-3.02733</v>
      </c>
      <c r="HT17">
        <v>20.1187</v>
      </c>
      <c r="HU17">
        <v>5.19033</v>
      </c>
      <c r="HV17">
        <v>12.0099</v>
      </c>
      <c r="HW17">
        <v>4.9723</v>
      </c>
      <c r="HX17">
        <v>3.295</v>
      </c>
      <c r="HY17">
        <v>9999</v>
      </c>
      <c r="HZ17">
        <v>9999</v>
      </c>
      <c r="IA17">
        <v>9999</v>
      </c>
      <c r="IB17">
        <v>999.9</v>
      </c>
      <c r="IC17">
        <v>1.8631</v>
      </c>
      <c r="ID17">
        <v>1.86805</v>
      </c>
      <c r="IE17">
        <v>1.86784</v>
      </c>
      <c r="IF17">
        <v>1.86903</v>
      </c>
      <c r="IG17">
        <v>1.86981</v>
      </c>
      <c r="IH17">
        <v>1.86584</v>
      </c>
      <c r="II17">
        <v>1.86704</v>
      </c>
      <c r="IJ17">
        <v>1.86843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3.035</v>
      </c>
      <c r="IY17">
        <v>0.2242</v>
      </c>
      <c r="IZ17">
        <v>1.07199260846131</v>
      </c>
      <c r="JA17">
        <v>0.00518756196715005</v>
      </c>
      <c r="JB17">
        <v>-1.52380604235834e-06</v>
      </c>
      <c r="JC17">
        <v>4.55768161354542e-10</v>
      </c>
      <c r="JD17">
        <v>0.224209222432812</v>
      </c>
      <c r="JE17">
        <v>0</v>
      </c>
      <c r="JF17">
        <v>0</v>
      </c>
      <c r="JG17">
        <v>0</v>
      </c>
      <c r="JH17">
        <v>4</v>
      </c>
      <c r="JI17">
        <v>2301</v>
      </c>
      <c r="JJ17">
        <v>0</v>
      </c>
      <c r="JK17">
        <v>23</v>
      </c>
      <c r="JL17">
        <v>29369833.3</v>
      </c>
      <c r="JM17">
        <v>29369833.3</v>
      </c>
      <c r="JN17">
        <v>1.23657</v>
      </c>
      <c r="JO17">
        <v>2.59888</v>
      </c>
      <c r="JP17">
        <v>2.19849</v>
      </c>
      <c r="JQ17">
        <v>2.64526</v>
      </c>
      <c r="JR17">
        <v>2.44507</v>
      </c>
      <c r="JS17">
        <v>2.31812</v>
      </c>
      <c r="JT17">
        <v>30.6956</v>
      </c>
      <c r="JU17">
        <v>24.2013</v>
      </c>
      <c r="JV17">
        <v>18</v>
      </c>
      <c r="JW17">
        <v>499.768</v>
      </c>
      <c r="JX17">
        <v>796.291</v>
      </c>
      <c r="JY17">
        <v>47.2894</v>
      </c>
      <c r="JZ17">
        <v>41.6892</v>
      </c>
      <c r="KA17">
        <v>30.0003</v>
      </c>
      <c r="KB17">
        <v>41.3027</v>
      </c>
      <c r="KC17">
        <v>41.1196</v>
      </c>
      <c r="KD17">
        <v>24.7812</v>
      </c>
      <c r="KE17">
        <v>0</v>
      </c>
      <c r="KF17">
        <v>100</v>
      </c>
      <c r="KG17">
        <v>47.3329</v>
      </c>
      <c r="KH17">
        <v>420</v>
      </c>
      <c r="KI17">
        <v>53.1821</v>
      </c>
      <c r="KJ17">
        <v>94.6422</v>
      </c>
      <c r="KK17">
        <v>91.8646</v>
      </c>
    </row>
    <row r="18" spans="1:297">
      <c r="A18">
        <v>2</v>
      </c>
      <c r="B18">
        <v>1762190115.1</v>
      </c>
      <c r="C18">
        <v>120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1762190107.1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429.267075426426</v>
      </c>
      <c r="AK18">
        <v>440.1578</v>
      </c>
      <c r="AL18">
        <v>0.000525734076743972</v>
      </c>
      <c r="AM18">
        <v>63.5862608009497</v>
      </c>
      <c r="AN18">
        <f>(AP18 - AO18 + DY18*1E3/(8.314*(EA18+273.15)) * AR18/DX18 * AQ18) * DX18/(100*DL18) * 1000/(1000 - AP18)</f>
        <v>0</v>
      </c>
      <c r="AO18">
        <v>21.6742554989384</v>
      </c>
      <c r="AP18">
        <v>28.8814381818182</v>
      </c>
      <c r="AQ18">
        <v>0.00594124741908402</v>
      </c>
      <c r="AR18">
        <v>99.9919565639748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5090.9</v>
      </c>
      <c r="AZ18">
        <v>1054.892</v>
      </c>
      <c r="BA18">
        <v>2132.53</v>
      </c>
      <c r="BB18">
        <f>1-AZ18/BA18</f>
        <v>0</v>
      </c>
      <c r="BC18">
        <v>-8.88078955331852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1762190107.1</v>
      </c>
      <c r="DR18">
        <v>427.4446</v>
      </c>
      <c r="DS18">
        <v>419.9896</v>
      </c>
      <c r="DT18">
        <v>28.84212</v>
      </c>
      <c r="DU18">
        <v>21.6777933333333</v>
      </c>
      <c r="DV18">
        <v>424.4106</v>
      </c>
      <c r="DW18">
        <v>28.6179133333333</v>
      </c>
      <c r="DX18">
        <v>500.002466666667</v>
      </c>
      <c r="DY18">
        <v>90.89918</v>
      </c>
      <c r="DZ18">
        <v>0.0999606733333333</v>
      </c>
      <c r="EA18">
        <v>43.6757266666667</v>
      </c>
      <c r="EB18">
        <v>41.99508</v>
      </c>
      <c r="EC18">
        <v>999.9</v>
      </c>
      <c r="ED18">
        <v>0</v>
      </c>
      <c r="EE18">
        <v>0</v>
      </c>
      <c r="EF18">
        <v>10002.2033333333</v>
      </c>
      <c r="EG18">
        <v>0</v>
      </c>
      <c r="EH18">
        <v>0.27582</v>
      </c>
      <c r="EI18">
        <v>7.45493933333333</v>
      </c>
      <c r="EJ18">
        <v>440.139066666667</v>
      </c>
      <c r="EK18">
        <v>429.295733333333</v>
      </c>
      <c r="EL18">
        <v>7.16432</v>
      </c>
      <c r="EM18">
        <v>419.9896</v>
      </c>
      <c r="EN18">
        <v>21.6777933333333</v>
      </c>
      <c r="EO18">
        <v>2.62172466666667</v>
      </c>
      <c r="EP18">
        <v>1.97049333333333</v>
      </c>
      <c r="EQ18">
        <v>21.8025666666667</v>
      </c>
      <c r="ER18">
        <v>17.20922</v>
      </c>
      <c r="ES18">
        <v>0.00500059</v>
      </c>
      <c r="ET18">
        <v>0</v>
      </c>
      <c r="EU18">
        <v>0</v>
      </c>
      <c r="EV18">
        <v>0</v>
      </c>
      <c r="EW18">
        <v>1054.79333333333</v>
      </c>
      <c r="EX18">
        <v>0.00500059</v>
      </c>
      <c r="EY18">
        <v>41.06</v>
      </c>
      <c r="EZ18">
        <v>0.953333333333333</v>
      </c>
      <c r="FA18">
        <v>44.875</v>
      </c>
      <c r="FB18">
        <v>47.5</v>
      </c>
      <c r="FC18">
        <v>45.8162</v>
      </c>
      <c r="FD18">
        <v>47.6082</v>
      </c>
      <c r="FE18">
        <v>47.25</v>
      </c>
      <c r="FF18">
        <v>0</v>
      </c>
      <c r="FG18">
        <v>0</v>
      </c>
      <c r="FH18">
        <v>0</v>
      </c>
      <c r="FI18">
        <v>117.699999809265</v>
      </c>
      <c r="FJ18">
        <v>0</v>
      </c>
      <c r="FK18">
        <v>1054.892</v>
      </c>
      <c r="FL18">
        <v>-10.0230769647182</v>
      </c>
      <c r="FM18">
        <v>-23.2230764334724</v>
      </c>
      <c r="FN18">
        <v>41.708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7.4536745</v>
      </c>
      <c r="GD18">
        <v>-0.110089172932323</v>
      </c>
      <c r="GE18">
        <v>0.0320172106022683</v>
      </c>
      <c r="GF18">
        <v>1</v>
      </c>
      <c r="GG18">
        <v>1055.65882352941</v>
      </c>
      <c r="GH18">
        <v>-21.1367455702175</v>
      </c>
      <c r="GI18">
        <v>5.68709155725692</v>
      </c>
      <c r="GJ18">
        <v>-1</v>
      </c>
      <c r="GK18">
        <v>7.1487955</v>
      </c>
      <c r="GL18">
        <v>0.373015488721796</v>
      </c>
      <c r="GM18">
        <v>0.0358691611938445</v>
      </c>
      <c r="GN18">
        <v>0</v>
      </c>
      <c r="GO18">
        <v>1</v>
      </c>
      <c r="GP18">
        <v>2</v>
      </c>
      <c r="GQ18" t="s">
        <v>441</v>
      </c>
      <c r="GR18">
        <v>3.12867</v>
      </c>
      <c r="GS18">
        <v>2.77793</v>
      </c>
      <c r="GT18">
        <v>0.0880304</v>
      </c>
      <c r="GU18">
        <v>0.0874446</v>
      </c>
      <c r="GV18">
        <v>0.115173</v>
      </c>
      <c r="GW18">
        <v>0.0939558</v>
      </c>
      <c r="GX18">
        <v>33497.7</v>
      </c>
      <c r="GY18">
        <v>35653.4</v>
      </c>
      <c r="GZ18">
        <v>33304.1</v>
      </c>
      <c r="HA18">
        <v>35447</v>
      </c>
      <c r="HB18">
        <v>41816.2</v>
      </c>
      <c r="HC18">
        <v>46157.5</v>
      </c>
      <c r="HD18">
        <v>52110.3</v>
      </c>
      <c r="HE18">
        <v>56692.3</v>
      </c>
      <c r="HF18">
        <v>1.79505</v>
      </c>
      <c r="HG18">
        <v>2.15805</v>
      </c>
      <c r="HH18">
        <v>0.0541359</v>
      </c>
      <c r="HI18">
        <v>0</v>
      </c>
      <c r="HJ18">
        <v>41.1205</v>
      </c>
      <c r="HK18">
        <v>999.9</v>
      </c>
      <c r="HL18">
        <v>61.238</v>
      </c>
      <c r="HM18">
        <v>26.032</v>
      </c>
      <c r="HN18">
        <v>22.7758</v>
      </c>
      <c r="HO18">
        <v>60.1974</v>
      </c>
      <c r="HP18">
        <v>33.9543</v>
      </c>
      <c r="HQ18">
        <v>2</v>
      </c>
      <c r="HR18">
        <v>1.22307</v>
      </c>
      <c r="HS18">
        <v>-2.57829</v>
      </c>
      <c r="HT18">
        <v>20.1256</v>
      </c>
      <c r="HU18">
        <v>5.19318</v>
      </c>
      <c r="HV18">
        <v>12.0099</v>
      </c>
      <c r="HW18">
        <v>4.9736</v>
      </c>
      <c r="HX18">
        <v>3.295</v>
      </c>
      <c r="HY18">
        <v>9999</v>
      </c>
      <c r="HZ18">
        <v>9999</v>
      </c>
      <c r="IA18">
        <v>9999</v>
      </c>
      <c r="IB18">
        <v>999.9</v>
      </c>
      <c r="IC18">
        <v>1.8631</v>
      </c>
      <c r="ID18">
        <v>1.8681</v>
      </c>
      <c r="IE18">
        <v>1.86783</v>
      </c>
      <c r="IF18">
        <v>1.86901</v>
      </c>
      <c r="IG18">
        <v>1.86981</v>
      </c>
      <c r="IH18">
        <v>1.86585</v>
      </c>
      <c r="II18">
        <v>1.86705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3.034</v>
      </c>
      <c r="IY18">
        <v>0.2242</v>
      </c>
      <c r="IZ18">
        <v>1.07199260846131</v>
      </c>
      <c r="JA18">
        <v>0.00518756196715005</v>
      </c>
      <c r="JB18">
        <v>-1.52380604235834e-06</v>
      </c>
      <c r="JC18">
        <v>4.55768161354542e-10</v>
      </c>
      <c r="JD18">
        <v>0.224209222432812</v>
      </c>
      <c r="JE18">
        <v>0</v>
      </c>
      <c r="JF18">
        <v>0</v>
      </c>
      <c r="JG18">
        <v>0</v>
      </c>
      <c r="JH18">
        <v>4</v>
      </c>
      <c r="JI18">
        <v>2301</v>
      </c>
      <c r="JJ18">
        <v>0</v>
      </c>
      <c r="JK18">
        <v>23</v>
      </c>
      <c r="JL18">
        <v>29369835.3</v>
      </c>
      <c r="JM18">
        <v>29369835.3</v>
      </c>
      <c r="JN18">
        <v>1.23657</v>
      </c>
      <c r="JO18">
        <v>2.6001</v>
      </c>
      <c r="JP18">
        <v>2.19849</v>
      </c>
      <c r="JQ18">
        <v>2.64404</v>
      </c>
      <c r="JR18">
        <v>2.44507</v>
      </c>
      <c r="JS18">
        <v>2.27539</v>
      </c>
      <c r="JT18">
        <v>30.7604</v>
      </c>
      <c r="JU18">
        <v>24.2013</v>
      </c>
      <c r="JV18">
        <v>18</v>
      </c>
      <c r="JW18">
        <v>500.084</v>
      </c>
      <c r="JX18">
        <v>795.744</v>
      </c>
      <c r="JY18">
        <v>47.3062</v>
      </c>
      <c r="JZ18">
        <v>41.8323</v>
      </c>
      <c r="KA18">
        <v>30.0008</v>
      </c>
      <c r="KB18">
        <v>41.4798</v>
      </c>
      <c r="KC18">
        <v>41.3067</v>
      </c>
      <c r="KD18">
        <v>24.7773</v>
      </c>
      <c r="KE18">
        <v>0</v>
      </c>
      <c r="KF18">
        <v>100</v>
      </c>
      <c r="KG18">
        <v>47.3013</v>
      </c>
      <c r="KH18">
        <v>420</v>
      </c>
      <c r="KI18">
        <v>53.1821</v>
      </c>
      <c r="KJ18">
        <v>94.6147</v>
      </c>
      <c r="KK18">
        <v>91.8289</v>
      </c>
    </row>
    <row r="19" spans="1:297">
      <c r="A19">
        <v>3</v>
      </c>
      <c r="B19">
        <v>1762190221.1</v>
      </c>
      <c r="C19">
        <v>226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1762190212.6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429.261405340287</v>
      </c>
      <c r="AK19">
        <v>440.144503030303</v>
      </c>
      <c r="AL19">
        <v>4.75085087961718e-05</v>
      </c>
      <c r="AM19">
        <v>63.5862608009497</v>
      </c>
      <c r="AN19">
        <f>(AP19 - AO19 + DY19*1E3/(8.314*(EA19+273.15)) * AR19/DX19 * AQ19) * DX19/(100*DL19) * 1000/(1000 - AP19)</f>
        <v>0</v>
      </c>
      <c r="AO19">
        <v>21.6087593427731</v>
      </c>
      <c r="AP19">
        <v>29.4048618181818</v>
      </c>
      <c r="AQ19">
        <v>0.00546062318931873</v>
      </c>
      <c r="AR19">
        <v>99.9919565639748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5090.43</v>
      </c>
      <c r="AZ19">
        <v>1060.28076923077</v>
      </c>
      <c r="BA19">
        <v>2117.61</v>
      </c>
      <c r="BB19">
        <f>1-AZ19/BA19</f>
        <v>0</v>
      </c>
      <c r="BC19">
        <v>-8.87306943401114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1762190212.6</v>
      </c>
      <c r="DR19">
        <v>427.1999375</v>
      </c>
      <c r="DS19">
        <v>420.0134375</v>
      </c>
      <c r="DT19">
        <v>29.3692625</v>
      </c>
      <c r="DU19">
        <v>21.61176875</v>
      </c>
      <c r="DV19">
        <v>424.167</v>
      </c>
      <c r="DW19">
        <v>29.14505625</v>
      </c>
      <c r="DX19">
        <v>499.9805</v>
      </c>
      <c r="DY19">
        <v>90.88626875</v>
      </c>
      <c r="DZ19">
        <v>0.09996624375</v>
      </c>
      <c r="EA19">
        <v>43.784725</v>
      </c>
      <c r="EB19">
        <v>41.95615625</v>
      </c>
      <c r="EC19">
        <v>999.9</v>
      </c>
      <c r="ED19">
        <v>0</v>
      </c>
      <c r="EE19">
        <v>0</v>
      </c>
      <c r="EF19">
        <v>10003.58125</v>
      </c>
      <c r="EG19">
        <v>0</v>
      </c>
      <c r="EH19">
        <v>0.27582</v>
      </c>
      <c r="EI19">
        <v>7.186549375</v>
      </c>
      <c r="EJ19">
        <v>440.126125</v>
      </c>
      <c r="EK19">
        <v>429.2911875</v>
      </c>
      <c r="EL19">
        <v>7.757493125</v>
      </c>
      <c r="EM19">
        <v>420.0134375</v>
      </c>
      <c r="EN19">
        <v>21.61176875</v>
      </c>
      <c r="EO19">
        <v>2.6692625</v>
      </c>
      <c r="EP19">
        <v>1.96421375</v>
      </c>
      <c r="EQ19">
        <v>22.09710625</v>
      </c>
      <c r="ER19">
        <v>17.1587625</v>
      </c>
      <c r="ES19">
        <v>0.00500059</v>
      </c>
      <c r="ET19">
        <v>0</v>
      </c>
      <c r="EU19">
        <v>0</v>
      </c>
      <c r="EV19">
        <v>0</v>
      </c>
      <c r="EW19">
        <v>1061.84375</v>
      </c>
      <c r="EX19">
        <v>0.00500059</v>
      </c>
      <c r="EY19">
        <v>39.425</v>
      </c>
      <c r="EZ19">
        <v>0.45</v>
      </c>
      <c r="FA19">
        <v>45.062</v>
      </c>
      <c r="FB19">
        <v>47.675375</v>
      </c>
      <c r="FC19">
        <v>46.02325</v>
      </c>
      <c r="FD19">
        <v>47.792625</v>
      </c>
      <c r="FE19">
        <v>47.437</v>
      </c>
      <c r="FF19">
        <v>0</v>
      </c>
      <c r="FG19">
        <v>0</v>
      </c>
      <c r="FH19">
        <v>0</v>
      </c>
      <c r="FI19">
        <v>104</v>
      </c>
      <c r="FJ19">
        <v>0</v>
      </c>
      <c r="FK19">
        <v>1060.28076923077</v>
      </c>
      <c r="FL19">
        <v>-27.8051280183708</v>
      </c>
      <c r="FM19">
        <v>-20.5982906485321</v>
      </c>
      <c r="FN19">
        <v>40.3961538461538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7.193755</v>
      </c>
      <c r="GD19">
        <v>0.0816559398496135</v>
      </c>
      <c r="GE19">
        <v>0.0456372745132748</v>
      </c>
      <c r="GF19">
        <v>1</v>
      </c>
      <c r="GG19">
        <v>1062.02352941176</v>
      </c>
      <c r="GH19">
        <v>-34.7074102482951</v>
      </c>
      <c r="GI19">
        <v>6.80536375064161</v>
      </c>
      <c r="GJ19">
        <v>-1</v>
      </c>
      <c r="GK19">
        <v>7.74756</v>
      </c>
      <c r="GL19">
        <v>0.298476090225567</v>
      </c>
      <c r="GM19">
        <v>0.0287183826146251</v>
      </c>
      <c r="GN19">
        <v>0</v>
      </c>
      <c r="GO19">
        <v>1</v>
      </c>
      <c r="GP19">
        <v>2</v>
      </c>
      <c r="GQ19" t="s">
        <v>441</v>
      </c>
      <c r="GR19">
        <v>3.12885</v>
      </c>
      <c r="GS19">
        <v>2.77806</v>
      </c>
      <c r="GT19">
        <v>0.0879494</v>
      </c>
      <c r="GU19">
        <v>0.0873796</v>
      </c>
      <c r="GV19">
        <v>0.116604</v>
      </c>
      <c r="GW19">
        <v>0.0937092</v>
      </c>
      <c r="GX19">
        <v>33491</v>
      </c>
      <c r="GY19">
        <v>35643.4</v>
      </c>
      <c r="GZ19">
        <v>33295.2</v>
      </c>
      <c r="HA19">
        <v>35435.4</v>
      </c>
      <c r="HB19">
        <v>41742.3</v>
      </c>
      <c r="HC19">
        <v>46156.5</v>
      </c>
      <c r="HD19">
        <v>52099</v>
      </c>
      <c r="HE19">
        <v>56675.7</v>
      </c>
      <c r="HF19">
        <v>1.794</v>
      </c>
      <c r="HG19">
        <v>2.15527</v>
      </c>
      <c r="HH19">
        <v>0.0484139</v>
      </c>
      <c r="HI19">
        <v>0</v>
      </c>
      <c r="HJ19">
        <v>41.1882</v>
      </c>
      <c r="HK19">
        <v>999.9</v>
      </c>
      <c r="HL19">
        <v>60.945</v>
      </c>
      <c r="HM19">
        <v>26.083</v>
      </c>
      <c r="HN19">
        <v>22.7371</v>
      </c>
      <c r="HO19">
        <v>60.0974</v>
      </c>
      <c r="HP19">
        <v>33.8782</v>
      </c>
      <c r="HQ19">
        <v>2</v>
      </c>
      <c r="HR19">
        <v>1.23749</v>
      </c>
      <c r="HS19">
        <v>-2.81854</v>
      </c>
      <c r="HT19">
        <v>20.1219</v>
      </c>
      <c r="HU19">
        <v>5.19288</v>
      </c>
      <c r="HV19">
        <v>12.0099</v>
      </c>
      <c r="HW19">
        <v>4.97255</v>
      </c>
      <c r="HX19">
        <v>3.295</v>
      </c>
      <c r="HY19">
        <v>9999</v>
      </c>
      <c r="HZ19">
        <v>9999</v>
      </c>
      <c r="IA19">
        <v>9999</v>
      </c>
      <c r="IB19">
        <v>999.9</v>
      </c>
      <c r="IC19">
        <v>1.8631</v>
      </c>
      <c r="ID19">
        <v>1.86812</v>
      </c>
      <c r="IE19">
        <v>1.86788</v>
      </c>
      <c r="IF19">
        <v>1.86902</v>
      </c>
      <c r="IG19">
        <v>1.86982</v>
      </c>
      <c r="IH19">
        <v>1.86588</v>
      </c>
      <c r="II19">
        <v>1.86707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3.033</v>
      </c>
      <c r="IY19">
        <v>0.2242</v>
      </c>
      <c r="IZ19">
        <v>1.07199260846131</v>
      </c>
      <c r="JA19">
        <v>0.00518756196715005</v>
      </c>
      <c r="JB19">
        <v>-1.52380604235834e-06</v>
      </c>
      <c r="JC19">
        <v>4.55768161354542e-10</v>
      </c>
      <c r="JD19">
        <v>0.224209222432812</v>
      </c>
      <c r="JE19">
        <v>0</v>
      </c>
      <c r="JF19">
        <v>0</v>
      </c>
      <c r="JG19">
        <v>0</v>
      </c>
      <c r="JH19">
        <v>4</v>
      </c>
      <c r="JI19">
        <v>2301</v>
      </c>
      <c r="JJ19">
        <v>0</v>
      </c>
      <c r="JK19">
        <v>23</v>
      </c>
      <c r="JL19">
        <v>29369837</v>
      </c>
      <c r="JM19">
        <v>29369837</v>
      </c>
      <c r="JN19">
        <v>1.23657</v>
      </c>
      <c r="JO19">
        <v>2.6001</v>
      </c>
      <c r="JP19">
        <v>2.19849</v>
      </c>
      <c r="JQ19">
        <v>2.64404</v>
      </c>
      <c r="JR19">
        <v>2.44507</v>
      </c>
      <c r="JS19">
        <v>2.31323</v>
      </c>
      <c r="JT19">
        <v>30.8253</v>
      </c>
      <c r="JU19">
        <v>24.2101</v>
      </c>
      <c r="JV19">
        <v>18</v>
      </c>
      <c r="JW19">
        <v>500.439</v>
      </c>
      <c r="JX19">
        <v>794.819</v>
      </c>
      <c r="JY19">
        <v>47.6339</v>
      </c>
      <c r="JZ19">
        <v>41.9841</v>
      </c>
      <c r="KA19">
        <v>30.0007</v>
      </c>
      <c r="KB19">
        <v>41.6375</v>
      </c>
      <c r="KC19">
        <v>41.4661</v>
      </c>
      <c r="KD19">
        <v>24.7808</v>
      </c>
      <c r="KE19">
        <v>0</v>
      </c>
      <c r="KF19">
        <v>100</v>
      </c>
      <c r="KG19">
        <v>47.6592</v>
      </c>
      <c r="KH19">
        <v>420</v>
      </c>
      <c r="KI19">
        <v>53.1821</v>
      </c>
      <c r="KJ19">
        <v>94.5924</v>
      </c>
      <c r="KK19">
        <v>91.8008</v>
      </c>
    </row>
    <row r="20" spans="1:297">
      <c r="A20">
        <v>4</v>
      </c>
      <c r="B20">
        <v>1762190765.1</v>
      </c>
      <c r="C20">
        <v>770</v>
      </c>
      <c r="D20" t="s">
        <v>451</v>
      </c>
      <c r="E20" t="s">
        <v>452</v>
      </c>
      <c r="F20">
        <v>5</v>
      </c>
      <c r="G20" t="s">
        <v>453</v>
      </c>
      <c r="H20" t="s">
        <v>436</v>
      </c>
      <c r="I20">
        <v>1762190756.6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429.140869888753</v>
      </c>
      <c r="AK20">
        <v>439.565745454545</v>
      </c>
      <c r="AL20">
        <v>-4.41773776626027e-05</v>
      </c>
      <c r="AM20">
        <v>63.8072116002051</v>
      </c>
      <c r="AN20">
        <f>(AP20 - AO20 + DY20*1E3/(8.314*(EA20+273.15)) * AR20/DX20 * AQ20) * DX20/(100*DL20) * 1000/(1000 - AP20)</f>
        <v>0</v>
      </c>
      <c r="AO20">
        <v>21.3064893098334</v>
      </c>
      <c r="AP20">
        <v>28.7668066666667</v>
      </c>
      <c r="AQ20">
        <v>0.00642604812036381</v>
      </c>
      <c r="AR20">
        <v>99.7361276902457</v>
      </c>
      <c r="AS20">
        <v>3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454</v>
      </c>
      <c r="AY20">
        <v>5093.38</v>
      </c>
      <c r="AZ20">
        <v>694.161538461538</v>
      </c>
      <c r="BA20">
        <v>2445.86</v>
      </c>
      <c r="BB20">
        <f>1-AZ20/BA20</f>
        <v>0</v>
      </c>
      <c r="BC20">
        <v>-8.50285418595504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1762190756.6</v>
      </c>
      <c r="DR20">
        <v>426.9231875</v>
      </c>
      <c r="DS20">
        <v>419.9720625</v>
      </c>
      <c r="DT20">
        <v>28.7165375</v>
      </c>
      <c r="DU20">
        <v>21.3094</v>
      </c>
      <c r="DV20">
        <v>423.891375</v>
      </c>
      <c r="DW20">
        <v>28.4923375</v>
      </c>
      <c r="DX20">
        <v>500.0435</v>
      </c>
      <c r="DY20">
        <v>90.88018125</v>
      </c>
      <c r="DZ20">
        <v>0.1000551875</v>
      </c>
      <c r="EA20">
        <v>43.72065625</v>
      </c>
      <c r="EB20">
        <v>41.9416875</v>
      </c>
      <c r="EC20">
        <v>999.9</v>
      </c>
      <c r="ED20">
        <v>0</v>
      </c>
      <c r="EE20">
        <v>0</v>
      </c>
      <c r="EF20">
        <v>9998.905</v>
      </c>
      <c r="EG20">
        <v>0</v>
      </c>
      <c r="EH20">
        <v>0.27582</v>
      </c>
      <c r="EI20">
        <v>6.951225</v>
      </c>
      <c r="EJ20">
        <v>439.5455625</v>
      </c>
      <c r="EK20">
        <v>429.11625</v>
      </c>
      <c r="EL20">
        <v>7.40714125</v>
      </c>
      <c r="EM20">
        <v>419.9720625</v>
      </c>
      <c r="EN20">
        <v>21.3094</v>
      </c>
      <c r="EO20">
        <v>2.609764375</v>
      </c>
      <c r="EP20">
        <v>1.936600625</v>
      </c>
      <c r="EQ20">
        <v>21.72771875</v>
      </c>
      <c r="ER20">
        <v>16.9353125</v>
      </c>
      <c r="ES20">
        <v>0.00500059</v>
      </c>
      <c r="ET20">
        <v>0</v>
      </c>
      <c r="EU20">
        <v>0</v>
      </c>
      <c r="EV20">
        <v>0</v>
      </c>
      <c r="EW20">
        <v>694.98125</v>
      </c>
      <c r="EX20">
        <v>0.00500059</v>
      </c>
      <c r="EY20">
        <v>44.80625</v>
      </c>
      <c r="EZ20">
        <v>1.00625</v>
      </c>
      <c r="FA20">
        <v>45.312</v>
      </c>
      <c r="FB20">
        <v>47.875</v>
      </c>
      <c r="FC20">
        <v>46.277125</v>
      </c>
      <c r="FD20">
        <v>48</v>
      </c>
      <c r="FE20">
        <v>47.64825</v>
      </c>
      <c r="FF20">
        <v>0</v>
      </c>
      <c r="FG20">
        <v>0</v>
      </c>
      <c r="FH20">
        <v>0</v>
      </c>
      <c r="FI20">
        <v>541.900000095367</v>
      </c>
      <c r="FJ20">
        <v>0</v>
      </c>
      <c r="FK20">
        <v>694.161538461538</v>
      </c>
      <c r="FL20">
        <v>29.7435900450411</v>
      </c>
      <c r="FM20">
        <v>7.78461546025311</v>
      </c>
      <c r="FN20">
        <v>45.1269230769231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6.95316714285714</v>
      </c>
      <c r="GD20">
        <v>-0.109049610389604</v>
      </c>
      <c r="GE20">
        <v>0.0259592354687586</v>
      </c>
      <c r="GF20">
        <v>1</v>
      </c>
      <c r="GG20">
        <v>694.079411764706</v>
      </c>
      <c r="GH20">
        <v>14.9228417798826</v>
      </c>
      <c r="GI20">
        <v>5.93978507294689</v>
      </c>
      <c r="GJ20">
        <v>-1</v>
      </c>
      <c r="GK20">
        <v>7.38242380952381</v>
      </c>
      <c r="GL20">
        <v>0.426161298701303</v>
      </c>
      <c r="GM20">
        <v>0.0430285684141738</v>
      </c>
      <c r="GN20">
        <v>0</v>
      </c>
      <c r="GO20">
        <v>1</v>
      </c>
      <c r="GP20">
        <v>2</v>
      </c>
      <c r="GQ20" t="s">
        <v>441</v>
      </c>
      <c r="GR20">
        <v>3.12852</v>
      </c>
      <c r="GS20">
        <v>2.77786</v>
      </c>
      <c r="GT20">
        <v>0.0878131</v>
      </c>
      <c r="GU20">
        <v>0.0872999</v>
      </c>
      <c r="GV20">
        <v>0.114686</v>
      </c>
      <c r="GW20">
        <v>0.0926692</v>
      </c>
      <c r="GX20">
        <v>33474.7</v>
      </c>
      <c r="GY20">
        <v>35620.8</v>
      </c>
      <c r="GZ20">
        <v>33275.9</v>
      </c>
      <c r="HA20">
        <v>35411.7</v>
      </c>
      <c r="HB20">
        <v>41813.5</v>
      </c>
      <c r="HC20">
        <v>46181.6</v>
      </c>
      <c r="HD20">
        <v>52075.3</v>
      </c>
      <c r="HE20">
        <v>56642.1</v>
      </c>
      <c r="HF20">
        <v>1.77325</v>
      </c>
      <c r="HG20">
        <v>2.14885</v>
      </c>
      <c r="HH20">
        <v>0.064861</v>
      </c>
      <c r="HI20">
        <v>0</v>
      </c>
      <c r="HJ20">
        <v>40.924</v>
      </c>
      <c r="HK20">
        <v>999.9</v>
      </c>
      <c r="HL20">
        <v>59.718</v>
      </c>
      <c r="HM20">
        <v>26.314</v>
      </c>
      <c r="HN20">
        <v>22.5897</v>
      </c>
      <c r="HO20">
        <v>59.4875</v>
      </c>
      <c r="HP20">
        <v>33.9463</v>
      </c>
      <c r="HQ20">
        <v>2</v>
      </c>
      <c r="HR20">
        <v>1.2654</v>
      </c>
      <c r="HS20">
        <v>-2.87059</v>
      </c>
      <c r="HT20">
        <v>20.121</v>
      </c>
      <c r="HU20">
        <v>5.19258</v>
      </c>
      <c r="HV20">
        <v>12.0099</v>
      </c>
      <c r="HW20">
        <v>4.97315</v>
      </c>
      <c r="HX20">
        <v>3.295</v>
      </c>
      <c r="HY20">
        <v>9999</v>
      </c>
      <c r="HZ20">
        <v>9999</v>
      </c>
      <c r="IA20">
        <v>9999</v>
      </c>
      <c r="IB20">
        <v>999.9</v>
      </c>
      <c r="IC20">
        <v>1.8631</v>
      </c>
      <c r="ID20">
        <v>1.86811</v>
      </c>
      <c r="IE20">
        <v>1.86785</v>
      </c>
      <c r="IF20">
        <v>1.86902</v>
      </c>
      <c r="IG20">
        <v>1.86982</v>
      </c>
      <c r="IH20">
        <v>1.86588</v>
      </c>
      <c r="II20">
        <v>1.86706</v>
      </c>
      <c r="IJ20">
        <v>1.86843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3.032</v>
      </c>
      <c r="IY20">
        <v>0.2242</v>
      </c>
      <c r="IZ20">
        <v>1.07199260846131</v>
      </c>
      <c r="JA20">
        <v>0.00518756196715005</v>
      </c>
      <c r="JB20">
        <v>-1.52380604235834e-06</v>
      </c>
      <c r="JC20">
        <v>4.55768161354542e-10</v>
      </c>
      <c r="JD20">
        <v>0.224209222432812</v>
      </c>
      <c r="JE20">
        <v>0</v>
      </c>
      <c r="JF20">
        <v>0</v>
      </c>
      <c r="JG20">
        <v>0</v>
      </c>
      <c r="JH20">
        <v>4</v>
      </c>
      <c r="JI20">
        <v>2301</v>
      </c>
      <c r="JJ20">
        <v>0</v>
      </c>
      <c r="JK20">
        <v>23</v>
      </c>
      <c r="JL20">
        <v>29369846.1</v>
      </c>
      <c r="JM20">
        <v>29369846.1</v>
      </c>
      <c r="JN20">
        <v>1.23779</v>
      </c>
      <c r="JO20">
        <v>2.59766</v>
      </c>
      <c r="JP20">
        <v>2.19849</v>
      </c>
      <c r="JQ20">
        <v>2.64282</v>
      </c>
      <c r="JR20">
        <v>2.44507</v>
      </c>
      <c r="JS20">
        <v>2.3291</v>
      </c>
      <c r="JT20">
        <v>31.0636</v>
      </c>
      <c r="JU20">
        <v>24.2101</v>
      </c>
      <c r="JV20">
        <v>18</v>
      </c>
      <c r="JW20">
        <v>488.625</v>
      </c>
      <c r="JX20">
        <v>793.005</v>
      </c>
      <c r="JY20">
        <v>47.689</v>
      </c>
      <c r="JZ20">
        <v>42.3393</v>
      </c>
      <c r="KA20">
        <v>30.0002</v>
      </c>
      <c r="KB20">
        <v>42.0353</v>
      </c>
      <c r="KC20">
        <v>41.8655</v>
      </c>
      <c r="KD20">
        <v>24.7909</v>
      </c>
      <c r="KE20">
        <v>0</v>
      </c>
      <c r="KF20">
        <v>100</v>
      </c>
      <c r="KG20">
        <v>47.7118</v>
      </c>
      <c r="KH20">
        <v>420</v>
      </c>
      <c r="KI20">
        <v>53.1821</v>
      </c>
      <c r="KJ20">
        <v>94.5448</v>
      </c>
      <c r="KK20">
        <v>91.7437</v>
      </c>
    </row>
    <row r="21" spans="1:297">
      <c r="A21">
        <v>5</v>
      </c>
      <c r="B21">
        <v>1762190923</v>
      </c>
      <c r="C21">
        <v>927.900000095367</v>
      </c>
      <c r="D21" t="s">
        <v>455</v>
      </c>
      <c r="E21" t="s">
        <v>456</v>
      </c>
      <c r="F21">
        <v>5</v>
      </c>
      <c r="G21" t="s">
        <v>453</v>
      </c>
      <c r="H21" t="s">
        <v>436</v>
      </c>
      <c r="I21">
        <v>1762190914.5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429.177987226531</v>
      </c>
      <c r="AK21">
        <v>439.904933333333</v>
      </c>
      <c r="AL21">
        <v>0.000931392543804393</v>
      </c>
      <c r="AM21">
        <v>63.8072116002051</v>
      </c>
      <c r="AN21">
        <f>(AP21 - AO21 + DY21*1E3/(8.314*(EA21+273.15)) * AR21/DX21 * AQ21) * DX21/(100*DL21) * 1000/(1000 - AP21)</f>
        <v>0</v>
      </c>
      <c r="AO21">
        <v>21.2453186934238</v>
      </c>
      <c r="AP21">
        <v>29.8797757575757</v>
      </c>
      <c r="AQ21">
        <v>0.00620391085815498</v>
      </c>
      <c r="AR21">
        <v>99.7361276902457</v>
      </c>
      <c r="AS21">
        <v>3</v>
      </c>
      <c r="AT21">
        <v>1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457</v>
      </c>
      <c r="AY21">
        <v>5093.41</v>
      </c>
      <c r="AZ21">
        <v>718.95</v>
      </c>
      <c r="BA21">
        <v>2400.96</v>
      </c>
      <c r="BB21">
        <f>1-AZ21/BA21</f>
        <v>0</v>
      </c>
      <c r="BC21">
        <v>-8.75248561259944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1762190914.5</v>
      </c>
      <c r="DR21">
        <v>426.7545625</v>
      </c>
      <c r="DS21">
        <v>420.004875</v>
      </c>
      <c r="DT21">
        <v>29.82800625</v>
      </c>
      <c r="DU21">
        <v>21.2467375</v>
      </c>
      <c r="DV21">
        <v>423.7233125</v>
      </c>
      <c r="DW21">
        <v>29.6037875</v>
      </c>
      <c r="DX21">
        <v>499.997125</v>
      </c>
      <c r="DY21">
        <v>90.88039375</v>
      </c>
      <c r="DZ21">
        <v>0.09999706875</v>
      </c>
      <c r="EA21">
        <v>43.99965</v>
      </c>
      <c r="EB21">
        <v>41.98449375</v>
      </c>
      <c r="EC21">
        <v>999.9</v>
      </c>
      <c r="ED21">
        <v>0</v>
      </c>
      <c r="EE21">
        <v>0</v>
      </c>
      <c r="EF21">
        <v>9995.029375</v>
      </c>
      <c r="EG21">
        <v>0</v>
      </c>
      <c r="EH21">
        <v>0.27582</v>
      </c>
      <c r="EI21">
        <v>6.7496275</v>
      </c>
      <c r="EJ21">
        <v>439.87525</v>
      </c>
      <c r="EK21">
        <v>429.1223125</v>
      </c>
      <c r="EL21">
        <v>8.5812725</v>
      </c>
      <c r="EM21">
        <v>420.004875</v>
      </c>
      <c r="EN21">
        <v>21.2467375</v>
      </c>
      <c r="EO21">
        <v>2.71078125</v>
      </c>
      <c r="EP21">
        <v>1.930911875</v>
      </c>
      <c r="EQ21">
        <v>22.35060625</v>
      </c>
      <c r="ER21">
        <v>16.88889375</v>
      </c>
      <c r="ES21">
        <v>0.00500059</v>
      </c>
      <c r="ET21">
        <v>0</v>
      </c>
      <c r="EU21">
        <v>0</v>
      </c>
      <c r="EV21">
        <v>0</v>
      </c>
      <c r="EW21">
        <v>719.1875</v>
      </c>
      <c r="EX21">
        <v>0.00500059</v>
      </c>
      <c r="EY21">
        <v>46.53125</v>
      </c>
      <c r="EZ21">
        <v>1.39375</v>
      </c>
      <c r="FA21">
        <v>45.3553125</v>
      </c>
      <c r="FB21">
        <v>47.925375</v>
      </c>
      <c r="FC21">
        <v>46.312</v>
      </c>
      <c r="FD21">
        <v>48</v>
      </c>
      <c r="FE21">
        <v>47.6988125</v>
      </c>
      <c r="FF21">
        <v>0</v>
      </c>
      <c r="FG21">
        <v>0</v>
      </c>
      <c r="FH21">
        <v>0</v>
      </c>
      <c r="FI21">
        <v>156.100000143051</v>
      </c>
      <c r="FJ21">
        <v>0</v>
      </c>
      <c r="FK21">
        <v>718.95</v>
      </c>
      <c r="FL21">
        <v>-7.75042762375911</v>
      </c>
      <c r="FM21">
        <v>-14.8820514777186</v>
      </c>
      <c r="FN21">
        <v>44.7038461538461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6.76167142857143</v>
      </c>
      <c r="GD21">
        <v>-0.43858051948052</v>
      </c>
      <c r="GE21">
        <v>0.068058701433515</v>
      </c>
      <c r="GF21">
        <v>1</v>
      </c>
      <c r="GG21">
        <v>718.502941176471</v>
      </c>
      <c r="GH21">
        <v>1.00993117809159</v>
      </c>
      <c r="GI21">
        <v>5.02186310013921</v>
      </c>
      <c r="GJ21">
        <v>-1</v>
      </c>
      <c r="GK21">
        <v>8.55571761904762</v>
      </c>
      <c r="GL21">
        <v>0.44048727272727</v>
      </c>
      <c r="GM21">
        <v>0.0444950776201853</v>
      </c>
      <c r="GN21">
        <v>0</v>
      </c>
      <c r="GO21">
        <v>1</v>
      </c>
      <c r="GP21">
        <v>2</v>
      </c>
      <c r="GQ21" t="s">
        <v>441</v>
      </c>
      <c r="GR21">
        <v>3.12856</v>
      </c>
      <c r="GS21">
        <v>2.77789</v>
      </c>
      <c r="GT21">
        <v>0.0877821</v>
      </c>
      <c r="GU21">
        <v>0.0872978</v>
      </c>
      <c r="GV21">
        <v>0.117824</v>
      </c>
      <c r="GW21">
        <v>0.0924658</v>
      </c>
      <c r="GX21">
        <v>33473.8</v>
      </c>
      <c r="GY21">
        <v>35618.6</v>
      </c>
      <c r="GZ21">
        <v>33274.1</v>
      </c>
      <c r="HA21">
        <v>35409.6</v>
      </c>
      <c r="HB21">
        <v>41668.1</v>
      </c>
      <c r="HC21">
        <v>46189.6</v>
      </c>
      <c r="HD21">
        <v>52073.1</v>
      </c>
      <c r="HE21">
        <v>56639.4</v>
      </c>
      <c r="HF21">
        <v>1.77363</v>
      </c>
      <c r="HG21">
        <v>2.14788</v>
      </c>
      <c r="HH21">
        <v>0.059966</v>
      </c>
      <c r="HI21">
        <v>0</v>
      </c>
      <c r="HJ21">
        <v>41.0304</v>
      </c>
      <c r="HK21">
        <v>999.9</v>
      </c>
      <c r="HL21">
        <v>59.407</v>
      </c>
      <c r="HM21">
        <v>26.385</v>
      </c>
      <c r="HN21">
        <v>22.5676</v>
      </c>
      <c r="HO21">
        <v>59.8275</v>
      </c>
      <c r="HP21">
        <v>33.9704</v>
      </c>
      <c r="HQ21">
        <v>2</v>
      </c>
      <c r="HR21">
        <v>1.26859</v>
      </c>
      <c r="HS21">
        <v>-2.927</v>
      </c>
      <c r="HT21">
        <v>20.1201</v>
      </c>
      <c r="HU21">
        <v>5.19318</v>
      </c>
      <c r="HV21">
        <v>12.0099</v>
      </c>
      <c r="HW21">
        <v>4.97375</v>
      </c>
      <c r="HX21">
        <v>3.295</v>
      </c>
      <c r="HY21">
        <v>9999</v>
      </c>
      <c r="HZ21">
        <v>9999</v>
      </c>
      <c r="IA21">
        <v>9999</v>
      </c>
      <c r="IB21">
        <v>999.9</v>
      </c>
      <c r="IC21">
        <v>1.8631</v>
      </c>
      <c r="ID21">
        <v>1.8681</v>
      </c>
      <c r="IE21">
        <v>1.86785</v>
      </c>
      <c r="IF21">
        <v>1.86903</v>
      </c>
      <c r="IG21">
        <v>1.86983</v>
      </c>
      <c r="IH21">
        <v>1.86586</v>
      </c>
      <c r="II21">
        <v>1.86705</v>
      </c>
      <c r="IJ21">
        <v>1.86843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3.031</v>
      </c>
      <c r="IY21">
        <v>0.2242</v>
      </c>
      <c r="IZ21">
        <v>1.07199260846131</v>
      </c>
      <c r="JA21">
        <v>0.00518756196715005</v>
      </c>
      <c r="JB21">
        <v>-1.52380604235834e-06</v>
      </c>
      <c r="JC21">
        <v>4.55768161354542e-10</v>
      </c>
      <c r="JD21">
        <v>0.224209222432812</v>
      </c>
      <c r="JE21">
        <v>0</v>
      </c>
      <c r="JF21">
        <v>0</v>
      </c>
      <c r="JG21">
        <v>0</v>
      </c>
      <c r="JH21">
        <v>4</v>
      </c>
      <c r="JI21">
        <v>2301</v>
      </c>
      <c r="JJ21">
        <v>0</v>
      </c>
      <c r="JK21">
        <v>23</v>
      </c>
      <c r="JL21">
        <v>29369848.7</v>
      </c>
      <c r="JM21">
        <v>29369848.7</v>
      </c>
      <c r="JN21">
        <v>1.23657</v>
      </c>
      <c r="JO21">
        <v>2.6123</v>
      </c>
      <c r="JP21">
        <v>2.19849</v>
      </c>
      <c r="JQ21">
        <v>2.64404</v>
      </c>
      <c r="JR21">
        <v>2.44629</v>
      </c>
      <c r="JS21">
        <v>2.27783</v>
      </c>
      <c r="JT21">
        <v>31.1287</v>
      </c>
      <c r="JU21">
        <v>24.2013</v>
      </c>
      <c r="JV21">
        <v>18</v>
      </c>
      <c r="JW21">
        <v>489.26</v>
      </c>
      <c r="JX21">
        <v>792.714</v>
      </c>
      <c r="JY21">
        <v>48.3413</v>
      </c>
      <c r="JZ21">
        <v>42.3784</v>
      </c>
      <c r="KA21">
        <v>30.0003</v>
      </c>
      <c r="KB21">
        <v>42.091</v>
      </c>
      <c r="KC21">
        <v>41.9249</v>
      </c>
      <c r="KD21">
        <v>24.786</v>
      </c>
      <c r="KE21">
        <v>0</v>
      </c>
      <c r="KF21">
        <v>100</v>
      </c>
      <c r="KG21">
        <v>48.3471</v>
      </c>
      <c r="KH21">
        <v>420</v>
      </c>
      <c r="KI21">
        <v>53.1821</v>
      </c>
      <c r="KJ21">
        <v>94.5403</v>
      </c>
      <c r="KK21">
        <v>91.739</v>
      </c>
    </row>
    <row r="22" spans="1:297">
      <c r="A22">
        <v>6</v>
      </c>
      <c r="B22">
        <v>1762191069</v>
      </c>
      <c r="C22">
        <v>1073.90000009537</v>
      </c>
      <c r="D22" t="s">
        <v>458</v>
      </c>
      <c r="E22" t="s">
        <v>459</v>
      </c>
      <c r="F22">
        <v>5</v>
      </c>
      <c r="G22" t="s">
        <v>453</v>
      </c>
      <c r="H22" t="s">
        <v>436</v>
      </c>
      <c r="I22">
        <v>1762191060.5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429.181299480434</v>
      </c>
      <c r="AK22">
        <v>440.021024242424</v>
      </c>
      <c r="AL22">
        <v>-0.000164572161637678</v>
      </c>
      <c r="AM22">
        <v>63.8072116002051</v>
      </c>
      <c r="AN22">
        <f>(AP22 - AO22 + DY22*1E3/(8.314*(EA22+273.15)) * AR22/DX22 * AQ22) * DX22/(100*DL22) * 1000/(1000 - AP22)</f>
        <v>0</v>
      </c>
      <c r="AO22">
        <v>21.2177449299645</v>
      </c>
      <c r="AP22">
        <v>30.8035260606061</v>
      </c>
      <c r="AQ22">
        <v>0.00606970664381731</v>
      </c>
      <c r="AR22">
        <v>99.7361276902457</v>
      </c>
      <c r="AS22">
        <v>2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460</v>
      </c>
      <c r="AY22">
        <v>5093.14</v>
      </c>
      <c r="AZ22">
        <v>716.588</v>
      </c>
      <c r="BA22">
        <v>2369.76</v>
      </c>
      <c r="BB22">
        <f>1-AZ22/BA22</f>
        <v>0</v>
      </c>
      <c r="BC22">
        <v>-8.84177808037852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1762191060.5</v>
      </c>
      <c r="DR22">
        <v>426.4939375</v>
      </c>
      <c r="DS22">
        <v>420.0354375</v>
      </c>
      <c r="DT22">
        <v>30.76211875</v>
      </c>
      <c r="DU22">
        <v>21.219325</v>
      </c>
      <c r="DV22">
        <v>423.4639375</v>
      </c>
      <c r="DW22">
        <v>30.53791875</v>
      </c>
      <c r="DX22">
        <v>500.0531875</v>
      </c>
      <c r="DY22">
        <v>90.8790625</v>
      </c>
      <c r="DZ22">
        <v>0.1000135625</v>
      </c>
      <c r="EA22">
        <v>44.203275</v>
      </c>
      <c r="EB22">
        <v>41.97936875</v>
      </c>
      <c r="EC22">
        <v>999.9</v>
      </c>
      <c r="ED22">
        <v>0</v>
      </c>
      <c r="EE22">
        <v>0</v>
      </c>
      <c r="EF22">
        <v>10000.079375</v>
      </c>
      <c r="EG22">
        <v>0</v>
      </c>
      <c r="EH22">
        <v>0.27582</v>
      </c>
      <c r="EI22">
        <v>6.45848875</v>
      </c>
      <c r="EJ22">
        <v>440.03025</v>
      </c>
      <c r="EK22">
        <v>429.141625</v>
      </c>
      <c r="EL22">
        <v>9.5428025</v>
      </c>
      <c r="EM22">
        <v>420.0354375</v>
      </c>
      <c r="EN22">
        <v>21.219325</v>
      </c>
      <c r="EO22">
        <v>2.795634375</v>
      </c>
      <c r="EP22">
        <v>1.9283925</v>
      </c>
      <c r="EQ22">
        <v>22.85830625</v>
      </c>
      <c r="ER22">
        <v>16.868325</v>
      </c>
      <c r="ES22">
        <v>0.00500059</v>
      </c>
      <c r="ET22">
        <v>0</v>
      </c>
      <c r="EU22">
        <v>0</v>
      </c>
      <c r="EV22">
        <v>0</v>
      </c>
      <c r="EW22">
        <v>715.75625</v>
      </c>
      <c r="EX22">
        <v>0.00500059</v>
      </c>
      <c r="EY22">
        <v>46.9875</v>
      </c>
      <c r="EZ22">
        <v>0.95</v>
      </c>
      <c r="FA22">
        <v>45.406</v>
      </c>
      <c r="FB22">
        <v>47.976375</v>
      </c>
      <c r="FC22">
        <v>46.378875</v>
      </c>
      <c r="FD22">
        <v>48.062</v>
      </c>
      <c r="FE22">
        <v>47.78875</v>
      </c>
      <c r="FF22">
        <v>0</v>
      </c>
      <c r="FG22">
        <v>0</v>
      </c>
      <c r="FH22">
        <v>0</v>
      </c>
      <c r="FI22">
        <v>144.399999856949</v>
      </c>
      <c r="FJ22">
        <v>0</v>
      </c>
      <c r="FK22">
        <v>716.588</v>
      </c>
      <c r="FL22">
        <v>-26.1461542182889</v>
      </c>
      <c r="FM22">
        <v>41.1384618494401</v>
      </c>
      <c r="FN22">
        <v>47.928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6.47939904761905</v>
      </c>
      <c r="GD22">
        <v>-0.439349610389605</v>
      </c>
      <c r="GE22">
        <v>0.0482182495489951</v>
      </c>
      <c r="GF22">
        <v>1</v>
      </c>
      <c r="GG22">
        <v>717.508823529412</v>
      </c>
      <c r="GH22">
        <v>-22.6203210055171</v>
      </c>
      <c r="GI22">
        <v>6.5017358608415</v>
      </c>
      <c r="GJ22">
        <v>-1</v>
      </c>
      <c r="GK22">
        <v>9.52229428571429</v>
      </c>
      <c r="GL22">
        <v>0.343030129870132</v>
      </c>
      <c r="GM22">
        <v>0.0346944818682865</v>
      </c>
      <c r="GN22">
        <v>0</v>
      </c>
      <c r="GO22">
        <v>1</v>
      </c>
      <c r="GP22">
        <v>2</v>
      </c>
      <c r="GQ22" t="s">
        <v>441</v>
      </c>
      <c r="GR22">
        <v>3.12857</v>
      </c>
      <c r="GS22">
        <v>2.77808</v>
      </c>
      <c r="GT22">
        <v>0.0877352</v>
      </c>
      <c r="GU22">
        <v>0.0872722</v>
      </c>
      <c r="GV22">
        <v>0.12039</v>
      </c>
      <c r="GW22">
        <v>0.0923692</v>
      </c>
      <c r="GX22">
        <v>33472.8</v>
      </c>
      <c r="GY22">
        <v>35617.4</v>
      </c>
      <c r="GZ22">
        <v>33271.5</v>
      </c>
      <c r="HA22">
        <v>35407.6</v>
      </c>
      <c r="HB22">
        <v>41548.3</v>
      </c>
      <c r="HC22">
        <v>46192.5</v>
      </c>
      <c r="HD22">
        <v>52070.1</v>
      </c>
      <c r="HE22">
        <v>56637</v>
      </c>
      <c r="HF22">
        <v>1.77395</v>
      </c>
      <c r="HG22">
        <v>2.14675</v>
      </c>
      <c r="HH22">
        <v>0.050582</v>
      </c>
      <c r="HI22">
        <v>0</v>
      </c>
      <c r="HJ22">
        <v>41.1784</v>
      </c>
      <c r="HK22">
        <v>999.9</v>
      </c>
      <c r="HL22">
        <v>59.187</v>
      </c>
      <c r="HM22">
        <v>26.445</v>
      </c>
      <c r="HN22">
        <v>22.5615</v>
      </c>
      <c r="HO22">
        <v>59.9275</v>
      </c>
      <c r="HP22">
        <v>33.8902</v>
      </c>
      <c r="HQ22">
        <v>2</v>
      </c>
      <c r="HR22">
        <v>1.27171</v>
      </c>
      <c r="HS22">
        <v>-2.96222</v>
      </c>
      <c r="HT22">
        <v>20.1206</v>
      </c>
      <c r="HU22">
        <v>5.19333</v>
      </c>
      <c r="HV22">
        <v>12.0099</v>
      </c>
      <c r="HW22">
        <v>4.97225</v>
      </c>
      <c r="HX22">
        <v>3.295</v>
      </c>
      <c r="HY22">
        <v>9999</v>
      </c>
      <c r="HZ22">
        <v>9999</v>
      </c>
      <c r="IA22">
        <v>9999</v>
      </c>
      <c r="IB22">
        <v>999.9</v>
      </c>
      <c r="IC22">
        <v>1.8631</v>
      </c>
      <c r="ID22">
        <v>1.86812</v>
      </c>
      <c r="IE22">
        <v>1.86787</v>
      </c>
      <c r="IF22">
        <v>1.86903</v>
      </c>
      <c r="IG22">
        <v>1.86984</v>
      </c>
      <c r="IH22">
        <v>1.86585</v>
      </c>
      <c r="II22">
        <v>1.86707</v>
      </c>
      <c r="IJ22">
        <v>1.86842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3.03</v>
      </c>
      <c r="IY22">
        <v>0.2242</v>
      </c>
      <c r="IZ22">
        <v>1.07199260846131</v>
      </c>
      <c r="JA22">
        <v>0.00518756196715005</v>
      </c>
      <c r="JB22">
        <v>-1.52380604235834e-06</v>
      </c>
      <c r="JC22">
        <v>4.55768161354542e-10</v>
      </c>
      <c r="JD22">
        <v>0.224209222432812</v>
      </c>
      <c r="JE22">
        <v>0</v>
      </c>
      <c r="JF22">
        <v>0</v>
      </c>
      <c r="JG22">
        <v>0</v>
      </c>
      <c r="JH22">
        <v>4</v>
      </c>
      <c r="JI22">
        <v>2301</v>
      </c>
      <c r="JJ22">
        <v>0</v>
      </c>
      <c r="JK22">
        <v>23</v>
      </c>
      <c r="JL22">
        <v>29369851.1</v>
      </c>
      <c r="JM22">
        <v>29369851.1</v>
      </c>
      <c r="JN22">
        <v>1.23779</v>
      </c>
      <c r="JO22">
        <v>2.6062</v>
      </c>
      <c r="JP22">
        <v>2.19849</v>
      </c>
      <c r="JQ22">
        <v>2.64282</v>
      </c>
      <c r="JR22">
        <v>2.44507</v>
      </c>
      <c r="JS22">
        <v>2.30591</v>
      </c>
      <c r="JT22">
        <v>31.2156</v>
      </c>
      <c r="JU22">
        <v>24.2013</v>
      </c>
      <c r="JV22">
        <v>18</v>
      </c>
      <c r="JW22">
        <v>489.774</v>
      </c>
      <c r="JX22">
        <v>792.08</v>
      </c>
      <c r="JY22">
        <v>48.5519</v>
      </c>
      <c r="JZ22">
        <v>42.4134</v>
      </c>
      <c r="KA22">
        <v>30.0003</v>
      </c>
      <c r="KB22">
        <v>42.1338</v>
      </c>
      <c r="KC22">
        <v>41.9676</v>
      </c>
      <c r="KD22">
        <v>24.7851</v>
      </c>
      <c r="KE22">
        <v>0</v>
      </c>
      <c r="KF22">
        <v>100</v>
      </c>
      <c r="KG22">
        <v>48.5544</v>
      </c>
      <c r="KH22">
        <v>420</v>
      </c>
      <c r="KI22">
        <v>53.1821</v>
      </c>
      <c r="KJ22">
        <v>94.5341</v>
      </c>
      <c r="KK22">
        <v>91.7345</v>
      </c>
    </row>
    <row r="23" spans="1:297">
      <c r="A23">
        <v>7</v>
      </c>
      <c r="B23">
        <v>1762191598</v>
      </c>
      <c r="C23">
        <v>1602.90000009537</v>
      </c>
      <c r="D23" t="s">
        <v>461</v>
      </c>
      <c r="E23" t="s">
        <v>462</v>
      </c>
      <c r="F23">
        <v>5</v>
      </c>
      <c r="G23" t="s">
        <v>463</v>
      </c>
      <c r="H23" t="s">
        <v>436</v>
      </c>
      <c r="I23">
        <v>1762191590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429.698018351337</v>
      </c>
      <c r="AK23">
        <v>437.951654545454</v>
      </c>
      <c r="AL23">
        <v>0.0532697671637815</v>
      </c>
      <c r="AM23">
        <v>63.7679971148857</v>
      </c>
      <c r="AN23">
        <f>(AP23 - AO23 + DY23*1E3/(8.314*(EA23+273.15)) * AR23/DX23 * AQ23) * DX23/(100*DL23) * 1000/(1000 - AP23)</f>
        <v>0</v>
      </c>
      <c r="AO23">
        <v>21.2736439759694</v>
      </c>
      <c r="AP23">
        <v>27.6911915151515</v>
      </c>
      <c r="AQ23">
        <v>1.54250183547907e-05</v>
      </c>
      <c r="AR23">
        <v>99.8638007434472</v>
      </c>
      <c r="AS23">
        <v>24</v>
      </c>
      <c r="AT23">
        <v>5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464</v>
      </c>
      <c r="AY23">
        <v>5112.43</v>
      </c>
      <c r="AZ23">
        <v>846.746153846154</v>
      </c>
      <c r="BA23">
        <v>1738.15</v>
      </c>
      <c r="BB23">
        <f>1-AZ23/BA23</f>
        <v>0</v>
      </c>
      <c r="BC23">
        <v>-6.92207393172405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1762191590</v>
      </c>
      <c r="DR23">
        <v>425.567933333333</v>
      </c>
      <c r="DS23">
        <v>420.2268</v>
      </c>
      <c r="DT23">
        <v>27.68466</v>
      </c>
      <c r="DU23">
        <v>21.2722</v>
      </c>
      <c r="DV23">
        <v>422.5418</v>
      </c>
      <c r="DW23">
        <v>27.4604533333333</v>
      </c>
      <c r="DX23">
        <v>499.987266666667</v>
      </c>
      <c r="DY23">
        <v>90.85626</v>
      </c>
      <c r="DZ23">
        <v>0.0999677666666667</v>
      </c>
      <c r="EA23">
        <v>44.67258</v>
      </c>
      <c r="EB23">
        <v>41.9991266666667</v>
      </c>
      <c r="EC23">
        <v>999.9</v>
      </c>
      <c r="ED23">
        <v>0</v>
      </c>
      <c r="EE23">
        <v>0</v>
      </c>
      <c r="EF23">
        <v>10004.8306666667</v>
      </c>
      <c r="EG23">
        <v>0</v>
      </c>
      <c r="EH23">
        <v>0.27582</v>
      </c>
      <c r="EI23">
        <v>5.34127466666667</v>
      </c>
      <c r="EJ23">
        <v>437.6852</v>
      </c>
      <c r="EK23">
        <v>429.3602</v>
      </c>
      <c r="EL23">
        <v>6.41246733333333</v>
      </c>
      <c r="EM23">
        <v>420.2268</v>
      </c>
      <c r="EN23">
        <v>21.2722</v>
      </c>
      <c r="EO23">
        <v>2.51532266666667</v>
      </c>
      <c r="EP23">
        <v>1.93271133333333</v>
      </c>
      <c r="EQ23">
        <v>21.126</v>
      </c>
      <c r="ER23">
        <v>16.90358</v>
      </c>
      <c r="ES23">
        <v>0.00500059</v>
      </c>
      <c r="ET23">
        <v>0</v>
      </c>
      <c r="EU23">
        <v>0</v>
      </c>
      <c r="EV23">
        <v>0</v>
      </c>
      <c r="EW23">
        <v>848.566666666667</v>
      </c>
      <c r="EX23">
        <v>0.00500059</v>
      </c>
      <c r="EY23">
        <v>47.9</v>
      </c>
      <c r="EZ23">
        <v>1.06666666666667</v>
      </c>
      <c r="FA23">
        <v>45.625</v>
      </c>
      <c r="FB23">
        <v>48.1208</v>
      </c>
      <c r="FC23">
        <v>46.562</v>
      </c>
      <c r="FD23">
        <v>48.25</v>
      </c>
      <c r="FE23">
        <v>48.0041333333333</v>
      </c>
      <c r="FF23">
        <v>0</v>
      </c>
      <c r="FG23">
        <v>0</v>
      </c>
      <c r="FH23">
        <v>0</v>
      </c>
      <c r="FI23">
        <v>527.100000143051</v>
      </c>
      <c r="FJ23">
        <v>0</v>
      </c>
      <c r="FK23">
        <v>846.746153846154</v>
      </c>
      <c r="FL23">
        <v>-1.14188003916223</v>
      </c>
      <c r="FM23">
        <v>19.1863249831625</v>
      </c>
      <c r="FN23">
        <v>49.3384615384615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5.39384285714286</v>
      </c>
      <c r="GD23">
        <v>-1.10077714285713</v>
      </c>
      <c r="GE23">
        <v>0.176640750573771</v>
      </c>
      <c r="GF23">
        <v>0</v>
      </c>
      <c r="GG23">
        <v>846.311764705882</v>
      </c>
      <c r="GH23">
        <v>-0.433918890198884</v>
      </c>
      <c r="GI23">
        <v>5.94750391073146</v>
      </c>
      <c r="GJ23">
        <v>-1</v>
      </c>
      <c r="GK23">
        <v>6.41047238095238</v>
      </c>
      <c r="GL23">
        <v>0.0395477922077814</v>
      </c>
      <c r="GM23">
        <v>0.00416038219943204</v>
      </c>
      <c r="GN23">
        <v>1</v>
      </c>
      <c r="GO23">
        <v>1</v>
      </c>
      <c r="GP23">
        <v>2</v>
      </c>
      <c r="GQ23" t="s">
        <v>441</v>
      </c>
      <c r="GR23">
        <v>3.12864</v>
      </c>
      <c r="GS23">
        <v>2.77798</v>
      </c>
      <c r="GT23">
        <v>0.0875494</v>
      </c>
      <c r="GU23">
        <v>0.0872185</v>
      </c>
      <c r="GV23">
        <v>0.111487</v>
      </c>
      <c r="GW23">
        <v>0.0924953</v>
      </c>
      <c r="GX23">
        <v>33468.2</v>
      </c>
      <c r="GY23">
        <v>35606.5</v>
      </c>
      <c r="GZ23">
        <v>33261.3</v>
      </c>
      <c r="HA23">
        <v>35395.7</v>
      </c>
      <c r="HB23">
        <v>41947.3</v>
      </c>
      <c r="HC23">
        <v>46173.1</v>
      </c>
      <c r="HD23">
        <v>52057.3</v>
      </c>
      <c r="HE23">
        <v>56620.7</v>
      </c>
      <c r="HF23">
        <v>1.7359</v>
      </c>
      <c r="HG23">
        <v>2.14278</v>
      </c>
      <c r="HH23">
        <v>0.0141039</v>
      </c>
      <c r="HI23">
        <v>0</v>
      </c>
      <c r="HJ23">
        <v>41.7754</v>
      </c>
      <c r="HK23">
        <v>999.9</v>
      </c>
      <c r="HL23">
        <v>58.656</v>
      </c>
      <c r="HM23">
        <v>26.667</v>
      </c>
      <c r="HN23">
        <v>22.6581</v>
      </c>
      <c r="HO23">
        <v>60.1275</v>
      </c>
      <c r="HP23">
        <v>33.9663</v>
      </c>
      <c r="HQ23">
        <v>2</v>
      </c>
      <c r="HR23">
        <v>1.28393</v>
      </c>
      <c r="HS23">
        <v>-2.39421</v>
      </c>
      <c r="HT23">
        <v>20.1273</v>
      </c>
      <c r="HU23">
        <v>5.19228</v>
      </c>
      <c r="HV23">
        <v>12.0099</v>
      </c>
      <c r="HW23">
        <v>4.9728</v>
      </c>
      <c r="HX23">
        <v>3.295</v>
      </c>
      <c r="HY23">
        <v>9999</v>
      </c>
      <c r="HZ23">
        <v>9999</v>
      </c>
      <c r="IA23">
        <v>9999</v>
      </c>
      <c r="IB23">
        <v>999.9</v>
      </c>
      <c r="IC23">
        <v>1.8631</v>
      </c>
      <c r="ID23">
        <v>1.86812</v>
      </c>
      <c r="IE23">
        <v>1.86786</v>
      </c>
      <c r="IF23">
        <v>1.86902</v>
      </c>
      <c r="IG23">
        <v>1.86981</v>
      </c>
      <c r="IH23">
        <v>1.86586</v>
      </c>
      <c r="II23">
        <v>1.86707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3.027</v>
      </c>
      <c r="IY23">
        <v>0.2242</v>
      </c>
      <c r="IZ23">
        <v>1.07199260846131</v>
      </c>
      <c r="JA23">
        <v>0.00518756196715005</v>
      </c>
      <c r="JB23">
        <v>-1.52380604235834e-06</v>
      </c>
      <c r="JC23">
        <v>4.55768161354542e-10</v>
      </c>
      <c r="JD23">
        <v>0.224209222432812</v>
      </c>
      <c r="JE23">
        <v>0</v>
      </c>
      <c r="JF23">
        <v>0</v>
      </c>
      <c r="JG23">
        <v>0</v>
      </c>
      <c r="JH23">
        <v>4</v>
      </c>
      <c r="JI23">
        <v>2301</v>
      </c>
      <c r="JJ23">
        <v>0</v>
      </c>
      <c r="JK23">
        <v>23</v>
      </c>
      <c r="JL23">
        <v>29369860</v>
      </c>
      <c r="JM23">
        <v>29369860</v>
      </c>
      <c r="JN23">
        <v>1.23657</v>
      </c>
      <c r="JO23">
        <v>2.6001</v>
      </c>
      <c r="JP23">
        <v>2.19849</v>
      </c>
      <c r="JQ23">
        <v>2.64282</v>
      </c>
      <c r="JR23">
        <v>2.44507</v>
      </c>
      <c r="JS23">
        <v>2.34741</v>
      </c>
      <c r="JT23">
        <v>31.4552</v>
      </c>
      <c r="JU23">
        <v>24.2013</v>
      </c>
      <c r="JV23">
        <v>18</v>
      </c>
      <c r="JW23">
        <v>464.813</v>
      </c>
      <c r="JX23">
        <v>789.858</v>
      </c>
      <c r="JY23">
        <v>47.8974</v>
      </c>
      <c r="JZ23">
        <v>42.6017</v>
      </c>
      <c r="KA23">
        <v>30.0002</v>
      </c>
      <c r="KB23">
        <v>42.2942</v>
      </c>
      <c r="KC23">
        <v>42.1196</v>
      </c>
      <c r="KD23">
        <v>24.7841</v>
      </c>
      <c r="KE23">
        <v>0</v>
      </c>
      <c r="KF23">
        <v>100</v>
      </c>
      <c r="KG23">
        <v>47.8989</v>
      </c>
      <c r="KH23">
        <v>420</v>
      </c>
      <c r="KI23">
        <v>53.1821</v>
      </c>
      <c r="KJ23">
        <v>94.5086</v>
      </c>
      <c r="KK23">
        <v>91.7064</v>
      </c>
    </row>
    <row r="24" spans="1:297">
      <c r="A24">
        <v>8</v>
      </c>
      <c r="B24">
        <v>1762191756</v>
      </c>
      <c r="C24">
        <v>1760.90000009537</v>
      </c>
      <c r="D24" t="s">
        <v>465</v>
      </c>
      <c r="E24" t="s">
        <v>466</v>
      </c>
      <c r="F24">
        <v>5</v>
      </c>
      <c r="G24" t="s">
        <v>463</v>
      </c>
      <c r="H24" t="s">
        <v>436</v>
      </c>
      <c r="I24">
        <v>1762191747.5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429.149307475443</v>
      </c>
      <c r="AK24">
        <v>437.289266666666</v>
      </c>
      <c r="AL24">
        <v>-0.000278240770195888</v>
      </c>
      <c r="AM24">
        <v>63.7679971148857</v>
      </c>
      <c r="AN24">
        <f>(AP24 - AO24 + DY24*1E3/(8.314*(EA24+273.15)) * AR24/DX24 * AQ24) * DX24/(100*DL24) * 1000/(1000 - AP24)</f>
        <v>0</v>
      </c>
      <c r="AO24">
        <v>21.2884675113628</v>
      </c>
      <c r="AP24">
        <v>27.8838860606061</v>
      </c>
      <c r="AQ24">
        <v>4.68648140428722e-05</v>
      </c>
      <c r="AR24">
        <v>99.8638007434472</v>
      </c>
      <c r="AS24">
        <v>24</v>
      </c>
      <c r="AT24">
        <v>5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467</v>
      </c>
      <c r="AY24">
        <v>5112.25</v>
      </c>
      <c r="AZ24">
        <v>844.923076923077</v>
      </c>
      <c r="BA24">
        <v>1705.98</v>
      </c>
      <c r="BB24">
        <f>1-AZ24/BA24</f>
        <v>0</v>
      </c>
      <c r="BC24">
        <v>-6.63779721928411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1762191747.5</v>
      </c>
      <c r="DR24">
        <v>425.1221875</v>
      </c>
      <c r="DS24">
        <v>420.0056875</v>
      </c>
      <c r="DT24">
        <v>27.8707875</v>
      </c>
      <c r="DU24">
        <v>21.28705625</v>
      </c>
      <c r="DV24">
        <v>422.09775</v>
      </c>
      <c r="DW24">
        <v>27.64658125</v>
      </c>
      <c r="DX24">
        <v>499.9916875</v>
      </c>
      <c r="DY24">
        <v>90.8487375</v>
      </c>
      <c r="DZ24">
        <v>0.09995475625</v>
      </c>
      <c r="EA24">
        <v>44.61031875</v>
      </c>
      <c r="EB24">
        <v>41.9805375</v>
      </c>
      <c r="EC24">
        <v>999.9</v>
      </c>
      <c r="ED24">
        <v>0</v>
      </c>
      <c r="EE24">
        <v>0</v>
      </c>
      <c r="EF24">
        <v>10003.353125</v>
      </c>
      <c r="EG24">
        <v>0</v>
      </c>
      <c r="EH24">
        <v>0.27582</v>
      </c>
      <c r="EI24">
        <v>5.116641875</v>
      </c>
      <c r="EJ24">
        <v>437.310375</v>
      </c>
      <c r="EK24">
        <v>429.140625</v>
      </c>
      <c r="EL24">
        <v>6.583730625</v>
      </c>
      <c r="EM24">
        <v>420.0056875</v>
      </c>
      <c r="EN24">
        <v>21.28705625</v>
      </c>
      <c r="EO24">
        <v>2.53202875</v>
      </c>
      <c r="EP24">
        <v>1.933904375</v>
      </c>
      <c r="EQ24">
        <v>21.23383125</v>
      </c>
      <c r="ER24">
        <v>16.91329375</v>
      </c>
      <c r="ES24">
        <v>0.00500059</v>
      </c>
      <c r="ET24">
        <v>0</v>
      </c>
      <c r="EU24">
        <v>0</v>
      </c>
      <c r="EV24">
        <v>0</v>
      </c>
      <c r="EW24">
        <v>842.8125</v>
      </c>
      <c r="EX24">
        <v>0.00500059</v>
      </c>
      <c r="EY24">
        <v>45.4625</v>
      </c>
      <c r="EZ24">
        <v>0.5125</v>
      </c>
      <c r="FA24">
        <v>45.687</v>
      </c>
      <c r="FB24">
        <v>48.183125</v>
      </c>
      <c r="FC24">
        <v>46.625</v>
      </c>
      <c r="FD24">
        <v>48.312</v>
      </c>
      <c r="FE24">
        <v>48.062</v>
      </c>
      <c r="FF24">
        <v>0</v>
      </c>
      <c r="FG24">
        <v>0</v>
      </c>
      <c r="FH24">
        <v>0</v>
      </c>
      <c r="FI24">
        <v>156.299999952316</v>
      </c>
      <c r="FJ24">
        <v>0</v>
      </c>
      <c r="FK24">
        <v>844.923076923077</v>
      </c>
      <c r="FL24">
        <v>1.92136712547524</v>
      </c>
      <c r="FM24">
        <v>28.5264953219939</v>
      </c>
      <c r="FN24">
        <v>47.3307692307692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5.1048625</v>
      </c>
      <c r="GD24">
        <v>0.108377593984971</v>
      </c>
      <c r="GE24">
        <v>0.0599477556606583</v>
      </c>
      <c r="GF24">
        <v>1</v>
      </c>
      <c r="GG24">
        <v>844.938235294118</v>
      </c>
      <c r="GH24">
        <v>7.40565305270545</v>
      </c>
      <c r="GI24">
        <v>4.76759988364365</v>
      </c>
      <c r="GJ24">
        <v>-1</v>
      </c>
      <c r="GK24">
        <v>6.579669</v>
      </c>
      <c r="GL24">
        <v>0.0823389473684246</v>
      </c>
      <c r="GM24">
        <v>0.00804786300827747</v>
      </c>
      <c r="GN24">
        <v>1</v>
      </c>
      <c r="GO24">
        <v>2</v>
      </c>
      <c r="GP24">
        <v>2</v>
      </c>
      <c r="GQ24" t="s">
        <v>468</v>
      </c>
      <c r="GR24">
        <v>3.12846</v>
      </c>
      <c r="GS24">
        <v>2.77812</v>
      </c>
      <c r="GT24">
        <v>0.0874261</v>
      </c>
      <c r="GU24">
        <v>0.0871969</v>
      </c>
      <c r="GV24">
        <v>0.112032</v>
      </c>
      <c r="GW24">
        <v>0.0925265</v>
      </c>
      <c r="GX24">
        <v>33472.1</v>
      </c>
      <c r="GY24">
        <v>35607</v>
      </c>
      <c r="GZ24">
        <v>33260.7</v>
      </c>
      <c r="HA24">
        <v>35395.4</v>
      </c>
      <c r="HB24">
        <v>41922.1</v>
      </c>
      <c r="HC24">
        <v>46171.4</v>
      </c>
      <c r="HD24">
        <v>52057.1</v>
      </c>
      <c r="HE24">
        <v>56620.5</v>
      </c>
      <c r="HF24">
        <v>1.73563</v>
      </c>
      <c r="HG24">
        <v>2.14227</v>
      </c>
      <c r="HH24">
        <v>0.0198409</v>
      </c>
      <c r="HI24">
        <v>0</v>
      </c>
      <c r="HJ24">
        <v>41.6792</v>
      </c>
      <c r="HK24">
        <v>999.9</v>
      </c>
      <c r="HL24">
        <v>58.534</v>
      </c>
      <c r="HM24">
        <v>26.737</v>
      </c>
      <c r="HN24">
        <v>22.7058</v>
      </c>
      <c r="HO24">
        <v>59.9875</v>
      </c>
      <c r="HP24">
        <v>33.9503</v>
      </c>
      <c r="HQ24">
        <v>2</v>
      </c>
      <c r="HR24">
        <v>1.28555</v>
      </c>
      <c r="HS24">
        <v>-2.77604</v>
      </c>
      <c r="HT24">
        <v>20.1221</v>
      </c>
      <c r="HU24">
        <v>5.19273</v>
      </c>
      <c r="HV24">
        <v>12.0099</v>
      </c>
      <c r="HW24">
        <v>4.97325</v>
      </c>
      <c r="HX24">
        <v>3.295</v>
      </c>
      <c r="HY24">
        <v>9999</v>
      </c>
      <c r="HZ24">
        <v>9999</v>
      </c>
      <c r="IA24">
        <v>9999</v>
      </c>
      <c r="IB24">
        <v>999.9</v>
      </c>
      <c r="IC24">
        <v>1.8631</v>
      </c>
      <c r="ID24">
        <v>1.8681</v>
      </c>
      <c r="IE24">
        <v>1.86787</v>
      </c>
      <c r="IF24">
        <v>1.86896</v>
      </c>
      <c r="IG24">
        <v>1.86982</v>
      </c>
      <c r="IH24">
        <v>1.86586</v>
      </c>
      <c r="II24">
        <v>1.86706</v>
      </c>
      <c r="IJ24">
        <v>1.86843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3.024</v>
      </c>
      <c r="IY24">
        <v>0.2242</v>
      </c>
      <c r="IZ24">
        <v>1.07199260846131</v>
      </c>
      <c r="JA24">
        <v>0.00518756196715005</v>
      </c>
      <c r="JB24">
        <v>-1.52380604235834e-06</v>
      </c>
      <c r="JC24">
        <v>4.55768161354542e-10</v>
      </c>
      <c r="JD24">
        <v>0.224209222432812</v>
      </c>
      <c r="JE24">
        <v>0</v>
      </c>
      <c r="JF24">
        <v>0</v>
      </c>
      <c r="JG24">
        <v>0</v>
      </c>
      <c r="JH24">
        <v>4</v>
      </c>
      <c r="JI24">
        <v>2301</v>
      </c>
      <c r="JJ24">
        <v>0</v>
      </c>
      <c r="JK24">
        <v>23</v>
      </c>
      <c r="JL24">
        <v>29369862.6</v>
      </c>
      <c r="JM24">
        <v>29369862.6</v>
      </c>
      <c r="JN24">
        <v>1.23779</v>
      </c>
      <c r="JO24">
        <v>2.6123</v>
      </c>
      <c r="JP24">
        <v>2.19849</v>
      </c>
      <c r="JQ24">
        <v>2.64282</v>
      </c>
      <c r="JR24">
        <v>2.44507</v>
      </c>
      <c r="JS24">
        <v>2.28027</v>
      </c>
      <c r="JT24">
        <v>31.4988</v>
      </c>
      <c r="JU24">
        <v>24.2013</v>
      </c>
      <c r="JV24">
        <v>18</v>
      </c>
      <c r="JW24">
        <v>464.754</v>
      </c>
      <c r="JX24">
        <v>789.651</v>
      </c>
      <c r="JY24">
        <v>48.3785</v>
      </c>
      <c r="JZ24">
        <v>42.6061</v>
      </c>
      <c r="KA24">
        <v>30.0001</v>
      </c>
      <c r="KB24">
        <v>42.314</v>
      </c>
      <c r="KC24">
        <v>42.1452</v>
      </c>
      <c r="KD24">
        <v>24.8055</v>
      </c>
      <c r="KE24">
        <v>0</v>
      </c>
      <c r="KF24">
        <v>100</v>
      </c>
      <c r="KG24">
        <v>48.3838</v>
      </c>
      <c r="KH24">
        <v>420</v>
      </c>
      <c r="KI24">
        <v>53.1821</v>
      </c>
      <c r="KJ24">
        <v>94.5077</v>
      </c>
      <c r="KK24">
        <v>91.7059</v>
      </c>
    </row>
    <row r="25" spans="1:297">
      <c r="A25">
        <v>9</v>
      </c>
      <c r="B25">
        <v>1762191869</v>
      </c>
      <c r="C25">
        <v>1873.90000009537</v>
      </c>
      <c r="D25" t="s">
        <v>469</v>
      </c>
      <c r="E25" t="s">
        <v>470</v>
      </c>
      <c r="F25">
        <v>5</v>
      </c>
      <c r="G25" t="s">
        <v>463</v>
      </c>
      <c r="H25" t="s">
        <v>436</v>
      </c>
      <c r="I25">
        <v>1762191861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429.10826674347</v>
      </c>
      <c r="AK25">
        <v>437.186533333333</v>
      </c>
      <c r="AL25">
        <v>0.000159094518145975</v>
      </c>
      <c r="AM25">
        <v>63.7679971148857</v>
      </c>
      <c r="AN25">
        <f>(AP25 - AO25 + DY25*1E3/(8.314*(EA25+273.15)) * AR25/DX25 * AQ25) * DX25/(100*DL25) * 1000/(1000 - AP25)</f>
        <v>0</v>
      </c>
      <c r="AO25">
        <v>21.299511361768</v>
      </c>
      <c r="AP25">
        <v>28.0254981818182</v>
      </c>
      <c r="AQ25">
        <v>5.94723860555138e-05</v>
      </c>
      <c r="AR25">
        <v>99.8638007434472</v>
      </c>
      <c r="AS25">
        <v>23</v>
      </c>
      <c r="AT25">
        <v>5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5112.53</v>
      </c>
      <c r="AZ25">
        <v>846.136</v>
      </c>
      <c r="BA25">
        <v>1681.23</v>
      </c>
      <c r="BB25">
        <f>1-AZ25/BA25</f>
        <v>0</v>
      </c>
      <c r="BC25">
        <v>-6.58947119120526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1762191861</v>
      </c>
      <c r="DR25">
        <v>424.938466666667</v>
      </c>
      <c r="DS25">
        <v>419.994733333333</v>
      </c>
      <c r="DT25">
        <v>28.0158</v>
      </c>
      <c r="DU25">
        <v>21.2987933333333</v>
      </c>
      <c r="DV25">
        <v>421.914866666667</v>
      </c>
      <c r="DW25">
        <v>27.7915733333333</v>
      </c>
      <c r="DX25">
        <v>500.029933333333</v>
      </c>
      <c r="DY25">
        <v>90.8483266666667</v>
      </c>
      <c r="DZ25">
        <v>0.100024146666667</v>
      </c>
      <c r="EA25">
        <v>44.62416</v>
      </c>
      <c r="EB25">
        <v>42.00046</v>
      </c>
      <c r="EC25">
        <v>999.9</v>
      </c>
      <c r="ED25">
        <v>0</v>
      </c>
      <c r="EE25">
        <v>0</v>
      </c>
      <c r="EF25">
        <v>10000</v>
      </c>
      <c r="EG25">
        <v>0</v>
      </c>
      <c r="EH25">
        <v>0.27582</v>
      </c>
      <c r="EI25">
        <v>4.94394933333333</v>
      </c>
      <c r="EJ25">
        <v>437.1868</v>
      </c>
      <c r="EK25">
        <v>429.1348</v>
      </c>
      <c r="EL25">
        <v>6.717006</v>
      </c>
      <c r="EM25">
        <v>419.994733333333</v>
      </c>
      <c r="EN25">
        <v>21.2987933333333</v>
      </c>
      <c r="EO25">
        <v>2.545188</v>
      </c>
      <c r="EP25">
        <v>1.93495866666667</v>
      </c>
      <c r="EQ25">
        <v>21.3183866666667</v>
      </c>
      <c r="ER25">
        <v>16.9219066666667</v>
      </c>
      <c r="ES25">
        <v>0.00500059</v>
      </c>
      <c r="ET25">
        <v>0</v>
      </c>
      <c r="EU25">
        <v>0</v>
      </c>
      <c r="EV25">
        <v>0</v>
      </c>
      <c r="EW25">
        <v>845.313333333333</v>
      </c>
      <c r="EX25">
        <v>0.00500059</v>
      </c>
      <c r="EY25">
        <v>50.5466666666667</v>
      </c>
      <c r="EZ25">
        <v>1.14666666666667</v>
      </c>
      <c r="FA25">
        <v>45.75</v>
      </c>
      <c r="FB25">
        <v>48.1996</v>
      </c>
      <c r="FC25">
        <v>46.687</v>
      </c>
      <c r="FD25">
        <v>48.3582</v>
      </c>
      <c r="FE25">
        <v>48.125</v>
      </c>
      <c r="FF25">
        <v>0</v>
      </c>
      <c r="FG25">
        <v>0</v>
      </c>
      <c r="FH25">
        <v>0</v>
      </c>
      <c r="FI25">
        <v>110.900000095367</v>
      </c>
      <c r="FJ25">
        <v>0</v>
      </c>
      <c r="FK25">
        <v>846.136</v>
      </c>
      <c r="FL25">
        <v>-18.2923082082696</v>
      </c>
      <c r="FM25">
        <v>-13.769230454396</v>
      </c>
      <c r="FN25">
        <v>49.188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4.9381485</v>
      </c>
      <c r="GD25">
        <v>0.0869255639097709</v>
      </c>
      <c r="GE25">
        <v>0.0425806722909585</v>
      </c>
      <c r="GF25">
        <v>1</v>
      </c>
      <c r="GG25">
        <v>846.535294117647</v>
      </c>
      <c r="GH25">
        <v>-11.3766235627621</v>
      </c>
      <c r="GI25">
        <v>6.70574303260848</v>
      </c>
      <c r="GJ25">
        <v>-1</v>
      </c>
      <c r="GK25">
        <v>6.715201</v>
      </c>
      <c r="GL25">
        <v>0.0553497744360953</v>
      </c>
      <c r="GM25">
        <v>0.00554161158869875</v>
      </c>
      <c r="GN25">
        <v>1</v>
      </c>
      <c r="GO25">
        <v>2</v>
      </c>
      <c r="GP25">
        <v>2</v>
      </c>
      <c r="GQ25" t="s">
        <v>468</v>
      </c>
      <c r="GR25">
        <v>3.12859</v>
      </c>
      <c r="GS25">
        <v>2.77781</v>
      </c>
      <c r="GT25">
        <v>0.087395</v>
      </c>
      <c r="GU25">
        <v>0.0872404</v>
      </c>
      <c r="GV25">
        <v>0.112432</v>
      </c>
      <c r="GW25">
        <v>0.0925606</v>
      </c>
      <c r="GX25">
        <v>33473.1</v>
      </c>
      <c r="GY25">
        <v>35604.4</v>
      </c>
      <c r="GZ25">
        <v>33260.6</v>
      </c>
      <c r="HA25">
        <v>35394.5</v>
      </c>
      <c r="HB25">
        <v>41903.8</v>
      </c>
      <c r="HC25">
        <v>46168.9</v>
      </c>
      <c r="HD25">
        <v>52057.1</v>
      </c>
      <c r="HE25">
        <v>56619.5</v>
      </c>
      <c r="HF25">
        <v>1.73605</v>
      </c>
      <c r="HG25">
        <v>2.14185</v>
      </c>
      <c r="HH25">
        <v>0.0178292</v>
      </c>
      <c r="HI25">
        <v>0</v>
      </c>
      <c r="HJ25">
        <v>41.7089</v>
      </c>
      <c r="HK25">
        <v>999.9</v>
      </c>
      <c r="HL25">
        <v>58.412</v>
      </c>
      <c r="HM25">
        <v>26.778</v>
      </c>
      <c r="HN25">
        <v>22.716</v>
      </c>
      <c r="HO25">
        <v>59.8175</v>
      </c>
      <c r="HP25">
        <v>34.0144</v>
      </c>
      <c r="HQ25">
        <v>2</v>
      </c>
      <c r="HR25">
        <v>1.28569</v>
      </c>
      <c r="HS25">
        <v>-2.6315</v>
      </c>
      <c r="HT25">
        <v>20.1237</v>
      </c>
      <c r="HU25">
        <v>5.19108</v>
      </c>
      <c r="HV25">
        <v>12.0099</v>
      </c>
      <c r="HW25">
        <v>4.97315</v>
      </c>
      <c r="HX25">
        <v>3.295</v>
      </c>
      <c r="HY25">
        <v>9999</v>
      </c>
      <c r="HZ25">
        <v>9999</v>
      </c>
      <c r="IA25">
        <v>9999</v>
      </c>
      <c r="IB25">
        <v>999.9</v>
      </c>
      <c r="IC25">
        <v>1.86311</v>
      </c>
      <c r="ID25">
        <v>1.86808</v>
      </c>
      <c r="IE25">
        <v>1.86784</v>
      </c>
      <c r="IF25">
        <v>1.86901</v>
      </c>
      <c r="IG25">
        <v>1.86982</v>
      </c>
      <c r="IH25">
        <v>1.86586</v>
      </c>
      <c r="II25">
        <v>1.86706</v>
      </c>
      <c r="IJ25">
        <v>1.86841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3.023</v>
      </c>
      <c r="IY25">
        <v>0.2242</v>
      </c>
      <c r="IZ25">
        <v>1.07199260846131</v>
      </c>
      <c r="JA25">
        <v>0.00518756196715005</v>
      </c>
      <c r="JB25">
        <v>-1.52380604235834e-06</v>
      </c>
      <c r="JC25">
        <v>4.55768161354542e-10</v>
      </c>
      <c r="JD25">
        <v>0.224209222432812</v>
      </c>
      <c r="JE25">
        <v>0</v>
      </c>
      <c r="JF25">
        <v>0</v>
      </c>
      <c r="JG25">
        <v>0</v>
      </c>
      <c r="JH25">
        <v>4</v>
      </c>
      <c r="JI25">
        <v>2301</v>
      </c>
      <c r="JJ25">
        <v>0</v>
      </c>
      <c r="JK25">
        <v>23</v>
      </c>
      <c r="JL25">
        <v>29369864.5</v>
      </c>
      <c r="JM25">
        <v>29369864.5</v>
      </c>
      <c r="JN25">
        <v>1.23779</v>
      </c>
      <c r="JO25">
        <v>2.61108</v>
      </c>
      <c r="JP25">
        <v>2.19849</v>
      </c>
      <c r="JQ25">
        <v>2.64282</v>
      </c>
      <c r="JR25">
        <v>2.44629</v>
      </c>
      <c r="JS25">
        <v>2.26807</v>
      </c>
      <c r="JT25">
        <v>31.5643</v>
      </c>
      <c r="JU25">
        <v>24.2013</v>
      </c>
      <c r="JV25">
        <v>18</v>
      </c>
      <c r="JW25">
        <v>465.121</v>
      </c>
      <c r="JX25">
        <v>789.373</v>
      </c>
      <c r="JY25">
        <v>48.2291</v>
      </c>
      <c r="JZ25">
        <v>42.6061</v>
      </c>
      <c r="KA25">
        <v>30.0002</v>
      </c>
      <c r="KB25">
        <v>42.327</v>
      </c>
      <c r="KC25">
        <v>42.1579</v>
      </c>
      <c r="KD25">
        <v>24.8041</v>
      </c>
      <c r="KE25">
        <v>0</v>
      </c>
      <c r="KF25">
        <v>100</v>
      </c>
      <c r="KG25">
        <v>48.2296</v>
      </c>
      <c r="KH25">
        <v>420</v>
      </c>
      <c r="KI25">
        <v>53.1821</v>
      </c>
      <c r="KJ25">
        <v>94.5076</v>
      </c>
      <c r="KK25">
        <v>91.7041</v>
      </c>
    </row>
    <row r="26" spans="1:297">
      <c r="A26">
        <v>10</v>
      </c>
      <c r="B26">
        <v>1762192418.1</v>
      </c>
      <c r="C26">
        <v>2423</v>
      </c>
      <c r="D26" t="s">
        <v>472</v>
      </c>
      <c r="E26" t="s">
        <v>473</v>
      </c>
      <c r="F26">
        <v>5</v>
      </c>
      <c r="G26" t="s">
        <v>474</v>
      </c>
      <c r="H26" t="s">
        <v>436</v>
      </c>
      <c r="I26">
        <v>1762192409.6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429.142969734149</v>
      </c>
      <c r="AK26">
        <v>438.522642424242</v>
      </c>
      <c r="AL26">
        <v>0.000222186739472702</v>
      </c>
      <c r="AM26">
        <v>63.8082817984678</v>
      </c>
      <c r="AN26">
        <f>(AP26 - AO26 + DY26*1E3/(8.314*(EA26+273.15)) * AR26/DX26 * AQ26) * DX26/(100*DL26) * 1000/(1000 - AP26)</f>
        <v>0</v>
      </c>
      <c r="AO26">
        <v>21.3629415850414</v>
      </c>
      <c r="AP26">
        <v>29.0064709090909</v>
      </c>
      <c r="AQ26">
        <v>0.00504151676053535</v>
      </c>
      <c r="AR26">
        <v>99.7132916963245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475</v>
      </c>
      <c r="AY26">
        <v>5086.43</v>
      </c>
      <c r="AZ26">
        <v>681.232</v>
      </c>
      <c r="BA26">
        <v>2260.02</v>
      </c>
      <c r="BB26">
        <f>1-AZ26/BA26</f>
        <v>0</v>
      </c>
      <c r="BC26">
        <v>-7.65049597953418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1762192409.6</v>
      </c>
      <c r="DR26">
        <v>425.7975625</v>
      </c>
      <c r="DS26">
        <v>419.9693125</v>
      </c>
      <c r="DT26">
        <v>28.97145</v>
      </c>
      <c r="DU26">
        <v>21.36138125</v>
      </c>
      <c r="DV26">
        <v>422.7704375</v>
      </c>
      <c r="DW26">
        <v>28.74724375</v>
      </c>
      <c r="DX26">
        <v>500.0178125</v>
      </c>
      <c r="DY26">
        <v>90.84299375</v>
      </c>
      <c r="DZ26">
        <v>0.10003823125</v>
      </c>
      <c r="EA26">
        <v>43.2643125</v>
      </c>
      <c r="EB26">
        <v>41.99489375</v>
      </c>
      <c r="EC26">
        <v>999.9</v>
      </c>
      <c r="ED26">
        <v>0</v>
      </c>
      <c r="EE26">
        <v>0</v>
      </c>
      <c r="EF26">
        <v>9998.421875</v>
      </c>
      <c r="EG26">
        <v>0</v>
      </c>
      <c r="EH26">
        <v>0.27582</v>
      </c>
      <c r="EI26">
        <v>5.828345625</v>
      </c>
      <c r="EJ26">
        <v>438.5015625</v>
      </c>
      <c r="EK26">
        <v>429.136125</v>
      </c>
      <c r="EL26">
        <v>7.610069375</v>
      </c>
      <c r="EM26">
        <v>419.9693125</v>
      </c>
      <c r="EN26">
        <v>21.36138125</v>
      </c>
      <c r="EO26">
        <v>2.631853125</v>
      </c>
      <c r="EP26">
        <v>1.940531875</v>
      </c>
      <c r="EQ26">
        <v>21.86570625</v>
      </c>
      <c r="ER26">
        <v>16.96726875</v>
      </c>
      <c r="ES26">
        <v>0.00500059</v>
      </c>
      <c r="ET26">
        <v>0</v>
      </c>
      <c r="EU26">
        <v>0</v>
      </c>
      <c r="EV26">
        <v>0</v>
      </c>
      <c r="EW26">
        <v>680.575</v>
      </c>
      <c r="EX26">
        <v>0.00500059</v>
      </c>
      <c r="EY26">
        <v>53.2125</v>
      </c>
      <c r="EZ26">
        <v>1.525</v>
      </c>
      <c r="FA26">
        <v>46.050375</v>
      </c>
      <c r="FB26">
        <v>48.625</v>
      </c>
      <c r="FC26">
        <v>47.03875</v>
      </c>
      <c r="FD26">
        <v>48.75</v>
      </c>
      <c r="FE26">
        <v>48.312</v>
      </c>
      <c r="FF26">
        <v>0</v>
      </c>
      <c r="FG26">
        <v>0</v>
      </c>
      <c r="FH26">
        <v>0</v>
      </c>
      <c r="FI26">
        <v>547.400000095367</v>
      </c>
      <c r="FJ26">
        <v>0</v>
      </c>
      <c r="FK26">
        <v>681.232</v>
      </c>
      <c r="FL26">
        <v>-36.2230771321511</v>
      </c>
      <c r="FM26">
        <v>-1.66153851533546</v>
      </c>
      <c r="FN26">
        <v>51.404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5.8350565</v>
      </c>
      <c r="GD26">
        <v>-0.245734285714285</v>
      </c>
      <c r="GE26">
        <v>0.0552031527428462</v>
      </c>
      <c r="GF26">
        <v>1</v>
      </c>
      <c r="GG26">
        <v>681.305882352941</v>
      </c>
      <c r="GH26">
        <v>-11.9999999635995</v>
      </c>
      <c r="GI26">
        <v>6.41280617553522</v>
      </c>
      <c r="GJ26">
        <v>-1</v>
      </c>
      <c r="GK26">
        <v>7.6016325</v>
      </c>
      <c r="GL26">
        <v>0.252364060150377</v>
      </c>
      <c r="GM26">
        <v>0.0242906922245951</v>
      </c>
      <c r="GN26">
        <v>0</v>
      </c>
      <c r="GO26">
        <v>1</v>
      </c>
      <c r="GP26">
        <v>2</v>
      </c>
      <c r="GQ26" t="s">
        <v>441</v>
      </c>
      <c r="GR26">
        <v>3.12855</v>
      </c>
      <c r="GS26">
        <v>2.77801</v>
      </c>
      <c r="GT26">
        <v>0.0874908</v>
      </c>
      <c r="GU26">
        <v>0.087146</v>
      </c>
      <c r="GV26">
        <v>0.115191</v>
      </c>
      <c r="GW26">
        <v>0.0927064</v>
      </c>
      <c r="GX26">
        <v>33450.1</v>
      </c>
      <c r="GY26">
        <v>35584.4</v>
      </c>
      <c r="GZ26">
        <v>33242.4</v>
      </c>
      <c r="HA26">
        <v>35372.2</v>
      </c>
      <c r="HB26">
        <v>41759.6</v>
      </c>
      <c r="HC26">
        <v>46136</v>
      </c>
      <c r="HD26">
        <v>52033.3</v>
      </c>
      <c r="HE26">
        <v>56587.9</v>
      </c>
      <c r="HF26">
        <v>1.7847</v>
      </c>
      <c r="HG26">
        <v>2.13715</v>
      </c>
      <c r="HH26">
        <v>0.0645965</v>
      </c>
      <c r="HI26">
        <v>0</v>
      </c>
      <c r="HJ26">
        <v>40.965</v>
      </c>
      <c r="HK26">
        <v>999.9</v>
      </c>
      <c r="HL26">
        <v>57.929</v>
      </c>
      <c r="HM26">
        <v>27.009</v>
      </c>
      <c r="HN26">
        <v>22.8356</v>
      </c>
      <c r="HO26">
        <v>59.9621</v>
      </c>
      <c r="HP26">
        <v>33.9423</v>
      </c>
      <c r="HQ26">
        <v>2</v>
      </c>
      <c r="HR26">
        <v>1.30656</v>
      </c>
      <c r="HS26">
        <v>-2.03933</v>
      </c>
      <c r="HT26">
        <v>20.1305</v>
      </c>
      <c r="HU26">
        <v>5.19288</v>
      </c>
      <c r="HV26">
        <v>12.0099</v>
      </c>
      <c r="HW26">
        <v>4.97325</v>
      </c>
      <c r="HX26">
        <v>3.295</v>
      </c>
      <c r="HY26">
        <v>9999</v>
      </c>
      <c r="HZ26">
        <v>9999</v>
      </c>
      <c r="IA26">
        <v>9999</v>
      </c>
      <c r="IB26">
        <v>999.9</v>
      </c>
      <c r="IC26">
        <v>1.86311</v>
      </c>
      <c r="ID26">
        <v>1.86813</v>
      </c>
      <c r="IE26">
        <v>1.86788</v>
      </c>
      <c r="IF26">
        <v>1.86903</v>
      </c>
      <c r="IG26">
        <v>1.86982</v>
      </c>
      <c r="IH26">
        <v>1.8659</v>
      </c>
      <c r="II26">
        <v>1.86706</v>
      </c>
      <c r="IJ26">
        <v>1.8684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3.027</v>
      </c>
      <c r="IY26">
        <v>0.2242</v>
      </c>
      <c r="IZ26">
        <v>1.07199260846131</v>
      </c>
      <c r="JA26">
        <v>0.00518756196715005</v>
      </c>
      <c r="JB26">
        <v>-1.52380604235834e-06</v>
      </c>
      <c r="JC26">
        <v>4.55768161354542e-10</v>
      </c>
      <c r="JD26">
        <v>0.224209222432812</v>
      </c>
      <c r="JE26">
        <v>0</v>
      </c>
      <c r="JF26">
        <v>0</v>
      </c>
      <c r="JG26">
        <v>0</v>
      </c>
      <c r="JH26">
        <v>4</v>
      </c>
      <c r="JI26">
        <v>2301</v>
      </c>
      <c r="JJ26">
        <v>0</v>
      </c>
      <c r="JK26">
        <v>23</v>
      </c>
      <c r="JL26">
        <v>29369873.6</v>
      </c>
      <c r="JM26">
        <v>29369873.6</v>
      </c>
      <c r="JN26">
        <v>1.23779</v>
      </c>
      <c r="JO26">
        <v>2.60376</v>
      </c>
      <c r="JP26">
        <v>2.19849</v>
      </c>
      <c r="JQ26">
        <v>2.6416</v>
      </c>
      <c r="JR26">
        <v>2.44507</v>
      </c>
      <c r="JS26">
        <v>2.32788</v>
      </c>
      <c r="JT26">
        <v>31.7173</v>
      </c>
      <c r="JU26">
        <v>24.2101</v>
      </c>
      <c r="JV26">
        <v>18</v>
      </c>
      <c r="JW26">
        <v>500.074</v>
      </c>
      <c r="JX26">
        <v>787.122</v>
      </c>
      <c r="JY26">
        <v>45.9657</v>
      </c>
      <c r="JZ26">
        <v>42.8359</v>
      </c>
      <c r="KA26">
        <v>30.0002</v>
      </c>
      <c r="KB26">
        <v>42.5391</v>
      </c>
      <c r="KC26">
        <v>42.3717</v>
      </c>
      <c r="KD26">
        <v>24.8064</v>
      </c>
      <c r="KE26">
        <v>0</v>
      </c>
      <c r="KF26">
        <v>100</v>
      </c>
      <c r="KG26">
        <v>45.9652</v>
      </c>
      <c r="KH26">
        <v>420</v>
      </c>
      <c r="KI26">
        <v>53.1821</v>
      </c>
      <c r="KJ26">
        <v>94.461</v>
      </c>
      <c r="KK26">
        <v>91.6503</v>
      </c>
    </row>
    <row r="27" spans="1:297">
      <c r="A27">
        <v>11</v>
      </c>
      <c r="B27">
        <v>1762192557.1</v>
      </c>
      <c r="C27">
        <v>2562</v>
      </c>
      <c r="D27" t="s">
        <v>476</v>
      </c>
      <c r="E27" t="s">
        <v>477</v>
      </c>
      <c r="F27">
        <v>5</v>
      </c>
      <c r="G27" t="s">
        <v>474</v>
      </c>
      <c r="H27" t="s">
        <v>436</v>
      </c>
      <c r="I27">
        <v>1762192549.1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429.116351090458</v>
      </c>
      <c r="AK27">
        <v>438.692333333333</v>
      </c>
      <c r="AL27">
        <v>0.00505797660954246</v>
      </c>
      <c r="AM27">
        <v>63.8082817984678</v>
      </c>
      <c r="AN27">
        <f>(AP27 - AO27 + DY27*1E3/(8.314*(EA27+273.15)) * AR27/DX27 * AQ27) * DX27/(100*DL27) * 1000/(1000 - AP27)</f>
        <v>0</v>
      </c>
      <c r="AO27">
        <v>21.3736614380362</v>
      </c>
      <c r="AP27">
        <v>29.6262066666667</v>
      </c>
      <c r="AQ27">
        <v>0.00193739666092089</v>
      </c>
      <c r="AR27">
        <v>99.7132916963245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478</v>
      </c>
      <c r="AY27">
        <v>5086.38</v>
      </c>
      <c r="AZ27">
        <v>718.776</v>
      </c>
      <c r="BA27">
        <v>2224.02</v>
      </c>
      <c r="BB27">
        <f>1-AZ27/BA27</f>
        <v>0</v>
      </c>
      <c r="BC27">
        <v>-7.82757900942182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1762192549.1</v>
      </c>
      <c r="DR27">
        <v>425.738</v>
      </c>
      <c r="DS27">
        <v>419.927333333333</v>
      </c>
      <c r="DT27">
        <v>29.59606</v>
      </c>
      <c r="DU27">
        <v>21.37264</v>
      </c>
      <c r="DV27">
        <v>422.711066666667</v>
      </c>
      <c r="DW27">
        <v>29.3718533333333</v>
      </c>
      <c r="DX27">
        <v>499.998466666667</v>
      </c>
      <c r="DY27">
        <v>90.8379933333333</v>
      </c>
      <c r="DZ27">
        <v>0.100009453333333</v>
      </c>
      <c r="EA27">
        <v>43.3663133333333</v>
      </c>
      <c r="EB27">
        <v>41.97738</v>
      </c>
      <c r="EC27">
        <v>999.9</v>
      </c>
      <c r="ED27">
        <v>0</v>
      </c>
      <c r="EE27">
        <v>0</v>
      </c>
      <c r="EF27">
        <v>9997.16</v>
      </c>
      <c r="EG27">
        <v>0</v>
      </c>
      <c r="EH27">
        <v>0.27582</v>
      </c>
      <c r="EI27">
        <v>5.81044466666667</v>
      </c>
      <c r="EJ27">
        <v>438.722333333333</v>
      </c>
      <c r="EK27">
        <v>429.098466666667</v>
      </c>
      <c r="EL27">
        <v>8.22341266666667</v>
      </c>
      <c r="EM27">
        <v>419.927333333333</v>
      </c>
      <c r="EN27">
        <v>21.37264</v>
      </c>
      <c r="EO27">
        <v>2.68844733333333</v>
      </c>
      <c r="EP27">
        <v>1.94144866666667</v>
      </c>
      <c r="EQ27">
        <v>22.21466</v>
      </c>
      <c r="ER27">
        <v>16.9747133333333</v>
      </c>
      <c r="ES27">
        <v>0.00500059</v>
      </c>
      <c r="ET27">
        <v>0</v>
      </c>
      <c r="EU27">
        <v>0</v>
      </c>
      <c r="EV27">
        <v>0</v>
      </c>
      <c r="EW27">
        <v>718.44</v>
      </c>
      <c r="EX27">
        <v>0.00500059</v>
      </c>
      <c r="EY27">
        <v>53.8266666666667</v>
      </c>
      <c r="EZ27">
        <v>0.826666666666667</v>
      </c>
      <c r="FA27">
        <v>46.125</v>
      </c>
      <c r="FB27">
        <v>48.687</v>
      </c>
      <c r="FC27">
        <v>47.0788</v>
      </c>
      <c r="FD27">
        <v>48.8037333333333</v>
      </c>
      <c r="FE27">
        <v>48.375</v>
      </c>
      <c r="FF27">
        <v>0</v>
      </c>
      <c r="FG27">
        <v>0</v>
      </c>
      <c r="FH27">
        <v>0</v>
      </c>
      <c r="FI27">
        <v>137.199999809265</v>
      </c>
      <c r="FJ27">
        <v>0</v>
      </c>
      <c r="FK27">
        <v>718.776</v>
      </c>
      <c r="FL27">
        <v>-41.2769235057006</v>
      </c>
      <c r="FM27">
        <v>-11.5999993177562</v>
      </c>
      <c r="FN27">
        <v>52.836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5.75796904761905</v>
      </c>
      <c r="GD27">
        <v>0.154642597402592</v>
      </c>
      <c r="GE27">
        <v>0.138008502909362</v>
      </c>
      <c r="GF27">
        <v>1</v>
      </c>
      <c r="GG27">
        <v>718.485294117647</v>
      </c>
      <c r="GH27">
        <v>-14.898395783782</v>
      </c>
      <c r="GI27">
        <v>5.84853588279309</v>
      </c>
      <c r="GJ27">
        <v>-1</v>
      </c>
      <c r="GK27">
        <v>8.21053666666667</v>
      </c>
      <c r="GL27">
        <v>0.258021038961048</v>
      </c>
      <c r="GM27">
        <v>0.0261219523322971</v>
      </c>
      <c r="GN27">
        <v>0</v>
      </c>
      <c r="GO27">
        <v>1</v>
      </c>
      <c r="GP27">
        <v>2</v>
      </c>
      <c r="GQ27" t="s">
        <v>441</v>
      </c>
      <c r="GR27">
        <v>3.12853</v>
      </c>
      <c r="GS27">
        <v>2.77801</v>
      </c>
      <c r="GT27">
        <v>0.0874743</v>
      </c>
      <c r="GU27">
        <v>0.0871877</v>
      </c>
      <c r="GV27">
        <v>0.116933</v>
      </c>
      <c r="GW27">
        <v>0.0927372</v>
      </c>
      <c r="GX27">
        <v>33449.7</v>
      </c>
      <c r="GY27">
        <v>35582.3</v>
      </c>
      <c r="GZ27">
        <v>33241.3</v>
      </c>
      <c r="HA27">
        <v>35371.7</v>
      </c>
      <c r="HB27">
        <v>41678.9</v>
      </c>
      <c r="HC27">
        <v>46134</v>
      </c>
      <c r="HD27">
        <v>52031.9</v>
      </c>
      <c r="HE27">
        <v>56587.4</v>
      </c>
      <c r="HF27">
        <v>1.78495</v>
      </c>
      <c r="HG27">
        <v>2.1364</v>
      </c>
      <c r="HH27">
        <v>0.0622347</v>
      </c>
      <c r="HI27">
        <v>0</v>
      </c>
      <c r="HJ27">
        <v>40.9815</v>
      </c>
      <c r="HK27">
        <v>999.9</v>
      </c>
      <c r="HL27">
        <v>57.807</v>
      </c>
      <c r="HM27">
        <v>27.05</v>
      </c>
      <c r="HN27">
        <v>22.8421</v>
      </c>
      <c r="HO27">
        <v>60.0721</v>
      </c>
      <c r="HP27">
        <v>33.9503</v>
      </c>
      <c r="HQ27">
        <v>2</v>
      </c>
      <c r="HR27">
        <v>1.30804</v>
      </c>
      <c r="HS27">
        <v>-2.18771</v>
      </c>
      <c r="HT27">
        <v>20.1286</v>
      </c>
      <c r="HU27">
        <v>5.19198</v>
      </c>
      <c r="HV27">
        <v>12.0099</v>
      </c>
      <c r="HW27">
        <v>4.97335</v>
      </c>
      <c r="HX27">
        <v>3.29492</v>
      </c>
      <c r="HY27">
        <v>9999</v>
      </c>
      <c r="HZ27">
        <v>9999</v>
      </c>
      <c r="IA27">
        <v>9999</v>
      </c>
      <c r="IB27">
        <v>999.9</v>
      </c>
      <c r="IC27">
        <v>1.86313</v>
      </c>
      <c r="ID27">
        <v>1.86813</v>
      </c>
      <c r="IE27">
        <v>1.86784</v>
      </c>
      <c r="IF27">
        <v>1.86902</v>
      </c>
      <c r="IG27">
        <v>1.86981</v>
      </c>
      <c r="IH27">
        <v>1.8659</v>
      </c>
      <c r="II27">
        <v>1.86707</v>
      </c>
      <c r="IJ27">
        <v>1.86843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3.027</v>
      </c>
      <c r="IY27">
        <v>0.2242</v>
      </c>
      <c r="IZ27">
        <v>1.07199260846131</v>
      </c>
      <c r="JA27">
        <v>0.00518756196715005</v>
      </c>
      <c r="JB27">
        <v>-1.52380604235834e-06</v>
      </c>
      <c r="JC27">
        <v>4.55768161354542e-10</v>
      </c>
      <c r="JD27">
        <v>0.224209222432812</v>
      </c>
      <c r="JE27">
        <v>0</v>
      </c>
      <c r="JF27">
        <v>0</v>
      </c>
      <c r="JG27">
        <v>0</v>
      </c>
      <c r="JH27">
        <v>4</v>
      </c>
      <c r="JI27">
        <v>2301</v>
      </c>
      <c r="JJ27">
        <v>0</v>
      </c>
      <c r="JK27">
        <v>23</v>
      </c>
      <c r="JL27">
        <v>29369876</v>
      </c>
      <c r="JM27">
        <v>29369876</v>
      </c>
      <c r="JN27">
        <v>1.23779</v>
      </c>
      <c r="JO27">
        <v>2.6123</v>
      </c>
      <c r="JP27">
        <v>2.19849</v>
      </c>
      <c r="JQ27">
        <v>2.6416</v>
      </c>
      <c r="JR27">
        <v>2.44507</v>
      </c>
      <c r="JS27">
        <v>2.32544</v>
      </c>
      <c r="JT27">
        <v>31.7611</v>
      </c>
      <c r="JU27">
        <v>24.2101</v>
      </c>
      <c r="JV27">
        <v>18</v>
      </c>
      <c r="JW27">
        <v>500.431</v>
      </c>
      <c r="JX27">
        <v>786.716</v>
      </c>
      <c r="JY27">
        <v>46.1787</v>
      </c>
      <c r="JZ27">
        <v>42.8448</v>
      </c>
      <c r="KA27">
        <v>30</v>
      </c>
      <c r="KB27">
        <v>42.5652</v>
      </c>
      <c r="KC27">
        <v>42.4017</v>
      </c>
      <c r="KD27">
        <v>24.799</v>
      </c>
      <c r="KE27">
        <v>0</v>
      </c>
      <c r="KF27">
        <v>100</v>
      </c>
      <c r="KG27">
        <v>46.1791</v>
      </c>
      <c r="KH27">
        <v>420</v>
      </c>
      <c r="KI27">
        <v>53.1821</v>
      </c>
      <c r="KJ27">
        <v>94.4583</v>
      </c>
      <c r="KK27">
        <v>91.6493</v>
      </c>
    </row>
    <row r="28" spans="1:297">
      <c r="A28">
        <v>12</v>
      </c>
      <c r="B28">
        <v>1762192668.1</v>
      </c>
      <c r="C28">
        <v>2673</v>
      </c>
      <c r="D28" t="s">
        <v>479</v>
      </c>
      <c r="E28" t="s">
        <v>480</v>
      </c>
      <c r="F28">
        <v>5</v>
      </c>
      <c r="G28" t="s">
        <v>474</v>
      </c>
      <c r="H28" t="s">
        <v>436</v>
      </c>
      <c r="I28">
        <v>1762192659.6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429.201284269864</v>
      </c>
      <c r="AK28">
        <v>438.873096969697</v>
      </c>
      <c r="AL28">
        <v>0.000648352625971706</v>
      </c>
      <c r="AM28">
        <v>63.8082817984678</v>
      </c>
      <c r="AN28">
        <f>(AP28 - AO28 + DY28*1E3/(8.314*(EA28+273.15)) * AR28/DX28 * AQ28) * DX28/(100*DL28) * 1000/(1000 - AP28)</f>
        <v>0</v>
      </c>
      <c r="AO28">
        <v>21.3822550210045</v>
      </c>
      <c r="AP28">
        <v>30.0709539393939</v>
      </c>
      <c r="AQ28">
        <v>0.00136753550203019</v>
      </c>
      <c r="AR28">
        <v>99.7132916963245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5086.44</v>
      </c>
      <c r="AZ28">
        <v>725.669230769231</v>
      </c>
      <c r="BA28">
        <v>2197.18</v>
      </c>
      <c r="BB28">
        <f>1-AZ28/BA28</f>
        <v>0</v>
      </c>
      <c r="BC28">
        <v>-7.88985117047762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1762192659.6</v>
      </c>
      <c r="DR28">
        <v>425.68575</v>
      </c>
      <c r="DS28">
        <v>420.0370625</v>
      </c>
      <c r="DT28">
        <v>30.04335</v>
      </c>
      <c r="DU28">
        <v>21.3823</v>
      </c>
      <c r="DV28">
        <v>422.659125</v>
      </c>
      <c r="DW28">
        <v>29.81914375</v>
      </c>
      <c r="DX28">
        <v>500.0010625</v>
      </c>
      <c r="DY28">
        <v>90.83199375</v>
      </c>
      <c r="DZ28">
        <v>0.1000015625</v>
      </c>
      <c r="EA28">
        <v>43.44490625</v>
      </c>
      <c r="EB28">
        <v>41.97515</v>
      </c>
      <c r="EC28">
        <v>999.9</v>
      </c>
      <c r="ED28">
        <v>0</v>
      </c>
      <c r="EE28">
        <v>0</v>
      </c>
      <c r="EF28">
        <v>9997.99875</v>
      </c>
      <c r="EG28">
        <v>0</v>
      </c>
      <c r="EH28">
        <v>0.27582</v>
      </c>
      <c r="EI28">
        <v>5.648604375</v>
      </c>
      <c r="EJ28">
        <v>438.8709375</v>
      </c>
      <c r="EK28">
        <v>429.215</v>
      </c>
      <c r="EL28">
        <v>8.661039375</v>
      </c>
      <c r="EM28">
        <v>420.0370625</v>
      </c>
      <c r="EN28">
        <v>21.3823</v>
      </c>
      <c r="EO28">
        <v>2.7288975</v>
      </c>
      <c r="EP28">
        <v>1.9421975</v>
      </c>
      <c r="EQ28">
        <v>22.46015625</v>
      </c>
      <c r="ER28">
        <v>16.980825</v>
      </c>
      <c r="ES28">
        <v>0.00500059</v>
      </c>
      <c r="ET28">
        <v>0</v>
      </c>
      <c r="EU28">
        <v>0</v>
      </c>
      <c r="EV28">
        <v>0</v>
      </c>
      <c r="EW28">
        <v>727.18125</v>
      </c>
      <c r="EX28">
        <v>0.00500059</v>
      </c>
      <c r="EY28">
        <v>54.775</v>
      </c>
      <c r="EZ28">
        <v>1.425</v>
      </c>
      <c r="FA28">
        <v>46.156</v>
      </c>
      <c r="FB28">
        <v>48.7185</v>
      </c>
      <c r="FC28">
        <v>47.125</v>
      </c>
      <c r="FD28">
        <v>48.812</v>
      </c>
      <c r="FE28">
        <v>48.437</v>
      </c>
      <c r="FF28">
        <v>0</v>
      </c>
      <c r="FG28">
        <v>0</v>
      </c>
      <c r="FH28">
        <v>0</v>
      </c>
      <c r="FI28">
        <v>109</v>
      </c>
      <c r="FJ28">
        <v>0</v>
      </c>
      <c r="FK28">
        <v>725.669230769231</v>
      </c>
      <c r="FL28">
        <v>-11.8837604533675</v>
      </c>
      <c r="FM28">
        <v>9.6547010435035</v>
      </c>
      <c r="FN28">
        <v>55.9307692307692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5.66779523809524</v>
      </c>
      <c r="GD28">
        <v>-0.228568831168829</v>
      </c>
      <c r="GE28">
        <v>0.0905567793270398</v>
      </c>
      <c r="GF28">
        <v>1</v>
      </c>
      <c r="GG28">
        <v>727.526470588235</v>
      </c>
      <c r="GH28">
        <v>-25.6883115949397</v>
      </c>
      <c r="GI28">
        <v>5.79448565567651</v>
      </c>
      <c r="GJ28">
        <v>-1</v>
      </c>
      <c r="GK28">
        <v>8.64676428571429</v>
      </c>
      <c r="GL28">
        <v>0.247143896103888</v>
      </c>
      <c r="GM28">
        <v>0.0250079154271923</v>
      </c>
      <c r="GN28">
        <v>0</v>
      </c>
      <c r="GO28">
        <v>1</v>
      </c>
      <c r="GP28">
        <v>2</v>
      </c>
      <c r="GQ28" t="s">
        <v>441</v>
      </c>
      <c r="GR28">
        <v>3.1285</v>
      </c>
      <c r="GS28">
        <v>2.77797</v>
      </c>
      <c r="GT28">
        <v>0.0874623</v>
      </c>
      <c r="GU28">
        <v>0.0871263</v>
      </c>
      <c r="GV28">
        <v>0.118164</v>
      </c>
      <c r="GW28">
        <v>0.092751</v>
      </c>
      <c r="GX28">
        <v>33449.1</v>
      </c>
      <c r="GY28">
        <v>35584.1</v>
      </c>
      <c r="GZ28">
        <v>33240.4</v>
      </c>
      <c r="HA28">
        <v>35371.2</v>
      </c>
      <c r="HB28">
        <v>41621.7</v>
      </c>
      <c r="HC28">
        <v>46132.9</v>
      </c>
      <c r="HD28">
        <v>52030.8</v>
      </c>
      <c r="HE28">
        <v>56586.8</v>
      </c>
      <c r="HF28">
        <v>1.78533</v>
      </c>
      <c r="HG28">
        <v>2.13615</v>
      </c>
      <c r="HH28">
        <v>0.0606254</v>
      </c>
      <c r="HI28">
        <v>0</v>
      </c>
      <c r="HJ28">
        <v>41.0144</v>
      </c>
      <c r="HK28">
        <v>999.9</v>
      </c>
      <c r="HL28">
        <v>57.716</v>
      </c>
      <c r="HM28">
        <v>27.12</v>
      </c>
      <c r="HN28">
        <v>22.9017</v>
      </c>
      <c r="HO28">
        <v>60.2221</v>
      </c>
      <c r="HP28">
        <v>33.9423</v>
      </c>
      <c r="HQ28">
        <v>2</v>
      </c>
      <c r="HR28">
        <v>1.30823</v>
      </c>
      <c r="HS28">
        <v>-2.24681</v>
      </c>
      <c r="HT28">
        <v>20.1281</v>
      </c>
      <c r="HU28">
        <v>5.19243</v>
      </c>
      <c r="HV28">
        <v>12.0099</v>
      </c>
      <c r="HW28">
        <v>4.9734</v>
      </c>
      <c r="HX28">
        <v>3.295</v>
      </c>
      <c r="HY28">
        <v>9999</v>
      </c>
      <c r="HZ28">
        <v>9999</v>
      </c>
      <c r="IA28">
        <v>9999</v>
      </c>
      <c r="IB28">
        <v>999.9</v>
      </c>
      <c r="IC28">
        <v>1.86311</v>
      </c>
      <c r="ID28">
        <v>1.86813</v>
      </c>
      <c r="IE28">
        <v>1.86784</v>
      </c>
      <c r="IF28">
        <v>1.86899</v>
      </c>
      <c r="IG28">
        <v>1.86981</v>
      </c>
      <c r="IH28">
        <v>1.86588</v>
      </c>
      <c r="II28">
        <v>1.86705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3.027</v>
      </c>
      <c r="IY28">
        <v>0.2242</v>
      </c>
      <c r="IZ28">
        <v>1.07199260846131</v>
      </c>
      <c r="JA28">
        <v>0.00518756196715005</v>
      </c>
      <c r="JB28">
        <v>-1.52380604235834e-06</v>
      </c>
      <c r="JC28">
        <v>4.55768161354542e-10</v>
      </c>
      <c r="JD28">
        <v>0.224209222432812</v>
      </c>
      <c r="JE28">
        <v>0</v>
      </c>
      <c r="JF28">
        <v>0</v>
      </c>
      <c r="JG28">
        <v>0</v>
      </c>
      <c r="JH28">
        <v>4</v>
      </c>
      <c r="JI28">
        <v>2301</v>
      </c>
      <c r="JJ28">
        <v>0</v>
      </c>
      <c r="JK28">
        <v>23</v>
      </c>
      <c r="JL28">
        <v>29369877.8</v>
      </c>
      <c r="JM28">
        <v>29369877.8</v>
      </c>
      <c r="JN28">
        <v>1.23779</v>
      </c>
      <c r="JO28">
        <v>2.60864</v>
      </c>
      <c r="JP28">
        <v>2.19849</v>
      </c>
      <c r="JQ28">
        <v>2.6416</v>
      </c>
      <c r="JR28">
        <v>2.44629</v>
      </c>
      <c r="JS28">
        <v>2.33398</v>
      </c>
      <c r="JT28">
        <v>31.8049</v>
      </c>
      <c r="JU28">
        <v>24.2101</v>
      </c>
      <c r="JV28">
        <v>18</v>
      </c>
      <c r="JW28">
        <v>500.786</v>
      </c>
      <c r="JX28">
        <v>786.65</v>
      </c>
      <c r="JY28">
        <v>46.3397</v>
      </c>
      <c r="JZ28">
        <v>42.8492</v>
      </c>
      <c r="KA28">
        <v>30.0001</v>
      </c>
      <c r="KB28">
        <v>42.5783</v>
      </c>
      <c r="KC28">
        <v>42.418</v>
      </c>
      <c r="KD28">
        <v>24.7924</v>
      </c>
      <c r="KE28">
        <v>0</v>
      </c>
      <c r="KF28">
        <v>100</v>
      </c>
      <c r="KG28">
        <v>46.3417</v>
      </c>
      <c r="KH28">
        <v>420</v>
      </c>
      <c r="KI28">
        <v>53.1821</v>
      </c>
      <c r="KJ28">
        <v>94.456</v>
      </c>
      <c r="KK28">
        <v>91.6483</v>
      </c>
    </row>
    <row r="29" spans="1:297">
      <c r="A29">
        <v>13</v>
      </c>
      <c r="B29">
        <v>1762193140.1</v>
      </c>
      <c r="C29">
        <v>3145</v>
      </c>
      <c r="D29" t="s">
        <v>482</v>
      </c>
      <c r="E29" t="s">
        <v>483</v>
      </c>
      <c r="F29">
        <v>5</v>
      </c>
      <c r="G29" t="s">
        <v>484</v>
      </c>
      <c r="H29" t="s">
        <v>436</v>
      </c>
      <c r="I29">
        <v>1762193132.1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429.262538420204</v>
      </c>
      <c r="AK29">
        <v>437.465921212121</v>
      </c>
      <c r="AL29">
        <v>0.00151119626849483</v>
      </c>
      <c r="AM29">
        <v>63.842325053577</v>
      </c>
      <c r="AN29">
        <f>(AP29 - AO29 + DY29*1E3/(8.314*(EA29+273.15)) * AR29/DX29 * AQ29) * DX29/(100*DL29) * 1000/(1000 - AP29)</f>
        <v>0</v>
      </c>
      <c r="AO29">
        <v>21.4262084418652</v>
      </c>
      <c r="AP29">
        <v>31.9641078787879</v>
      </c>
      <c r="AQ29">
        <v>0.00147399726059297</v>
      </c>
      <c r="AR29">
        <v>99.614407725424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485</v>
      </c>
      <c r="AY29">
        <v>5096</v>
      </c>
      <c r="AZ29">
        <v>892.66</v>
      </c>
      <c r="BA29">
        <v>2232.15</v>
      </c>
      <c r="BB29">
        <f>1-AZ29/BA29</f>
        <v>0</v>
      </c>
      <c r="BC29">
        <v>-6.69535720476565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1762193132.1</v>
      </c>
      <c r="DR29">
        <v>423.466533333333</v>
      </c>
      <c r="DS29">
        <v>420.015133333333</v>
      </c>
      <c r="DT29">
        <v>31.9339066666667</v>
      </c>
      <c r="DU29">
        <v>21.4262666666667</v>
      </c>
      <c r="DV29">
        <v>420.449066666667</v>
      </c>
      <c r="DW29">
        <v>31.7097</v>
      </c>
      <c r="DX29">
        <v>500.019666666667</v>
      </c>
      <c r="DY29">
        <v>90.827</v>
      </c>
      <c r="DZ29">
        <v>0.100036053333333</v>
      </c>
      <c r="EA29">
        <v>44.3037666666667</v>
      </c>
      <c r="EB29">
        <v>41.9828066666667</v>
      </c>
      <c r="EC29">
        <v>999.9</v>
      </c>
      <c r="ED29">
        <v>0</v>
      </c>
      <c r="EE29">
        <v>0</v>
      </c>
      <c r="EF29">
        <v>9996.24333333334</v>
      </c>
      <c r="EG29">
        <v>0</v>
      </c>
      <c r="EH29">
        <v>0.27582</v>
      </c>
      <c r="EI29">
        <v>3.45145933333333</v>
      </c>
      <c r="EJ29">
        <v>437.4356</v>
      </c>
      <c r="EK29">
        <v>429.211466666667</v>
      </c>
      <c r="EL29">
        <v>10.50764</v>
      </c>
      <c r="EM29">
        <v>420.015133333333</v>
      </c>
      <c r="EN29">
        <v>21.4262666666667</v>
      </c>
      <c r="EO29">
        <v>2.90046</v>
      </c>
      <c r="EP29">
        <v>1.946084</v>
      </c>
      <c r="EQ29">
        <v>23.4672733333333</v>
      </c>
      <c r="ER29">
        <v>17.0123466666667</v>
      </c>
      <c r="ES29">
        <v>0.00500059</v>
      </c>
      <c r="ET29">
        <v>0</v>
      </c>
      <c r="EU29">
        <v>0</v>
      </c>
      <c r="EV29">
        <v>0</v>
      </c>
      <c r="EW29">
        <v>893.806666666667</v>
      </c>
      <c r="EX29">
        <v>0.00500059</v>
      </c>
      <c r="EY29">
        <v>55.9266666666667</v>
      </c>
      <c r="EZ29">
        <v>1.1</v>
      </c>
      <c r="FA29">
        <v>46.125</v>
      </c>
      <c r="FB29">
        <v>48.6996</v>
      </c>
      <c r="FC29">
        <v>47.125</v>
      </c>
      <c r="FD29">
        <v>48.8204</v>
      </c>
      <c r="FE29">
        <v>48.4916</v>
      </c>
      <c r="FF29">
        <v>0</v>
      </c>
      <c r="FG29">
        <v>0</v>
      </c>
      <c r="FH29">
        <v>0</v>
      </c>
      <c r="FI29">
        <v>470.599999904633</v>
      </c>
      <c r="FJ29">
        <v>0</v>
      </c>
      <c r="FK29">
        <v>892.66</v>
      </c>
      <c r="FL29">
        <v>-2.73846176569054</v>
      </c>
      <c r="FM29">
        <v>23.5769235481878</v>
      </c>
      <c r="FN29">
        <v>54.844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3.494326</v>
      </c>
      <c r="GD29">
        <v>-1.05065503759399</v>
      </c>
      <c r="GE29">
        <v>0.12812241483831</v>
      </c>
      <c r="GF29">
        <v>0</v>
      </c>
      <c r="GG29">
        <v>892.797058823529</v>
      </c>
      <c r="GH29">
        <v>0.365164098967207</v>
      </c>
      <c r="GI29">
        <v>4.66964448162546</v>
      </c>
      <c r="GJ29">
        <v>-1</v>
      </c>
      <c r="GK29">
        <v>10.49553</v>
      </c>
      <c r="GL29">
        <v>0.281648120300746</v>
      </c>
      <c r="GM29">
        <v>0.0271527917533356</v>
      </c>
      <c r="GN29">
        <v>0</v>
      </c>
      <c r="GO29">
        <v>0</v>
      </c>
      <c r="GP29">
        <v>2</v>
      </c>
      <c r="GQ29" t="s">
        <v>486</v>
      </c>
      <c r="GR29">
        <v>3.12847</v>
      </c>
      <c r="GS29">
        <v>2.77802</v>
      </c>
      <c r="GT29">
        <v>0.0871012</v>
      </c>
      <c r="GU29">
        <v>0.0872232</v>
      </c>
      <c r="GV29">
        <v>0.123353</v>
      </c>
      <c r="GW29">
        <v>0.0928628</v>
      </c>
      <c r="GX29">
        <v>33454.8</v>
      </c>
      <c r="GY29">
        <v>35572</v>
      </c>
      <c r="GZ29">
        <v>33233.4</v>
      </c>
      <c r="HA29">
        <v>35363.5</v>
      </c>
      <c r="HB29">
        <v>41378.6</v>
      </c>
      <c r="HC29">
        <v>46118.9</v>
      </c>
      <c r="HD29">
        <v>52022.1</v>
      </c>
      <c r="HE29">
        <v>56576.4</v>
      </c>
      <c r="HF29">
        <v>1.78085</v>
      </c>
      <c r="HG29">
        <v>2.13388</v>
      </c>
      <c r="HH29">
        <v>0.0368543</v>
      </c>
      <c r="HI29">
        <v>0</v>
      </c>
      <c r="HJ29">
        <v>41.3936</v>
      </c>
      <c r="HK29">
        <v>999.9</v>
      </c>
      <c r="HL29">
        <v>57.398</v>
      </c>
      <c r="HM29">
        <v>27.261</v>
      </c>
      <c r="HN29">
        <v>22.966</v>
      </c>
      <c r="HO29">
        <v>59.8521</v>
      </c>
      <c r="HP29">
        <v>33.9143</v>
      </c>
      <c r="HQ29">
        <v>2</v>
      </c>
      <c r="HR29">
        <v>1.31981</v>
      </c>
      <c r="HS29">
        <v>-2.54092</v>
      </c>
      <c r="HT29">
        <v>20.1245</v>
      </c>
      <c r="HU29">
        <v>5.19228</v>
      </c>
      <c r="HV29">
        <v>12.0099</v>
      </c>
      <c r="HW29">
        <v>4.9731</v>
      </c>
      <c r="HX29">
        <v>3.295</v>
      </c>
      <c r="HY29">
        <v>9999</v>
      </c>
      <c r="HZ29">
        <v>9999</v>
      </c>
      <c r="IA29">
        <v>9999</v>
      </c>
      <c r="IB29">
        <v>999.9</v>
      </c>
      <c r="IC29">
        <v>1.8631</v>
      </c>
      <c r="ID29">
        <v>1.86808</v>
      </c>
      <c r="IE29">
        <v>1.86786</v>
      </c>
      <c r="IF29">
        <v>1.86903</v>
      </c>
      <c r="IG29">
        <v>1.86981</v>
      </c>
      <c r="IH29">
        <v>1.86586</v>
      </c>
      <c r="II29">
        <v>1.86705</v>
      </c>
      <c r="IJ29">
        <v>1.86843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3.018</v>
      </c>
      <c r="IY29">
        <v>0.2242</v>
      </c>
      <c r="IZ29">
        <v>1.07199260846131</v>
      </c>
      <c r="JA29">
        <v>0.00518756196715005</v>
      </c>
      <c r="JB29">
        <v>-1.52380604235834e-06</v>
      </c>
      <c r="JC29">
        <v>4.55768161354542e-10</v>
      </c>
      <c r="JD29">
        <v>0.224209222432812</v>
      </c>
      <c r="JE29">
        <v>0</v>
      </c>
      <c r="JF29">
        <v>0</v>
      </c>
      <c r="JG29">
        <v>0</v>
      </c>
      <c r="JH29">
        <v>4</v>
      </c>
      <c r="JI29">
        <v>2301</v>
      </c>
      <c r="JJ29">
        <v>0</v>
      </c>
      <c r="JK29">
        <v>23</v>
      </c>
      <c r="JL29">
        <v>29369885.7</v>
      </c>
      <c r="JM29">
        <v>29369885.7</v>
      </c>
      <c r="JN29">
        <v>1.23535</v>
      </c>
      <c r="JO29">
        <v>2.6123</v>
      </c>
      <c r="JP29">
        <v>2.19849</v>
      </c>
      <c r="JQ29">
        <v>2.6416</v>
      </c>
      <c r="JR29">
        <v>2.44629</v>
      </c>
      <c r="JS29">
        <v>2.29614</v>
      </c>
      <c r="JT29">
        <v>31.8927</v>
      </c>
      <c r="JU29">
        <v>24.2013</v>
      </c>
      <c r="JV29">
        <v>18</v>
      </c>
      <c r="JW29">
        <v>498.33</v>
      </c>
      <c r="JX29">
        <v>785.471</v>
      </c>
      <c r="JY29">
        <v>47.9173</v>
      </c>
      <c r="JZ29">
        <v>42.9787</v>
      </c>
      <c r="KA29">
        <v>30.0002</v>
      </c>
      <c r="KB29">
        <v>42.683</v>
      </c>
      <c r="KC29">
        <v>42.5138</v>
      </c>
      <c r="KD29">
        <v>24.7329</v>
      </c>
      <c r="KE29">
        <v>0</v>
      </c>
      <c r="KF29">
        <v>100</v>
      </c>
      <c r="KG29">
        <v>47.9211</v>
      </c>
      <c r="KH29">
        <v>420</v>
      </c>
      <c r="KI29">
        <v>53.1821</v>
      </c>
      <c r="KJ29">
        <v>94.4387</v>
      </c>
      <c r="KK29">
        <v>91.6302</v>
      </c>
    </row>
    <row r="30" spans="1:297">
      <c r="A30">
        <v>14</v>
      </c>
      <c r="B30">
        <v>1762193304.1</v>
      </c>
      <c r="C30">
        <v>3309</v>
      </c>
      <c r="D30" t="s">
        <v>487</v>
      </c>
      <c r="E30" t="s">
        <v>488</v>
      </c>
      <c r="F30">
        <v>5</v>
      </c>
      <c r="G30" t="s">
        <v>484</v>
      </c>
      <c r="H30" t="s">
        <v>436</v>
      </c>
      <c r="I30">
        <v>1762193295.6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429.109340256323</v>
      </c>
      <c r="AK30">
        <v>437.130090909091</v>
      </c>
      <c r="AL30">
        <v>-0.000608758900671205</v>
      </c>
      <c r="AM30">
        <v>63.842325053577</v>
      </c>
      <c r="AN30">
        <f>(AP30 - AO30 + DY30*1E3/(8.314*(EA30+273.15)) * AR30/DX30 * AQ30) * DX30/(100*DL30) * 1000/(1000 - AP30)</f>
        <v>0</v>
      </c>
      <c r="AO30">
        <v>21.4586162329555</v>
      </c>
      <c r="AP30">
        <v>32.667083030303</v>
      </c>
      <c r="AQ30">
        <v>0.001345668340421</v>
      </c>
      <c r="AR30">
        <v>99.614407725424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489</v>
      </c>
      <c r="AY30">
        <v>5096.18</v>
      </c>
      <c r="AZ30">
        <v>944.2</v>
      </c>
      <c r="BA30">
        <v>2202.21</v>
      </c>
      <c r="BB30">
        <f>1-AZ30/BA30</f>
        <v>0</v>
      </c>
      <c r="BC30">
        <v>-6.53854755250429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1762193295.6</v>
      </c>
      <c r="DR30">
        <v>422.89325</v>
      </c>
      <c r="DS30">
        <v>420.0095</v>
      </c>
      <c r="DT30">
        <v>32.64013125</v>
      </c>
      <c r="DU30">
        <v>21.45731875</v>
      </c>
      <c r="DV30">
        <v>419.8780625</v>
      </c>
      <c r="DW30">
        <v>32.41591875</v>
      </c>
      <c r="DX30">
        <v>500.0144375</v>
      </c>
      <c r="DY30">
        <v>90.81945</v>
      </c>
      <c r="DZ30">
        <v>0.1000184125</v>
      </c>
      <c r="EA30">
        <v>44.410025</v>
      </c>
      <c r="EB30">
        <v>42.0091875</v>
      </c>
      <c r="EC30">
        <v>999.9</v>
      </c>
      <c r="ED30">
        <v>0</v>
      </c>
      <c r="EE30">
        <v>0</v>
      </c>
      <c r="EF30">
        <v>9997.46</v>
      </c>
      <c r="EG30">
        <v>0</v>
      </c>
      <c r="EH30">
        <v>0.27582</v>
      </c>
      <c r="EI30">
        <v>2.883675</v>
      </c>
      <c r="EJ30">
        <v>437.162375</v>
      </c>
      <c r="EK30">
        <v>429.2195625</v>
      </c>
      <c r="EL30">
        <v>11.1827875</v>
      </c>
      <c r="EM30">
        <v>420.0095</v>
      </c>
      <c r="EN30">
        <v>21.45731875</v>
      </c>
      <c r="EO30">
        <v>2.964359375</v>
      </c>
      <c r="EP30">
        <v>1.948743125</v>
      </c>
      <c r="EQ30">
        <v>23.82906875</v>
      </c>
      <c r="ER30">
        <v>17.033925</v>
      </c>
      <c r="ES30">
        <v>0.00500059</v>
      </c>
      <c r="ET30">
        <v>0</v>
      </c>
      <c r="EU30">
        <v>0</v>
      </c>
      <c r="EV30">
        <v>0</v>
      </c>
      <c r="EW30">
        <v>945.275</v>
      </c>
      <c r="EX30">
        <v>0.00500059</v>
      </c>
      <c r="EY30">
        <v>54.8125</v>
      </c>
      <c r="EZ30">
        <v>0.8625</v>
      </c>
      <c r="FA30">
        <v>46.125</v>
      </c>
      <c r="FB30">
        <v>48.683125</v>
      </c>
      <c r="FC30">
        <v>47.125</v>
      </c>
      <c r="FD30">
        <v>48.75</v>
      </c>
      <c r="FE30">
        <v>48.437</v>
      </c>
      <c r="FF30">
        <v>0</v>
      </c>
      <c r="FG30">
        <v>0</v>
      </c>
      <c r="FH30">
        <v>0</v>
      </c>
      <c r="FI30">
        <v>162.400000095367</v>
      </c>
      <c r="FJ30">
        <v>0</v>
      </c>
      <c r="FK30">
        <v>944.2</v>
      </c>
      <c r="FL30">
        <v>-28.453846416553</v>
      </c>
      <c r="FM30">
        <v>-31.869230785525</v>
      </c>
      <c r="FN30">
        <v>55.412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2.86784476190476</v>
      </c>
      <c r="GD30">
        <v>0.557424155844157</v>
      </c>
      <c r="GE30">
        <v>0.0885318731207956</v>
      </c>
      <c r="GF30">
        <v>0</v>
      </c>
      <c r="GG30">
        <v>945.497058823529</v>
      </c>
      <c r="GH30">
        <v>-6.29946531594479</v>
      </c>
      <c r="GI30">
        <v>5.44855540995624</v>
      </c>
      <c r="GJ30">
        <v>-1</v>
      </c>
      <c r="GK30">
        <v>11.1674238095238</v>
      </c>
      <c r="GL30">
        <v>0.254111688311711</v>
      </c>
      <c r="GM30">
        <v>0.0260359441059379</v>
      </c>
      <c r="GN30">
        <v>0</v>
      </c>
      <c r="GO30">
        <v>0</v>
      </c>
      <c r="GP30">
        <v>2</v>
      </c>
      <c r="GQ30" t="s">
        <v>486</v>
      </c>
      <c r="GR30">
        <v>3.12852</v>
      </c>
      <c r="GS30">
        <v>2.77792</v>
      </c>
      <c r="GT30">
        <v>0.087002</v>
      </c>
      <c r="GU30">
        <v>0.0871006</v>
      </c>
      <c r="GV30">
        <v>0.125247</v>
      </c>
      <c r="GW30">
        <v>0.0929558</v>
      </c>
      <c r="GX30">
        <v>33460.4</v>
      </c>
      <c r="GY30">
        <v>35578.8</v>
      </c>
      <c r="GZ30">
        <v>33235.2</v>
      </c>
      <c r="HA30">
        <v>35365.4</v>
      </c>
      <c r="HB30">
        <v>41294</v>
      </c>
      <c r="HC30">
        <v>46117.1</v>
      </c>
      <c r="HD30">
        <v>52024.6</v>
      </c>
      <c r="HE30">
        <v>56579.9</v>
      </c>
      <c r="HF30">
        <v>1.78192</v>
      </c>
      <c r="HG30">
        <v>2.1336</v>
      </c>
      <c r="HH30">
        <v>0.0345334</v>
      </c>
      <c r="HI30">
        <v>0</v>
      </c>
      <c r="HJ30">
        <v>41.4558</v>
      </c>
      <c r="HK30">
        <v>999.9</v>
      </c>
      <c r="HL30">
        <v>57.325</v>
      </c>
      <c r="HM30">
        <v>27.301</v>
      </c>
      <c r="HN30">
        <v>22.9929</v>
      </c>
      <c r="HO30">
        <v>60.1922</v>
      </c>
      <c r="HP30">
        <v>33.8982</v>
      </c>
      <c r="HQ30">
        <v>2</v>
      </c>
      <c r="HR30">
        <v>1.31705</v>
      </c>
      <c r="HS30">
        <v>-2.27415</v>
      </c>
      <c r="HT30">
        <v>20.129</v>
      </c>
      <c r="HU30">
        <v>5.19258</v>
      </c>
      <c r="HV30">
        <v>12.0099</v>
      </c>
      <c r="HW30">
        <v>4.9729</v>
      </c>
      <c r="HX30">
        <v>3.295</v>
      </c>
      <c r="HY30">
        <v>9999</v>
      </c>
      <c r="HZ30">
        <v>9999</v>
      </c>
      <c r="IA30">
        <v>9999</v>
      </c>
      <c r="IB30">
        <v>999.9</v>
      </c>
      <c r="IC30">
        <v>1.86312</v>
      </c>
      <c r="ID30">
        <v>1.86813</v>
      </c>
      <c r="IE30">
        <v>1.86786</v>
      </c>
      <c r="IF30">
        <v>1.86904</v>
      </c>
      <c r="IG30">
        <v>1.86981</v>
      </c>
      <c r="IH30">
        <v>1.86587</v>
      </c>
      <c r="II30">
        <v>1.86707</v>
      </c>
      <c r="IJ30">
        <v>1.86843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3.015</v>
      </c>
      <c r="IY30">
        <v>0.2242</v>
      </c>
      <c r="IZ30">
        <v>1.07199260846131</v>
      </c>
      <c r="JA30">
        <v>0.00518756196715005</v>
      </c>
      <c r="JB30">
        <v>-1.52380604235834e-06</v>
      </c>
      <c r="JC30">
        <v>4.55768161354542e-10</v>
      </c>
      <c r="JD30">
        <v>0.224209222432812</v>
      </c>
      <c r="JE30">
        <v>0</v>
      </c>
      <c r="JF30">
        <v>0</v>
      </c>
      <c r="JG30">
        <v>0</v>
      </c>
      <c r="JH30">
        <v>4</v>
      </c>
      <c r="JI30">
        <v>2301</v>
      </c>
      <c r="JJ30">
        <v>0</v>
      </c>
      <c r="JK30">
        <v>23</v>
      </c>
      <c r="JL30">
        <v>29369888.4</v>
      </c>
      <c r="JM30">
        <v>29369888.4</v>
      </c>
      <c r="JN30">
        <v>1.23535</v>
      </c>
      <c r="JO30">
        <v>2.6062</v>
      </c>
      <c r="JP30">
        <v>2.19849</v>
      </c>
      <c r="JQ30">
        <v>2.6416</v>
      </c>
      <c r="JR30">
        <v>2.44507</v>
      </c>
      <c r="JS30">
        <v>2.30469</v>
      </c>
      <c r="JT30">
        <v>31.9365</v>
      </c>
      <c r="JU30">
        <v>24.2101</v>
      </c>
      <c r="JV30">
        <v>18</v>
      </c>
      <c r="JW30">
        <v>499.09</v>
      </c>
      <c r="JX30">
        <v>785.247</v>
      </c>
      <c r="JY30">
        <v>48.2467</v>
      </c>
      <c r="JZ30">
        <v>42.9605</v>
      </c>
      <c r="KA30">
        <v>29.9999</v>
      </c>
      <c r="KB30">
        <v>42.683</v>
      </c>
      <c r="KC30">
        <v>42.518</v>
      </c>
      <c r="KD30">
        <v>24.7579</v>
      </c>
      <c r="KE30">
        <v>0</v>
      </c>
      <c r="KF30">
        <v>100</v>
      </c>
      <c r="KG30">
        <v>48.3142</v>
      </c>
      <c r="KH30">
        <v>420</v>
      </c>
      <c r="KI30">
        <v>53.1821</v>
      </c>
      <c r="KJ30">
        <v>94.4436</v>
      </c>
      <c r="KK30">
        <v>91.6356</v>
      </c>
    </row>
    <row r="31" spans="1:297">
      <c r="A31">
        <v>15</v>
      </c>
      <c r="B31">
        <v>1762193411.1</v>
      </c>
      <c r="C31">
        <v>3416</v>
      </c>
      <c r="D31" t="s">
        <v>490</v>
      </c>
      <c r="E31" t="s">
        <v>491</v>
      </c>
      <c r="F31">
        <v>5</v>
      </c>
      <c r="G31" t="s">
        <v>484</v>
      </c>
      <c r="H31" t="s">
        <v>436</v>
      </c>
      <c r="I31">
        <v>1762193402.6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429.209655939976</v>
      </c>
      <c r="AK31">
        <v>437.168709090909</v>
      </c>
      <c r="AL31">
        <v>-0.00124534064674701</v>
      </c>
      <c r="AM31">
        <v>63.842325053577</v>
      </c>
      <c r="AN31">
        <f>(AP31 - AO31 + DY31*1E3/(8.314*(EA31+273.15)) * AR31/DX31 * AQ31) * DX31/(100*DL31) * 1000/(1000 - AP31)</f>
        <v>0</v>
      </c>
      <c r="AO31">
        <v>21.4732343957216</v>
      </c>
      <c r="AP31">
        <v>33.0718090909091</v>
      </c>
      <c r="AQ31">
        <v>0.000492695692841515</v>
      </c>
      <c r="AR31">
        <v>99.614407725424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492</v>
      </c>
      <c r="AY31">
        <v>5096.46</v>
      </c>
      <c r="AZ31">
        <v>965.115384615385</v>
      </c>
      <c r="BA31">
        <v>2188.92</v>
      </c>
      <c r="BB31">
        <f>1-AZ31/BA31</f>
        <v>0</v>
      </c>
      <c r="BC31">
        <v>-6.48573719165027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1762193402.6</v>
      </c>
      <c r="DR31">
        <v>422.7319375</v>
      </c>
      <c r="DS31">
        <v>419.96</v>
      </c>
      <c r="DT31">
        <v>33.04349375</v>
      </c>
      <c r="DU31">
        <v>21.47275</v>
      </c>
      <c r="DV31">
        <v>419.71725</v>
      </c>
      <c r="DW31">
        <v>32.8192875</v>
      </c>
      <c r="DX31">
        <v>500.0055625</v>
      </c>
      <c r="DY31">
        <v>90.81985625</v>
      </c>
      <c r="DZ31">
        <v>0.100015875</v>
      </c>
      <c r="EA31">
        <v>44.4069</v>
      </c>
      <c r="EB31">
        <v>41.93415625</v>
      </c>
      <c r="EC31">
        <v>999.9</v>
      </c>
      <c r="ED31">
        <v>0</v>
      </c>
      <c r="EE31">
        <v>0</v>
      </c>
      <c r="EF31">
        <v>9998.745625</v>
      </c>
      <c r="EG31">
        <v>0</v>
      </c>
      <c r="EH31">
        <v>0.27582</v>
      </c>
      <c r="EI31">
        <v>2.77186</v>
      </c>
      <c r="EJ31">
        <v>437.1776875</v>
      </c>
      <c r="EK31">
        <v>429.1754375</v>
      </c>
      <c r="EL31">
        <v>11.57074375</v>
      </c>
      <c r="EM31">
        <v>419.96</v>
      </c>
      <c r="EN31">
        <v>21.47275</v>
      </c>
      <c r="EO31">
        <v>3.001004375</v>
      </c>
      <c r="EP31">
        <v>1.9501525</v>
      </c>
      <c r="EQ31">
        <v>24.0334875</v>
      </c>
      <c r="ER31">
        <v>17.045325</v>
      </c>
      <c r="ES31">
        <v>0.00500059</v>
      </c>
      <c r="ET31">
        <v>0</v>
      </c>
      <c r="EU31">
        <v>0</v>
      </c>
      <c r="EV31">
        <v>0</v>
      </c>
      <c r="EW31">
        <v>966.36875</v>
      </c>
      <c r="EX31">
        <v>0.00500059</v>
      </c>
      <c r="EY31">
        <v>53.68125</v>
      </c>
      <c r="EZ31">
        <v>1.0625</v>
      </c>
      <c r="FA31">
        <v>46.125</v>
      </c>
      <c r="FB31">
        <v>48.6988125</v>
      </c>
      <c r="FC31">
        <v>47.128875</v>
      </c>
      <c r="FD31">
        <v>48.769375</v>
      </c>
      <c r="FE31">
        <v>48.492125</v>
      </c>
      <c r="FF31">
        <v>0</v>
      </c>
      <c r="FG31">
        <v>0</v>
      </c>
      <c r="FH31">
        <v>0</v>
      </c>
      <c r="FI31">
        <v>105.399999856949</v>
      </c>
      <c r="FJ31">
        <v>0</v>
      </c>
      <c r="FK31">
        <v>965.115384615385</v>
      </c>
      <c r="FL31">
        <v>-28.1504274448129</v>
      </c>
      <c r="FM31">
        <v>-7.74700773177671</v>
      </c>
      <c r="FN31">
        <v>54.6615384615385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2.799336</v>
      </c>
      <c r="GD31">
        <v>-0.439615939849624</v>
      </c>
      <c r="GE31">
        <v>0.058291811809207</v>
      </c>
      <c r="GF31">
        <v>1</v>
      </c>
      <c r="GG31">
        <v>966.3</v>
      </c>
      <c r="GH31">
        <v>-16.2261268107195</v>
      </c>
      <c r="GI31">
        <v>5.6574261451861</v>
      </c>
      <c r="GJ31">
        <v>-1</v>
      </c>
      <c r="GK31">
        <v>11.5596</v>
      </c>
      <c r="GL31">
        <v>0.224607518797005</v>
      </c>
      <c r="GM31">
        <v>0.0216396857648165</v>
      </c>
      <c r="GN31">
        <v>0</v>
      </c>
      <c r="GO31">
        <v>1</v>
      </c>
      <c r="GP31">
        <v>2</v>
      </c>
      <c r="GQ31" t="s">
        <v>441</v>
      </c>
      <c r="GR31">
        <v>3.12859</v>
      </c>
      <c r="GS31">
        <v>2.77803</v>
      </c>
      <c r="GT31">
        <v>0.086972</v>
      </c>
      <c r="GU31">
        <v>0.0871031</v>
      </c>
      <c r="GV31">
        <v>0.126327</v>
      </c>
      <c r="GW31">
        <v>0.0929887</v>
      </c>
      <c r="GX31">
        <v>33458</v>
      </c>
      <c r="GY31">
        <v>35575.2</v>
      </c>
      <c r="GZ31">
        <v>33231.9</v>
      </c>
      <c r="HA31">
        <v>35362.1</v>
      </c>
      <c r="HB31">
        <v>41241.3</v>
      </c>
      <c r="HC31">
        <v>46111.4</v>
      </c>
      <c r="HD31">
        <v>52020</v>
      </c>
      <c r="HE31">
        <v>56574.9</v>
      </c>
      <c r="HF31">
        <v>1.78218</v>
      </c>
      <c r="HG31">
        <v>2.13333</v>
      </c>
      <c r="HH31">
        <v>0.0295453</v>
      </c>
      <c r="HI31">
        <v>0</v>
      </c>
      <c r="HJ31">
        <v>41.4712</v>
      </c>
      <c r="HK31">
        <v>999.9</v>
      </c>
      <c r="HL31">
        <v>57.301</v>
      </c>
      <c r="HM31">
        <v>27.332</v>
      </c>
      <c r="HN31">
        <v>23.0251</v>
      </c>
      <c r="HO31">
        <v>59.7822</v>
      </c>
      <c r="HP31">
        <v>33.8301</v>
      </c>
      <c r="HQ31">
        <v>2</v>
      </c>
      <c r="HR31">
        <v>1.32281</v>
      </c>
      <c r="HS31">
        <v>-2.97388</v>
      </c>
      <c r="HT31">
        <v>20.1181</v>
      </c>
      <c r="HU31">
        <v>5.19288</v>
      </c>
      <c r="HV31">
        <v>12.0099</v>
      </c>
      <c r="HW31">
        <v>4.9734</v>
      </c>
      <c r="HX31">
        <v>3.295</v>
      </c>
      <c r="HY31">
        <v>9999</v>
      </c>
      <c r="HZ31">
        <v>9999</v>
      </c>
      <c r="IA31">
        <v>9999</v>
      </c>
      <c r="IB31">
        <v>999.9</v>
      </c>
      <c r="IC31">
        <v>1.8631</v>
      </c>
      <c r="ID31">
        <v>1.86813</v>
      </c>
      <c r="IE31">
        <v>1.8679</v>
      </c>
      <c r="IF31">
        <v>1.86905</v>
      </c>
      <c r="IG31">
        <v>1.86981</v>
      </c>
      <c r="IH31">
        <v>1.86587</v>
      </c>
      <c r="II31">
        <v>1.86707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3.015</v>
      </c>
      <c r="IY31">
        <v>0.2242</v>
      </c>
      <c r="IZ31">
        <v>1.07199260846131</v>
      </c>
      <c r="JA31">
        <v>0.00518756196715005</v>
      </c>
      <c r="JB31">
        <v>-1.52380604235834e-06</v>
      </c>
      <c r="JC31">
        <v>4.55768161354542e-10</v>
      </c>
      <c r="JD31">
        <v>0.224209222432812</v>
      </c>
      <c r="JE31">
        <v>0</v>
      </c>
      <c r="JF31">
        <v>0</v>
      </c>
      <c r="JG31">
        <v>0</v>
      </c>
      <c r="JH31">
        <v>4</v>
      </c>
      <c r="JI31">
        <v>2301</v>
      </c>
      <c r="JJ31">
        <v>0</v>
      </c>
      <c r="JK31">
        <v>23</v>
      </c>
      <c r="JL31">
        <v>29369890.2</v>
      </c>
      <c r="JM31">
        <v>29369890.2</v>
      </c>
      <c r="JN31">
        <v>1.23657</v>
      </c>
      <c r="JO31">
        <v>2.60864</v>
      </c>
      <c r="JP31">
        <v>2.19849</v>
      </c>
      <c r="JQ31">
        <v>2.6416</v>
      </c>
      <c r="JR31">
        <v>2.44507</v>
      </c>
      <c r="JS31">
        <v>2.29858</v>
      </c>
      <c r="JT31">
        <v>31.9585</v>
      </c>
      <c r="JU31">
        <v>24.2101</v>
      </c>
      <c r="JV31">
        <v>18</v>
      </c>
      <c r="JW31">
        <v>499.447</v>
      </c>
      <c r="JX31">
        <v>785.265</v>
      </c>
      <c r="JY31">
        <v>48.5647</v>
      </c>
      <c r="JZ31">
        <v>42.9918</v>
      </c>
      <c r="KA31">
        <v>30.0003</v>
      </c>
      <c r="KB31">
        <v>42.7093</v>
      </c>
      <c r="KC31">
        <v>42.544</v>
      </c>
      <c r="KD31">
        <v>24.7616</v>
      </c>
      <c r="KE31">
        <v>0</v>
      </c>
      <c r="KF31">
        <v>100</v>
      </c>
      <c r="KG31">
        <v>48.6053</v>
      </c>
      <c r="KH31">
        <v>420</v>
      </c>
      <c r="KI31">
        <v>53.1821</v>
      </c>
      <c r="KJ31">
        <v>94.4347</v>
      </c>
      <c r="KK31">
        <v>91.6273</v>
      </c>
    </row>
    <row r="32" spans="1:297">
      <c r="A32">
        <v>16</v>
      </c>
      <c r="B32">
        <v>1762193895.1</v>
      </c>
      <c r="C32">
        <v>3900</v>
      </c>
      <c r="D32" t="s">
        <v>493</v>
      </c>
      <c r="E32" t="s">
        <v>494</v>
      </c>
      <c r="F32">
        <v>5</v>
      </c>
      <c r="G32" t="s">
        <v>495</v>
      </c>
      <c r="H32" t="s">
        <v>436</v>
      </c>
      <c r="I32">
        <v>1762193887.1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429.230377670891</v>
      </c>
      <c r="AK32">
        <v>442.122042424242</v>
      </c>
      <c r="AL32">
        <v>0.00124494666381205</v>
      </c>
      <c r="AM32">
        <v>63.8922308518365</v>
      </c>
      <c r="AN32">
        <f>(AP32 - AO32 + DY32*1E3/(8.314*(EA32+273.15)) * AR32/DX32 * AQ32) * DX32/(100*DL32) * 1000/(1000 - AP32)</f>
        <v>0</v>
      </c>
      <c r="AO32">
        <v>21.4727525196772</v>
      </c>
      <c r="AP32">
        <v>34.9015557575757</v>
      </c>
      <c r="AQ32">
        <v>0.0220887872074115</v>
      </c>
      <c r="AR32">
        <v>99.4588431318251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496</v>
      </c>
      <c r="AY32">
        <v>5094.43</v>
      </c>
      <c r="AZ32">
        <v>973.634615384615</v>
      </c>
      <c r="BA32">
        <v>2170.29</v>
      </c>
      <c r="BB32">
        <f>1-AZ32/BA32</f>
        <v>0</v>
      </c>
      <c r="BC32">
        <v>-10.5170511095711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1762193887.1</v>
      </c>
      <c r="DR32">
        <v>426.723</v>
      </c>
      <c r="DS32">
        <v>420.0016</v>
      </c>
      <c r="DT32">
        <v>34.75676</v>
      </c>
      <c r="DU32">
        <v>21.4732866666667</v>
      </c>
      <c r="DV32">
        <v>423.691933333333</v>
      </c>
      <c r="DW32">
        <v>34.5325533333333</v>
      </c>
      <c r="DX32">
        <v>500.014333333333</v>
      </c>
      <c r="DY32">
        <v>90.80138</v>
      </c>
      <c r="DZ32">
        <v>0.100057893333333</v>
      </c>
      <c r="EA32">
        <v>49.98606</v>
      </c>
      <c r="EB32">
        <v>46.9237866666667</v>
      </c>
      <c r="EC32">
        <v>999.9</v>
      </c>
      <c r="ED32">
        <v>0</v>
      </c>
      <c r="EE32">
        <v>0</v>
      </c>
      <c r="EF32">
        <v>9994.95866666667</v>
      </c>
      <c r="EG32">
        <v>0</v>
      </c>
      <c r="EH32">
        <v>0.27582</v>
      </c>
      <c r="EI32">
        <v>6.72135</v>
      </c>
      <c r="EJ32">
        <v>442.088466666667</v>
      </c>
      <c r="EK32">
        <v>429.2184</v>
      </c>
      <c r="EL32">
        <v>13.2834666666667</v>
      </c>
      <c r="EM32">
        <v>420.0016</v>
      </c>
      <c r="EN32">
        <v>21.4732866666667</v>
      </c>
      <c r="EO32">
        <v>3.15596266666667</v>
      </c>
      <c r="EP32">
        <v>1.94980666666667</v>
      </c>
      <c r="EQ32">
        <v>24.8744466666667</v>
      </c>
      <c r="ER32">
        <v>17.0425</v>
      </c>
      <c r="ES32">
        <v>0.00500059</v>
      </c>
      <c r="ET32">
        <v>0</v>
      </c>
      <c r="EU32">
        <v>0</v>
      </c>
      <c r="EV32">
        <v>0</v>
      </c>
      <c r="EW32">
        <v>973.86</v>
      </c>
      <c r="EX32">
        <v>0.00500059</v>
      </c>
      <c r="EY32">
        <v>51.58</v>
      </c>
      <c r="EZ32">
        <v>0.946666666666667</v>
      </c>
      <c r="FA32">
        <v>46.125</v>
      </c>
      <c r="FB32">
        <v>48.5</v>
      </c>
      <c r="FC32">
        <v>47</v>
      </c>
      <c r="FD32">
        <v>48.687</v>
      </c>
      <c r="FE32">
        <v>48.812</v>
      </c>
      <c r="FF32">
        <v>0</v>
      </c>
      <c r="FG32">
        <v>0</v>
      </c>
      <c r="FH32">
        <v>0</v>
      </c>
      <c r="FI32">
        <v>482.199999809265</v>
      </c>
      <c r="FJ32">
        <v>0</v>
      </c>
      <c r="FK32">
        <v>973.634615384615</v>
      </c>
      <c r="FL32">
        <v>17.4529912832804</v>
      </c>
      <c r="FM32">
        <v>24.0239314215762</v>
      </c>
      <c r="FN32">
        <v>52.3807692307692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6.73619</v>
      </c>
      <c r="GD32">
        <v>-0.416186493506491</v>
      </c>
      <c r="GE32">
        <v>0.0494059127943976</v>
      </c>
      <c r="GF32">
        <v>1</v>
      </c>
      <c r="GG32">
        <v>972.505882352941</v>
      </c>
      <c r="GH32">
        <v>16.9595110009697</v>
      </c>
      <c r="GI32">
        <v>5.49250511667921</v>
      </c>
      <c r="GJ32">
        <v>-1</v>
      </c>
      <c r="GK32">
        <v>13.2223285714286</v>
      </c>
      <c r="GL32">
        <v>1.21359740259742</v>
      </c>
      <c r="GM32">
        <v>0.122531170544895</v>
      </c>
      <c r="GN32">
        <v>0</v>
      </c>
      <c r="GO32">
        <v>1</v>
      </c>
      <c r="GP32">
        <v>2</v>
      </c>
      <c r="GQ32" t="s">
        <v>441</v>
      </c>
      <c r="GR32">
        <v>3.1287</v>
      </c>
      <c r="GS32">
        <v>2.77794</v>
      </c>
      <c r="GT32">
        <v>0.0876455</v>
      </c>
      <c r="GU32">
        <v>0.0871235</v>
      </c>
      <c r="GV32">
        <v>0.131248</v>
      </c>
      <c r="GW32">
        <v>0.0930113</v>
      </c>
      <c r="GX32">
        <v>33449.7</v>
      </c>
      <c r="GY32">
        <v>35598.2</v>
      </c>
      <c r="GZ32">
        <v>33247.3</v>
      </c>
      <c r="HA32">
        <v>35385</v>
      </c>
      <c r="HB32">
        <v>41032.3</v>
      </c>
      <c r="HC32">
        <v>46138</v>
      </c>
      <c r="HD32">
        <v>52041</v>
      </c>
      <c r="HE32">
        <v>56609.2</v>
      </c>
      <c r="HF32">
        <v>1.78808</v>
      </c>
      <c r="HG32">
        <v>2.1353</v>
      </c>
      <c r="HH32">
        <v>0.15375</v>
      </c>
      <c r="HI32">
        <v>0</v>
      </c>
      <c r="HJ32">
        <v>44.541</v>
      </c>
      <c r="HK32">
        <v>999.9</v>
      </c>
      <c r="HL32">
        <v>56.989</v>
      </c>
      <c r="HM32">
        <v>27.462</v>
      </c>
      <c r="HN32">
        <v>23.0797</v>
      </c>
      <c r="HO32">
        <v>59.8622</v>
      </c>
      <c r="HP32">
        <v>34.0465</v>
      </c>
      <c r="HQ32">
        <v>2</v>
      </c>
      <c r="HR32">
        <v>1.32057</v>
      </c>
      <c r="HS32">
        <v>-6.66667</v>
      </c>
      <c r="HT32">
        <v>20.0325</v>
      </c>
      <c r="HU32">
        <v>5.19378</v>
      </c>
      <c r="HV32">
        <v>12.0104</v>
      </c>
      <c r="HW32">
        <v>4.9734</v>
      </c>
      <c r="HX32">
        <v>3.295</v>
      </c>
      <c r="HY32">
        <v>9999</v>
      </c>
      <c r="HZ32">
        <v>9999</v>
      </c>
      <c r="IA32">
        <v>9999</v>
      </c>
      <c r="IB32">
        <v>999.9</v>
      </c>
      <c r="IC32">
        <v>1.86311</v>
      </c>
      <c r="ID32">
        <v>1.86812</v>
      </c>
      <c r="IE32">
        <v>1.86786</v>
      </c>
      <c r="IF32">
        <v>1.86902</v>
      </c>
      <c r="IG32">
        <v>1.86982</v>
      </c>
      <c r="IH32">
        <v>1.86585</v>
      </c>
      <c r="II32">
        <v>1.86707</v>
      </c>
      <c r="IJ32">
        <v>1.86842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3.031</v>
      </c>
      <c r="IY32">
        <v>0.2242</v>
      </c>
      <c r="IZ32">
        <v>1.07199260846131</v>
      </c>
      <c r="JA32">
        <v>0.00518756196715005</v>
      </c>
      <c r="JB32">
        <v>-1.52380604235834e-06</v>
      </c>
      <c r="JC32">
        <v>4.55768161354542e-10</v>
      </c>
      <c r="JD32">
        <v>0.224209222432812</v>
      </c>
      <c r="JE32">
        <v>0</v>
      </c>
      <c r="JF32">
        <v>0</v>
      </c>
      <c r="JG32">
        <v>0</v>
      </c>
      <c r="JH32">
        <v>4</v>
      </c>
      <c r="JI32">
        <v>2301</v>
      </c>
      <c r="JJ32">
        <v>0</v>
      </c>
      <c r="JK32">
        <v>23</v>
      </c>
      <c r="JL32">
        <v>29369898.3</v>
      </c>
      <c r="JM32">
        <v>29369898.3</v>
      </c>
      <c r="JN32">
        <v>1.23535</v>
      </c>
      <c r="JO32">
        <v>2.6062</v>
      </c>
      <c r="JP32">
        <v>2.19849</v>
      </c>
      <c r="JQ32">
        <v>2.6416</v>
      </c>
      <c r="JR32">
        <v>2.44629</v>
      </c>
      <c r="JS32">
        <v>2.30225</v>
      </c>
      <c r="JT32">
        <v>32.1124</v>
      </c>
      <c r="JU32">
        <v>24.1751</v>
      </c>
      <c r="JV32">
        <v>18</v>
      </c>
      <c r="JW32">
        <v>502.411</v>
      </c>
      <c r="JX32">
        <v>785.146</v>
      </c>
      <c r="JY32">
        <v>61.9902</v>
      </c>
      <c r="JZ32">
        <v>42.8403</v>
      </c>
      <c r="KA32">
        <v>30.0001</v>
      </c>
      <c r="KB32">
        <v>42.5304</v>
      </c>
      <c r="KC32">
        <v>42.3588</v>
      </c>
      <c r="KD32">
        <v>24.7479</v>
      </c>
      <c r="KE32">
        <v>0</v>
      </c>
      <c r="KF32">
        <v>100</v>
      </c>
      <c r="KG32">
        <v>219.612</v>
      </c>
      <c r="KH32">
        <v>420</v>
      </c>
      <c r="KI32">
        <v>53.1821</v>
      </c>
      <c r="KJ32">
        <v>94.4751</v>
      </c>
      <c r="KK32">
        <v>91.6843</v>
      </c>
    </row>
    <row r="33" spans="1:297">
      <c r="A33">
        <v>17</v>
      </c>
      <c r="B33">
        <v>1762193964.1</v>
      </c>
      <c r="C33">
        <v>3969</v>
      </c>
      <c r="D33" t="s">
        <v>497</v>
      </c>
      <c r="E33" t="s">
        <v>498</v>
      </c>
      <c r="F33">
        <v>5</v>
      </c>
      <c r="G33" t="s">
        <v>495</v>
      </c>
      <c r="H33" t="s">
        <v>436</v>
      </c>
      <c r="I33">
        <v>1762193956.1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429.263818347451</v>
      </c>
      <c r="AK33">
        <v>442.343472727273</v>
      </c>
      <c r="AL33">
        <v>-0.000192170356074495</v>
      </c>
      <c r="AM33">
        <v>63.8922308518365</v>
      </c>
      <c r="AN33">
        <f>(AP33 - AO33 + DY33*1E3/(8.314*(EA33+273.15)) * AR33/DX33 * AQ33) * DX33/(100*DL33) * 1000/(1000 - AP33)</f>
        <v>0</v>
      </c>
      <c r="AO33">
        <v>21.4565565885901</v>
      </c>
      <c r="AP33">
        <v>36.1853242424242</v>
      </c>
      <c r="AQ33">
        <v>0.0215757839637743</v>
      </c>
      <c r="AR33">
        <v>99.4588431318251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438</v>
      </c>
      <c r="AY33" t="s">
        <v>438</v>
      </c>
      <c r="AZ33">
        <v>0</v>
      </c>
      <c r="BA33">
        <v>0</v>
      </c>
      <c r="BB33">
        <f>1-AZ33/BA33</f>
        <v>0</v>
      </c>
      <c r="BC33">
        <v>0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1762193956.1</v>
      </c>
      <c r="DR33">
        <v>426.394933333333</v>
      </c>
      <c r="DS33">
        <v>420.006266666667</v>
      </c>
      <c r="DT33">
        <v>36.0443933333333</v>
      </c>
      <c r="DU33">
        <v>21.45824</v>
      </c>
      <c r="DV33">
        <v>423.365333333333</v>
      </c>
      <c r="DW33">
        <v>35.8201866666667</v>
      </c>
      <c r="DX33">
        <v>499.973266666667</v>
      </c>
      <c r="DY33">
        <v>90.8051266666667</v>
      </c>
      <c r="DZ33">
        <v>0.0999615533333333</v>
      </c>
      <c r="EA33">
        <v>50.5066466666667</v>
      </c>
      <c r="EB33">
        <v>47.21438</v>
      </c>
      <c r="EC33">
        <v>999.9</v>
      </c>
      <c r="ED33">
        <v>0</v>
      </c>
      <c r="EE33">
        <v>0</v>
      </c>
      <c r="EF33">
        <v>10003.49</v>
      </c>
      <c r="EG33">
        <v>0</v>
      </c>
      <c r="EH33">
        <v>0.27582</v>
      </c>
      <c r="EI33">
        <v>6.38875466666667</v>
      </c>
      <c r="EJ33">
        <v>442.338666666667</v>
      </c>
      <c r="EK33">
        <v>429.216533333333</v>
      </c>
      <c r="EL33">
        <v>14.5861533333333</v>
      </c>
      <c r="EM33">
        <v>420.006266666667</v>
      </c>
      <c r="EN33">
        <v>21.45824</v>
      </c>
      <c r="EO33">
        <v>3.27301533333333</v>
      </c>
      <c r="EP33">
        <v>1.94851733333333</v>
      </c>
      <c r="EQ33">
        <v>25.4861333333333</v>
      </c>
      <c r="ER33">
        <v>17.0320933333333</v>
      </c>
      <c r="ES33">
        <v>0.00500059</v>
      </c>
      <c r="ET33">
        <v>0</v>
      </c>
      <c r="EU33">
        <v>0</v>
      </c>
      <c r="EV33">
        <v>0</v>
      </c>
      <c r="EW33">
        <v>1041.02</v>
      </c>
      <c r="EX33">
        <v>0.00500059</v>
      </c>
      <c r="EY33">
        <v>54.06</v>
      </c>
      <c r="EZ33">
        <v>1.56</v>
      </c>
      <c r="FA33">
        <v>46.25</v>
      </c>
      <c r="FB33">
        <v>48.562</v>
      </c>
      <c r="FC33">
        <v>47.062</v>
      </c>
      <c r="FD33">
        <v>48.75</v>
      </c>
      <c r="FE33">
        <v>48.9664</v>
      </c>
      <c r="FF33">
        <v>0</v>
      </c>
      <c r="FG33">
        <v>0</v>
      </c>
      <c r="FH33">
        <v>0</v>
      </c>
      <c r="FI33">
        <v>67</v>
      </c>
      <c r="FJ33">
        <v>0</v>
      </c>
      <c r="FK33">
        <v>1040.93076923077</v>
      </c>
      <c r="FL33">
        <v>-24.239316576014</v>
      </c>
      <c r="FM33">
        <v>30.8307693810833</v>
      </c>
      <c r="FN33">
        <v>54.3692307692308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6.42424952380952</v>
      </c>
      <c r="GD33">
        <v>-0.59843532467532</v>
      </c>
      <c r="GE33">
        <v>0.0687549138314036</v>
      </c>
      <c r="GF33">
        <v>0</v>
      </c>
      <c r="GG33">
        <v>1042.73235294118</v>
      </c>
      <c r="GH33">
        <v>-21.5752484664715</v>
      </c>
      <c r="GI33">
        <v>6.56329905334716</v>
      </c>
      <c r="GJ33">
        <v>-1</v>
      </c>
      <c r="GK33">
        <v>14.5122190476191</v>
      </c>
      <c r="GL33">
        <v>1.1107948051948</v>
      </c>
      <c r="GM33">
        <v>0.112201195219199</v>
      </c>
      <c r="GN33">
        <v>0</v>
      </c>
      <c r="GO33">
        <v>0</v>
      </c>
      <c r="GP33">
        <v>2</v>
      </c>
      <c r="GQ33" t="s">
        <v>486</v>
      </c>
      <c r="GR33">
        <v>3.12852</v>
      </c>
      <c r="GS33">
        <v>2.77794</v>
      </c>
      <c r="GT33">
        <v>0.0876051</v>
      </c>
      <c r="GU33">
        <v>0.0871282</v>
      </c>
      <c r="GV33">
        <v>0.134585</v>
      </c>
      <c r="GW33">
        <v>0.0929607</v>
      </c>
      <c r="GX33">
        <v>33451.3</v>
      </c>
      <c r="GY33">
        <v>35598.1</v>
      </c>
      <c r="GZ33">
        <v>33247.4</v>
      </c>
      <c r="HA33">
        <v>35385.2</v>
      </c>
      <c r="HB33">
        <v>40880.5</v>
      </c>
      <c r="HC33">
        <v>46141</v>
      </c>
      <c r="HD33">
        <v>52041.2</v>
      </c>
      <c r="HE33">
        <v>56609.6</v>
      </c>
      <c r="HF33">
        <v>1.78837</v>
      </c>
      <c r="HG33">
        <v>2.13522</v>
      </c>
      <c r="HH33">
        <v>0.137463</v>
      </c>
      <c r="HI33">
        <v>0</v>
      </c>
      <c r="HJ33">
        <v>45.0773</v>
      </c>
      <c r="HK33">
        <v>999.9</v>
      </c>
      <c r="HL33">
        <v>56.941</v>
      </c>
      <c r="HM33">
        <v>27.462</v>
      </c>
      <c r="HN33">
        <v>23.0613</v>
      </c>
      <c r="HO33">
        <v>59.7122</v>
      </c>
      <c r="HP33">
        <v>34.0785</v>
      </c>
      <c r="HQ33">
        <v>2</v>
      </c>
      <c r="HR33">
        <v>1.32087</v>
      </c>
      <c r="HS33">
        <v>-6.66667</v>
      </c>
      <c r="HT33">
        <v>20.0314</v>
      </c>
      <c r="HU33">
        <v>5.19378</v>
      </c>
      <c r="HV33">
        <v>12.0102</v>
      </c>
      <c r="HW33">
        <v>4.97315</v>
      </c>
      <c r="HX33">
        <v>3.295</v>
      </c>
      <c r="HY33">
        <v>9999</v>
      </c>
      <c r="HZ33">
        <v>9999</v>
      </c>
      <c r="IA33">
        <v>9999</v>
      </c>
      <c r="IB33">
        <v>999.9</v>
      </c>
      <c r="IC33">
        <v>1.8631</v>
      </c>
      <c r="ID33">
        <v>1.86812</v>
      </c>
      <c r="IE33">
        <v>1.86785</v>
      </c>
      <c r="IF33">
        <v>1.86902</v>
      </c>
      <c r="IG33">
        <v>1.86983</v>
      </c>
      <c r="IH33">
        <v>1.86585</v>
      </c>
      <c r="II33">
        <v>1.86703</v>
      </c>
      <c r="IJ33">
        <v>1.86843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3.03</v>
      </c>
      <c r="IY33">
        <v>0.2242</v>
      </c>
      <c r="IZ33">
        <v>1.07199260846131</v>
      </c>
      <c r="JA33">
        <v>0.00518756196715005</v>
      </c>
      <c r="JB33">
        <v>-1.52380604235834e-06</v>
      </c>
      <c r="JC33">
        <v>4.55768161354542e-10</v>
      </c>
      <c r="JD33">
        <v>0.224209222432812</v>
      </c>
      <c r="JE33">
        <v>0</v>
      </c>
      <c r="JF33">
        <v>0</v>
      </c>
      <c r="JG33">
        <v>0</v>
      </c>
      <c r="JH33">
        <v>4</v>
      </c>
      <c r="JI33">
        <v>2301</v>
      </c>
      <c r="JJ33">
        <v>0</v>
      </c>
      <c r="JK33">
        <v>23</v>
      </c>
      <c r="JL33">
        <v>29369899.4</v>
      </c>
      <c r="JM33">
        <v>29369899.4</v>
      </c>
      <c r="JN33">
        <v>1.23535</v>
      </c>
      <c r="JO33">
        <v>2.61108</v>
      </c>
      <c r="JP33">
        <v>2.19849</v>
      </c>
      <c r="JQ33">
        <v>2.6416</v>
      </c>
      <c r="JR33">
        <v>2.44507</v>
      </c>
      <c r="JS33">
        <v>2.30835</v>
      </c>
      <c r="JT33">
        <v>32.1124</v>
      </c>
      <c r="JU33">
        <v>24.1663</v>
      </c>
      <c r="JV33">
        <v>18</v>
      </c>
      <c r="JW33">
        <v>502.624</v>
      </c>
      <c r="JX33">
        <v>785.024</v>
      </c>
      <c r="JY33">
        <v>61.8031</v>
      </c>
      <c r="JZ33">
        <v>42.8536</v>
      </c>
      <c r="KA33">
        <v>30.0001</v>
      </c>
      <c r="KB33">
        <v>42.5304</v>
      </c>
      <c r="KC33">
        <v>42.3545</v>
      </c>
      <c r="KD33">
        <v>24.7445</v>
      </c>
      <c r="KE33">
        <v>0</v>
      </c>
      <c r="KF33">
        <v>100</v>
      </c>
      <c r="KG33">
        <v>66.7625</v>
      </c>
      <c r="KH33">
        <v>420</v>
      </c>
      <c r="KI33">
        <v>53.1821</v>
      </c>
      <c r="KJ33">
        <v>94.4755</v>
      </c>
      <c r="KK33">
        <v>91.6849</v>
      </c>
    </row>
    <row r="34" spans="1:297">
      <c r="A34">
        <v>18</v>
      </c>
      <c r="B34">
        <v>1762194115</v>
      </c>
      <c r="C34">
        <v>4119.90000009537</v>
      </c>
      <c r="D34" t="s">
        <v>499</v>
      </c>
      <c r="E34" t="s">
        <v>500</v>
      </c>
      <c r="F34">
        <v>5</v>
      </c>
      <c r="G34" t="s">
        <v>495</v>
      </c>
      <c r="H34" t="s">
        <v>436</v>
      </c>
      <c r="I34">
        <v>1762194106.5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429.180069746675</v>
      </c>
      <c r="AK34">
        <v>443.068878787879</v>
      </c>
      <c r="AL34">
        <v>-0.00032515702804206</v>
      </c>
      <c r="AM34">
        <v>63.8922308518365</v>
      </c>
      <c r="AN34">
        <f>(AP34 - AO34 + DY34*1E3/(8.314*(EA34+273.15)) * AR34/DX34 * AQ34) * DX34/(100*DL34) * 1000/(1000 - AP34)</f>
        <v>0</v>
      </c>
      <c r="AO34">
        <v>21.4336500105856</v>
      </c>
      <c r="AP34">
        <v>39.0075618181818</v>
      </c>
      <c r="AQ34">
        <v>0.0191896307964014</v>
      </c>
      <c r="AR34">
        <v>99.4588431318251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501</v>
      </c>
      <c r="AY34">
        <v>5093.69</v>
      </c>
      <c r="AZ34">
        <v>1083.15</v>
      </c>
      <c r="BA34">
        <v>2043.98</v>
      </c>
      <c r="BB34">
        <f>1-AZ34/BA34</f>
        <v>0</v>
      </c>
      <c r="BC34">
        <v>-11.3241753796967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1762194106.5</v>
      </c>
      <c r="DR34">
        <v>425.849375</v>
      </c>
      <c r="DS34">
        <v>419.997125</v>
      </c>
      <c r="DT34">
        <v>38.8728625</v>
      </c>
      <c r="DU34">
        <v>21.43470625</v>
      </c>
      <c r="DV34">
        <v>422.8219375</v>
      </c>
      <c r="DW34">
        <v>38.64865625</v>
      </c>
      <c r="DX34">
        <v>499.9731875</v>
      </c>
      <c r="DY34">
        <v>90.8008875</v>
      </c>
      <c r="DZ34">
        <v>0.09996816875</v>
      </c>
      <c r="EA34">
        <v>51.63989375</v>
      </c>
      <c r="EB34">
        <v>47.87895</v>
      </c>
      <c r="EC34">
        <v>999.9</v>
      </c>
      <c r="ED34">
        <v>0</v>
      </c>
      <c r="EE34">
        <v>0</v>
      </c>
      <c r="EF34">
        <v>10001.01875</v>
      </c>
      <c r="EG34">
        <v>0</v>
      </c>
      <c r="EH34">
        <v>0.27582</v>
      </c>
      <c r="EI34">
        <v>5.852204375</v>
      </c>
      <c r="EJ34">
        <v>443.07275</v>
      </c>
      <c r="EK34">
        <v>429.19675</v>
      </c>
      <c r="EL34">
        <v>17.43815625</v>
      </c>
      <c r="EM34">
        <v>419.997125</v>
      </c>
      <c r="EN34">
        <v>21.43470625</v>
      </c>
      <c r="EO34">
        <v>3.529689375</v>
      </c>
      <c r="EP34">
        <v>1.94628875</v>
      </c>
      <c r="EQ34">
        <v>26.76319375</v>
      </c>
      <c r="ER34">
        <v>17.0140125</v>
      </c>
      <c r="ES34">
        <v>0.00500059</v>
      </c>
      <c r="ET34">
        <v>0</v>
      </c>
      <c r="EU34">
        <v>0</v>
      </c>
      <c r="EV34">
        <v>0</v>
      </c>
      <c r="EW34">
        <v>1082.7375</v>
      </c>
      <c r="EX34">
        <v>0.00500059</v>
      </c>
      <c r="EY34">
        <v>54.33125</v>
      </c>
      <c r="EZ34">
        <v>0.93125</v>
      </c>
      <c r="FA34">
        <v>46.433125</v>
      </c>
      <c r="FB34">
        <v>48.687</v>
      </c>
      <c r="FC34">
        <v>47.2224375</v>
      </c>
      <c r="FD34">
        <v>48.937</v>
      </c>
      <c r="FE34">
        <v>49.242125</v>
      </c>
      <c r="FF34">
        <v>0</v>
      </c>
      <c r="FG34">
        <v>0</v>
      </c>
      <c r="FH34">
        <v>0</v>
      </c>
      <c r="FI34">
        <v>218.199999809265</v>
      </c>
      <c r="FJ34">
        <v>0</v>
      </c>
      <c r="FK34">
        <v>1083.15</v>
      </c>
      <c r="FL34">
        <v>23.2376068039102</v>
      </c>
      <c r="FM34">
        <v>1.53504308461885</v>
      </c>
      <c r="FN34">
        <v>53.8653846153846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5.86460761904762</v>
      </c>
      <c r="GD34">
        <v>-0.178295064935064</v>
      </c>
      <c r="GE34">
        <v>0.0311662975641135</v>
      </c>
      <c r="GF34">
        <v>1</v>
      </c>
      <c r="GG34">
        <v>1081.39705882353</v>
      </c>
      <c r="GH34">
        <v>13.5416348308819</v>
      </c>
      <c r="GI34">
        <v>5.03455619249237</v>
      </c>
      <c r="GJ34">
        <v>-1</v>
      </c>
      <c r="GK34">
        <v>17.3770523809524</v>
      </c>
      <c r="GL34">
        <v>1.0456051948052</v>
      </c>
      <c r="GM34">
        <v>0.105566961909074</v>
      </c>
      <c r="GN34">
        <v>0</v>
      </c>
      <c r="GO34">
        <v>1</v>
      </c>
      <c r="GP34">
        <v>2</v>
      </c>
      <c r="GQ34" t="s">
        <v>441</v>
      </c>
      <c r="GR34">
        <v>3.12859</v>
      </c>
      <c r="GS34">
        <v>2.77802</v>
      </c>
      <c r="GT34">
        <v>0.0875294</v>
      </c>
      <c r="GU34">
        <v>0.0871216</v>
      </c>
      <c r="GV34">
        <v>0.141736</v>
      </c>
      <c r="GW34">
        <v>0.0928869</v>
      </c>
      <c r="GX34">
        <v>33452.4</v>
      </c>
      <c r="GY34">
        <v>35597.1</v>
      </c>
      <c r="GZ34">
        <v>33245.9</v>
      </c>
      <c r="HA34">
        <v>35384.1</v>
      </c>
      <c r="HB34">
        <v>40554.2</v>
      </c>
      <c r="HC34">
        <v>46143.7</v>
      </c>
      <c r="HD34">
        <v>52039.7</v>
      </c>
      <c r="HE34">
        <v>56608.5</v>
      </c>
      <c r="HF34">
        <v>1.79075</v>
      </c>
      <c r="HG34">
        <v>2.13462</v>
      </c>
      <c r="HH34">
        <v>0.118919</v>
      </c>
      <c r="HI34">
        <v>0</v>
      </c>
      <c r="HJ34">
        <v>46.0181</v>
      </c>
      <c r="HK34">
        <v>999.9</v>
      </c>
      <c r="HL34">
        <v>56.843</v>
      </c>
      <c r="HM34">
        <v>27.493</v>
      </c>
      <c r="HN34">
        <v>23.0648</v>
      </c>
      <c r="HO34">
        <v>59.7923</v>
      </c>
      <c r="HP34">
        <v>34.0064</v>
      </c>
      <c r="HQ34">
        <v>2</v>
      </c>
      <c r="HR34">
        <v>1.32317</v>
      </c>
      <c r="HS34">
        <v>-6.66667</v>
      </c>
      <c r="HT34">
        <v>20.0337</v>
      </c>
      <c r="HU34">
        <v>5.19243</v>
      </c>
      <c r="HV34">
        <v>12.0101</v>
      </c>
      <c r="HW34">
        <v>4.9732</v>
      </c>
      <c r="HX34">
        <v>3.295</v>
      </c>
      <c r="HY34">
        <v>9999</v>
      </c>
      <c r="HZ34">
        <v>9999</v>
      </c>
      <c r="IA34">
        <v>9999</v>
      </c>
      <c r="IB34">
        <v>999.9</v>
      </c>
      <c r="IC34">
        <v>1.86312</v>
      </c>
      <c r="ID34">
        <v>1.86811</v>
      </c>
      <c r="IE34">
        <v>1.86786</v>
      </c>
      <c r="IF34">
        <v>1.86903</v>
      </c>
      <c r="IG34">
        <v>1.86981</v>
      </c>
      <c r="IH34">
        <v>1.86593</v>
      </c>
      <c r="II34">
        <v>1.86706</v>
      </c>
      <c r="IJ34">
        <v>1.86843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3.027</v>
      </c>
      <c r="IY34">
        <v>0.2242</v>
      </c>
      <c r="IZ34">
        <v>1.07199260846131</v>
      </c>
      <c r="JA34">
        <v>0.00518756196715005</v>
      </c>
      <c r="JB34">
        <v>-1.52380604235834e-06</v>
      </c>
      <c r="JC34">
        <v>4.55768161354542e-10</v>
      </c>
      <c r="JD34">
        <v>0.224209222432812</v>
      </c>
      <c r="JE34">
        <v>0</v>
      </c>
      <c r="JF34">
        <v>0</v>
      </c>
      <c r="JG34">
        <v>0</v>
      </c>
      <c r="JH34">
        <v>4</v>
      </c>
      <c r="JI34">
        <v>2301</v>
      </c>
      <c r="JJ34">
        <v>0</v>
      </c>
      <c r="JK34">
        <v>23</v>
      </c>
      <c r="JL34">
        <v>29369901.9</v>
      </c>
      <c r="JM34">
        <v>29369901.9</v>
      </c>
      <c r="JN34">
        <v>1.23413</v>
      </c>
      <c r="JO34">
        <v>2.61475</v>
      </c>
      <c r="JP34">
        <v>2.19849</v>
      </c>
      <c r="JQ34">
        <v>2.6416</v>
      </c>
      <c r="JR34">
        <v>2.44507</v>
      </c>
      <c r="JS34">
        <v>2.25098</v>
      </c>
      <c r="JT34">
        <v>32.1124</v>
      </c>
      <c r="JU34">
        <v>24.1575</v>
      </c>
      <c r="JV34">
        <v>18</v>
      </c>
      <c r="JW34">
        <v>504.406</v>
      </c>
      <c r="JX34">
        <v>784.527</v>
      </c>
      <c r="JY34">
        <v>63.375</v>
      </c>
      <c r="JZ34">
        <v>42.8981</v>
      </c>
      <c r="KA34">
        <v>30.0003</v>
      </c>
      <c r="KB34">
        <v>42.5435</v>
      </c>
      <c r="KC34">
        <v>42.3631</v>
      </c>
      <c r="KD34">
        <v>24.7328</v>
      </c>
      <c r="KE34">
        <v>0</v>
      </c>
      <c r="KF34">
        <v>100</v>
      </c>
      <c r="KG34">
        <v>75.1835</v>
      </c>
      <c r="KH34">
        <v>420</v>
      </c>
      <c r="KI34">
        <v>53.1821</v>
      </c>
      <c r="KJ34">
        <v>94.472</v>
      </c>
      <c r="KK34">
        <v>91.6827</v>
      </c>
    </row>
    <row r="35" spans="1:297">
      <c r="A35">
        <v>19</v>
      </c>
      <c r="B35">
        <v>1762194817</v>
      </c>
      <c r="C35">
        <v>4821.90000009537</v>
      </c>
      <c r="D35" t="s">
        <v>502</v>
      </c>
      <c r="E35" t="s">
        <v>503</v>
      </c>
      <c r="F35">
        <v>5</v>
      </c>
      <c r="G35" t="s">
        <v>504</v>
      </c>
      <c r="H35" t="s">
        <v>436</v>
      </c>
      <c r="I35">
        <v>1762194808.5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429.043899857232</v>
      </c>
      <c r="AK35">
        <v>440.260527272727</v>
      </c>
      <c r="AL35">
        <v>-2.62978822048561e-05</v>
      </c>
      <c r="AM35">
        <v>63.982216595256</v>
      </c>
      <c r="AN35">
        <f>(AP35 - AO35 + DY35*1E3/(8.314*(EA35+273.15)) * AR35/DX35 * AQ35) * DX35/(100*DL35) * 1000/(1000 - AP35)</f>
        <v>0</v>
      </c>
      <c r="AO35">
        <v>21.0878747416253</v>
      </c>
      <c r="AP35">
        <v>41.1951375757576</v>
      </c>
      <c r="AQ35">
        <v>0.00535241867191484</v>
      </c>
      <c r="AR35">
        <v>99.1582332393391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505</v>
      </c>
      <c r="AY35">
        <v>5077.02</v>
      </c>
      <c r="AZ35">
        <v>1254.976</v>
      </c>
      <c r="BA35">
        <v>1716.04</v>
      </c>
      <c r="BB35">
        <f>1-AZ35/BA35</f>
        <v>0</v>
      </c>
      <c r="BC35">
        <v>-9.1501974907974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1762194808.5</v>
      </c>
      <c r="DR35">
        <v>422.1408125</v>
      </c>
      <c r="DS35">
        <v>420.001</v>
      </c>
      <c r="DT35">
        <v>41.15581875</v>
      </c>
      <c r="DU35">
        <v>21.08998125</v>
      </c>
      <c r="DV35">
        <v>419.128625</v>
      </c>
      <c r="DW35">
        <v>40.9316125</v>
      </c>
      <c r="DX35">
        <v>500.0126875</v>
      </c>
      <c r="DY35">
        <v>90.79418125</v>
      </c>
      <c r="DZ35">
        <v>0.10002239375</v>
      </c>
      <c r="EA35">
        <v>52.1686</v>
      </c>
      <c r="EB35">
        <v>48.0809125</v>
      </c>
      <c r="EC35">
        <v>999.9</v>
      </c>
      <c r="ED35">
        <v>0</v>
      </c>
      <c r="EE35">
        <v>0</v>
      </c>
      <c r="EF35">
        <v>10002.535</v>
      </c>
      <c r="EG35">
        <v>0</v>
      </c>
      <c r="EH35">
        <v>0.27582</v>
      </c>
      <c r="EI35">
        <v>2.139613125</v>
      </c>
      <c r="EJ35">
        <v>440.259875</v>
      </c>
      <c r="EK35">
        <v>429.049625</v>
      </c>
      <c r="EL35">
        <v>20.0658375</v>
      </c>
      <c r="EM35">
        <v>420.001</v>
      </c>
      <c r="EN35">
        <v>21.08998125</v>
      </c>
      <c r="EO35">
        <v>3.736709375</v>
      </c>
      <c r="EP35">
        <v>1.9148475</v>
      </c>
      <c r="EQ35">
        <v>27.7354625</v>
      </c>
      <c r="ER35">
        <v>16.7572625</v>
      </c>
      <c r="ES35">
        <v>0.00500059</v>
      </c>
      <c r="ET35">
        <v>0</v>
      </c>
      <c r="EU35">
        <v>0</v>
      </c>
      <c r="EV35">
        <v>0</v>
      </c>
      <c r="EW35">
        <v>1255.375</v>
      </c>
      <c r="EX35">
        <v>0.00500059</v>
      </c>
      <c r="EY35">
        <v>61.90625</v>
      </c>
      <c r="EZ35">
        <v>1.48125</v>
      </c>
      <c r="FA35">
        <v>47.183125</v>
      </c>
      <c r="FB35">
        <v>49.312</v>
      </c>
      <c r="FC35">
        <v>47.937</v>
      </c>
      <c r="FD35">
        <v>49.5816875</v>
      </c>
      <c r="FE35">
        <v>50</v>
      </c>
      <c r="FF35">
        <v>0</v>
      </c>
      <c r="FG35">
        <v>0</v>
      </c>
      <c r="FH35">
        <v>0</v>
      </c>
      <c r="FI35">
        <v>700</v>
      </c>
      <c r="FJ35">
        <v>0</v>
      </c>
      <c r="FK35">
        <v>1254.976</v>
      </c>
      <c r="FL35">
        <v>35.0384611831692</v>
      </c>
      <c r="FM35">
        <v>-12.2307687789023</v>
      </c>
      <c r="FN35">
        <v>61.172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2.15756904761905</v>
      </c>
      <c r="GD35">
        <v>-0.292792987012987</v>
      </c>
      <c r="GE35">
        <v>0.0404104754104984</v>
      </c>
      <c r="GF35">
        <v>1</v>
      </c>
      <c r="GG35">
        <v>1251.81470588235</v>
      </c>
      <c r="GH35">
        <v>39.952635493079</v>
      </c>
      <c r="GI35">
        <v>6.71342519543276</v>
      </c>
      <c r="GJ35">
        <v>-1</v>
      </c>
      <c r="GK35">
        <v>20.0452619047619</v>
      </c>
      <c r="GL35">
        <v>0.33796363636364</v>
      </c>
      <c r="GM35">
        <v>0.0342744452379885</v>
      </c>
      <c r="GN35">
        <v>0</v>
      </c>
      <c r="GO35">
        <v>1</v>
      </c>
      <c r="GP35">
        <v>2</v>
      </c>
      <c r="GQ35" t="s">
        <v>441</v>
      </c>
      <c r="GR35">
        <v>3.12848</v>
      </c>
      <c r="GS35">
        <v>2.77791</v>
      </c>
      <c r="GT35">
        <v>0.0868884</v>
      </c>
      <c r="GU35">
        <v>0.0870473</v>
      </c>
      <c r="GV35">
        <v>0.147</v>
      </c>
      <c r="GW35">
        <v>0.0917255</v>
      </c>
      <c r="GX35">
        <v>33451.5</v>
      </c>
      <c r="GY35">
        <v>35569.9</v>
      </c>
      <c r="GZ35">
        <v>33223.4</v>
      </c>
      <c r="HA35">
        <v>35356.2</v>
      </c>
      <c r="HB35">
        <v>40296.7</v>
      </c>
      <c r="HC35">
        <v>46169.1</v>
      </c>
      <c r="HD35">
        <v>52010.5</v>
      </c>
      <c r="HE35">
        <v>56568</v>
      </c>
      <c r="HF35">
        <v>1.77075</v>
      </c>
      <c r="HG35">
        <v>2.12913</v>
      </c>
      <c r="HH35">
        <v>0.0787526</v>
      </c>
      <c r="HI35">
        <v>0</v>
      </c>
      <c r="HJ35">
        <v>46.708</v>
      </c>
      <c r="HK35">
        <v>999.9</v>
      </c>
      <c r="HL35">
        <v>55.97</v>
      </c>
      <c r="HM35">
        <v>27.563</v>
      </c>
      <c r="HN35">
        <v>22.8038</v>
      </c>
      <c r="HO35">
        <v>59.7024</v>
      </c>
      <c r="HP35">
        <v>33.8622</v>
      </c>
      <c r="HQ35">
        <v>2</v>
      </c>
      <c r="HR35">
        <v>1.34692</v>
      </c>
      <c r="HS35">
        <v>-5.34447</v>
      </c>
      <c r="HT35">
        <v>20.071</v>
      </c>
      <c r="HU35">
        <v>5.19378</v>
      </c>
      <c r="HV35">
        <v>12.0099</v>
      </c>
      <c r="HW35">
        <v>4.9735</v>
      </c>
      <c r="HX35">
        <v>3.295</v>
      </c>
      <c r="HY35">
        <v>9999</v>
      </c>
      <c r="HZ35">
        <v>9999</v>
      </c>
      <c r="IA35">
        <v>9999</v>
      </c>
      <c r="IB35">
        <v>999.9</v>
      </c>
      <c r="IC35">
        <v>1.86314</v>
      </c>
      <c r="ID35">
        <v>1.86812</v>
      </c>
      <c r="IE35">
        <v>1.86791</v>
      </c>
      <c r="IF35">
        <v>1.86905</v>
      </c>
      <c r="IG35">
        <v>1.86982</v>
      </c>
      <c r="IH35">
        <v>1.86595</v>
      </c>
      <c r="II35">
        <v>1.86706</v>
      </c>
      <c r="IJ35">
        <v>1.86843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3.012</v>
      </c>
      <c r="IY35">
        <v>0.2242</v>
      </c>
      <c r="IZ35">
        <v>1.07199260846131</v>
      </c>
      <c r="JA35">
        <v>0.00518756196715005</v>
      </c>
      <c r="JB35">
        <v>-1.52380604235834e-06</v>
      </c>
      <c r="JC35">
        <v>4.55768161354542e-10</v>
      </c>
      <c r="JD35">
        <v>0.224209222432812</v>
      </c>
      <c r="JE35">
        <v>0</v>
      </c>
      <c r="JF35">
        <v>0</v>
      </c>
      <c r="JG35">
        <v>0</v>
      </c>
      <c r="JH35">
        <v>4</v>
      </c>
      <c r="JI35">
        <v>2301</v>
      </c>
      <c r="JJ35">
        <v>0</v>
      </c>
      <c r="JK35">
        <v>23</v>
      </c>
      <c r="JL35">
        <v>29369913.6</v>
      </c>
      <c r="JM35">
        <v>29369913.6</v>
      </c>
      <c r="JN35">
        <v>1.23169</v>
      </c>
      <c r="JO35">
        <v>2.61353</v>
      </c>
      <c r="JP35">
        <v>2.19849</v>
      </c>
      <c r="JQ35">
        <v>2.6416</v>
      </c>
      <c r="JR35">
        <v>2.44629</v>
      </c>
      <c r="JS35">
        <v>2.31812</v>
      </c>
      <c r="JT35">
        <v>32.1564</v>
      </c>
      <c r="JU35">
        <v>24.1838</v>
      </c>
      <c r="JV35">
        <v>18</v>
      </c>
      <c r="JW35">
        <v>492.309</v>
      </c>
      <c r="JX35">
        <v>782.322</v>
      </c>
      <c r="JY35">
        <v>61.9019</v>
      </c>
      <c r="JZ35">
        <v>43.2549</v>
      </c>
      <c r="KA35">
        <v>29.9999</v>
      </c>
      <c r="KB35">
        <v>42.8454</v>
      </c>
      <c r="KC35">
        <v>42.6524</v>
      </c>
      <c r="KD35">
        <v>24.674</v>
      </c>
      <c r="KE35">
        <v>0</v>
      </c>
      <c r="KF35">
        <v>100</v>
      </c>
      <c r="KG35">
        <v>61.9151</v>
      </c>
      <c r="KH35">
        <v>420</v>
      </c>
      <c r="KI35">
        <v>53.1821</v>
      </c>
      <c r="KJ35">
        <v>94.4147</v>
      </c>
      <c r="KK35">
        <v>91.6145</v>
      </c>
    </row>
    <row r="36" spans="1:297">
      <c r="A36">
        <v>20</v>
      </c>
      <c r="B36">
        <v>1762194971</v>
      </c>
      <c r="C36">
        <v>4975.90000009537</v>
      </c>
      <c r="D36" t="s">
        <v>506</v>
      </c>
      <c r="E36" t="s">
        <v>507</v>
      </c>
      <c r="F36">
        <v>5</v>
      </c>
      <c r="G36" t="s">
        <v>504</v>
      </c>
      <c r="H36" t="s">
        <v>436</v>
      </c>
      <c r="I36">
        <v>1762194962.5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429.038737826653</v>
      </c>
      <c r="AK36">
        <v>439.998709090909</v>
      </c>
      <c r="AL36">
        <v>-2.68035983787965e-05</v>
      </c>
      <c r="AM36">
        <v>63.982216595256</v>
      </c>
      <c r="AN36">
        <f>(AP36 - AO36 + DY36*1E3/(8.314*(EA36+273.15)) * AR36/DX36 * AQ36) * DX36/(100*DL36) * 1000/(1000 - AP36)</f>
        <v>0</v>
      </c>
      <c r="AO36">
        <v>21.028588575563</v>
      </c>
      <c r="AP36">
        <v>42.1027751515151</v>
      </c>
      <c r="AQ36">
        <v>0.00627641653805264</v>
      </c>
      <c r="AR36">
        <v>99.1582332393391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508</v>
      </c>
      <c r="AY36">
        <v>5077.13</v>
      </c>
      <c r="AZ36">
        <v>1303.61153846154</v>
      </c>
      <c r="BA36">
        <v>1688.31</v>
      </c>
      <c r="BB36">
        <f>1-AZ36/BA36</f>
        <v>0</v>
      </c>
      <c r="BC36">
        <v>-8.94116136375653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1762194962.5</v>
      </c>
      <c r="DR36">
        <v>421.484875</v>
      </c>
      <c r="DS36">
        <v>419.9985625</v>
      </c>
      <c r="DT36">
        <v>42.04575</v>
      </c>
      <c r="DU36">
        <v>21.03045</v>
      </c>
      <c r="DV36">
        <v>418.4753125</v>
      </c>
      <c r="DW36">
        <v>41.82153125</v>
      </c>
      <c r="DX36">
        <v>500.0013125</v>
      </c>
      <c r="DY36">
        <v>90.7847375</v>
      </c>
      <c r="DZ36">
        <v>0.10000778125</v>
      </c>
      <c r="EA36">
        <v>52.2859625</v>
      </c>
      <c r="EB36">
        <v>47.9747</v>
      </c>
      <c r="EC36">
        <v>999.9</v>
      </c>
      <c r="ED36">
        <v>0</v>
      </c>
      <c r="EE36">
        <v>0</v>
      </c>
      <c r="EF36">
        <v>9999.371875</v>
      </c>
      <c r="EG36">
        <v>0</v>
      </c>
      <c r="EH36">
        <v>0.27582</v>
      </c>
      <c r="EI36">
        <v>1.48633375</v>
      </c>
      <c r="EJ36">
        <v>439.984375</v>
      </c>
      <c r="EK36">
        <v>429.021</v>
      </c>
      <c r="EL36">
        <v>21.01529375</v>
      </c>
      <c r="EM36">
        <v>419.9985625</v>
      </c>
      <c r="EN36">
        <v>21.03045</v>
      </c>
      <c r="EO36">
        <v>3.817113125</v>
      </c>
      <c r="EP36">
        <v>1.909244375</v>
      </c>
      <c r="EQ36">
        <v>28.1004125</v>
      </c>
      <c r="ER36">
        <v>16.71109375</v>
      </c>
      <c r="ES36">
        <v>0.00500059</v>
      </c>
      <c r="ET36">
        <v>0</v>
      </c>
      <c r="EU36">
        <v>0</v>
      </c>
      <c r="EV36">
        <v>0</v>
      </c>
      <c r="EW36">
        <v>1303.31875</v>
      </c>
      <c r="EX36">
        <v>0.00500059</v>
      </c>
      <c r="EY36">
        <v>61.8125</v>
      </c>
      <c r="EZ36">
        <v>0.78125</v>
      </c>
      <c r="FA36">
        <v>47.312</v>
      </c>
      <c r="FB36">
        <v>49.3905</v>
      </c>
      <c r="FC36">
        <v>48.050375</v>
      </c>
      <c r="FD36">
        <v>49.687</v>
      </c>
      <c r="FE36">
        <v>50.125</v>
      </c>
      <c r="FF36">
        <v>0</v>
      </c>
      <c r="FG36">
        <v>0</v>
      </c>
      <c r="FH36">
        <v>0</v>
      </c>
      <c r="FI36">
        <v>152</v>
      </c>
      <c r="FJ36">
        <v>0</v>
      </c>
      <c r="FK36">
        <v>1303.61153846154</v>
      </c>
      <c r="FL36">
        <v>24.1401707987632</v>
      </c>
      <c r="FM36">
        <v>-8.43418791417928</v>
      </c>
      <c r="FN36">
        <v>64.1576923076923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1.49109761904762</v>
      </c>
      <c r="GD36">
        <v>-0.10967142857143</v>
      </c>
      <c r="GE36">
        <v>0.0240337435216489</v>
      </c>
      <c r="GF36">
        <v>1</v>
      </c>
      <c r="GG36">
        <v>1302.44411764706</v>
      </c>
      <c r="GH36">
        <v>39.6226126489184</v>
      </c>
      <c r="GI36">
        <v>6.84574540162035</v>
      </c>
      <c r="GJ36">
        <v>-1</v>
      </c>
      <c r="GK36">
        <v>20.9869619047619</v>
      </c>
      <c r="GL36">
        <v>0.499729870129875</v>
      </c>
      <c r="GM36">
        <v>0.050544760702442</v>
      </c>
      <c r="GN36">
        <v>0</v>
      </c>
      <c r="GO36">
        <v>1</v>
      </c>
      <c r="GP36">
        <v>2</v>
      </c>
      <c r="GQ36" t="s">
        <v>441</v>
      </c>
      <c r="GR36">
        <v>3.12826</v>
      </c>
      <c r="GS36">
        <v>2.77799</v>
      </c>
      <c r="GT36">
        <v>0.0867697</v>
      </c>
      <c r="GU36">
        <v>0.0870302</v>
      </c>
      <c r="GV36">
        <v>0.149193</v>
      </c>
      <c r="GW36">
        <v>0.0915266</v>
      </c>
      <c r="GX36">
        <v>33451</v>
      </c>
      <c r="GY36">
        <v>35565.2</v>
      </c>
      <c r="GZ36">
        <v>33218.9</v>
      </c>
      <c r="HA36">
        <v>35351.2</v>
      </c>
      <c r="HB36">
        <v>40193.5</v>
      </c>
      <c r="HC36">
        <v>46173.3</v>
      </c>
      <c r="HD36">
        <v>52004.5</v>
      </c>
      <c r="HE36">
        <v>56560.9</v>
      </c>
      <c r="HF36">
        <v>1.7711</v>
      </c>
      <c r="HG36">
        <v>2.1283</v>
      </c>
      <c r="HH36">
        <v>0.0755042</v>
      </c>
      <c r="HI36">
        <v>0</v>
      </c>
      <c r="HJ36">
        <v>46.7642</v>
      </c>
      <c r="HK36">
        <v>999.9</v>
      </c>
      <c r="HL36">
        <v>55.799</v>
      </c>
      <c r="HM36">
        <v>27.563</v>
      </c>
      <c r="HN36">
        <v>22.7353</v>
      </c>
      <c r="HO36">
        <v>59.6024</v>
      </c>
      <c r="HP36">
        <v>33.9623</v>
      </c>
      <c r="HQ36">
        <v>2</v>
      </c>
      <c r="HR36">
        <v>1.35572</v>
      </c>
      <c r="HS36">
        <v>-5.31946</v>
      </c>
      <c r="HT36">
        <v>20.0739</v>
      </c>
      <c r="HU36">
        <v>5.19333</v>
      </c>
      <c r="HV36">
        <v>12.0099</v>
      </c>
      <c r="HW36">
        <v>4.9722</v>
      </c>
      <c r="HX36">
        <v>3.295</v>
      </c>
      <c r="HY36">
        <v>9999</v>
      </c>
      <c r="HZ36">
        <v>9999</v>
      </c>
      <c r="IA36">
        <v>9999</v>
      </c>
      <c r="IB36">
        <v>999.9</v>
      </c>
      <c r="IC36">
        <v>1.86316</v>
      </c>
      <c r="ID36">
        <v>1.86812</v>
      </c>
      <c r="IE36">
        <v>1.8679</v>
      </c>
      <c r="IF36">
        <v>1.86905</v>
      </c>
      <c r="IG36">
        <v>1.86984</v>
      </c>
      <c r="IH36">
        <v>1.8659</v>
      </c>
      <c r="II36">
        <v>1.86705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3.009</v>
      </c>
      <c r="IY36">
        <v>0.2242</v>
      </c>
      <c r="IZ36">
        <v>1.07199260846131</v>
      </c>
      <c r="JA36">
        <v>0.00518756196715005</v>
      </c>
      <c r="JB36">
        <v>-1.52380604235834e-06</v>
      </c>
      <c r="JC36">
        <v>4.55768161354542e-10</v>
      </c>
      <c r="JD36">
        <v>0.224209222432812</v>
      </c>
      <c r="JE36">
        <v>0</v>
      </c>
      <c r="JF36">
        <v>0</v>
      </c>
      <c r="JG36">
        <v>0</v>
      </c>
      <c r="JH36">
        <v>4</v>
      </c>
      <c r="JI36">
        <v>2301</v>
      </c>
      <c r="JJ36">
        <v>0</v>
      </c>
      <c r="JK36">
        <v>23</v>
      </c>
      <c r="JL36">
        <v>29369916.2</v>
      </c>
      <c r="JM36">
        <v>29369916.2</v>
      </c>
      <c r="JN36">
        <v>1.23047</v>
      </c>
      <c r="JO36">
        <v>2.61353</v>
      </c>
      <c r="JP36">
        <v>2.19849</v>
      </c>
      <c r="JQ36">
        <v>2.6416</v>
      </c>
      <c r="JR36">
        <v>2.44507</v>
      </c>
      <c r="JS36">
        <v>2.28516</v>
      </c>
      <c r="JT36">
        <v>32.1784</v>
      </c>
      <c r="JU36">
        <v>24.1838</v>
      </c>
      <c r="JV36">
        <v>18</v>
      </c>
      <c r="JW36">
        <v>492.967</v>
      </c>
      <c r="JX36">
        <v>782.183</v>
      </c>
      <c r="JY36">
        <v>63.429</v>
      </c>
      <c r="JZ36">
        <v>43.3203</v>
      </c>
      <c r="KA36">
        <v>29.9983</v>
      </c>
      <c r="KB36">
        <v>42.9072</v>
      </c>
      <c r="KC36">
        <v>42.7133</v>
      </c>
      <c r="KD36">
        <v>24.6602</v>
      </c>
      <c r="KE36">
        <v>0</v>
      </c>
      <c r="KF36">
        <v>100</v>
      </c>
      <c r="KG36">
        <v>62.6227</v>
      </c>
      <c r="KH36">
        <v>420</v>
      </c>
      <c r="KI36">
        <v>53.1821</v>
      </c>
      <c r="KJ36">
        <v>94.4031</v>
      </c>
      <c r="KK36">
        <v>91.6024</v>
      </c>
    </row>
    <row r="37" spans="1:297">
      <c r="A37">
        <v>21</v>
      </c>
      <c r="B37">
        <v>1762195143</v>
      </c>
      <c r="C37">
        <v>5147.90000009537</v>
      </c>
      <c r="D37" t="s">
        <v>509</v>
      </c>
      <c r="E37" t="s">
        <v>510</v>
      </c>
      <c r="F37">
        <v>5</v>
      </c>
      <c r="G37" t="s">
        <v>504</v>
      </c>
      <c r="H37" t="s">
        <v>436</v>
      </c>
      <c r="I37">
        <v>1762195134.5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429.007590096583</v>
      </c>
      <c r="AK37">
        <v>439.751109090909</v>
      </c>
      <c r="AL37">
        <v>-0.00223909540915451</v>
      </c>
      <c r="AM37">
        <v>63.982216595256</v>
      </c>
      <c r="AN37">
        <f>(AP37 - AO37 + DY37*1E3/(8.314*(EA37+273.15)) * AR37/DX37 * AQ37) * DX37/(100*DL37) * 1000/(1000 - AP37)</f>
        <v>0</v>
      </c>
      <c r="AO37">
        <v>20.9929704050976</v>
      </c>
      <c r="AP37">
        <v>42.9101672727273</v>
      </c>
      <c r="AQ37">
        <v>0.00235584745693266</v>
      </c>
      <c r="AR37">
        <v>99.1582332393391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511</v>
      </c>
      <c r="AY37">
        <v>5076.55</v>
      </c>
      <c r="AZ37">
        <v>1348.41923076923</v>
      </c>
      <c r="BA37">
        <v>1674.13</v>
      </c>
      <c r="BB37">
        <f>1-AZ37/BA37</f>
        <v>0</v>
      </c>
      <c r="BC37">
        <v>-8.75734704628214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1762195134.5</v>
      </c>
      <c r="DR37">
        <v>420.9433125</v>
      </c>
      <c r="DS37">
        <v>420.013</v>
      </c>
      <c r="DT37">
        <v>42.86735625</v>
      </c>
      <c r="DU37">
        <v>20.9932625</v>
      </c>
      <c r="DV37">
        <v>417.9361875</v>
      </c>
      <c r="DW37">
        <v>42.64313125</v>
      </c>
      <c r="DX37">
        <v>500.0116875</v>
      </c>
      <c r="DY37">
        <v>90.783</v>
      </c>
      <c r="DZ37">
        <v>0.1000083</v>
      </c>
      <c r="EA37">
        <v>52.458975</v>
      </c>
      <c r="EB37">
        <v>47.9601375</v>
      </c>
      <c r="EC37">
        <v>999.9</v>
      </c>
      <c r="ED37">
        <v>0</v>
      </c>
      <c r="EE37">
        <v>0</v>
      </c>
      <c r="EF37">
        <v>10002.66875</v>
      </c>
      <c r="EG37">
        <v>0</v>
      </c>
      <c r="EH37">
        <v>0.27582</v>
      </c>
      <c r="EI37">
        <v>0.930467625</v>
      </c>
      <c r="EJ37">
        <v>439.796375</v>
      </c>
      <c r="EK37">
        <v>429.0194375</v>
      </c>
      <c r="EL37">
        <v>21.87408125</v>
      </c>
      <c r="EM37">
        <v>420.013</v>
      </c>
      <c r="EN37">
        <v>20.9932625</v>
      </c>
      <c r="EO37">
        <v>3.891626875</v>
      </c>
      <c r="EP37">
        <v>1.90583125</v>
      </c>
      <c r="EQ37">
        <v>28.43271875</v>
      </c>
      <c r="ER37">
        <v>16.68294375</v>
      </c>
      <c r="ES37">
        <v>0.00500059</v>
      </c>
      <c r="ET37">
        <v>0</v>
      </c>
      <c r="EU37">
        <v>0</v>
      </c>
      <c r="EV37">
        <v>0</v>
      </c>
      <c r="EW37">
        <v>1348.93125</v>
      </c>
      <c r="EX37">
        <v>0.00500059</v>
      </c>
      <c r="EY37">
        <v>60.75</v>
      </c>
      <c r="EZ37">
        <v>0.9</v>
      </c>
      <c r="FA37">
        <v>47.375</v>
      </c>
      <c r="FB37">
        <v>49.5</v>
      </c>
      <c r="FC37">
        <v>48.125</v>
      </c>
      <c r="FD37">
        <v>49.75</v>
      </c>
      <c r="FE37">
        <v>50.2145625</v>
      </c>
      <c r="FF37">
        <v>0</v>
      </c>
      <c r="FG37">
        <v>0</v>
      </c>
      <c r="FH37">
        <v>0</v>
      </c>
      <c r="FI37">
        <v>170</v>
      </c>
      <c r="FJ37">
        <v>0</v>
      </c>
      <c r="FK37">
        <v>1348.41923076923</v>
      </c>
      <c r="FL37">
        <v>-1.54188049369895</v>
      </c>
      <c r="FM37">
        <v>1.32307668351923</v>
      </c>
      <c r="FN37">
        <v>59.5423076923077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0.951367714285714</v>
      </c>
      <c r="GD37">
        <v>-0.254495376623377</v>
      </c>
      <c r="GE37">
        <v>0.0408889051422008</v>
      </c>
      <c r="GF37">
        <v>1</v>
      </c>
      <c r="GG37">
        <v>1346.15</v>
      </c>
      <c r="GH37">
        <v>21.8044308335795</v>
      </c>
      <c r="GI37">
        <v>6.84703671413451</v>
      </c>
      <c r="GJ37">
        <v>-1</v>
      </c>
      <c r="GK37">
        <v>21.8474238095238</v>
      </c>
      <c r="GL37">
        <v>0.446470129870149</v>
      </c>
      <c r="GM37">
        <v>0.0454244207947131</v>
      </c>
      <c r="GN37">
        <v>0</v>
      </c>
      <c r="GO37">
        <v>1</v>
      </c>
      <c r="GP37">
        <v>2</v>
      </c>
      <c r="GQ37" t="s">
        <v>441</v>
      </c>
      <c r="GR37">
        <v>3.12832</v>
      </c>
      <c r="GS37">
        <v>2.77798</v>
      </c>
      <c r="GT37">
        <v>0.0866698</v>
      </c>
      <c r="GU37">
        <v>0.0870181</v>
      </c>
      <c r="GV37">
        <v>0.151106</v>
      </c>
      <c r="GW37">
        <v>0.091397</v>
      </c>
      <c r="GX37">
        <v>33450.3</v>
      </c>
      <c r="GY37">
        <v>35560.1</v>
      </c>
      <c r="GZ37">
        <v>33214.9</v>
      </c>
      <c r="HA37">
        <v>35346</v>
      </c>
      <c r="HB37">
        <v>40104</v>
      </c>
      <c r="HC37">
        <v>46173.6</v>
      </c>
      <c r="HD37">
        <v>51999.6</v>
      </c>
      <c r="HE37">
        <v>56553.3</v>
      </c>
      <c r="HF37">
        <v>1.77195</v>
      </c>
      <c r="HG37">
        <v>2.12738</v>
      </c>
      <c r="HH37">
        <v>0.0733286</v>
      </c>
      <c r="HI37">
        <v>0</v>
      </c>
      <c r="HJ37">
        <v>46.8179</v>
      </c>
      <c r="HK37">
        <v>999.9</v>
      </c>
      <c r="HL37">
        <v>55.701</v>
      </c>
      <c r="HM37">
        <v>27.573</v>
      </c>
      <c r="HN37">
        <v>22.7089</v>
      </c>
      <c r="HO37">
        <v>59.4724</v>
      </c>
      <c r="HP37">
        <v>33.8662</v>
      </c>
      <c r="HQ37">
        <v>2</v>
      </c>
      <c r="HR37">
        <v>1.36423</v>
      </c>
      <c r="HS37">
        <v>-6.66667</v>
      </c>
      <c r="HT37">
        <v>20.0334</v>
      </c>
      <c r="HU37">
        <v>5.19363</v>
      </c>
      <c r="HV37">
        <v>12.0101</v>
      </c>
      <c r="HW37">
        <v>4.9732</v>
      </c>
      <c r="HX37">
        <v>3.295</v>
      </c>
      <c r="HY37">
        <v>9999</v>
      </c>
      <c r="HZ37">
        <v>9999</v>
      </c>
      <c r="IA37">
        <v>9999</v>
      </c>
      <c r="IB37">
        <v>999.9</v>
      </c>
      <c r="IC37">
        <v>1.86311</v>
      </c>
      <c r="ID37">
        <v>1.8681</v>
      </c>
      <c r="IE37">
        <v>1.86785</v>
      </c>
      <c r="IF37">
        <v>1.86904</v>
      </c>
      <c r="IG37">
        <v>1.86981</v>
      </c>
      <c r="IH37">
        <v>1.86586</v>
      </c>
      <c r="II37">
        <v>1.867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3.007</v>
      </c>
      <c r="IY37">
        <v>0.2242</v>
      </c>
      <c r="IZ37">
        <v>1.07199260846131</v>
      </c>
      <c r="JA37">
        <v>0.00518756196715005</v>
      </c>
      <c r="JB37">
        <v>-1.52380604235834e-06</v>
      </c>
      <c r="JC37">
        <v>4.55768161354542e-10</v>
      </c>
      <c r="JD37">
        <v>0.224209222432812</v>
      </c>
      <c r="JE37">
        <v>0</v>
      </c>
      <c r="JF37">
        <v>0</v>
      </c>
      <c r="JG37">
        <v>0</v>
      </c>
      <c r="JH37">
        <v>4</v>
      </c>
      <c r="JI37">
        <v>2301</v>
      </c>
      <c r="JJ37">
        <v>0</v>
      </c>
      <c r="JK37">
        <v>23</v>
      </c>
      <c r="JL37">
        <v>29369919.1</v>
      </c>
      <c r="JM37">
        <v>29369919.1</v>
      </c>
      <c r="JN37">
        <v>1.23047</v>
      </c>
      <c r="JO37">
        <v>2.62085</v>
      </c>
      <c r="JP37">
        <v>2.19849</v>
      </c>
      <c r="JQ37">
        <v>2.6416</v>
      </c>
      <c r="JR37">
        <v>2.44629</v>
      </c>
      <c r="JS37">
        <v>2.2876</v>
      </c>
      <c r="JT37">
        <v>32.2225</v>
      </c>
      <c r="JU37">
        <v>24.1663</v>
      </c>
      <c r="JV37">
        <v>18</v>
      </c>
      <c r="JW37">
        <v>494.003</v>
      </c>
      <c r="JX37">
        <v>781.97</v>
      </c>
      <c r="JY37">
        <v>63.9534</v>
      </c>
      <c r="JZ37">
        <v>43.3883</v>
      </c>
      <c r="KA37">
        <v>30.0002</v>
      </c>
      <c r="KB37">
        <v>42.9727</v>
      </c>
      <c r="KC37">
        <v>42.7765</v>
      </c>
      <c r="KD37">
        <v>24.6484</v>
      </c>
      <c r="KE37">
        <v>0</v>
      </c>
      <c r="KF37">
        <v>100</v>
      </c>
      <c r="KG37">
        <v>64.8537</v>
      </c>
      <c r="KH37">
        <v>420</v>
      </c>
      <c r="KI37">
        <v>53.1821</v>
      </c>
      <c r="KJ37">
        <v>94.3933</v>
      </c>
      <c r="KK37">
        <v>91.5897</v>
      </c>
    </row>
    <row r="38" spans="1:297">
      <c r="A38">
        <v>22</v>
      </c>
      <c r="B38">
        <v>1762195859.1</v>
      </c>
      <c r="C38">
        <v>5864</v>
      </c>
      <c r="D38" t="s">
        <v>512</v>
      </c>
      <c r="E38" t="s">
        <v>513</v>
      </c>
      <c r="F38">
        <v>5</v>
      </c>
      <c r="G38" t="s">
        <v>514</v>
      </c>
      <c r="H38" t="s">
        <v>436</v>
      </c>
      <c r="I38">
        <v>1762195850.6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429.072879667839</v>
      </c>
      <c r="AK38">
        <v>444.093878787879</v>
      </c>
      <c r="AL38">
        <v>0.00131248392128732</v>
      </c>
      <c r="AM38">
        <v>63.91686075723</v>
      </c>
      <c r="AN38">
        <f>(AP38 - AO38 + DY38*1E3/(8.314*(EA38+273.15)) * AR38/DX38 * AQ38) * DX38/(100*DL38) * 1000/(1000 - AP38)</f>
        <v>0</v>
      </c>
      <c r="AO38">
        <v>21.1093008978651</v>
      </c>
      <c r="AP38">
        <v>37.1708139393939</v>
      </c>
      <c r="AQ38">
        <v>0.00263685500259397</v>
      </c>
      <c r="AR38">
        <v>99.3410452015231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515</v>
      </c>
      <c r="AY38">
        <v>5085.12</v>
      </c>
      <c r="AZ38">
        <v>1411.496</v>
      </c>
      <c r="BA38">
        <v>1860.34</v>
      </c>
      <c r="BB38">
        <f>1-AZ38/BA38</f>
        <v>0</v>
      </c>
      <c r="BC38">
        <v>-12.2580087795586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1762195850.6</v>
      </c>
      <c r="DR38">
        <v>427.55875</v>
      </c>
      <c r="DS38">
        <v>420.0468125</v>
      </c>
      <c r="DT38">
        <v>37.13361875</v>
      </c>
      <c r="DU38">
        <v>21.10844375</v>
      </c>
      <c r="DV38">
        <v>424.5243125</v>
      </c>
      <c r="DW38">
        <v>36.90941875</v>
      </c>
      <c r="DX38">
        <v>500.0054375</v>
      </c>
      <c r="DY38">
        <v>90.7685375</v>
      </c>
      <c r="DZ38">
        <v>0.1000229</v>
      </c>
      <c r="EA38">
        <v>51.59923125</v>
      </c>
      <c r="EB38">
        <v>47.95526875</v>
      </c>
      <c r="EC38">
        <v>999.9</v>
      </c>
      <c r="ED38">
        <v>0</v>
      </c>
      <c r="EE38">
        <v>0</v>
      </c>
      <c r="EF38">
        <v>9997.5375</v>
      </c>
      <c r="EG38">
        <v>0</v>
      </c>
      <c r="EH38">
        <v>0.27582</v>
      </c>
      <c r="EI38">
        <v>7.512004375</v>
      </c>
      <c r="EJ38">
        <v>444.0479375</v>
      </c>
      <c r="EK38">
        <v>429.1045</v>
      </c>
      <c r="EL38">
        <v>16.02518125</v>
      </c>
      <c r="EM38">
        <v>420.0468125</v>
      </c>
      <c r="EN38">
        <v>21.10844375</v>
      </c>
      <c r="EO38">
        <v>3.370564375</v>
      </c>
      <c r="EP38">
        <v>1.915980625</v>
      </c>
      <c r="EQ38">
        <v>25.98149375</v>
      </c>
      <c r="ER38">
        <v>16.766575</v>
      </c>
      <c r="ES38">
        <v>0.00500059</v>
      </c>
      <c r="ET38">
        <v>0</v>
      </c>
      <c r="EU38">
        <v>0</v>
      </c>
      <c r="EV38">
        <v>0</v>
      </c>
      <c r="EW38">
        <v>1408.725</v>
      </c>
      <c r="EX38">
        <v>0.00500059</v>
      </c>
      <c r="EY38">
        <v>67.7</v>
      </c>
      <c r="EZ38">
        <v>2.08125</v>
      </c>
      <c r="FA38">
        <v>47.5</v>
      </c>
      <c r="FB38">
        <v>49.675375</v>
      </c>
      <c r="FC38">
        <v>48.2655</v>
      </c>
      <c r="FD38">
        <v>49.937</v>
      </c>
      <c r="FE38">
        <v>50.2965</v>
      </c>
      <c r="FF38">
        <v>0</v>
      </c>
      <c r="FG38">
        <v>0</v>
      </c>
      <c r="FH38">
        <v>0</v>
      </c>
      <c r="FI38">
        <v>714.199999809265</v>
      </c>
      <c r="FJ38">
        <v>0</v>
      </c>
      <c r="FK38">
        <v>1411.496</v>
      </c>
      <c r="FL38">
        <v>18.0846152112581</v>
      </c>
      <c r="FM38">
        <v>0.923077098904801</v>
      </c>
      <c r="FN38">
        <v>66.096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7.55719142857143</v>
      </c>
      <c r="GD38">
        <v>-0.614789610389614</v>
      </c>
      <c r="GE38">
        <v>0.100094714587911</v>
      </c>
      <c r="GF38">
        <v>0</v>
      </c>
      <c r="GG38">
        <v>1409.47352941176</v>
      </c>
      <c r="GH38">
        <v>29.9969443921477</v>
      </c>
      <c r="GI38">
        <v>6.88704277113827</v>
      </c>
      <c r="GJ38">
        <v>-1</v>
      </c>
      <c r="GK38">
        <v>16.0034476190476</v>
      </c>
      <c r="GL38">
        <v>0.357140259740269</v>
      </c>
      <c r="GM38">
        <v>0.0362840332069027</v>
      </c>
      <c r="GN38">
        <v>0</v>
      </c>
      <c r="GO38">
        <v>0</v>
      </c>
      <c r="GP38">
        <v>2</v>
      </c>
      <c r="GQ38" t="s">
        <v>486</v>
      </c>
      <c r="GR38">
        <v>3.12839</v>
      </c>
      <c r="GS38">
        <v>2.77795</v>
      </c>
      <c r="GT38">
        <v>0.0876414</v>
      </c>
      <c r="GU38">
        <v>0.0869629</v>
      </c>
      <c r="GV38">
        <v>0.136864</v>
      </c>
      <c r="GW38">
        <v>0.0917167</v>
      </c>
      <c r="GX38">
        <v>33404.1</v>
      </c>
      <c r="GY38">
        <v>35549.8</v>
      </c>
      <c r="GZ38">
        <v>33205.2</v>
      </c>
      <c r="HA38">
        <v>35334.3</v>
      </c>
      <c r="HB38">
        <v>40741.5</v>
      </c>
      <c r="HC38">
        <v>46144.5</v>
      </c>
      <c r="HD38">
        <v>51987.9</v>
      </c>
      <c r="HE38">
        <v>56537.1</v>
      </c>
      <c r="HF38">
        <v>1.77348</v>
      </c>
      <c r="HG38">
        <v>2.12485</v>
      </c>
      <c r="HH38">
        <v>0.0670105</v>
      </c>
      <c r="HI38">
        <v>0</v>
      </c>
      <c r="HJ38">
        <v>46.8784</v>
      </c>
      <c r="HK38">
        <v>999.9</v>
      </c>
      <c r="HL38">
        <v>55.677</v>
      </c>
      <c r="HM38">
        <v>27.644</v>
      </c>
      <c r="HN38">
        <v>22.7974</v>
      </c>
      <c r="HO38">
        <v>59.4743</v>
      </c>
      <c r="HP38">
        <v>33.8622</v>
      </c>
      <c r="HQ38">
        <v>2</v>
      </c>
      <c r="HR38">
        <v>1.37112</v>
      </c>
      <c r="HS38">
        <v>-5.59817</v>
      </c>
      <c r="HT38">
        <v>20.0619</v>
      </c>
      <c r="HU38">
        <v>5.19183</v>
      </c>
      <c r="HV38">
        <v>12.0102</v>
      </c>
      <c r="HW38">
        <v>4.97265</v>
      </c>
      <c r="HX38">
        <v>3.295</v>
      </c>
      <c r="HY38">
        <v>9999</v>
      </c>
      <c r="HZ38">
        <v>9999</v>
      </c>
      <c r="IA38">
        <v>9999</v>
      </c>
      <c r="IB38">
        <v>999.9</v>
      </c>
      <c r="IC38">
        <v>1.86311</v>
      </c>
      <c r="ID38">
        <v>1.86812</v>
      </c>
      <c r="IE38">
        <v>1.86783</v>
      </c>
      <c r="IF38">
        <v>1.86903</v>
      </c>
      <c r="IG38">
        <v>1.86982</v>
      </c>
      <c r="IH38">
        <v>1.86591</v>
      </c>
      <c r="II38">
        <v>1.86702</v>
      </c>
      <c r="IJ38">
        <v>1.86843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3.035</v>
      </c>
      <c r="IY38">
        <v>0.2242</v>
      </c>
      <c r="IZ38">
        <v>1.07199260846131</v>
      </c>
      <c r="JA38">
        <v>0.00518756196715005</v>
      </c>
      <c r="JB38">
        <v>-1.52380604235834e-06</v>
      </c>
      <c r="JC38">
        <v>4.55768161354542e-10</v>
      </c>
      <c r="JD38">
        <v>0.224209222432812</v>
      </c>
      <c r="JE38">
        <v>0</v>
      </c>
      <c r="JF38">
        <v>0</v>
      </c>
      <c r="JG38">
        <v>0</v>
      </c>
      <c r="JH38">
        <v>4</v>
      </c>
      <c r="JI38">
        <v>2301</v>
      </c>
      <c r="JJ38">
        <v>0</v>
      </c>
      <c r="JK38">
        <v>23</v>
      </c>
      <c r="JL38">
        <v>29369931</v>
      </c>
      <c r="JM38">
        <v>29369931</v>
      </c>
      <c r="JN38">
        <v>1.22925</v>
      </c>
      <c r="JO38">
        <v>2.61475</v>
      </c>
      <c r="JP38">
        <v>2.19849</v>
      </c>
      <c r="JQ38">
        <v>2.6416</v>
      </c>
      <c r="JR38">
        <v>2.44507</v>
      </c>
      <c r="JS38">
        <v>2.32544</v>
      </c>
      <c r="JT38">
        <v>32.3328</v>
      </c>
      <c r="JU38">
        <v>24.1751</v>
      </c>
      <c r="JV38">
        <v>18</v>
      </c>
      <c r="JW38">
        <v>496.218</v>
      </c>
      <c r="JX38">
        <v>781.442</v>
      </c>
      <c r="JY38">
        <v>60.1978</v>
      </c>
      <c r="JZ38">
        <v>43.5204</v>
      </c>
      <c r="KA38">
        <v>30.0005</v>
      </c>
      <c r="KB38">
        <v>43.1424</v>
      </c>
      <c r="KC38">
        <v>42.9541</v>
      </c>
      <c r="KD38">
        <v>24.6119</v>
      </c>
      <c r="KE38">
        <v>0</v>
      </c>
      <c r="KF38">
        <v>100</v>
      </c>
      <c r="KG38">
        <v>60.2457</v>
      </c>
      <c r="KH38">
        <v>420</v>
      </c>
      <c r="KI38">
        <v>53.1821</v>
      </c>
      <c r="KJ38">
        <v>94.3696</v>
      </c>
      <c r="KK38">
        <v>91.5619</v>
      </c>
    </row>
    <row r="39" spans="1:297">
      <c r="A39">
        <v>23</v>
      </c>
      <c r="B39">
        <v>1762196086.1</v>
      </c>
      <c r="C39">
        <v>6091</v>
      </c>
      <c r="D39" t="s">
        <v>516</v>
      </c>
      <c r="E39" t="s">
        <v>517</v>
      </c>
      <c r="F39">
        <v>5</v>
      </c>
      <c r="G39" t="s">
        <v>514</v>
      </c>
      <c r="H39" t="s">
        <v>436</v>
      </c>
      <c r="I39">
        <v>1762196078.6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429.013715635843</v>
      </c>
      <c r="AK39">
        <v>443.333424242424</v>
      </c>
      <c r="AL39">
        <v>0.00303426160747605</v>
      </c>
      <c r="AM39">
        <v>63.91686075723</v>
      </c>
      <c r="AN39">
        <f>(AP39 - AO39 + DY39*1E3/(8.314*(EA39+273.15)) * AR39/DX39 * AQ39) * DX39/(100*DL39) * 1000/(1000 - AP39)</f>
        <v>0</v>
      </c>
      <c r="AO39">
        <v>21.1516456069759</v>
      </c>
      <c r="AP39">
        <v>38.6644157575758</v>
      </c>
      <c r="AQ39">
        <v>0.00385281121833435</v>
      </c>
      <c r="AR39">
        <v>99.3410452015231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518</v>
      </c>
      <c r="AY39">
        <v>5085.1</v>
      </c>
      <c r="AZ39">
        <v>1480.848</v>
      </c>
      <c r="BA39">
        <v>1828.46</v>
      </c>
      <c r="BB39">
        <f>1-AZ39/BA39</f>
        <v>0</v>
      </c>
      <c r="BC39">
        <v>-11.6916395314809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1762196078.6</v>
      </c>
      <c r="DR39">
        <v>426.387928571429</v>
      </c>
      <c r="DS39">
        <v>419.801285714286</v>
      </c>
      <c r="DT39">
        <v>38.6333214285714</v>
      </c>
      <c r="DU39">
        <v>21.1506785714286</v>
      </c>
      <c r="DV39">
        <v>423.358428571429</v>
      </c>
      <c r="DW39">
        <v>38.4090785714286</v>
      </c>
      <c r="DX39">
        <v>500.0135</v>
      </c>
      <c r="DY39">
        <v>90.7603214285714</v>
      </c>
      <c r="DZ39">
        <v>0.1000382</v>
      </c>
      <c r="EA39">
        <v>51.8806857142857</v>
      </c>
      <c r="EB39">
        <v>47.9472785714286</v>
      </c>
      <c r="EC39">
        <v>999.9</v>
      </c>
      <c r="ED39">
        <v>0</v>
      </c>
      <c r="EE39">
        <v>0</v>
      </c>
      <c r="EF39">
        <v>10002.7357142857</v>
      </c>
      <c r="EG39">
        <v>0</v>
      </c>
      <c r="EH39">
        <v>0.27582</v>
      </c>
      <c r="EI39">
        <v>6.58674785714286</v>
      </c>
      <c r="EJ39">
        <v>443.522785714286</v>
      </c>
      <c r="EK39">
        <v>428.872285714286</v>
      </c>
      <c r="EL39">
        <v>17.4826285714286</v>
      </c>
      <c r="EM39">
        <v>419.801285714286</v>
      </c>
      <c r="EN39">
        <v>21.1506785714286</v>
      </c>
      <c r="EO39">
        <v>3.50637142857143</v>
      </c>
      <c r="EP39">
        <v>1.91964285714286</v>
      </c>
      <c r="EQ39">
        <v>26.6506142857143</v>
      </c>
      <c r="ER39">
        <v>16.7966285714286</v>
      </c>
      <c r="ES39">
        <v>0.00500059</v>
      </c>
      <c r="ET39">
        <v>0</v>
      </c>
      <c r="EU39">
        <v>0</v>
      </c>
      <c r="EV39">
        <v>0</v>
      </c>
      <c r="EW39">
        <v>1481.97142857143</v>
      </c>
      <c r="EX39">
        <v>0.00500059</v>
      </c>
      <c r="EY39">
        <v>66.5714285714286</v>
      </c>
      <c r="EZ39">
        <v>1.36428571428571</v>
      </c>
      <c r="FA39">
        <v>47.562</v>
      </c>
      <c r="FB39">
        <v>49.687</v>
      </c>
      <c r="FC39">
        <v>48.312</v>
      </c>
      <c r="FD39">
        <v>49.9505</v>
      </c>
      <c r="FE39">
        <v>50.375</v>
      </c>
      <c r="FF39">
        <v>0</v>
      </c>
      <c r="FG39">
        <v>0</v>
      </c>
      <c r="FH39">
        <v>0</v>
      </c>
      <c r="FI39">
        <v>226</v>
      </c>
      <c r="FJ39">
        <v>0</v>
      </c>
      <c r="FK39">
        <v>1480.848</v>
      </c>
      <c r="FL39">
        <v>-1.70000015435623</v>
      </c>
      <c r="FM39">
        <v>-31.184614959788</v>
      </c>
      <c r="FN39">
        <v>65.644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6.3405095</v>
      </c>
      <c r="GD39">
        <v>1.88214812030076</v>
      </c>
      <c r="GE39">
        <v>0.594778081879914</v>
      </c>
      <c r="GF39">
        <v>0</v>
      </c>
      <c r="GG39">
        <v>1479.26764705882</v>
      </c>
      <c r="GH39">
        <v>13.2696714473279</v>
      </c>
      <c r="GI39">
        <v>4.51531515337038</v>
      </c>
      <c r="GJ39">
        <v>-1</v>
      </c>
      <c r="GK39">
        <v>17.46531</v>
      </c>
      <c r="GL39">
        <v>0.270243609022569</v>
      </c>
      <c r="GM39">
        <v>0.0261111642789052</v>
      </c>
      <c r="GN39">
        <v>0</v>
      </c>
      <c r="GO39">
        <v>0</v>
      </c>
      <c r="GP39">
        <v>2</v>
      </c>
      <c r="GQ39" t="s">
        <v>486</v>
      </c>
      <c r="GR39">
        <v>3.12855</v>
      </c>
      <c r="GS39">
        <v>2.77797</v>
      </c>
      <c r="GT39">
        <v>0.0874354</v>
      </c>
      <c r="GU39">
        <v>0.0870412</v>
      </c>
      <c r="GV39">
        <v>0.140614</v>
      </c>
      <c r="GW39">
        <v>0.0918453</v>
      </c>
      <c r="GX39">
        <v>33413.2</v>
      </c>
      <c r="GY39">
        <v>35548.9</v>
      </c>
      <c r="GZ39">
        <v>33206.7</v>
      </c>
      <c r="HA39">
        <v>35336.4</v>
      </c>
      <c r="HB39">
        <v>40573.2</v>
      </c>
      <c r="HC39">
        <v>46140.7</v>
      </c>
      <c r="HD39">
        <v>51990.3</v>
      </c>
      <c r="HE39">
        <v>56540.3</v>
      </c>
      <c r="HF39">
        <v>1.77498</v>
      </c>
      <c r="HG39">
        <v>2.1244</v>
      </c>
      <c r="HH39">
        <v>0.0574663</v>
      </c>
      <c r="HI39">
        <v>0</v>
      </c>
      <c r="HJ39">
        <v>47.0367</v>
      </c>
      <c r="HK39">
        <v>999.9</v>
      </c>
      <c r="HL39">
        <v>55.677</v>
      </c>
      <c r="HM39">
        <v>27.674</v>
      </c>
      <c r="HN39">
        <v>22.8404</v>
      </c>
      <c r="HO39">
        <v>59.7244</v>
      </c>
      <c r="HP39">
        <v>33.7861</v>
      </c>
      <c r="HQ39">
        <v>2</v>
      </c>
      <c r="HR39">
        <v>1.37025</v>
      </c>
      <c r="HS39">
        <v>-5.72762</v>
      </c>
      <c r="HT39">
        <v>20.0578</v>
      </c>
      <c r="HU39">
        <v>5.19048</v>
      </c>
      <c r="HV39">
        <v>12.0101</v>
      </c>
      <c r="HW39">
        <v>4.97245</v>
      </c>
      <c r="HX39">
        <v>3.295</v>
      </c>
      <c r="HY39">
        <v>9999</v>
      </c>
      <c r="HZ39">
        <v>9999</v>
      </c>
      <c r="IA39">
        <v>9999</v>
      </c>
      <c r="IB39">
        <v>999.9</v>
      </c>
      <c r="IC39">
        <v>1.86311</v>
      </c>
      <c r="ID39">
        <v>1.86813</v>
      </c>
      <c r="IE39">
        <v>1.86785</v>
      </c>
      <c r="IF39">
        <v>1.86903</v>
      </c>
      <c r="IG39">
        <v>1.86983</v>
      </c>
      <c r="IH39">
        <v>1.86588</v>
      </c>
      <c r="II39">
        <v>1.86695</v>
      </c>
      <c r="IJ39">
        <v>1.86842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3.029</v>
      </c>
      <c r="IY39">
        <v>0.2242</v>
      </c>
      <c r="IZ39">
        <v>1.07199260846131</v>
      </c>
      <c r="JA39">
        <v>0.00518756196715005</v>
      </c>
      <c r="JB39">
        <v>-1.52380604235834e-06</v>
      </c>
      <c r="JC39">
        <v>4.55768161354542e-10</v>
      </c>
      <c r="JD39">
        <v>0.224209222432812</v>
      </c>
      <c r="JE39">
        <v>0</v>
      </c>
      <c r="JF39">
        <v>0</v>
      </c>
      <c r="JG39">
        <v>0</v>
      </c>
      <c r="JH39">
        <v>4</v>
      </c>
      <c r="JI39">
        <v>2301</v>
      </c>
      <c r="JJ39">
        <v>0</v>
      </c>
      <c r="JK39">
        <v>23</v>
      </c>
      <c r="JL39">
        <v>29369934.8</v>
      </c>
      <c r="JM39">
        <v>29369934.8</v>
      </c>
      <c r="JN39">
        <v>1.22559</v>
      </c>
      <c r="JO39">
        <v>2.6062</v>
      </c>
      <c r="JP39">
        <v>2.19849</v>
      </c>
      <c r="JQ39">
        <v>2.64038</v>
      </c>
      <c r="JR39">
        <v>2.44629</v>
      </c>
      <c r="JS39">
        <v>2.31445</v>
      </c>
      <c r="JT39">
        <v>32.377</v>
      </c>
      <c r="JU39">
        <v>24.1838</v>
      </c>
      <c r="JV39">
        <v>18</v>
      </c>
      <c r="JW39">
        <v>497.22</v>
      </c>
      <c r="JX39">
        <v>780.95</v>
      </c>
      <c r="JY39">
        <v>60.9032</v>
      </c>
      <c r="JZ39">
        <v>43.5067</v>
      </c>
      <c r="KA39">
        <v>30.0001</v>
      </c>
      <c r="KB39">
        <v>43.1335</v>
      </c>
      <c r="KC39">
        <v>42.9497</v>
      </c>
      <c r="KD39">
        <v>24.5609</v>
      </c>
      <c r="KE39">
        <v>0</v>
      </c>
      <c r="KF39">
        <v>100</v>
      </c>
      <c r="KG39">
        <v>60.9216</v>
      </c>
      <c r="KH39">
        <v>420</v>
      </c>
      <c r="KI39">
        <v>53.1821</v>
      </c>
      <c r="KJ39">
        <v>94.3739</v>
      </c>
      <c r="KK39">
        <v>91.5672</v>
      </c>
    </row>
    <row r="40" spans="1:297">
      <c r="A40">
        <v>24</v>
      </c>
      <c r="B40">
        <v>1762196246.1</v>
      </c>
      <c r="C40">
        <v>6251</v>
      </c>
      <c r="D40" t="s">
        <v>519</v>
      </c>
      <c r="E40" t="s">
        <v>520</v>
      </c>
      <c r="F40">
        <v>5</v>
      </c>
      <c r="G40" t="s">
        <v>514</v>
      </c>
      <c r="H40" t="s">
        <v>436</v>
      </c>
      <c r="I40">
        <v>1762196238.1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429.106203954711</v>
      </c>
      <c r="AK40">
        <v>443.144854545454</v>
      </c>
      <c r="AL40">
        <v>2.79386509025425e-05</v>
      </c>
      <c r="AM40">
        <v>63.91686075723</v>
      </c>
      <c r="AN40">
        <f>(AP40 - AO40 + DY40*1E3/(8.314*(EA40+273.15)) * AR40/DX40 * AQ40) * DX40/(100*DL40) * 1000/(1000 - AP40)</f>
        <v>0</v>
      </c>
      <c r="AO40">
        <v>21.1834424762339</v>
      </c>
      <c r="AP40">
        <v>39.5244472727273</v>
      </c>
      <c r="AQ40">
        <v>0.00678698303411401</v>
      </c>
      <c r="AR40">
        <v>99.3410452015231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521</v>
      </c>
      <c r="AY40">
        <v>5084.78</v>
      </c>
      <c r="AZ40">
        <v>1512.89230769231</v>
      </c>
      <c r="BA40">
        <v>1804.55</v>
      </c>
      <c r="BB40">
        <f>1-AZ40/BA40</f>
        <v>0</v>
      </c>
      <c r="BC40">
        <v>-11.4503803501119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1762196238.1</v>
      </c>
      <c r="DR40">
        <v>425.644266666667</v>
      </c>
      <c r="DS40">
        <v>420.037266666667</v>
      </c>
      <c r="DT40">
        <v>39.4823733333333</v>
      </c>
      <c r="DU40">
        <v>21.1828733333333</v>
      </c>
      <c r="DV40">
        <v>422.617733333333</v>
      </c>
      <c r="DW40">
        <v>39.2581733333333</v>
      </c>
      <c r="DX40">
        <v>499.966066666667</v>
      </c>
      <c r="DY40">
        <v>90.759</v>
      </c>
      <c r="DZ40">
        <v>0.0999472</v>
      </c>
      <c r="EA40">
        <v>52.01858</v>
      </c>
      <c r="EB40">
        <v>47.9905733333333</v>
      </c>
      <c r="EC40">
        <v>999.9</v>
      </c>
      <c r="ED40">
        <v>0</v>
      </c>
      <c r="EE40">
        <v>0</v>
      </c>
      <c r="EF40">
        <v>10000.25</v>
      </c>
      <c r="EG40">
        <v>0</v>
      </c>
      <c r="EH40">
        <v>0.27582</v>
      </c>
      <c r="EI40">
        <v>5.60694933333333</v>
      </c>
      <c r="EJ40">
        <v>443.140533333333</v>
      </c>
      <c r="EK40">
        <v>429.1274</v>
      </c>
      <c r="EL40">
        <v>18.2995133333333</v>
      </c>
      <c r="EM40">
        <v>420.037266666667</v>
      </c>
      <c r="EN40">
        <v>21.1828733333333</v>
      </c>
      <c r="EO40">
        <v>3.58338133333333</v>
      </c>
      <c r="EP40">
        <v>1.92253666666667</v>
      </c>
      <c r="EQ40">
        <v>27.0200733333333</v>
      </c>
      <c r="ER40">
        <v>16.8203933333333</v>
      </c>
      <c r="ES40">
        <v>0.00500059</v>
      </c>
      <c r="ET40">
        <v>0</v>
      </c>
      <c r="EU40">
        <v>0</v>
      </c>
      <c r="EV40">
        <v>0</v>
      </c>
      <c r="EW40">
        <v>1514.21333333333</v>
      </c>
      <c r="EX40">
        <v>0.00500059</v>
      </c>
      <c r="EY40">
        <v>67.1866666666667</v>
      </c>
      <c r="EZ40">
        <v>1.42</v>
      </c>
      <c r="FA40">
        <v>47.5956</v>
      </c>
      <c r="FB40">
        <v>49.7038</v>
      </c>
      <c r="FC40">
        <v>48.3456</v>
      </c>
      <c r="FD40">
        <v>49.9706</v>
      </c>
      <c r="FE40">
        <v>50.3832666666667</v>
      </c>
      <c r="FF40">
        <v>0</v>
      </c>
      <c r="FG40">
        <v>0</v>
      </c>
      <c r="FH40">
        <v>0</v>
      </c>
      <c r="FI40">
        <v>158.200000047684</v>
      </c>
      <c r="FJ40">
        <v>0</v>
      </c>
      <c r="FK40">
        <v>1512.89230769231</v>
      </c>
      <c r="FL40">
        <v>-16.0615384643846</v>
      </c>
      <c r="FM40">
        <v>12.588034307713</v>
      </c>
      <c r="FN40">
        <v>66.7769230769231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5.63840380952381</v>
      </c>
      <c r="GD40">
        <v>-0.326014285714274</v>
      </c>
      <c r="GE40">
        <v>0.0623751290084506</v>
      </c>
      <c r="GF40">
        <v>1</v>
      </c>
      <c r="GG40">
        <v>1511.38235294118</v>
      </c>
      <c r="GH40">
        <v>19.4957983647583</v>
      </c>
      <c r="GI40">
        <v>7.29687566453395</v>
      </c>
      <c r="GJ40">
        <v>-1</v>
      </c>
      <c r="GK40">
        <v>18.2798904761905</v>
      </c>
      <c r="GL40">
        <v>0.374337662337634</v>
      </c>
      <c r="GM40">
        <v>0.0379774357162614</v>
      </c>
      <c r="GN40">
        <v>0</v>
      </c>
      <c r="GO40">
        <v>1</v>
      </c>
      <c r="GP40">
        <v>2</v>
      </c>
      <c r="GQ40" t="s">
        <v>441</v>
      </c>
      <c r="GR40">
        <v>3.12825</v>
      </c>
      <c r="GS40">
        <v>2.77809</v>
      </c>
      <c r="GT40">
        <v>0.0873467</v>
      </c>
      <c r="GU40">
        <v>0.0869549</v>
      </c>
      <c r="GV40">
        <v>0.142767</v>
      </c>
      <c r="GW40">
        <v>0.0919444</v>
      </c>
      <c r="GX40">
        <v>33417</v>
      </c>
      <c r="GY40">
        <v>35553.5</v>
      </c>
      <c r="GZ40">
        <v>33207.1</v>
      </c>
      <c r="HA40">
        <v>35337.6</v>
      </c>
      <c r="HB40">
        <v>40475.9</v>
      </c>
      <c r="HC40">
        <v>46137.5</v>
      </c>
      <c r="HD40">
        <v>51990.7</v>
      </c>
      <c r="HE40">
        <v>56542.5</v>
      </c>
      <c r="HF40">
        <v>1.77545</v>
      </c>
      <c r="HG40">
        <v>2.12497</v>
      </c>
      <c r="HH40">
        <v>0.0565723</v>
      </c>
      <c r="HI40">
        <v>0</v>
      </c>
      <c r="HJ40">
        <v>47.1096</v>
      </c>
      <c r="HK40">
        <v>999.9</v>
      </c>
      <c r="HL40">
        <v>55.653</v>
      </c>
      <c r="HM40">
        <v>27.714</v>
      </c>
      <c r="HN40">
        <v>22.8836</v>
      </c>
      <c r="HO40">
        <v>59.6544</v>
      </c>
      <c r="HP40">
        <v>33.8902</v>
      </c>
      <c r="HQ40">
        <v>2</v>
      </c>
      <c r="HR40">
        <v>1.36981</v>
      </c>
      <c r="HS40">
        <v>-5.85919</v>
      </c>
      <c r="HT40">
        <v>20.055</v>
      </c>
      <c r="HU40">
        <v>5.19318</v>
      </c>
      <c r="HV40">
        <v>12.0099</v>
      </c>
      <c r="HW40">
        <v>4.97315</v>
      </c>
      <c r="HX40">
        <v>3.295</v>
      </c>
      <c r="HY40">
        <v>9999</v>
      </c>
      <c r="HZ40">
        <v>9999</v>
      </c>
      <c r="IA40">
        <v>9999</v>
      </c>
      <c r="IB40">
        <v>999.9</v>
      </c>
      <c r="IC40">
        <v>1.86316</v>
      </c>
      <c r="ID40">
        <v>1.86813</v>
      </c>
      <c r="IE40">
        <v>1.86783</v>
      </c>
      <c r="IF40">
        <v>1.86904</v>
      </c>
      <c r="IG40">
        <v>1.86982</v>
      </c>
      <c r="IH40">
        <v>1.86586</v>
      </c>
      <c r="II40">
        <v>1.86704</v>
      </c>
      <c r="IJ40">
        <v>1.86843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3.026</v>
      </c>
      <c r="IY40">
        <v>0.2243</v>
      </c>
      <c r="IZ40">
        <v>1.07199260846131</v>
      </c>
      <c r="JA40">
        <v>0.00518756196715005</v>
      </c>
      <c r="JB40">
        <v>-1.52380604235834e-06</v>
      </c>
      <c r="JC40">
        <v>4.55768161354542e-10</v>
      </c>
      <c r="JD40">
        <v>0.224209222432812</v>
      </c>
      <c r="JE40">
        <v>0</v>
      </c>
      <c r="JF40">
        <v>0</v>
      </c>
      <c r="JG40">
        <v>0</v>
      </c>
      <c r="JH40">
        <v>4</v>
      </c>
      <c r="JI40">
        <v>2301</v>
      </c>
      <c r="JJ40">
        <v>0</v>
      </c>
      <c r="JK40">
        <v>23</v>
      </c>
      <c r="JL40">
        <v>29369937.4</v>
      </c>
      <c r="JM40">
        <v>29369937.4</v>
      </c>
      <c r="JN40">
        <v>1.22681</v>
      </c>
      <c r="JO40">
        <v>2.62085</v>
      </c>
      <c r="JP40">
        <v>2.19849</v>
      </c>
      <c r="JQ40">
        <v>2.64038</v>
      </c>
      <c r="JR40">
        <v>2.44507</v>
      </c>
      <c r="JS40">
        <v>2.28149</v>
      </c>
      <c r="JT40">
        <v>32.4212</v>
      </c>
      <c r="JU40">
        <v>24.1663</v>
      </c>
      <c r="JV40">
        <v>18</v>
      </c>
      <c r="JW40">
        <v>497.466</v>
      </c>
      <c r="JX40">
        <v>781.372</v>
      </c>
      <c r="JY40">
        <v>61.6437</v>
      </c>
      <c r="JZ40">
        <v>43.4931</v>
      </c>
      <c r="KA40">
        <v>29.9999</v>
      </c>
      <c r="KB40">
        <v>43.1201</v>
      </c>
      <c r="KC40">
        <v>42.9365</v>
      </c>
      <c r="KD40">
        <v>24.5803</v>
      </c>
      <c r="KE40">
        <v>0</v>
      </c>
      <c r="KF40">
        <v>100</v>
      </c>
      <c r="KG40">
        <v>61.6309</v>
      </c>
      <c r="KH40">
        <v>420</v>
      </c>
      <c r="KI40">
        <v>53.1821</v>
      </c>
      <c r="KJ40">
        <v>94.3748</v>
      </c>
      <c r="KK40">
        <v>91.5705</v>
      </c>
    </row>
    <row r="41" spans="1:297">
      <c r="A41">
        <v>25</v>
      </c>
      <c r="B41">
        <v>1762196687.1</v>
      </c>
      <c r="C41">
        <v>6692</v>
      </c>
      <c r="D41" t="s">
        <v>522</v>
      </c>
      <c r="E41" t="s">
        <v>523</v>
      </c>
      <c r="F41">
        <v>5</v>
      </c>
      <c r="G41" t="s">
        <v>524</v>
      </c>
      <c r="H41" t="s">
        <v>436</v>
      </c>
      <c r="I41">
        <v>1762196679.1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428.339052660752</v>
      </c>
      <c r="AK41">
        <v>441.191018181818</v>
      </c>
      <c r="AL41">
        <v>-0.0748158628377997</v>
      </c>
      <c r="AM41">
        <v>63.9314588616074</v>
      </c>
      <c r="AN41">
        <f>(AP41 - AO41 + DY41*1E3/(8.314*(EA41+273.15)) * AR41/DX41 * AQ41) * DX41/(100*DL41) * 1000/(1000 - AP41)</f>
        <v>0</v>
      </c>
      <c r="AO41">
        <v>21.2748936053831</v>
      </c>
      <c r="AP41">
        <v>37.05014</v>
      </c>
      <c r="AQ41">
        <v>0.0125363380587524</v>
      </c>
      <c r="AR41">
        <v>99.2813282892249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525</v>
      </c>
      <c r="AY41">
        <v>5082.28</v>
      </c>
      <c r="AZ41">
        <v>1246.14230769231</v>
      </c>
      <c r="BA41">
        <v>1870.99</v>
      </c>
      <c r="BB41">
        <f>1-AZ41/BA41</f>
        <v>0</v>
      </c>
      <c r="BC41">
        <v>-10.2189876669257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1762196679.1</v>
      </c>
      <c r="DR41">
        <v>425.767266666667</v>
      </c>
      <c r="DS41">
        <v>419.718066666667</v>
      </c>
      <c r="DT41">
        <v>36.9601866666667</v>
      </c>
      <c r="DU41">
        <v>21.2742066666667</v>
      </c>
      <c r="DV41">
        <v>422.7402</v>
      </c>
      <c r="DW41">
        <v>36.73598</v>
      </c>
      <c r="DX41">
        <v>499.9618</v>
      </c>
      <c r="DY41">
        <v>90.73626</v>
      </c>
      <c r="DZ41">
        <v>0.0999375333333333</v>
      </c>
      <c r="EA41">
        <v>51.4361733333333</v>
      </c>
      <c r="EB41">
        <v>47.9533666666667</v>
      </c>
      <c r="EC41">
        <v>999.9</v>
      </c>
      <c r="ED41">
        <v>0</v>
      </c>
      <c r="EE41">
        <v>0</v>
      </c>
      <c r="EF41">
        <v>10002.99</v>
      </c>
      <c r="EG41">
        <v>0</v>
      </c>
      <c r="EH41">
        <v>0.27582</v>
      </c>
      <c r="EI41">
        <v>6.04929266666667</v>
      </c>
      <c r="EJ41">
        <v>442.107666666667</v>
      </c>
      <c r="EK41">
        <v>428.8412</v>
      </c>
      <c r="EL41">
        <v>15.6859866666667</v>
      </c>
      <c r="EM41">
        <v>419.718066666667</v>
      </c>
      <c r="EN41">
        <v>21.2742066666667</v>
      </c>
      <c r="EO41">
        <v>3.35362866666667</v>
      </c>
      <c r="EP41">
        <v>1.93034133333333</v>
      </c>
      <c r="EQ41">
        <v>25.8963933333333</v>
      </c>
      <c r="ER41">
        <v>16.8842466666667</v>
      </c>
      <c r="ES41">
        <v>0.00500059</v>
      </c>
      <c r="ET41">
        <v>0</v>
      </c>
      <c r="EU41">
        <v>0</v>
      </c>
      <c r="EV41">
        <v>0</v>
      </c>
      <c r="EW41">
        <v>1246.50666666667</v>
      </c>
      <c r="EX41">
        <v>0.00500059</v>
      </c>
      <c r="EY41">
        <v>66.54</v>
      </c>
      <c r="EZ41">
        <v>1.54</v>
      </c>
      <c r="FA41">
        <v>47.4748</v>
      </c>
      <c r="FB41">
        <v>49.625</v>
      </c>
      <c r="FC41">
        <v>48.25</v>
      </c>
      <c r="FD41">
        <v>49.937</v>
      </c>
      <c r="FE41">
        <v>50.1912</v>
      </c>
      <c r="FF41">
        <v>0</v>
      </c>
      <c r="FG41">
        <v>0</v>
      </c>
      <c r="FH41">
        <v>0</v>
      </c>
      <c r="FI41">
        <v>439</v>
      </c>
      <c r="FJ41">
        <v>0</v>
      </c>
      <c r="FK41">
        <v>1246.14230769231</v>
      </c>
      <c r="FL41">
        <v>40.7076925465071</v>
      </c>
      <c r="FM41">
        <v>-1.10427373330662</v>
      </c>
      <c r="FN41">
        <v>67.65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5.5733435</v>
      </c>
      <c r="GD41">
        <v>6.31903263157895</v>
      </c>
      <c r="GE41">
        <v>1.25166515144137</v>
      </c>
      <c r="GF41">
        <v>0</v>
      </c>
      <c r="GG41">
        <v>1243.05</v>
      </c>
      <c r="GH41">
        <v>50.2964095381917</v>
      </c>
      <c r="GI41">
        <v>7.38815626128578</v>
      </c>
      <c r="GJ41">
        <v>-1</v>
      </c>
      <c r="GK41">
        <v>15.65076</v>
      </c>
      <c r="GL41">
        <v>0.816631578947351</v>
      </c>
      <c r="GM41">
        <v>0.0785610679662643</v>
      </c>
      <c r="GN41">
        <v>0</v>
      </c>
      <c r="GO41">
        <v>0</v>
      </c>
      <c r="GP41">
        <v>2</v>
      </c>
      <c r="GQ41" t="s">
        <v>486</v>
      </c>
      <c r="GR41">
        <v>3.12829</v>
      </c>
      <c r="GS41">
        <v>2.77797</v>
      </c>
      <c r="GT41">
        <v>0.0871968</v>
      </c>
      <c r="GU41">
        <v>0.0868914</v>
      </c>
      <c r="GV41">
        <v>0.136564</v>
      </c>
      <c r="GW41">
        <v>0.0922254</v>
      </c>
      <c r="GX41">
        <v>33429.3</v>
      </c>
      <c r="GY41">
        <v>35566.1</v>
      </c>
      <c r="GZ41">
        <v>33213.5</v>
      </c>
      <c r="HA41">
        <v>35347.2</v>
      </c>
      <c r="HB41">
        <v>40762.9</v>
      </c>
      <c r="HC41">
        <v>46135.4</v>
      </c>
      <c r="HD41">
        <v>51999.3</v>
      </c>
      <c r="HE41">
        <v>56557.1</v>
      </c>
      <c r="HF41">
        <v>1.78495</v>
      </c>
      <c r="HG41">
        <v>2.1255</v>
      </c>
      <c r="HH41">
        <v>0.109605</v>
      </c>
      <c r="HI41">
        <v>0</v>
      </c>
      <c r="HJ41">
        <v>46.2284</v>
      </c>
      <c r="HK41">
        <v>999.9</v>
      </c>
      <c r="HL41">
        <v>55.579</v>
      </c>
      <c r="HM41">
        <v>27.805</v>
      </c>
      <c r="HN41">
        <v>22.9804</v>
      </c>
      <c r="HO41">
        <v>59.7444</v>
      </c>
      <c r="HP41">
        <v>33.9623</v>
      </c>
      <c r="HQ41">
        <v>2</v>
      </c>
      <c r="HR41">
        <v>1.3629</v>
      </c>
      <c r="HS41">
        <v>-6.08248</v>
      </c>
      <c r="HT41">
        <v>20.049</v>
      </c>
      <c r="HU41">
        <v>5.19288</v>
      </c>
      <c r="HV41">
        <v>12.0102</v>
      </c>
      <c r="HW41">
        <v>4.9734</v>
      </c>
      <c r="HX41">
        <v>3.295</v>
      </c>
      <c r="HY41">
        <v>9999</v>
      </c>
      <c r="HZ41">
        <v>9999</v>
      </c>
      <c r="IA41">
        <v>9999</v>
      </c>
      <c r="IB41">
        <v>999.9</v>
      </c>
      <c r="IC41">
        <v>1.86318</v>
      </c>
      <c r="ID41">
        <v>1.86813</v>
      </c>
      <c r="IE41">
        <v>1.86784</v>
      </c>
      <c r="IF41">
        <v>1.86904</v>
      </c>
      <c r="IG41">
        <v>1.86981</v>
      </c>
      <c r="IH41">
        <v>1.86587</v>
      </c>
      <c r="II41">
        <v>1.86701</v>
      </c>
      <c r="IJ41">
        <v>1.86843</v>
      </c>
      <c r="IK41">
        <v>5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3.023</v>
      </c>
      <c r="IY41">
        <v>0.2242</v>
      </c>
      <c r="IZ41">
        <v>1.07199260846131</v>
      </c>
      <c r="JA41">
        <v>0.00518756196715005</v>
      </c>
      <c r="JB41">
        <v>-1.52380604235834e-06</v>
      </c>
      <c r="JC41">
        <v>4.55768161354542e-10</v>
      </c>
      <c r="JD41">
        <v>0.224209222432812</v>
      </c>
      <c r="JE41">
        <v>0</v>
      </c>
      <c r="JF41">
        <v>0</v>
      </c>
      <c r="JG41">
        <v>0</v>
      </c>
      <c r="JH41">
        <v>4</v>
      </c>
      <c r="JI41">
        <v>2301</v>
      </c>
      <c r="JJ41">
        <v>0</v>
      </c>
      <c r="JK41">
        <v>23</v>
      </c>
      <c r="JL41">
        <v>29369944.8</v>
      </c>
      <c r="JM41">
        <v>29369944.8</v>
      </c>
      <c r="JN41">
        <v>1.22314</v>
      </c>
      <c r="JO41">
        <v>2.61475</v>
      </c>
      <c r="JP41">
        <v>2.19849</v>
      </c>
      <c r="JQ41">
        <v>2.6416</v>
      </c>
      <c r="JR41">
        <v>2.44507</v>
      </c>
      <c r="JS41">
        <v>2.32666</v>
      </c>
      <c r="JT41">
        <v>32.4875</v>
      </c>
      <c r="JU41">
        <v>24.1751</v>
      </c>
      <c r="JV41">
        <v>18</v>
      </c>
      <c r="JW41">
        <v>503.618</v>
      </c>
      <c r="JX41">
        <v>780.92</v>
      </c>
      <c r="JY41">
        <v>61.5423</v>
      </c>
      <c r="JZ41">
        <v>43.4054</v>
      </c>
      <c r="KA41">
        <v>30.0001</v>
      </c>
      <c r="KB41">
        <v>43.0312</v>
      </c>
      <c r="KC41">
        <v>42.8487</v>
      </c>
      <c r="KD41">
        <v>24.5047</v>
      </c>
      <c r="KE41">
        <v>0</v>
      </c>
      <c r="KF41">
        <v>100</v>
      </c>
      <c r="KG41">
        <v>61.5575</v>
      </c>
      <c r="KH41">
        <v>420</v>
      </c>
      <c r="KI41">
        <v>53.1821</v>
      </c>
      <c r="KJ41">
        <v>94.3914</v>
      </c>
      <c r="KK41">
        <v>91.5947</v>
      </c>
    </row>
    <row r="42" spans="1:297">
      <c r="A42">
        <v>26</v>
      </c>
      <c r="B42">
        <v>1762196816.1</v>
      </c>
      <c r="C42">
        <v>6821</v>
      </c>
      <c r="D42" t="s">
        <v>526</v>
      </c>
      <c r="E42" t="s">
        <v>527</v>
      </c>
      <c r="F42">
        <v>5</v>
      </c>
      <c r="G42" t="s">
        <v>524</v>
      </c>
      <c r="H42" t="s">
        <v>436</v>
      </c>
      <c r="I42">
        <v>1762196808.1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429.19276992589</v>
      </c>
      <c r="AK42">
        <v>441.271733333333</v>
      </c>
      <c r="AL42">
        <v>0.000107582223223335</v>
      </c>
      <c r="AM42">
        <v>63.9314588616074</v>
      </c>
      <c r="AN42">
        <f>(AP42 - AO42 + DY42*1E3/(8.314*(EA42+273.15)) * AR42/DX42 * AQ42) * DX42/(100*DL42) * 1000/(1000 - AP42)</f>
        <v>0</v>
      </c>
      <c r="AO42">
        <v>21.2911701515258</v>
      </c>
      <c r="AP42">
        <v>38.4934915151515</v>
      </c>
      <c r="AQ42">
        <v>0.0119749960336464</v>
      </c>
      <c r="AR42">
        <v>99.2813282892249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528</v>
      </c>
      <c r="AY42">
        <v>5082.44</v>
      </c>
      <c r="AZ42">
        <v>1308.12</v>
      </c>
      <c r="BA42">
        <v>1858.22</v>
      </c>
      <c r="BB42">
        <f>1-AZ42/BA42</f>
        <v>0</v>
      </c>
      <c r="BC42">
        <v>-9.85171655946762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1762196808.1</v>
      </c>
      <c r="DR42">
        <v>424.328933333333</v>
      </c>
      <c r="DS42">
        <v>420.0066</v>
      </c>
      <c r="DT42">
        <v>38.41168</v>
      </c>
      <c r="DU42">
        <v>21.2908466666667</v>
      </c>
      <c r="DV42">
        <v>421.3078</v>
      </c>
      <c r="DW42">
        <v>38.1874666666667</v>
      </c>
      <c r="DX42">
        <v>499.9922</v>
      </c>
      <c r="DY42">
        <v>90.7359666666666</v>
      </c>
      <c r="DZ42">
        <v>0.10000302</v>
      </c>
      <c r="EA42">
        <v>51.7409733333333</v>
      </c>
      <c r="EB42">
        <v>47.9419533333333</v>
      </c>
      <c r="EC42">
        <v>999.9</v>
      </c>
      <c r="ED42">
        <v>0</v>
      </c>
      <c r="EE42">
        <v>0</v>
      </c>
      <c r="EF42">
        <v>10002.5</v>
      </c>
      <c r="EG42">
        <v>0</v>
      </c>
      <c r="EH42">
        <v>0.27582</v>
      </c>
      <c r="EI42">
        <v>4.322478</v>
      </c>
      <c r="EJ42">
        <v>441.2792</v>
      </c>
      <c r="EK42">
        <v>429.143466666667</v>
      </c>
      <c r="EL42">
        <v>17.12082</v>
      </c>
      <c r="EM42">
        <v>420.0066</v>
      </c>
      <c r="EN42">
        <v>21.2908466666667</v>
      </c>
      <c r="EO42">
        <v>3.48532333333333</v>
      </c>
      <c r="EP42">
        <v>1.931846</v>
      </c>
      <c r="EQ42">
        <v>26.5484066666667</v>
      </c>
      <c r="ER42">
        <v>16.89652</v>
      </c>
      <c r="ES42">
        <v>0.00500059</v>
      </c>
      <c r="ET42">
        <v>0</v>
      </c>
      <c r="EU42">
        <v>0</v>
      </c>
      <c r="EV42">
        <v>0</v>
      </c>
      <c r="EW42">
        <v>1306.38666666667</v>
      </c>
      <c r="EX42">
        <v>0.00500059</v>
      </c>
      <c r="EY42">
        <v>68.6133333333333</v>
      </c>
      <c r="EZ42">
        <v>1.74</v>
      </c>
      <c r="FA42">
        <v>47.5082666666667</v>
      </c>
      <c r="FB42">
        <v>49.6622</v>
      </c>
      <c r="FC42">
        <v>48.312</v>
      </c>
      <c r="FD42">
        <v>49.9454</v>
      </c>
      <c r="FE42">
        <v>50.2706666666667</v>
      </c>
      <c r="FF42">
        <v>0</v>
      </c>
      <c r="FG42">
        <v>0</v>
      </c>
      <c r="FH42">
        <v>0</v>
      </c>
      <c r="FI42">
        <v>127.400000095367</v>
      </c>
      <c r="FJ42">
        <v>0</v>
      </c>
      <c r="FK42">
        <v>1308.12</v>
      </c>
      <c r="FL42">
        <v>9.423077423071</v>
      </c>
      <c r="FM42">
        <v>27.6538454103042</v>
      </c>
      <c r="FN42">
        <v>67.712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4.34204666666667</v>
      </c>
      <c r="GD42">
        <v>-0.455569870129869</v>
      </c>
      <c r="GE42">
        <v>0.0608125211365565</v>
      </c>
      <c r="GF42">
        <v>1</v>
      </c>
      <c r="GG42">
        <v>1306.05588235294</v>
      </c>
      <c r="GH42">
        <v>24.1298702151385</v>
      </c>
      <c r="GI42">
        <v>5.7190183843276</v>
      </c>
      <c r="GJ42">
        <v>-1</v>
      </c>
      <c r="GK42">
        <v>17.0848952380952</v>
      </c>
      <c r="GL42">
        <v>0.708701298701327</v>
      </c>
      <c r="GM42">
        <v>0.0715603806066063</v>
      </c>
      <c r="GN42">
        <v>0</v>
      </c>
      <c r="GO42">
        <v>1</v>
      </c>
      <c r="GP42">
        <v>2</v>
      </c>
      <c r="GQ42" t="s">
        <v>441</v>
      </c>
      <c r="GR42">
        <v>3.12846</v>
      </c>
      <c r="GS42">
        <v>2.77798</v>
      </c>
      <c r="GT42">
        <v>0.0871163</v>
      </c>
      <c r="GU42">
        <v>0.0869419</v>
      </c>
      <c r="GV42">
        <v>0.140197</v>
      </c>
      <c r="GW42">
        <v>0.0922722</v>
      </c>
      <c r="GX42">
        <v>33430.3</v>
      </c>
      <c r="GY42">
        <v>35562.4</v>
      </c>
      <c r="GZ42">
        <v>33211.6</v>
      </c>
      <c r="HA42">
        <v>35345.5</v>
      </c>
      <c r="HB42">
        <v>40596.2</v>
      </c>
      <c r="HC42">
        <v>46130.8</v>
      </c>
      <c r="HD42">
        <v>51996.8</v>
      </c>
      <c r="HE42">
        <v>56554.4</v>
      </c>
      <c r="HF42">
        <v>1.7863</v>
      </c>
      <c r="HG42">
        <v>2.12523</v>
      </c>
      <c r="HH42">
        <v>0.0959709</v>
      </c>
      <c r="HI42">
        <v>0</v>
      </c>
      <c r="HJ42">
        <v>46.4096</v>
      </c>
      <c r="HK42">
        <v>999.9</v>
      </c>
      <c r="HL42">
        <v>55.555</v>
      </c>
      <c r="HM42">
        <v>27.845</v>
      </c>
      <c r="HN42">
        <v>23.0247</v>
      </c>
      <c r="HO42">
        <v>59.8344</v>
      </c>
      <c r="HP42">
        <v>33.8662</v>
      </c>
      <c r="HQ42">
        <v>2</v>
      </c>
      <c r="HR42">
        <v>1.36477</v>
      </c>
      <c r="HS42">
        <v>-6.14667</v>
      </c>
      <c r="HT42">
        <v>20.0477</v>
      </c>
      <c r="HU42">
        <v>5.19333</v>
      </c>
      <c r="HV42">
        <v>12.0102</v>
      </c>
      <c r="HW42">
        <v>4.97325</v>
      </c>
      <c r="HX42">
        <v>3.295</v>
      </c>
      <c r="HY42">
        <v>9999</v>
      </c>
      <c r="HZ42">
        <v>9999</v>
      </c>
      <c r="IA42">
        <v>9999</v>
      </c>
      <c r="IB42">
        <v>999.9</v>
      </c>
      <c r="IC42">
        <v>1.86318</v>
      </c>
      <c r="ID42">
        <v>1.86813</v>
      </c>
      <c r="IE42">
        <v>1.86784</v>
      </c>
      <c r="IF42">
        <v>1.86905</v>
      </c>
      <c r="IG42">
        <v>1.86982</v>
      </c>
      <c r="IH42">
        <v>1.86588</v>
      </c>
      <c r="II42">
        <v>1.86699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3.021</v>
      </c>
      <c r="IY42">
        <v>0.2242</v>
      </c>
      <c r="IZ42">
        <v>1.07199260846131</v>
      </c>
      <c r="JA42">
        <v>0.00518756196715005</v>
      </c>
      <c r="JB42">
        <v>-1.52380604235834e-06</v>
      </c>
      <c r="JC42">
        <v>4.55768161354542e-10</v>
      </c>
      <c r="JD42">
        <v>0.224209222432812</v>
      </c>
      <c r="JE42">
        <v>0</v>
      </c>
      <c r="JF42">
        <v>0</v>
      </c>
      <c r="JG42">
        <v>0</v>
      </c>
      <c r="JH42">
        <v>4</v>
      </c>
      <c r="JI42">
        <v>2301</v>
      </c>
      <c r="JJ42">
        <v>0</v>
      </c>
      <c r="JK42">
        <v>23</v>
      </c>
      <c r="JL42">
        <v>29369946.9</v>
      </c>
      <c r="JM42">
        <v>29369946.9</v>
      </c>
      <c r="JN42">
        <v>1.22437</v>
      </c>
      <c r="JO42">
        <v>2.6123</v>
      </c>
      <c r="JP42">
        <v>2.19849</v>
      </c>
      <c r="JQ42">
        <v>2.64038</v>
      </c>
      <c r="JR42">
        <v>2.44629</v>
      </c>
      <c r="JS42">
        <v>2.31934</v>
      </c>
      <c r="JT42">
        <v>32.5097</v>
      </c>
      <c r="JU42">
        <v>24.1663</v>
      </c>
      <c r="JV42">
        <v>18</v>
      </c>
      <c r="JW42">
        <v>504.644</v>
      </c>
      <c r="JX42">
        <v>780.745</v>
      </c>
      <c r="JY42">
        <v>61.991</v>
      </c>
      <c r="JZ42">
        <v>43.4202</v>
      </c>
      <c r="KA42">
        <v>30</v>
      </c>
      <c r="KB42">
        <v>43.0401</v>
      </c>
      <c r="KC42">
        <v>42.8575</v>
      </c>
      <c r="KD42">
        <v>24.5169</v>
      </c>
      <c r="KE42">
        <v>0</v>
      </c>
      <c r="KF42">
        <v>100</v>
      </c>
      <c r="KG42">
        <v>62.0328</v>
      </c>
      <c r="KH42">
        <v>420</v>
      </c>
      <c r="KI42">
        <v>53.1821</v>
      </c>
      <c r="KJ42">
        <v>94.3865</v>
      </c>
      <c r="KK42">
        <v>91.5903</v>
      </c>
    </row>
    <row r="43" spans="1:297">
      <c r="A43">
        <v>27</v>
      </c>
      <c r="B43">
        <v>1762196928.1</v>
      </c>
      <c r="C43">
        <v>6933</v>
      </c>
      <c r="D43" t="s">
        <v>529</v>
      </c>
      <c r="E43" t="s">
        <v>530</v>
      </c>
      <c r="F43">
        <v>5</v>
      </c>
      <c r="G43" t="s">
        <v>524</v>
      </c>
      <c r="H43" t="s">
        <v>436</v>
      </c>
      <c r="I43">
        <v>1762196920.1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429.090404897066</v>
      </c>
      <c r="AK43">
        <v>440.910957575757</v>
      </c>
      <c r="AL43">
        <v>0.000612438114719163</v>
      </c>
      <c r="AM43">
        <v>63.9314588616074</v>
      </c>
      <c r="AN43">
        <f>(AP43 - AO43 + DY43*1E3/(8.314*(EA43+273.15)) * AR43/DX43 * AQ43) * DX43/(100*DL43) * 1000/(1000 - AP43)</f>
        <v>0</v>
      </c>
      <c r="AO43">
        <v>21.3072050219441</v>
      </c>
      <c r="AP43">
        <v>39.4519745454546</v>
      </c>
      <c r="AQ43">
        <v>0.0131053572954833</v>
      </c>
      <c r="AR43">
        <v>99.2813282892249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531</v>
      </c>
      <c r="AY43">
        <v>5081.96</v>
      </c>
      <c r="AZ43">
        <v>1345.64615384615</v>
      </c>
      <c r="BA43">
        <v>1842.96</v>
      </c>
      <c r="BB43">
        <f>1-AZ43/BA43</f>
        <v>0</v>
      </c>
      <c r="BC43">
        <v>-9.64318441807364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1762196920.1</v>
      </c>
      <c r="DR43">
        <v>423.509133333333</v>
      </c>
      <c r="DS43">
        <v>419.949333333333</v>
      </c>
      <c r="DT43">
        <v>39.3697133333333</v>
      </c>
      <c r="DU43">
        <v>21.3047333333333</v>
      </c>
      <c r="DV43">
        <v>420.4914</v>
      </c>
      <c r="DW43">
        <v>39.1455</v>
      </c>
      <c r="DX43">
        <v>500.022866666667</v>
      </c>
      <c r="DY43">
        <v>90.7322266666667</v>
      </c>
      <c r="DZ43">
        <v>0.100004546666667</v>
      </c>
      <c r="EA43">
        <v>51.8778466666667</v>
      </c>
      <c r="EB43">
        <v>47.8903866666667</v>
      </c>
      <c r="EC43">
        <v>999.9</v>
      </c>
      <c r="ED43">
        <v>0</v>
      </c>
      <c r="EE43">
        <v>0</v>
      </c>
      <c r="EF43">
        <v>10002.2433333333</v>
      </c>
      <c r="EG43">
        <v>0</v>
      </c>
      <c r="EH43">
        <v>0.27582</v>
      </c>
      <c r="EI43">
        <v>3.559804</v>
      </c>
      <c r="EJ43">
        <v>440.8658</v>
      </c>
      <c r="EK43">
        <v>429.090933333333</v>
      </c>
      <c r="EL43">
        <v>18.0649933333333</v>
      </c>
      <c r="EM43">
        <v>419.949333333333</v>
      </c>
      <c r="EN43">
        <v>21.3047333333333</v>
      </c>
      <c r="EO43">
        <v>3.57210333333333</v>
      </c>
      <c r="EP43">
        <v>1.93302666666667</v>
      </c>
      <c r="EQ43">
        <v>26.9663933333333</v>
      </c>
      <c r="ER43">
        <v>16.9061533333333</v>
      </c>
      <c r="ES43">
        <v>0.00500059</v>
      </c>
      <c r="ET43">
        <v>0</v>
      </c>
      <c r="EU43">
        <v>0</v>
      </c>
      <c r="EV43">
        <v>0</v>
      </c>
      <c r="EW43">
        <v>1345.02666666667</v>
      </c>
      <c r="EX43">
        <v>0.00500059</v>
      </c>
      <c r="EY43">
        <v>69.0066666666667</v>
      </c>
      <c r="EZ43">
        <v>2.06666666666667</v>
      </c>
      <c r="FA43">
        <v>47.6166</v>
      </c>
      <c r="FB43">
        <v>49.687</v>
      </c>
      <c r="FC43">
        <v>48.375</v>
      </c>
      <c r="FD43">
        <v>50</v>
      </c>
      <c r="FE43">
        <v>50.3708</v>
      </c>
      <c r="FF43">
        <v>0</v>
      </c>
      <c r="FG43">
        <v>0</v>
      </c>
      <c r="FH43">
        <v>0</v>
      </c>
      <c r="FI43">
        <v>110.400000095367</v>
      </c>
      <c r="FJ43">
        <v>0</v>
      </c>
      <c r="FK43">
        <v>1345.64615384615</v>
      </c>
      <c r="FL43">
        <v>19.4051280731232</v>
      </c>
      <c r="FM43">
        <v>-20.3897430995512</v>
      </c>
      <c r="FN43">
        <v>67.0461538461538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3.60454857142857</v>
      </c>
      <c r="GD43">
        <v>-0.54887220779221</v>
      </c>
      <c r="GE43">
        <v>0.0795162825066255</v>
      </c>
      <c r="GF43">
        <v>0</v>
      </c>
      <c r="GG43">
        <v>1343.63529411765</v>
      </c>
      <c r="GH43">
        <v>33.3628724395245</v>
      </c>
      <c r="GI43">
        <v>6.00337563635175</v>
      </c>
      <c r="GJ43">
        <v>-1</v>
      </c>
      <c r="GK43">
        <v>18.0334380952381</v>
      </c>
      <c r="GL43">
        <v>0.631410389610422</v>
      </c>
      <c r="GM43">
        <v>0.0637781010049724</v>
      </c>
      <c r="GN43">
        <v>0</v>
      </c>
      <c r="GO43">
        <v>0</v>
      </c>
      <c r="GP43">
        <v>2</v>
      </c>
      <c r="GQ43" t="s">
        <v>486</v>
      </c>
      <c r="GR43">
        <v>3.12821</v>
      </c>
      <c r="GS43">
        <v>2.77799</v>
      </c>
      <c r="GT43">
        <v>0.086993</v>
      </c>
      <c r="GU43">
        <v>0.0869419</v>
      </c>
      <c r="GV43">
        <v>0.142566</v>
      </c>
      <c r="GW43">
        <v>0.0923155</v>
      </c>
      <c r="GX43">
        <v>33432.4</v>
      </c>
      <c r="GY43">
        <v>35559</v>
      </c>
      <c r="GZ43">
        <v>33209.3</v>
      </c>
      <c r="HA43">
        <v>35342.3</v>
      </c>
      <c r="HB43">
        <v>40486.9</v>
      </c>
      <c r="HC43">
        <v>46125.4</v>
      </c>
      <c r="HD43">
        <v>51993.7</v>
      </c>
      <c r="HE43">
        <v>56550.4</v>
      </c>
      <c r="HF43">
        <v>1.78625</v>
      </c>
      <c r="HG43">
        <v>2.12483</v>
      </c>
      <c r="HH43">
        <v>0.0868812</v>
      </c>
      <c r="HI43">
        <v>0</v>
      </c>
      <c r="HJ43">
        <v>46.5363</v>
      </c>
      <c r="HK43">
        <v>999.9</v>
      </c>
      <c r="HL43">
        <v>55.555</v>
      </c>
      <c r="HM43">
        <v>27.855</v>
      </c>
      <c r="HN43">
        <v>23.0386</v>
      </c>
      <c r="HO43">
        <v>59.5545</v>
      </c>
      <c r="HP43">
        <v>33.9463</v>
      </c>
      <c r="HQ43">
        <v>2</v>
      </c>
      <c r="HR43">
        <v>1.36902</v>
      </c>
      <c r="HS43">
        <v>-6.33705</v>
      </c>
      <c r="HT43">
        <v>20.0414</v>
      </c>
      <c r="HU43">
        <v>5.19333</v>
      </c>
      <c r="HV43">
        <v>12.0099</v>
      </c>
      <c r="HW43">
        <v>4.97185</v>
      </c>
      <c r="HX43">
        <v>3.295</v>
      </c>
      <c r="HY43">
        <v>9999</v>
      </c>
      <c r="HZ43">
        <v>9999</v>
      </c>
      <c r="IA43">
        <v>9999</v>
      </c>
      <c r="IB43">
        <v>999.9</v>
      </c>
      <c r="IC43">
        <v>1.86322</v>
      </c>
      <c r="ID43">
        <v>1.86813</v>
      </c>
      <c r="IE43">
        <v>1.86783</v>
      </c>
      <c r="IF43">
        <v>1.86904</v>
      </c>
      <c r="IG43">
        <v>1.86984</v>
      </c>
      <c r="IH43">
        <v>1.86586</v>
      </c>
      <c r="II43">
        <v>1.867</v>
      </c>
      <c r="IJ43">
        <v>1.86843</v>
      </c>
      <c r="IK43">
        <v>5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3.017</v>
      </c>
      <c r="IY43">
        <v>0.2242</v>
      </c>
      <c r="IZ43">
        <v>1.07199260846131</v>
      </c>
      <c r="JA43">
        <v>0.00518756196715005</v>
      </c>
      <c r="JB43">
        <v>-1.52380604235834e-06</v>
      </c>
      <c r="JC43">
        <v>4.55768161354542e-10</v>
      </c>
      <c r="JD43">
        <v>0.224209222432812</v>
      </c>
      <c r="JE43">
        <v>0</v>
      </c>
      <c r="JF43">
        <v>0</v>
      </c>
      <c r="JG43">
        <v>0</v>
      </c>
      <c r="JH43">
        <v>4</v>
      </c>
      <c r="JI43">
        <v>2301</v>
      </c>
      <c r="JJ43">
        <v>0</v>
      </c>
      <c r="JK43">
        <v>23</v>
      </c>
      <c r="JL43">
        <v>29369948.8</v>
      </c>
      <c r="JM43">
        <v>29369948.8</v>
      </c>
      <c r="JN43">
        <v>1.22437</v>
      </c>
      <c r="JO43">
        <v>2.61841</v>
      </c>
      <c r="JP43">
        <v>2.19849</v>
      </c>
      <c r="JQ43">
        <v>2.6416</v>
      </c>
      <c r="JR43">
        <v>2.44507</v>
      </c>
      <c r="JS43">
        <v>2.33521</v>
      </c>
      <c r="JT43">
        <v>32.5318</v>
      </c>
      <c r="JU43">
        <v>24.1663</v>
      </c>
      <c r="JV43">
        <v>18</v>
      </c>
      <c r="JW43">
        <v>504.791</v>
      </c>
      <c r="JX43">
        <v>780.593</v>
      </c>
      <c r="JY43">
        <v>62.2218</v>
      </c>
      <c r="JZ43">
        <v>43.4566</v>
      </c>
      <c r="KA43">
        <v>30.0001</v>
      </c>
      <c r="KB43">
        <v>43.0667</v>
      </c>
      <c r="KC43">
        <v>42.8794</v>
      </c>
      <c r="KD43">
        <v>24.5312</v>
      </c>
      <c r="KE43">
        <v>0</v>
      </c>
      <c r="KF43">
        <v>100</v>
      </c>
      <c r="KG43">
        <v>62.2574</v>
      </c>
      <c r="KH43">
        <v>420</v>
      </c>
      <c r="KI43">
        <v>53.1821</v>
      </c>
      <c r="KJ43">
        <v>94.3806</v>
      </c>
      <c r="KK43">
        <v>91.5831</v>
      </c>
    </row>
    <row r="44" spans="1:297">
      <c r="A44">
        <v>28</v>
      </c>
      <c r="B44">
        <v>1762197491</v>
      </c>
      <c r="C44">
        <v>7495.90000009537</v>
      </c>
      <c r="D44" t="s">
        <v>532</v>
      </c>
      <c r="E44" t="s">
        <v>533</v>
      </c>
      <c r="F44">
        <v>5</v>
      </c>
      <c r="G44" t="s">
        <v>534</v>
      </c>
      <c r="H44" t="s">
        <v>436</v>
      </c>
      <c r="I44">
        <v>1762197482.5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429.196429996713</v>
      </c>
      <c r="AK44">
        <v>441.248690909091</v>
      </c>
      <c r="AL44">
        <v>-6.5612903921157e-05</v>
      </c>
      <c r="AM44">
        <v>63.9541654895037</v>
      </c>
      <c r="AN44">
        <f>(AP44 - AO44 + DY44*1E3/(8.314*(EA44+273.15)) * AR44/DX44 * AQ44) * DX44/(100*DL44) * 1000/(1000 - AP44)</f>
        <v>0</v>
      </c>
      <c r="AO44">
        <v>21.3980612276106</v>
      </c>
      <c r="AP44">
        <v>32.9702</v>
      </c>
      <c r="AQ44">
        <v>0.012885407724013</v>
      </c>
      <c r="AR44">
        <v>99.1885224244004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535</v>
      </c>
      <c r="AY44">
        <v>5083.95</v>
      </c>
      <c r="AZ44">
        <v>1146.32692307692</v>
      </c>
      <c r="BA44">
        <v>1784.08</v>
      </c>
      <c r="BB44">
        <f>1-AZ44/BA44</f>
        <v>0</v>
      </c>
      <c r="BC44">
        <v>-9.82871991402897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1762197482.5</v>
      </c>
      <c r="DR44">
        <v>426.7426875</v>
      </c>
      <c r="DS44">
        <v>419.996625</v>
      </c>
      <c r="DT44">
        <v>32.88140625</v>
      </c>
      <c r="DU44">
        <v>21.396875</v>
      </c>
      <c r="DV44">
        <v>423.7115625</v>
      </c>
      <c r="DW44">
        <v>32.6572</v>
      </c>
      <c r="DX44">
        <v>500.0153125</v>
      </c>
      <c r="DY44">
        <v>90.7133</v>
      </c>
      <c r="DZ44">
        <v>0.09997624375</v>
      </c>
      <c r="EA44">
        <v>49.77035625</v>
      </c>
      <c r="EB44">
        <v>47.9411125</v>
      </c>
      <c r="EC44">
        <v>999.9</v>
      </c>
      <c r="ED44">
        <v>0</v>
      </c>
      <c r="EE44">
        <v>0</v>
      </c>
      <c r="EF44">
        <v>10003.3625</v>
      </c>
      <c r="EG44">
        <v>0</v>
      </c>
      <c r="EH44">
        <v>0.27582</v>
      </c>
      <c r="EI44">
        <v>6.74602375</v>
      </c>
      <c r="EJ44">
        <v>441.2515625</v>
      </c>
      <c r="EK44">
        <v>429.179625</v>
      </c>
      <c r="EL44">
        <v>11.48453125</v>
      </c>
      <c r="EM44">
        <v>419.996625</v>
      </c>
      <c r="EN44">
        <v>21.396875</v>
      </c>
      <c r="EO44">
        <v>2.98278125</v>
      </c>
      <c r="EP44">
        <v>1.94098</v>
      </c>
      <c r="EQ44">
        <v>23.9320625</v>
      </c>
      <c r="ER44">
        <v>16.970925</v>
      </c>
      <c r="ES44">
        <v>0.00500059</v>
      </c>
      <c r="ET44">
        <v>0</v>
      </c>
      <c r="EU44">
        <v>0</v>
      </c>
      <c r="EV44">
        <v>0</v>
      </c>
      <c r="EW44">
        <v>1145.7625</v>
      </c>
      <c r="EX44">
        <v>0.00500059</v>
      </c>
      <c r="EY44">
        <v>67.20625</v>
      </c>
      <c r="EZ44">
        <v>1.53125</v>
      </c>
      <c r="FA44">
        <v>47.6210625</v>
      </c>
      <c r="FB44">
        <v>49.906</v>
      </c>
      <c r="FC44">
        <v>48.437</v>
      </c>
      <c r="FD44">
        <v>50.125</v>
      </c>
      <c r="FE44">
        <v>50.210625</v>
      </c>
      <c r="FF44">
        <v>0</v>
      </c>
      <c r="FG44">
        <v>0</v>
      </c>
      <c r="FH44">
        <v>0</v>
      </c>
      <c r="FI44">
        <v>561</v>
      </c>
      <c r="FJ44">
        <v>0</v>
      </c>
      <c r="FK44">
        <v>1146.32692307692</v>
      </c>
      <c r="FL44">
        <v>1.12478633314515</v>
      </c>
      <c r="FM44">
        <v>7.44615356074157</v>
      </c>
      <c r="FN44">
        <v>67.9692307692308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6.76360238095238</v>
      </c>
      <c r="GD44">
        <v>-0.405243896103886</v>
      </c>
      <c r="GE44">
        <v>0.0488316396167936</v>
      </c>
      <c r="GF44">
        <v>1</v>
      </c>
      <c r="GG44">
        <v>1144.95</v>
      </c>
      <c r="GH44">
        <v>14.6967150168548</v>
      </c>
      <c r="GI44">
        <v>6.01895290874143</v>
      </c>
      <c r="GJ44">
        <v>-1</v>
      </c>
      <c r="GK44">
        <v>11.4447571428571</v>
      </c>
      <c r="GL44">
        <v>0.676192207792225</v>
      </c>
      <c r="GM44">
        <v>0.0682644268472909</v>
      </c>
      <c r="GN44">
        <v>0</v>
      </c>
      <c r="GO44">
        <v>1</v>
      </c>
      <c r="GP44">
        <v>2</v>
      </c>
      <c r="GQ44" t="s">
        <v>441</v>
      </c>
      <c r="GR44">
        <v>3.12835</v>
      </c>
      <c r="GS44">
        <v>2.77812</v>
      </c>
      <c r="GT44">
        <v>0.0873532</v>
      </c>
      <c r="GU44">
        <v>0.0868448</v>
      </c>
      <c r="GV44">
        <v>0.125737</v>
      </c>
      <c r="GW44">
        <v>0.0925096</v>
      </c>
      <c r="GX44">
        <v>33391.7</v>
      </c>
      <c r="GY44">
        <v>35526.5</v>
      </c>
      <c r="GZ44">
        <v>33184.3</v>
      </c>
      <c r="HA44">
        <v>35308.2</v>
      </c>
      <c r="HB44">
        <v>41228.5</v>
      </c>
      <c r="HC44">
        <v>46075.5</v>
      </c>
      <c r="HD44">
        <v>51961.5</v>
      </c>
      <c r="HE44">
        <v>56500.7</v>
      </c>
      <c r="HF44">
        <v>1.77005</v>
      </c>
      <c r="HG44">
        <v>2.11885</v>
      </c>
      <c r="HH44">
        <v>0.160184</v>
      </c>
      <c r="HI44">
        <v>0</v>
      </c>
      <c r="HJ44">
        <v>45.4124</v>
      </c>
      <c r="HK44">
        <v>999.9</v>
      </c>
      <c r="HL44">
        <v>55.488</v>
      </c>
      <c r="HM44">
        <v>27.976</v>
      </c>
      <c r="HN44">
        <v>23.1798</v>
      </c>
      <c r="HO44">
        <v>59.5946</v>
      </c>
      <c r="HP44">
        <v>33.8141</v>
      </c>
      <c r="HQ44">
        <v>2</v>
      </c>
      <c r="HR44">
        <v>1.39736</v>
      </c>
      <c r="HS44">
        <v>-5.06621</v>
      </c>
      <c r="HT44">
        <v>20.0762</v>
      </c>
      <c r="HU44">
        <v>5.19183</v>
      </c>
      <c r="HV44">
        <v>12.0101</v>
      </c>
      <c r="HW44">
        <v>4.9729</v>
      </c>
      <c r="HX44">
        <v>3.295</v>
      </c>
      <c r="HY44">
        <v>9999</v>
      </c>
      <c r="HZ44">
        <v>9999</v>
      </c>
      <c r="IA44">
        <v>9999</v>
      </c>
      <c r="IB44">
        <v>999.9</v>
      </c>
      <c r="IC44">
        <v>1.86321</v>
      </c>
      <c r="ID44">
        <v>1.86813</v>
      </c>
      <c r="IE44">
        <v>1.86784</v>
      </c>
      <c r="IF44">
        <v>1.86904</v>
      </c>
      <c r="IG44">
        <v>1.86983</v>
      </c>
      <c r="IH44">
        <v>1.86586</v>
      </c>
      <c r="II44">
        <v>1.86699</v>
      </c>
      <c r="IJ44">
        <v>1.86843</v>
      </c>
      <c r="IK44">
        <v>5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3.031</v>
      </c>
      <c r="IY44">
        <v>0.2242</v>
      </c>
      <c r="IZ44">
        <v>1.07199260846131</v>
      </c>
      <c r="JA44">
        <v>0.00518756196715005</v>
      </c>
      <c r="JB44">
        <v>-1.52380604235834e-06</v>
      </c>
      <c r="JC44">
        <v>4.55768161354542e-10</v>
      </c>
      <c r="JD44">
        <v>0.224209222432812</v>
      </c>
      <c r="JE44">
        <v>0</v>
      </c>
      <c r="JF44">
        <v>0</v>
      </c>
      <c r="JG44">
        <v>0</v>
      </c>
      <c r="JH44">
        <v>4</v>
      </c>
      <c r="JI44">
        <v>2301</v>
      </c>
      <c r="JJ44">
        <v>0</v>
      </c>
      <c r="JK44">
        <v>23</v>
      </c>
      <c r="JL44">
        <v>29369958.2</v>
      </c>
      <c r="JM44">
        <v>29369958.2</v>
      </c>
      <c r="JN44">
        <v>1.22314</v>
      </c>
      <c r="JO44">
        <v>2.62085</v>
      </c>
      <c r="JP44">
        <v>2.19849</v>
      </c>
      <c r="JQ44">
        <v>2.6416</v>
      </c>
      <c r="JR44">
        <v>2.44629</v>
      </c>
      <c r="JS44">
        <v>2.29614</v>
      </c>
      <c r="JT44">
        <v>32.5982</v>
      </c>
      <c r="JU44">
        <v>24.1838</v>
      </c>
      <c r="JV44">
        <v>18</v>
      </c>
      <c r="JW44">
        <v>495.689</v>
      </c>
      <c r="JX44">
        <v>778.59</v>
      </c>
      <c r="JY44">
        <v>57.5352</v>
      </c>
      <c r="JZ44">
        <v>43.8331</v>
      </c>
      <c r="KA44">
        <v>29.9999</v>
      </c>
      <c r="KB44">
        <v>43.425</v>
      </c>
      <c r="KC44">
        <v>43.2329</v>
      </c>
      <c r="KD44">
        <v>24.5051</v>
      </c>
      <c r="KE44">
        <v>0</v>
      </c>
      <c r="KF44">
        <v>100</v>
      </c>
      <c r="KG44">
        <v>57.5422</v>
      </c>
      <c r="KH44">
        <v>420</v>
      </c>
      <c r="KI44">
        <v>53.1821</v>
      </c>
      <c r="KJ44">
        <v>94.3172</v>
      </c>
      <c r="KK44">
        <v>91.4996</v>
      </c>
    </row>
    <row r="45" spans="1:297">
      <c r="A45">
        <v>29</v>
      </c>
      <c r="B45">
        <v>1762197676</v>
      </c>
      <c r="C45">
        <v>7680.90000009537</v>
      </c>
      <c r="D45" t="s">
        <v>536</v>
      </c>
      <c r="E45" t="s">
        <v>537</v>
      </c>
      <c r="F45">
        <v>5</v>
      </c>
      <c r="G45" t="s">
        <v>534</v>
      </c>
      <c r="H45" t="s">
        <v>436</v>
      </c>
      <c r="I45">
        <v>1762197668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429.411245039034</v>
      </c>
      <c r="AK45">
        <v>440.958357575758</v>
      </c>
      <c r="AL45">
        <v>0.0317634495016545</v>
      </c>
      <c r="AM45">
        <v>63.9541654895037</v>
      </c>
      <c r="AN45">
        <f>(AP45 - AO45 + DY45*1E3/(8.314*(EA45+273.15)) * AR45/DX45 * AQ45) * DX45/(100*DL45) * 1000/(1000 - AP45)</f>
        <v>0</v>
      </c>
      <c r="AO45">
        <v>21.4204953508959</v>
      </c>
      <c r="AP45">
        <v>34.7896860606061</v>
      </c>
      <c r="AQ45">
        <v>0.00860307123203093</v>
      </c>
      <c r="AR45">
        <v>99.1885224244004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538</v>
      </c>
      <c r="AY45">
        <v>5083.52</v>
      </c>
      <c r="AZ45">
        <v>1189.65</v>
      </c>
      <c r="BA45">
        <v>1758.85</v>
      </c>
      <c r="BB45">
        <f>1-AZ45/BA45</f>
        <v>0</v>
      </c>
      <c r="BC45">
        <v>-9.52808238777511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1762197668</v>
      </c>
      <c r="DR45">
        <v>425.528666666667</v>
      </c>
      <c r="DS45">
        <v>420.040333333333</v>
      </c>
      <c r="DT45">
        <v>34.7297066666667</v>
      </c>
      <c r="DU45">
        <v>21.4194733333333</v>
      </c>
      <c r="DV45">
        <v>422.502466666667</v>
      </c>
      <c r="DW45">
        <v>34.5054933333333</v>
      </c>
      <c r="DX45">
        <v>499.989266666667</v>
      </c>
      <c r="DY45">
        <v>90.7030066666667</v>
      </c>
      <c r="DZ45">
        <v>0.0999782533333333</v>
      </c>
      <c r="EA45">
        <v>50.1497066666667</v>
      </c>
      <c r="EB45">
        <v>47.9951266666667</v>
      </c>
      <c r="EC45">
        <v>999.9</v>
      </c>
      <c r="ED45">
        <v>0</v>
      </c>
      <c r="EE45">
        <v>0</v>
      </c>
      <c r="EF45">
        <v>10002.4046666667</v>
      </c>
      <c r="EG45">
        <v>0</v>
      </c>
      <c r="EH45">
        <v>0.27582</v>
      </c>
      <c r="EI45">
        <v>5.48830333333333</v>
      </c>
      <c r="EJ45">
        <v>440.838733333333</v>
      </c>
      <c r="EK45">
        <v>429.234266666667</v>
      </c>
      <c r="EL45">
        <v>13.3102266666667</v>
      </c>
      <c r="EM45">
        <v>420.040333333333</v>
      </c>
      <c r="EN45">
        <v>21.4194733333333</v>
      </c>
      <c r="EO45">
        <v>3.15008866666667</v>
      </c>
      <c r="EP45">
        <v>1.94281066666667</v>
      </c>
      <c r="EQ45">
        <v>24.8432666666667</v>
      </c>
      <c r="ER45">
        <v>16.9858</v>
      </c>
      <c r="ES45">
        <v>0.00500059</v>
      </c>
      <c r="ET45">
        <v>0</v>
      </c>
      <c r="EU45">
        <v>0</v>
      </c>
      <c r="EV45">
        <v>0</v>
      </c>
      <c r="EW45">
        <v>1188.26</v>
      </c>
      <c r="EX45">
        <v>0.00500059</v>
      </c>
      <c r="EY45">
        <v>67.2333333333333</v>
      </c>
      <c r="EZ45">
        <v>1.82</v>
      </c>
      <c r="FA45">
        <v>47.5662</v>
      </c>
      <c r="FB45">
        <v>49.875</v>
      </c>
      <c r="FC45">
        <v>48.437</v>
      </c>
      <c r="FD45">
        <v>50.104</v>
      </c>
      <c r="FE45">
        <v>50.2416</v>
      </c>
      <c r="FF45">
        <v>0</v>
      </c>
      <c r="FG45">
        <v>0</v>
      </c>
      <c r="FH45">
        <v>0</v>
      </c>
      <c r="FI45">
        <v>183.200000047684</v>
      </c>
      <c r="FJ45">
        <v>0</v>
      </c>
      <c r="FK45">
        <v>1189.65</v>
      </c>
      <c r="FL45">
        <v>-13.473504624098</v>
      </c>
      <c r="FM45">
        <v>24.2871797727734</v>
      </c>
      <c r="FN45">
        <v>68.3153846153846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5.5190080952381</v>
      </c>
      <c r="GD45">
        <v>-0.801063116883101</v>
      </c>
      <c r="GE45">
        <v>0.124120146579224</v>
      </c>
      <c r="GF45">
        <v>0</v>
      </c>
      <c r="GG45">
        <v>1188.95588235294</v>
      </c>
      <c r="GH45">
        <v>-0.909090939231729</v>
      </c>
      <c r="GI45">
        <v>5.97835267377575</v>
      </c>
      <c r="GJ45">
        <v>-1</v>
      </c>
      <c r="GK45">
        <v>13.2844523809524</v>
      </c>
      <c r="GL45">
        <v>0.511815584415599</v>
      </c>
      <c r="GM45">
        <v>0.0516648505276592</v>
      </c>
      <c r="GN45">
        <v>0</v>
      </c>
      <c r="GO45">
        <v>0</v>
      </c>
      <c r="GP45">
        <v>2</v>
      </c>
      <c r="GQ45" t="s">
        <v>486</v>
      </c>
      <c r="GR45">
        <v>3.12831</v>
      </c>
      <c r="GS45">
        <v>2.77799</v>
      </c>
      <c r="GT45">
        <v>0.0871872</v>
      </c>
      <c r="GU45">
        <v>0.0868387</v>
      </c>
      <c r="GV45">
        <v>0.130545</v>
      </c>
      <c r="GW45">
        <v>0.0925676</v>
      </c>
      <c r="GX45">
        <v>33402.4</v>
      </c>
      <c r="GY45">
        <v>35532.7</v>
      </c>
      <c r="GZ45">
        <v>33188.5</v>
      </c>
      <c r="HA45">
        <v>35313.8</v>
      </c>
      <c r="HB45">
        <v>41014</v>
      </c>
      <c r="HC45">
        <v>46079.4</v>
      </c>
      <c r="HD45">
        <v>51966.8</v>
      </c>
      <c r="HE45">
        <v>56509.1</v>
      </c>
      <c r="HF45">
        <v>1.77188</v>
      </c>
      <c r="HG45">
        <v>2.11978</v>
      </c>
      <c r="HH45">
        <v>0.154</v>
      </c>
      <c r="HI45">
        <v>0</v>
      </c>
      <c r="HJ45">
        <v>45.5601</v>
      </c>
      <c r="HK45">
        <v>999.9</v>
      </c>
      <c r="HL45">
        <v>55.463</v>
      </c>
      <c r="HM45">
        <v>27.996</v>
      </c>
      <c r="HN45">
        <v>23.1991</v>
      </c>
      <c r="HO45">
        <v>59.4246</v>
      </c>
      <c r="HP45">
        <v>33.8702</v>
      </c>
      <c r="HQ45">
        <v>2</v>
      </c>
      <c r="HR45">
        <v>1.39095</v>
      </c>
      <c r="HS45">
        <v>-4.96302</v>
      </c>
      <c r="HT45">
        <v>20.0795</v>
      </c>
      <c r="HU45">
        <v>5.19258</v>
      </c>
      <c r="HV45">
        <v>12.0099</v>
      </c>
      <c r="HW45">
        <v>4.97295</v>
      </c>
      <c r="HX45">
        <v>3.295</v>
      </c>
      <c r="HY45">
        <v>9999</v>
      </c>
      <c r="HZ45">
        <v>9999</v>
      </c>
      <c r="IA45">
        <v>9999</v>
      </c>
      <c r="IB45">
        <v>999.9</v>
      </c>
      <c r="IC45">
        <v>1.86318</v>
      </c>
      <c r="ID45">
        <v>1.86813</v>
      </c>
      <c r="IE45">
        <v>1.86784</v>
      </c>
      <c r="IF45">
        <v>1.86905</v>
      </c>
      <c r="IG45">
        <v>1.86983</v>
      </c>
      <c r="IH45">
        <v>1.86589</v>
      </c>
      <c r="II45">
        <v>1.86705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3.027</v>
      </c>
      <c r="IY45">
        <v>0.2242</v>
      </c>
      <c r="IZ45">
        <v>1.07199260846131</v>
      </c>
      <c r="JA45">
        <v>0.00518756196715005</v>
      </c>
      <c r="JB45">
        <v>-1.52380604235834e-06</v>
      </c>
      <c r="JC45">
        <v>4.55768161354542e-10</v>
      </c>
      <c r="JD45">
        <v>0.224209222432812</v>
      </c>
      <c r="JE45">
        <v>0</v>
      </c>
      <c r="JF45">
        <v>0</v>
      </c>
      <c r="JG45">
        <v>0</v>
      </c>
      <c r="JH45">
        <v>4</v>
      </c>
      <c r="JI45">
        <v>2301</v>
      </c>
      <c r="JJ45">
        <v>0</v>
      </c>
      <c r="JK45">
        <v>23</v>
      </c>
      <c r="JL45">
        <v>29369961.3</v>
      </c>
      <c r="JM45">
        <v>29369961.3</v>
      </c>
      <c r="JN45">
        <v>1.22192</v>
      </c>
      <c r="JO45">
        <v>2.6123</v>
      </c>
      <c r="JP45">
        <v>2.19849</v>
      </c>
      <c r="JQ45">
        <v>2.6416</v>
      </c>
      <c r="JR45">
        <v>2.44507</v>
      </c>
      <c r="JS45">
        <v>2.38647</v>
      </c>
      <c r="JT45">
        <v>32.5982</v>
      </c>
      <c r="JU45">
        <v>24.1838</v>
      </c>
      <c r="JV45">
        <v>18</v>
      </c>
      <c r="JW45">
        <v>496.89</v>
      </c>
      <c r="JX45">
        <v>779.405</v>
      </c>
      <c r="JY45">
        <v>57.9711</v>
      </c>
      <c r="JZ45">
        <v>43.773</v>
      </c>
      <c r="KA45">
        <v>30</v>
      </c>
      <c r="KB45">
        <v>43.4114</v>
      </c>
      <c r="KC45">
        <v>43.224</v>
      </c>
      <c r="KD45">
        <v>24.4819</v>
      </c>
      <c r="KE45">
        <v>0</v>
      </c>
      <c r="KF45">
        <v>100</v>
      </c>
      <c r="KG45">
        <v>57.9667</v>
      </c>
      <c r="KH45">
        <v>420</v>
      </c>
      <c r="KI45">
        <v>53.1821</v>
      </c>
      <c r="KJ45">
        <v>94.3278</v>
      </c>
      <c r="KK45">
        <v>91.5136</v>
      </c>
    </row>
    <row r="46" spans="1:297">
      <c r="A46">
        <v>30</v>
      </c>
      <c r="B46">
        <v>1762197772</v>
      </c>
      <c r="C46">
        <v>7776.90000009537</v>
      </c>
      <c r="D46" t="s">
        <v>539</v>
      </c>
      <c r="E46" t="s">
        <v>540</v>
      </c>
      <c r="F46">
        <v>5</v>
      </c>
      <c r="G46" t="s">
        <v>534</v>
      </c>
      <c r="H46" t="s">
        <v>436</v>
      </c>
      <c r="I46">
        <v>1762197763.5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429.241753480219</v>
      </c>
      <c r="AK46">
        <v>440.708357575757</v>
      </c>
      <c r="AL46">
        <v>0.000555745950270721</v>
      </c>
      <c r="AM46">
        <v>63.9541654895037</v>
      </c>
      <c r="AN46">
        <f>(AP46 - AO46 + DY46*1E3/(8.314*(EA46+273.15)) * AR46/DX46 * AQ46) * DX46/(100*DL46) * 1000/(1000 - AP46)</f>
        <v>0</v>
      </c>
      <c r="AO46">
        <v>21.4224743528005</v>
      </c>
      <c r="AP46">
        <v>35.5580557575758</v>
      </c>
      <c r="AQ46">
        <v>0.00586624212861347</v>
      </c>
      <c r="AR46">
        <v>99.1885224244004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541</v>
      </c>
      <c r="AY46">
        <v>5083.25</v>
      </c>
      <c r="AZ46">
        <v>1213.192</v>
      </c>
      <c r="BA46">
        <v>1734.56</v>
      </c>
      <c r="BB46">
        <f>1-AZ46/BA46</f>
        <v>0</v>
      </c>
      <c r="BC46">
        <v>-9.35236277962045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1762197763.5</v>
      </c>
      <c r="DR46">
        <v>425.05725</v>
      </c>
      <c r="DS46">
        <v>420.0153125</v>
      </c>
      <c r="DT46">
        <v>35.501525</v>
      </c>
      <c r="DU46">
        <v>21.4217</v>
      </c>
      <c r="DV46">
        <v>422.0329375</v>
      </c>
      <c r="DW46">
        <v>35.2773125</v>
      </c>
      <c r="DX46">
        <v>499.9785625</v>
      </c>
      <c r="DY46">
        <v>90.70389375</v>
      </c>
      <c r="DZ46">
        <v>0.09999889375</v>
      </c>
      <c r="EA46">
        <v>50.2705</v>
      </c>
      <c r="EB46">
        <v>47.9710125</v>
      </c>
      <c r="EC46">
        <v>999.9</v>
      </c>
      <c r="ED46">
        <v>0</v>
      </c>
      <c r="EE46">
        <v>0</v>
      </c>
      <c r="EF46">
        <v>9996.720625</v>
      </c>
      <c r="EG46">
        <v>0</v>
      </c>
      <c r="EH46">
        <v>0.27582</v>
      </c>
      <c r="EI46">
        <v>5.041893125</v>
      </c>
      <c r="EJ46">
        <v>440.702875</v>
      </c>
      <c r="EK46">
        <v>429.2096875</v>
      </c>
      <c r="EL46">
        <v>14.079825</v>
      </c>
      <c r="EM46">
        <v>420.0153125</v>
      </c>
      <c r="EN46">
        <v>21.4217</v>
      </c>
      <c r="EO46">
        <v>3.220126875</v>
      </c>
      <c r="EP46">
        <v>1.9430325</v>
      </c>
      <c r="EQ46">
        <v>25.21219375</v>
      </c>
      <c r="ER46">
        <v>16.98759375</v>
      </c>
      <c r="ES46">
        <v>0.00500059</v>
      </c>
      <c r="ET46">
        <v>0</v>
      </c>
      <c r="EU46">
        <v>0</v>
      </c>
      <c r="EV46">
        <v>0</v>
      </c>
      <c r="EW46">
        <v>1212.36875</v>
      </c>
      <c r="EX46">
        <v>0.00500059</v>
      </c>
      <c r="EY46">
        <v>68.38125</v>
      </c>
      <c r="EZ46">
        <v>1.65</v>
      </c>
      <c r="FA46">
        <v>47.617125</v>
      </c>
      <c r="FB46">
        <v>49.867125</v>
      </c>
      <c r="FC46">
        <v>48.437</v>
      </c>
      <c r="FD46">
        <v>50.0659375</v>
      </c>
      <c r="FE46">
        <v>50.25</v>
      </c>
      <c r="FF46">
        <v>0</v>
      </c>
      <c r="FG46">
        <v>0</v>
      </c>
      <c r="FH46">
        <v>0</v>
      </c>
      <c r="FI46">
        <v>94</v>
      </c>
      <c r="FJ46">
        <v>0</v>
      </c>
      <c r="FK46">
        <v>1213.192</v>
      </c>
      <c r="FL46">
        <v>24.3692306250446</v>
      </c>
      <c r="FM46">
        <v>-43.2307686682522</v>
      </c>
      <c r="FN46">
        <v>68.044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5.06327476190476</v>
      </c>
      <c r="GD46">
        <v>-0.461316623376624</v>
      </c>
      <c r="GE46">
        <v>0.0550597609199527</v>
      </c>
      <c r="GF46">
        <v>1</v>
      </c>
      <c r="GG46">
        <v>1212.45294117647</v>
      </c>
      <c r="GH46">
        <v>15.3002290548177</v>
      </c>
      <c r="GI46">
        <v>5.82283715433907</v>
      </c>
      <c r="GJ46">
        <v>-1</v>
      </c>
      <c r="GK46">
        <v>14.0623380952381</v>
      </c>
      <c r="GL46">
        <v>0.447249350649359</v>
      </c>
      <c r="GM46">
        <v>0.0453573795769351</v>
      </c>
      <c r="GN46">
        <v>0</v>
      </c>
      <c r="GO46">
        <v>1</v>
      </c>
      <c r="GP46">
        <v>2</v>
      </c>
      <c r="GQ46" t="s">
        <v>441</v>
      </c>
      <c r="GR46">
        <v>3.1284</v>
      </c>
      <c r="GS46">
        <v>2.77801</v>
      </c>
      <c r="GT46">
        <v>0.0871071</v>
      </c>
      <c r="GU46">
        <v>0.0868454</v>
      </c>
      <c r="GV46">
        <v>0.132545</v>
      </c>
      <c r="GW46">
        <v>0.0925787</v>
      </c>
      <c r="GX46">
        <v>33407.8</v>
      </c>
      <c r="GY46">
        <v>35536.1</v>
      </c>
      <c r="GZ46">
        <v>33190.8</v>
      </c>
      <c r="HA46">
        <v>35317.3</v>
      </c>
      <c r="HB46">
        <v>40925.2</v>
      </c>
      <c r="HC46">
        <v>46083.1</v>
      </c>
      <c r="HD46">
        <v>51969.8</v>
      </c>
      <c r="HE46">
        <v>56514.3</v>
      </c>
      <c r="HF46">
        <v>1.77293</v>
      </c>
      <c r="HG46">
        <v>2.1202</v>
      </c>
      <c r="HH46">
        <v>0.146985</v>
      </c>
      <c r="HI46">
        <v>0</v>
      </c>
      <c r="HJ46">
        <v>45.6429</v>
      </c>
      <c r="HK46">
        <v>999.9</v>
      </c>
      <c r="HL46">
        <v>55.439</v>
      </c>
      <c r="HM46">
        <v>27.996</v>
      </c>
      <c r="HN46">
        <v>23.1895</v>
      </c>
      <c r="HO46">
        <v>59.6346</v>
      </c>
      <c r="HP46">
        <v>33.8502</v>
      </c>
      <c r="HQ46">
        <v>2</v>
      </c>
      <c r="HR46">
        <v>1.38786</v>
      </c>
      <c r="HS46">
        <v>-5.05367</v>
      </c>
      <c r="HT46">
        <v>20.077</v>
      </c>
      <c r="HU46">
        <v>5.19243</v>
      </c>
      <c r="HV46">
        <v>12.0104</v>
      </c>
      <c r="HW46">
        <v>4.973</v>
      </c>
      <c r="HX46">
        <v>3.295</v>
      </c>
      <c r="HY46">
        <v>9999</v>
      </c>
      <c r="HZ46">
        <v>9999</v>
      </c>
      <c r="IA46">
        <v>9999</v>
      </c>
      <c r="IB46">
        <v>999.9</v>
      </c>
      <c r="IC46">
        <v>1.86323</v>
      </c>
      <c r="ID46">
        <v>1.86813</v>
      </c>
      <c r="IE46">
        <v>1.86786</v>
      </c>
      <c r="IF46">
        <v>1.86905</v>
      </c>
      <c r="IG46">
        <v>1.86983</v>
      </c>
      <c r="IH46">
        <v>1.86585</v>
      </c>
      <c r="II46">
        <v>1.86699</v>
      </c>
      <c r="IJ46">
        <v>1.86843</v>
      </c>
      <c r="IK46">
        <v>5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3.024</v>
      </c>
      <c r="IY46">
        <v>0.2242</v>
      </c>
      <c r="IZ46">
        <v>1.07199260846131</v>
      </c>
      <c r="JA46">
        <v>0.00518756196715005</v>
      </c>
      <c r="JB46">
        <v>-1.52380604235834e-06</v>
      </c>
      <c r="JC46">
        <v>4.55768161354542e-10</v>
      </c>
      <c r="JD46">
        <v>0.224209222432812</v>
      </c>
      <c r="JE46">
        <v>0</v>
      </c>
      <c r="JF46">
        <v>0</v>
      </c>
      <c r="JG46">
        <v>0</v>
      </c>
      <c r="JH46">
        <v>4</v>
      </c>
      <c r="JI46">
        <v>2301</v>
      </c>
      <c r="JJ46">
        <v>0</v>
      </c>
      <c r="JK46">
        <v>23</v>
      </c>
      <c r="JL46">
        <v>29369962.9</v>
      </c>
      <c r="JM46">
        <v>29369962.9</v>
      </c>
      <c r="JN46">
        <v>1.22192</v>
      </c>
      <c r="JO46">
        <v>2.61841</v>
      </c>
      <c r="JP46">
        <v>2.19849</v>
      </c>
      <c r="JQ46">
        <v>2.64038</v>
      </c>
      <c r="JR46">
        <v>2.44507</v>
      </c>
      <c r="JS46">
        <v>2.29492</v>
      </c>
      <c r="JT46">
        <v>32.5982</v>
      </c>
      <c r="JU46">
        <v>24.1751</v>
      </c>
      <c r="JV46">
        <v>18</v>
      </c>
      <c r="JW46">
        <v>497.453</v>
      </c>
      <c r="JX46">
        <v>779.58</v>
      </c>
      <c r="JY46">
        <v>58.0833</v>
      </c>
      <c r="JZ46">
        <v>43.7361</v>
      </c>
      <c r="KA46">
        <v>30</v>
      </c>
      <c r="KB46">
        <v>43.3844</v>
      </c>
      <c r="KC46">
        <v>43.2017</v>
      </c>
      <c r="KD46">
        <v>24.4776</v>
      </c>
      <c r="KE46">
        <v>0</v>
      </c>
      <c r="KF46">
        <v>100</v>
      </c>
      <c r="KG46">
        <v>58.1057</v>
      </c>
      <c r="KH46">
        <v>420</v>
      </c>
      <c r="KI46">
        <v>53.1821</v>
      </c>
      <c r="KJ46">
        <v>94.3336</v>
      </c>
      <c r="KK46">
        <v>91.5223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2025-11-02T13:23:14Z</dcterms:created>
  <dcterms:modified xsi:type="dcterms:W3CDTF">2025-11-02T13:23:14Z</dcterms:modified>
</cp:coreProperties>
</file>