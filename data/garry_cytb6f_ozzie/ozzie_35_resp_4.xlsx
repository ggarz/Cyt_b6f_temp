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<sst xmlns="http://schemas.openxmlformats.org/spreadsheetml/2006/main" count="1364" uniqueCount="514">
  <si>
    <t>File opened</t>
  </si>
  <si>
    <t>2025-10-26 11:21:02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</si>
  <si>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</si>
  <si>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</si>
  <si>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</si>
  <si>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</si>
  <si>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</si>
  <si>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</si>
  <si>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</si>
  <si>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</si>
  <si>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</si>
  <si>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</si>
  <si>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</si>
  <si>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{"co2bspan2": "-0.0354637", "co2aspan2": "-0.0352407", "oxygen": "21", "h2obspanconc1": "11.69", "h2oaspanconc2": "0", "h2obzero": "1.10982", "co2bspan1": "1.00051", "h2oaspan1": "1.01062", "flowazero": "0.29401", "co2bspan2b": "0.297586", "h2oazero": "1.10043", "h2obspan2b": "0.0654872", "h2oaspan2": "0", "co2aspanconc2": "301.4", "flowmeterzero": "2.49091", "h2oaspanconc1": "11.69", "ssb_ref": "50169", "co2bspan2a": "0.300636", "tazero": "0.20418", "co2aspan2a": "0.300986", "ssa_ref": "45138", "h2obspan2": "0", "h2oaspan2b": "0.0649319", "h2obspan2a": "0.0647193", "co2azero": "0.900515", "flowbzero": "0.28105", "co2bspanconc1": "2473", "co2aspan2b": "0.297984", "co2bspanconc2": "301.4", "h2oaspan2a": "0.0642495", "co2aspanconc1": "2473", "tbzero": "0.339216", "co2bzero": "0.901409", "h2obspan1": "1.01187", "chamberpressurezero": "2.62959", "co2aspan1": "1.00063", "h2obspanconc2": "0"}</t>
  </si>
  <si>
    <t>Factory cal date</t>
  </si>
  <si>
    <t>19 Oct 2023</t>
  </si>
  <si>
    <t>CO2 rangematch</t>
  </si>
  <si>
    <t>Sat Oct 25 10:23</t>
  </si>
  <si>
    <t>H2O rangematch</t>
  </si>
  <si>
    <t>Sat Oct 25 14:28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</si>
  <si>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</si>
  <si>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</si>
  <si>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</si>
  <si>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</si>
  <si>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</si>
  <si>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</si>
  <si>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</si>
  <si>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</si>
  <si>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</si>
  <si>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11:21:02</t>
  </si>
  <si>
    <t>Stability Definition:	ΔH2O (Meas2): Slp&lt;0.1 Per=20	ΔCO2 (Meas2): Slp&lt;0.5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</si>
  <si>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</si>
  <si>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</si>
  <si>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</si>
  <si>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</si>
  <si>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</si>
  <si>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</si>
  <si>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</si>
  <si>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</si>
  <si>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</si>
  <si>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</si>
  <si>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</si>
  <si>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</si>
  <si>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</si>
  <si>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</si>
  <si>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</si>
  <si>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</si>
  <si>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</si>
  <si>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</si>
  <si>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</si>
  <si>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</si>
  <si>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</si>
  <si>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</si>
  <si>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</si>
  <si>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</si>
  <si>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</si>
  <si>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</si>
  <si>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</si>
  <si>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</si>
  <si>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</si>
  <si>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</si>
  <si>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</si>
  <si>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</si>
  <si>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</si>
  <si>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</si>
  <si>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</si>
  <si>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</si>
  <si>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</si>
  <si>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</si>
  <si>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</si>
  <si>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</si>
  <si>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</si>
  <si>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</si>
  <si>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</si>
  <si>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</si>
  <si>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</si>
  <si>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</si>
  <si>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</si>
  <si>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</si>
  <si>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</si>
  <si>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</si>
  <si>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</si>
  <si>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3.53202 182.657 349.892 635.027 873.527 1086.51 1252.3 1397.12</t>
  </si>
  <si>
    <t>Fs_true</t>
  </si>
  <si>
    <t>-0.672301 212.872 376.342 615.995 799.846 1005.65 1201.16 1401.4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</si>
  <si>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</si>
  <si>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</si>
  <si>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</si>
  <si>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</si>
  <si>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</si>
  <si>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</si>
  <si>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</si>
  <si>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</si>
  <si>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</si>
  <si>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</si>
  <si>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</si>
  <si>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</si>
  <si>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</si>
  <si>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</si>
  <si>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</si>
  <si>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</si>
  <si>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</si>
  <si>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</si>
  <si>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</si>
  <si>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</si>
  <si>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</si>
  <si>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</si>
  <si>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</si>
  <si>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</si>
  <si>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</si>
  <si>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</si>
  <si>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</si>
  <si>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</si>
  <si>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</si>
  <si>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</si>
  <si>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</si>
  <si>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</si>
  <si>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</si>
  <si>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</si>
  <si>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</si>
  <si>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</si>
  <si>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</si>
  <si>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</si>
  <si>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</si>
  <si>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</si>
  <si>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</si>
  <si>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</si>
  <si>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</si>
  <si>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</si>
  <si>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</si>
  <si>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</si>
  <si>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</si>
  <si>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</si>
  <si>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</si>
  <si>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</si>
  <si>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</si>
  <si>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</si>
  <si>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</si>
  <si>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</si>
  <si>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</si>
  <si>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</si>
  <si>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</si>
  <si>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</si>
  <si>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</si>
  <si>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</si>
  <si>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</si>
  <si>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</si>
  <si>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</si>
  <si>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</si>
  <si>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</si>
  <si>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</si>
  <si>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</si>
  <si>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</si>
  <si>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</si>
  <si>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</si>
  <si>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</si>
  <si>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</si>
  <si>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</si>
  <si>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</si>
  <si>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</si>
  <si>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</si>
  <si>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</si>
  <si>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</si>
  <si>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</si>
  <si>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</si>
  <si>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</si>
  <si>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</si>
  <si>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</si>
  <si>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</si>
  <si>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</si>
  <si>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</si>
  <si>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</si>
  <si>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</si>
  <si>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</si>
  <si>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</si>
  <si>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</si>
  <si>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</si>
  <si>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</si>
  <si>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</si>
  <si>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</si>
  <si>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</si>
  <si>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</si>
  <si>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</si>
  <si>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</si>
  <si>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</si>
  <si>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</si>
  <si>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</si>
  <si>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</si>
  <si>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</si>
  <si>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</si>
  <si>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</si>
  <si>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</si>
  <si>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</si>
  <si>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</si>
  <si>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</si>
  <si>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</si>
  <si>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</si>
  <si>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</si>
  <si>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</si>
  <si>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</si>
  <si>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</si>
  <si>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</si>
  <si>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</si>
  <si>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</si>
  <si>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</si>
  <si>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</si>
  <si>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</si>
  <si>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</si>
  <si>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</si>
  <si>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</si>
  <si>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</si>
  <si>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</si>
  <si>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</si>
  <si>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</si>
  <si>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</si>
  <si>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</si>
  <si>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</si>
  <si>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</si>
  <si>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</si>
  <si>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</si>
  <si>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</si>
  <si>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</si>
  <si>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</si>
  <si>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</si>
  <si>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</si>
  <si>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</si>
  <si>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</si>
  <si>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</si>
  <si>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</si>
  <si>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</si>
  <si>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</si>
  <si>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</si>
  <si>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</si>
  <si>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</si>
  <si>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</si>
  <si>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</si>
  <si>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</si>
  <si>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</si>
  <si>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</si>
  <si>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</si>
  <si>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</si>
  <si>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</si>
  <si>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</si>
  <si>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</si>
  <si>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</si>
  <si>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</si>
  <si>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</si>
  <si>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</si>
  <si>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</si>
  <si>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</si>
  <si>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</si>
  <si>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</si>
  <si>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</si>
  <si>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</si>
  <si>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</si>
  <si>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</si>
  <si>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</si>
  <si>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</si>
  <si>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</si>
  <si>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</si>
  <si>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</si>
  <si>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</si>
  <si>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</si>
  <si>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</si>
  <si>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</si>
  <si>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</si>
  <si>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</si>
  <si>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</si>
  <si>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</si>
  <si>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</si>
  <si>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</si>
  <si>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</si>
  <si>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</si>
  <si>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</si>
  <si>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</si>
  <si>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</si>
  <si>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</si>
  <si>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</si>
  <si>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</si>
  <si>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</si>
  <si>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</si>
  <si>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</si>
  <si>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</si>
  <si>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</si>
  <si>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</si>
  <si>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</si>
  <si>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</si>
  <si>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</si>
  <si>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</si>
  <si>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</si>
  <si>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</si>
  <si>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</si>
  <si>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</si>
  <si>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</si>
  <si>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</si>
  <si>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</si>
  <si>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</si>
  <si>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</si>
  <si>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</si>
  <si>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</si>
  <si>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</si>
  <si>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</si>
  <si>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</si>
  <si>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</si>
  <si>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</si>
  <si>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</si>
  <si>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</si>
  <si>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</si>
  <si>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</si>
  <si>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</si>
  <si>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</si>
  <si>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</si>
  <si>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</si>
  <si>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</si>
  <si>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</si>
  <si>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</si>
  <si>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</si>
  <si>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</si>
  <si>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</si>
  <si>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</si>
  <si>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</si>
  <si>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</si>
  <si>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</si>
  <si>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</si>
  <si>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</si>
  <si>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</si>
  <si>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</si>
  <si>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</si>
  <si>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</si>
  <si>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</si>
  <si>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</si>
  <si>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</si>
  <si>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</si>
  <si>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</si>
  <si>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</si>
  <si>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CO2_hrs</t>
  </si>
  <si>
    <t>AccCO2_soda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</si>
  <si>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</si>
  <si>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</si>
  <si>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</si>
  <si>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</si>
  <si>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</si>
  <si>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</si>
  <si>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</si>
  <si>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</si>
  <si>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</si>
  <si>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</si>
  <si>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</si>
  <si>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</si>
  <si>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</si>
  <si>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</si>
  <si>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</si>
  <si>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</si>
  <si>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</si>
  <si>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</si>
  <si>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</si>
  <si>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</si>
  <si>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</si>
  <si>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</si>
  <si>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</si>
  <si>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</si>
  <si>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</si>
  <si>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</si>
  <si>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</si>
  <si>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</si>
  <si>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</si>
  <si>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</si>
  <si>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</si>
  <si>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</si>
  <si>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</si>
  <si>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</si>
  <si>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</si>
  <si>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</si>
  <si>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</si>
  <si>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</si>
  <si>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</si>
  <si>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</si>
  <si>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</si>
  <si>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</si>
  <si>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</si>
  <si>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</si>
  <si>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</si>
  <si>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</si>
  <si>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</si>
  <si>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</si>
  <si>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</si>
  <si>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</si>
  <si>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</si>
  <si>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</si>
  <si>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</si>
  <si>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</si>
  <si>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</si>
  <si>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</si>
  <si>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</si>
  <si>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</si>
  <si>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</si>
  <si>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</si>
  <si>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</si>
  <si>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</si>
  <si>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</si>
  <si>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</si>
  <si>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</si>
  <si>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</si>
  <si>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</si>
  <si>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</si>
  <si>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</si>
  <si>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</si>
  <si>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</si>
  <si>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</si>
  <si>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</si>
  <si>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</si>
  <si>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</si>
  <si>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</si>
  <si>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</si>
  <si>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</si>
  <si>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</si>
  <si>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</si>
  <si>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</si>
  <si>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</si>
  <si>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</si>
  <si>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</si>
  <si>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</si>
  <si>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</si>
  <si>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</si>
  <si>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</si>
  <si>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</si>
  <si>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</si>
  <si>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</si>
  <si>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</si>
  <si>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</si>
  <si>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</si>
  <si>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</si>
  <si>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</si>
  <si>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20251026 12:19:43</t>
  </si>
  <si>
    <t>12:19:43</t>
  </si>
  <si>
    <t>gg_26</t>
  </si>
  <si>
    <t>ozzie</t>
  </si>
  <si>
    <t>MPF-291-20251020-15_57_36</t>
  </si>
  <si>
    <t>MPF-292-20251026-12_18_53</t>
  </si>
  <si>
    <t>DARK-293-20251026-12_19_00</t>
  </si>
  <si>
    <t>0: Broadleaf</t>
  </si>
  <si>
    <t>--:--:--</t>
  </si>
  <si>
    <t>2/2</t>
  </si>
  <si>
    <t>11111111</t>
  </si>
  <si>
    <t>oooooooo</t>
  </si>
  <si>
    <t>off</t>
  </si>
  <si>
    <t>20251026 12:20:57</t>
  </si>
  <si>
    <t>12:20:57</t>
  </si>
  <si>
    <t>-</t>
  </si>
  <si>
    <t>20251026 12:21:58</t>
  </si>
  <si>
    <t>12:21:58</t>
  </si>
  <si>
    <t>MPF-294-20251026-12_21_08</t>
  </si>
  <si>
    <t>DARK-295-20251026-12_21_15</t>
  </si>
  <si>
    <t>20251026 12:23:11</t>
  </si>
  <si>
    <t>12:23:11</t>
  </si>
  <si>
    <t>20251026 12:24:34</t>
  </si>
  <si>
    <t>12:24:34</t>
  </si>
  <si>
    <t>MPF-296-20251026-12_23_44</t>
  </si>
  <si>
    <t>DARK-297-20251026-12_23_51</t>
  </si>
  <si>
    <t>20251026 12:26:24</t>
  </si>
  <si>
    <t>12:26:24</t>
  </si>
  <si>
    <t>MPF-298-20251026-12_25_34</t>
  </si>
  <si>
    <t>DARK-299-20251026-12_25_40</t>
  </si>
  <si>
    <t>20251026 12:28:13</t>
  </si>
  <si>
    <t>12:28:13</t>
  </si>
  <si>
    <t>MPF-300-20251026-12_27_23</t>
  </si>
  <si>
    <t>20251026 12:44:11</t>
  </si>
  <si>
    <t>12:44:11</t>
  </si>
  <si>
    <t>gg_2</t>
  </si>
  <si>
    <t>MPF-301-20251026-12_43_21</t>
  </si>
  <si>
    <t>DARK-302-20251026-12_43_28</t>
  </si>
  <si>
    <t>20251026 12:45:25</t>
  </si>
  <si>
    <t>12:45:25</t>
  </si>
  <si>
    <t>20251026 12:47:22</t>
  </si>
  <si>
    <t>12:47:22</t>
  </si>
  <si>
    <t>MPF-303-20251026-12_46_32</t>
  </si>
  <si>
    <t>DARK-304-20251026-12_46_39</t>
  </si>
  <si>
    <t>20251026 12:48:42</t>
  </si>
  <si>
    <t>12:48:42</t>
  </si>
  <si>
    <t>20251026 12:50:43</t>
  </si>
  <si>
    <t>12:50:43</t>
  </si>
  <si>
    <t>MPF-305-20251026-12_49_53</t>
  </si>
  <si>
    <t>DARK-306-20251026-12_50_00</t>
  </si>
  <si>
    <t>1/2</t>
  </si>
  <si>
    <t>20251026 12:52:33</t>
  </si>
  <si>
    <t>12:52:33</t>
  </si>
  <si>
    <t>MPF-307-20251026-12_51_43</t>
  </si>
  <si>
    <t>DARK-308-20251026-12_51_50</t>
  </si>
  <si>
    <t>20251026 12:54:11</t>
  </si>
  <si>
    <t>12:54:11</t>
  </si>
  <si>
    <t>MPF-309-20251026-12_53_21</t>
  </si>
  <si>
    <t>20251026 13:16:22</t>
  </si>
  <si>
    <t>13:16:22</t>
  </si>
  <si>
    <t>gg_12</t>
  </si>
  <si>
    <t>MPF-310-20251026-13_15_33</t>
  </si>
  <si>
    <t>DARK-311-20251026-13_15_39</t>
  </si>
  <si>
    <t>20251026 13:17:51</t>
  </si>
  <si>
    <t>13:17:51</t>
  </si>
  <si>
    <t>20251026 13:18:52</t>
  </si>
  <si>
    <t>13:18:52</t>
  </si>
  <si>
    <t>MPF-312-20251026-13_18_03</t>
  </si>
  <si>
    <t>DARK-313-20251026-13_18_09</t>
  </si>
  <si>
    <t>20251026 13:20:12</t>
  </si>
  <si>
    <t>13:20:12</t>
  </si>
  <si>
    <t>20251026 13:21:39</t>
  </si>
  <si>
    <t>13:21:39</t>
  </si>
  <si>
    <t>MPF-314-20251026-13_20_49</t>
  </si>
  <si>
    <t>DARK-315-20251026-13_20_56</t>
  </si>
  <si>
    <t>20251026 13:23:15</t>
  </si>
  <si>
    <t>13:23:15</t>
  </si>
  <si>
    <t>MPF-316-20251026-13_22_25</t>
  </si>
  <si>
    <t>DARK-317-20251026-13_22_32</t>
  </si>
  <si>
    <t>20251026 13:24:45</t>
  </si>
  <si>
    <t>13:24:45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</si>
</sst>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37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430</v>
      </c>
      <c r="IB16" t="s">
        <v>430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1761499183.1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1761499175.1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423.856712173944</v>
      </c>
      <c r="AK17">
        <v>409.490721212121</v>
      </c>
      <c r="AL17">
        <v>-0.000154657217754457</v>
      </c>
      <c r="AM17">
        <v>64.9498169483088</v>
      </c>
      <c r="AN17">
        <f>(AP17 - AO17 + DY17*1E3/(8.314*(EA17+273.15)) * AR17/DX17 * AQ17) * DX17/(100*DL17) * 1000/(1000 - AP17)</f>
        <v>0</v>
      </c>
      <c r="AO17">
        <v>9.15799943410645</v>
      </c>
      <c r="AP17">
        <v>11.4382424242424</v>
      </c>
      <c r="AQ17">
        <v>7.33231522406832e-06</v>
      </c>
      <c r="AR17">
        <v>102.986315029664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5122.83</v>
      </c>
      <c r="AZ17">
        <v>725.773076923077</v>
      </c>
      <c r="BA17">
        <v>1875.06470258429</v>
      </c>
      <c r="BB17">
        <f>1-AZ17/BA17</f>
        <v>0</v>
      </c>
      <c r="BC17">
        <v>-0.561050853640744</v>
      </c>
      <c r="BD17" t="s">
        <v>438</v>
      </c>
      <c r="BE17">
        <v>5140.79</v>
      </c>
      <c r="BF17">
        <v>1573.5828</v>
      </c>
      <c r="BG17">
        <v>1845.01017175614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843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292</v>
      </c>
      <c r="CA17">
        <v>290</v>
      </c>
      <c r="CB17">
        <v>1773.47</v>
      </c>
      <c r="CC17">
        <v>175</v>
      </c>
      <c r="CD17">
        <v>5140.79</v>
      </c>
      <c r="CE17">
        <v>1771.53</v>
      </c>
      <c r="CF17">
        <v>1.94</v>
      </c>
      <c r="CG17">
        <v>300</v>
      </c>
      <c r="CH17">
        <v>23.7</v>
      </c>
      <c r="CI17">
        <v>1845.01017175614</v>
      </c>
      <c r="CJ17">
        <v>1.96878235146978</v>
      </c>
      <c r="CK17">
        <v>-37.7765643335207</v>
      </c>
      <c r="CL17">
        <v>0.910705682497215</v>
      </c>
      <c r="CM17">
        <v>0.983987512780862</v>
      </c>
      <c r="CN17">
        <v>-0.00323987519466073</v>
      </c>
      <c r="CO17">
        <v>290</v>
      </c>
      <c r="CP17">
        <v>1769.65</v>
      </c>
      <c r="CQ17">
        <v>655</v>
      </c>
      <c r="CR17">
        <v>5139.09</v>
      </c>
      <c r="CS17">
        <v>1771.5</v>
      </c>
      <c r="CT17">
        <v>-1.85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1761499175.1</v>
      </c>
      <c r="DR17">
        <v>404.828733333333</v>
      </c>
      <c r="DS17">
        <v>419.990466666667</v>
      </c>
      <c r="DT17">
        <v>11.4338466666667</v>
      </c>
      <c r="DU17">
        <v>9.157596</v>
      </c>
      <c r="DV17">
        <v>402.0952</v>
      </c>
      <c r="DW17">
        <v>11.4871866666667</v>
      </c>
      <c r="DX17">
        <v>500.0038</v>
      </c>
      <c r="DY17">
        <v>90.2149066666666</v>
      </c>
      <c r="DZ17">
        <v>0.0222226</v>
      </c>
      <c r="EA17">
        <v>17.814</v>
      </c>
      <c r="EB17">
        <v>17.9884133333333</v>
      </c>
      <c r="EC17">
        <v>999.9</v>
      </c>
      <c r="ED17">
        <v>0</v>
      </c>
      <c r="EE17">
        <v>0</v>
      </c>
      <c r="EF17">
        <v>10001.3673333333</v>
      </c>
      <c r="EG17">
        <v>0</v>
      </c>
      <c r="EH17">
        <v>1253.7</v>
      </c>
      <c r="EI17">
        <v>-15.16166</v>
      </c>
      <c r="EJ17">
        <v>409.511066666667</v>
      </c>
      <c r="EK17">
        <v>423.872066666667</v>
      </c>
      <c r="EL17">
        <v>2.27624133333333</v>
      </c>
      <c r="EM17">
        <v>419.990466666667</v>
      </c>
      <c r="EN17">
        <v>9.157596</v>
      </c>
      <c r="EO17">
        <v>1.03150266666667</v>
      </c>
      <c r="EP17">
        <v>0.8261516</v>
      </c>
      <c r="EQ17">
        <v>7.36911</v>
      </c>
      <c r="ER17">
        <v>4.16476133333333</v>
      </c>
      <c r="ES17">
        <v>1199.974</v>
      </c>
      <c r="ET17">
        <v>0.966997666666667</v>
      </c>
      <c r="EU17">
        <v>0.0330025066666667</v>
      </c>
      <c r="EV17">
        <v>0</v>
      </c>
      <c r="EW17">
        <v>1573.65733333333</v>
      </c>
      <c r="EX17">
        <v>5.00059</v>
      </c>
      <c r="EY17">
        <v>18435.2733333333</v>
      </c>
      <c r="EZ17">
        <v>10358.4866666667</v>
      </c>
      <c r="FA17">
        <v>35.937</v>
      </c>
      <c r="FB17">
        <v>37.9958</v>
      </c>
      <c r="FC17">
        <v>36.4163333333333</v>
      </c>
      <c r="FD17">
        <v>37.3791333333333</v>
      </c>
      <c r="FE17">
        <v>36.8832666666667</v>
      </c>
      <c r="FF17">
        <v>1155.534</v>
      </c>
      <c r="FG17">
        <v>39.44</v>
      </c>
      <c r="FH17">
        <v>0</v>
      </c>
      <c r="FI17">
        <v>1761499141.7</v>
      </c>
      <c r="FJ17">
        <v>0</v>
      </c>
      <c r="FK17">
        <v>1573.5828</v>
      </c>
      <c r="FL17">
        <v>-7.88153846417288</v>
      </c>
      <c r="FM17">
        <v>-91.6076923944652</v>
      </c>
      <c r="FN17">
        <v>18434.776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-15.1529333333333</v>
      </c>
      <c r="GD17">
        <v>-0.117670129870126</v>
      </c>
      <c r="GE17">
        <v>0.0412685321526191</v>
      </c>
      <c r="GF17">
        <v>1</v>
      </c>
      <c r="GG17">
        <v>1574.00147058824</v>
      </c>
      <c r="GH17">
        <v>-7.39633308657466</v>
      </c>
      <c r="GI17">
        <v>0.750502311604165</v>
      </c>
      <c r="GJ17">
        <v>-1</v>
      </c>
      <c r="GK17">
        <v>2.27381238095238</v>
      </c>
      <c r="GL17">
        <v>0.0280799999999999</v>
      </c>
      <c r="GM17">
        <v>0.0062058205433915</v>
      </c>
      <c r="GN17">
        <v>1</v>
      </c>
      <c r="GO17">
        <v>2</v>
      </c>
      <c r="GP17">
        <v>2</v>
      </c>
      <c r="GQ17" t="s">
        <v>442</v>
      </c>
      <c r="GR17">
        <v>3.12969</v>
      </c>
      <c r="GS17">
        <v>2.7004</v>
      </c>
      <c r="GT17">
        <v>0.0866787</v>
      </c>
      <c r="GU17">
        <v>0.0897434</v>
      </c>
      <c r="GV17">
        <v>0.0596014</v>
      </c>
      <c r="GW17">
        <v>0.0503441</v>
      </c>
      <c r="GX17">
        <v>34448.1</v>
      </c>
      <c r="GY17">
        <v>36792.9</v>
      </c>
      <c r="GZ17">
        <v>34122.5</v>
      </c>
      <c r="HA17">
        <v>36595</v>
      </c>
      <c r="HB17">
        <v>45313.8</v>
      </c>
      <c r="HC17">
        <v>49853.8</v>
      </c>
      <c r="HD17">
        <v>53178.9</v>
      </c>
      <c r="HE17">
        <v>58406.8</v>
      </c>
      <c r="HF17">
        <v>1.96265</v>
      </c>
      <c r="HG17">
        <v>1.78743</v>
      </c>
      <c r="HH17">
        <v>-0.0233948</v>
      </c>
      <c r="HI17">
        <v>0</v>
      </c>
      <c r="HJ17">
        <v>18.3767</v>
      </c>
      <c r="HK17">
        <v>999.9</v>
      </c>
      <c r="HL17">
        <v>35.13</v>
      </c>
      <c r="HM17">
        <v>28.832</v>
      </c>
      <c r="HN17">
        <v>15.5097</v>
      </c>
      <c r="HO17">
        <v>55.8478</v>
      </c>
      <c r="HP17">
        <v>47.2035</v>
      </c>
      <c r="HQ17">
        <v>1</v>
      </c>
      <c r="HR17">
        <v>0.0371469</v>
      </c>
      <c r="HS17">
        <v>7.63171</v>
      </c>
      <c r="HT17">
        <v>19.9776</v>
      </c>
      <c r="HU17">
        <v>5.20366</v>
      </c>
      <c r="HV17">
        <v>12.0099</v>
      </c>
      <c r="HW17">
        <v>4.97575</v>
      </c>
      <c r="HX17">
        <v>3.294</v>
      </c>
      <c r="HY17">
        <v>9999</v>
      </c>
      <c r="HZ17">
        <v>999.9</v>
      </c>
      <c r="IA17">
        <v>9999</v>
      </c>
      <c r="IB17">
        <v>9999</v>
      </c>
      <c r="IC17">
        <v>1.86317</v>
      </c>
      <c r="ID17">
        <v>1.86806</v>
      </c>
      <c r="IE17">
        <v>1.86783</v>
      </c>
      <c r="IF17">
        <v>1.86903</v>
      </c>
      <c r="IG17">
        <v>1.86981</v>
      </c>
      <c r="IH17">
        <v>1.86589</v>
      </c>
      <c r="II17">
        <v>1.86695</v>
      </c>
      <c r="IJ17">
        <v>1.86836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2.733</v>
      </c>
      <c r="IY17">
        <v>-0.0532</v>
      </c>
      <c r="IZ17">
        <v>1.07540948637381</v>
      </c>
      <c r="JA17">
        <v>0.0043402248696239</v>
      </c>
      <c r="JB17">
        <v>-6.09475981766997e-07</v>
      </c>
      <c r="JC17">
        <v>1.76646249085242e-10</v>
      </c>
      <c r="JD17">
        <v>-0.0887419319460927</v>
      </c>
      <c r="JE17">
        <v>-0.0249687719874024</v>
      </c>
      <c r="JF17">
        <v>0.00293551823329282</v>
      </c>
      <c r="JG17">
        <v>-4.29659942473584e-05</v>
      </c>
      <c r="JH17">
        <v>5</v>
      </c>
      <c r="JI17">
        <v>2275</v>
      </c>
      <c r="JJ17">
        <v>1</v>
      </c>
      <c r="JK17">
        <v>23</v>
      </c>
      <c r="JL17">
        <v>29358319.7</v>
      </c>
      <c r="JM17">
        <v>29358319.7</v>
      </c>
      <c r="JN17">
        <v>0.992432</v>
      </c>
      <c r="JO17">
        <v>2.62329</v>
      </c>
      <c r="JP17">
        <v>1.54785</v>
      </c>
      <c r="JQ17">
        <v>2.31323</v>
      </c>
      <c r="JR17">
        <v>1.64673</v>
      </c>
      <c r="JS17">
        <v>2.26318</v>
      </c>
      <c r="JT17">
        <v>32.798</v>
      </c>
      <c r="JU17">
        <v>24.14</v>
      </c>
      <c r="JV17">
        <v>18</v>
      </c>
      <c r="JW17">
        <v>503.652</v>
      </c>
      <c r="JX17">
        <v>392.592</v>
      </c>
      <c r="JY17">
        <v>9.76691</v>
      </c>
      <c r="JZ17">
        <v>27.583</v>
      </c>
      <c r="KA17">
        <v>30.0002</v>
      </c>
      <c r="KB17">
        <v>27.4757</v>
      </c>
      <c r="KC17">
        <v>27.4201</v>
      </c>
      <c r="KD17">
        <v>19.8972</v>
      </c>
      <c r="KE17">
        <v>29.4064</v>
      </c>
      <c r="KF17">
        <v>6.6981</v>
      </c>
      <c r="KG17">
        <v>9.77287</v>
      </c>
      <c r="KH17">
        <v>420</v>
      </c>
      <c r="KI17">
        <v>9.20976</v>
      </c>
      <c r="KJ17">
        <v>96.7049</v>
      </c>
      <c r="KK17">
        <v>94.6818</v>
      </c>
    </row>
    <row r="18" spans="1:297">
      <c r="A18">
        <v>2</v>
      </c>
      <c r="B18">
        <v>1761499257.1</v>
      </c>
      <c r="C18">
        <v>74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1761499248.6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423.688480597617</v>
      </c>
      <c r="AK18">
        <v>410.059387878788</v>
      </c>
      <c r="AL18">
        <v>-0.000186456633294453</v>
      </c>
      <c r="AM18">
        <v>64.9498169483088</v>
      </c>
      <c r="AN18">
        <f>(AP18 - AO18 + DY18*1E3/(8.314*(EA18+273.15)) * AR18/DX18 * AQ18) * DX18/(100*DL18) * 1000/(1000 - AP18)</f>
        <v>0</v>
      </c>
      <c r="AO18">
        <v>8.75382970592162</v>
      </c>
      <c r="AP18">
        <v>11.3955563636364</v>
      </c>
      <c r="AQ18">
        <v>-0.005339834043334</v>
      </c>
      <c r="AR18">
        <v>102.986315029664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448</v>
      </c>
      <c r="AY18" t="s">
        <v>448</v>
      </c>
      <c r="AZ18">
        <v>0</v>
      </c>
      <c r="BA18">
        <v>0</v>
      </c>
      <c r="BB18">
        <f>1-AZ18/BA18</f>
        <v>0</v>
      </c>
      <c r="BC18">
        <v>0</v>
      </c>
      <c r="BD18" t="s">
        <v>448</v>
      </c>
      <c r="BE18" t="s">
        <v>448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292</v>
      </c>
      <c r="CA18">
        <v>290</v>
      </c>
      <c r="CB18">
        <v>1773.47</v>
      </c>
      <c r="CC18">
        <v>175</v>
      </c>
      <c r="CD18">
        <v>5140.79</v>
      </c>
      <c r="CE18">
        <v>1771.53</v>
      </c>
      <c r="CF18">
        <v>1.94</v>
      </c>
      <c r="CG18">
        <v>300</v>
      </c>
      <c r="CH18">
        <v>23.7</v>
      </c>
      <c r="CI18">
        <v>1845.01017175614</v>
      </c>
      <c r="CJ18">
        <v>1.96878235146978</v>
      </c>
      <c r="CK18">
        <v>-37.7765643335207</v>
      </c>
      <c r="CL18">
        <v>0.910705682497215</v>
      </c>
      <c r="CM18">
        <v>0.983987512780862</v>
      </c>
      <c r="CN18">
        <v>-0.00323987519466073</v>
      </c>
      <c r="CO18">
        <v>290</v>
      </c>
      <c r="CP18">
        <v>1769.65</v>
      </c>
      <c r="CQ18">
        <v>655</v>
      </c>
      <c r="CR18">
        <v>5139.09</v>
      </c>
      <c r="CS18">
        <v>1771.5</v>
      </c>
      <c r="CT18">
        <v>-1.85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1761499248.6</v>
      </c>
      <c r="DR18">
        <v>405.410125</v>
      </c>
      <c r="DS18">
        <v>419.9963125</v>
      </c>
      <c r="DT18">
        <v>11.436075</v>
      </c>
      <c r="DU18">
        <v>8.762844375</v>
      </c>
      <c r="DV18">
        <v>402.67425</v>
      </c>
      <c r="DW18">
        <v>11.48935</v>
      </c>
      <c r="DX18">
        <v>500.017625</v>
      </c>
      <c r="DY18">
        <v>90.2154125</v>
      </c>
      <c r="DZ18">
        <v>0.02175989375</v>
      </c>
      <c r="EA18">
        <v>17.91438125</v>
      </c>
      <c r="EB18">
        <v>17.85539375</v>
      </c>
      <c r="EC18">
        <v>999.9</v>
      </c>
      <c r="ED18">
        <v>0</v>
      </c>
      <c r="EE18">
        <v>0</v>
      </c>
      <c r="EF18">
        <v>9997.705</v>
      </c>
      <c r="EG18">
        <v>0</v>
      </c>
      <c r="EH18">
        <v>1253.65125</v>
      </c>
      <c r="EI18">
        <v>-14.58618125</v>
      </c>
      <c r="EJ18">
        <v>410.1000625</v>
      </c>
      <c r="EK18">
        <v>423.7093125</v>
      </c>
      <c r="EL18">
        <v>2.67322375</v>
      </c>
      <c r="EM18">
        <v>419.9963125</v>
      </c>
      <c r="EN18">
        <v>8.762844375</v>
      </c>
      <c r="EO18">
        <v>1.03171</v>
      </c>
      <c r="EP18">
        <v>0.7905435625</v>
      </c>
      <c r="EQ18">
        <v>7.372014375</v>
      </c>
      <c r="ER18">
        <v>3.53862</v>
      </c>
      <c r="ES18">
        <v>900.005</v>
      </c>
      <c r="ET18">
        <v>0.95600775</v>
      </c>
      <c r="EU18">
        <v>0.043992125</v>
      </c>
      <c r="EV18">
        <v>0</v>
      </c>
      <c r="EW18">
        <v>1497.8775</v>
      </c>
      <c r="EX18">
        <v>5.00059</v>
      </c>
      <c r="EY18">
        <v>13142.70625</v>
      </c>
      <c r="EZ18">
        <v>7732.868125</v>
      </c>
      <c r="FA18">
        <v>36.8005625</v>
      </c>
      <c r="FB18">
        <v>40.0231875</v>
      </c>
      <c r="FC18">
        <v>37.6364375</v>
      </c>
      <c r="FD18">
        <v>39.5740625</v>
      </c>
      <c r="FE18">
        <v>38.10525</v>
      </c>
      <c r="FF18">
        <v>855.630625</v>
      </c>
      <c r="FG18">
        <v>39.37</v>
      </c>
      <c r="FH18">
        <v>0</v>
      </c>
      <c r="FI18">
        <v>71</v>
      </c>
      <c r="FJ18">
        <v>0</v>
      </c>
      <c r="FK18">
        <v>1497.54615384615</v>
      </c>
      <c r="FL18">
        <v>-18.5285469815156</v>
      </c>
      <c r="FM18">
        <v>-136.564102502737</v>
      </c>
      <c r="FN18">
        <v>13140.5192307692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-14.567105</v>
      </c>
      <c r="GD18">
        <v>-0.320575939849623</v>
      </c>
      <c r="GE18">
        <v>0.0494267586940515</v>
      </c>
      <c r="GF18">
        <v>1</v>
      </c>
      <c r="GG18">
        <v>1498.78941176471</v>
      </c>
      <c r="GH18">
        <v>-17.8603514208683</v>
      </c>
      <c r="GI18">
        <v>1.76237129889129</v>
      </c>
      <c r="GJ18">
        <v>-1</v>
      </c>
      <c r="GK18">
        <v>2.6758865</v>
      </c>
      <c r="GL18">
        <v>-0.0975793984962394</v>
      </c>
      <c r="GM18">
        <v>0.0130855631422572</v>
      </c>
      <c r="GN18">
        <v>1</v>
      </c>
      <c r="GO18">
        <v>2</v>
      </c>
      <c r="GP18">
        <v>2</v>
      </c>
      <c r="GQ18" t="s">
        <v>442</v>
      </c>
      <c r="GR18">
        <v>3.12959</v>
      </c>
      <c r="GS18">
        <v>2.69994</v>
      </c>
      <c r="GT18">
        <v>0.0867709</v>
      </c>
      <c r="GU18">
        <v>0.0897448</v>
      </c>
      <c r="GV18">
        <v>0.0594053</v>
      </c>
      <c r="GW18">
        <v>0.0484067</v>
      </c>
      <c r="GX18">
        <v>34444.5</v>
      </c>
      <c r="GY18">
        <v>36793.1</v>
      </c>
      <c r="GZ18">
        <v>34122.3</v>
      </c>
      <c r="HA18">
        <v>36595.3</v>
      </c>
      <c r="HB18">
        <v>45323.2</v>
      </c>
      <c r="HC18">
        <v>49957.4</v>
      </c>
      <c r="HD18">
        <v>53178.6</v>
      </c>
      <c r="HE18">
        <v>58408</v>
      </c>
      <c r="HF18">
        <v>1.96277</v>
      </c>
      <c r="HG18">
        <v>1.79355</v>
      </c>
      <c r="HH18">
        <v>-0.0293851</v>
      </c>
      <c r="HI18">
        <v>0</v>
      </c>
      <c r="HJ18">
        <v>18.3946</v>
      </c>
      <c r="HK18">
        <v>999.9</v>
      </c>
      <c r="HL18">
        <v>34.459</v>
      </c>
      <c r="HM18">
        <v>28.862</v>
      </c>
      <c r="HN18">
        <v>15.2414</v>
      </c>
      <c r="HO18">
        <v>55.5278</v>
      </c>
      <c r="HP18">
        <v>47.3438</v>
      </c>
      <c r="HQ18">
        <v>1</v>
      </c>
      <c r="HR18">
        <v>0.0269461</v>
      </c>
      <c r="HS18">
        <v>5.14705</v>
      </c>
      <c r="HT18">
        <v>20.0698</v>
      </c>
      <c r="HU18">
        <v>5.19917</v>
      </c>
      <c r="HV18">
        <v>12.0059</v>
      </c>
      <c r="HW18">
        <v>4.97545</v>
      </c>
      <c r="HX18">
        <v>3.294</v>
      </c>
      <c r="HY18">
        <v>9999</v>
      </c>
      <c r="HZ18">
        <v>999.9</v>
      </c>
      <c r="IA18">
        <v>9999</v>
      </c>
      <c r="IB18">
        <v>9999</v>
      </c>
      <c r="IC18">
        <v>1.86319</v>
      </c>
      <c r="ID18">
        <v>1.86809</v>
      </c>
      <c r="IE18">
        <v>1.86783</v>
      </c>
      <c r="IF18">
        <v>1.86904</v>
      </c>
      <c r="IG18">
        <v>1.86982</v>
      </c>
      <c r="IH18">
        <v>1.86587</v>
      </c>
      <c r="II18">
        <v>1.86701</v>
      </c>
      <c r="IJ18">
        <v>1.86841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2.735</v>
      </c>
      <c r="IY18">
        <v>-0.0544</v>
      </c>
      <c r="IZ18">
        <v>1.07540948637381</v>
      </c>
      <c r="JA18">
        <v>0.0043402248696239</v>
      </c>
      <c r="JB18">
        <v>-6.09475981766997e-07</v>
      </c>
      <c r="JC18">
        <v>1.76646249085242e-10</v>
      </c>
      <c r="JD18">
        <v>-0.0887419319460927</v>
      </c>
      <c r="JE18">
        <v>-0.0249687719874024</v>
      </c>
      <c r="JF18">
        <v>0.00293551823329282</v>
      </c>
      <c r="JG18">
        <v>-4.29659942473584e-05</v>
      </c>
      <c r="JH18">
        <v>5</v>
      </c>
      <c r="JI18">
        <v>2275</v>
      </c>
      <c r="JJ18">
        <v>1</v>
      </c>
      <c r="JK18">
        <v>23</v>
      </c>
      <c r="JL18">
        <v>29358321</v>
      </c>
      <c r="JM18">
        <v>29358321</v>
      </c>
      <c r="JN18">
        <v>0.992432</v>
      </c>
      <c r="JO18">
        <v>2.62207</v>
      </c>
      <c r="JP18">
        <v>1.54785</v>
      </c>
      <c r="JQ18">
        <v>2.31323</v>
      </c>
      <c r="JR18">
        <v>1.64673</v>
      </c>
      <c r="JS18">
        <v>2.29736</v>
      </c>
      <c r="JT18">
        <v>32.8202</v>
      </c>
      <c r="JU18">
        <v>24.1751</v>
      </c>
      <c r="JV18">
        <v>18</v>
      </c>
      <c r="JW18">
        <v>503.836</v>
      </c>
      <c r="JX18">
        <v>395.982</v>
      </c>
      <c r="JY18">
        <v>11.6048</v>
      </c>
      <c r="JZ18">
        <v>27.5783</v>
      </c>
      <c r="KA18">
        <v>30.0001</v>
      </c>
      <c r="KB18">
        <v>27.487</v>
      </c>
      <c r="KC18">
        <v>27.4331</v>
      </c>
      <c r="KD18">
        <v>19.8914</v>
      </c>
      <c r="KE18">
        <v>31.7159</v>
      </c>
      <c r="KF18">
        <v>4.8101</v>
      </c>
      <c r="KG18">
        <v>11.6065</v>
      </c>
      <c r="KH18">
        <v>420</v>
      </c>
      <c r="KI18">
        <v>8.78498</v>
      </c>
      <c r="KJ18">
        <v>96.7044</v>
      </c>
      <c r="KK18">
        <v>94.6832</v>
      </c>
    </row>
    <row r="19" spans="1:297">
      <c r="A19">
        <v>3</v>
      </c>
      <c r="B19">
        <v>1761499318.1</v>
      </c>
      <c r="C19">
        <v>135</v>
      </c>
      <c r="D19" t="s">
        <v>449</v>
      </c>
      <c r="E19" t="s">
        <v>450</v>
      </c>
      <c r="F19">
        <v>5</v>
      </c>
      <c r="G19" t="s">
        <v>435</v>
      </c>
      <c r="H19" t="s">
        <v>436</v>
      </c>
      <c r="I19">
        <v>1761499309.6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423.851399536483</v>
      </c>
      <c r="AK19">
        <v>411.069727272727</v>
      </c>
      <c r="AL19">
        <v>0.00210108555821917</v>
      </c>
      <c r="AM19">
        <v>64.9498169483088</v>
      </c>
      <c r="AN19">
        <f>(AP19 - AO19 + DY19*1E3/(8.314*(EA19+273.15)) * AR19/DX19 * AQ19) * DX19/(100*DL19) * 1000/(1000 - AP19)</f>
        <v>0</v>
      </c>
      <c r="AO19">
        <v>9.13732735156754</v>
      </c>
      <c r="AP19">
        <v>11.4969642424242</v>
      </c>
      <c r="AQ19">
        <v>0.00125801047174545</v>
      </c>
      <c r="AR19">
        <v>102.986315029664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5122.83</v>
      </c>
      <c r="AZ19">
        <v>725.773076923077</v>
      </c>
      <c r="BA19">
        <v>1875.06470258429</v>
      </c>
      <c r="BB19">
        <f>1-AZ19/BA19</f>
        <v>0</v>
      </c>
      <c r="BC19">
        <v>-0.561050853640744</v>
      </c>
      <c r="BD19" t="s">
        <v>451</v>
      </c>
      <c r="BE19">
        <v>5138.86</v>
      </c>
      <c r="BF19">
        <v>1351.26538461538</v>
      </c>
      <c r="BG19">
        <v>1843.31567846671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452</v>
      </c>
      <c r="BQ19">
        <v>826.8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294</v>
      </c>
      <c r="CA19">
        <v>290</v>
      </c>
      <c r="CB19">
        <v>1766.03</v>
      </c>
      <c r="CC19">
        <v>275</v>
      </c>
      <c r="CD19">
        <v>5138.86</v>
      </c>
      <c r="CE19">
        <v>1766.15</v>
      </c>
      <c r="CF19">
        <v>-0.12</v>
      </c>
      <c r="CG19">
        <v>300</v>
      </c>
      <c r="CH19">
        <v>23.8</v>
      </c>
      <c r="CI19">
        <v>1843.31567846671</v>
      </c>
      <c r="CJ19">
        <v>1.86071074319319</v>
      </c>
      <c r="CK19">
        <v>-39.6544567247692</v>
      </c>
      <c r="CL19">
        <v>0.844676271599166</v>
      </c>
      <c r="CM19">
        <v>0.98745496409429</v>
      </c>
      <c r="CN19">
        <v>-0.00374498220244716</v>
      </c>
      <c r="CO19">
        <v>290</v>
      </c>
      <c r="CP19">
        <v>1763.13</v>
      </c>
      <c r="CQ19">
        <v>745</v>
      </c>
      <c r="CR19">
        <v>5137.5</v>
      </c>
      <c r="CS19">
        <v>1766.13</v>
      </c>
      <c r="CT19">
        <v>-3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1761499309.6</v>
      </c>
      <c r="DR19">
        <v>406.3405</v>
      </c>
      <c r="DS19">
        <v>419.983625</v>
      </c>
      <c r="DT19">
        <v>11.46325625</v>
      </c>
      <c r="DU19">
        <v>9.0916325</v>
      </c>
      <c r="DV19">
        <v>403.60125</v>
      </c>
      <c r="DW19">
        <v>11.51585</v>
      </c>
      <c r="DX19">
        <v>500.015</v>
      </c>
      <c r="DY19">
        <v>90.21310625</v>
      </c>
      <c r="DZ19">
        <v>0.02017581875</v>
      </c>
      <c r="EA19">
        <v>18.21131875</v>
      </c>
      <c r="EB19">
        <v>17.94565625</v>
      </c>
      <c r="EC19">
        <v>999.9</v>
      </c>
      <c r="ED19">
        <v>0</v>
      </c>
      <c r="EE19">
        <v>0</v>
      </c>
      <c r="EF19">
        <v>9998.475</v>
      </c>
      <c r="EG19">
        <v>0</v>
      </c>
      <c r="EH19">
        <v>1253.683125</v>
      </c>
      <c r="EI19">
        <v>-13.64293125</v>
      </c>
      <c r="EJ19">
        <v>411.0525</v>
      </c>
      <c r="EK19">
        <v>423.83675</v>
      </c>
      <c r="EL19">
        <v>2.37162375</v>
      </c>
      <c r="EM19">
        <v>419.983625</v>
      </c>
      <c r="EN19">
        <v>9.0916325</v>
      </c>
      <c r="EO19">
        <v>1.034135</v>
      </c>
      <c r="EP19">
        <v>0.8201843125</v>
      </c>
      <c r="EQ19">
        <v>7.40638375</v>
      </c>
      <c r="ER19">
        <v>4.06142</v>
      </c>
      <c r="ES19">
        <v>599.9659375</v>
      </c>
      <c r="ET19">
        <v>0.932998625</v>
      </c>
      <c r="EU19">
        <v>0.0670012625</v>
      </c>
      <c r="EV19">
        <v>0</v>
      </c>
      <c r="EW19">
        <v>1351.3225</v>
      </c>
      <c r="EX19">
        <v>5.00059</v>
      </c>
      <c r="EY19">
        <v>7854.80625</v>
      </c>
      <c r="EZ19">
        <v>5105.21125</v>
      </c>
      <c r="FA19">
        <v>37.245875</v>
      </c>
      <c r="FB19">
        <v>41.2145625</v>
      </c>
      <c r="FC19">
        <v>38.445125</v>
      </c>
      <c r="FD19">
        <v>41.0895625</v>
      </c>
      <c r="FE19">
        <v>38.7770625</v>
      </c>
      <c r="FF19">
        <v>555.100625</v>
      </c>
      <c r="FG19">
        <v>39.86</v>
      </c>
      <c r="FH19">
        <v>0</v>
      </c>
      <c r="FI19">
        <v>132.200000047684</v>
      </c>
      <c r="FJ19">
        <v>0</v>
      </c>
      <c r="FK19">
        <v>1351.26538461538</v>
      </c>
      <c r="FL19">
        <v>-4.58051282040911</v>
      </c>
      <c r="FM19">
        <v>-14.7866666957124</v>
      </c>
      <c r="FN19">
        <v>7854.77961538462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-13.6745761904762</v>
      </c>
      <c r="GD19">
        <v>0.467290909090883</v>
      </c>
      <c r="GE19">
        <v>0.0648269337379802</v>
      </c>
      <c r="GF19">
        <v>1</v>
      </c>
      <c r="GG19">
        <v>1351.59088235294</v>
      </c>
      <c r="GH19">
        <v>-3.70343773278108</v>
      </c>
      <c r="GI19">
        <v>0.399480306862472</v>
      </c>
      <c r="GJ19">
        <v>-1</v>
      </c>
      <c r="GK19">
        <v>2.37248</v>
      </c>
      <c r="GL19">
        <v>-0.07001298701299</v>
      </c>
      <c r="GM19">
        <v>0.0162820295330246</v>
      </c>
      <c r="GN19">
        <v>1</v>
      </c>
      <c r="GO19">
        <v>2</v>
      </c>
      <c r="GP19">
        <v>2</v>
      </c>
      <c r="GQ19" t="s">
        <v>442</v>
      </c>
      <c r="GR19">
        <v>3.1297</v>
      </c>
      <c r="GS19">
        <v>2.69802</v>
      </c>
      <c r="GT19">
        <v>0.086936</v>
      </c>
      <c r="GU19">
        <v>0.0897522</v>
      </c>
      <c r="GV19">
        <v>0.0598434</v>
      </c>
      <c r="GW19">
        <v>0.0501647</v>
      </c>
      <c r="GX19">
        <v>34439</v>
      </c>
      <c r="GY19">
        <v>36794.2</v>
      </c>
      <c r="GZ19">
        <v>34122.9</v>
      </c>
      <c r="HA19">
        <v>36596.5</v>
      </c>
      <c r="HB19">
        <v>45302.3</v>
      </c>
      <c r="HC19">
        <v>49866</v>
      </c>
      <c r="HD19">
        <v>53179.3</v>
      </c>
      <c r="HE19">
        <v>58409.9</v>
      </c>
      <c r="HF19">
        <v>1.96277</v>
      </c>
      <c r="HG19">
        <v>1.7945</v>
      </c>
      <c r="HH19">
        <v>-0.0302419</v>
      </c>
      <c r="HI19">
        <v>0</v>
      </c>
      <c r="HJ19">
        <v>18.5076</v>
      </c>
      <c r="HK19">
        <v>999.9</v>
      </c>
      <c r="HL19">
        <v>34.007</v>
      </c>
      <c r="HM19">
        <v>28.923</v>
      </c>
      <c r="HN19">
        <v>15.0927</v>
      </c>
      <c r="HO19">
        <v>54.2878</v>
      </c>
      <c r="HP19">
        <v>47.2877</v>
      </c>
      <c r="HQ19">
        <v>1</v>
      </c>
      <c r="HR19">
        <v>0.0233384</v>
      </c>
      <c r="HS19">
        <v>4.61791</v>
      </c>
      <c r="HT19">
        <v>20.0859</v>
      </c>
      <c r="HU19">
        <v>5.19902</v>
      </c>
      <c r="HV19">
        <v>12.004</v>
      </c>
      <c r="HW19">
        <v>4.9758</v>
      </c>
      <c r="HX19">
        <v>3.294</v>
      </c>
      <c r="HY19">
        <v>9999</v>
      </c>
      <c r="HZ19">
        <v>999.9</v>
      </c>
      <c r="IA19">
        <v>9999</v>
      </c>
      <c r="IB19">
        <v>9999</v>
      </c>
      <c r="IC19">
        <v>1.86316</v>
      </c>
      <c r="ID19">
        <v>1.86803</v>
      </c>
      <c r="IE19">
        <v>1.86783</v>
      </c>
      <c r="IF19">
        <v>1.86904</v>
      </c>
      <c r="IG19">
        <v>1.86983</v>
      </c>
      <c r="IH19">
        <v>1.86588</v>
      </c>
      <c r="II19">
        <v>1.867</v>
      </c>
      <c r="IJ19">
        <v>1.86837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2.74</v>
      </c>
      <c r="IY19">
        <v>-0.0517</v>
      </c>
      <c r="IZ19">
        <v>1.07540948637381</v>
      </c>
      <c r="JA19">
        <v>0.0043402248696239</v>
      </c>
      <c r="JB19">
        <v>-6.09475981766997e-07</v>
      </c>
      <c r="JC19">
        <v>1.76646249085242e-10</v>
      </c>
      <c r="JD19">
        <v>-0.0887419319460927</v>
      </c>
      <c r="JE19">
        <v>-0.0249687719874024</v>
      </c>
      <c r="JF19">
        <v>0.00293551823329282</v>
      </c>
      <c r="JG19">
        <v>-4.29659942473584e-05</v>
      </c>
      <c r="JH19">
        <v>5</v>
      </c>
      <c r="JI19">
        <v>2275</v>
      </c>
      <c r="JJ19">
        <v>1</v>
      </c>
      <c r="JK19">
        <v>23</v>
      </c>
      <c r="JL19">
        <v>29358322</v>
      </c>
      <c r="JM19">
        <v>29358322</v>
      </c>
      <c r="JN19">
        <v>0.992432</v>
      </c>
      <c r="JO19">
        <v>2.62695</v>
      </c>
      <c r="JP19">
        <v>1.54785</v>
      </c>
      <c r="JQ19">
        <v>2.31323</v>
      </c>
      <c r="JR19">
        <v>1.64673</v>
      </c>
      <c r="JS19">
        <v>2.23999</v>
      </c>
      <c r="JT19">
        <v>32.798</v>
      </c>
      <c r="JU19">
        <v>24.1838</v>
      </c>
      <c r="JV19">
        <v>18</v>
      </c>
      <c r="JW19">
        <v>503.836</v>
      </c>
      <c r="JX19">
        <v>396.513</v>
      </c>
      <c r="JY19">
        <v>12.8086</v>
      </c>
      <c r="JZ19">
        <v>27.5551</v>
      </c>
      <c r="KA19">
        <v>30.0004</v>
      </c>
      <c r="KB19">
        <v>27.487</v>
      </c>
      <c r="KC19">
        <v>27.4355</v>
      </c>
      <c r="KD19">
        <v>19.901</v>
      </c>
      <c r="KE19">
        <v>27.8396</v>
      </c>
      <c r="KF19">
        <v>3.69053</v>
      </c>
      <c r="KG19">
        <v>12.7849</v>
      </c>
      <c r="KH19">
        <v>420</v>
      </c>
      <c r="KI19">
        <v>9.21817</v>
      </c>
      <c r="KJ19">
        <v>96.7058</v>
      </c>
      <c r="KK19">
        <v>94.6863</v>
      </c>
    </row>
    <row r="20" spans="1:297">
      <c r="A20">
        <v>4</v>
      </c>
      <c r="B20">
        <v>1761499391.1</v>
      </c>
      <c r="C20">
        <v>208</v>
      </c>
      <c r="D20" t="s">
        <v>453</v>
      </c>
      <c r="E20" t="s">
        <v>454</v>
      </c>
      <c r="F20">
        <v>5</v>
      </c>
      <c r="G20" t="s">
        <v>435</v>
      </c>
      <c r="H20" t="s">
        <v>436</v>
      </c>
      <c r="I20">
        <v>1761499383.1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424.043179577657</v>
      </c>
      <c r="AK20">
        <v>414.021272727273</v>
      </c>
      <c r="AL20">
        <v>0.000893471727481496</v>
      </c>
      <c r="AM20">
        <v>64.9498169483088</v>
      </c>
      <c r="AN20">
        <f>(AP20 - AO20 + DY20*1E3/(8.314*(EA20+273.15)) * AR20/DX20 * AQ20) * DX20/(100*DL20) * 1000/(1000 - AP20)</f>
        <v>0</v>
      </c>
      <c r="AO20">
        <v>9.52282932027794</v>
      </c>
      <c r="AP20">
        <v>11.7433642424242</v>
      </c>
      <c r="AQ20">
        <v>0.000157295056631332</v>
      </c>
      <c r="AR20">
        <v>102.986315029664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448</v>
      </c>
      <c r="AY20" t="s">
        <v>448</v>
      </c>
      <c r="AZ20">
        <v>0</v>
      </c>
      <c r="BA20">
        <v>0</v>
      </c>
      <c r="BB20">
        <f>1-AZ20/BA20</f>
        <v>0</v>
      </c>
      <c r="BC20">
        <v>0</v>
      </c>
      <c r="BD20" t="s">
        <v>448</v>
      </c>
      <c r="BE20" t="s">
        <v>448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448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294</v>
      </c>
      <c r="CA20">
        <v>290</v>
      </c>
      <c r="CB20">
        <v>1766.03</v>
      </c>
      <c r="CC20">
        <v>275</v>
      </c>
      <c r="CD20">
        <v>5138.86</v>
      </c>
      <c r="CE20">
        <v>1766.15</v>
      </c>
      <c r="CF20">
        <v>-0.12</v>
      </c>
      <c r="CG20">
        <v>300</v>
      </c>
      <c r="CH20">
        <v>23.8</v>
      </c>
      <c r="CI20">
        <v>1843.31567846671</v>
      </c>
      <c r="CJ20">
        <v>1.86071074319319</v>
      </c>
      <c r="CK20">
        <v>-39.6544567247692</v>
      </c>
      <c r="CL20">
        <v>0.844676271599166</v>
      </c>
      <c r="CM20">
        <v>0.98745496409429</v>
      </c>
      <c r="CN20">
        <v>-0.00374498220244716</v>
      </c>
      <c r="CO20">
        <v>290</v>
      </c>
      <c r="CP20">
        <v>1763.13</v>
      </c>
      <c r="CQ20">
        <v>745</v>
      </c>
      <c r="CR20">
        <v>5137.5</v>
      </c>
      <c r="CS20">
        <v>1766.13</v>
      </c>
      <c r="CT20">
        <v>-3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1761499383.1</v>
      </c>
      <c r="DR20">
        <v>409.129133333333</v>
      </c>
      <c r="DS20">
        <v>420.005133333333</v>
      </c>
      <c r="DT20">
        <v>11.73364</v>
      </c>
      <c r="DU20">
        <v>9.51831333333334</v>
      </c>
      <c r="DV20">
        <v>406.378866666667</v>
      </c>
      <c r="DW20">
        <v>11.7794133333333</v>
      </c>
      <c r="DX20">
        <v>499.935466666667</v>
      </c>
      <c r="DY20">
        <v>90.2096933333333</v>
      </c>
      <c r="DZ20">
        <v>0.02104632</v>
      </c>
      <c r="EA20">
        <v>18.5103666666667</v>
      </c>
      <c r="EB20">
        <v>18.0338666666667</v>
      </c>
      <c r="EC20">
        <v>999.9</v>
      </c>
      <c r="ED20">
        <v>0</v>
      </c>
      <c r="EE20">
        <v>0</v>
      </c>
      <c r="EF20">
        <v>9969.538</v>
      </c>
      <c r="EG20">
        <v>0</v>
      </c>
      <c r="EH20">
        <v>1253.764</v>
      </c>
      <c r="EI20">
        <v>-10.87602</v>
      </c>
      <c r="EJ20">
        <v>413.9866</v>
      </c>
      <c r="EK20">
        <v>424.041333333333</v>
      </c>
      <c r="EL20">
        <v>2.21532133333333</v>
      </c>
      <c r="EM20">
        <v>420.005133333333</v>
      </c>
      <c r="EN20">
        <v>9.51831333333334</v>
      </c>
      <c r="EO20">
        <v>1.05848733333333</v>
      </c>
      <c r="EP20">
        <v>0.858644133333333</v>
      </c>
      <c r="EQ20">
        <v>7.747318</v>
      </c>
      <c r="ER20">
        <v>4.715634</v>
      </c>
      <c r="ES20">
        <v>300.041466666667</v>
      </c>
      <c r="ET20">
        <v>0.899995133333333</v>
      </c>
      <c r="EU20">
        <v>0.100004893333333</v>
      </c>
      <c r="EV20">
        <v>0</v>
      </c>
      <c r="EW20">
        <v>1069.72</v>
      </c>
      <c r="EX20">
        <v>5.00059</v>
      </c>
      <c r="EY20">
        <v>3092.714</v>
      </c>
      <c r="EZ20">
        <v>2506.53933333333</v>
      </c>
      <c r="FA20">
        <v>37.3081333333333</v>
      </c>
      <c r="FB20">
        <v>41.1706</v>
      </c>
      <c r="FC20">
        <v>38.6539333333333</v>
      </c>
      <c r="FD20">
        <v>41.0914</v>
      </c>
      <c r="FE20">
        <v>38.7497333333333</v>
      </c>
      <c r="FF20">
        <v>265.535333333333</v>
      </c>
      <c r="FG20">
        <v>29.506</v>
      </c>
      <c r="FH20">
        <v>0</v>
      </c>
      <c r="FI20">
        <v>69.8000001907349</v>
      </c>
      <c r="FJ20">
        <v>0</v>
      </c>
      <c r="FK20">
        <v>1069.7392</v>
      </c>
      <c r="FL20">
        <v>1.82846153219723</v>
      </c>
      <c r="FM20">
        <v>-6.88999998523519</v>
      </c>
      <c r="FN20">
        <v>3091.7972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-10.8995</v>
      </c>
      <c r="GD20">
        <v>0.389512781954855</v>
      </c>
      <c r="GE20">
        <v>0.0506803610879008</v>
      </c>
      <c r="GF20">
        <v>1</v>
      </c>
      <c r="GG20">
        <v>1069.6</v>
      </c>
      <c r="GH20">
        <v>1.87532467621371</v>
      </c>
      <c r="GI20">
        <v>0.280314948920362</v>
      </c>
      <c r="GJ20">
        <v>-1</v>
      </c>
      <c r="GK20">
        <v>2.2166395</v>
      </c>
      <c r="GL20">
        <v>-0.00133488721804475</v>
      </c>
      <c r="GM20">
        <v>0.00635114908894445</v>
      </c>
      <c r="GN20">
        <v>1</v>
      </c>
      <c r="GO20">
        <v>2</v>
      </c>
      <c r="GP20">
        <v>2</v>
      </c>
      <c r="GQ20" t="s">
        <v>442</v>
      </c>
      <c r="GR20">
        <v>3.12971</v>
      </c>
      <c r="GS20">
        <v>2.69915</v>
      </c>
      <c r="GT20">
        <v>0.0873968</v>
      </c>
      <c r="GU20">
        <v>0.0897525</v>
      </c>
      <c r="GV20">
        <v>0.0608146</v>
      </c>
      <c r="GW20">
        <v>0.0518093</v>
      </c>
      <c r="GX20">
        <v>34423.5</v>
      </c>
      <c r="GY20">
        <v>36796.6</v>
      </c>
      <c r="GZ20">
        <v>34124.4</v>
      </c>
      <c r="HA20">
        <v>36598.6</v>
      </c>
      <c r="HB20">
        <v>45256.7</v>
      </c>
      <c r="HC20">
        <v>49781.4</v>
      </c>
      <c r="HD20">
        <v>53181.4</v>
      </c>
      <c r="HE20">
        <v>58412.7</v>
      </c>
      <c r="HF20">
        <v>1.9631</v>
      </c>
      <c r="HG20">
        <v>1.79578</v>
      </c>
      <c r="HH20">
        <v>-0.0390485</v>
      </c>
      <c r="HI20">
        <v>0</v>
      </c>
      <c r="HJ20">
        <v>18.704</v>
      </c>
      <c r="HK20">
        <v>999.9</v>
      </c>
      <c r="HL20">
        <v>33.537</v>
      </c>
      <c r="HM20">
        <v>28.933</v>
      </c>
      <c r="HN20">
        <v>14.8936</v>
      </c>
      <c r="HO20">
        <v>55.3878</v>
      </c>
      <c r="HP20">
        <v>47.3237</v>
      </c>
      <c r="HQ20">
        <v>1</v>
      </c>
      <c r="HR20">
        <v>0.0229599</v>
      </c>
      <c r="HS20">
        <v>5.2023</v>
      </c>
      <c r="HT20">
        <v>20.0683</v>
      </c>
      <c r="HU20">
        <v>5.19962</v>
      </c>
      <c r="HV20">
        <v>12.0061</v>
      </c>
      <c r="HW20">
        <v>4.9755</v>
      </c>
      <c r="HX20">
        <v>3.294</v>
      </c>
      <c r="HY20">
        <v>9999</v>
      </c>
      <c r="HZ20">
        <v>999.9</v>
      </c>
      <c r="IA20">
        <v>9999</v>
      </c>
      <c r="IB20">
        <v>9999</v>
      </c>
      <c r="IC20">
        <v>1.86313</v>
      </c>
      <c r="ID20">
        <v>1.86808</v>
      </c>
      <c r="IE20">
        <v>1.86783</v>
      </c>
      <c r="IF20">
        <v>1.86905</v>
      </c>
      <c r="IG20">
        <v>1.86982</v>
      </c>
      <c r="IH20">
        <v>1.8659</v>
      </c>
      <c r="II20">
        <v>1.86699</v>
      </c>
      <c r="IJ20">
        <v>1.86842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2.751</v>
      </c>
      <c r="IY20">
        <v>-0.0454</v>
      </c>
      <c r="IZ20">
        <v>1.07540948637381</v>
      </c>
      <c r="JA20">
        <v>0.0043402248696239</v>
      </c>
      <c r="JB20">
        <v>-6.09475981766997e-07</v>
      </c>
      <c r="JC20">
        <v>1.76646249085242e-10</v>
      </c>
      <c r="JD20">
        <v>-0.0887419319460927</v>
      </c>
      <c r="JE20">
        <v>-0.0249687719874024</v>
      </c>
      <c r="JF20">
        <v>0.00293551823329282</v>
      </c>
      <c r="JG20">
        <v>-4.29659942473584e-05</v>
      </c>
      <c r="JH20">
        <v>5</v>
      </c>
      <c r="JI20">
        <v>2275</v>
      </c>
      <c r="JJ20">
        <v>1</v>
      </c>
      <c r="JK20">
        <v>23</v>
      </c>
      <c r="JL20">
        <v>29358323.2</v>
      </c>
      <c r="JM20">
        <v>29358323.2</v>
      </c>
      <c r="JN20">
        <v>0.993652</v>
      </c>
      <c r="JO20">
        <v>2.61963</v>
      </c>
      <c r="JP20">
        <v>1.54785</v>
      </c>
      <c r="JQ20">
        <v>2.31323</v>
      </c>
      <c r="JR20">
        <v>1.64673</v>
      </c>
      <c r="JS20">
        <v>2.36084</v>
      </c>
      <c r="JT20">
        <v>32.7758</v>
      </c>
      <c r="JU20">
        <v>24.1926</v>
      </c>
      <c r="JV20">
        <v>18</v>
      </c>
      <c r="JW20">
        <v>503.903</v>
      </c>
      <c r="JX20">
        <v>397.12</v>
      </c>
      <c r="JY20">
        <v>12.904</v>
      </c>
      <c r="JZ20">
        <v>27.5043</v>
      </c>
      <c r="KA20">
        <v>30.0003</v>
      </c>
      <c r="KB20">
        <v>27.4706</v>
      </c>
      <c r="KC20">
        <v>27.4233</v>
      </c>
      <c r="KD20">
        <v>19.9049</v>
      </c>
      <c r="KE20">
        <v>24.4603</v>
      </c>
      <c r="KF20">
        <v>2.19548</v>
      </c>
      <c r="KG20">
        <v>12.8714</v>
      </c>
      <c r="KH20">
        <v>420</v>
      </c>
      <c r="KI20">
        <v>9.63054</v>
      </c>
      <c r="KJ20">
        <v>96.7099</v>
      </c>
      <c r="KK20">
        <v>94.6912</v>
      </c>
    </row>
    <row r="21" spans="1:297">
      <c r="A21">
        <v>5</v>
      </c>
      <c r="B21">
        <v>1761499474.1</v>
      </c>
      <c r="C21">
        <v>291</v>
      </c>
      <c r="D21" t="s">
        <v>455</v>
      </c>
      <c r="E21" t="s">
        <v>456</v>
      </c>
      <c r="F21">
        <v>5</v>
      </c>
      <c r="G21" t="s">
        <v>435</v>
      </c>
      <c r="H21" t="s">
        <v>436</v>
      </c>
      <c r="I21">
        <v>1761499465.6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424.089871951285</v>
      </c>
      <c r="AK21">
        <v>417.656933333333</v>
      </c>
      <c r="AL21">
        <v>0.000135246012607956</v>
      </c>
      <c r="AM21">
        <v>64.9498169483088</v>
      </c>
      <c r="AN21">
        <f>(AP21 - AO21 + DY21*1E3/(8.314*(EA21+273.15)) * AR21/DX21 * AQ21) * DX21/(100*DL21) * 1000/(1000 - AP21)</f>
        <v>0</v>
      </c>
      <c r="AO21">
        <v>9.70596597903173</v>
      </c>
      <c r="AP21">
        <v>11.8636357575758</v>
      </c>
      <c r="AQ21">
        <v>2.2599929364487e-06</v>
      </c>
      <c r="AR21">
        <v>102.986315029664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5122.83</v>
      </c>
      <c r="AZ21">
        <v>725.773076923077</v>
      </c>
      <c r="BA21">
        <v>1875.06470258429</v>
      </c>
      <c r="BB21">
        <f>1-AZ21/BA21</f>
        <v>0</v>
      </c>
      <c r="BC21">
        <v>-0.561050853640744</v>
      </c>
      <c r="BD21" t="s">
        <v>457</v>
      </c>
      <c r="BE21">
        <v>5117.52</v>
      </c>
      <c r="BF21">
        <v>849.85116</v>
      </c>
      <c r="BG21">
        <v>1890.87326062762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458</v>
      </c>
      <c r="BQ21">
        <v>751.73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296</v>
      </c>
      <c r="CA21">
        <v>290</v>
      </c>
      <c r="CB21">
        <v>1802.62</v>
      </c>
      <c r="CC21">
        <v>295</v>
      </c>
      <c r="CD21">
        <v>5117.52</v>
      </c>
      <c r="CE21">
        <v>1803.55</v>
      </c>
      <c r="CF21">
        <v>-0.93</v>
      </c>
      <c r="CG21">
        <v>300</v>
      </c>
      <c r="CH21">
        <v>23.9</v>
      </c>
      <c r="CI21">
        <v>1890.87326062762</v>
      </c>
      <c r="CJ21">
        <v>1.46281356244346</v>
      </c>
      <c r="CK21">
        <v>-44.6893504484444</v>
      </c>
      <c r="CL21">
        <v>0.651872936092048</v>
      </c>
      <c r="CM21">
        <v>0.994077621695301</v>
      </c>
      <c r="CN21">
        <v>-0.00410517463848721</v>
      </c>
      <c r="CO21">
        <v>290</v>
      </c>
      <c r="CP21">
        <v>1800.22</v>
      </c>
      <c r="CQ21">
        <v>685</v>
      </c>
      <c r="CR21">
        <v>5116.66</v>
      </c>
      <c r="CS21">
        <v>1803.53</v>
      </c>
      <c r="CT21">
        <v>-3.31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1761499465.6</v>
      </c>
      <c r="DR21">
        <v>412.685625</v>
      </c>
      <c r="DS21">
        <v>419.988375</v>
      </c>
      <c r="DT21">
        <v>11.86363125</v>
      </c>
      <c r="DU21">
        <v>9.696659375</v>
      </c>
      <c r="DV21">
        <v>409.9215</v>
      </c>
      <c r="DW21">
        <v>11.90604375</v>
      </c>
      <c r="DX21">
        <v>500.0154375</v>
      </c>
      <c r="DY21">
        <v>90.21030625</v>
      </c>
      <c r="DZ21">
        <v>0.02170753125</v>
      </c>
      <c r="EA21">
        <v>18.64068125</v>
      </c>
      <c r="EB21">
        <v>18.07259375</v>
      </c>
      <c r="EC21">
        <v>999.9</v>
      </c>
      <c r="ED21">
        <v>0</v>
      </c>
      <c r="EE21">
        <v>0</v>
      </c>
      <c r="EF21">
        <v>10002.9325</v>
      </c>
      <c r="EG21">
        <v>0</v>
      </c>
      <c r="EH21">
        <v>1253.629375</v>
      </c>
      <c r="EI21">
        <v>-7.302621875</v>
      </c>
      <c r="EJ21">
        <v>417.6404375</v>
      </c>
      <c r="EK21">
        <v>424.1005</v>
      </c>
      <c r="EL21">
        <v>2.166975625</v>
      </c>
      <c r="EM21">
        <v>419.988375</v>
      </c>
      <c r="EN21">
        <v>9.696659375</v>
      </c>
      <c r="EO21">
        <v>1.07022375</v>
      </c>
      <c r="EP21">
        <v>0.8747388125</v>
      </c>
      <c r="EQ21">
        <v>7.9091425</v>
      </c>
      <c r="ER21">
        <v>4.9817125</v>
      </c>
      <c r="ES21">
        <v>150.035</v>
      </c>
      <c r="ET21">
        <v>0.9000683125</v>
      </c>
      <c r="EU21">
        <v>0.09993188125</v>
      </c>
      <c r="EV21">
        <v>0</v>
      </c>
      <c r="EW21">
        <v>849.8268125</v>
      </c>
      <c r="EX21">
        <v>5.00059</v>
      </c>
      <c r="EY21">
        <v>1236.913125</v>
      </c>
      <c r="EZ21">
        <v>1232.175625</v>
      </c>
      <c r="FA21">
        <v>36.1013125</v>
      </c>
      <c r="FB21">
        <v>39.445125</v>
      </c>
      <c r="FC21">
        <v>37.5270625</v>
      </c>
      <c r="FD21">
        <v>38.9685</v>
      </c>
      <c r="FE21">
        <v>37.5466875</v>
      </c>
      <c r="FF21">
        <v>130.54</v>
      </c>
      <c r="FG21">
        <v>14.49</v>
      </c>
      <c r="FH21">
        <v>0</v>
      </c>
      <c r="FI21">
        <v>152.600000143051</v>
      </c>
      <c r="FJ21">
        <v>0</v>
      </c>
      <c r="FK21">
        <v>849.85116</v>
      </c>
      <c r="FL21">
        <v>1.08438462651919</v>
      </c>
      <c r="FM21">
        <v>-1.87153850090811</v>
      </c>
      <c r="FN21">
        <v>1236.6228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-7.305165</v>
      </c>
      <c r="GD21">
        <v>0.159871578947373</v>
      </c>
      <c r="GE21">
        <v>0.024754359515043</v>
      </c>
      <c r="GF21">
        <v>1</v>
      </c>
      <c r="GG21">
        <v>849.832735294118</v>
      </c>
      <c r="GH21">
        <v>0.208907565551648</v>
      </c>
      <c r="GI21">
        <v>0.178927410326337</v>
      </c>
      <c r="GJ21">
        <v>-1</v>
      </c>
      <c r="GK21">
        <v>2.167558</v>
      </c>
      <c r="GL21">
        <v>-0.0483636090225587</v>
      </c>
      <c r="GM21">
        <v>0.00640058091113607</v>
      </c>
      <c r="GN21">
        <v>1</v>
      </c>
      <c r="GO21">
        <v>2</v>
      </c>
      <c r="GP21">
        <v>2</v>
      </c>
      <c r="GQ21" t="s">
        <v>442</v>
      </c>
      <c r="GR21">
        <v>3.12984</v>
      </c>
      <c r="GS21">
        <v>2.6995</v>
      </c>
      <c r="GT21">
        <v>0.0879912</v>
      </c>
      <c r="GU21">
        <v>0.0897613</v>
      </c>
      <c r="GV21">
        <v>0.0612867</v>
      </c>
      <c r="GW21">
        <v>0.0526083</v>
      </c>
      <c r="GX21">
        <v>34403.9</v>
      </c>
      <c r="GY21">
        <v>36801.5</v>
      </c>
      <c r="GZ21">
        <v>34126.9</v>
      </c>
      <c r="HA21">
        <v>36603.4</v>
      </c>
      <c r="HB21">
        <v>45236.4</v>
      </c>
      <c r="HC21">
        <v>49745.7</v>
      </c>
      <c r="HD21">
        <v>53184.5</v>
      </c>
      <c r="HE21">
        <v>58420.2</v>
      </c>
      <c r="HF21">
        <v>1.96378</v>
      </c>
      <c r="HG21">
        <v>1.7965</v>
      </c>
      <c r="HH21">
        <v>-0.0487119</v>
      </c>
      <c r="HI21">
        <v>0</v>
      </c>
      <c r="HJ21">
        <v>18.8848</v>
      </c>
      <c r="HK21">
        <v>999.9</v>
      </c>
      <c r="HL21">
        <v>33.14</v>
      </c>
      <c r="HM21">
        <v>28.993</v>
      </c>
      <c r="HN21">
        <v>14.7677</v>
      </c>
      <c r="HO21">
        <v>55.4278</v>
      </c>
      <c r="HP21">
        <v>47.5641</v>
      </c>
      <c r="HQ21">
        <v>1</v>
      </c>
      <c r="HR21">
        <v>0.0210544</v>
      </c>
      <c r="HS21">
        <v>5.814</v>
      </c>
      <c r="HT21">
        <v>20.0502</v>
      </c>
      <c r="HU21">
        <v>5.20022</v>
      </c>
      <c r="HV21">
        <v>12.0076</v>
      </c>
      <c r="HW21">
        <v>4.97565</v>
      </c>
      <c r="HX21">
        <v>3.294</v>
      </c>
      <c r="HY21">
        <v>9999</v>
      </c>
      <c r="HZ21">
        <v>999.9</v>
      </c>
      <c r="IA21">
        <v>9999</v>
      </c>
      <c r="IB21">
        <v>9999</v>
      </c>
      <c r="IC21">
        <v>1.86311</v>
      </c>
      <c r="ID21">
        <v>1.86805</v>
      </c>
      <c r="IE21">
        <v>1.86783</v>
      </c>
      <c r="IF21">
        <v>1.86905</v>
      </c>
      <c r="IG21">
        <v>1.86983</v>
      </c>
      <c r="IH21">
        <v>1.86588</v>
      </c>
      <c r="II21">
        <v>1.867</v>
      </c>
      <c r="IJ21">
        <v>1.86835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2.765</v>
      </c>
      <c r="IY21">
        <v>-0.0424</v>
      </c>
      <c r="IZ21">
        <v>1.07540948637381</v>
      </c>
      <c r="JA21">
        <v>0.0043402248696239</v>
      </c>
      <c r="JB21">
        <v>-6.09475981766997e-07</v>
      </c>
      <c r="JC21">
        <v>1.76646249085242e-10</v>
      </c>
      <c r="JD21">
        <v>-0.0887419319460927</v>
      </c>
      <c r="JE21">
        <v>-0.0249687719874024</v>
      </c>
      <c r="JF21">
        <v>0.00293551823329282</v>
      </c>
      <c r="JG21">
        <v>-4.29659942473584e-05</v>
      </c>
      <c r="JH21">
        <v>5</v>
      </c>
      <c r="JI21">
        <v>2275</v>
      </c>
      <c r="JJ21">
        <v>1</v>
      </c>
      <c r="JK21">
        <v>23</v>
      </c>
      <c r="JL21">
        <v>29358324.6</v>
      </c>
      <c r="JM21">
        <v>29358324.6</v>
      </c>
      <c r="JN21">
        <v>0.993652</v>
      </c>
      <c r="JO21">
        <v>2.62573</v>
      </c>
      <c r="JP21">
        <v>1.54785</v>
      </c>
      <c r="JQ21">
        <v>2.31323</v>
      </c>
      <c r="JR21">
        <v>1.64673</v>
      </c>
      <c r="JS21">
        <v>2.2937</v>
      </c>
      <c r="JT21">
        <v>32.7758</v>
      </c>
      <c r="JU21">
        <v>24.1751</v>
      </c>
      <c r="JV21">
        <v>18</v>
      </c>
      <c r="JW21">
        <v>504.041</v>
      </c>
      <c r="JX21">
        <v>397.312</v>
      </c>
      <c r="JY21">
        <v>12.4846</v>
      </c>
      <c r="JZ21">
        <v>27.439</v>
      </c>
      <c r="KA21">
        <v>30.0002</v>
      </c>
      <c r="KB21">
        <v>27.4365</v>
      </c>
      <c r="KC21">
        <v>27.3942</v>
      </c>
      <c r="KD21">
        <v>19.908</v>
      </c>
      <c r="KE21">
        <v>22.4986</v>
      </c>
      <c r="KF21">
        <v>1.07137</v>
      </c>
      <c r="KG21">
        <v>12.4176</v>
      </c>
      <c r="KH21">
        <v>420</v>
      </c>
      <c r="KI21">
        <v>9.78353</v>
      </c>
      <c r="KJ21">
        <v>96.7161</v>
      </c>
      <c r="KK21">
        <v>94.7035</v>
      </c>
    </row>
    <row r="22" spans="1:297">
      <c r="A22">
        <v>6</v>
      </c>
      <c r="B22">
        <v>1761499584</v>
      </c>
      <c r="C22">
        <v>400.900000095367</v>
      </c>
      <c r="D22" t="s">
        <v>459</v>
      </c>
      <c r="E22" t="s">
        <v>460</v>
      </c>
      <c r="F22">
        <v>5</v>
      </c>
      <c r="G22" t="s">
        <v>435</v>
      </c>
      <c r="H22" t="s">
        <v>436</v>
      </c>
      <c r="I22">
        <v>1761499575.55625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424.183993730568</v>
      </c>
      <c r="AK22">
        <v>422.147549803192</v>
      </c>
      <c r="AL22">
        <v>0.000215708271114467</v>
      </c>
      <c r="AM22">
        <v>64.9498169483088</v>
      </c>
      <c r="AN22">
        <f>(AP22 - AO22 + DY22*1E3/(8.314*(EA22+273.15)) * AR22/DX22 * AQ22) * DX22/(100*DL22) * 1000/(1000 - AP22)</f>
        <v>0</v>
      </c>
      <c r="AO22">
        <v>9.81322148905086</v>
      </c>
      <c r="AP22">
        <v>11.9629612672254</v>
      </c>
      <c r="AQ22">
        <v>-2.21544069757579e-05</v>
      </c>
      <c r="AR22">
        <v>102.986315029664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5122.83</v>
      </c>
      <c r="AZ22">
        <v>725.773076923077</v>
      </c>
      <c r="BA22">
        <v>1875.06470258429</v>
      </c>
      <c r="BB22">
        <f>1-AZ22/BA22</f>
        <v>0</v>
      </c>
      <c r="BC22">
        <v>-0.561050853640744</v>
      </c>
      <c r="BD22" t="s">
        <v>461</v>
      </c>
      <c r="BE22">
        <v>5109.72</v>
      </c>
      <c r="BF22">
        <v>783.878</v>
      </c>
      <c r="BG22">
        <v>1930.51155876641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462</v>
      </c>
      <c r="BQ22">
        <v>751.33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298</v>
      </c>
      <c r="CA22">
        <v>290</v>
      </c>
      <c r="CB22">
        <v>1841.41</v>
      </c>
      <c r="CC22">
        <v>285</v>
      </c>
      <c r="CD22">
        <v>5109.72</v>
      </c>
      <c r="CE22">
        <v>1842.35</v>
      </c>
      <c r="CF22">
        <v>-0.94</v>
      </c>
      <c r="CG22">
        <v>300</v>
      </c>
      <c r="CH22">
        <v>23.9</v>
      </c>
      <c r="CI22">
        <v>1930.51155876641</v>
      </c>
      <c r="CJ22">
        <v>1.49784891525527</v>
      </c>
      <c r="CK22">
        <v>-45.0476755423572</v>
      </c>
      <c r="CL22">
        <v>0.664299935421098</v>
      </c>
      <c r="CM22">
        <v>0.993947911021521</v>
      </c>
      <c r="CN22">
        <v>-0.00418277152391546</v>
      </c>
      <c r="CO22">
        <v>290</v>
      </c>
      <c r="CP22">
        <v>1840.26</v>
      </c>
      <c r="CQ22">
        <v>665</v>
      </c>
      <c r="CR22">
        <v>5109.11</v>
      </c>
      <c r="CS22">
        <v>1842.34</v>
      </c>
      <c r="CT22">
        <v>-2.08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1761499575.55625</v>
      </c>
      <c r="DR22">
        <v>417.079375</v>
      </c>
      <c r="DS22">
        <v>419.996125</v>
      </c>
      <c r="DT22">
        <v>11.96706875</v>
      </c>
      <c r="DU22">
        <v>9.816514375</v>
      </c>
      <c r="DV22">
        <v>414.2976875</v>
      </c>
      <c r="DW22">
        <v>12.00678125</v>
      </c>
      <c r="DX22">
        <v>500.001125</v>
      </c>
      <c r="DY22">
        <v>90.21198125</v>
      </c>
      <c r="DZ22">
        <v>0.02163185625</v>
      </c>
      <c r="EA22">
        <v>18.60574375</v>
      </c>
      <c r="EB22">
        <v>18.0064875</v>
      </c>
      <c r="EC22">
        <v>999.9</v>
      </c>
      <c r="ED22">
        <v>0</v>
      </c>
      <c r="EE22">
        <v>0</v>
      </c>
      <c r="EF22">
        <v>9995.3475</v>
      </c>
      <c r="EG22">
        <v>0</v>
      </c>
      <c r="EH22">
        <v>1253.66125</v>
      </c>
      <c r="EI22">
        <v>-2.916810625</v>
      </c>
      <c r="EJ22">
        <v>422.1310625</v>
      </c>
      <c r="EK22">
        <v>424.1598125</v>
      </c>
      <c r="EL22">
        <v>2.150556875</v>
      </c>
      <c r="EM22">
        <v>419.996125</v>
      </c>
      <c r="EN22">
        <v>9.816514375</v>
      </c>
      <c r="EO22">
        <v>1.07957375</v>
      </c>
      <c r="EP22">
        <v>0.88556725</v>
      </c>
      <c r="EQ22">
        <v>8.036974375</v>
      </c>
      <c r="ER22">
        <v>5.158309375</v>
      </c>
      <c r="ES22">
        <v>49.99445625</v>
      </c>
      <c r="ET22">
        <v>0.8999511875</v>
      </c>
      <c r="EU22">
        <v>0.10004883125</v>
      </c>
      <c r="EV22">
        <v>0</v>
      </c>
      <c r="EW22">
        <v>783.805875</v>
      </c>
      <c r="EX22">
        <v>5.00059</v>
      </c>
      <c r="EY22">
        <v>376.0486875</v>
      </c>
      <c r="EZ22">
        <v>382.2433125</v>
      </c>
      <c r="FA22">
        <v>34.874625</v>
      </c>
      <c r="FB22">
        <v>38.3239375</v>
      </c>
      <c r="FC22">
        <v>36.37075</v>
      </c>
      <c r="FD22">
        <v>37.7731875</v>
      </c>
      <c r="FE22">
        <v>36.4373125</v>
      </c>
      <c r="FF22">
        <v>40.4925</v>
      </c>
      <c r="FG22">
        <v>4.5</v>
      </c>
      <c r="FH22">
        <v>0</v>
      </c>
      <c r="FI22">
        <v>107.099999904633</v>
      </c>
      <c r="FJ22">
        <v>0</v>
      </c>
      <c r="FK22">
        <v>783.878</v>
      </c>
      <c r="FL22">
        <v>1.74376923464603</v>
      </c>
      <c r="FM22">
        <v>-1.34307691558544</v>
      </c>
      <c r="FN22">
        <v>376.06584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-2.93862857142857</v>
      </c>
      <c r="GD22">
        <v>0.323296785764705</v>
      </c>
      <c r="GE22">
        <v>0.053410147893066</v>
      </c>
      <c r="GF22">
        <v>1</v>
      </c>
      <c r="GG22">
        <v>783.725882352941</v>
      </c>
      <c r="GH22">
        <v>1.66554622081216</v>
      </c>
      <c r="GI22">
        <v>0.243572403139048</v>
      </c>
      <c r="GJ22">
        <v>-1</v>
      </c>
      <c r="GK22">
        <v>2.15081</v>
      </c>
      <c r="GL22">
        <v>-0.00149006060091581</v>
      </c>
      <c r="GM22">
        <v>0.000882442497789402</v>
      </c>
      <c r="GN22">
        <v>1</v>
      </c>
      <c r="GO22">
        <v>2</v>
      </c>
      <c r="GP22">
        <v>2</v>
      </c>
      <c r="GQ22" t="s">
        <v>442</v>
      </c>
      <c r="GR22">
        <v>3.1298</v>
      </c>
      <c r="GS22">
        <v>2.69954</v>
      </c>
      <c r="GT22">
        <v>0.0887226</v>
      </c>
      <c r="GU22">
        <v>0.0897631</v>
      </c>
      <c r="GV22">
        <v>0.0616898</v>
      </c>
      <c r="GW22">
        <v>0.0530672</v>
      </c>
      <c r="GX22">
        <v>34380.7</v>
      </c>
      <c r="GY22">
        <v>36807.8</v>
      </c>
      <c r="GZ22">
        <v>34130.8</v>
      </c>
      <c r="HA22">
        <v>36609.3</v>
      </c>
      <c r="HB22">
        <v>45221.3</v>
      </c>
      <c r="HC22">
        <v>49729.1</v>
      </c>
      <c r="HD22">
        <v>53189.9</v>
      </c>
      <c r="HE22">
        <v>58429.1</v>
      </c>
      <c r="HF22">
        <v>1.96467</v>
      </c>
      <c r="HG22">
        <v>1.7975</v>
      </c>
      <c r="HH22">
        <v>-0.0604317</v>
      </c>
      <c r="HI22">
        <v>0</v>
      </c>
      <c r="HJ22">
        <v>19.0047</v>
      </c>
      <c r="HK22">
        <v>999.9</v>
      </c>
      <c r="HL22">
        <v>32.688</v>
      </c>
      <c r="HM22">
        <v>29.003</v>
      </c>
      <c r="HN22">
        <v>14.5746</v>
      </c>
      <c r="HO22">
        <v>55.5578</v>
      </c>
      <c r="HP22">
        <v>47.52</v>
      </c>
      <c r="HQ22">
        <v>1</v>
      </c>
      <c r="HR22">
        <v>0.0147866</v>
      </c>
      <c r="HS22">
        <v>5.56541</v>
      </c>
      <c r="HT22">
        <v>20.061</v>
      </c>
      <c r="HU22">
        <v>5.20022</v>
      </c>
      <c r="HV22">
        <v>12.0059</v>
      </c>
      <c r="HW22">
        <v>4.97565</v>
      </c>
      <c r="HX22">
        <v>3.294</v>
      </c>
      <c r="HY22">
        <v>9999</v>
      </c>
      <c r="HZ22">
        <v>999.9</v>
      </c>
      <c r="IA22">
        <v>9999</v>
      </c>
      <c r="IB22">
        <v>9999</v>
      </c>
      <c r="IC22">
        <v>1.86315</v>
      </c>
      <c r="ID22">
        <v>1.86808</v>
      </c>
      <c r="IE22">
        <v>1.86783</v>
      </c>
      <c r="IF22">
        <v>1.86905</v>
      </c>
      <c r="IG22">
        <v>1.86982</v>
      </c>
      <c r="IH22">
        <v>1.86586</v>
      </c>
      <c r="II22">
        <v>1.86699</v>
      </c>
      <c r="IJ22">
        <v>1.86837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2.782</v>
      </c>
      <c r="IY22">
        <v>-0.0399</v>
      </c>
      <c r="IZ22">
        <v>1.07540948637381</v>
      </c>
      <c r="JA22">
        <v>0.0043402248696239</v>
      </c>
      <c r="JB22">
        <v>-6.09475981766997e-07</v>
      </c>
      <c r="JC22">
        <v>1.76646249085242e-10</v>
      </c>
      <c r="JD22">
        <v>-0.0887419319460927</v>
      </c>
      <c r="JE22">
        <v>-0.0249687719874024</v>
      </c>
      <c r="JF22">
        <v>0.00293551823329282</v>
      </c>
      <c r="JG22">
        <v>-4.29659942473584e-05</v>
      </c>
      <c r="JH22">
        <v>5</v>
      </c>
      <c r="JI22">
        <v>2275</v>
      </c>
      <c r="JJ22">
        <v>1</v>
      </c>
      <c r="JK22">
        <v>23</v>
      </c>
      <c r="JL22">
        <v>29358326.4</v>
      </c>
      <c r="JM22">
        <v>29358326.4</v>
      </c>
      <c r="JN22">
        <v>0.993652</v>
      </c>
      <c r="JO22">
        <v>2.62085</v>
      </c>
      <c r="JP22">
        <v>1.54785</v>
      </c>
      <c r="JQ22">
        <v>2.31323</v>
      </c>
      <c r="JR22">
        <v>1.64673</v>
      </c>
      <c r="JS22">
        <v>2.34497</v>
      </c>
      <c r="JT22">
        <v>32.7535</v>
      </c>
      <c r="JU22">
        <v>24.1838</v>
      </c>
      <c r="JV22">
        <v>18</v>
      </c>
      <c r="JW22">
        <v>504.194</v>
      </c>
      <c r="JX22">
        <v>397.539</v>
      </c>
      <c r="JY22">
        <v>12.3819</v>
      </c>
      <c r="JZ22">
        <v>27.3716</v>
      </c>
      <c r="KA22">
        <v>30</v>
      </c>
      <c r="KB22">
        <v>27.3878</v>
      </c>
      <c r="KC22">
        <v>27.3484</v>
      </c>
      <c r="KD22">
        <v>19.9145</v>
      </c>
      <c r="KE22">
        <v>21.3755</v>
      </c>
      <c r="KF22">
        <v>0</v>
      </c>
      <c r="KG22">
        <v>12.381</v>
      </c>
      <c r="KH22">
        <v>420</v>
      </c>
      <c r="KI22">
        <v>9.8474</v>
      </c>
      <c r="KJ22">
        <v>96.7263</v>
      </c>
      <c r="KK22">
        <v>94.7183</v>
      </c>
    </row>
    <row r="23" spans="1:297">
      <c r="A23">
        <v>7</v>
      </c>
      <c r="B23">
        <v>1761499693</v>
      </c>
      <c r="C23">
        <v>509.900000095367</v>
      </c>
      <c r="D23" t="s">
        <v>463</v>
      </c>
      <c r="E23" t="s">
        <v>464</v>
      </c>
      <c r="F23">
        <v>5</v>
      </c>
      <c r="G23" t="s">
        <v>435</v>
      </c>
      <c r="H23" t="s">
        <v>436</v>
      </c>
      <c r="I23">
        <v>1761499685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424.150993277251</v>
      </c>
      <c r="AK23">
        <v>424.665042424242</v>
      </c>
      <c r="AL23">
        <v>0.00158552004374022</v>
      </c>
      <c r="AM23">
        <v>64.9498169483088</v>
      </c>
      <c r="AN23">
        <f>(AP23 - AO23 + DY23*1E3/(8.314*(EA23+273.15)) * AR23/DX23 * AQ23) * DX23/(100*DL23) * 1000/(1000 - AP23)</f>
        <v>0</v>
      </c>
      <c r="AO23">
        <v>9.7486102676778</v>
      </c>
      <c r="AP23">
        <v>11.9023860606061</v>
      </c>
      <c r="AQ23">
        <v>-3.13212980952436e-05</v>
      </c>
      <c r="AR23">
        <v>102.986315029664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465</v>
      </c>
      <c r="AY23">
        <v>5105.63</v>
      </c>
      <c r="AZ23">
        <v>732.564</v>
      </c>
      <c r="BA23">
        <v>1966.12541795925</v>
      </c>
      <c r="BB23">
        <f>1-AZ23/BA23</f>
        <v>0</v>
      </c>
      <c r="BC23">
        <v>-0.430512489308486</v>
      </c>
      <c r="BD23" t="s">
        <v>448</v>
      </c>
      <c r="BE23" t="s">
        <v>448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448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300</v>
      </c>
      <c r="CA23">
        <v>290</v>
      </c>
      <c r="CB23">
        <v>1874.68</v>
      </c>
      <c r="CC23">
        <v>265</v>
      </c>
      <c r="CD23">
        <v>5105.63</v>
      </c>
      <c r="CE23">
        <v>1874.4</v>
      </c>
      <c r="CF23">
        <v>0.28</v>
      </c>
      <c r="CG23">
        <v>300</v>
      </c>
      <c r="CH23">
        <v>23.8</v>
      </c>
      <c r="CI23">
        <v>1966.12541795925</v>
      </c>
      <c r="CJ23">
        <v>1.36659239361339</v>
      </c>
      <c r="CK23">
        <v>-46.8340883350739</v>
      </c>
      <c r="CL23">
        <v>0.604668843901243</v>
      </c>
      <c r="CM23">
        <v>0.995354346753218</v>
      </c>
      <c r="CN23">
        <v>-0.00421772102335929</v>
      </c>
      <c r="CO23">
        <v>290</v>
      </c>
      <c r="CP23">
        <v>1871.69</v>
      </c>
      <c r="CQ23">
        <v>725</v>
      </c>
      <c r="CR23">
        <v>5104.4</v>
      </c>
      <c r="CS23">
        <v>1874.37</v>
      </c>
      <c r="CT23">
        <v>-2.68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1761499685</v>
      </c>
      <c r="DR23">
        <v>419.5356</v>
      </c>
      <c r="DS23">
        <v>420.0038</v>
      </c>
      <c r="DT23">
        <v>11.90818</v>
      </c>
      <c r="DU23">
        <v>9.75176466666667</v>
      </c>
      <c r="DV23">
        <v>416.744533333333</v>
      </c>
      <c r="DW23">
        <v>11.9494466666667</v>
      </c>
      <c r="DX23">
        <v>499.993266666667</v>
      </c>
      <c r="DY23">
        <v>90.2101133333333</v>
      </c>
      <c r="DZ23">
        <v>0.0215567133333333</v>
      </c>
      <c r="EA23">
        <v>18.5793133333333</v>
      </c>
      <c r="EB23">
        <v>17.9865333333333</v>
      </c>
      <c r="EC23">
        <v>999.9</v>
      </c>
      <c r="ED23">
        <v>0</v>
      </c>
      <c r="EE23">
        <v>0</v>
      </c>
      <c r="EF23">
        <v>9994.75066666667</v>
      </c>
      <c r="EG23">
        <v>0</v>
      </c>
      <c r="EH23">
        <v>1253.50866666667</v>
      </c>
      <c r="EI23">
        <v>-0.468235266666667</v>
      </c>
      <c r="EJ23">
        <v>424.5916</v>
      </c>
      <c r="EK23">
        <v>424.139933333333</v>
      </c>
      <c r="EL23">
        <v>2.15642066666667</v>
      </c>
      <c r="EM23">
        <v>420.0038</v>
      </c>
      <c r="EN23">
        <v>9.75176466666667</v>
      </c>
      <c r="EO23">
        <v>1.07423733333333</v>
      </c>
      <c r="EP23">
        <v>0.8797078</v>
      </c>
      <c r="EQ23">
        <v>7.96416466666667</v>
      </c>
      <c r="ER23">
        <v>5.06298866666667</v>
      </c>
      <c r="ES23">
        <v>0.00500059</v>
      </c>
      <c r="ET23">
        <v>0</v>
      </c>
      <c r="EU23">
        <v>0</v>
      </c>
      <c r="EV23">
        <v>0</v>
      </c>
      <c r="EW23">
        <v>732.566666666666</v>
      </c>
      <c r="EX23">
        <v>0.00500059</v>
      </c>
      <c r="EY23">
        <v>20.9933333333333</v>
      </c>
      <c r="EZ23">
        <v>-0.76</v>
      </c>
      <c r="FA23">
        <v>34.5914</v>
      </c>
      <c r="FB23">
        <v>39.6164666666667</v>
      </c>
      <c r="FC23">
        <v>36.6914666666667</v>
      </c>
      <c r="FD23">
        <v>39.0122</v>
      </c>
      <c r="FE23">
        <v>36.4998666666667</v>
      </c>
      <c r="FF23">
        <v>0</v>
      </c>
      <c r="FG23">
        <v>0</v>
      </c>
      <c r="FH23">
        <v>0</v>
      </c>
      <c r="FI23">
        <v>106.099999904633</v>
      </c>
      <c r="FJ23">
        <v>0</v>
      </c>
      <c r="FK23">
        <v>732.564</v>
      </c>
      <c r="FL23">
        <v>-23.4769234867482</v>
      </c>
      <c r="FM23">
        <v>23.1153848798317</v>
      </c>
      <c r="FN23">
        <v>20.776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-0.491845952380952</v>
      </c>
      <c r="GD23">
        <v>0.482960571428571</v>
      </c>
      <c r="GE23">
        <v>0.0530590713939493</v>
      </c>
      <c r="GF23">
        <v>1</v>
      </c>
      <c r="GG23">
        <v>732.579411764706</v>
      </c>
      <c r="GH23">
        <v>-5.47746388201636</v>
      </c>
      <c r="GI23">
        <v>5.99253356081621</v>
      </c>
      <c r="GJ23">
        <v>-1</v>
      </c>
      <c r="GK23">
        <v>2.15664095238095</v>
      </c>
      <c r="GL23">
        <v>-0.00565480519480299</v>
      </c>
      <c r="GM23">
        <v>0.000670038412274182</v>
      </c>
      <c r="GN23">
        <v>1</v>
      </c>
      <c r="GO23">
        <v>2</v>
      </c>
      <c r="GP23">
        <v>2</v>
      </c>
      <c r="GQ23" t="s">
        <v>442</v>
      </c>
      <c r="GR23">
        <v>3.12976</v>
      </c>
      <c r="GS23">
        <v>2.69942</v>
      </c>
      <c r="GT23">
        <v>0.0891404</v>
      </c>
      <c r="GU23">
        <v>0.0897714</v>
      </c>
      <c r="GV23">
        <v>0.0614531</v>
      </c>
      <c r="GW23">
        <v>0.0527937</v>
      </c>
      <c r="GX23">
        <v>34367.9</v>
      </c>
      <c r="GY23">
        <v>36811.5</v>
      </c>
      <c r="GZ23">
        <v>34133.6</v>
      </c>
      <c r="HA23">
        <v>36613.1</v>
      </c>
      <c r="HB23">
        <v>45235.8</v>
      </c>
      <c r="HC23">
        <v>49748.9</v>
      </c>
      <c r="HD23">
        <v>53193.2</v>
      </c>
      <c r="HE23">
        <v>58435.2</v>
      </c>
      <c r="HF23">
        <v>1.96507</v>
      </c>
      <c r="HG23">
        <v>1.79797</v>
      </c>
      <c r="HH23">
        <v>-0.065282</v>
      </c>
      <c r="HI23">
        <v>0</v>
      </c>
      <c r="HJ23">
        <v>19.0744</v>
      </c>
      <c r="HK23">
        <v>999.9</v>
      </c>
      <c r="HL23">
        <v>32.292</v>
      </c>
      <c r="HM23">
        <v>29.064</v>
      </c>
      <c r="HN23">
        <v>14.4501</v>
      </c>
      <c r="HO23">
        <v>55.3379</v>
      </c>
      <c r="HP23">
        <v>47.2796</v>
      </c>
      <c r="HQ23">
        <v>1</v>
      </c>
      <c r="HR23">
        <v>0.00935213</v>
      </c>
      <c r="HS23">
        <v>5.20279</v>
      </c>
      <c r="HT23">
        <v>20.0753</v>
      </c>
      <c r="HU23">
        <v>5.19977</v>
      </c>
      <c r="HV23">
        <v>12.0056</v>
      </c>
      <c r="HW23">
        <v>4.97565</v>
      </c>
      <c r="HX23">
        <v>3.294</v>
      </c>
      <c r="HY23">
        <v>9999</v>
      </c>
      <c r="HZ23">
        <v>999.9</v>
      </c>
      <c r="IA23">
        <v>9999</v>
      </c>
      <c r="IB23">
        <v>9999</v>
      </c>
      <c r="IC23">
        <v>1.86313</v>
      </c>
      <c r="ID23">
        <v>1.86807</v>
      </c>
      <c r="IE23">
        <v>1.86783</v>
      </c>
      <c r="IF23">
        <v>1.86905</v>
      </c>
      <c r="IG23">
        <v>1.86981</v>
      </c>
      <c r="IH23">
        <v>1.86586</v>
      </c>
      <c r="II23">
        <v>1.86701</v>
      </c>
      <c r="IJ23">
        <v>1.86836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2.791</v>
      </c>
      <c r="IY23">
        <v>-0.0415</v>
      </c>
      <c r="IZ23">
        <v>1.07540948637381</v>
      </c>
      <c r="JA23">
        <v>0.0043402248696239</v>
      </c>
      <c r="JB23">
        <v>-6.09475981766997e-07</v>
      </c>
      <c r="JC23">
        <v>1.76646249085242e-10</v>
      </c>
      <c r="JD23">
        <v>-0.0887419319460927</v>
      </c>
      <c r="JE23">
        <v>-0.0249687719874024</v>
      </c>
      <c r="JF23">
        <v>0.00293551823329282</v>
      </c>
      <c r="JG23">
        <v>-4.29659942473584e-05</v>
      </c>
      <c r="JH23">
        <v>5</v>
      </c>
      <c r="JI23">
        <v>2275</v>
      </c>
      <c r="JJ23">
        <v>1</v>
      </c>
      <c r="JK23">
        <v>23</v>
      </c>
      <c r="JL23">
        <v>29358328.2</v>
      </c>
      <c r="JM23">
        <v>29358328.2</v>
      </c>
      <c r="JN23">
        <v>0.993652</v>
      </c>
      <c r="JO23">
        <v>2.62817</v>
      </c>
      <c r="JP23">
        <v>1.54785</v>
      </c>
      <c r="JQ23">
        <v>2.31323</v>
      </c>
      <c r="JR23">
        <v>1.64673</v>
      </c>
      <c r="JS23">
        <v>2.25708</v>
      </c>
      <c r="JT23">
        <v>32.7313</v>
      </c>
      <c r="JU23">
        <v>24.1838</v>
      </c>
      <c r="JV23">
        <v>18</v>
      </c>
      <c r="JW23">
        <v>504.046</v>
      </c>
      <c r="JX23">
        <v>397.489</v>
      </c>
      <c r="JY23">
        <v>12.6838</v>
      </c>
      <c r="JZ23">
        <v>27.32</v>
      </c>
      <c r="KA23">
        <v>30.0001</v>
      </c>
      <c r="KB23">
        <v>27.3421</v>
      </c>
      <c r="KC23">
        <v>27.3037</v>
      </c>
      <c r="KD23">
        <v>19.9177</v>
      </c>
      <c r="KE23">
        <v>21.3755</v>
      </c>
      <c r="KF23">
        <v>0</v>
      </c>
      <c r="KG23">
        <v>12.6866</v>
      </c>
      <c r="KH23">
        <v>420</v>
      </c>
      <c r="KI23">
        <v>9.78667</v>
      </c>
      <c r="KJ23">
        <v>96.7331</v>
      </c>
      <c r="KK23">
        <v>94.7281</v>
      </c>
    </row>
    <row r="24" spans="1:297">
      <c r="A24">
        <v>8</v>
      </c>
      <c r="B24">
        <v>1761500651</v>
      </c>
      <c r="C24">
        <v>1467.90000009537</v>
      </c>
      <c r="D24" t="s">
        <v>466</v>
      </c>
      <c r="E24" t="s">
        <v>467</v>
      </c>
      <c r="F24">
        <v>5</v>
      </c>
      <c r="G24" t="s">
        <v>468</v>
      </c>
      <c r="H24" t="s">
        <v>436</v>
      </c>
      <c r="I24">
        <v>1761500642.5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424.131349586793</v>
      </c>
      <c r="AK24">
        <v>417.081309090909</v>
      </c>
      <c r="AL24">
        <v>0.000325007876398449</v>
      </c>
      <c r="AM24">
        <v>65.0999522443971</v>
      </c>
      <c r="AN24">
        <f>(AP24 - AO24 + DY24*1E3/(8.314*(EA24+273.15)) * AR24/DX24 * AQ24) * DX24/(100*DL24) * 1000/(1000 - AP24)</f>
        <v>0</v>
      </c>
      <c r="AO24">
        <v>9.71396292629825</v>
      </c>
      <c r="AP24">
        <v>11.6475290909091</v>
      </c>
      <c r="AQ24">
        <v>-1.39921221795329e-05</v>
      </c>
      <c r="AR24">
        <v>103.971379780745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465</v>
      </c>
      <c r="AY24">
        <v>5105.63</v>
      </c>
      <c r="AZ24">
        <v>732.564</v>
      </c>
      <c r="BA24">
        <v>1966.12541795925</v>
      </c>
      <c r="BB24">
        <f>1-AZ24/BA24</f>
        <v>0</v>
      </c>
      <c r="BC24">
        <v>-0.430512489308486</v>
      </c>
      <c r="BD24" t="s">
        <v>469</v>
      </c>
      <c r="BE24">
        <v>5146.93</v>
      </c>
      <c r="BF24">
        <v>1465.3552</v>
      </c>
      <c r="BG24">
        <v>1602.11307135086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470</v>
      </c>
      <c r="BQ24">
        <v>805.13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301</v>
      </c>
      <c r="CA24">
        <v>290</v>
      </c>
      <c r="CB24">
        <v>1563.06</v>
      </c>
      <c r="CC24">
        <v>195</v>
      </c>
      <c r="CD24">
        <v>5146.93</v>
      </c>
      <c r="CE24">
        <v>1562.54</v>
      </c>
      <c r="CF24">
        <v>0.52</v>
      </c>
      <c r="CG24">
        <v>300</v>
      </c>
      <c r="CH24">
        <v>23.7</v>
      </c>
      <c r="CI24">
        <v>1602.11307135086</v>
      </c>
      <c r="CJ24">
        <v>2.03792348378459</v>
      </c>
      <c r="CK24">
        <v>-20.3680256724791</v>
      </c>
      <c r="CL24">
        <v>0.943824943150038</v>
      </c>
      <c r="CM24">
        <v>0.94328647117343</v>
      </c>
      <c r="CN24">
        <v>-0.00324443070077864</v>
      </c>
      <c r="CO24">
        <v>290</v>
      </c>
      <c r="CP24">
        <v>1560.28</v>
      </c>
      <c r="CQ24">
        <v>665</v>
      </c>
      <c r="CR24">
        <v>5145.24</v>
      </c>
      <c r="CS24">
        <v>1562.53</v>
      </c>
      <c r="CT24">
        <v>-2.25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1761500642.5</v>
      </c>
      <c r="DR24">
        <v>412.203</v>
      </c>
      <c r="DS24">
        <v>419.999875</v>
      </c>
      <c r="DT24">
        <v>11.6520375</v>
      </c>
      <c r="DU24">
        <v>9.712756875</v>
      </c>
      <c r="DV24">
        <v>409.440375</v>
      </c>
      <c r="DW24">
        <v>11.69988125</v>
      </c>
      <c r="DX24">
        <v>500.0294375</v>
      </c>
      <c r="DY24">
        <v>90.1989875</v>
      </c>
      <c r="DZ24">
        <v>0.02161595625</v>
      </c>
      <c r="EA24">
        <v>18.27885625</v>
      </c>
      <c r="EB24">
        <v>18.02695625</v>
      </c>
      <c r="EC24">
        <v>999.9</v>
      </c>
      <c r="ED24">
        <v>0</v>
      </c>
      <c r="EE24">
        <v>0</v>
      </c>
      <c r="EF24">
        <v>10000.7375</v>
      </c>
      <c r="EG24">
        <v>0</v>
      </c>
      <c r="EH24">
        <v>1263.319375</v>
      </c>
      <c r="EI24">
        <v>-7.797066875</v>
      </c>
      <c r="EJ24">
        <v>417.062625</v>
      </c>
      <c r="EK24">
        <v>424.11925</v>
      </c>
      <c r="EL24">
        <v>1.93926625</v>
      </c>
      <c r="EM24">
        <v>419.999875</v>
      </c>
      <c r="EN24">
        <v>9.712756875</v>
      </c>
      <c r="EO24">
        <v>1.05100125</v>
      </c>
      <c r="EP24">
        <v>0.87608075</v>
      </c>
      <c r="EQ24">
        <v>7.64324625</v>
      </c>
      <c r="ER24">
        <v>5.003705625</v>
      </c>
      <c r="ES24">
        <v>1199.976875</v>
      </c>
      <c r="ET24">
        <v>0.966998625</v>
      </c>
      <c r="EU24">
        <v>0.0330014125</v>
      </c>
      <c r="EV24">
        <v>0</v>
      </c>
      <c r="EW24">
        <v>1465.6075</v>
      </c>
      <c r="EX24">
        <v>5.00059</v>
      </c>
      <c r="EY24">
        <v>17356.7125</v>
      </c>
      <c r="EZ24">
        <v>10358.49375</v>
      </c>
      <c r="FA24">
        <v>37.8395625</v>
      </c>
      <c r="FB24">
        <v>40.9685</v>
      </c>
      <c r="FC24">
        <v>38.5075625</v>
      </c>
      <c r="FD24">
        <v>40.8513125</v>
      </c>
      <c r="FE24">
        <v>39.06225</v>
      </c>
      <c r="FF24">
        <v>1155.538125</v>
      </c>
      <c r="FG24">
        <v>39.43875</v>
      </c>
      <c r="FH24">
        <v>0</v>
      </c>
      <c r="FI24">
        <v>956.700000047684</v>
      </c>
      <c r="FJ24">
        <v>0</v>
      </c>
      <c r="FK24">
        <v>1465.3552</v>
      </c>
      <c r="FL24">
        <v>-7.6830769033161</v>
      </c>
      <c r="FM24">
        <v>-56.1230769196603</v>
      </c>
      <c r="FN24">
        <v>17355.792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-7.79816761904762</v>
      </c>
      <c r="GD24">
        <v>-0.0739675324675222</v>
      </c>
      <c r="GE24">
        <v>0.0278418603826893</v>
      </c>
      <c r="GF24">
        <v>1</v>
      </c>
      <c r="GG24">
        <v>1465.90235294118</v>
      </c>
      <c r="GH24">
        <v>-8.14942704270802</v>
      </c>
      <c r="GI24">
        <v>0.835238813413556</v>
      </c>
      <c r="GJ24">
        <v>-1</v>
      </c>
      <c r="GK24">
        <v>1.94196285714286</v>
      </c>
      <c r="GL24">
        <v>-0.0547309090909117</v>
      </c>
      <c r="GM24">
        <v>0.00595849944585535</v>
      </c>
      <c r="GN24">
        <v>1</v>
      </c>
      <c r="GO24">
        <v>2</v>
      </c>
      <c r="GP24">
        <v>2</v>
      </c>
      <c r="GQ24" t="s">
        <v>442</v>
      </c>
      <c r="GR24">
        <v>3.12997</v>
      </c>
      <c r="GS24">
        <v>2.69935</v>
      </c>
      <c r="GT24">
        <v>0.0879565</v>
      </c>
      <c r="GU24">
        <v>0.0898067</v>
      </c>
      <c r="GV24">
        <v>0.0604622</v>
      </c>
      <c r="GW24">
        <v>0.0526815</v>
      </c>
      <c r="GX24">
        <v>34415.3</v>
      </c>
      <c r="GY24">
        <v>36816.8</v>
      </c>
      <c r="GZ24">
        <v>34135.9</v>
      </c>
      <c r="HA24">
        <v>36619.4</v>
      </c>
      <c r="HB24">
        <v>45286.6</v>
      </c>
      <c r="HC24">
        <v>49764.2</v>
      </c>
      <c r="HD24">
        <v>53195.8</v>
      </c>
      <c r="HE24">
        <v>58446</v>
      </c>
      <c r="HF24">
        <v>1.96647</v>
      </c>
      <c r="HG24">
        <v>1.7965</v>
      </c>
      <c r="HH24">
        <v>-0.0272803</v>
      </c>
      <c r="HI24">
        <v>0</v>
      </c>
      <c r="HJ24">
        <v>18.4906</v>
      </c>
      <c r="HK24">
        <v>999.9</v>
      </c>
      <c r="HL24">
        <v>30.491</v>
      </c>
      <c r="HM24">
        <v>29.376</v>
      </c>
      <c r="HN24">
        <v>13.8938</v>
      </c>
      <c r="HO24">
        <v>55.8381</v>
      </c>
      <c r="HP24">
        <v>47.2276</v>
      </c>
      <c r="HQ24">
        <v>1</v>
      </c>
      <c r="HR24">
        <v>0.0103557</v>
      </c>
      <c r="HS24">
        <v>7.00936</v>
      </c>
      <c r="HT24">
        <v>20.0019</v>
      </c>
      <c r="HU24">
        <v>5.20127</v>
      </c>
      <c r="HV24">
        <v>12.0099</v>
      </c>
      <c r="HW24">
        <v>4.9757</v>
      </c>
      <c r="HX24">
        <v>3.294</v>
      </c>
      <c r="HY24">
        <v>9999</v>
      </c>
      <c r="HZ24">
        <v>999.9</v>
      </c>
      <c r="IA24">
        <v>9999</v>
      </c>
      <c r="IB24">
        <v>9999</v>
      </c>
      <c r="IC24">
        <v>1.86313</v>
      </c>
      <c r="ID24">
        <v>1.86807</v>
      </c>
      <c r="IE24">
        <v>1.86783</v>
      </c>
      <c r="IF24">
        <v>1.86905</v>
      </c>
      <c r="IG24">
        <v>1.86981</v>
      </c>
      <c r="IH24">
        <v>1.86587</v>
      </c>
      <c r="II24">
        <v>1.86695</v>
      </c>
      <c r="IJ24">
        <v>1.86837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2.763</v>
      </c>
      <c r="IY24">
        <v>-0.048</v>
      </c>
      <c r="IZ24">
        <v>1.07540948637381</v>
      </c>
      <c r="JA24">
        <v>0.0043402248696239</v>
      </c>
      <c r="JB24">
        <v>-6.09475981766997e-07</v>
      </c>
      <c r="JC24">
        <v>1.76646249085242e-10</v>
      </c>
      <c r="JD24">
        <v>-0.0887419319460927</v>
      </c>
      <c r="JE24">
        <v>-0.0249687719874024</v>
      </c>
      <c r="JF24">
        <v>0.00293551823329282</v>
      </c>
      <c r="JG24">
        <v>-4.29659942473584e-05</v>
      </c>
      <c r="JH24">
        <v>5</v>
      </c>
      <c r="JI24">
        <v>2275</v>
      </c>
      <c r="JJ24">
        <v>1</v>
      </c>
      <c r="JK24">
        <v>23</v>
      </c>
      <c r="JL24">
        <v>29358344.2</v>
      </c>
      <c r="JM24">
        <v>29358344.2</v>
      </c>
      <c r="JN24">
        <v>0.994873</v>
      </c>
      <c r="JO24">
        <v>2.62939</v>
      </c>
      <c r="JP24">
        <v>1.54785</v>
      </c>
      <c r="JQ24">
        <v>2.31201</v>
      </c>
      <c r="JR24">
        <v>1.64673</v>
      </c>
      <c r="JS24">
        <v>2.31201</v>
      </c>
      <c r="JT24">
        <v>32.9537</v>
      </c>
      <c r="JU24">
        <v>24.1488</v>
      </c>
      <c r="JV24">
        <v>18</v>
      </c>
      <c r="JW24">
        <v>503.6</v>
      </c>
      <c r="JX24">
        <v>395.572</v>
      </c>
      <c r="JY24">
        <v>10.6953</v>
      </c>
      <c r="JZ24">
        <v>27.2413</v>
      </c>
      <c r="KA24">
        <v>30.0004</v>
      </c>
      <c r="KB24">
        <v>27.1905</v>
      </c>
      <c r="KC24">
        <v>27.1413</v>
      </c>
      <c r="KD24">
        <v>19.9371</v>
      </c>
      <c r="KE24">
        <v>19.1907</v>
      </c>
      <c r="KF24">
        <v>0</v>
      </c>
      <c r="KG24">
        <v>10.6701</v>
      </c>
      <c r="KH24">
        <v>420</v>
      </c>
      <c r="KI24">
        <v>9.77756</v>
      </c>
      <c r="KJ24">
        <v>96.7386</v>
      </c>
      <c r="KK24">
        <v>94.7451</v>
      </c>
    </row>
    <row r="25" spans="1:297">
      <c r="A25">
        <v>9</v>
      </c>
      <c r="B25">
        <v>1761500725</v>
      </c>
      <c r="C25">
        <v>1541.90000009537</v>
      </c>
      <c r="D25" t="s">
        <v>471</v>
      </c>
      <c r="E25" t="s">
        <v>472</v>
      </c>
      <c r="F25">
        <v>5</v>
      </c>
      <c r="G25" t="s">
        <v>468</v>
      </c>
      <c r="H25" t="s">
        <v>436</v>
      </c>
      <c r="I25">
        <v>1761500716.5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424.154849546152</v>
      </c>
      <c r="AK25">
        <v>417.463545454545</v>
      </c>
      <c r="AL25">
        <v>-8.75075210226843e-05</v>
      </c>
      <c r="AM25">
        <v>65.0999522443971</v>
      </c>
      <c r="AN25">
        <f>(AP25 - AO25 + DY25*1E3/(8.314*(EA25+273.15)) * AR25/DX25 * AQ25) * DX25/(100*DL25) * 1000/(1000 - AP25)</f>
        <v>0</v>
      </c>
      <c r="AO25">
        <v>9.79004154788637</v>
      </c>
      <c r="AP25">
        <v>11.7760133333333</v>
      </c>
      <c r="AQ25">
        <v>2.24481787010887e-06</v>
      </c>
      <c r="AR25">
        <v>103.971379780745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448</v>
      </c>
      <c r="AY25" t="s">
        <v>448</v>
      </c>
      <c r="AZ25">
        <v>0</v>
      </c>
      <c r="BA25">
        <v>0</v>
      </c>
      <c r="BB25">
        <f>1-AZ25/BA25</f>
        <v>0</v>
      </c>
      <c r="BC25">
        <v>0</v>
      </c>
      <c r="BD25" t="s">
        <v>448</v>
      </c>
      <c r="BE25" t="s">
        <v>448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448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301</v>
      </c>
      <c r="CA25">
        <v>290</v>
      </c>
      <c r="CB25">
        <v>1563.06</v>
      </c>
      <c r="CC25">
        <v>195</v>
      </c>
      <c r="CD25">
        <v>5146.93</v>
      </c>
      <c r="CE25">
        <v>1562.54</v>
      </c>
      <c r="CF25">
        <v>0.52</v>
      </c>
      <c r="CG25">
        <v>300</v>
      </c>
      <c r="CH25">
        <v>23.7</v>
      </c>
      <c r="CI25">
        <v>1602.11307135086</v>
      </c>
      <c r="CJ25">
        <v>2.03792348378459</v>
      </c>
      <c r="CK25">
        <v>-20.3680256724791</v>
      </c>
      <c r="CL25">
        <v>0.943824943150038</v>
      </c>
      <c r="CM25">
        <v>0.94328647117343</v>
      </c>
      <c r="CN25">
        <v>-0.00324443070077864</v>
      </c>
      <c r="CO25">
        <v>290</v>
      </c>
      <c r="CP25">
        <v>1560.28</v>
      </c>
      <c r="CQ25">
        <v>665</v>
      </c>
      <c r="CR25">
        <v>5145.24</v>
      </c>
      <c r="CS25">
        <v>1562.53</v>
      </c>
      <c r="CT25">
        <v>-2.25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1761500716.5</v>
      </c>
      <c r="DR25">
        <v>412.583875</v>
      </c>
      <c r="DS25">
        <v>420.011375</v>
      </c>
      <c r="DT25">
        <v>11.771125</v>
      </c>
      <c r="DU25">
        <v>9.788783125</v>
      </c>
      <c r="DV25">
        <v>409.8199375</v>
      </c>
      <c r="DW25">
        <v>11.8159375</v>
      </c>
      <c r="DX25">
        <v>500.0326875</v>
      </c>
      <c r="DY25">
        <v>90.2005875</v>
      </c>
      <c r="DZ25">
        <v>0.0198475375</v>
      </c>
      <c r="EA25">
        <v>18.38170625</v>
      </c>
      <c r="EB25">
        <v>17.86870625</v>
      </c>
      <c r="EC25">
        <v>999.9</v>
      </c>
      <c r="ED25">
        <v>0</v>
      </c>
      <c r="EE25">
        <v>0</v>
      </c>
      <c r="EF25">
        <v>10003.12625</v>
      </c>
      <c r="EG25">
        <v>0</v>
      </c>
      <c r="EH25">
        <v>1263.505</v>
      </c>
      <c r="EI25">
        <v>-7.427465</v>
      </c>
      <c r="EJ25">
        <v>417.4983125</v>
      </c>
      <c r="EK25">
        <v>424.1635</v>
      </c>
      <c r="EL25">
        <v>1.982345</v>
      </c>
      <c r="EM25">
        <v>420.011375</v>
      </c>
      <c r="EN25">
        <v>9.788783125</v>
      </c>
      <c r="EO25">
        <v>1.061761875</v>
      </c>
      <c r="EP25">
        <v>0.88295375</v>
      </c>
      <c r="EQ25">
        <v>7.79264</v>
      </c>
      <c r="ER25">
        <v>5.1158675</v>
      </c>
      <c r="ES25">
        <v>900.059375</v>
      </c>
      <c r="ET25">
        <v>0.9559960625</v>
      </c>
      <c r="EU25">
        <v>0.04400385625</v>
      </c>
      <c r="EV25">
        <v>0</v>
      </c>
      <c r="EW25">
        <v>1425.104375</v>
      </c>
      <c r="EX25">
        <v>5.00059</v>
      </c>
      <c r="EY25">
        <v>12639.93125</v>
      </c>
      <c r="EZ25">
        <v>7733.3125</v>
      </c>
      <c r="FA25">
        <v>38.3746875</v>
      </c>
      <c r="FB25">
        <v>41.320125</v>
      </c>
      <c r="FC25">
        <v>39.1285625</v>
      </c>
      <c r="FD25">
        <v>41.3474375</v>
      </c>
      <c r="FE25">
        <v>39.492</v>
      </c>
      <c r="FF25">
        <v>855.671875</v>
      </c>
      <c r="FG25">
        <v>39.38625</v>
      </c>
      <c r="FH25">
        <v>0</v>
      </c>
      <c r="FI25">
        <v>71</v>
      </c>
      <c r="FJ25">
        <v>0</v>
      </c>
      <c r="FK25">
        <v>1425.022</v>
      </c>
      <c r="FL25">
        <v>-7.61230768484966</v>
      </c>
      <c r="FM25">
        <v>-88.4999997799126</v>
      </c>
      <c r="FN25">
        <v>12637.924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-7.402635</v>
      </c>
      <c r="GD25">
        <v>-0.368415338345879</v>
      </c>
      <c r="GE25">
        <v>0.0603376293452105</v>
      </c>
      <c r="GF25">
        <v>1</v>
      </c>
      <c r="GG25">
        <v>1425.46647058824</v>
      </c>
      <c r="GH25">
        <v>-6.32391137380551</v>
      </c>
      <c r="GI25">
        <v>0.665537740799929</v>
      </c>
      <c r="GJ25">
        <v>-1</v>
      </c>
      <c r="GK25">
        <v>1.97724</v>
      </c>
      <c r="GL25">
        <v>0.0988944360902262</v>
      </c>
      <c r="GM25">
        <v>0.00999742066735214</v>
      </c>
      <c r="GN25">
        <v>1</v>
      </c>
      <c r="GO25">
        <v>2</v>
      </c>
      <c r="GP25">
        <v>2</v>
      </c>
      <c r="GQ25" t="s">
        <v>442</v>
      </c>
      <c r="GR25">
        <v>3.12994</v>
      </c>
      <c r="GS25">
        <v>2.69801</v>
      </c>
      <c r="GT25">
        <v>0.0880104</v>
      </c>
      <c r="GU25">
        <v>0.0898196</v>
      </c>
      <c r="GV25">
        <v>0.0609795</v>
      </c>
      <c r="GW25">
        <v>0.0530055</v>
      </c>
      <c r="GX25">
        <v>34414.3</v>
      </c>
      <c r="GY25">
        <v>36818</v>
      </c>
      <c r="GZ25">
        <v>34136.8</v>
      </c>
      <c r="HA25">
        <v>36621</v>
      </c>
      <c r="HB25">
        <v>45262.4</v>
      </c>
      <c r="HC25">
        <v>49749.4</v>
      </c>
      <c r="HD25">
        <v>53197.3</v>
      </c>
      <c r="HE25">
        <v>58448.6</v>
      </c>
      <c r="HF25">
        <v>1.96685</v>
      </c>
      <c r="HG25">
        <v>1.7967</v>
      </c>
      <c r="HH25">
        <v>-0.0335723</v>
      </c>
      <c r="HI25">
        <v>0</v>
      </c>
      <c r="HJ25">
        <v>18.4938</v>
      </c>
      <c r="HK25">
        <v>999.9</v>
      </c>
      <c r="HL25">
        <v>30.393</v>
      </c>
      <c r="HM25">
        <v>29.386</v>
      </c>
      <c r="HN25">
        <v>13.8577</v>
      </c>
      <c r="HO25">
        <v>55.1581</v>
      </c>
      <c r="HP25">
        <v>47.1835</v>
      </c>
      <c r="HQ25">
        <v>1</v>
      </c>
      <c r="HR25">
        <v>0.000993394</v>
      </c>
      <c r="HS25">
        <v>4.94665</v>
      </c>
      <c r="HT25">
        <v>20.0734</v>
      </c>
      <c r="HU25">
        <v>5.19917</v>
      </c>
      <c r="HV25">
        <v>12.0044</v>
      </c>
      <c r="HW25">
        <v>4.9756</v>
      </c>
      <c r="HX25">
        <v>3.294</v>
      </c>
      <c r="HY25">
        <v>9999</v>
      </c>
      <c r="HZ25">
        <v>999.9</v>
      </c>
      <c r="IA25">
        <v>9999</v>
      </c>
      <c r="IB25">
        <v>9999</v>
      </c>
      <c r="IC25">
        <v>1.86313</v>
      </c>
      <c r="ID25">
        <v>1.8681</v>
      </c>
      <c r="IE25">
        <v>1.86785</v>
      </c>
      <c r="IF25">
        <v>1.86905</v>
      </c>
      <c r="IG25">
        <v>1.86981</v>
      </c>
      <c r="IH25">
        <v>1.86586</v>
      </c>
      <c r="II25">
        <v>1.86701</v>
      </c>
      <c r="IJ25">
        <v>1.86842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2.763</v>
      </c>
      <c r="IY25">
        <v>-0.0447</v>
      </c>
      <c r="IZ25">
        <v>1.07540948637381</v>
      </c>
      <c r="JA25">
        <v>0.0043402248696239</v>
      </c>
      <c r="JB25">
        <v>-6.09475981766997e-07</v>
      </c>
      <c r="JC25">
        <v>1.76646249085242e-10</v>
      </c>
      <c r="JD25">
        <v>-0.0887419319460927</v>
      </c>
      <c r="JE25">
        <v>-0.0249687719874024</v>
      </c>
      <c r="JF25">
        <v>0.00293551823329282</v>
      </c>
      <c r="JG25">
        <v>-4.29659942473584e-05</v>
      </c>
      <c r="JH25">
        <v>5</v>
      </c>
      <c r="JI25">
        <v>2275</v>
      </c>
      <c r="JJ25">
        <v>1</v>
      </c>
      <c r="JK25">
        <v>23</v>
      </c>
      <c r="JL25">
        <v>29358345.4</v>
      </c>
      <c r="JM25">
        <v>29358345.4</v>
      </c>
      <c r="JN25">
        <v>0.994873</v>
      </c>
      <c r="JO25">
        <v>2.62207</v>
      </c>
      <c r="JP25">
        <v>1.54785</v>
      </c>
      <c r="JQ25">
        <v>2.31201</v>
      </c>
      <c r="JR25">
        <v>1.64551</v>
      </c>
      <c r="JS25">
        <v>2.37305</v>
      </c>
      <c r="JT25">
        <v>32.976</v>
      </c>
      <c r="JU25">
        <v>24.1838</v>
      </c>
      <c r="JV25">
        <v>18</v>
      </c>
      <c r="JW25">
        <v>503.778</v>
      </c>
      <c r="JX25">
        <v>395.633</v>
      </c>
      <c r="JY25">
        <v>12.0634</v>
      </c>
      <c r="JZ25">
        <v>27.227</v>
      </c>
      <c r="KA25">
        <v>30.0002</v>
      </c>
      <c r="KB25">
        <v>27.1829</v>
      </c>
      <c r="KC25">
        <v>27.1345</v>
      </c>
      <c r="KD25">
        <v>19.9354</v>
      </c>
      <c r="KE25">
        <v>18.641</v>
      </c>
      <c r="KF25">
        <v>0</v>
      </c>
      <c r="KG25">
        <v>12.0925</v>
      </c>
      <c r="KH25">
        <v>420</v>
      </c>
      <c r="KI25">
        <v>9.7798</v>
      </c>
      <c r="KJ25">
        <v>96.7412</v>
      </c>
      <c r="KK25">
        <v>94.7493</v>
      </c>
    </row>
    <row r="26" spans="1:297">
      <c r="A26">
        <v>10</v>
      </c>
      <c r="B26">
        <v>1761500842</v>
      </c>
      <c r="C26">
        <v>1658.90000009537</v>
      </c>
      <c r="D26" t="s">
        <v>473</v>
      </c>
      <c r="E26" t="s">
        <v>474</v>
      </c>
      <c r="F26">
        <v>5</v>
      </c>
      <c r="G26" t="s">
        <v>468</v>
      </c>
      <c r="H26" t="s">
        <v>436</v>
      </c>
      <c r="I26">
        <v>1761500833.5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424.461563627325</v>
      </c>
      <c r="AK26">
        <v>418.015175757576</v>
      </c>
      <c r="AL26">
        <v>0.00201019736955276</v>
      </c>
      <c r="AM26">
        <v>65.0999522443971</v>
      </c>
      <c r="AN26">
        <f>(AP26 - AO26 + DY26*1E3/(8.314*(EA26+273.15)) * AR26/DX26 * AQ26) * DX26/(100*DL26) * 1000/(1000 - AP26)</f>
        <v>0</v>
      </c>
      <c r="AO26">
        <v>10.560295702703</v>
      </c>
      <c r="AP26">
        <v>11.9271824242424</v>
      </c>
      <c r="AQ26">
        <v>0.0173527361215065</v>
      </c>
      <c r="AR26">
        <v>103.971379780745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465</v>
      </c>
      <c r="AY26">
        <v>5105.63</v>
      </c>
      <c r="AZ26">
        <v>732.564</v>
      </c>
      <c r="BA26">
        <v>1966.12541795925</v>
      </c>
      <c r="BB26">
        <f>1-AZ26/BA26</f>
        <v>0</v>
      </c>
      <c r="BC26">
        <v>-0.430512489308486</v>
      </c>
      <c r="BD26" t="s">
        <v>475</v>
      </c>
      <c r="BE26">
        <v>5151.47</v>
      </c>
      <c r="BF26">
        <v>1343.39307692308</v>
      </c>
      <c r="BG26">
        <v>1604.93145691854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476</v>
      </c>
      <c r="BQ26">
        <v>798.93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303</v>
      </c>
      <c r="CA26">
        <v>290</v>
      </c>
      <c r="CB26">
        <v>1568.44</v>
      </c>
      <c r="CC26">
        <v>265</v>
      </c>
      <c r="CD26">
        <v>5151.47</v>
      </c>
      <c r="CE26">
        <v>1567.23</v>
      </c>
      <c r="CF26">
        <v>1.21</v>
      </c>
      <c r="CG26">
        <v>300</v>
      </c>
      <c r="CH26">
        <v>23.8</v>
      </c>
      <c r="CI26">
        <v>1604.93145691854</v>
      </c>
      <c r="CJ26">
        <v>1.38131676105952</v>
      </c>
      <c r="CK26">
        <v>-19.421493317748</v>
      </c>
      <c r="CL26">
        <v>0.628598831918473</v>
      </c>
      <c r="CM26">
        <v>0.971503960340741</v>
      </c>
      <c r="CN26">
        <v>-0.00375346340378198</v>
      </c>
      <c r="CO26">
        <v>290</v>
      </c>
      <c r="CP26">
        <v>1565.23</v>
      </c>
      <c r="CQ26">
        <v>625</v>
      </c>
      <c r="CR26">
        <v>5150.93</v>
      </c>
      <c r="CS26">
        <v>1567.23</v>
      </c>
      <c r="CT26">
        <v>-2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1761500833.5</v>
      </c>
      <c r="DR26">
        <v>413.0003125</v>
      </c>
      <c r="DS26">
        <v>419.963875</v>
      </c>
      <c r="DT26">
        <v>11.8036</v>
      </c>
      <c r="DU26">
        <v>10.5261625</v>
      </c>
      <c r="DV26">
        <v>410.2346875</v>
      </c>
      <c r="DW26">
        <v>11.84755625</v>
      </c>
      <c r="DX26">
        <v>500.0261875</v>
      </c>
      <c r="DY26">
        <v>90.2009</v>
      </c>
      <c r="DZ26">
        <v>0.021038675</v>
      </c>
      <c r="EA26">
        <v>18.56494375</v>
      </c>
      <c r="EB26">
        <v>17.96110625</v>
      </c>
      <c r="EC26">
        <v>999.9</v>
      </c>
      <c r="ED26">
        <v>0</v>
      </c>
      <c r="EE26">
        <v>0</v>
      </c>
      <c r="EF26">
        <v>10010.6975</v>
      </c>
      <c r="EG26">
        <v>0</v>
      </c>
      <c r="EH26">
        <v>1263.27625</v>
      </c>
      <c r="EI26">
        <v>-6.963726875</v>
      </c>
      <c r="EJ26">
        <v>417.933375</v>
      </c>
      <c r="EK26">
        <v>424.4315625</v>
      </c>
      <c r="EL26">
        <v>1.27742625</v>
      </c>
      <c r="EM26">
        <v>419.963875</v>
      </c>
      <c r="EN26">
        <v>10.5261625</v>
      </c>
      <c r="EO26">
        <v>1.064694375</v>
      </c>
      <c r="EP26">
        <v>0.949469375</v>
      </c>
      <c r="EQ26">
        <v>7.8328725</v>
      </c>
      <c r="ER26">
        <v>6.16310875</v>
      </c>
      <c r="ES26">
        <v>600.007875</v>
      </c>
      <c r="ET26">
        <v>0.9330029375</v>
      </c>
      <c r="EU26">
        <v>0.06699723125</v>
      </c>
      <c r="EV26">
        <v>0</v>
      </c>
      <c r="EW26">
        <v>1343.355625</v>
      </c>
      <c r="EX26">
        <v>5.00059</v>
      </c>
      <c r="EY26">
        <v>7864.966875</v>
      </c>
      <c r="EZ26">
        <v>5105.58</v>
      </c>
      <c r="FA26">
        <v>36.8590625</v>
      </c>
      <c r="FB26">
        <v>39.2966875</v>
      </c>
      <c r="FC26">
        <v>37.847375</v>
      </c>
      <c r="FD26">
        <v>38.64425</v>
      </c>
      <c r="FE26">
        <v>38.003625</v>
      </c>
      <c r="FF26">
        <v>555.1425</v>
      </c>
      <c r="FG26">
        <v>39.86</v>
      </c>
      <c r="FH26">
        <v>0</v>
      </c>
      <c r="FI26">
        <v>188</v>
      </c>
      <c r="FJ26">
        <v>0</v>
      </c>
      <c r="FK26">
        <v>1343.39307692308</v>
      </c>
      <c r="FL26">
        <v>4.21880342169227</v>
      </c>
      <c r="FM26">
        <v>11.7076923544656</v>
      </c>
      <c r="FN26">
        <v>7864.87115384615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-6.95930333333334</v>
      </c>
      <c r="GD26">
        <v>-0.174708311688327</v>
      </c>
      <c r="GE26">
        <v>0.0327160753166847</v>
      </c>
      <c r="GF26">
        <v>1</v>
      </c>
      <c r="GG26">
        <v>1343.00764705882</v>
      </c>
      <c r="GH26">
        <v>6.01955690725629</v>
      </c>
      <c r="GI26">
        <v>0.642669335998314</v>
      </c>
      <c r="GJ26">
        <v>-1</v>
      </c>
      <c r="GK26">
        <v>1.28124</v>
      </c>
      <c r="GL26">
        <v>0.00184831168831013</v>
      </c>
      <c r="GM26">
        <v>0.0358193411441361</v>
      </c>
      <c r="GN26">
        <v>1</v>
      </c>
      <c r="GO26">
        <v>2</v>
      </c>
      <c r="GP26">
        <v>2</v>
      </c>
      <c r="GQ26" t="s">
        <v>442</v>
      </c>
      <c r="GR26">
        <v>3.13009</v>
      </c>
      <c r="GS26">
        <v>2.69846</v>
      </c>
      <c r="GT26">
        <v>0.0880966</v>
      </c>
      <c r="GU26">
        <v>0.0898148</v>
      </c>
      <c r="GV26">
        <v>0.0616656</v>
      </c>
      <c r="GW26">
        <v>0.0562742</v>
      </c>
      <c r="GX26">
        <v>34414.4</v>
      </c>
      <c r="GY26">
        <v>36824</v>
      </c>
      <c r="GZ26">
        <v>34139.8</v>
      </c>
      <c r="HA26">
        <v>36626.4</v>
      </c>
      <c r="HB26">
        <v>45232.4</v>
      </c>
      <c r="HC26">
        <v>49583</v>
      </c>
      <c r="HD26">
        <v>53201.4</v>
      </c>
      <c r="HE26">
        <v>58456.8</v>
      </c>
      <c r="HF26">
        <v>1.96707</v>
      </c>
      <c r="HG26">
        <v>1.79845</v>
      </c>
      <c r="HH26">
        <v>-0.0456683</v>
      </c>
      <c r="HI26">
        <v>0</v>
      </c>
      <c r="HJ26">
        <v>18.6796</v>
      </c>
      <c r="HK26">
        <v>999.9</v>
      </c>
      <c r="HL26">
        <v>30.32</v>
      </c>
      <c r="HM26">
        <v>29.447</v>
      </c>
      <c r="HN26">
        <v>13.8728</v>
      </c>
      <c r="HO26">
        <v>55.3982</v>
      </c>
      <c r="HP26">
        <v>47.3918</v>
      </c>
      <c r="HQ26">
        <v>1</v>
      </c>
      <c r="HR26">
        <v>-0.00187754</v>
      </c>
      <c r="HS26">
        <v>5.30898</v>
      </c>
      <c r="HT26">
        <v>20.0675</v>
      </c>
      <c r="HU26">
        <v>5.19857</v>
      </c>
      <c r="HV26">
        <v>12.0061</v>
      </c>
      <c r="HW26">
        <v>4.97555</v>
      </c>
      <c r="HX26">
        <v>3.294</v>
      </c>
      <c r="HY26">
        <v>9999</v>
      </c>
      <c r="HZ26">
        <v>999.9</v>
      </c>
      <c r="IA26">
        <v>9999</v>
      </c>
      <c r="IB26">
        <v>9999</v>
      </c>
      <c r="IC26">
        <v>1.86311</v>
      </c>
      <c r="ID26">
        <v>1.86808</v>
      </c>
      <c r="IE26">
        <v>1.86786</v>
      </c>
      <c r="IF26">
        <v>1.86905</v>
      </c>
      <c r="IG26">
        <v>1.86981</v>
      </c>
      <c r="IH26">
        <v>1.86587</v>
      </c>
      <c r="II26">
        <v>1.86698</v>
      </c>
      <c r="IJ26">
        <v>1.86841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2.766</v>
      </c>
      <c r="IY26">
        <v>-0.0402</v>
      </c>
      <c r="IZ26">
        <v>1.07540948637381</v>
      </c>
      <c r="JA26">
        <v>0.0043402248696239</v>
      </c>
      <c r="JB26">
        <v>-6.09475981766997e-07</v>
      </c>
      <c r="JC26">
        <v>1.76646249085242e-10</v>
      </c>
      <c r="JD26">
        <v>-0.0887419319460927</v>
      </c>
      <c r="JE26">
        <v>-0.0249687719874024</v>
      </c>
      <c r="JF26">
        <v>0.00293551823329282</v>
      </c>
      <c r="JG26">
        <v>-4.29659942473584e-05</v>
      </c>
      <c r="JH26">
        <v>5</v>
      </c>
      <c r="JI26">
        <v>2275</v>
      </c>
      <c r="JJ26">
        <v>1</v>
      </c>
      <c r="JK26">
        <v>23</v>
      </c>
      <c r="JL26">
        <v>29358347.4</v>
      </c>
      <c r="JM26">
        <v>29358347.4</v>
      </c>
      <c r="JN26">
        <v>0.994873</v>
      </c>
      <c r="JO26">
        <v>2.63184</v>
      </c>
      <c r="JP26">
        <v>1.54785</v>
      </c>
      <c r="JQ26">
        <v>2.31201</v>
      </c>
      <c r="JR26">
        <v>1.64673</v>
      </c>
      <c r="JS26">
        <v>2.26807</v>
      </c>
      <c r="JT26">
        <v>33.0429</v>
      </c>
      <c r="JU26">
        <v>24.1751</v>
      </c>
      <c r="JV26">
        <v>18</v>
      </c>
      <c r="JW26">
        <v>503.686</v>
      </c>
      <c r="JX26">
        <v>396.421</v>
      </c>
      <c r="JY26">
        <v>11.5419</v>
      </c>
      <c r="JZ26">
        <v>27.1775</v>
      </c>
      <c r="KA26">
        <v>29.9967</v>
      </c>
      <c r="KB26">
        <v>27.1563</v>
      </c>
      <c r="KC26">
        <v>27.1119</v>
      </c>
      <c r="KD26">
        <v>19.9469</v>
      </c>
      <c r="KE26">
        <v>11.2864</v>
      </c>
      <c r="KF26">
        <v>0</v>
      </c>
      <c r="KG26">
        <v>11.6365</v>
      </c>
      <c r="KH26">
        <v>420</v>
      </c>
      <c r="KI26">
        <v>10.4919</v>
      </c>
      <c r="KJ26">
        <v>96.7492</v>
      </c>
      <c r="KK26">
        <v>94.7629</v>
      </c>
    </row>
    <row r="27" spans="1:297">
      <c r="A27">
        <v>11</v>
      </c>
      <c r="B27">
        <v>1761500922</v>
      </c>
      <c r="C27">
        <v>1738.90000009537</v>
      </c>
      <c r="D27" t="s">
        <v>477</v>
      </c>
      <c r="E27" t="s">
        <v>478</v>
      </c>
      <c r="F27">
        <v>5</v>
      </c>
      <c r="G27" t="s">
        <v>468</v>
      </c>
      <c r="H27" t="s">
        <v>436</v>
      </c>
      <c r="I27">
        <v>1761500913.5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424.349021510355</v>
      </c>
      <c r="AK27">
        <v>418.857775757576</v>
      </c>
      <c r="AL27">
        <v>0.000206330742803711</v>
      </c>
      <c r="AM27">
        <v>65.0999522443971</v>
      </c>
      <c r="AN27">
        <f>(AP27 - AO27 + DY27*1E3/(8.314*(EA27+273.15)) * AR27/DX27 * AQ27) * DX27/(100*DL27) * 1000/(1000 - AP27)</f>
        <v>0</v>
      </c>
      <c r="AO27">
        <v>10.1667275353287</v>
      </c>
      <c r="AP27">
        <v>11.9505175757576</v>
      </c>
      <c r="AQ27">
        <v>-0.000206290319849198</v>
      </c>
      <c r="AR27">
        <v>103.971379780745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448</v>
      </c>
      <c r="AY27" t="s">
        <v>448</v>
      </c>
      <c r="AZ27">
        <v>0</v>
      </c>
      <c r="BA27">
        <v>0</v>
      </c>
      <c r="BB27">
        <f>1-AZ27/BA27</f>
        <v>0</v>
      </c>
      <c r="BC27">
        <v>0</v>
      </c>
      <c r="BD27" t="s">
        <v>448</v>
      </c>
      <c r="BE27" t="s">
        <v>448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448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303</v>
      </c>
      <c r="CA27">
        <v>290</v>
      </c>
      <c r="CB27">
        <v>1568.44</v>
      </c>
      <c r="CC27">
        <v>265</v>
      </c>
      <c r="CD27">
        <v>5151.47</v>
      </c>
      <c r="CE27">
        <v>1567.23</v>
      </c>
      <c r="CF27">
        <v>1.21</v>
      </c>
      <c r="CG27">
        <v>300</v>
      </c>
      <c r="CH27">
        <v>23.8</v>
      </c>
      <c r="CI27">
        <v>1604.93145691854</v>
      </c>
      <c r="CJ27">
        <v>1.38131676105952</v>
      </c>
      <c r="CK27">
        <v>-19.421493317748</v>
      </c>
      <c r="CL27">
        <v>0.628598831918473</v>
      </c>
      <c r="CM27">
        <v>0.971503960340741</v>
      </c>
      <c r="CN27">
        <v>-0.00375346340378198</v>
      </c>
      <c r="CO27">
        <v>290</v>
      </c>
      <c r="CP27">
        <v>1565.23</v>
      </c>
      <c r="CQ27">
        <v>625</v>
      </c>
      <c r="CR27">
        <v>5150.93</v>
      </c>
      <c r="CS27">
        <v>1567.23</v>
      </c>
      <c r="CT27">
        <v>-2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1761500913.5</v>
      </c>
      <c r="DR27">
        <v>413.8205</v>
      </c>
      <c r="DS27">
        <v>420.01375</v>
      </c>
      <c r="DT27">
        <v>11.97045625</v>
      </c>
      <c r="DU27">
        <v>10.179125</v>
      </c>
      <c r="DV27">
        <v>411.051625</v>
      </c>
      <c r="DW27">
        <v>12.01009375</v>
      </c>
      <c r="DX27">
        <v>500.005625</v>
      </c>
      <c r="DY27">
        <v>90.19613125</v>
      </c>
      <c r="DZ27">
        <v>0.0193514375</v>
      </c>
      <c r="EA27">
        <v>18.616825</v>
      </c>
      <c r="EB27">
        <v>17.787375</v>
      </c>
      <c r="EC27">
        <v>999.9</v>
      </c>
      <c r="ED27">
        <v>0</v>
      </c>
      <c r="EE27">
        <v>0</v>
      </c>
      <c r="EF27">
        <v>9999.57625</v>
      </c>
      <c r="EG27">
        <v>0</v>
      </c>
      <c r="EH27">
        <v>1263.445625</v>
      </c>
      <c r="EI27">
        <v>-6.1932425</v>
      </c>
      <c r="EJ27">
        <v>418.834</v>
      </c>
      <c r="EK27">
        <v>424.3329375</v>
      </c>
      <c r="EL27">
        <v>1.791335</v>
      </c>
      <c r="EM27">
        <v>420.01375</v>
      </c>
      <c r="EN27">
        <v>10.179125</v>
      </c>
      <c r="EO27">
        <v>1.079688125</v>
      </c>
      <c r="EP27">
        <v>0.918118125</v>
      </c>
      <c r="EQ27">
        <v>8.0385525</v>
      </c>
      <c r="ER27">
        <v>5.677901875</v>
      </c>
      <c r="ES27">
        <v>299.9863125</v>
      </c>
      <c r="ET27">
        <v>0.899963</v>
      </c>
      <c r="EU27">
        <v>0.100037</v>
      </c>
      <c r="EV27">
        <v>0</v>
      </c>
      <c r="EW27">
        <v>1144.950625</v>
      </c>
      <c r="EX27">
        <v>5.00059</v>
      </c>
      <c r="EY27">
        <v>3333.384375</v>
      </c>
      <c r="EZ27">
        <v>2506.046875</v>
      </c>
      <c r="FA27">
        <v>35.933375</v>
      </c>
      <c r="FB27">
        <v>38.6443125</v>
      </c>
      <c r="FC27">
        <v>37.1208125</v>
      </c>
      <c r="FD27">
        <v>37.9293125</v>
      </c>
      <c r="FE27">
        <v>37.2458125</v>
      </c>
      <c r="FF27">
        <v>265.47625</v>
      </c>
      <c r="FG27">
        <v>29.51</v>
      </c>
      <c r="FH27">
        <v>0</v>
      </c>
      <c r="FI27">
        <v>77</v>
      </c>
      <c r="FJ27">
        <v>0</v>
      </c>
      <c r="FK27">
        <v>1144.92769230769</v>
      </c>
      <c r="FL27">
        <v>-0.598974351840641</v>
      </c>
      <c r="FM27">
        <v>-9.09196581973399</v>
      </c>
      <c r="FN27">
        <v>3333.53615384615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-6.19555761904762</v>
      </c>
      <c r="GD27">
        <v>-0.0429646753246686</v>
      </c>
      <c r="GE27">
        <v>0.0284723486419405</v>
      </c>
      <c r="GF27">
        <v>1</v>
      </c>
      <c r="GG27">
        <v>1144.86235294118</v>
      </c>
      <c r="GH27">
        <v>0.723300229799457</v>
      </c>
      <c r="GI27">
        <v>0.267955865807715</v>
      </c>
      <c r="GJ27">
        <v>-1</v>
      </c>
      <c r="GK27">
        <v>1.78542</v>
      </c>
      <c r="GL27">
        <v>0.0782119480519466</v>
      </c>
      <c r="GM27">
        <v>0.0106616281254654</v>
      </c>
      <c r="GN27">
        <v>1</v>
      </c>
      <c r="GO27">
        <v>2</v>
      </c>
      <c r="GP27">
        <v>2</v>
      </c>
      <c r="GQ27" t="s">
        <v>442</v>
      </c>
      <c r="GR27">
        <v>3.12986</v>
      </c>
      <c r="GS27">
        <v>2.69758</v>
      </c>
      <c r="GT27">
        <v>0.0882347</v>
      </c>
      <c r="GU27">
        <v>0.0898155</v>
      </c>
      <c r="GV27">
        <v>0.0616612</v>
      </c>
      <c r="GW27">
        <v>0.0546003</v>
      </c>
      <c r="GX27">
        <v>34409.9</v>
      </c>
      <c r="GY27">
        <v>36825.3</v>
      </c>
      <c r="GZ27">
        <v>34140.4</v>
      </c>
      <c r="HA27">
        <v>36627.7</v>
      </c>
      <c r="HB27">
        <v>45232.7</v>
      </c>
      <c r="HC27">
        <v>49673.8</v>
      </c>
      <c r="HD27">
        <v>53201.5</v>
      </c>
      <c r="HE27">
        <v>58459</v>
      </c>
      <c r="HF27">
        <v>1.9674</v>
      </c>
      <c r="HG27">
        <v>1.7983</v>
      </c>
      <c r="HH27">
        <v>-0.0533536</v>
      </c>
      <c r="HI27">
        <v>0</v>
      </c>
      <c r="HJ27">
        <v>18.7134</v>
      </c>
      <c r="HK27">
        <v>999.9</v>
      </c>
      <c r="HL27">
        <v>30.32</v>
      </c>
      <c r="HM27">
        <v>29.477</v>
      </c>
      <c r="HN27">
        <v>13.8975</v>
      </c>
      <c r="HO27">
        <v>54.2982</v>
      </c>
      <c r="HP27">
        <v>47.2877</v>
      </c>
      <c r="HQ27">
        <v>1</v>
      </c>
      <c r="HR27">
        <v>-0.0102846</v>
      </c>
      <c r="HS27">
        <v>3.76348</v>
      </c>
      <c r="HT27">
        <v>20.1079</v>
      </c>
      <c r="HU27">
        <v>5.19917</v>
      </c>
      <c r="HV27">
        <v>12.0041</v>
      </c>
      <c r="HW27">
        <v>4.976</v>
      </c>
      <c r="HX27">
        <v>3.294</v>
      </c>
      <c r="HY27">
        <v>9999</v>
      </c>
      <c r="HZ27">
        <v>999.9</v>
      </c>
      <c r="IA27">
        <v>9999</v>
      </c>
      <c r="IB27">
        <v>9999</v>
      </c>
      <c r="IC27">
        <v>1.86312</v>
      </c>
      <c r="ID27">
        <v>1.86805</v>
      </c>
      <c r="IE27">
        <v>1.86784</v>
      </c>
      <c r="IF27">
        <v>1.86905</v>
      </c>
      <c r="IG27">
        <v>1.86981</v>
      </c>
      <c r="IH27">
        <v>1.86587</v>
      </c>
      <c r="II27">
        <v>1.86695</v>
      </c>
      <c r="IJ27">
        <v>1.86844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2.768</v>
      </c>
      <c r="IY27">
        <v>-0.0402</v>
      </c>
      <c r="IZ27">
        <v>1.07540948637381</v>
      </c>
      <c r="JA27">
        <v>0.0043402248696239</v>
      </c>
      <c r="JB27">
        <v>-6.09475981766997e-07</v>
      </c>
      <c r="JC27">
        <v>1.76646249085242e-10</v>
      </c>
      <c r="JD27">
        <v>-0.0887419319460927</v>
      </c>
      <c r="JE27">
        <v>-0.0249687719874024</v>
      </c>
      <c r="JF27">
        <v>0.00293551823329282</v>
      </c>
      <c r="JG27">
        <v>-4.29659942473584e-05</v>
      </c>
      <c r="JH27">
        <v>5</v>
      </c>
      <c r="JI27">
        <v>2275</v>
      </c>
      <c r="JJ27">
        <v>1</v>
      </c>
      <c r="JK27">
        <v>23</v>
      </c>
      <c r="JL27">
        <v>29358348.7</v>
      </c>
      <c r="JM27">
        <v>29358348.7</v>
      </c>
      <c r="JN27">
        <v>0.994873</v>
      </c>
      <c r="JO27">
        <v>2.63062</v>
      </c>
      <c r="JP27">
        <v>1.54785</v>
      </c>
      <c r="JQ27">
        <v>2.31201</v>
      </c>
      <c r="JR27">
        <v>1.64673</v>
      </c>
      <c r="JS27">
        <v>2.27905</v>
      </c>
      <c r="JT27">
        <v>33.0875</v>
      </c>
      <c r="JU27">
        <v>24.1926</v>
      </c>
      <c r="JV27">
        <v>18</v>
      </c>
      <c r="JW27">
        <v>503.697</v>
      </c>
      <c r="JX27">
        <v>396.188</v>
      </c>
      <c r="JY27">
        <v>13.466</v>
      </c>
      <c r="JZ27">
        <v>27.1504</v>
      </c>
      <c r="KA27">
        <v>30</v>
      </c>
      <c r="KB27">
        <v>27.1339</v>
      </c>
      <c r="KC27">
        <v>27.0897</v>
      </c>
      <c r="KD27">
        <v>19.9399</v>
      </c>
      <c r="KE27">
        <v>16.0057</v>
      </c>
      <c r="KF27">
        <v>0</v>
      </c>
      <c r="KG27">
        <v>13.5854</v>
      </c>
      <c r="KH27">
        <v>420</v>
      </c>
      <c r="KI27">
        <v>10.1137</v>
      </c>
      <c r="KJ27">
        <v>96.7499</v>
      </c>
      <c r="KK27">
        <v>94.7664</v>
      </c>
    </row>
    <row r="28" spans="1:297">
      <c r="A28">
        <v>12</v>
      </c>
      <c r="B28">
        <v>1761501043</v>
      </c>
      <c r="C28">
        <v>1859.90000009537</v>
      </c>
      <c r="D28" t="s">
        <v>479</v>
      </c>
      <c r="E28" t="s">
        <v>480</v>
      </c>
      <c r="F28">
        <v>5</v>
      </c>
      <c r="G28" t="s">
        <v>468</v>
      </c>
      <c r="H28" t="s">
        <v>436</v>
      </c>
      <c r="I28">
        <v>1761501034.5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424.600149406547</v>
      </c>
      <c r="AK28">
        <v>420.558818181818</v>
      </c>
      <c r="AL28">
        <v>0.000761219286711477</v>
      </c>
      <c r="AM28">
        <v>65.0999522443971</v>
      </c>
      <c r="AN28">
        <f>(AP28 - AO28 + DY28*1E3/(8.314*(EA28+273.15)) * AR28/DX28 * AQ28) * DX28/(100*DL28) * 1000/(1000 - AP28)</f>
        <v>0</v>
      </c>
      <c r="AO28">
        <v>10.7722465769766</v>
      </c>
      <c r="AP28">
        <v>12.2164612121212</v>
      </c>
      <c r="AQ28">
        <v>0.000870804554869782</v>
      </c>
      <c r="AR28">
        <v>103.971379780745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465</v>
      </c>
      <c r="AY28">
        <v>5105.63</v>
      </c>
      <c r="AZ28">
        <v>732.564</v>
      </c>
      <c r="BA28">
        <v>1966.12541795925</v>
      </c>
      <c r="BB28">
        <f>1-AZ28/BA28</f>
        <v>0</v>
      </c>
      <c r="BC28">
        <v>-0.430512489308486</v>
      </c>
      <c r="BD28" t="s">
        <v>481</v>
      </c>
      <c r="BE28">
        <v>5129.58</v>
      </c>
      <c r="BF28">
        <v>905.905576923077</v>
      </c>
      <c r="BG28">
        <v>1651.73193467305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482</v>
      </c>
      <c r="BQ28">
        <v>757.27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305</v>
      </c>
      <c r="CA28">
        <v>290</v>
      </c>
      <c r="CB28">
        <v>1612.84</v>
      </c>
      <c r="CC28">
        <v>255</v>
      </c>
      <c r="CD28">
        <v>5129.58</v>
      </c>
      <c r="CE28">
        <v>1612.33</v>
      </c>
      <c r="CF28">
        <v>0.51</v>
      </c>
      <c r="CG28">
        <v>300</v>
      </c>
      <c r="CH28">
        <v>23.9</v>
      </c>
      <c r="CI28">
        <v>1651.73193467305</v>
      </c>
      <c r="CJ28">
        <v>1.50513945472302</v>
      </c>
      <c r="CK28">
        <v>-20.2141016264061</v>
      </c>
      <c r="CL28">
        <v>0.67227054109708</v>
      </c>
      <c r="CM28">
        <v>0.969960590397347</v>
      </c>
      <c r="CN28">
        <v>-0.00411498954393771</v>
      </c>
      <c r="CO28">
        <v>290</v>
      </c>
      <c r="CP28">
        <v>1609.91</v>
      </c>
      <c r="CQ28">
        <v>705</v>
      </c>
      <c r="CR28">
        <v>5128.32</v>
      </c>
      <c r="CS28">
        <v>1612.32</v>
      </c>
      <c r="CT28">
        <v>-2.41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1761501034.5</v>
      </c>
      <c r="DR28">
        <v>415.3831875</v>
      </c>
      <c r="DS28">
        <v>420.0108125</v>
      </c>
      <c r="DT28">
        <v>12.1935375</v>
      </c>
      <c r="DU28">
        <v>10.79108125</v>
      </c>
      <c r="DV28">
        <v>412.60825</v>
      </c>
      <c r="DW28">
        <v>12.2272375</v>
      </c>
      <c r="DX28">
        <v>499.9605</v>
      </c>
      <c r="DY28">
        <v>90.19088125</v>
      </c>
      <c r="DZ28">
        <v>0.020722725</v>
      </c>
      <c r="EA28">
        <v>18.7483875</v>
      </c>
      <c r="EB28">
        <v>17.91799375</v>
      </c>
      <c r="EC28">
        <v>999.9</v>
      </c>
      <c r="ED28">
        <v>0</v>
      </c>
      <c r="EE28">
        <v>0</v>
      </c>
      <c r="EF28">
        <v>9989.413125</v>
      </c>
      <c r="EG28">
        <v>0</v>
      </c>
      <c r="EH28">
        <v>1263.551875</v>
      </c>
      <c r="EI28">
        <v>-4.6277025</v>
      </c>
      <c r="EJ28">
        <v>420.510625</v>
      </c>
      <c r="EK28">
        <v>424.592625</v>
      </c>
      <c r="EL28">
        <v>1.402444375</v>
      </c>
      <c r="EM28">
        <v>420.0108125</v>
      </c>
      <c r="EN28">
        <v>10.79108125</v>
      </c>
      <c r="EO28">
        <v>1.099745625</v>
      </c>
      <c r="EP28">
        <v>0.9732578125</v>
      </c>
      <c r="EQ28">
        <v>8.30942875</v>
      </c>
      <c r="ER28">
        <v>6.52205875</v>
      </c>
      <c r="ES28">
        <v>149.96</v>
      </c>
      <c r="ET28">
        <v>0.90000375</v>
      </c>
      <c r="EU28">
        <v>0.0999961375</v>
      </c>
      <c r="EV28">
        <v>0</v>
      </c>
      <c r="EW28">
        <v>905.8680625</v>
      </c>
      <c r="EX28">
        <v>5.00059</v>
      </c>
      <c r="EY28">
        <v>1330.473125</v>
      </c>
      <c r="EZ28">
        <v>1231.515</v>
      </c>
      <c r="FA28">
        <v>34.917625</v>
      </c>
      <c r="FB28">
        <v>38.66775</v>
      </c>
      <c r="FC28">
        <v>36.5545</v>
      </c>
      <c r="FD28">
        <v>38.0505</v>
      </c>
      <c r="FE28">
        <v>36.6794375</v>
      </c>
      <c r="FF28">
        <v>130.464375</v>
      </c>
      <c r="FG28">
        <v>14.495625</v>
      </c>
      <c r="FH28">
        <v>0</v>
      </c>
      <c r="FI28">
        <v>198.200000047684</v>
      </c>
      <c r="FJ28">
        <v>0</v>
      </c>
      <c r="FK28">
        <v>905.905576923077</v>
      </c>
      <c r="FL28">
        <v>3.06478633114006</v>
      </c>
      <c r="FM28">
        <v>14.8170940622782</v>
      </c>
      <c r="FN28">
        <v>1330.69230769231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-4.63977095238095</v>
      </c>
      <c r="GD28">
        <v>0.203765454545451</v>
      </c>
      <c r="GE28">
        <v>0.0440003137331631</v>
      </c>
      <c r="GF28">
        <v>1</v>
      </c>
      <c r="GG28">
        <v>905.658852941177</v>
      </c>
      <c r="GH28">
        <v>3.4867990877387</v>
      </c>
      <c r="GI28">
        <v>0.419384993164225</v>
      </c>
      <c r="GJ28">
        <v>-1</v>
      </c>
      <c r="GK28">
        <v>1.38312666666667</v>
      </c>
      <c r="GL28">
        <v>0.458664935064932</v>
      </c>
      <c r="GM28">
        <v>0.0464524526322944</v>
      </c>
      <c r="GN28">
        <v>0</v>
      </c>
      <c r="GO28">
        <v>1</v>
      </c>
      <c r="GP28">
        <v>2</v>
      </c>
      <c r="GQ28" t="s">
        <v>483</v>
      </c>
      <c r="GR28">
        <v>3.13021</v>
      </c>
      <c r="GS28">
        <v>2.69861</v>
      </c>
      <c r="GT28">
        <v>0.0884945</v>
      </c>
      <c r="GU28">
        <v>0.0898333</v>
      </c>
      <c r="GV28">
        <v>0.0627259</v>
      </c>
      <c r="GW28">
        <v>0.0570236</v>
      </c>
      <c r="GX28">
        <v>34403.4</v>
      </c>
      <c r="GY28">
        <v>36830.3</v>
      </c>
      <c r="GZ28">
        <v>34143.3</v>
      </c>
      <c r="HA28">
        <v>36632.9</v>
      </c>
      <c r="HB28">
        <v>45183.9</v>
      </c>
      <c r="HC28">
        <v>49551.9</v>
      </c>
      <c r="HD28">
        <v>53205.4</v>
      </c>
      <c r="HE28">
        <v>58466.8</v>
      </c>
      <c r="HF28">
        <v>1.968</v>
      </c>
      <c r="HG28">
        <v>1.79907</v>
      </c>
      <c r="HH28">
        <v>-0.0585988</v>
      </c>
      <c r="HI28">
        <v>0</v>
      </c>
      <c r="HJ28">
        <v>18.9138</v>
      </c>
      <c r="HK28">
        <v>999.9</v>
      </c>
      <c r="HL28">
        <v>30.241</v>
      </c>
      <c r="HM28">
        <v>29.527</v>
      </c>
      <c r="HN28">
        <v>13.9017</v>
      </c>
      <c r="HO28">
        <v>55.2782</v>
      </c>
      <c r="HP28">
        <v>47.3117</v>
      </c>
      <c r="HQ28">
        <v>1</v>
      </c>
      <c r="HR28">
        <v>-0.0100127</v>
      </c>
      <c r="HS28">
        <v>4.90069</v>
      </c>
      <c r="HT28">
        <v>20.0831</v>
      </c>
      <c r="HU28">
        <v>5.20052</v>
      </c>
      <c r="HV28">
        <v>12.0062</v>
      </c>
      <c r="HW28">
        <v>4.97585</v>
      </c>
      <c r="HX28">
        <v>3.294</v>
      </c>
      <c r="HY28">
        <v>9999</v>
      </c>
      <c r="HZ28">
        <v>999.9</v>
      </c>
      <c r="IA28">
        <v>9999</v>
      </c>
      <c r="IB28">
        <v>9999</v>
      </c>
      <c r="IC28">
        <v>1.86316</v>
      </c>
      <c r="ID28">
        <v>1.86807</v>
      </c>
      <c r="IE28">
        <v>1.86783</v>
      </c>
      <c r="IF28">
        <v>1.86905</v>
      </c>
      <c r="IG28">
        <v>1.86982</v>
      </c>
      <c r="IH28">
        <v>1.86586</v>
      </c>
      <c r="II28">
        <v>1.86696</v>
      </c>
      <c r="IJ28">
        <v>1.86841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2.775</v>
      </c>
      <c r="IY28">
        <v>-0.0331</v>
      </c>
      <c r="IZ28">
        <v>1.07540948637381</v>
      </c>
      <c r="JA28">
        <v>0.0043402248696239</v>
      </c>
      <c r="JB28">
        <v>-6.09475981766997e-07</v>
      </c>
      <c r="JC28">
        <v>1.76646249085242e-10</v>
      </c>
      <c r="JD28">
        <v>-0.0887419319460927</v>
      </c>
      <c r="JE28">
        <v>-0.0249687719874024</v>
      </c>
      <c r="JF28">
        <v>0.00293551823329282</v>
      </c>
      <c r="JG28">
        <v>-4.29659942473584e-05</v>
      </c>
      <c r="JH28">
        <v>5</v>
      </c>
      <c r="JI28">
        <v>2275</v>
      </c>
      <c r="JJ28">
        <v>1</v>
      </c>
      <c r="JK28">
        <v>23</v>
      </c>
      <c r="JL28">
        <v>29358350.7</v>
      </c>
      <c r="JM28">
        <v>29358350.7</v>
      </c>
      <c r="JN28">
        <v>0.994873</v>
      </c>
      <c r="JO28">
        <v>2.62329</v>
      </c>
      <c r="JP28">
        <v>1.54785</v>
      </c>
      <c r="JQ28">
        <v>2.31201</v>
      </c>
      <c r="JR28">
        <v>1.64673</v>
      </c>
      <c r="JS28">
        <v>2.37549</v>
      </c>
      <c r="JT28">
        <v>33.1322</v>
      </c>
      <c r="JU28">
        <v>24.1926</v>
      </c>
      <c r="JV28">
        <v>18</v>
      </c>
      <c r="JW28">
        <v>503.71</v>
      </c>
      <c r="JX28">
        <v>396.333</v>
      </c>
      <c r="JY28">
        <v>12.9587</v>
      </c>
      <c r="JZ28">
        <v>27.0895</v>
      </c>
      <c r="KA28">
        <v>29.9999</v>
      </c>
      <c r="KB28">
        <v>27.0918</v>
      </c>
      <c r="KC28">
        <v>27.0502</v>
      </c>
      <c r="KD28">
        <v>19.9474</v>
      </c>
      <c r="KE28">
        <v>10.7376</v>
      </c>
      <c r="KF28">
        <v>0</v>
      </c>
      <c r="KG28">
        <v>12.9957</v>
      </c>
      <c r="KH28">
        <v>420</v>
      </c>
      <c r="KI28">
        <v>10.5874</v>
      </c>
      <c r="KJ28">
        <v>96.7574</v>
      </c>
      <c r="KK28">
        <v>94.7793</v>
      </c>
    </row>
    <row r="29" spans="1:297">
      <c r="A29">
        <v>13</v>
      </c>
      <c r="B29">
        <v>1761501153.1</v>
      </c>
      <c r="C29">
        <v>1970</v>
      </c>
      <c r="D29" t="s">
        <v>484</v>
      </c>
      <c r="E29" t="s">
        <v>485</v>
      </c>
      <c r="F29">
        <v>5</v>
      </c>
      <c r="G29" t="s">
        <v>468</v>
      </c>
      <c r="H29" t="s">
        <v>436</v>
      </c>
      <c r="I29">
        <v>1761501145.1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424.485059649172</v>
      </c>
      <c r="AK29">
        <v>423.131272727273</v>
      </c>
      <c r="AL29">
        <v>0.00139794454939528</v>
      </c>
      <c r="AM29">
        <v>65.0999522443971</v>
      </c>
      <c r="AN29">
        <f>(AP29 - AO29 + DY29*1E3/(8.314*(EA29+273.15)) * AR29/DX29 * AQ29) * DX29/(100*DL29) * 1000/(1000 - AP29)</f>
        <v>0</v>
      </c>
      <c r="AO29">
        <v>10.5769977115216</v>
      </c>
      <c r="AP29">
        <v>12.0553563636364</v>
      </c>
      <c r="AQ29">
        <v>-5.98828274451697e-06</v>
      </c>
      <c r="AR29">
        <v>103.971379780745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465</v>
      </c>
      <c r="AY29">
        <v>5105.63</v>
      </c>
      <c r="AZ29">
        <v>732.564</v>
      </c>
      <c r="BA29">
        <v>1966.12541795925</v>
      </c>
      <c r="BB29">
        <f>1-AZ29/BA29</f>
        <v>0</v>
      </c>
      <c r="BC29">
        <v>-0.430512489308486</v>
      </c>
      <c r="BD29" t="s">
        <v>486</v>
      </c>
      <c r="BE29">
        <v>5118.55</v>
      </c>
      <c r="BF29">
        <v>799.681692307692</v>
      </c>
      <c r="BG29">
        <v>1693.17597917525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487</v>
      </c>
      <c r="BQ29">
        <v>737.27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307</v>
      </c>
      <c r="CA29">
        <v>290</v>
      </c>
      <c r="CB29">
        <v>1652.87</v>
      </c>
      <c r="CC29">
        <v>285</v>
      </c>
      <c r="CD29">
        <v>5118.55</v>
      </c>
      <c r="CE29">
        <v>1652.73</v>
      </c>
      <c r="CF29">
        <v>0.14</v>
      </c>
      <c r="CG29">
        <v>300</v>
      </c>
      <c r="CH29">
        <v>23.9</v>
      </c>
      <c r="CI29">
        <v>1693.17597917525</v>
      </c>
      <c r="CJ29">
        <v>1.3684931270813</v>
      </c>
      <c r="CK29">
        <v>-20.7036136263058</v>
      </c>
      <c r="CL29">
        <v>0.607954525078409</v>
      </c>
      <c r="CM29">
        <v>0.976425259581325</v>
      </c>
      <c r="CN29">
        <v>-0.00419057931034483</v>
      </c>
      <c r="CO29">
        <v>290</v>
      </c>
      <c r="CP29">
        <v>1651.6</v>
      </c>
      <c r="CQ29">
        <v>655</v>
      </c>
      <c r="CR29">
        <v>5117.91</v>
      </c>
      <c r="CS29">
        <v>1652.72</v>
      </c>
      <c r="CT29">
        <v>-1.12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1761501145.1</v>
      </c>
      <c r="DR29">
        <v>417.9804</v>
      </c>
      <c r="DS29">
        <v>420</v>
      </c>
      <c r="DT29">
        <v>12.0568</v>
      </c>
      <c r="DU29">
        <v>10.5753933333333</v>
      </c>
      <c r="DV29">
        <v>415.195466666667</v>
      </c>
      <c r="DW29">
        <v>12.0941466666667</v>
      </c>
      <c r="DX29">
        <v>500.022866666667</v>
      </c>
      <c r="DY29">
        <v>90.1892066666666</v>
      </c>
      <c r="DZ29">
        <v>0.0194195133333333</v>
      </c>
      <c r="EA29">
        <v>18.8854</v>
      </c>
      <c r="EB29">
        <v>17.9863466666667</v>
      </c>
      <c r="EC29">
        <v>999.9</v>
      </c>
      <c r="ED29">
        <v>0</v>
      </c>
      <c r="EE29">
        <v>0</v>
      </c>
      <c r="EF29">
        <v>9999.46533333333</v>
      </c>
      <c r="EG29">
        <v>0</v>
      </c>
      <c r="EH29">
        <v>1263.62533333333</v>
      </c>
      <c r="EI29">
        <v>-2.01958533333333</v>
      </c>
      <c r="EJ29">
        <v>423.081533333333</v>
      </c>
      <c r="EK29">
        <v>424.4892</v>
      </c>
      <c r="EL29">
        <v>1.481412</v>
      </c>
      <c r="EM29">
        <v>420</v>
      </c>
      <c r="EN29">
        <v>10.5753933333333</v>
      </c>
      <c r="EO29">
        <v>1.087394</v>
      </c>
      <c r="EP29">
        <v>0.953785666666667</v>
      </c>
      <c r="EQ29">
        <v>8.14312533333333</v>
      </c>
      <c r="ER29">
        <v>6.22890066666667</v>
      </c>
      <c r="ES29">
        <v>50.0029733333333</v>
      </c>
      <c r="ET29">
        <v>0.899827533333333</v>
      </c>
      <c r="EU29">
        <v>0.100172473333333</v>
      </c>
      <c r="EV29">
        <v>0</v>
      </c>
      <c r="EW29">
        <v>799.660466666667</v>
      </c>
      <c r="EX29">
        <v>5.00059</v>
      </c>
      <c r="EY29">
        <v>398.290266666667</v>
      </c>
      <c r="EZ29">
        <v>382.301333333333</v>
      </c>
      <c r="FA29">
        <v>35.4706</v>
      </c>
      <c r="FB29">
        <v>40.9206</v>
      </c>
      <c r="FC29">
        <v>37.6372666666667</v>
      </c>
      <c r="FD29">
        <v>40.8664666666667</v>
      </c>
      <c r="FE29">
        <v>37.6373333333333</v>
      </c>
      <c r="FF29">
        <v>40.4946666666667</v>
      </c>
      <c r="FG29">
        <v>4.51</v>
      </c>
      <c r="FH29">
        <v>0</v>
      </c>
      <c r="FI29">
        <v>107.200000047684</v>
      </c>
      <c r="FJ29">
        <v>0</v>
      </c>
      <c r="FK29">
        <v>799.681692307692</v>
      </c>
      <c r="FL29">
        <v>-0.43022222051556</v>
      </c>
      <c r="FM29">
        <v>1.82147011032707</v>
      </c>
      <c r="FN29">
        <v>398.334846153846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-2.04159952380952</v>
      </c>
      <c r="GD29">
        <v>0.442098701298702</v>
      </c>
      <c r="GE29">
        <v>0.0563644114732481</v>
      </c>
      <c r="GF29">
        <v>1</v>
      </c>
      <c r="GG29">
        <v>799.698029411765</v>
      </c>
      <c r="GH29">
        <v>-0.628128344570773</v>
      </c>
      <c r="GI29">
        <v>0.155093801843392</v>
      </c>
      <c r="GJ29">
        <v>-1</v>
      </c>
      <c r="GK29">
        <v>1.48296333333333</v>
      </c>
      <c r="GL29">
        <v>-0.0338540259740248</v>
      </c>
      <c r="GM29">
        <v>0.00348373955252705</v>
      </c>
      <c r="GN29">
        <v>1</v>
      </c>
      <c r="GO29">
        <v>2</v>
      </c>
      <c r="GP29">
        <v>2</v>
      </c>
      <c r="GQ29" t="s">
        <v>442</v>
      </c>
      <c r="GR29">
        <v>3.13003</v>
      </c>
      <c r="GS29">
        <v>2.69767</v>
      </c>
      <c r="GT29">
        <v>0.0889334</v>
      </c>
      <c r="GU29">
        <v>0.0898377</v>
      </c>
      <c r="GV29">
        <v>0.0620941</v>
      </c>
      <c r="GW29">
        <v>0.0563435</v>
      </c>
      <c r="GX29">
        <v>34388.7</v>
      </c>
      <c r="GY29">
        <v>36832.9</v>
      </c>
      <c r="GZ29">
        <v>34144.9</v>
      </c>
      <c r="HA29">
        <v>36635.5</v>
      </c>
      <c r="HB29">
        <v>45217</v>
      </c>
      <c r="HC29">
        <v>49591.7</v>
      </c>
      <c r="HD29">
        <v>53207.8</v>
      </c>
      <c r="HE29">
        <v>58471</v>
      </c>
      <c r="HF29">
        <v>1.968</v>
      </c>
      <c r="HG29">
        <v>1.79977</v>
      </c>
      <c r="HH29">
        <v>-0.0581443</v>
      </c>
      <c r="HI29">
        <v>0</v>
      </c>
      <c r="HJ29">
        <v>18.984</v>
      </c>
      <c r="HK29">
        <v>999.9</v>
      </c>
      <c r="HL29">
        <v>30.216</v>
      </c>
      <c r="HM29">
        <v>29.578</v>
      </c>
      <c r="HN29">
        <v>13.932</v>
      </c>
      <c r="HO29">
        <v>55.1573</v>
      </c>
      <c r="HP29">
        <v>47.0954</v>
      </c>
      <c r="HQ29">
        <v>1</v>
      </c>
      <c r="HR29">
        <v>-0.0148095</v>
      </c>
      <c r="HS29">
        <v>5.42307</v>
      </c>
      <c r="HT29">
        <v>20.0617</v>
      </c>
      <c r="HU29">
        <v>5.20142</v>
      </c>
      <c r="HV29">
        <v>12.0071</v>
      </c>
      <c r="HW29">
        <v>4.9759</v>
      </c>
      <c r="HX29">
        <v>3.294</v>
      </c>
      <c r="HY29">
        <v>9999</v>
      </c>
      <c r="HZ29">
        <v>999.9</v>
      </c>
      <c r="IA29">
        <v>9999</v>
      </c>
      <c r="IB29">
        <v>9999</v>
      </c>
      <c r="IC29">
        <v>1.86319</v>
      </c>
      <c r="ID29">
        <v>1.86805</v>
      </c>
      <c r="IE29">
        <v>1.86785</v>
      </c>
      <c r="IF29">
        <v>1.86904</v>
      </c>
      <c r="IG29">
        <v>1.86982</v>
      </c>
      <c r="IH29">
        <v>1.86584</v>
      </c>
      <c r="II29">
        <v>1.86696</v>
      </c>
      <c r="IJ29">
        <v>1.86843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2.786</v>
      </c>
      <c r="IY29">
        <v>-0.0374</v>
      </c>
      <c r="IZ29">
        <v>1.07540948637381</v>
      </c>
      <c r="JA29">
        <v>0.0043402248696239</v>
      </c>
      <c r="JB29">
        <v>-6.09475981766997e-07</v>
      </c>
      <c r="JC29">
        <v>1.76646249085242e-10</v>
      </c>
      <c r="JD29">
        <v>-0.0887419319460927</v>
      </c>
      <c r="JE29">
        <v>-0.0249687719874024</v>
      </c>
      <c r="JF29">
        <v>0.00293551823329282</v>
      </c>
      <c r="JG29">
        <v>-4.29659942473584e-05</v>
      </c>
      <c r="JH29">
        <v>5</v>
      </c>
      <c r="JI29">
        <v>2275</v>
      </c>
      <c r="JJ29">
        <v>1</v>
      </c>
      <c r="JK29">
        <v>23</v>
      </c>
      <c r="JL29">
        <v>29358352.6</v>
      </c>
      <c r="JM29">
        <v>29358352.6</v>
      </c>
      <c r="JN29">
        <v>0.996094</v>
      </c>
      <c r="JO29">
        <v>2.62817</v>
      </c>
      <c r="JP29">
        <v>1.54785</v>
      </c>
      <c r="JQ29">
        <v>2.31201</v>
      </c>
      <c r="JR29">
        <v>1.64673</v>
      </c>
      <c r="JS29">
        <v>2.28882</v>
      </c>
      <c r="JT29">
        <v>33.1769</v>
      </c>
      <c r="JU29">
        <v>24.1663</v>
      </c>
      <c r="JV29">
        <v>18</v>
      </c>
      <c r="JW29">
        <v>503.366</v>
      </c>
      <c r="JX29">
        <v>396.461</v>
      </c>
      <c r="JY29">
        <v>13.7767</v>
      </c>
      <c r="JZ29">
        <v>27.0454</v>
      </c>
      <c r="KA29">
        <v>30.0007</v>
      </c>
      <c r="KB29">
        <v>27.0537</v>
      </c>
      <c r="KC29">
        <v>27.014</v>
      </c>
      <c r="KD29">
        <v>19.9455</v>
      </c>
      <c r="KE29">
        <v>12.5046</v>
      </c>
      <c r="KF29">
        <v>0</v>
      </c>
      <c r="KG29">
        <v>13.3821</v>
      </c>
      <c r="KH29">
        <v>420</v>
      </c>
      <c r="KI29">
        <v>10.6047</v>
      </c>
      <c r="KJ29">
        <v>96.7618</v>
      </c>
      <c r="KK29">
        <v>94.7861</v>
      </c>
    </row>
    <row r="30" spans="1:297">
      <c r="A30">
        <v>14</v>
      </c>
      <c r="B30">
        <v>1761501251.1</v>
      </c>
      <c r="C30">
        <v>2068</v>
      </c>
      <c r="D30" t="s">
        <v>488</v>
      </c>
      <c r="E30" t="s">
        <v>489</v>
      </c>
      <c r="F30">
        <v>5</v>
      </c>
      <c r="G30" t="s">
        <v>468</v>
      </c>
      <c r="H30" t="s">
        <v>436</v>
      </c>
      <c r="I30">
        <v>1761501242.6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424.603404646818</v>
      </c>
      <c r="AK30">
        <v>425.014260606061</v>
      </c>
      <c r="AL30">
        <v>0.00286078395329031</v>
      </c>
      <c r="AM30">
        <v>65.0999522443971</v>
      </c>
      <c r="AN30">
        <f>(AP30 - AO30 + DY30*1E3/(8.314*(EA30+273.15)) * AR30/DX30 * AQ30) * DX30/(100*DL30) * 1000/(1000 - AP30)</f>
        <v>0</v>
      </c>
      <c r="AO30">
        <v>10.7469867440363</v>
      </c>
      <c r="AP30">
        <v>12.1340484848485</v>
      </c>
      <c r="AQ30">
        <v>8.59039846279097e-05</v>
      </c>
      <c r="AR30">
        <v>103.971379780745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490</v>
      </c>
      <c r="AY30">
        <v>5115.2</v>
      </c>
      <c r="AZ30">
        <v>732.504</v>
      </c>
      <c r="BA30">
        <v>1728.22675254666</v>
      </c>
      <c r="BB30">
        <f>1-AZ30/BA30</f>
        <v>0</v>
      </c>
      <c r="BC30">
        <v>-0.350174750577109</v>
      </c>
      <c r="BD30" t="s">
        <v>448</v>
      </c>
      <c r="BE30" t="s">
        <v>448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448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309</v>
      </c>
      <c r="CA30">
        <v>290</v>
      </c>
      <c r="CB30">
        <v>1684.63</v>
      </c>
      <c r="CC30">
        <v>285</v>
      </c>
      <c r="CD30">
        <v>5115.2</v>
      </c>
      <c r="CE30">
        <v>1684.5</v>
      </c>
      <c r="CF30">
        <v>0.13</v>
      </c>
      <c r="CG30">
        <v>300</v>
      </c>
      <c r="CH30">
        <v>23.8</v>
      </c>
      <c r="CI30">
        <v>1728.22675254666</v>
      </c>
      <c r="CJ30">
        <v>1.62677300167256</v>
      </c>
      <c r="CK30">
        <v>-22.3661183795035</v>
      </c>
      <c r="CL30">
        <v>0.721163292412814</v>
      </c>
      <c r="CM30">
        <v>0.971713307529051</v>
      </c>
      <c r="CN30">
        <v>-0.00422551167964405</v>
      </c>
      <c r="CO30">
        <v>290</v>
      </c>
      <c r="CP30">
        <v>1682.12</v>
      </c>
      <c r="CQ30">
        <v>615</v>
      </c>
      <c r="CR30">
        <v>5115.03</v>
      </c>
      <c r="CS30">
        <v>1684.5</v>
      </c>
      <c r="CT30">
        <v>-2.38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1761501242.6</v>
      </c>
      <c r="DR30">
        <v>419.775125</v>
      </c>
      <c r="DS30">
        <v>419.996125</v>
      </c>
      <c r="DT30">
        <v>12.11073125</v>
      </c>
      <c r="DU30">
        <v>10.7447</v>
      </c>
      <c r="DV30">
        <v>416.9831875</v>
      </c>
      <c r="DW30">
        <v>12.14665625</v>
      </c>
      <c r="DX30">
        <v>500.10275</v>
      </c>
      <c r="DY30">
        <v>90.18640625</v>
      </c>
      <c r="DZ30">
        <v>0.01981358125</v>
      </c>
      <c r="EA30">
        <v>18.9278125</v>
      </c>
      <c r="EB30">
        <v>17.996775</v>
      </c>
      <c r="EC30">
        <v>999.9</v>
      </c>
      <c r="ED30">
        <v>0</v>
      </c>
      <c r="EE30">
        <v>0</v>
      </c>
      <c r="EF30">
        <v>10037.338125</v>
      </c>
      <c r="EG30">
        <v>0</v>
      </c>
      <c r="EH30">
        <v>1263.795625</v>
      </c>
      <c r="EI30">
        <v>-0.2209778125</v>
      </c>
      <c r="EJ30">
        <v>424.9211875</v>
      </c>
      <c r="EK30">
        <v>424.558</v>
      </c>
      <c r="EL30">
        <v>1.366026875</v>
      </c>
      <c r="EM30">
        <v>419.996125</v>
      </c>
      <c r="EN30">
        <v>10.7447</v>
      </c>
      <c r="EO30">
        <v>1.092223125</v>
      </c>
      <c r="EP30">
        <v>0.9690260625</v>
      </c>
      <c r="EQ30">
        <v>8.208355625</v>
      </c>
      <c r="ER30">
        <v>6.45880375</v>
      </c>
      <c r="ES30">
        <v>0.00500059</v>
      </c>
      <c r="ET30">
        <v>0</v>
      </c>
      <c r="EU30">
        <v>0</v>
      </c>
      <c r="EV30">
        <v>0</v>
      </c>
      <c r="EW30">
        <v>731.59375</v>
      </c>
      <c r="EX30">
        <v>0.00500059</v>
      </c>
      <c r="EY30">
        <v>33.46875</v>
      </c>
      <c r="EZ30">
        <v>-0.88125</v>
      </c>
      <c r="FA30">
        <v>35.6951875</v>
      </c>
      <c r="FB30">
        <v>40.949</v>
      </c>
      <c r="FC30">
        <v>37.8005</v>
      </c>
      <c r="FD30">
        <v>40.9724375</v>
      </c>
      <c r="FE30">
        <v>37.4880625</v>
      </c>
      <c r="FF30">
        <v>0</v>
      </c>
      <c r="FG30">
        <v>0</v>
      </c>
      <c r="FH30">
        <v>0</v>
      </c>
      <c r="FI30">
        <v>95.2000000476837</v>
      </c>
      <c r="FJ30">
        <v>0</v>
      </c>
      <c r="FK30">
        <v>732.504</v>
      </c>
      <c r="FL30">
        <v>-42.1076923721621</v>
      </c>
      <c r="FM30">
        <v>15.8692305917336</v>
      </c>
      <c r="FN30">
        <v>33.94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-0.24721375</v>
      </c>
      <c r="GD30">
        <v>0.421647203007519</v>
      </c>
      <c r="GE30">
        <v>0.0526887568783654</v>
      </c>
      <c r="GF30">
        <v>1</v>
      </c>
      <c r="GG30">
        <v>733.047058823529</v>
      </c>
      <c r="GH30">
        <v>-13.1520245885892</v>
      </c>
      <c r="GI30">
        <v>4.45996803563576</v>
      </c>
      <c r="GJ30">
        <v>-1</v>
      </c>
      <c r="GK30">
        <v>1.3634465</v>
      </c>
      <c r="GL30">
        <v>0.0464016541353389</v>
      </c>
      <c r="GM30">
        <v>0.00553144400224752</v>
      </c>
      <c r="GN30">
        <v>1</v>
      </c>
      <c r="GO30">
        <v>2</v>
      </c>
      <c r="GP30">
        <v>2</v>
      </c>
      <c r="GQ30" t="s">
        <v>442</v>
      </c>
      <c r="GR30">
        <v>3.13016</v>
      </c>
      <c r="GS30">
        <v>2.69713</v>
      </c>
      <c r="GT30">
        <v>0.0892365</v>
      </c>
      <c r="GU30">
        <v>0.0898376</v>
      </c>
      <c r="GV30">
        <v>0.0624254</v>
      </c>
      <c r="GW30">
        <v>0.0570515</v>
      </c>
      <c r="GX30">
        <v>34380.4</v>
      </c>
      <c r="GY30">
        <v>36837.4</v>
      </c>
      <c r="GZ30">
        <v>34147.8</v>
      </c>
      <c r="HA30">
        <v>36639.7</v>
      </c>
      <c r="HB30">
        <v>45203.9</v>
      </c>
      <c r="HC30">
        <v>49559.7</v>
      </c>
      <c r="HD30">
        <v>53211.4</v>
      </c>
      <c r="HE30">
        <v>58477.6</v>
      </c>
      <c r="HF30">
        <v>1.96882</v>
      </c>
      <c r="HG30">
        <v>1.79947</v>
      </c>
      <c r="HH30">
        <v>-0.0631586</v>
      </c>
      <c r="HI30">
        <v>0</v>
      </c>
      <c r="HJ30">
        <v>19.0519</v>
      </c>
      <c r="HK30">
        <v>999.9</v>
      </c>
      <c r="HL30">
        <v>30.192</v>
      </c>
      <c r="HM30">
        <v>29.628</v>
      </c>
      <c r="HN30">
        <v>13.9619</v>
      </c>
      <c r="HO30">
        <v>53.7873</v>
      </c>
      <c r="HP30">
        <v>47.2316</v>
      </c>
      <c r="HQ30">
        <v>1</v>
      </c>
      <c r="HR30">
        <v>-0.0207419</v>
      </c>
      <c r="HS30">
        <v>4.31619</v>
      </c>
      <c r="HT30">
        <v>20.0986</v>
      </c>
      <c r="HU30">
        <v>5.19887</v>
      </c>
      <c r="HV30">
        <v>12.0047</v>
      </c>
      <c r="HW30">
        <v>4.9754</v>
      </c>
      <c r="HX30">
        <v>3.29398</v>
      </c>
      <c r="HY30">
        <v>9999</v>
      </c>
      <c r="HZ30">
        <v>999.9</v>
      </c>
      <c r="IA30">
        <v>9999</v>
      </c>
      <c r="IB30">
        <v>9999</v>
      </c>
      <c r="IC30">
        <v>1.86318</v>
      </c>
      <c r="ID30">
        <v>1.8681</v>
      </c>
      <c r="IE30">
        <v>1.86787</v>
      </c>
      <c r="IF30">
        <v>1.86905</v>
      </c>
      <c r="IG30">
        <v>1.86981</v>
      </c>
      <c r="IH30">
        <v>1.86591</v>
      </c>
      <c r="II30">
        <v>1.867</v>
      </c>
      <c r="IJ30">
        <v>1.86842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2.793</v>
      </c>
      <c r="IY30">
        <v>-0.0352</v>
      </c>
      <c r="IZ30">
        <v>1.07540948637381</v>
      </c>
      <c r="JA30">
        <v>0.0043402248696239</v>
      </c>
      <c r="JB30">
        <v>-6.09475981766997e-07</v>
      </c>
      <c r="JC30">
        <v>1.76646249085242e-10</v>
      </c>
      <c r="JD30">
        <v>-0.0887419319460927</v>
      </c>
      <c r="JE30">
        <v>-0.0249687719874024</v>
      </c>
      <c r="JF30">
        <v>0.00293551823329282</v>
      </c>
      <c r="JG30">
        <v>-4.29659942473584e-05</v>
      </c>
      <c r="JH30">
        <v>5</v>
      </c>
      <c r="JI30">
        <v>2275</v>
      </c>
      <c r="JJ30">
        <v>1</v>
      </c>
      <c r="JK30">
        <v>23</v>
      </c>
      <c r="JL30">
        <v>29358354.2</v>
      </c>
      <c r="JM30">
        <v>29358354.2</v>
      </c>
      <c r="JN30">
        <v>0.994873</v>
      </c>
      <c r="JO30">
        <v>2.62085</v>
      </c>
      <c r="JP30">
        <v>1.54785</v>
      </c>
      <c r="JQ30">
        <v>2.31201</v>
      </c>
      <c r="JR30">
        <v>1.64673</v>
      </c>
      <c r="JS30">
        <v>2.35596</v>
      </c>
      <c r="JT30">
        <v>33.2216</v>
      </c>
      <c r="JU30">
        <v>24.2013</v>
      </c>
      <c r="JV30">
        <v>18</v>
      </c>
      <c r="JW30">
        <v>503.6</v>
      </c>
      <c r="JX30">
        <v>396.074</v>
      </c>
      <c r="JY30">
        <v>13.4756</v>
      </c>
      <c r="JZ30">
        <v>27.0036</v>
      </c>
      <c r="KA30">
        <v>29.999</v>
      </c>
      <c r="KB30">
        <v>27.0198</v>
      </c>
      <c r="KC30">
        <v>26.9814</v>
      </c>
      <c r="KD30">
        <v>19.9476</v>
      </c>
      <c r="KE30">
        <v>10.7813</v>
      </c>
      <c r="KF30">
        <v>0</v>
      </c>
      <c r="KG30">
        <v>13.4661</v>
      </c>
      <c r="KH30">
        <v>420</v>
      </c>
      <c r="KI30">
        <v>10.783</v>
      </c>
      <c r="KJ30">
        <v>96.7691</v>
      </c>
      <c r="KK30">
        <v>94.7968</v>
      </c>
    </row>
    <row r="31" spans="1:297">
      <c r="A31">
        <v>15</v>
      </c>
      <c r="B31">
        <v>1761502582.1</v>
      </c>
      <c r="C31">
        <v>3399</v>
      </c>
      <c r="D31" t="s">
        <v>491</v>
      </c>
      <c r="E31" t="s">
        <v>492</v>
      </c>
      <c r="F31">
        <v>5</v>
      </c>
      <c r="G31" t="s">
        <v>493</v>
      </c>
      <c r="H31" t="s">
        <v>436</v>
      </c>
      <c r="I31">
        <v>1761502573.6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424.200278188984</v>
      </c>
      <c r="AK31">
        <v>415.569315151515</v>
      </c>
      <c r="AL31">
        <v>0.000267493744894264</v>
      </c>
      <c r="AM31">
        <v>65.0999522443971</v>
      </c>
      <c r="AN31">
        <f>(AP31 - AO31 + DY31*1E3/(8.314*(EA31+273.15)) * AR31/DX31 * AQ31) * DX31/(100*DL31) * 1000/(1000 - AP31)</f>
        <v>0</v>
      </c>
      <c r="AO31">
        <v>9.91165767678872</v>
      </c>
      <c r="AP31">
        <v>11.5759909090909</v>
      </c>
      <c r="AQ31">
        <v>3.53817464455995e-05</v>
      </c>
      <c r="AR31">
        <v>103.971379780745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490</v>
      </c>
      <c r="AY31">
        <v>5115.2</v>
      </c>
      <c r="AZ31">
        <v>732.504</v>
      </c>
      <c r="BA31">
        <v>1728.22675254666</v>
      </c>
      <c r="BB31">
        <f>1-AZ31/BA31</f>
        <v>0</v>
      </c>
      <c r="BC31">
        <v>-0.350174750577109</v>
      </c>
      <c r="BD31" t="s">
        <v>494</v>
      </c>
      <c r="BE31">
        <v>5153.09</v>
      </c>
      <c r="BF31">
        <v>1503.18730769231</v>
      </c>
      <c r="BG31">
        <v>1652.71597959006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495</v>
      </c>
      <c r="BQ31">
        <v>782.27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310</v>
      </c>
      <c r="CA31">
        <v>290</v>
      </c>
      <c r="CB31">
        <v>1617.4</v>
      </c>
      <c r="CC31">
        <v>215</v>
      </c>
      <c r="CD31">
        <v>5153.09</v>
      </c>
      <c r="CE31">
        <v>1615.11</v>
      </c>
      <c r="CF31">
        <v>2.29</v>
      </c>
      <c r="CG31">
        <v>300</v>
      </c>
      <c r="CH31">
        <v>23.7</v>
      </c>
      <c r="CI31">
        <v>1652.71597959006</v>
      </c>
      <c r="CJ31">
        <v>1.94889957706125</v>
      </c>
      <c r="CK31">
        <v>-19.3779161069161</v>
      </c>
      <c r="CL31">
        <v>0.903752898371251</v>
      </c>
      <c r="CM31">
        <v>0.942592669431828</v>
      </c>
      <c r="CN31">
        <v>-0.0032478593993326</v>
      </c>
      <c r="CO31">
        <v>290</v>
      </c>
      <c r="CP31">
        <v>1613.87</v>
      </c>
      <c r="CQ31">
        <v>645</v>
      </c>
      <c r="CR31">
        <v>5151.91</v>
      </c>
      <c r="CS31">
        <v>1615.1</v>
      </c>
      <c r="CT31">
        <v>-1.23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1761502573.6</v>
      </c>
      <c r="DR31">
        <v>410.7648125</v>
      </c>
      <c r="DS31">
        <v>419.9916875</v>
      </c>
      <c r="DT31">
        <v>11.5711125</v>
      </c>
      <c r="DU31">
        <v>9.915106875</v>
      </c>
      <c r="DV31">
        <v>408.008</v>
      </c>
      <c r="DW31">
        <v>11.6210125</v>
      </c>
      <c r="DX31">
        <v>500.08225</v>
      </c>
      <c r="DY31">
        <v>90.1605375</v>
      </c>
      <c r="DZ31">
        <v>0.021296975</v>
      </c>
      <c r="EA31">
        <v>18.13491875</v>
      </c>
      <c r="EB31">
        <v>17.979675</v>
      </c>
      <c r="EC31">
        <v>999.9</v>
      </c>
      <c r="ED31">
        <v>0</v>
      </c>
      <c r="EE31">
        <v>0</v>
      </c>
      <c r="EF31">
        <v>10000.12</v>
      </c>
      <c r="EG31">
        <v>0</v>
      </c>
      <c r="EH31">
        <v>1272.464375</v>
      </c>
      <c r="EI31">
        <v>-9.227049375</v>
      </c>
      <c r="EJ31">
        <v>415.573375</v>
      </c>
      <c r="EK31">
        <v>424.1976875</v>
      </c>
      <c r="EL31">
        <v>1.65600625</v>
      </c>
      <c r="EM31">
        <v>419.9916875</v>
      </c>
      <c r="EN31">
        <v>9.915106875</v>
      </c>
      <c r="EO31">
        <v>1.0432575</v>
      </c>
      <c r="EP31">
        <v>0.8939514375</v>
      </c>
      <c r="EQ31">
        <v>7.534926875</v>
      </c>
      <c r="ER31">
        <v>5.293736875</v>
      </c>
      <c r="ES31">
        <v>1200.0025</v>
      </c>
      <c r="ET31">
        <v>0.966989</v>
      </c>
      <c r="EU31">
        <v>0.0330108</v>
      </c>
      <c r="EV31">
        <v>0</v>
      </c>
      <c r="EW31">
        <v>1503.25625</v>
      </c>
      <c r="EX31">
        <v>5.00059</v>
      </c>
      <c r="EY31">
        <v>17687.81875</v>
      </c>
      <c r="EZ31">
        <v>10358.71875</v>
      </c>
      <c r="FA31">
        <v>36.851375</v>
      </c>
      <c r="FB31">
        <v>38.875</v>
      </c>
      <c r="FC31">
        <v>37.402125</v>
      </c>
      <c r="FD31">
        <v>38.194875</v>
      </c>
      <c r="FE31">
        <v>37.726375</v>
      </c>
      <c r="FF31">
        <v>1155.5525</v>
      </c>
      <c r="FG31">
        <v>39.45</v>
      </c>
      <c r="FH31">
        <v>0</v>
      </c>
      <c r="FI31">
        <v>1329.60000014305</v>
      </c>
      <c r="FJ31">
        <v>0</v>
      </c>
      <c r="FK31">
        <v>1503.18730769231</v>
      </c>
      <c r="FL31">
        <v>-9.72136750824118</v>
      </c>
      <c r="FM31">
        <v>-113.839316274664</v>
      </c>
      <c r="FN31">
        <v>17686.2538461538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-9.2198180952381</v>
      </c>
      <c r="GD31">
        <v>-0.130884935064934</v>
      </c>
      <c r="GE31">
        <v>0.0310078507139029</v>
      </c>
      <c r="GF31">
        <v>1</v>
      </c>
      <c r="GG31">
        <v>1503.80852941176</v>
      </c>
      <c r="GH31">
        <v>-8.8857142854534</v>
      </c>
      <c r="GI31">
        <v>0.895893022608452</v>
      </c>
      <c r="GJ31">
        <v>-1</v>
      </c>
      <c r="GK31">
        <v>1.6537180952381</v>
      </c>
      <c r="GL31">
        <v>0.0410150649350652</v>
      </c>
      <c r="GM31">
        <v>0.00439391854514919</v>
      </c>
      <c r="GN31">
        <v>1</v>
      </c>
      <c r="GO31">
        <v>2</v>
      </c>
      <c r="GP31">
        <v>2</v>
      </c>
      <c r="GQ31" t="s">
        <v>442</v>
      </c>
      <c r="GR31">
        <v>3.12984</v>
      </c>
      <c r="GS31">
        <v>2.69916</v>
      </c>
      <c r="GT31">
        <v>0.0876988</v>
      </c>
      <c r="GU31">
        <v>0.0897994</v>
      </c>
      <c r="GV31">
        <v>0.0601738</v>
      </c>
      <c r="GW31">
        <v>0.0535032</v>
      </c>
      <c r="GX31">
        <v>34427.9</v>
      </c>
      <c r="GY31">
        <v>36825.9</v>
      </c>
      <c r="GZ31">
        <v>34138.5</v>
      </c>
      <c r="HA31">
        <v>36627.9</v>
      </c>
      <c r="HB31">
        <v>45304</v>
      </c>
      <c r="HC31">
        <v>49734.3</v>
      </c>
      <c r="HD31">
        <v>53199.7</v>
      </c>
      <c r="HE31">
        <v>58461.9</v>
      </c>
      <c r="HF31">
        <v>1.96637</v>
      </c>
      <c r="HG31">
        <v>1.7725</v>
      </c>
      <c r="HH31">
        <v>-0.0314601</v>
      </c>
      <c r="HI31">
        <v>0</v>
      </c>
      <c r="HJ31">
        <v>18.5083</v>
      </c>
      <c r="HK31">
        <v>999.9</v>
      </c>
      <c r="HL31">
        <v>29.343</v>
      </c>
      <c r="HM31">
        <v>30.101</v>
      </c>
      <c r="HN31">
        <v>13.9462</v>
      </c>
      <c r="HO31">
        <v>55.9275</v>
      </c>
      <c r="HP31">
        <v>46.7949</v>
      </c>
      <c r="HQ31">
        <v>1</v>
      </c>
      <c r="HR31">
        <v>0.0068064</v>
      </c>
      <c r="HS31">
        <v>7.1045</v>
      </c>
      <c r="HT31">
        <v>19.9983</v>
      </c>
      <c r="HU31">
        <v>5.20007</v>
      </c>
      <c r="HV31">
        <v>12.0076</v>
      </c>
      <c r="HW31">
        <v>4.9757</v>
      </c>
      <c r="HX31">
        <v>3.294</v>
      </c>
      <c r="HY31">
        <v>9999</v>
      </c>
      <c r="HZ31">
        <v>999.9</v>
      </c>
      <c r="IA31">
        <v>9999</v>
      </c>
      <c r="IB31">
        <v>9999</v>
      </c>
      <c r="IC31">
        <v>1.86322</v>
      </c>
      <c r="ID31">
        <v>1.86812</v>
      </c>
      <c r="IE31">
        <v>1.86784</v>
      </c>
      <c r="IF31">
        <v>1.86905</v>
      </c>
      <c r="IG31">
        <v>1.86981</v>
      </c>
      <c r="IH31">
        <v>1.86585</v>
      </c>
      <c r="II31">
        <v>1.86696</v>
      </c>
      <c r="IJ31">
        <v>1.86839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2.757</v>
      </c>
      <c r="IY31">
        <v>-0.0498</v>
      </c>
      <c r="IZ31">
        <v>1.07540948637381</v>
      </c>
      <c r="JA31">
        <v>0.0043402248696239</v>
      </c>
      <c r="JB31">
        <v>-6.09475981766997e-07</v>
      </c>
      <c r="JC31">
        <v>1.76646249085242e-10</v>
      </c>
      <c r="JD31">
        <v>-0.0887419319460927</v>
      </c>
      <c r="JE31">
        <v>-0.0249687719874024</v>
      </c>
      <c r="JF31">
        <v>0.00293551823329282</v>
      </c>
      <c r="JG31">
        <v>-4.29659942473584e-05</v>
      </c>
      <c r="JH31">
        <v>5</v>
      </c>
      <c r="JI31">
        <v>2275</v>
      </c>
      <c r="JJ31">
        <v>1</v>
      </c>
      <c r="JK31">
        <v>23</v>
      </c>
      <c r="JL31">
        <v>29358376.4</v>
      </c>
      <c r="JM31">
        <v>29358376.4</v>
      </c>
      <c r="JN31">
        <v>0.996094</v>
      </c>
      <c r="JO31">
        <v>2.63184</v>
      </c>
      <c r="JP31">
        <v>1.54785</v>
      </c>
      <c r="JQ31">
        <v>2.31079</v>
      </c>
      <c r="JR31">
        <v>1.64673</v>
      </c>
      <c r="JS31">
        <v>2.36084</v>
      </c>
      <c r="JT31">
        <v>33.558</v>
      </c>
      <c r="JU31">
        <v>24.1488</v>
      </c>
      <c r="JV31">
        <v>18</v>
      </c>
      <c r="JW31">
        <v>502.612</v>
      </c>
      <c r="JX31">
        <v>382.079</v>
      </c>
      <c r="JY31">
        <v>10.303</v>
      </c>
      <c r="JZ31">
        <v>27.2021</v>
      </c>
      <c r="KA31">
        <v>30</v>
      </c>
      <c r="KB31">
        <v>27.088</v>
      </c>
      <c r="KC31">
        <v>27.0338</v>
      </c>
      <c r="KD31">
        <v>19.9622</v>
      </c>
      <c r="KE31">
        <v>18.9918</v>
      </c>
      <c r="KF31">
        <v>0</v>
      </c>
      <c r="KG31">
        <v>10.3131</v>
      </c>
      <c r="KH31">
        <v>420</v>
      </c>
      <c r="KI31">
        <v>9.96734</v>
      </c>
      <c r="KJ31">
        <v>96.7458</v>
      </c>
      <c r="KK31">
        <v>94.7695</v>
      </c>
    </row>
    <row r="32" spans="1:297">
      <c r="A32">
        <v>16</v>
      </c>
      <c r="B32">
        <v>1761502671</v>
      </c>
      <c r="C32">
        <v>3487.90000009537</v>
      </c>
      <c r="D32" t="s">
        <v>496</v>
      </c>
      <c r="E32" t="s">
        <v>497</v>
      </c>
      <c r="F32">
        <v>5</v>
      </c>
      <c r="G32" t="s">
        <v>493</v>
      </c>
      <c r="H32" t="s">
        <v>436</v>
      </c>
      <c r="I32">
        <v>1761502663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424.104298195806</v>
      </c>
      <c r="AK32">
        <v>415.87446060606</v>
      </c>
      <c r="AL32">
        <v>-0.000454679997200765</v>
      </c>
      <c r="AM32">
        <v>65.0999522443971</v>
      </c>
      <c r="AN32">
        <f>(AP32 - AO32 + DY32*1E3/(8.314*(EA32+273.15)) * AR32/DX32 * AQ32) * DX32/(100*DL32) * 1000/(1000 - AP32)</f>
        <v>0</v>
      </c>
      <c r="AO32">
        <v>9.72560321987813</v>
      </c>
      <c r="AP32">
        <v>11.6121181818182</v>
      </c>
      <c r="AQ32">
        <v>-0.00243875526157294</v>
      </c>
      <c r="AR32">
        <v>103.971379780745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448</v>
      </c>
      <c r="AY32" t="s">
        <v>448</v>
      </c>
      <c r="AZ32">
        <v>0</v>
      </c>
      <c r="BA32">
        <v>0</v>
      </c>
      <c r="BB32">
        <f>1-AZ32/BA32</f>
        <v>0</v>
      </c>
      <c r="BC32">
        <v>0</v>
      </c>
      <c r="BD32" t="s">
        <v>448</v>
      </c>
      <c r="BE32" t="s">
        <v>448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448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310</v>
      </c>
      <c r="CA32">
        <v>290</v>
      </c>
      <c r="CB32">
        <v>1617.4</v>
      </c>
      <c r="CC32">
        <v>215</v>
      </c>
      <c r="CD32">
        <v>5153.09</v>
      </c>
      <c r="CE32">
        <v>1615.11</v>
      </c>
      <c r="CF32">
        <v>2.29</v>
      </c>
      <c r="CG32">
        <v>300</v>
      </c>
      <c r="CH32">
        <v>23.7</v>
      </c>
      <c r="CI32">
        <v>1652.71597959006</v>
      </c>
      <c r="CJ32">
        <v>1.94889957706125</v>
      </c>
      <c r="CK32">
        <v>-19.3779161069161</v>
      </c>
      <c r="CL32">
        <v>0.903752898371251</v>
      </c>
      <c r="CM32">
        <v>0.942592669431828</v>
      </c>
      <c r="CN32">
        <v>-0.0032478593993326</v>
      </c>
      <c r="CO32">
        <v>290</v>
      </c>
      <c r="CP32">
        <v>1613.87</v>
      </c>
      <c r="CQ32">
        <v>645</v>
      </c>
      <c r="CR32">
        <v>5151.91</v>
      </c>
      <c r="CS32">
        <v>1615.1</v>
      </c>
      <c r="CT32">
        <v>-1.23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1761502663</v>
      </c>
      <c r="DR32">
        <v>411.0754</v>
      </c>
      <c r="DS32">
        <v>420.013133333333</v>
      </c>
      <c r="DT32">
        <v>11.6435066666667</v>
      </c>
      <c r="DU32">
        <v>9.74321466666667</v>
      </c>
      <c r="DV32">
        <v>408.3174</v>
      </c>
      <c r="DW32">
        <v>11.6915733333333</v>
      </c>
      <c r="DX32">
        <v>499.989333333333</v>
      </c>
      <c r="DY32">
        <v>90.1596733333333</v>
      </c>
      <c r="DZ32">
        <v>0.0208273933333333</v>
      </c>
      <c r="EA32">
        <v>18.20186</v>
      </c>
      <c r="EB32">
        <v>17.92664</v>
      </c>
      <c r="EC32">
        <v>999.9</v>
      </c>
      <c r="ED32">
        <v>0</v>
      </c>
      <c r="EE32">
        <v>0</v>
      </c>
      <c r="EF32">
        <v>9996.876</v>
      </c>
      <c r="EG32">
        <v>0</v>
      </c>
      <c r="EH32">
        <v>1272.49266666667</v>
      </c>
      <c r="EI32">
        <v>-8.937858</v>
      </c>
      <c r="EJ32">
        <v>415.918066666667</v>
      </c>
      <c r="EK32">
        <v>424.1456</v>
      </c>
      <c r="EL32">
        <v>1.900296</v>
      </c>
      <c r="EM32">
        <v>420.013133333333</v>
      </c>
      <c r="EN32">
        <v>9.74321466666667</v>
      </c>
      <c r="EO32">
        <v>1.04977466666667</v>
      </c>
      <c r="EP32">
        <v>0.8784452</v>
      </c>
      <c r="EQ32">
        <v>7.62612866666667</v>
      </c>
      <c r="ER32">
        <v>5.04234933333333</v>
      </c>
      <c r="ES32">
        <v>899.9866</v>
      </c>
      <c r="ET32">
        <v>0.9559946</v>
      </c>
      <c r="EU32">
        <v>0.0440055533333333</v>
      </c>
      <c r="EV32">
        <v>0</v>
      </c>
      <c r="EW32">
        <v>1456.24733333333</v>
      </c>
      <c r="EX32">
        <v>5.00059</v>
      </c>
      <c r="EY32">
        <v>12784.0933333333</v>
      </c>
      <c r="EZ32">
        <v>7732.68</v>
      </c>
      <c r="FA32">
        <v>36.3079333333333</v>
      </c>
      <c r="FB32">
        <v>38.5746</v>
      </c>
      <c r="FC32">
        <v>37.0248</v>
      </c>
      <c r="FD32">
        <v>37.875</v>
      </c>
      <c r="FE32">
        <v>37.3246</v>
      </c>
      <c r="FF32">
        <v>855.602666666667</v>
      </c>
      <c r="FG32">
        <v>39.382</v>
      </c>
      <c r="FH32">
        <v>0</v>
      </c>
      <c r="FI32">
        <v>86</v>
      </c>
      <c r="FJ32">
        <v>0</v>
      </c>
      <c r="FK32">
        <v>1456.10384615385</v>
      </c>
      <c r="FL32">
        <v>-12.4834188065937</v>
      </c>
      <c r="FM32">
        <v>-129.859829132271</v>
      </c>
      <c r="FN32">
        <v>12782.8692307692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-8.9274135</v>
      </c>
      <c r="GD32">
        <v>-0.170675639097739</v>
      </c>
      <c r="GE32">
        <v>0.0375902873459354</v>
      </c>
      <c r="GF32">
        <v>1</v>
      </c>
      <c r="GG32">
        <v>1457.09558823529</v>
      </c>
      <c r="GH32">
        <v>-12.2614209275169</v>
      </c>
      <c r="GI32">
        <v>1.21106708216708</v>
      </c>
      <c r="GJ32">
        <v>-1</v>
      </c>
      <c r="GK32">
        <v>1.897065</v>
      </c>
      <c r="GL32">
        <v>0.0520592481202959</v>
      </c>
      <c r="GM32">
        <v>0.00864316984676339</v>
      </c>
      <c r="GN32">
        <v>1</v>
      </c>
      <c r="GO32">
        <v>2</v>
      </c>
      <c r="GP32">
        <v>2</v>
      </c>
      <c r="GQ32" t="s">
        <v>442</v>
      </c>
      <c r="GR32">
        <v>3.12985</v>
      </c>
      <c r="GS32">
        <v>2.69931</v>
      </c>
      <c r="GT32">
        <v>0.0877377</v>
      </c>
      <c r="GU32">
        <v>0.08979</v>
      </c>
      <c r="GV32">
        <v>0.060291</v>
      </c>
      <c r="GW32">
        <v>0.052696</v>
      </c>
      <c r="GX32">
        <v>34425</v>
      </c>
      <c r="GY32">
        <v>36825.3</v>
      </c>
      <c r="GZ32">
        <v>34137.2</v>
      </c>
      <c r="HA32">
        <v>36627</v>
      </c>
      <c r="HB32">
        <v>45297</v>
      </c>
      <c r="HC32">
        <v>49776.2</v>
      </c>
      <c r="HD32">
        <v>53198.3</v>
      </c>
      <c r="HE32">
        <v>58460.9</v>
      </c>
      <c r="HF32">
        <v>1.96655</v>
      </c>
      <c r="HG32">
        <v>1.79048</v>
      </c>
      <c r="HH32">
        <v>-0.0339001</v>
      </c>
      <c r="HI32">
        <v>0</v>
      </c>
      <c r="HJ32">
        <v>18.5231</v>
      </c>
      <c r="HK32">
        <v>999.9</v>
      </c>
      <c r="HL32">
        <v>29.215</v>
      </c>
      <c r="HM32">
        <v>30.121</v>
      </c>
      <c r="HN32">
        <v>13.9021</v>
      </c>
      <c r="HO32">
        <v>55.3675</v>
      </c>
      <c r="HP32">
        <v>47.2155</v>
      </c>
      <c r="HQ32">
        <v>1</v>
      </c>
      <c r="HR32">
        <v>0.00211382</v>
      </c>
      <c r="HS32">
        <v>5.4441</v>
      </c>
      <c r="HT32">
        <v>20.0592</v>
      </c>
      <c r="HU32">
        <v>5.20157</v>
      </c>
      <c r="HV32">
        <v>12.0047</v>
      </c>
      <c r="HW32">
        <v>4.97575</v>
      </c>
      <c r="HX32">
        <v>3.294</v>
      </c>
      <c r="HY32">
        <v>9999</v>
      </c>
      <c r="HZ32">
        <v>999.9</v>
      </c>
      <c r="IA32">
        <v>9999</v>
      </c>
      <c r="IB32">
        <v>9999</v>
      </c>
      <c r="IC32">
        <v>1.8632</v>
      </c>
      <c r="ID32">
        <v>1.86813</v>
      </c>
      <c r="IE32">
        <v>1.86784</v>
      </c>
      <c r="IF32">
        <v>1.86905</v>
      </c>
      <c r="IG32">
        <v>1.86982</v>
      </c>
      <c r="IH32">
        <v>1.86587</v>
      </c>
      <c r="II32">
        <v>1.86697</v>
      </c>
      <c r="IJ32">
        <v>1.86842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2.758</v>
      </c>
      <c r="IY32">
        <v>-0.049</v>
      </c>
      <c r="IZ32">
        <v>1.07540948637381</v>
      </c>
      <c r="JA32">
        <v>0.0043402248696239</v>
      </c>
      <c r="JB32">
        <v>-6.09475981766997e-07</v>
      </c>
      <c r="JC32">
        <v>1.76646249085242e-10</v>
      </c>
      <c r="JD32">
        <v>-0.0887419319460927</v>
      </c>
      <c r="JE32">
        <v>-0.0249687719874024</v>
      </c>
      <c r="JF32">
        <v>0.00293551823329282</v>
      </c>
      <c r="JG32">
        <v>-4.29659942473584e-05</v>
      </c>
      <c r="JH32">
        <v>5</v>
      </c>
      <c r="JI32">
        <v>2275</v>
      </c>
      <c r="JJ32">
        <v>1</v>
      </c>
      <c r="JK32">
        <v>23</v>
      </c>
      <c r="JL32">
        <v>29358377.9</v>
      </c>
      <c r="JM32">
        <v>29358377.9</v>
      </c>
      <c r="JN32">
        <v>0.996094</v>
      </c>
      <c r="JO32">
        <v>2.62817</v>
      </c>
      <c r="JP32">
        <v>1.54785</v>
      </c>
      <c r="JQ32">
        <v>2.31079</v>
      </c>
      <c r="JR32">
        <v>1.64673</v>
      </c>
      <c r="JS32">
        <v>2.31812</v>
      </c>
      <c r="JT32">
        <v>33.5355</v>
      </c>
      <c r="JU32">
        <v>24.1751</v>
      </c>
      <c r="JV32">
        <v>18</v>
      </c>
      <c r="JW32">
        <v>503.054</v>
      </c>
      <c r="JX32">
        <v>391.853</v>
      </c>
      <c r="JY32">
        <v>11.7832</v>
      </c>
      <c r="JZ32">
        <v>27.2251</v>
      </c>
      <c r="KA32">
        <v>30.0002</v>
      </c>
      <c r="KB32">
        <v>27.1244</v>
      </c>
      <c r="KC32">
        <v>27.071</v>
      </c>
      <c r="KD32">
        <v>19.9607</v>
      </c>
      <c r="KE32">
        <v>20.1917</v>
      </c>
      <c r="KF32">
        <v>0</v>
      </c>
      <c r="KG32">
        <v>11.805</v>
      </c>
      <c r="KH32">
        <v>420</v>
      </c>
      <c r="KI32">
        <v>9.74129</v>
      </c>
      <c r="KJ32">
        <v>96.7427</v>
      </c>
      <c r="KK32">
        <v>94.7676</v>
      </c>
    </row>
    <row r="33" spans="1:297">
      <c r="A33">
        <v>17</v>
      </c>
      <c r="B33">
        <v>1761502732</v>
      </c>
      <c r="C33">
        <v>3548.90000009537</v>
      </c>
      <c r="D33" t="s">
        <v>498</v>
      </c>
      <c r="E33" t="s">
        <v>499</v>
      </c>
      <c r="F33">
        <v>5</v>
      </c>
      <c r="G33" t="s">
        <v>493</v>
      </c>
      <c r="H33" t="s">
        <v>436</v>
      </c>
      <c r="I33">
        <v>1761502723.5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424.24819989085</v>
      </c>
      <c r="AK33">
        <v>416.187533333333</v>
      </c>
      <c r="AL33">
        <v>-4.23399036172485e-05</v>
      </c>
      <c r="AM33">
        <v>65.0999522443971</v>
      </c>
      <c r="AN33">
        <f>(AP33 - AO33 + DY33*1E3/(8.314*(EA33+273.15)) * AR33/DX33 * AQ33) * DX33/(100*DL33) * 1000/(1000 - AP33)</f>
        <v>0</v>
      </c>
      <c r="AO33">
        <v>9.89430960590097</v>
      </c>
      <c r="AP33">
        <v>11.6201484848485</v>
      </c>
      <c r="AQ33">
        <v>0.000290885135877108</v>
      </c>
      <c r="AR33">
        <v>103.971379780745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490</v>
      </c>
      <c r="AY33">
        <v>5115.2</v>
      </c>
      <c r="AZ33">
        <v>732.504</v>
      </c>
      <c r="BA33">
        <v>1728.22675254666</v>
      </c>
      <c r="BB33">
        <f>1-AZ33/BA33</f>
        <v>0</v>
      </c>
      <c r="BC33">
        <v>-0.350174750577109</v>
      </c>
      <c r="BD33" t="s">
        <v>500</v>
      </c>
      <c r="BE33">
        <v>5157.37</v>
      </c>
      <c r="BF33">
        <v>1358.0484</v>
      </c>
      <c r="BG33">
        <v>1660.21507338684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501</v>
      </c>
      <c r="BQ33">
        <v>778.13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312</v>
      </c>
      <c r="CA33">
        <v>290</v>
      </c>
      <c r="CB33">
        <v>1616.45</v>
      </c>
      <c r="CC33">
        <v>195</v>
      </c>
      <c r="CD33">
        <v>5157.37</v>
      </c>
      <c r="CE33">
        <v>1615.07</v>
      </c>
      <c r="CF33">
        <v>1.38</v>
      </c>
      <c r="CG33">
        <v>300</v>
      </c>
      <c r="CH33">
        <v>23.8</v>
      </c>
      <c r="CI33">
        <v>1660.21507338684</v>
      </c>
      <c r="CJ33">
        <v>1.55776259435969</v>
      </c>
      <c r="CK33">
        <v>-23.2821399037622</v>
      </c>
      <c r="CL33">
        <v>0.709602144443929</v>
      </c>
      <c r="CM33">
        <v>0.974649271552212</v>
      </c>
      <c r="CN33">
        <v>-0.0037572169076752</v>
      </c>
      <c r="CO33">
        <v>290</v>
      </c>
      <c r="CP33">
        <v>1612.19</v>
      </c>
      <c r="CQ33">
        <v>635</v>
      </c>
      <c r="CR33">
        <v>5155.98</v>
      </c>
      <c r="CS33">
        <v>1615.06</v>
      </c>
      <c r="CT33">
        <v>-2.87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1761502723.5</v>
      </c>
      <c r="DR33">
        <v>411.322875</v>
      </c>
      <c r="DS33">
        <v>419.9854375</v>
      </c>
      <c r="DT33">
        <v>11.59506875</v>
      </c>
      <c r="DU33">
        <v>9.873761875</v>
      </c>
      <c r="DV33">
        <v>408.5639375</v>
      </c>
      <c r="DW33">
        <v>11.64435625</v>
      </c>
      <c r="DX33">
        <v>500.0234375</v>
      </c>
      <c r="DY33">
        <v>90.15925</v>
      </c>
      <c r="DZ33">
        <v>0.02057505</v>
      </c>
      <c r="EA33">
        <v>18.31086875</v>
      </c>
      <c r="EB33">
        <v>17.9273375</v>
      </c>
      <c r="EC33">
        <v>999.9</v>
      </c>
      <c r="ED33">
        <v>0</v>
      </c>
      <c r="EE33">
        <v>0</v>
      </c>
      <c r="EF33">
        <v>10000.5425</v>
      </c>
      <c r="EG33">
        <v>0</v>
      </c>
      <c r="EH33">
        <v>1272.501875</v>
      </c>
      <c r="EI33">
        <v>-8.662540625</v>
      </c>
      <c r="EJ33">
        <v>416.1481875</v>
      </c>
      <c r="EK33">
        <v>424.1735</v>
      </c>
      <c r="EL33">
        <v>1.721304375</v>
      </c>
      <c r="EM33">
        <v>419.9854375</v>
      </c>
      <c r="EN33">
        <v>9.873761875</v>
      </c>
      <c r="EO33">
        <v>1.04540375</v>
      </c>
      <c r="EP33">
        <v>0.890210875</v>
      </c>
      <c r="EQ33">
        <v>7.564991875</v>
      </c>
      <c r="ER33">
        <v>5.2334275</v>
      </c>
      <c r="ES33">
        <v>600.015875</v>
      </c>
      <c r="ET33">
        <v>0.932992125</v>
      </c>
      <c r="EU33">
        <v>0.06700769375</v>
      </c>
      <c r="EV33">
        <v>0</v>
      </c>
      <c r="EW33">
        <v>1358.094375</v>
      </c>
      <c r="EX33">
        <v>5.00059</v>
      </c>
      <c r="EY33">
        <v>7880.930625</v>
      </c>
      <c r="EZ33">
        <v>5105.629375</v>
      </c>
      <c r="FA33">
        <v>35.7693125</v>
      </c>
      <c r="FB33">
        <v>38.3710625</v>
      </c>
      <c r="FC33">
        <v>36.7066875</v>
      </c>
      <c r="FD33">
        <v>37.6715</v>
      </c>
      <c r="FE33">
        <v>36.95675</v>
      </c>
      <c r="FF33">
        <v>555.14375</v>
      </c>
      <c r="FG33">
        <v>39.87</v>
      </c>
      <c r="FH33">
        <v>0</v>
      </c>
      <c r="FI33">
        <v>146.599999904633</v>
      </c>
      <c r="FJ33">
        <v>0</v>
      </c>
      <c r="FK33">
        <v>1358.0484</v>
      </c>
      <c r="FL33">
        <v>-3.30153846692388</v>
      </c>
      <c r="FM33">
        <v>-14.7384616697674</v>
      </c>
      <c r="FN33">
        <v>7880.0572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-8.66963142857143</v>
      </c>
      <c r="GD33">
        <v>0.0502036363636455</v>
      </c>
      <c r="GE33">
        <v>0.0324250012719042</v>
      </c>
      <c r="GF33">
        <v>1</v>
      </c>
      <c r="GG33">
        <v>1358.21588235294</v>
      </c>
      <c r="GH33">
        <v>-2.64507257045716</v>
      </c>
      <c r="GI33">
        <v>0.331086603625601</v>
      </c>
      <c r="GJ33">
        <v>-1</v>
      </c>
      <c r="GK33">
        <v>1.72121904761905</v>
      </c>
      <c r="GL33">
        <v>-0.0185228571428582</v>
      </c>
      <c r="GM33">
        <v>0.00702113537471779</v>
      </c>
      <c r="GN33">
        <v>1</v>
      </c>
      <c r="GO33">
        <v>2</v>
      </c>
      <c r="GP33">
        <v>2</v>
      </c>
      <c r="GQ33" t="s">
        <v>442</v>
      </c>
      <c r="GR33">
        <v>3.12982</v>
      </c>
      <c r="GS33">
        <v>2.69858</v>
      </c>
      <c r="GT33">
        <v>0.0877849</v>
      </c>
      <c r="GU33">
        <v>0.0897828</v>
      </c>
      <c r="GV33">
        <v>0.0603556</v>
      </c>
      <c r="GW33">
        <v>0.0534637</v>
      </c>
      <c r="GX33">
        <v>34423.7</v>
      </c>
      <c r="GY33">
        <v>36824.7</v>
      </c>
      <c r="GZ33">
        <v>34137.7</v>
      </c>
      <c r="HA33">
        <v>36626.2</v>
      </c>
      <c r="HB33">
        <v>45294.6</v>
      </c>
      <c r="HC33">
        <v>49734.5</v>
      </c>
      <c r="HD33">
        <v>53199.2</v>
      </c>
      <c r="HE33">
        <v>58459.7</v>
      </c>
      <c r="HF33">
        <v>1.96645</v>
      </c>
      <c r="HG33">
        <v>1.79072</v>
      </c>
      <c r="HH33">
        <v>-0.0383928</v>
      </c>
      <c r="HI33">
        <v>0</v>
      </c>
      <c r="HJ33">
        <v>18.5956</v>
      </c>
      <c r="HK33">
        <v>999.9</v>
      </c>
      <c r="HL33">
        <v>29.117</v>
      </c>
      <c r="HM33">
        <v>30.121</v>
      </c>
      <c r="HN33">
        <v>13.8553</v>
      </c>
      <c r="HO33">
        <v>55.2976</v>
      </c>
      <c r="HP33">
        <v>47.3958</v>
      </c>
      <c r="HQ33">
        <v>1</v>
      </c>
      <c r="HR33">
        <v>0.000335366</v>
      </c>
      <c r="HS33">
        <v>4.92504</v>
      </c>
      <c r="HT33">
        <v>20.0772</v>
      </c>
      <c r="HU33">
        <v>5.20037</v>
      </c>
      <c r="HV33">
        <v>12.0044</v>
      </c>
      <c r="HW33">
        <v>4.9757</v>
      </c>
      <c r="HX33">
        <v>3.294</v>
      </c>
      <c r="HY33">
        <v>9999</v>
      </c>
      <c r="HZ33">
        <v>999.9</v>
      </c>
      <c r="IA33">
        <v>9999</v>
      </c>
      <c r="IB33">
        <v>9999</v>
      </c>
      <c r="IC33">
        <v>1.86322</v>
      </c>
      <c r="ID33">
        <v>1.86813</v>
      </c>
      <c r="IE33">
        <v>1.86786</v>
      </c>
      <c r="IF33">
        <v>1.86905</v>
      </c>
      <c r="IG33">
        <v>1.86983</v>
      </c>
      <c r="IH33">
        <v>1.86591</v>
      </c>
      <c r="II33">
        <v>1.86697</v>
      </c>
      <c r="IJ33">
        <v>1.86841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2.759</v>
      </c>
      <c r="IY33">
        <v>-0.0485</v>
      </c>
      <c r="IZ33">
        <v>1.07540948637381</v>
      </c>
      <c r="JA33">
        <v>0.0043402248696239</v>
      </c>
      <c r="JB33">
        <v>-6.09475981766997e-07</v>
      </c>
      <c r="JC33">
        <v>1.76646249085242e-10</v>
      </c>
      <c r="JD33">
        <v>-0.0887419319460927</v>
      </c>
      <c r="JE33">
        <v>-0.0249687719874024</v>
      </c>
      <c r="JF33">
        <v>0.00293551823329282</v>
      </c>
      <c r="JG33">
        <v>-4.29659942473584e-05</v>
      </c>
      <c r="JH33">
        <v>5</v>
      </c>
      <c r="JI33">
        <v>2275</v>
      </c>
      <c r="JJ33">
        <v>1</v>
      </c>
      <c r="JK33">
        <v>23</v>
      </c>
      <c r="JL33">
        <v>29358378.9</v>
      </c>
      <c r="JM33">
        <v>29358378.9</v>
      </c>
      <c r="JN33">
        <v>0.996094</v>
      </c>
      <c r="JO33">
        <v>2.63306</v>
      </c>
      <c r="JP33">
        <v>1.54785</v>
      </c>
      <c r="JQ33">
        <v>2.31079</v>
      </c>
      <c r="JR33">
        <v>1.64673</v>
      </c>
      <c r="JS33">
        <v>2.34009</v>
      </c>
      <c r="JT33">
        <v>33.513</v>
      </c>
      <c r="JU33">
        <v>24.1926</v>
      </c>
      <c r="JV33">
        <v>18</v>
      </c>
      <c r="JW33">
        <v>503.147</v>
      </c>
      <c r="JX33">
        <v>392.121</v>
      </c>
      <c r="JY33">
        <v>12.457</v>
      </c>
      <c r="JZ33">
        <v>27.2251</v>
      </c>
      <c r="KA33">
        <v>30.0002</v>
      </c>
      <c r="KB33">
        <v>27.1421</v>
      </c>
      <c r="KC33">
        <v>27.0908</v>
      </c>
      <c r="KD33">
        <v>19.9644</v>
      </c>
      <c r="KE33">
        <v>17.8499</v>
      </c>
      <c r="KF33">
        <v>0</v>
      </c>
      <c r="KG33">
        <v>12.4764</v>
      </c>
      <c r="KH33">
        <v>420</v>
      </c>
      <c r="KI33">
        <v>9.95748</v>
      </c>
      <c r="KJ33">
        <v>96.7442</v>
      </c>
      <c r="KK33">
        <v>94.7655</v>
      </c>
    </row>
    <row r="34" spans="1:297">
      <c r="A34">
        <v>18</v>
      </c>
      <c r="B34">
        <v>1761502812</v>
      </c>
      <c r="C34">
        <v>3628.90000009537</v>
      </c>
      <c r="D34" t="s">
        <v>502</v>
      </c>
      <c r="E34" t="s">
        <v>503</v>
      </c>
      <c r="F34">
        <v>5</v>
      </c>
      <c r="G34" t="s">
        <v>493</v>
      </c>
      <c r="H34" t="s">
        <v>436</v>
      </c>
      <c r="I34">
        <v>1761502803.5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424.275431342458</v>
      </c>
      <c r="AK34">
        <v>417.360072727273</v>
      </c>
      <c r="AL34">
        <v>-0.000312236011920799</v>
      </c>
      <c r="AM34">
        <v>65.0999522443971</v>
      </c>
      <c r="AN34">
        <f>(AP34 - AO34 + DY34*1E3/(8.314*(EA34+273.15)) * AR34/DX34 * AQ34) * DX34/(100*DL34) * 1000/(1000 - AP34)</f>
        <v>0</v>
      </c>
      <c r="AO34">
        <v>10.0740949568541</v>
      </c>
      <c r="AP34">
        <v>11.7724478787879</v>
      </c>
      <c r="AQ34">
        <v>9.21752153929761e-06</v>
      </c>
      <c r="AR34">
        <v>103.971379780745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448</v>
      </c>
      <c r="AY34" t="s">
        <v>448</v>
      </c>
      <c r="AZ34">
        <v>0</v>
      </c>
      <c r="BA34">
        <v>0</v>
      </c>
      <c r="BB34">
        <f>1-AZ34/BA34</f>
        <v>0</v>
      </c>
      <c r="BC34">
        <v>0</v>
      </c>
      <c r="BD34" t="s">
        <v>448</v>
      </c>
      <c r="BE34" t="s">
        <v>448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448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312</v>
      </c>
      <c r="CA34">
        <v>290</v>
      </c>
      <c r="CB34">
        <v>1616.45</v>
      </c>
      <c r="CC34">
        <v>195</v>
      </c>
      <c r="CD34">
        <v>5157.37</v>
      </c>
      <c r="CE34">
        <v>1615.07</v>
      </c>
      <c r="CF34">
        <v>1.38</v>
      </c>
      <c r="CG34">
        <v>300</v>
      </c>
      <c r="CH34">
        <v>23.8</v>
      </c>
      <c r="CI34">
        <v>1660.21507338684</v>
      </c>
      <c r="CJ34">
        <v>1.55776259435969</v>
      </c>
      <c r="CK34">
        <v>-23.2821399037622</v>
      </c>
      <c r="CL34">
        <v>0.709602144443929</v>
      </c>
      <c r="CM34">
        <v>0.974649271552212</v>
      </c>
      <c r="CN34">
        <v>-0.0037572169076752</v>
      </c>
      <c r="CO34">
        <v>290</v>
      </c>
      <c r="CP34">
        <v>1612.19</v>
      </c>
      <c r="CQ34">
        <v>635</v>
      </c>
      <c r="CR34">
        <v>5155.98</v>
      </c>
      <c r="CS34">
        <v>1615.06</v>
      </c>
      <c r="CT34">
        <v>-2.87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1761502803.5</v>
      </c>
      <c r="DR34">
        <v>412.45175</v>
      </c>
      <c r="DS34">
        <v>420.0170625</v>
      </c>
      <c r="DT34">
        <v>11.76994375</v>
      </c>
      <c r="DU34">
        <v>10.07674375</v>
      </c>
      <c r="DV34">
        <v>409.68825</v>
      </c>
      <c r="DW34">
        <v>11.8147875</v>
      </c>
      <c r="DX34">
        <v>500.002</v>
      </c>
      <c r="DY34">
        <v>90.1598625</v>
      </c>
      <c r="DZ34">
        <v>0.0194048375</v>
      </c>
      <c r="EA34">
        <v>18.43993125</v>
      </c>
      <c r="EB34">
        <v>17.958675</v>
      </c>
      <c r="EC34">
        <v>999.9</v>
      </c>
      <c r="ED34">
        <v>0</v>
      </c>
      <c r="EE34">
        <v>0</v>
      </c>
      <c r="EF34">
        <v>9996.173125</v>
      </c>
      <c r="EG34">
        <v>0</v>
      </c>
      <c r="EH34">
        <v>1272.461875</v>
      </c>
      <c r="EI34">
        <v>-7.565194375</v>
      </c>
      <c r="EJ34">
        <v>417.364</v>
      </c>
      <c r="EK34">
        <v>424.2923125</v>
      </c>
      <c r="EL34">
        <v>1.693216875</v>
      </c>
      <c r="EM34">
        <v>420.0170625</v>
      </c>
      <c r="EN34">
        <v>10.07674375</v>
      </c>
      <c r="EO34">
        <v>1.061176875</v>
      </c>
      <c r="EP34">
        <v>0.908517125</v>
      </c>
      <c r="EQ34">
        <v>7.784549375</v>
      </c>
      <c r="ER34">
        <v>5.526364375</v>
      </c>
      <c r="ES34">
        <v>299.9901875</v>
      </c>
      <c r="ET34">
        <v>0.8999811875</v>
      </c>
      <c r="EU34">
        <v>0.1000186875</v>
      </c>
      <c r="EV34">
        <v>0</v>
      </c>
      <c r="EW34">
        <v>1126.53625</v>
      </c>
      <c r="EX34">
        <v>5.00059</v>
      </c>
      <c r="EY34">
        <v>3242.216875</v>
      </c>
      <c r="EZ34">
        <v>2506.0925</v>
      </c>
      <c r="FA34">
        <v>35.0544375</v>
      </c>
      <c r="FB34">
        <v>38.066125</v>
      </c>
      <c r="FC34">
        <v>36.25375</v>
      </c>
      <c r="FD34">
        <v>37.402125</v>
      </c>
      <c r="FE34">
        <v>36.4411875</v>
      </c>
      <c r="FF34">
        <v>265.485</v>
      </c>
      <c r="FG34">
        <v>29.500625</v>
      </c>
      <c r="FH34">
        <v>0</v>
      </c>
      <c r="FI34">
        <v>77.1000001430511</v>
      </c>
      <c r="FJ34">
        <v>0</v>
      </c>
      <c r="FK34">
        <v>1126.6116</v>
      </c>
      <c r="FL34">
        <v>2.89846155949299</v>
      </c>
      <c r="FM34">
        <v>3.50615395766227</v>
      </c>
      <c r="FN34">
        <v>3242.1752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-7.5666980952381</v>
      </c>
      <c r="GD34">
        <v>0.104302597402599</v>
      </c>
      <c r="GE34">
        <v>0.0288448750286683</v>
      </c>
      <c r="GF34">
        <v>1</v>
      </c>
      <c r="GG34">
        <v>1126.31176470588</v>
      </c>
      <c r="GH34">
        <v>3.94713522581921</v>
      </c>
      <c r="GI34">
        <v>0.42775385024729</v>
      </c>
      <c r="GJ34">
        <v>-1</v>
      </c>
      <c r="GK34">
        <v>1.6875919047619</v>
      </c>
      <c r="GL34">
        <v>0.0916472727272725</v>
      </c>
      <c r="GM34">
        <v>0.0094509035189374</v>
      </c>
      <c r="GN34">
        <v>1</v>
      </c>
      <c r="GO34">
        <v>2</v>
      </c>
      <c r="GP34">
        <v>2</v>
      </c>
      <c r="GQ34" t="s">
        <v>442</v>
      </c>
      <c r="GR34">
        <v>3.1299</v>
      </c>
      <c r="GS34">
        <v>2.69748</v>
      </c>
      <c r="GT34">
        <v>0.0879666</v>
      </c>
      <c r="GU34">
        <v>0.0897856</v>
      </c>
      <c r="GV34">
        <v>0.0609488</v>
      </c>
      <c r="GW34">
        <v>0.054181</v>
      </c>
      <c r="GX34">
        <v>34417</v>
      </c>
      <c r="GY34">
        <v>36824.9</v>
      </c>
      <c r="GZ34">
        <v>34137.7</v>
      </c>
      <c r="HA34">
        <v>36626.4</v>
      </c>
      <c r="HB34">
        <v>45265.6</v>
      </c>
      <c r="HC34">
        <v>49696.9</v>
      </c>
      <c r="HD34">
        <v>53199.3</v>
      </c>
      <c r="HE34">
        <v>58460.2</v>
      </c>
      <c r="HF34">
        <v>1.96647</v>
      </c>
      <c r="HG34">
        <v>1.7916</v>
      </c>
      <c r="HH34">
        <v>-0.0433549</v>
      </c>
      <c r="HI34">
        <v>0</v>
      </c>
      <c r="HJ34">
        <v>18.7147</v>
      </c>
      <c r="HK34">
        <v>999.9</v>
      </c>
      <c r="HL34">
        <v>28.965</v>
      </c>
      <c r="HM34">
        <v>30.142</v>
      </c>
      <c r="HN34">
        <v>13.7998</v>
      </c>
      <c r="HO34">
        <v>54.2876</v>
      </c>
      <c r="HP34">
        <v>47.2556</v>
      </c>
      <c r="HQ34">
        <v>1</v>
      </c>
      <c r="HR34">
        <v>-0.00195884</v>
      </c>
      <c r="HS34">
        <v>4.68267</v>
      </c>
      <c r="HT34">
        <v>20.0861</v>
      </c>
      <c r="HU34">
        <v>5.19827</v>
      </c>
      <c r="HV34">
        <v>12.0046</v>
      </c>
      <c r="HW34">
        <v>4.9758</v>
      </c>
      <c r="HX34">
        <v>3.294</v>
      </c>
      <c r="HY34">
        <v>9999</v>
      </c>
      <c r="HZ34">
        <v>999.9</v>
      </c>
      <c r="IA34">
        <v>9999</v>
      </c>
      <c r="IB34">
        <v>9999</v>
      </c>
      <c r="IC34">
        <v>1.86319</v>
      </c>
      <c r="ID34">
        <v>1.86812</v>
      </c>
      <c r="IE34">
        <v>1.86784</v>
      </c>
      <c r="IF34">
        <v>1.86905</v>
      </c>
      <c r="IG34">
        <v>1.86983</v>
      </c>
      <c r="IH34">
        <v>1.86587</v>
      </c>
      <c r="II34">
        <v>1.86698</v>
      </c>
      <c r="IJ34">
        <v>1.86842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2.763</v>
      </c>
      <c r="IY34">
        <v>-0.0447</v>
      </c>
      <c r="IZ34">
        <v>1.07540948637381</v>
      </c>
      <c r="JA34">
        <v>0.0043402248696239</v>
      </c>
      <c r="JB34">
        <v>-6.09475981766997e-07</v>
      </c>
      <c r="JC34">
        <v>1.76646249085242e-10</v>
      </c>
      <c r="JD34">
        <v>-0.0887419319460927</v>
      </c>
      <c r="JE34">
        <v>-0.0249687719874024</v>
      </c>
      <c r="JF34">
        <v>0.00293551823329282</v>
      </c>
      <c r="JG34">
        <v>-4.29659942473584e-05</v>
      </c>
      <c r="JH34">
        <v>5</v>
      </c>
      <c r="JI34">
        <v>2275</v>
      </c>
      <c r="JJ34">
        <v>1</v>
      </c>
      <c r="JK34">
        <v>23</v>
      </c>
      <c r="JL34">
        <v>29358380.2</v>
      </c>
      <c r="JM34">
        <v>29358380.2</v>
      </c>
      <c r="JN34">
        <v>0.996094</v>
      </c>
      <c r="JO34">
        <v>2.62817</v>
      </c>
      <c r="JP34">
        <v>1.54785</v>
      </c>
      <c r="JQ34">
        <v>2.31079</v>
      </c>
      <c r="JR34">
        <v>1.64551</v>
      </c>
      <c r="JS34">
        <v>2.35962</v>
      </c>
      <c r="JT34">
        <v>33.4906</v>
      </c>
      <c r="JU34">
        <v>24.1926</v>
      </c>
      <c r="JV34">
        <v>18</v>
      </c>
      <c r="JW34">
        <v>503.252</v>
      </c>
      <c r="JX34">
        <v>392.672</v>
      </c>
      <c r="JY34">
        <v>13.0045</v>
      </c>
      <c r="JZ34">
        <v>27.2113</v>
      </c>
      <c r="KA34">
        <v>30.0001</v>
      </c>
      <c r="KB34">
        <v>27.1518</v>
      </c>
      <c r="KC34">
        <v>27.1028</v>
      </c>
      <c r="KD34">
        <v>19.9687</v>
      </c>
      <c r="KE34">
        <v>15.8499</v>
      </c>
      <c r="KF34">
        <v>0</v>
      </c>
      <c r="KG34">
        <v>13.0046</v>
      </c>
      <c r="KH34">
        <v>420</v>
      </c>
      <c r="KI34">
        <v>10.1239</v>
      </c>
      <c r="KJ34">
        <v>96.7444</v>
      </c>
      <c r="KK34">
        <v>94.7663</v>
      </c>
    </row>
    <row r="35" spans="1:297">
      <c r="A35">
        <v>19</v>
      </c>
      <c r="B35">
        <v>1761502899</v>
      </c>
      <c r="C35">
        <v>3715.90000009537</v>
      </c>
      <c r="D35" t="s">
        <v>504</v>
      </c>
      <c r="E35" t="s">
        <v>505</v>
      </c>
      <c r="F35">
        <v>5</v>
      </c>
      <c r="G35" t="s">
        <v>493</v>
      </c>
      <c r="H35" t="s">
        <v>436</v>
      </c>
      <c r="I35">
        <v>1761502890.5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424.280914440534</v>
      </c>
      <c r="AK35">
        <v>419.022551515151</v>
      </c>
      <c r="AL35">
        <v>-0.000423934720109358</v>
      </c>
      <c r="AM35">
        <v>65.0999522443971</v>
      </c>
      <c r="AN35">
        <f>(AP35 - AO35 + DY35*1E3/(8.314*(EA35+273.15)) * AR35/DX35 * AQ35) * DX35/(100*DL35) * 1000/(1000 - AP35)</f>
        <v>0</v>
      </c>
      <c r="AO35">
        <v>10.1896061389622</v>
      </c>
      <c r="AP35">
        <v>11.7958351515151</v>
      </c>
      <c r="AQ35">
        <v>5.22010705424339e-05</v>
      </c>
      <c r="AR35">
        <v>103.971379780745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490</v>
      </c>
      <c r="AY35">
        <v>5115.2</v>
      </c>
      <c r="AZ35">
        <v>732.504</v>
      </c>
      <c r="BA35">
        <v>1728.22675254666</v>
      </c>
      <c r="BB35">
        <f>1-AZ35/BA35</f>
        <v>0</v>
      </c>
      <c r="BC35">
        <v>-0.350174750577109</v>
      </c>
      <c r="BD35" t="s">
        <v>506</v>
      </c>
      <c r="BE35">
        <v>5132.19</v>
      </c>
      <c r="BF35">
        <v>857.240346153846</v>
      </c>
      <c r="BG35">
        <v>1711.79116995242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507</v>
      </c>
      <c r="BQ35">
        <v>730.67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314</v>
      </c>
      <c r="CA35">
        <v>290</v>
      </c>
      <c r="CB35">
        <v>1667.12</v>
      </c>
      <c r="CC35">
        <v>285</v>
      </c>
      <c r="CD35">
        <v>5132.19</v>
      </c>
      <c r="CE35">
        <v>1666.6</v>
      </c>
      <c r="CF35">
        <v>0.52</v>
      </c>
      <c r="CG35">
        <v>300</v>
      </c>
      <c r="CH35">
        <v>23.9</v>
      </c>
      <c r="CI35">
        <v>1711.79116995242</v>
      </c>
      <c r="CJ35">
        <v>1.71132597234284</v>
      </c>
      <c r="CK35">
        <v>-23.1922712850451</v>
      </c>
      <c r="CL35">
        <v>0.764786239502171</v>
      </c>
      <c r="CM35">
        <v>0.970452160702356</v>
      </c>
      <c r="CN35">
        <v>-0.00411743136818688</v>
      </c>
      <c r="CO35">
        <v>290</v>
      </c>
      <c r="CP35">
        <v>1665.11</v>
      </c>
      <c r="CQ35">
        <v>665</v>
      </c>
      <c r="CR35">
        <v>5131.47</v>
      </c>
      <c r="CS35">
        <v>1666.6</v>
      </c>
      <c r="CT35">
        <v>-1.49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1761502890.5</v>
      </c>
      <c r="DR35">
        <v>414.0883125</v>
      </c>
      <c r="DS35">
        <v>419.9860625</v>
      </c>
      <c r="DT35">
        <v>11.7806125</v>
      </c>
      <c r="DU35">
        <v>10.1850375</v>
      </c>
      <c r="DV35">
        <v>411.318625</v>
      </c>
      <c r="DW35">
        <v>11.82519375</v>
      </c>
      <c r="DX35">
        <v>499.9890625</v>
      </c>
      <c r="DY35">
        <v>90.153925</v>
      </c>
      <c r="DZ35">
        <v>0.02065940625</v>
      </c>
      <c r="EA35">
        <v>18.507575</v>
      </c>
      <c r="EB35">
        <v>18.010425</v>
      </c>
      <c r="EC35">
        <v>999.9</v>
      </c>
      <c r="ED35">
        <v>0</v>
      </c>
      <c r="EE35">
        <v>0</v>
      </c>
      <c r="EF35">
        <v>9996.8775</v>
      </c>
      <c r="EG35">
        <v>0</v>
      </c>
      <c r="EH35">
        <v>1272.498125</v>
      </c>
      <c r="EI35">
        <v>-5.89774625</v>
      </c>
      <c r="EJ35">
        <v>419.0246875</v>
      </c>
      <c r="EK35">
        <v>424.307625</v>
      </c>
      <c r="EL35">
        <v>1.595578125</v>
      </c>
      <c r="EM35">
        <v>419.9860625</v>
      </c>
      <c r="EN35">
        <v>10.1850375</v>
      </c>
      <c r="EO35">
        <v>1.0620675</v>
      </c>
      <c r="EP35">
        <v>0.918220875</v>
      </c>
      <c r="EQ35">
        <v>7.79686625</v>
      </c>
      <c r="ER35">
        <v>5.679519375</v>
      </c>
      <c r="ES35">
        <v>150.0424375</v>
      </c>
      <c r="ET35">
        <v>0.900050375</v>
      </c>
      <c r="EU35">
        <v>0.0999494375</v>
      </c>
      <c r="EV35">
        <v>0</v>
      </c>
      <c r="EW35">
        <v>857.168</v>
      </c>
      <c r="EX35">
        <v>5.00059</v>
      </c>
      <c r="EY35">
        <v>1248.774375</v>
      </c>
      <c r="EZ35">
        <v>1232.2325</v>
      </c>
      <c r="FA35">
        <v>35.085625</v>
      </c>
      <c r="FB35">
        <v>39.83175</v>
      </c>
      <c r="FC35">
        <v>36.9685</v>
      </c>
      <c r="FD35">
        <v>39.2419375</v>
      </c>
      <c r="FE35">
        <v>37.0505</v>
      </c>
      <c r="FF35">
        <v>130.544375</v>
      </c>
      <c r="FG35">
        <v>14.5</v>
      </c>
      <c r="FH35">
        <v>0</v>
      </c>
      <c r="FI35">
        <v>164.100000143051</v>
      </c>
      <c r="FJ35">
        <v>0</v>
      </c>
      <c r="FK35">
        <v>857.240346153846</v>
      </c>
      <c r="FL35">
        <v>6.82068376051339</v>
      </c>
      <c r="FM35">
        <v>7.8112820022939</v>
      </c>
      <c r="FN35">
        <v>1248.65846153846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-5.90823</v>
      </c>
      <c r="GD35">
        <v>0.270603609022546</v>
      </c>
      <c r="GE35">
        <v>0.0395302869961754</v>
      </c>
      <c r="GF35">
        <v>1</v>
      </c>
      <c r="GG35">
        <v>856.746470588235</v>
      </c>
      <c r="GH35">
        <v>6.10300993383244</v>
      </c>
      <c r="GI35">
        <v>0.649543062707493</v>
      </c>
      <c r="GJ35">
        <v>-1</v>
      </c>
      <c r="GK35">
        <v>1.600281</v>
      </c>
      <c r="GL35">
        <v>-0.0594072180451119</v>
      </c>
      <c r="GM35">
        <v>0.0111476373730042</v>
      </c>
      <c r="GN35">
        <v>1</v>
      </c>
      <c r="GO35">
        <v>2</v>
      </c>
      <c r="GP35">
        <v>2</v>
      </c>
      <c r="GQ35" t="s">
        <v>442</v>
      </c>
      <c r="GR35">
        <v>3.13</v>
      </c>
      <c r="GS35">
        <v>2.69876</v>
      </c>
      <c r="GT35">
        <v>0.0882222</v>
      </c>
      <c r="GU35">
        <v>0.0897677</v>
      </c>
      <c r="GV35">
        <v>0.0610408</v>
      </c>
      <c r="GW35">
        <v>0.0547216</v>
      </c>
      <c r="GX35">
        <v>34408.1</v>
      </c>
      <c r="GY35">
        <v>36827.8</v>
      </c>
      <c r="GZ35">
        <v>34138.3</v>
      </c>
      <c r="HA35">
        <v>36628.4</v>
      </c>
      <c r="HB35">
        <v>45261.9</v>
      </c>
      <c r="HC35">
        <v>49670.8</v>
      </c>
      <c r="HD35">
        <v>53200.1</v>
      </c>
      <c r="HE35">
        <v>58463.2</v>
      </c>
      <c r="HF35">
        <v>1.96645</v>
      </c>
      <c r="HG35">
        <v>1.79218</v>
      </c>
      <c r="HH35">
        <v>-0.0498742</v>
      </c>
      <c r="HI35">
        <v>0</v>
      </c>
      <c r="HJ35">
        <v>18.8334</v>
      </c>
      <c r="HK35">
        <v>999.9</v>
      </c>
      <c r="HL35">
        <v>28.843</v>
      </c>
      <c r="HM35">
        <v>30.152</v>
      </c>
      <c r="HN35">
        <v>13.7501</v>
      </c>
      <c r="HO35">
        <v>55.7276</v>
      </c>
      <c r="HP35">
        <v>47.3357</v>
      </c>
      <c r="HQ35">
        <v>1</v>
      </c>
      <c r="HR35">
        <v>-0.000462398</v>
      </c>
      <c r="HS35">
        <v>5.27521</v>
      </c>
      <c r="HT35">
        <v>20.0717</v>
      </c>
      <c r="HU35">
        <v>5.19947</v>
      </c>
      <c r="HV35">
        <v>12.0047</v>
      </c>
      <c r="HW35">
        <v>4.97575</v>
      </c>
      <c r="HX35">
        <v>3.294</v>
      </c>
      <c r="HY35">
        <v>9999</v>
      </c>
      <c r="HZ35">
        <v>999.9</v>
      </c>
      <c r="IA35">
        <v>9999</v>
      </c>
      <c r="IB35">
        <v>9999</v>
      </c>
      <c r="IC35">
        <v>1.86321</v>
      </c>
      <c r="ID35">
        <v>1.86811</v>
      </c>
      <c r="IE35">
        <v>1.86783</v>
      </c>
      <c r="IF35">
        <v>1.86905</v>
      </c>
      <c r="IG35">
        <v>1.86982</v>
      </c>
      <c r="IH35">
        <v>1.86588</v>
      </c>
      <c r="II35">
        <v>1.86697</v>
      </c>
      <c r="IJ35">
        <v>1.86843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2.77</v>
      </c>
      <c r="IY35">
        <v>-0.0441</v>
      </c>
      <c r="IZ35">
        <v>1.07540948637381</v>
      </c>
      <c r="JA35">
        <v>0.0043402248696239</v>
      </c>
      <c r="JB35">
        <v>-6.09475981766997e-07</v>
      </c>
      <c r="JC35">
        <v>1.76646249085242e-10</v>
      </c>
      <c r="JD35">
        <v>-0.0887419319460927</v>
      </c>
      <c r="JE35">
        <v>-0.0249687719874024</v>
      </c>
      <c r="JF35">
        <v>0.00293551823329282</v>
      </c>
      <c r="JG35">
        <v>-4.29659942473584e-05</v>
      </c>
      <c r="JH35">
        <v>5</v>
      </c>
      <c r="JI35">
        <v>2275</v>
      </c>
      <c r="JJ35">
        <v>1</v>
      </c>
      <c r="JK35">
        <v>23</v>
      </c>
      <c r="JL35">
        <v>29358381.6</v>
      </c>
      <c r="JM35">
        <v>29358381.6</v>
      </c>
      <c r="JN35">
        <v>0.996094</v>
      </c>
      <c r="JO35">
        <v>2.62695</v>
      </c>
      <c r="JP35">
        <v>1.54785</v>
      </c>
      <c r="JQ35">
        <v>2.31079</v>
      </c>
      <c r="JR35">
        <v>1.64551</v>
      </c>
      <c r="JS35">
        <v>2.39136</v>
      </c>
      <c r="JT35">
        <v>33.4681</v>
      </c>
      <c r="JU35">
        <v>24.1926</v>
      </c>
      <c r="JV35">
        <v>18</v>
      </c>
      <c r="JW35">
        <v>503.214</v>
      </c>
      <c r="JX35">
        <v>392.996</v>
      </c>
      <c r="JY35">
        <v>12.6411</v>
      </c>
      <c r="JZ35">
        <v>27.1836</v>
      </c>
      <c r="KA35">
        <v>29.9995</v>
      </c>
      <c r="KB35">
        <v>27.1495</v>
      </c>
      <c r="KC35">
        <v>27.1051</v>
      </c>
      <c r="KD35">
        <v>19.9734</v>
      </c>
      <c r="KE35">
        <v>13.8779</v>
      </c>
      <c r="KF35">
        <v>0</v>
      </c>
      <c r="KG35">
        <v>12.6532</v>
      </c>
      <c r="KH35">
        <v>420</v>
      </c>
      <c r="KI35">
        <v>10.2491</v>
      </c>
      <c r="KJ35">
        <v>96.7459</v>
      </c>
      <c r="KK35">
        <v>94.7713</v>
      </c>
    </row>
    <row r="36" spans="1:297">
      <c r="A36">
        <v>20</v>
      </c>
      <c r="B36">
        <v>1761502995</v>
      </c>
      <c r="C36">
        <v>3811.90000009537</v>
      </c>
      <c r="D36" t="s">
        <v>508</v>
      </c>
      <c r="E36" t="s">
        <v>509</v>
      </c>
      <c r="F36">
        <v>5</v>
      </c>
      <c r="G36" t="s">
        <v>493</v>
      </c>
      <c r="H36" t="s">
        <v>436</v>
      </c>
      <c r="I36">
        <v>1761502986.5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424.335650085605</v>
      </c>
      <c r="AK36">
        <v>422.32963030303</v>
      </c>
      <c r="AL36">
        <v>0.00230874072051765</v>
      </c>
      <c r="AM36">
        <v>65.0999522443971</v>
      </c>
      <c r="AN36">
        <f>(AP36 - AO36 + DY36*1E3/(8.314*(EA36+273.15)) * AR36/DX36 * AQ36) * DX36/(100*DL36) * 1000/(1000 - AP36)</f>
        <v>0</v>
      </c>
      <c r="AO36">
        <v>10.200235050166</v>
      </c>
      <c r="AP36">
        <v>11.8574945454545</v>
      </c>
      <c r="AQ36">
        <v>3.0017518618923e-05</v>
      </c>
      <c r="AR36">
        <v>103.971379780745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490</v>
      </c>
      <c r="AY36">
        <v>5115.2</v>
      </c>
      <c r="AZ36">
        <v>732.504</v>
      </c>
      <c r="BA36">
        <v>1728.22675254666</v>
      </c>
      <c r="BB36">
        <f>1-AZ36/BA36</f>
        <v>0</v>
      </c>
      <c r="BC36">
        <v>-0.350174750577109</v>
      </c>
      <c r="BD36" t="s">
        <v>510</v>
      </c>
      <c r="BE36">
        <v>5121.83</v>
      </c>
      <c r="BF36">
        <v>766.509576923077</v>
      </c>
      <c r="BG36">
        <v>1751.41624020245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511</v>
      </c>
      <c r="BQ36">
        <v>711.2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316</v>
      </c>
      <c r="CA36">
        <v>290</v>
      </c>
      <c r="CB36">
        <v>1702.09</v>
      </c>
      <c r="CC36">
        <v>245</v>
      </c>
      <c r="CD36">
        <v>5121.83</v>
      </c>
      <c r="CE36">
        <v>1704.04</v>
      </c>
      <c r="CF36">
        <v>-1.95</v>
      </c>
      <c r="CG36">
        <v>300</v>
      </c>
      <c r="CH36">
        <v>23.9</v>
      </c>
      <c r="CI36">
        <v>1751.41624020245</v>
      </c>
      <c r="CJ36">
        <v>1.34078056339182</v>
      </c>
      <c r="CK36">
        <v>-24.2664747926099</v>
      </c>
      <c r="CL36">
        <v>0.59598166692478</v>
      </c>
      <c r="CM36">
        <v>0.983391255911448</v>
      </c>
      <c r="CN36">
        <v>-0.00419305027808676</v>
      </c>
      <c r="CO36">
        <v>290</v>
      </c>
      <c r="CP36">
        <v>1701.87</v>
      </c>
      <c r="CQ36">
        <v>665</v>
      </c>
      <c r="CR36">
        <v>5120.72</v>
      </c>
      <c r="CS36">
        <v>1704.03</v>
      </c>
      <c r="CT36">
        <v>-2.16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1761502986.5</v>
      </c>
      <c r="DR36">
        <v>417.248875</v>
      </c>
      <c r="DS36">
        <v>419.998625</v>
      </c>
      <c r="DT36">
        <v>11.85369375</v>
      </c>
      <c r="DU36">
        <v>10.19395</v>
      </c>
      <c r="DV36">
        <v>414.4668125</v>
      </c>
      <c r="DW36">
        <v>11.8963875</v>
      </c>
      <c r="DX36">
        <v>500.0115625</v>
      </c>
      <c r="DY36">
        <v>90.1509125</v>
      </c>
      <c r="DZ36">
        <v>0.02062133125</v>
      </c>
      <c r="EA36">
        <v>18.535875</v>
      </c>
      <c r="EB36">
        <v>17.9695</v>
      </c>
      <c r="EC36">
        <v>999.9</v>
      </c>
      <c r="ED36">
        <v>0</v>
      </c>
      <c r="EE36">
        <v>0</v>
      </c>
      <c r="EF36">
        <v>9996.129375</v>
      </c>
      <c r="EG36">
        <v>0</v>
      </c>
      <c r="EH36">
        <v>1272.495625</v>
      </c>
      <c r="EI36">
        <v>-2.749626875</v>
      </c>
      <c r="EJ36">
        <v>422.2540625</v>
      </c>
      <c r="EK36">
        <v>424.324125</v>
      </c>
      <c r="EL36">
        <v>1.65976375</v>
      </c>
      <c r="EM36">
        <v>419.998625</v>
      </c>
      <c r="EN36">
        <v>10.19395</v>
      </c>
      <c r="EO36">
        <v>1.06862375</v>
      </c>
      <c r="EP36">
        <v>0.918993</v>
      </c>
      <c r="EQ36">
        <v>7.88716875</v>
      </c>
      <c r="ER36">
        <v>5.691643125</v>
      </c>
      <c r="ES36">
        <v>49.99549375</v>
      </c>
      <c r="ET36">
        <v>0.900077</v>
      </c>
      <c r="EU36">
        <v>0.099923125</v>
      </c>
      <c r="EV36">
        <v>0</v>
      </c>
      <c r="EW36">
        <v>766.521375</v>
      </c>
      <c r="EX36">
        <v>5.00059</v>
      </c>
      <c r="EY36">
        <v>375.9169375</v>
      </c>
      <c r="EZ36">
        <v>382.266625</v>
      </c>
      <c r="FA36">
        <v>35.57775</v>
      </c>
      <c r="FB36">
        <v>41.5114375</v>
      </c>
      <c r="FC36">
        <v>37.8435</v>
      </c>
      <c r="FD36">
        <v>41.3865625</v>
      </c>
      <c r="FE36">
        <v>37.784875</v>
      </c>
      <c r="FF36">
        <v>40.499375</v>
      </c>
      <c r="FG36">
        <v>4.495</v>
      </c>
      <c r="FH36">
        <v>0</v>
      </c>
      <c r="FI36">
        <v>93.4000000953674</v>
      </c>
      <c r="FJ36">
        <v>0</v>
      </c>
      <c r="FK36">
        <v>766.509576923077</v>
      </c>
      <c r="FL36">
        <v>-0.34430769671134</v>
      </c>
      <c r="FM36">
        <v>3.15370939833306</v>
      </c>
      <c r="FN36">
        <v>376.002846153846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-2.765105</v>
      </c>
      <c r="GD36">
        <v>0.408882406015039</v>
      </c>
      <c r="GE36">
        <v>0.0484347201395858</v>
      </c>
      <c r="GF36">
        <v>1</v>
      </c>
      <c r="GG36">
        <v>766.512911764706</v>
      </c>
      <c r="GH36">
        <v>-0.127715812511292</v>
      </c>
      <c r="GI36">
        <v>0.1452507705046</v>
      </c>
      <c r="GJ36">
        <v>-1</v>
      </c>
      <c r="GK36">
        <v>1.6606585</v>
      </c>
      <c r="GL36">
        <v>-0.0167102255639127</v>
      </c>
      <c r="GM36">
        <v>0.00532149910739445</v>
      </c>
      <c r="GN36">
        <v>1</v>
      </c>
      <c r="GO36">
        <v>2</v>
      </c>
      <c r="GP36">
        <v>2</v>
      </c>
      <c r="GQ36" t="s">
        <v>442</v>
      </c>
      <c r="GR36">
        <v>3.12989</v>
      </c>
      <c r="GS36">
        <v>2.69843</v>
      </c>
      <c r="GT36">
        <v>0.0887598</v>
      </c>
      <c r="GU36">
        <v>0.0897781</v>
      </c>
      <c r="GV36">
        <v>0.0612804</v>
      </c>
      <c r="GW36">
        <v>0.0547805</v>
      </c>
      <c r="GX36">
        <v>34389.6</v>
      </c>
      <c r="GY36">
        <v>36829.1</v>
      </c>
      <c r="GZ36">
        <v>34140</v>
      </c>
      <c r="HA36">
        <v>36629.9</v>
      </c>
      <c r="HB36">
        <v>45252.2</v>
      </c>
      <c r="HC36">
        <v>49669.9</v>
      </c>
      <c r="HD36">
        <v>53202.4</v>
      </c>
      <c r="HE36">
        <v>58465.8</v>
      </c>
      <c r="HF36">
        <v>1.96665</v>
      </c>
      <c r="HG36">
        <v>1.79275</v>
      </c>
      <c r="HH36">
        <v>-0.0543818</v>
      </c>
      <c r="HI36">
        <v>0</v>
      </c>
      <c r="HJ36">
        <v>18.8774</v>
      </c>
      <c r="HK36">
        <v>999.9</v>
      </c>
      <c r="HL36">
        <v>28.69</v>
      </c>
      <c r="HM36">
        <v>30.152</v>
      </c>
      <c r="HN36">
        <v>13.6765</v>
      </c>
      <c r="HO36">
        <v>55.2176</v>
      </c>
      <c r="HP36">
        <v>47.3157</v>
      </c>
      <c r="HQ36">
        <v>1</v>
      </c>
      <c r="HR36">
        <v>-0.00419207</v>
      </c>
      <c r="HS36">
        <v>4.9553</v>
      </c>
      <c r="HT36">
        <v>20.0826</v>
      </c>
      <c r="HU36">
        <v>5.19917</v>
      </c>
      <c r="HV36">
        <v>12.0047</v>
      </c>
      <c r="HW36">
        <v>4.9757</v>
      </c>
      <c r="HX36">
        <v>3.294</v>
      </c>
      <c r="HY36">
        <v>9999</v>
      </c>
      <c r="HZ36">
        <v>999.9</v>
      </c>
      <c r="IA36">
        <v>9999</v>
      </c>
      <c r="IB36">
        <v>9999</v>
      </c>
      <c r="IC36">
        <v>1.86319</v>
      </c>
      <c r="ID36">
        <v>1.8681</v>
      </c>
      <c r="IE36">
        <v>1.86783</v>
      </c>
      <c r="IF36">
        <v>1.86905</v>
      </c>
      <c r="IG36">
        <v>1.86981</v>
      </c>
      <c r="IH36">
        <v>1.86592</v>
      </c>
      <c r="II36">
        <v>1.86693</v>
      </c>
      <c r="IJ36">
        <v>1.86841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2.782</v>
      </c>
      <c r="IY36">
        <v>-0.0426</v>
      </c>
      <c r="IZ36">
        <v>1.07540948637381</v>
      </c>
      <c r="JA36">
        <v>0.0043402248696239</v>
      </c>
      <c r="JB36">
        <v>-6.09475981766997e-07</v>
      </c>
      <c r="JC36">
        <v>1.76646249085242e-10</v>
      </c>
      <c r="JD36">
        <v>-0.0887419319460927</v>
      </c>
      <c r="JE36">
        <v>-0.0249687719874024</v>
      </c>
      <c r="JF36">
        <v>0.00293551823329282</v>
      </c>
      <c r="JG36">
        <v>-4.29659942473584e-05</v>
      </c>
      <c r="JH36">
        <v>5</v>
      </c>
      <c r="JI36">
        <v>2275</v>
      </c>
      <c r="JJ36">
        <v>1</v>
      </c>
      <c r="JK36">
        <v>23</v>
      </c>
      <c r="JL36">
        <v>29358383.2</v>
      </c>
      <c r="JM36">
        <v>29358383.2</v>
      </c>
      <c r="JN36">
        <v>0.997314</v>
      </c>
      <c r="JO36">
        <v>2.63672</v>
      </c>
      <c r="JP36">
        <v>1.54785</v>
      </c>
      <c r="JQ36">
        <v>2.31079</v>
      </c>
      <c r="JR36">
        <v>1.64673</v>
      </c>
      <c r="JS36">
        <v>2.33398</v>
      </c>
      <c r="JT36">
        <v>33.4456</v>
      </c>
      <c r="JU36">
        <v>24.1926</v>
      </c>
      <c r="JV36">
        <v>18</v>
      </c>
      <c r="JW36">
        <v>503.284</v>
      </c>
      <c r="JX36">
        <v>393.274</v>
      </c>
      <c r="JY36">
        <v>12.876</v>
      </c>
      <c r="JZ36">
        <v>27.1606</v>
      </c>
      <c r="KA36">
        <v>30</v>
      </c>
      <c r="KB36">
        <v>27.1426</v>
      </c>
      <c r="KC36">
        <v>27.1005</v>
      </c>
      <c r="KD36">
        <v>19.9739</v>
      </c>
      <c r="KE36">
        <v>13.3178</v>
      </c>
      <c r="KF36">
        <v>0</v>
      </c>
      <c r="KG36">
        <v>12.8792</v>
      </c>
      <c r="KH36">
        <v>420</v>
      </c>
      <c r="KI36">
        <v>10.2485</v>
      </c>
      <c r="KJ36">
        <v>96.7505</v>
      </c>
      <c r="KK36">
        <v>94.7754</v>
      </c>
    </row>
    <row r="37" spans="1:297">
      <c r="A37">
        <v>21</v>
      </c>
      <c r="B37">
        <v>1761503085</v>
      </c>
      <c r="C37">
        <v>3901.90000009537</v>
      </c>
      <c r="D37" t="s">
        <v>512</v>
      </c>
      <c r="E37" t="s">
        <v>513</v>
      </c>
      <c r="F37">
        <v>5</v>
      </c>
      <c r="G37" t="s">
        <v>493</v>
      </c>
      <c r="H37" t="s">
        <v>436</v>
      </c>
      <c r="I37">
        <v>1761503076.5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424.391906221754</v>
      </c>
      <c r="AK37">
        <v>424.383745454545</v>
      </c>
      <c r="AL37">
        <v>0.00341083833594049</v>
      </c>
      <c r="AM37">
        <v>65.0999522443971</v>
      </c>
      <c r="AN37">
        <f>(AP37 - AO37 + DY37*1E3/(8.314*(EA37+273.15)) * AR37/DX37 * AQ37) * DX37/(100*DL37) * 1000/(1000 - AP37)</f>
        <v>0</v>
      </c>
      <c r="AO37">
        <v>10.3128250760176</v>
      </c>
      <c r="AP37">
        <v>11.9504315151515</v>
      </c>
      <c r="AQ37">
        <v>-2.2217026042564e-05</v>
      </c>
      <c r="AR37">
        <v>103.971379780745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448</v>
      </c>
      <c r="AY37" t="s">
        <v>448</v>
      </c>
      <c r="AZ37">
        <v>0</v>
      </c>
      <c r="BA37">
        <v>0</v>
      </c>
      <c r="BB37">
        <f>1-AZ37/BA37</f>
        <v>0</v>
      </c>
      <c r="BC37">
        <v>0</v>
      </c>
      <c r="BD37" t="s">
        <v>448</v>
      </c>
      <c r="BE37" t="s">
        <v>448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448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316</v>
      </c>
      <c r="CA37">
        <v>290</v>
      </c>
      <c r="CB37">
        <v>1702.09</v>
      </c>
      <c r="CC37">
        <v>245</v>
      </c>
      <c r="CD37">
        <v>5121.83</v>
      </c>
      <c r="CE37">
        <v>1704.04</v>
      </c>
      <c r="CF37">
        <v>-1.95</v>
      </c>
      <c r="CG37">
        <v>300</v>
      </c>
      <c r="CH37">
        <v>23.9</v>
      </c>
      <c r="CI37">
        <v>1751.41624020245</v>
      </c>
      <c r="CJ37">
        <v>1.34078056339182</v>
      </c>
      <c r="CK37">
        <v>-24.2664747926099</v>
      </c>
      <c r="CL37">
        <v>0.59598166692478</v>
      </c>
      <c r="CM37">
        <v>0.983391255911448</v>
      </c>
      <c r="CN37">
        <v>-0.00419305027808676</v>
      </c>
      <c r="CO37">
        <v>290</v>
      </c>
      <c r="CP37">
        <v>1701.87</v>
      </c>
      <c r="CQ37">
        <v>665</v>
      </c>
      <c r="CR37">
        <v>5120.72</v>
      </c>
      <c r="CS37">
        <v>1704.03</v>
      </c>
      <c r="CT37">
        <v>-2.16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1761503076.5</v>
      </c>
      <c r="DR37">
        <v>419.235875</v>
      </c>
      <c r="DS37">
        <v>420.011375</v>
      </c>
      <c r="DT37">
        <v>11.95155625</v>
      </c>
      <c r="DU37">
        <v>10.3155625</v>
      </c>
      <c r="DV37">
        <v>416.4459375</v>
      </c>
      <c r="DW37">
        <v>11.99168125</v>
      </c>
      <c r="DX37">
        <v>500.010375</v>
      </c>
      <c r="DY37">
        <v>90.1514625</v>
      </c>
      <c r="DZ37">
        <v>0.02064426875</v>
      </c>
      <c r="EA37">
        <v>18.58508125</v>
      </c>
      <c r="EB37">
        <v>17.9955</v>
      </c>
      <c r="EC37">
        <v>999.9</v>
      </c>
      <c r="ED37">
        <v>0</v>
      </c>
      <c r="EE37">
        <v>0</v>
      </c>
      <c r="EF37">
        <v>10001.170625</v>
      </c>
      <c r="EG37">
        <v>0</v>
      </c>
      <c r="EH37">
        <v>1272.5025</v>
      </c>
      <c r="EI37">
        <v>-0.7754173125</v>
      </c>
      <c r="EJ37">
        <v>424.307</v>
      </c>
      <c r="EK37">
        <v>424.389125</v>
      </c>
      <c r="EL37">
        <v>1.635985625</v>
      </c>
      <c r="EM37">
        <v>420.011375</v>
      </c>
      <c r="EN37">
        <v>10.3155625</v>
      </c>
      <c r="EO37">
        <v>1.077450625</v>
      </c>
      <c r="EP37">
        <v>0.9299643125</v>
      </c>
      <c r="EQ37">
        <v>8.008045</v>
      </c>
      <c r="ER37">
        <v>5.862971875</v>
      </c>
      <c r="ES37">
        <v>0.00500059</v>
      </c>
      <c r="ET37">
        <v>0</v>
      </c>
      <c r="EU37">
        <v>0</v>
      </c>
      <c r="EV37">
        <v>0</v>
      </c>
      <c r="EW37">
        <v>702.76875</v>
      </c>
      <c r="EX37">
        <v>0.00500059</v>
      </c>
      <c r="EY37">
        <v>26.675</v>
      </c>
      <c r="EZ37">
        <v>-0.7375</v>
      </c>
      <c r="FA37">
        <v>35.4295</v>
      </c>
      <c r="FB37">
        <v>40.2068125</v>
      </c>
      <c r="FC37">
        <v>37.339625</v>
      </c>
      <c r="FD37">
        <v>39.9215625</v>
      </c>
      <c r="FE37">
        <v>37.0349375</v>
      </c>
      <c r="FF37">
        <v>0</v>
      </c>
      <c r="FG37">
        <v>0</v>
      </c>
      <c r="FH37">
        <v>0</v>
      </c>
      <c r="FI37">
        <v>87.5</v>
      </c>
      <c r="FJ37">
        <v>0</v>
      </c>
      <c r="FK37">
        <v>701.796</v>
      </c>
      <c r="FL37">
        <v>12.9384608217942</v>
      </c>
      <c r="FM37">
        <v>-4.82307680027016</v>
      </c>
      <c r="FN37">
        <v>25.748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-0.79603125</v>
      </c>
      <c r="GD37">
        <v>0.46911784962406</v>
      </c>
      <c r="GE37">
        <v>0.0505549519996558</v>
      </c>
      <c r="GF37">
        <v>1</v>
      </c>
      <c r="GG37">
        <v>702.623529411765</v>
      </c>
      <c r="GH37">
        <v>-16.8464479519438</v>
      </c>
      <c r="GI37">
        <v>6.41083911289995</v>
      </c>
      <c r="GJ37">
        <v>-1</v>
      </c>
      <c r="GK37">
        <v>1.634365</v>
      </c>
      <c r="GL37">
        <v>0.0318216541353385</v>
      </c>
      <c r="GM37">
        <v>0.00310141177530491</v>
      </c>
      <c r="GN37">
        <v>1</v>
      </c>
      <c r="GO37">
        <v>2</v>
      </c>
      <c r="GP37">
        <v>2</v>
      </c>
      <c r="GQ37" t="s">
        <v>442</v>
      </c>
      <c r="GR37">
        <v>3.13003</v>
      </c>
      <c r="GS37">
        <v>2.69858</v>
      </c>
      <c r="GT37">
        <v>0.0890865</v>
      </c>
      <c r="GU37">
        <v>0.0897776</v>
      </c>
      <c r="GV37">
        <v>0.0616422</v>
      </c>
      <c r="GW37">
        <v>0.0551862</v>
      </c>
      <c r="GX37">
        <v>34378.1</v>
      </c>
      <c r="GY37">
        <v>36830.1</v>
      </c>
      <c r="GZ37">
        <v>34140.7</v>
      </c>
      <c r="HA37">
        <v>36630.9</v>
      </c>
      <c r="HB37">
        <v>45235.3</v>
      </c>
      <c r="HC37">
        <v>49649.7</v>
      </c>
      <c r="HD37">
        <v>53203.3</v>
      </c>
      <c r="HE37">
        <v>58467.2</v>
      </c>
      <c r="HF37">
        <v>1.96675</v>
      </c>
      <c r="HG37">
        <v>1.79352</v>
      </c>
      <c r="HH37">
        <v>-0.0559837</v>
      </c>
      <c r="HI37">
        <v>0</v>
      </c>
      <c r="HJ37">
        <v>18.926</v>
      </c>
      <c r="HK37">
        <v>999.9</v>
      </c>
      <c r="HL37">
        <v>28.568</v>
      </c>
      <c r="HM37">
        <v>30.152</v>
      </c>
      <c r="HN37">
        <v>13.6192</v>
      </c>
      <c r="HO37">
        <v>55.4876</v>
      </c>
      <c r="HP37">
        <v>47.1675</v>
      </c>
      <c r="HQ37">
        <v>1</v>
      </c>
      <c r="HR37">
        <v>-0.00440803</v>
      </c>
      <c r="HS37">
        <v>5.32585</v>
      </c>
      <c r="HT37">
        <v>20.0703</v>
      </c>
      <c r="HU37">
        <v>5.19977</v>
      </c>
      <c r="HV37">
        <v>12.0044</v>
      </c>
      <c r="HW37">
        <v>4.9756</v>
      </c>
      <c r="HX37">
        <v>3.294</v>
      </c>
      <c r="HY37">
        <v>9999</v>
      </c>
      <c r="HZ37">
        <v>999.9</v>
      </c>
      <c r="IA37">
        <v>9999</v>
      </c>
      <c r="IB37">
        <v>9999</v>
      </c>
      <c r="IC37">
        <v>1.86324</v>
      </c>
      <c r="ID37">
        <v>1.86804</v>
      </c>
      <c r="IE37">
        <v>1.86783</v>
      </c>
      <c r="IF37">
        <v>1.86905</v>
      </c>
      <c r="IG37">
        <v>1.86981</v>
      </c>
      <c r="IH37">
        <v>1.86588</v>
      </c>
      <c r="II37">
        <v>1.86695</v>
      </c>
      <c r="IJ37">
        <v>1.86844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2.79</v>
      </c>
      <c r="IY37">
        <v>-0.0402</v>
      </c>
      <c r="IZ37">
        <v>1.07540948637381</v>
      </c>
      <c r="JA37">
        <v>0.0043402248696239</v>
      </c>
      <c r="JB37">
        <v>-6.09475981766997e-07</v>
      </c>
      <c r="JC37">
        <v>1.76646249085242e-10</v>
      </c>
      <c r="JD37">
        <v>-0.0887419319460927</v>
      </c>
      <c r="JE37">
        <v>-0.0249687719874024</v>
      </c>
      <c r="JF37">
        <v>0.00293551823329282</v>
      </c>
      <c r="JG37">
        <v>-4.29659942473584e-05</v>
      </c>
      <c r="JH37">
        <v>5</v>
      </c>
      <c r="JI37">
        <v>2275</v>
      </c>
      <c r="JJ37">
        <v>1</v>
      </c>
      <c r="JK37">
        <v>23</v>
      </c>
      <c r="JL37">
        <v>29358384.8</v>
      </c>
      <c r="JM37">
        <v>29358384.8</v>
      </c>
      <c r="JN37">
        <v>0.997314</v>
      </c>
      <c r="JO37">
        <v>2.63672</v>
      </c>
      <c r="JP37">
        <v>1.54785</v>
      </c>
      <c r="JQ37">
        <v>2.31079</v>
      </c>
      <c r="JR37">
        <v>1.64673</v>
      </c>
      <c r="JS37">
        <v>2.23267</v>
      </c>
      <c r="JT37">
        <v>33.4008</v>
      </c>
      <c r="JU37">
        <v>24.1838</v>
      </c>
      <c r="JV37">
        <v>18</v>
      </c>
      <c r="JW37">
        <v>503.268</v>
      </c>
      <c r="JX37">
        <v>393.628</v>
      </c>
      <c r="JY37">
        <v>12.7893</v>
      </c>
      <c r="JZ37">
        <v>27.1422</v>
      </c>
      <c r="KA37">
        <v>30.0003</v>
      </c>
      <c r="KB37">
        <v>27.1335</v>
      </c>
      <c r="KC37">
        <v>27.0915</v>
      </c>
      <c r="KD37">
        <v>19.9787</v>
      </c>
      <c r="KE37">
        <v>11.5963</v>
      </c>
      <c r="KF37">
        <v>0</v>
      </c>
      <c r="KG37">
        <v>12.7301</v>
      </c>
      <c r="KH37">
        <v>420</v>
      </c>
      <c r="KI37">
        <v>10.3571</v>
      </c>
      <c r="KJ37">
        <v>96.7522</v>
      </c>
      <c r="KK37">
        <v>94.7777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2025-10-26T14:05:21Z</dcterms:created>
  <dcterms:modified xsi:type="dcterms:W3CDTF">2025-10-26T14:05:21Z</dcterms:modified>
</cp:coreProperties>
</file>