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<sst xmlns="http://schemas.openxmlformats.org/spreadsheetml/2006/main" count="2007" uniqueCount="628">
  <si>
    <t>File opened</t>
  </si>
  <si>
    <t>2025-11-05 17:48:39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</si>
  <si>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</si>
  <si>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</si>
  <si>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</si>
  <si>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</si>
  <si>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</si>
  <si>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</si>
  <si>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</si>
  <si>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</si>
  <si>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</si>
  <si>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</si>
  <si>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</si>
  <si>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{"h2obspan2b": "0.0654872", "co2aspan2b": "0.297984", "co2aspanconc1": "2473", "h2oaspanconc1": "11.69", "co2bspanconc2": "301.4", "h2oaspan2a": "0.0642495", "ssa_ref": "45138", "flowbzero": "0.28105", "flowazero": "0.29401", "h2oaspan2b": "0.0649319", "h2oaspan1": "1.01062", "co2bspan2b": "0.297586", "h2obspanconc2": "0", "co2aspan2": "-0.0352407", "h2obzero": "1.10982", "h2obspan2": "0", "chamberpressurezero": "2.62959", "tbzero": "0.339216", "co2azero": "0.900515", "co2bspan2a": "0.300636", "h2obspan2a": "0.0647193", "co2bspan1": "1.00051", "co2bspan2": "-0.0354637", "co2aspan2a": "0.300986", "co2bzero": "0.901409", "h2oaspan2": "0", "co2bspanconc1": "2473", "ssb_ref": "50169", "oxygen": "21", "tazero": "0.20418", "co2aspan1": "1.00063", "flowmeterzero": "2.49091", "h2oaspanconc2": "0", "h2oazero": "1.10043", "co2aspanconc2": "301.4", "h2obspanconc1": "11.69", "h2obspan1": "1.01187"}</t>
  </si>
  <si>
    <t>Factory cal date</t>
  </si>
  <si>
    <t>19 Oct 2023</t>
  </si>
  <si>
    <t>CO2 rangematch</t>
  </si>
  <si>
    <t>Wed Nov  5 15:19</t>
  </si>
  <si>
    <t>H2O rangematch</t>
  </si>
  <si>
    <t>Wed Nov  5 15:25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</si>
  <si>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</si>
  <si>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</si>
  <si>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</si>
  <si>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</si>
  <si>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</si>
  <si>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</si>
  <si>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</si>
  <si>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</si>
  <si>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</si>
  <si>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17:48:39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</si>
  <si>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</si>
  <si>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</si>
  <si>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</si>
  <si>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</si>
  <si>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</si>
  <si>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</si>
  <si>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</si>
  <si>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</si>
  <si>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</si>
  <si>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</si>
  <si>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</si>
  <si>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</si>
  <si>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</si>
  <si>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</si>
  <si>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</si>
  <si>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</si>
  <si>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</si>
  <si>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</si>
  <si>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</si>
  <si>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</si>
  <si>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</si>
  <si>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</si>
  <si>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</si>
  <si>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</si>
  <si>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</si>
  <si>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</si>
  <si>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</si>
  <si>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</si>
  <si>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</si>
  <si>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</si>
  <si>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</si>
  <si>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</si>
  <si>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</si>
  <si>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</si>
  <si>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</si>
  <si>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</si>
  <si>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</si>
  <si>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</si>
  <si>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</si>
  <si>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</si>
  <si>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</si>
  <si>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</si>
  <si>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</si>
  <si>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</si>
  <si>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</si>
  <si>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</si>
  <si>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</si>
  <si>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</si>
  <si>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</si>
  <si>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</si>
  <si>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</si>
  <si>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</si>
  <si>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3.94417 181.791 343.836 627.486 865.435 1073.27 1244.52 1400.76</t>
  </si>
  <si>
    <t>Fs_true</t>
  </si>
  <si>
    <t>-0.50471 213.231 373.762 615.314 800.027 1006.07 1201.33 1401.33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</si>
  <si>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</si>
  <si>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</si>
  <si>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</si>
  <si>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</si>
  <si>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</si>
  <si>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</si>
  <si>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</si>
  <si>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</si>
  <si>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</si>
  <si>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</si>
  <si>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</si>
  <si>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</si>
  <si>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</si>
  <si>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</si>
  <si>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</si>
  <si>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</si>
  <si>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</si>
  <si>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</si>
  <si>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</si>
  <si>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</si>
  <si>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</si>
  <si>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</si>
  <si>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</si>
  <si>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</si>
  <si>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</si>
  <si>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</si>
  <si>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</si>
  <si>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</si>
  <si>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</si>
  <si>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</si>
  <si>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</si>
  <si>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</si>
  <si>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</si>
  <si>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</si>
  <si>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</si>
  <si>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</si>
  <si>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</si>
  <si>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</si>
  <si>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</si>
  <si>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</si>
  <si>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</si>
  <si>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</si>
  <si>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</si>
  <si>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</si>
  <si>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</si>
  <si>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</si>
  <si>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</si>
  <si>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</si>
  <si>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</si>
  <si>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</si>
  <si>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</si>
  <si>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</si>
  <si>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</si>
  <si>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</si>
  <si>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</si>
  <si>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</si>
  <si>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</si>
  <si>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</si>
  <si>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</si>
  <si>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</si>
  <si>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</si>
  <si>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</si>
  <si>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</si>
  <si>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</si>
  <si>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</si>
  <si>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</si>
  <si>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</si>
  <si>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</si>
  <si>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</si>
  <si>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</si>
  <si>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</si>
  <si>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</si>
  <si>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</si>
  <si>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</si>
  <si>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</si>
  <si>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</si>
  <si>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</si>
  <si>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</si>
  <si>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</si>
  <si>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</si>
  <si>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</si>
  <si>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</si>
  <si>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</si>
  <si>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</si>
  <si>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</si>
  <si>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</si>
  <si>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</si>
  <si>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</si>
  <si>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</si>
  <si>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</si>
  <si>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</si>
  <si>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</si>
  <si>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</si>
  <si>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</si>
  <si>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</si>
  <si>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</si>
  <si>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</si>
  <si>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</si>
  <si>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</si>
  <si>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</si>
  <si>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</si>
  <si>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</si>
  <si>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</si>
  <si>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</si>
  <si>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</si>
  <si>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</si>
  <si>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</si>
  <si>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</si>
  <si>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</si>
  <si>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</si>
  <si>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</si>
  <si>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</si>
  <si>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</si>
  <si>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</si>
  <si>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</si>
  <si>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</si>
  <si>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</si>
  <si>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</si>
  <si>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</si>
  <si>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</si>
  <si>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</si>
  <si>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</si>
  <si>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</si>
  <si>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</si>
  <si>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</si>
  <si>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</si>
  <si>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</si>
  <si>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</si>
  <si>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</si>
  <si>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</si>
  <si>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</si>
  <si>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</si>
  <si>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</si>
  <si>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</si>
  <si>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</si>
  <si>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</si>
  <si>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</si>
  <si>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</si>
  <si>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</si>
  <si>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</si>
  <si>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</si>
  <si>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</si>
  <si>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</si>
  <si>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</si>
  <si>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</si>
  <si>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</si>
  <si>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</si>
  <si>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</si>
  <si>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</si>
  <si>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</si>
  <si>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</si>
  <si>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</si>
  <si>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</si>
  <si>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</si>
  <si>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</si>
  <si>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</si>
  <si>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</si>
  <si>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</si>
  <si>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</si>
  <si>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</si>
  <si>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</si>
  <si>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</si>
  <si>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</si>
  <si>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</si>
  <si>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</si>
  <si>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</si>
  <si>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</si>
  <si>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</si>
  <si>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</si>
  <si>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</si>
  <si>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</si>
  <si>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</si>
  <si>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</si>
  <si>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</si>
  <si>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</si>
  <si>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</si>
  <si>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</si>
  <si>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</si>
  <si>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</si>
  <si>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</si>
  <si>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</si>
  <si>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</si>
  <si>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</si>
  <si>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</si>
  <si>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</si>
  <si>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</si>
  <si>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</si>
  <si>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</si>
  <si>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</si>
  <si>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</si>
  <si>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</si>
  <si>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</si>
  <si>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</si>
  <si>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</si>
  <si>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</si>
  <si>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</si>
  <si>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</si>
  <si>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</si>
  <si>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</si>
  <si>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</si>
  <si>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</si>
  <si>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</si>
  <si>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</si>
  <si>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</si>
  <si>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</si>
  <si>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</si>
  <si>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</si>
  <si>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</si>
  <si>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</si>
  <si>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</si>
  <si>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</si>
  <si>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</si>
  <si>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</si>
  <si>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</si>
  <si>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</si>
  <si>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</si>
  <si>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</si>
  <si>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</si>
  <si>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</si>
  <si>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</si>
  <si>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</si>
  <si>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</si>
  <si>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</si>
  <si>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</si>
  <si>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</si>
  <si>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</si>
  <si>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</si>
  <si>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</si>
  <si>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</si>
  <si>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</si>
  <si>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</si>
  <si>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</si>
  <si>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</si>
  <si>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</si>
  <si>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</si>
  <si>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</si>
  <si>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</si>
  <si>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</si>
  <si>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</si>
  <si>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</si>
  <si>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</si>
  <si>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</si>
  <si>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</si>
  <si>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</si>
  <si>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</si>
  <si>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</si>
  <si>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</si>
  <si>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</si>
  <si>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</si>
  <si>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</si>
  <si>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</si>
  <si>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</si>
  <si>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</si>
  <si>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</si>
  <si>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</si>
  <si>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</si>
  <si>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</si>
  <si>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</si>
  <si>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</si>
  <si>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</si>
  <si>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</si>
  <si>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</si>
  <si>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</si>
  <si>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</si>
  <si>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</si>
  <si>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</si>
  <si>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</si>
  <si>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</si>
  <si>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</si>
  <si>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</si>
  <si>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</si>
  <si>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</si>
  <si>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</si>
  <si>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</si>
  <si>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</si>
  <si>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</si>
  <si>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</si>
  <si>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</si>
  <si>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</si>
  <si>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</si>
  <si>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</si>
  <si>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</si>
  <si>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</si>
  <si>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</si>
  <si>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</si>
  <si>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</si>
  <si>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</si>
  <si>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</si>
  <si>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</si>
  <si>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</si>
  <si>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</si>
  <si>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</si>
  <si>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</si>
  <si>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</si>
  <si>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</si>
  <si>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</si>
  <si>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</si>
  <si>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</si>
  <si>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</si>
  <si>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</si>
  <si>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</si>
  <si>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</si>
  <si>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</si>
  <si>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</si>
  <si>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</si>
  <si>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</si>
  <si>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</si>
  <si>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</si>
  <si>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</si>
  <si>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</si>
  <si>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</si>
  <si>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</si>
  <si>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</si>
  <si>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</si>
  <si>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</si>
  <si>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</si>
  <si>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</si>
  <si>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</si>
  <si>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</si>
  <si>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</si>
  <si>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</si>
  <si>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</si>
  <si>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</si>
  <si>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</si>
  <si>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</si>
  <si>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</si>
  <si>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</si>
  <si>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</si>
  <si>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</si>
  <si>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</si>
  <si>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</si>
  <si>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</si>
  <si>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</si>
  <si>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</si>
  <si>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</si>
  <si>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</si>
  <si>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</si>
  <si>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</si>
  <si>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</si>
  <si>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</si>
  <si>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</si>
  <si>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</si>
  <si>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</si>
  <si>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</si>
  <si>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</si>
  <si>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</si>
  <si>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</si>
  <si>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</si>
  <si>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20251105 17:55:45</t>
  </si>
  <si>
    <t>17:55:45</t>
  </si>
  <si>
    <t>gg_31</t>
  </si>
  <si>
    <t>ozzie</t>
  </si>
  <si>
    <t>RECT-448-20251102-13_21_50</t>
  </si>
  <si>
    <t>MPF-449-20251105-17_55_44</t>
  </si>
  <si>
    <t>DARK-450-20251105-17_55_51</t>
  </si>
  <si>
    <t>0: Broadleaf</t>
  </si>
  <si>
    <t>--:--:--</t>
  </si>
  <si>
    <t>0/2</t>
  </si>
  <si>
    <t>11111111</t>
  </si>
  <si>
    <t>oooooooo</t>
  </si>
  <si>
    <t>off</t>
  </si>
  <si>
    <t>20251105 17:57:25</t>
  </si>
  <si>
    <t>17:57:25</t>
  </si>
  <si>
    <t>MPF-451-20251105-17_57_24</t>
  </si>
  <si>
    <t>DARK-452-20251105-17_57_31</t>
  </si>
  <si>
    <t>20251105 17:59:06</t>
  </si>
  <si>
    <t>17:59:06</t>
  </si>
  <si>
    <t>MPF-453-20251105-17_59_05</t>
  </si>
  <si>
    <t>DARK-454-20251105-17_59_11</t>
  </si>
  <si>
    <t>1/2</t>
  </si>
  <si>
    <t>20251105 18:00:46</t>
  </si>
  <si>
    <t>18:00:46</t>
  </si>
  <si>
    <t>MPF-455-20251105-18_00_46</t>
  </si>
  <si>
    <t>DARK-456-20251105-18_00_52</t>
  </si>
  <si>
    <t>20251105 18:02:27</t>
  </si>
  <si>
    <t>18:02:27</t>
  </si>
  <si>
    <t>MPF-457-20251105-18_02_28</t>
  </si>
  <si>
    <t>DARK-458-20251105-18_02_35</t>
  </si>
  <si>
    <t>20251105 18:04:10</t>
  </si>
  <si>
    <t>18:04:10</t>
  </si>
  <si>
    <t>MPF-459-20251105-18_04_10</t>
  </si>
  <si>
    <t>DARK-460-20251105-18_04_17</t>
  </si>
  <si>
    <t>20251105 18:05:51</t>
  </si>
  <si>
    <t>18:05:51</t>
  </si>
  <si>
    <t>MPF-461-20251105-18_05_51</t>
  </si>
  <si>
    <t>DARK-462-20251105-18_05_58</t>
  </si>
  <si>
    <t>20251105 18:07:32</t>
  </si>
  <si>
    <t>18:07:32</t>
  </si>
  <si>
    <t>MPF-463-20251105-18_07_32</t>
  </si>
  <si>
    <t>DARK-464-20251105-18_07_39</t>
  </si>
  <si>
    <t>20251105 18:08:43</t>
  </si>
  <si>
    <t>18:08:43</t>
  </si>
  <si>
    <t>-</t>
  </si>
  <si>
    <t>2/2</t>
  </si>
  <si>
    <t>20251105 18:09:46</t>
  </si>
  <si>
    <t>18:09:46</t>
  </si>
  <si>
    <t>MPF-465-20251105-18_09_46</t>
  </si>
  <si>
    <t>20251105 18:20:30</t>
  </si>
  <si>
    <t>18:20:30</t>
  </si>
  <si>
    <t>gg_5</t>
  </si>
  <si>
    <t>MPF-466-20251105-18_20_29</t>
  </si>
  <si>
    <t>DARK-467-20251105-18_20_36</t>
  </si>
  <si>
    <t>20251105 18:22:10</t>
  </si>
  <si>
    <t>18:22:10</t>
  </si>
  <si>
    <t>MPF-468-20251105-18_22_09</t>
  </si>
  <si>
    <t>DARK-469-20251105-18_22_16</t>
  </si>
  <si>
    <t>20251105 18:23:50</t>
  </si>
  <si>
    <t>18:23:50</t>
  </si>
  <si>
    <t>MPF-470-20251105-18_23_49</t>
  </si>
  <si>
    <t>DARK-471-20251105-18_23_56</t>
  </si>
  <si>
    <t>20251105 18:25:30</t>
  </si>
  <si>
    <t>18:25:30</t>
  </si>
  <si>
    <t>MPF-472-20251105-18_25_29</t>
  </si>
  <si>
    <t>DARK-473-20251105-18_25_36</t>
  </si>
  <si>
    <t>20251105 18:27:10</t>
  </si>
  <si>
    <t>18:27:10</t>
  </si>
  <si>
    <t>MPF-474-20251105-18_27_09</t>
  </si>
  <si>
    <t>DARK-475-20251105-18_27_16</t>
  </si>
  <si>
    <t>20251105 18:28:50</t>
  </si>
  <si>
    <t>18:28:50</t>
  </si>
  <si>
    <t>MPF-476-20251105-18_28_49</t>
  </si>
  <si>
    <t>DARK-477-20251105-18_28_56</t>
  </si>
  <si>
    <t>20251105 18:30:00</t>
  </si>
  <si>
    <t>18:30:00</t>
  </si>
  <si>
    <t>20251105 18:31:01</t>
  </si>
  <si>
    <t>18:31:01</t>
  </si>
  <si>
    <t>MPF-478-20251105-18_31_00</t>
  </si>
  <si>
    <t>DARK-479-20251105-18_31_07</t>
  </si>
  <si>
    <t>20251105 18:32:28</t>
  </si>
  <si>
    <t>18:32:28</t>
  </si>
  <si>
    <t>20251105 18:33:59</t>
  </si>
  <si>
    <t>18:33:59</t>
  </si>
  <si>
    <t>MPF-480-20251105-18_33_58</t>
  </si>
  <si>
    <t>20251105 18:43:10</t>
  </si>
  <si>
    <t>18:43:10</t>
  </si>
  <si>
    <t>gg_33</t>
  </si>
  <si>
    <t>MPF-481-20251105-18_43_10</t>
  </si>
  <si>
    <t>DARK-482-20251105-18_43_16</t>
  </si>
  <si>
    <t>20251105 18:44:50</t>
  </si>
  <si>
    <t>18:44:50</t>
  </si>
  <si>
    <t>MPF-483-20251105-18_44_50</t>
  </si>
  <si>
    <t>DARK-484-20251105-18_44_56</t>
  </si>
  <si>
    <t>20251105 18:46:30</t>
  </si>
  <si>
    <t>18:46:30</t>
  </si>
  <si>
    <t>MPF-485-20251105-18_46_29</t>
  </si>
  <si>
    <t>DARK-486-20251105-18_46_36</t>
  </si>
  <si>
    <t>20251105 18:48:10</t>
  </si>
  <si>
    <t>18:48:10</t>
  </si>
  <si>
    <t>MPF-487-20251105-18_48_10</t>
  </si>
  <si>
    <t>DARK-488-20251105-18_48_16</t>
  </si>
  <si>
    <t>20251105 18:49:51</t>
  </si>
  <si>
    <t>18:49:51</t>
  </si>
  <si>
    <t>MPF-489-20251105-18_49_51</t>
  </si>
  <si>
    <t>DARK-490-20251105-18_49_58</t>
  </si>
  <si>
    <t>20251105 18:51:32</t>
  </si>
  <si>
    <t>18:51:32</t>
  </si>
  <si>
    <t>MPF-491-20251105-18_51_32</t>
  </si>
  <si>
    <t>DARK-492-20251105-18_51_39</t>
  </si>
  <si>
    <t>20251105 18:53:13</t>
  </si>
  <si>
    <t>18:53:13</t>
  </si>
  <si>
    <t>MPF-493-20251105-18_53_13</t>
  </si>
  <si>
    <t>DARK-494-20251105-18_53_20</t>
  </si>
  <si>
    <t>20251105 18:54:35</t>
  </si>
  <si>
    <t>18:54:35</t>
  </si>
  <si>
    <t>20251105 18:55:43</t>
  </si>
  <si>
    <t>18:55:43</t>
  </si>
  <si>
    <t>MPF-495-20251105-18_55_43</t>
  </si>
  <si>
    <t>DARK-496-20251105-18_55_50</t>
  </si>
  <si>
    <t>20251105 18:56:54</t>
  </si>
  <si>
    <t>18:56:54</t>
  </si>
  <si>
    <t>20251105 19:06:58</t>
  </si>
  <si>
    <t>19:06:58</t>
  </si>
  <si>
    <t>gg_21</t>
  </si>
  <si>
    <t>MPF-497-20251105-19_06_57</t>
  </si>
  <si>
    <t>DARK-498-20251105-19_07_04</t>
  </si>
  <si>
    <t>20251105 19:08:38</t>
  </si>
  <si>
    <t>19:08:38</t>
  </si>
  <si>
    <t>MPF-499-20251105-19_08_37</t>
  </si>
  <si>
    <t>DARK-500-20251105-19_08_44</t>
  </si>
  <si>
    <t>20251105 19:10:18</t>
  </si>
  <si>
    <t>19:10:18</t>
  </si>
  <si>
    <t>MPF-501-20251105-19_10_17</t>
  </si>
  <si>
    <t>DARK-502-20251105-19_10_24</t>
  </si>
  <si>
    <t>20251105 19:11:58</t>
  </si>
  <si>
    <t>19:11:58</t>
  </si>
  <si>
    <t>MPF-503-20251105-19_11_58</t>
  </si>
  <si>
    <t>DARK-504-20251105-19_12_04</t>
  </si>
  <si>
    <t>20251105 19:13:38</t>
  </si>
  <si>
    <t>19:13:38</t>
  </si>
  <si>
    <t>MPF-505-20251105-19_13_37</t>
  </si>
  <si>
    <t>DARK-506-20251105-19_13_44</t>
  </si>
  <si>
    <t>20251105 19:15:18</t>
  </si>
  <si>
    <t>19:15:18</t>
  </si>
  <si>
    <t>MPF-507-20251105-19_15_17</t>
  </si>
  <si>
    <t>DARK-508-20251105-19_15_24</t>
  </si>
  <si>
    <t>20251105 19:16:58</t>
  </si>
  <si>
    <t>19:16:58</t>
  </si>
  <si>
    <t>MPF-509-20251105-19_16_57</t>
  </si>
  <si>
    <t>DARK-510-20251105-19_17_04</t>
  </si>
  <si>
    <t>20251105 19:18:38</t>
  </si>
  <si>
    <t>19:18:38</t>
  </si>
  <si>
    <t>MPF-511-20251105-19_18_37</t>
  </si>
  <si>
    <t>DARK-512-20251105-19_18_44</t>
  </si>
  <si>
    <t>20251105 19:19:58</t>
  </si>
  <si>
    <t>19:19:58</t>
  </si>
  <si>
    <t>20251105 19:20:59</t>
  </si>
  <si>
    <t>19:20:59</t>
  </si>
  <si>
    <t>MPF-513-20251105-19_20_59</t>
  </si>
  <si>
    <t>20251105 19:29:59</t>
  </si>
  <si>
    <t>19:29:59</t>
  </si>
  <si>
    <t>gg_1</t>
  </si>
  <si>
    <t>MPF-514-20251105-19_29_59</t>
  </si>
  <si>
    <t>DARK-515-20251105-19_30_05</t>
  </si>
  <si>
    <t>20251105 19:31:39</t>
  </si>
  <si>
    <t>19:31:39</t>
  </si>
  <si>
    <t>MPF-516-20251105-19_31_39</t>
  </si>
  <si>
    <t>DARK-517-20251105-19_31_46</t>
  </si>
  <si>
    <t>20251105 19:33:20</t>
  </si>
  <si>
    <t>19:33:20</t>
  </si>
  <si>
    <t>MPF-518-20251105-19_33_21</t>
  </si>
  <si>
    <t>DARK-519-20251105-19_33_27</t>
  </si>
  <si>
    <t>20251105 19:34:39</t>
  </si>
  <si>
    <t>19:34:39</t>
  </si>
  <si>
    <t>20251105 19:36:10</t>
  </si>
  <si>
    <t>19:36:10</t>
  </si>
  <si>
    <t>MPF-520-20251105-19_36_11</t>
  </si>
  <si>
    <t>DARK-521-20251105-19_36_17</t>
  </si>
  <si>
    <t>20251105 19:37:51</t>
  </si>
  <si>
    <t>19:37:51</t>
  </si>
  <si>
    <t>MPF-522-20251105-19_37_51</t>
  </si>
  <si>
    <t>DARK-523-20251105-19_37_58</t>
  </si>
  <si>
    <t>20251105 19:39:32</t>
  </si>
  <si>
    <t>19:39:32</t>
  </si>
  <si>
    <t>MPF-524-20251105-19_39_33</t>
  </si>
  <si>
    <t>DARK-525-20251105-19_39_39</t>
  </si>
  <si>
    <t>20251105 19:40:47</t>
  </si>
  <si>
    <t>19:40:47</t>
  </si>
  <si>
    <t>20251105 19:42:18</t>
  </si>
  <si>
    <t>19:42:18</t>
  </si>
  <si>
    <t>MPF-526-20251105-19_42_19</t>
  </si>
  <si>
    <t>DARK-527-20251105-19_42_26</t>
  </si>
  <si>
    <t>20251105 19:43:48</t>
  </si>
  <si>
    <t>19:43:48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</si>
</sst>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6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1762386945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1762386941.5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429.119831921636</v>
      </c>
      <c r="AK17">
        <v>438.988824242424</v>
      </c>
      <c r="AL17">
        <v>0.000879369167437223</v>
      </c>
      <c r="AM17">
        <v>64.118035756054</v>
      </c>
      <c r="AN17">
        <f>(AP17 - AO17 + DY17*1E3/(8.314*(EA17+273.15)) * AR17/DX17 * AQ17) * DX17/(100*DL17) * 1000/(1000 - AP17)</f>
        <v>0</v>
      </c>
      <c r="AO17">
        <v>21.2601624540654</v>
      </c>
      <c r="AP17">
        <v>41.0258375757576</v>
      </c>
      <c r="AQ17">
        <v>0.0118933792985062</v>
      </c>
      <c r="AR17">
        <v>97.5734174724228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5083.25</v>
      </c>
      <c r="AZ17">
        <v>1213.192</v>
      </c>
      <c r="BA17">
        <v>1734.56</v>
      </c>
      <c r="BB17">
        <f>1-AZ17/BA17</f>
        <v>0</v>
      </c>
      <c r="BC17">
        <v>-9.35236277962045</v>
      </c>
      <c r="BD17" t="s">
        <v>438</v>
      </c>
      <c r="BE17">
        <v>5113.76</v>
      </c>
      <c r="BF17">
        <v>1369.07307692308</v>
      </c>
      <c r="BG17">
        <v>1387.874521399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1234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449</v>
      </c>
      <c r="CA17">
        <v>290</v>
      </c>
      <c r="CB17">
        <v>1373.69</v>
      </c>
      <c r="CC17">
        <v>105</v>
      </c>
      <c r="CD17">
        <v>5113.76</v>
      </c>
      <c r="CE17">
        <v>1372.72</v>
      </c>
      <c r="CF17">
        <v>0.97</v>
      </c>
      <c r="CG17">
        <v>300</v>
      </c>
      <c r="CH17">
        <v>23.8</v>
      </c>
      <c r="CI17">
        <v>1387.874521399</v>
      </c>
      <c r="CJ17">
        <v>2.15778281703503</v>
      </c>
      <c r="CK17">
        <v>-7.75077691146384</v>
      </c>
      <c r="CL17">
        <v>1.01592988409728</v>
      </c>
      <c r="CM17">
        <v>0.675194222733589</v>
      </c>
      <c r="CN17">
        <v>-0.00255425072302559</v>
      </c>
      <c r="CO17">
        <v>290</v>
      </c>
      <c r="CP17">
        <v>1371.88</v>
      </c>
      <c r="CQ17">
        <v>625</v>
      </c>
      <c r="CR17">
        <v>5107.65</v>
      </c>
      <c r="CS17">
        <v>1372.7</v>
      </c>
      <c r="CT17">
        <v>-0.82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1762386941.5</v>
      </c>
      <c r="DR17">
        <v>420.967833333333</v>
      </c>
      <c r="DS17">
        <v>420.009833333333</v>
      </c>
      <c r="DT17">
        <v>40.9963166666667</v>
      </c>
      <c r="DU17">
        <v>21.2598833333333</v>
      </c>
      <c r="DV17">
        <v>417.866833333333</v>
      </c>
      <c r="DW17">
        <v>40.83355</v>
      </c>
      <c r="DX17">
        <v>499.999666666667</v>
      </c>
      <c r="DY17">
        <v>90.8130833333333</v>
      </c>
      <c r="DZ17">
        <v>0.100052366666667</v>
      </c>
      <c r="EA17">
        <v>51.08715</v>
      </c>
      <c r="EB17">
        <v>47.8881333333333</v>
      </c>
      <c r="EC17">
        <v>999.9</v>
      </c>
      <c r="ED17">
        <v>0</v>
      </c>
      <c r="EE17">
        <v>0</v>
      </c>
      <c r="EF17">
        <v>9995.60833333333</v>
      </c>
      <c r="EG17">
        <v>0</v>
      </c>
      <c r="EH17">
        <v>1149.29166666667</v>
      </c>
      <c r="EI17">
        <v>0.958171333333333</v>
      </c>
      <c r="EJ17">
        <v>438.963833333333</v>
      </c>
      <c r="EK17">
        <v>429.133</v>
      </c>
      <c r="EL17">
        <v>19.7364166666667</v>
      </c>
      <c r="EM17">
        <v>420.009833333333</v>
      </c>
      <c r="EN17">
        <v>21.2598833333333</v>
      </c>
      <c r="EO17">
        <v>3.72299833333333</v>
      </c>
      <c r="EP17">
        <v>1.930675</v>
      </c>
      <c r="EQ17">
        <v>27.6725333333333</v>
      </c>
      <c r="ER17">
        <v>16.8869833333333</v>
      </c>
      <c r="ES17">
        <v>1999.99333333333</v>
      </c>
      <c r="ET17">
        <v>0.9799965</v>
      </c>
      <c r="EU17">
        <v>0.0200034833333333</v>
      </c>
      <c r="EV17">
        <v>0</v>
      </c>
      <c r="EW17">
        <v>1368.24666666667</v>
      </c>
      <c r="EX17">
        <v>5.00059</v>
      </c>
      <c r="EY17">
        <v>29317.3333333333</v>
      </c>
      <c r="EZ17">
        <v>17360.2333333333</v>
      </c>
      <c r="FA17">
        <v>61.708</v>
      </c>
      <c r="FB17">
        <v>61.375</v>
      </c>
      <c r="FC17">
        <v>60.937</v>
      </c>
      <c r="FD17">
        <v>61.062</v>
      </c>
      <c r="FE17">
        <v>62.687</v>
      </c>
      <c r="FF17">
        <v>1955.08833333333</v>
      </c>
      <c r="FG17">
        <v>39.905</v>
      </c>
      <c r="FH17">
        <v>0</v>
      </c>
      <c r="FI17">
        <v>1762386941.1</v>
      </c>
      <c r="FJ17">
        <v>0</v>
      </c>
      <c r="FK17">
        <v>1369.07307692308</v>
      </c>
      <c r="FL17">
        <v>-11.1350427323493</v>
      </c>
      <c r="FM17">
        <v>-207.172649591808</v>
      </c>
      <c r="FN17">
        <v>29331.8461538462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1.06178023809524</v>
      </c>
      <c r="GD17">
        <v>-0.851777532467531</v>
      </c>
      <c r="GE17">
        <v>0.0944090102262262</v>
      </c>
      <c r="GF17">
        <v>0</v>
      </c>
      <c r="GG17">
        <v>1369.79764705882</v>
      </c>
      <c r="GH17">
        <v>-10.3312452250851</v>
      </c>
      <c r="GI17">
        <v>1.03638244934719</v>
      </c>
      <c r="GJ17">
        <v>-1</v>
      </c>
      <c r="GK17">
        <v>19.6626714285714</v>
      </c>
      <c r="GL17">
        <v>0.496737662337686</v>
      </c>
      <c r="GM17">
        <v>0.0503457298785782</v>
      </c>
      <c r="GN17">
        <v>0</v>
      </c>
      <c r="GO17">
        <v>0</v>
      </c>
      <c r="GP17">
        <v>2</v>
      </c>
      <c r="GQ17" t="s">
        <v>442</v>
      </c>
      <c r="GR17">
        <v>3.127</v>
      </c>
      <c r="GS17">
        <v>2.778</v>
      </c>
      <c r="GT17">
        <v>0.0855027</v>
      </c>
      <c r="GU17">
        <v>0.0858671</v>
      </c>
      <c r="GV17">
        <v>0.144998</v>
      </c>
      <c r="GW17">
        <v>0.0911059</v>
      </c>
      <c r="GX17">
        <v>33105.8</v>
      </c>
      <c r="GY17">
        <v>35097.2</v>
      </c>
      <c r="GZ17">
        <v>32860.4</v>
      </c>
      <c r="HA17">
        <v>34871.6</v>
      </c>
      <c r="HB17">
        <v>40080.8</v>
      </c>
      <c r="HC17">
        <v>45610.3</v>
      </c>
      <c r="HD17">
        <v>51532.7</v>
      </c>
      <c r="HE17">
        <v>55841.4</v>
      </c>
      <c r="HF17">
        <v>1.7274</v>
      </c>
      <c r="HG17">
        <v>2.05218</v>
      </c>
      <c r="HH17">
        <v>0.0330992</v>
      </c>
      <c r="HI17">
        <v>0</v>
      </c>
      <c r="HJ17">
        <v>47.3732</v>
      </c>
      <c r="HK17">
        <v>999.9</v>
      </c>
      <c r="HL17">
        <v>55.628</v>
      </c>
      <c r="HM17">
        <v>27.805</v>
      </c>
      <c r="HN17">
        <v>22.9815</v>
      </c>
      <c r="HO17">
        <v>59.8437</v>
      </c>
      <c r="HP17">
        <v>32.5921</v>
      </c>
      <c r="HQ17">
        <v>2</v>
      </c>
      <c r="HR17">
        <v>1.8749</v>
      </c>
      <c r="HS17">
        <v>-1.43107</v>
      </c>
      <c r="HT17">
        <v>20.1082</v>
      </c>
      <c r="HU17">
        <v>5.19078</v>
      </c>
      <c r="HV17">
        <v>12.0105</v>
      </c>
      <c r="HW17">
        <v>4.9712</v>
      </c>
      <c r="HX17">
        <v>3.295</v>
      </c>
      <c r="HY17">
        <v>999.9</v>
      </c>
      <c r="HZ17">
        <v>9999</v>
      </c>
      <c r="IA17">
        <v>9999</v>
      </c>
      <c r="IB17">
        <v>9999</v>
      </c>
      <c r="IC17">
        <v>1.86315</v>
      </c>
      <c r="ID17">
        <v>1.86813</v>
      </c>
      <c r="IE17">
        <v>1.86785</v>
      </c>
      <c r="IF17">
        <v>1.86902</v>
      </c>
      <c r="IG17">
        <v>1.86983</v>
      </c>
      <c r="IH17">
        <v>1.86584</v>
      </c>
      <c r="II17">
        <v>1.867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3.101</v>
      </c>
      <c r="IY17">
        <v>0.1627</v>
      </c>
      <c r="IZ17">
        <v>1.12264184085783</v>
      </c>
      <c r="JA17">
        <v>0.00531519531824411</v>
      </c>
      <c r="JB17">
        <v>-1.58401274662554e-06</v>
      </c>
      <c r="JC17">
        <v>4.65529057017795e-10</v>
      </c>
      <c r="JD17">
        <v>0.162735096694976</v>
      </c>
      <c r="JE17">
        <v>0</v>
      </c>
      <c r="JF17">
        <v>0</v>
      </c>
      <c r="JG17">
        <v>0</v>
      </c>
      <c r="JH17">
        <v>4</v>
      </c>
      <c r="JI17">
        <v>2305</v>
      </c>
      <c r="JJ17">
        <v>-0</v>
      </c>
      <c r="JK17">
        <v>23</v>
      </c>
      <c r="JL17">
        <v>29373115.8</v>
      </c>
      <c r="JM17">
        <v>29373115.8</v>
      </c>
      <c r="JN17">
        <v>1.14624</v>
      </c>
      <c r="JO17">
        <v>2.60132</v>
      </c>
      <c r="JP17">
        <v>2.19849</v>
      </c>
      <c r="JQ17">
        <v>2.6416</v>
      </c>
      <c r="JR17">
        <v>2.44629</v>
      </c>
      <c r="JS17">
        <v>2.32544</v>
      </c>
      <c r="JT17">
        <v>32.4212</v>
      </c>
      <c r="JU17">
        <v>24.1751</v>
      </c>
      <c r="JV17">
        <v>18</v>
      </c>
      <c r="JW17">
        <v>498.388</v>
      </c>
      <c r="JX17">
        <v>766.525</v>
      </c>
      <c r="JY17">
        <v>50.7256</v>
      </c>
      <c r="JZ17">
        <v>49.0623</v>
      </c>
      <c r="KA17">
        <v>30.0003</v>
      </c>
      <c r="KB17">
        <v>48.5925</v>
      </c>
      <c r="KC17">
        <v>48.3836</v>
      </c>
      <c r="KD17">
        <v>22.9681</v>
      </c>
      <c r="KE17">
        <v>0</v>
      </c>
      <c r="KF17">
        <v>100</v>
      </c>
      <c r="KG17">
        <v>50.7782</v>
      </c>
      <c r="KH17">
        <v>420</v>
      </c>
      <c r="KI17">
        <v>67.7987</v>
      </c>
      <c r="KJ17">
        <v>93.4834</v>
      </c>
      <c r="KK17">
        <v>90.4074</v>
      </c>
    </row>
    <row r="18" spans="1:297">
      <c r="A18">
        <v>2</v>
      </c>
      <c r="B18">
        <v>1762387045</v>
      </c>
      <c r="C18">
        <v>100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1762387041.5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429.272643062236</v>
      </c>
      <c r="AK18">
        <v>438.873860606061</v>
      </c>
      <c r="AL18">
        <v>0.0319821502257575</v>
      </c>
      <c r="AM18">
        <v>64.118035756054</v>
      </c>
      <c r="AN18">
        <f>(AP18 - AO18 + DY18*1E3/(8.314*(EA18+273.15)) * AR18/DX18 * AQ18) * DX18/(100*DL18) * 1000/(1000 - AP18)</f>
        <v>0</v>
      </c>
      <c r="AO18">
        <v>21.2845778831004</v>
      </c>
      <c r="AP18">
        <v>41.9071969696969</v>
      </c>
      <c r="AQ18">
        <v>0.00674263744107071</v>
      </c>
      <c r="AR18">
        <v>97.5734174724228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5083.25</v>
      </c>
      <c r="AZ18">
        <v>1213.192</v>
      </c>
      <c r="BA18">
        <v>1734.56</v>
      </c>
      <c r="BB18">
        <f>1-AZ18/BA18</f>
        <v>0</v>
      </c>
      <c r="BC18">
        <v>-9.35236277962045</v>
      </c>
      <c r="BD18" t="s">
        <v>448</v>
      </c>
      <c r="BE18">
        <v>5117.37</v>
      </c>
      <c r="BF18">
        <v>1356.72346153846</v>
      </c>
      <c r="BG18">
        <v>1375.44094351049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1239.67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451</v>
      </c>
      <c r="CA18">
        <v>290</v>
      </c>
      <c r="CB18">
        <v>1362.86</v>
      </c>
      <c r="CC18">
        <v>35</v>
      </c>
      <c r="CD18">
        <v>5117.37</v>
      </c>
      <c r="CE18">
        <v>1361.42</v>
      </c>
      <c r="CF18">
        <v>1.44</v>
      </c>
      <c r="CG18">
        <v>300</v>
      </c>
      <c r="CH18">
        <v>23.8</v>
      </c>
      <c r="CI18">
        <v>1375.44094351049</v>
      </c>
      <c r="CJ18">
        <v>1.86567545730594</v>
      </c>
      <c r="CK18">
        <v>-7.17628804469711</v>
      </c>
      <c r="CL18">
        <v>0.873327522945593</v>
      </c>
      <c r="CM18">
        <v>0.706873872500572</v>
      </c>
      <c r="CN18">
        <v>-0.002721770189099</v>
      </c>
      <c r="CO18">
        <v>290</v>
      </c>
      <c r="CP18">
        <v>1359.85</v>
      </c>
      <c r="CQ18">
        <v>735</v>
      </c>
      <c r="CR18">
        <v>5106.7</v>
      </c>
      <c r="CS18">
        <v>1361.39</v>
      </c>
      <c r="CT18">
        <v>-1.54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1762387041.5</v>
      </c>
      <c r="DR18">
        <v>420.411333333333</v>
      </c>
      <c r="DS18">
        <v>420.109333333333</v>
      </c>
      <c r="DT18">
        <v>41.8901</v>
      </c>
      <c r="DU18">
        <v>21.2843333333333</v>
      </c>
      <c r="DV18">
        <v>417.312833333333</v>
      </c>
      <c r="DW18">
        <v>41.7273666666667</v>
      </c>
      <c r="DX18">
        <v>499.935</v>
      </c>
      <c r="DY18">
        <v>90.814</v>
      </c>
      <c r="DZ18">
        <v>0.09998265</v>
      </c>
      <c r="EA18">
        <v>51.3579333333333</v>
      </c>
      <c r="EB18">
        <v>48.0617666666667</v>
      </c>
      <c r="EC18">
        <v>999.9</v>
      </c>
      <c r="ED18">
        <v>0</v>
      </c>
      <c r="EE18">
        <v>0</v>
      </c>
      <c r="EF18">
        <v>10001.8666666667</v>
      </c>
      <c r="EG18">
        <v>0</v>
      </c>
      <c r="EH18">
        <v>1146.22166666667</v>
      </c>
      <c r="EI18">
        <v>0.30219</v>
      </c>
      <c r="EJ18">
        <v>438.7925</v>
      </c>
      <c r="EK18">
        <v>429.245333333333</v>
      </c>
      <c r="EL18">
        <v>20.6057666666667</v>
      </c>
      <c r="EM18">
        <v>420.109333333333</v>
      </c>
      <c r="EN18">
        <v>21.2843333333333</v>
      </c>
      <c r="EO18">
        <v>3.80421</v>
      </c>
      <c r="EP18">
        <v>1.93291666666667</v>
      </c>
      <c r="EQ18">
        <v>28.0423</v>
      </c>
      <c r="ER18">
        <v>16.90525</v>
      </c>
      <c r="ES18">
        <v>1799.96333333333</v>
      </c>
      <c r="ET18">
        <v>0.977997</v>
      </c>
      <c r="EU18">
        <v>0.02200325</v>
      </c>
      <c r="EV18">
        <v>0</v>
      </c>
      <c r="EW18">
        <v>1356.05</v>
      </c>
      <c r="EX18">
        <v>5.00059</v>
      </c>
      <c r="EY18">
        <v>26169.1833333333</v>
      </c>
      <c r="EZ18">
        <v>15610.3333333333</v>
      </c>
      <c r="FA18">
        <v>61.687</v>
      </c>
      <c r="FB18">
        <v>61.583</v>
      </c>
      <c r="FC18">
        <v>61.062</v>
      </c>
      <c r="FD18">
        <v>61.25</v>
      </c>
      <c r="FE18">
        <v>62.75</v>
      </c>
      <c r="FF18">
        <v>1755.47</v>
      </c>
      <c r="FG18">
        <v>39.4916666666667</v>
      </c>
      <c r="FH18">
        <v>0</v>
      </c>
      <c r="FI18">
        <v>97</v>
      </c>
      <c r="FJ18">
        <v>0</v>
      </c>
      <c r="FK18">
        <v>1356.72346153846</v>
      </c>
      <c r="FL18">
        <v>-10.0564102439183</v>
      </c>
      <c r="FM18">
        <v>-162.895726555937</v>
      </c>
      <c r="FN18">
        <v>26180.0423076923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0.576139857142857</v>
      </c>
      <c r="GD18">
        <v>-1.08780794805195</v>
      </c>
      <c r="GE18">
        <v>0.182854711276802</v>
      </c>
      <c r="GF18">
        <v>0</v>
      </c>
      <c r="GG18">
        <v>1357.47911764706</v>
      </c>
      <c r="GH18">
        <v>-9.15034376599264</v>
      </c>
      <c r="GI18">
        <v>0.91762919477332</v>
      </c>
      <c r="GJ18">
        <v>-1</v>
      </c>
      <c r="GK18">
        <v>20.532519047619</v>
      </c>
      <c r="GL18">
        <v>0.516561038961002</v>
      </c>
      <c r="GM18">
        <v>0.0522437840371614</v>
      </c>
      <c r="GN18">
        <v>0</v>
      </c>
      <c r="GO18">
        <v>0</v>
      </c>
      <c r="GP18">
        <v>2</v>
      </c>
      <c r="GQ18" t="s">
        <v>442</v>
      </c>
      <c r="GR18">
        <v>3.127</v>
      </c>
      <c r="GS18">
        <v>2.77804</v>
      </c>
      <c r="GT18">
        <v>0.0854138</v>
      </c>
      <c r="GU18">
        <v>0.0858533</v>
      </c>
      <c r="GV18">
        <v>0.147096</v>
      </c>
      <c r="GW18">
        <v>0.0911656</v>
      </c>
      <c r="GX18">
        <v>33096.7</v>
      </c>
      <c r="GY18">
        <v>35080.1</v>
      </c>
      <c r="GZ18">
        <v>32848.6</v>
      </c>
      <c r="HA18">
        <v>34854.5</v>
      </c>
      <c r="HB18">
        <v>39977.4</v>
      </c>
      <c r="HC18">
        <v>45586.7</v>
      </c>
      <c r="HD18">
        <v>51516.5</v>
      </c>
      <c r="HE18">
        <v>55816.1</v>
      </c>
      <c r="HF18">
        <v>1.72665</v>
      </c>
      <c r="HG18">
        <v>2.0502</v>
      </c>
      <c r="HH18">
        <v>-0.00494719</v>
      </c>
      <c r="HI18">
        <v>0</v>
      </c>
      <c r="HJ18">
        <v>48.1324</v>
      </c>
      <c r="HK18">
        <v>999.9</v>
      </c>
      <c r="HL18">
        <v>55.628</v>
      </c>
      <c r="HM18">
        <v>27.815</v>
      </c>
      <c r="HN18">
        <v>22.9948</v>
      </c>
      <c r="HO18">
        <v>59.8037</v>
      </c>
      <c r="HP18">
        <v>32.5881</v>
      </c>
      <c r="HQ18">
        <v>2</v>
      </c>
      <c r="HR18">
        <v>1.88879</v>
      </c>
      <c r="HS18">
        <v>-0.845106</v>
      </c>
      <c r="HT18">
        <v>20.1132</v>
      </c>
      <c r="HU18">
        <v>5.19019</v>
      </c>
      <c r="HV18">
        <v>12.0102</v>
      </c>
      <c r="HW18">
        <v>4.97095</v>
      </c>
      <c r="HX18">
        <v>3.295</v>
      </c>
      <c r="HY18">
        <v>999.9</v>
      </c>
      <c r="HZ18">
        <v>9999</v>
      </c>
      <c r="IA18">
        <v>9999</v>
      </c>
      <c r="IB18">
        <v>9999</v>
      </c>
      <c r="IC18">
        <v>1.86316</v>
      </c>
      <c r="ID18">
        <v>1.86813</v>
      </c>
      <c r="IE18">
        <v>1.86789</v>
      </c>
      <c r="IF18">
        <v>1.86902</v>
      </c>
      <c r="IG18">
        <v>1.86982</v>
      </c>
      <c r="IH18">
        <v>1.86586</v>
      </c>
      <c r="II18">
        <v>1.86704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3.099</v>
      </c>
      <c r="IY18">
        <v>0.1627</v>
      </c>
      <c r="IZ18">
        <v>1.12264184085783</v>
      </c>
      <c r="JA18">
        <v>0.00531519531824411</v>
      </c>
      <c r="JB18">
        <v>-1.58401274662554e-06</v>
      </c>
      <c r="JC18">
        <v>4.65529057017795e-10</v>
      </c>
      <c r="JD18">
        <v>0.162735096694976</v>
      </c>
      <c r="JE18">
        <v>0</v>
      </c>
      <c r="JF18">
        <v>0</v>
      </c>
      <c r="JG18">
        <v>0</v>
      </c>
      <c r="JH18">
        <v>4</v>
      </c>
      <c r="JI18">
        <v>2305</v>
      </c>
      <c r="JJ18">
        <v>-0</v>
      </c>
      <c r="JK18">
        <v>23</v>
      </c>
      <c r="JL18">
        <v>29373117.4</v>
      </c>
      <c r="JM18">
        <v>29373117.4</v>
      </c>
      <c r="JN18">
        <v>1.14746</v>
      </c>
      <c r="JO18">
        <v>2.60742</v>
      </c>
      <c r="JP18">
        <v>2.19849</v>
      </c>
      <c r="JQ18">
        <v>2.64038</v>
      </c>
      <c r="JR18">
        <v>2.44507</v>
      </c>
      <c r="JS18">
        <v>2.30347</v>
      </c>
      <c r="JT18">
        <v>32.4212</v>
      </c>
      <c r="JU18">
        <v>24.1751</v>
      </c>
      <c r="JV18">
        <v>18</v>
      </c>
      <c r="JW18">
        <v>498.404</v>
      </c>
      <c r="JX18">
        <v>765.518</v>
      </c>
      <c r="JY18">
        <v>51.1292</v>
      </c>
      <c r="JZ18">
        <v>49.1492</v>
      </c>
      <c r="KA18">
        <v>30.001</v>
      </c>
      <c r="KB18">
        <v>48.683</v>
      </c>
      <c r="KC18">
        <v>48.4795</v>
      </c>
      <c r="KD18">
        <v>22.9736</v>
      </c>
      <c r="KE18">
        <v>0</v>
      </c>
      <c r="KF18">
        <v>100</v>
      </c>
      <c r="KG18">
        <v>51.0465</v>
      </c>
      <c r="KH18">
        <v>420</v>
      </c>
      <c r="KI18">
        <v>67.7987</v>
      </c>
      <c r="KJ18">
        <v>93.4524</v>
      </c>
      <c r="KK18">
        <v>90.3652</v>
      </c>
    </row>
    <row r="19" spans="1:297">
      <c r="A19">
        <v>3</v>
      </c>
      <c r="B19">
        <v>1762387146</v>
      </c>
      <c r="C19">
        <v>201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1762387142.5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429.633103233499</v>
      </c>
      <c r="AK19">
        <v>439.145824242424</v>
      </c>
      <c r="AL19">
        <v>0.0625844598677501</v>
      </c>
      <c r="AM19">
        <v>64.118035756054</v>
      </c>
      <c r="AN19">
        <f>(AP19 - AO19 + DY19*1E3/(8.314*(EA19+273.15)) * AR19/DX19 * AQ19) * DX19/(100*DL19) * 1000/(1000 - AP19)</f>
        <v>0</v>
      </c>
      <c r="AO19">
        <v>21.2970021641129</v>
      </c>
      <c r="AP19">
        <v>42.4281121212121</v>
      </c>
      <c r="AQ19">
        <v>0.00792593479559416</v>
      </c>
      <c r="AR19">
        <v>97.5734174724228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5083.25</v>
      </c>
      <c r="AZ19">
        <v>1213.192</v>
      </c>
      <c r="BA19">
        <v>1734.56</v>
      </c>
      <c r="BB19">
        <f>1-AZ19/BA19</f>
        <v>0</v>
      </c>
      <c r="BC19">
        <v>-9.35236277962045</v>
      </c>
      <c r="BD19" t="s">
        <v>452</v>
      </c>
      <c r="BE19">
        <v>5115.09</v>
      </c>
      <c r="BF19">
        <v>1348.592</v>
      </c>
      <c r="BG19">
        <v>1370.2872883457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1244.33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453</v>
      </c>
      <c r="CA19">
        <v>290</v>
      </c>
      <c r="CB19">
        <v>1357.52</v>
      </c>
      <c r="CC19">
        <v>155</v>
      </c>
      <c r="CD19">
        <v>5115.09</v>
      </c>
      <c r="CE19">
        <v>1356.28</v>
      </c>
      <c r="CF19">
        <v>1.24</v>
      </c>
      <c r="CG19">
        <v>300</v>
      </c>
      <c r="CH19">
        <v>23.9</v>
      </c>
      <c r="CI19">
        <v>1370.2872883457</v>
      </c>
      <c r="CJ19">
        <v>2.42615374002833</v>
      </c>
      <c r="CK19">
        <v>-7.16397291406465</v>
      </c>
      <c r="CL19">
        <v>1.12607820788627</v>
      </c>
      <c r="CM19">
        <v>0.591082681933894</v>
      </c>
      <c r="CN19">
        <v>-0.00297524605116796</v>
      </c>
      <c r="CO19">
        <v>290</v>
      </c>
      <c r="CP19">
        <v>1354.83</v>
      </c>
      <c r="CQ19">
        <v>795</v>
      </c>
      <c r="CR19">
        <v>5108.28</v>
      </c>
      <c r="CS19">
        <v>1356.26</v>
      </c>
      <c r="CT19">
        <v>-1.43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1762387142.5</v>
      </c>
      <c r="DR19">
        <v>420.373</v>
      </c>
      <c r="DS19">
        <v>420.328833333333</v>
      </c>
      <c r="DT19">
        <v>42.4082</v>
      </c>
      <c r="DU19">
        <v>21.29675</v>
      </c>
      <c r="DV19">
        <v>417.274333333333</v>
      </c>
      <c r="DW19">
        <v>42.2454666666667</v>
      </c>
      <c r="DX19">
        <v>500.039166666667</v>
      </c>
      <c r="DY19">
        <v>90.82305</v>
      </c>
      <c r="DZ19">
        <v>0.0999658666666667</v>
      </c>
      <c r="EA19">
        <v>51.5090166666667</v>
      </c>
      <c r="EB19">
        <v>48.0215666666667</v>
      </c>
      <c r="EC19">
        <v>999.9</v>
      </c>
      <c r="ED19">
        <v>0</v>
      </c>
      <c r="EE19">
        <v>0</v>
      </c>
      <c r="EF19">
        <v>9996.25833333333</v>
      </c>
      <c r="EG19">
        <v>0</v>
      </c>
      <c r="EH19">
        <v>1143.705</v>
      </c>
      <c r="EI19">
        <v>0.0442608333333333</v>
      </c>
      <c r="EJ19">
        <v>438.989666666667</v>
      </c>
      <c r="EK19">
        <v>429.475166666667</v>
      </c>
      <c r="EL19">
        <v>21.1114666666667</v>
      </c>
      <c r="EM19">
        <v>420.328833333333</v>
      </c>
      <c r="EN19">
        <v>21.29675</v>
      </c>
      <c r="EO19">
        <v>3.85164166666667</v>
      </c>
      <c r="EP19">
        <v>1.93423666666667</v>
      </c>
      <c r="EQ19">
        <v>28.2550833333333</v>
      </c>
      <c r="ER19">
        <v>16.9160166666667</v>
      </c>
      <c r="ES19">
        <v>1499.97666666667</v>
      </c>
      <c r="ET19">
        <v>0.973000666666667</v>
      </c>
      <c r="EU19">
        <v>0.0269994</v>
      </c>
      <c r="EV19">
        <v>0</v>
      </c>
      <c r="EW19">
        <v>1348.16166666667</v>
      </c>
      <c r="EX19">
        <v>5.00059</v>
      </c>
      <c r="EY19">
        <v>21691.5666666667</v>
      </c>
      <c r="EZ19">
        <v>12982.1666666667</v>
      </c>
      <c r="FA19">
        <v>61.562</v>
      </c>
      <c r="FB19">
        <v>61.9266666666667</v>
      </c>
      <c r="FC19">
        <v>61.187</v>
      </c>
      <c r="FD19">
        <v>61.562</v>
      </c>
      <c r="FE19">
        <v>62.8016666666667</v>
      </c>
      <c r="FF19">
        <v>1454.61166666667</v>
      </c>
      <c r="FG19">
        <v>40.365</v>
      </c>
      <c r="FH19">
        <v>0</v>
      </c>
      <c r="FI19">
        <v>97.6999998092651</v>
      </c>
      <c r="FJ19">
        <v>0</v>
      </c>
      <c r="FK19">
        <v>1348.592</v>
      </c>
      <c r="FL19">
        <v>-7.37692308999626</v>
      </c>
      <c r="FM19">
        <v>-112.930769237343</v>
      </c>
      <c r="FN19">
        <v>21699.144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0.0726841380952381</v>
      </c>
      <c r="GD19">
        <v>-0.325638958441558</v>
      </c>
      <c r="GE19">
        <v>0.253919214724559</v>
      </c>
      <c r="GF19">
        <v>1</v>
      </c>
      <c r="GG19">
        <v>1349.04588235294</v>
      </c>
      <c r="GH19">
        <v>-7.92024446137693</v>
      </c>
      <c r="GI19">
        <v>0.813717387155508</v>
      </c>
      <c r="GJ19">
        <v>-1</v>
      </c>
      <c r="GK19">
        <v>21.0643333333333</v>
      </c>
      <c r="GL19">
        <v>0.394667532467536</v>
      </c>
      <c r="GM19">
        <v>0.0400295406791553</v>
      </c>
      <c r="GN19">
        <v>0</v>
      </c>
      <c r="GO19">
        <v>1</v>
      </c>
      <c r="GP19">
        <v>2</v>
      </c>
      <c r="GQ19" t="s">
        <v>454</v>
      </c>
      <c r="GR19">
        <v>3.12684</v>
      </c>
      <c r="GS19">
        <v>2.77813</v>
      </c>
      <c r="GT19">
        <v>0.0853629</v>
      </c>
      <c r="GU19">
        <v>0.0857795</v>
      </c>
      <c r="GV19">
        <v>0.148285</v>
      </c>
      <c r="GW19">
        <v>0.0911639</v>
      </c>
      <c r="GX19">
        <v>33073.5</v>
      </c>
      <c r="GY19">
        <v>35050.7</v>
      </c>
      <c r="GZ19">
        <v>32825.1</v>
      </c>
      <c r="HA19">
        <v>34823.8</v>
      </c>
      <c r="HB19">
        <v>39903.3</v>
      </c>
      <c r="HC19">
        <v>45549.1</v>
      </c>
      <c r="HD19">
        <v>51484.2</v>
      </c>
      <c r="HE19">
        <v>55769.8</v>
      </c>
      <c r="HF19">
        <v>1.72378</v>
      </c>
      <c r="HG19">
        <v>2.04603</v>
      </c>
      <c r="HH19">
        <v>-0.0483021</v>
      </c>
      <c r="HI19">
        <v>0</v>
      </c>
      <c r="HJ19">
        <v>48.7757</v>
      </c>
      <c r="HK19">
        <v>999.9</v>
      </c>
      <c r="HL19">
        <v>55.628</v>
      </c>
      <c r="HM19">
        <v>27.835</v>
      </c>
      <c r="HN19">
        <v>23.0199</v>
      </c>
      <c r="HO19">
        <v>59.7837</v>
      </c>
      <c r="HP19">
        <v>32.512</v>
      </c>
      <c r="HQ19">
        <v>2</v>
      </c>
      <c r="HR19">
        <v>1.91757</v>
      </c>
      <c r="HS19">
        <v>-0.939009</v>
      </c>
      <c r="HT19">
        <v>20.1155</v>
      </c>
      <c r="HU19">
        <v>5.18959</v>
      </c>
      <c r="HV19">
        <v>12.0101</v>
      </c>
      <c r="HW19">
        <v>4.97095</v>
      </c>
      <c r="HX19">
        <v>3.295</v>
      </c>
      <c r="HY19">
        <v>999.9</v>
      </c>
      <c r="HZ19">
        <v>9999</v>
      </c>
      <c r="IA19">
        <v>9999</v>
      </c>
      <c r="IB19">
        <v>9999</v>
      </c>
      <c r="IC19">
        <v>1.86322</v>
      </c>
      <c r="ID19">
        <v>1.86813</v>
      </c>
      <c r="IE19">
        <v>1.86786</v>
      </c>
      <c r="IF19">
        <v>1.86904</v>
      </c>
      <c r="IG19">
        <v>1.86984</v>
      </c>
      <c r="IH19">
        <v>1.86585</v>
      </c>
      <c r="II19">
        <v>1.86704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3.099</v>
      </c>
      <c r="IY19">
        <v>0.1627</v>
      </c>
      <c r="IZ19">
        <v>1.12264184085783</v>
      </c>
      <c r="JA19">
        <v>0.00531519531824411</v>
      </c>
      <c r="JB19">
        <v>-1.58401274662554e-06</v>
      </c>
      <c r="JC19">
        <v>4.65529057017795e-10</v>
      </c>
      <c r="JD19">
        <v>0.162735096694976</v>
      </c>
      <c r="JE19">
        <v>0</v>
      </c>
      <c r="JF19">
        <v>0</v>
      </c>
      <c r="JG19">
        <v>0</v>
      </c>
      <c r="JH19">
        <v>4</v>
      </c>
      <c r="JI19">
        <v>2305</v>
      </c>
      <c r="JJ19">
        <v>-0</v>
      </c>
      <c r="JK19">
        <v>23</v>
      </c>
      <c r="JL19">
        <v>29373119.1</v>
      </c>
      <c r="JM19">
        <v>29373119.1</v>
      </c>
      <c r="JN19">
        <v>1.14746</v>
      </c>
      <c r="JO19">
        <v>2.59888</v>
      </c>
      <c r="JP19">
        <v>2.19849</v>
      </c>
      <c r="JQ19">
        <v>2.64038</v>
      </c>
      <c r="JR19">
        <v>2.44507</v>
      </c>
      <c r="JS19">
        <v>2.2937</v>
      </c>
      <c r="JT19">
        <v>32.4212</v>
      </c>
      <c r="JU19">
        <v>24.1926</v>
      </c>
      <c r="JV19">
        <v>18</v>
      </c>
      <c r="JW19">
        <v>497.675</v>
      </c>
      <c r="JX19">
        <v>763.518</v>
      </c>
      <c r="JY19">
        <v>51.3014</v>
      </c>
      <c r="JZ19">
        <v>49.4085</v>
      </c>
      <c r="KA19">
        <v>30.0016</v>
      </c>
      <c r="KB19">
        <v>48.9037</v>
      </c>
      <c r="KC19">
        <v>48.6954</v>
      </c>
      <c r="KD19">
        <v>22.9788</v>
      </c>
      <c r="KE19">
        <v>0</v>
      </c>
      <c r="KF19">
        <v>100</v>
      </c>
      <c r="KG19">
        <v>51.2653</v>
      </c>
      <c r="KH19">
        <v>420</v>
      </c>
      <c r="KI19">
        <v>67.7987</v>
      </c>
      <c r="KJ19">
        <v>93.3905</v>
      </c>
      <c r="KK19">
        <v>90.2884</v>
      </c>
    </row>
    <row r="20" spans="1:297">
      <c r="A20">
        <v>4</v>
      </c>
      <c r="B20">
        <v>1762387246</v>
      </c>
      <c r="C20">
        <v>301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1762387242.5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429.112414589742</v>
      </c>
      <c r="AK20">
        <v>438.580836363636</v>
      </c>
      <c r="AL20">
        <v>-0.00119171115974124</v>
      </c>
      <c r="AM20">
        <v>64.118035756054</v>
      </c>
      <c r="AN20">
        <f>(AP20 - AO20 + DY20*1E3/(8.314*(EA20+273.15)) * AR20/DX20 * AQ20) * DX20/(100*DL20) * 1000/(1000 - AP20)</f>
        <v>0</v>
      </c>
      <c r="AO20">
        <v>21.3062101916796</v>
      </c>
      <c r="AP20">
        <v>42.8243018181818</v>
      </c>
      <c r="AQ20">
        <v>0.00771941948674945</v>
      </c>
      <c r="AR20">
        <v>97.5734174724228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5083.25</v>
      </c>
      <c r="AZ20">
        <v>1213.192</v>
      </c>
      <c r="BA20">
        <v>1734.56</v>
      </c>
      <c r="BB20">
        <f>1-AZ20/BA20</f>
        <v>0</v>
      </c>
      <c r="BC20">
        <v>-9.35236277962045</v>
      </c>
      <c r="BD20" t="s">
        <v>457</v>
      </c>
      <c r="BE20">
        <v>5117.91</v>
      </c>
      <c r="BF20">
        <v>1342.7196</v>
      </c>
      <c r="BG20">
        <v>1364.74266397501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1240.27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455</v>
      </c>
      <c r="CA20">
        <v>290</v>
      </c>
      <c r="CB20">
        <v>1354.43</v>
      </c>
      <c r="CC20">
        <v>105</v>
      </c>
      <c r="CD20">
        <v>5117.91</v>
      </c>
      <c r="CE20">
        <v>1354.53</v>
      </c>
      <c r="CF20">
        <v>-0.1</v>
      </c>
      <c r="CG20">
        <v>300</v>
      </c>
      <c r="CH20">
        <v>23.9</v>
      </c>
      <c r="CI20">
        <v>1364.74266397501</v>
      </c>
      <c r="CJ20">
        <v>1.86007673127513</v>
      </c>
      <c r="CK20">
        <v>-5.22617318600587</v>
      </c>
      <c r="CL20">
        <v>0.855670207793241</v>
      </c>
      <c r="CM20">
        <v>0.571235709853459</v>
      </c>
      <c r="CN20">
        <v>-0.00322690411568409</v>
      </c>
      <c r="CO20">
        <v>290</v>
      </c>
      <c r="CP20">
        <v>1353.73</v>
      </c>
      <c r="CQ20">
        <v>625</v>
      </c>
      <c r="CR20">
        <v>5110.6</v>
      </c>
      <c r="CS20">
        <v>1354.52</v>
      </c>
      <c r="CT20">
        <v>-0.79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1762387242.5</v>
      </c>
      <c r="DR20">
        <v>419.814666666667</v>
      </c>
      <c r="DS20">
        <v>419.965</v>
      </c>
      <c r="DT20">
        <v>42.8049666666667</v>
      </c>
      <c r="DU20">
        <v>21.3063166666667</v>
      </c>
      <c r="DV20">
        <v>416.718666666667</v>
      </c>
      <c r="DW20">
        <v>42.6422166666667</v>
      </c>
      <c r="DX20">
        <v>499.975833333333</v>
      </c>
      <c r="DY20">
        <v>90.83065</v>
      </c>
      <c r="DZ20">
        <v>0.0999782666666667</v>
      </c>
      <c r="EA20">
        <v>51.6573</v>
      </c>
      <c r="EB20">
        <v>47.9991833333333</v>
      </c>
      <c r="EC20">
        <v>999.9</v>
      </c>
      <c r="ED20">
        <v>0</v>
      </c>
      <c r="EE20">
        <v>0</v>
      </c>
      <c r="EF20">
        <v>10000</v>
      </c>
      <c r="EG20">
        <v>0</v>
      </c>
      <c r="EH20">
        <v>1141.41</v>
      </c>
      <c r="EI20">
        <v>-0.150304166666667</v>
      </c>
      <c r="EJ20">
        <v>438.588666666667</v>
      </c>
      <c r="EK20">
        <v>429.107666666667</v>
      </c>
      <c r="EL20">
        <v>21.49865</v>
      </c>
      <c r="EM20">
        <v>419.965</v>
      </c>
      <c r="EN20">
        <v>21.3063166666667</v>
      </c>
      <c r="EO20">
        <v>3.88800333333333</v>
      </c>
      <c r="EP20">
        <v>1.93526833333333</v>
      </c>
      <c r="EQ20">
        <v>28.4166666666667</v>
      </c>
      <c r="ER20">
        <v>16.9244166666667</v>
      </c>
      <c r="ES20">
        <v>1199.985</v>
      </c>
      <c r="ET20">
        <v>0.967001</v>
      </c>
      <c r="EU20">
        <v>0.0329990166666667</v>
      </c>
      <c r="EV20">
        <v>0</v>
      </c>
      <c r="EW20">
        <v>1342.43333333333</v>
      </c>
      <c r="EX20">
        <v>5.00059</v>
      </c>
      <c r="EY20">
        <v>17302.2166666667</v>
      </c>
      <c r="EZ20">
        <v>10358.5833333333</v>
      </c>
      <c r="FA20">
        <v>61.406</v>
      </c>
      <c r="FB20">
        <v>62.229</v>
      </c>
      <c r="FC20">
        <v>61.312</v>
      </c>
      <c r="FD20">
        <v>61.875</v>
      </c>
      <c r="FE20">
        <v>62.7706666666667</v>
      </c>
      <c r="FF20">
        <v>1155.555</v>
      </c>
      <c r="FG20">
        <v>39.43</v>
      </c>
      <c r="FH20">
        <v>0</v>
      </c>
      <c r="FI20">
        <v>97.4000000953674</v>
      </c>
      <c r="FJ20">
        <v>0</v>
      </c>
      <c r="FK20">
        <v>1342.7196</v>
      </c>
      <c r="FL20">
        <v>-6.07999997242856</v>
      </c>
      <c r="FM20">
        <v>-80.5923075743041</v>
      </c>
      <c r="FN20">
        <v>17307.524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-0.13604585</v>
      </c>
      <c r="GD20">
        <v>-0.399793542857143</v>
      </c>
      <c r="GE20">
        <v>0.0727464929816242</v>
      </c>
      <c r="GF20">
        <v>1</v>
      </c>
      <c r="GG20">
        <v>1343.29882352941</v>
      </c>
      <c r="GH20">
        <v>-6.56653933678521</v>
      </c>
      <c r="GI20">
        <v>0.667302580216817</v>
      </c>
      <c r="GJ20">
        <v>-1</v>
      </c>
      <c r="GK20">
        <v>21.4385</v>
      </c>
      <c r="GL20">
        <v>0.438027067669171</v>
      </c>
      <c r="GM20">
        <v>0.0421990639706617</v>
      </c>
      <c r="GN20">
        <v>0</v>
      </c>
      <c r="GO20">
        <v>1</v>
      </c>
      <c r="GP20">
        <v>2</v>
      </c>
      <c r="GQ20" t="s">
        <v>454</v>
      </c>
      <c r="GR20">
        <v>3.12673</v>
      </c>
      <c r="GS20">
        <v>2.77792</v>
      </c>
      <c r="GT20">
        <v>0.085219</v>
      </c>
      <c r="GU20">
        <v>0.0857416</v>
      </c>
      <c r="GV20">
        <v>0.149123</v>
      </c>
      <c r="GW20">
        <v>0.0911383</v>
      </c>
      <c r="GX20">
        <v>33047.1</v>
      </c>
      <c r="GY20">
        <v>35010.1</v>
      </c>
      <c r="GZ20">
        <v>32795.6</v>
      </c>
      <c r="HA20">
        <v>34784</v>
      </c>
      <c r="HB20">
        <v>39840.5</v>
      </c>
      <c r="HC20">
        <v>45502.3</v>
      </c>
      <c r="HD20">
        <v>51444.7</v>
      </c>
      <c r="HE20">
        <v>55710.7</v>
      </c>
      <c r="HF20">
        <v>1.71998</v>
      </c>
      <c r="HG20">
        <v>2.04045</v>
      </c>
      <c r="HH20">
        <v>-0.084281</v>
      </c>
      <c r="HI20">
        <v>0</v>
      </c>
      <c r="HJ20">
        <v>49.3278</v>
      </c>
      <c r="HK20">
        <v>999.9</v>
      </c>
      <c r="HL20">
        <v>55.628</v>
      </c>
      <c r="HM20">
        <v>27.845</v>
      </c>
      <c r="HN20">
        <v>23.0326</v>
      </c>
      <c r="HO20">
        <v>59.7437</v>
      </c>
      <c r="HP20">
        <v>32.4439</v>
      </c>
      <c r="HQ20">
        <v>2</v>
      </c>
      <c r="HR20">
        <v>1.95659</v>
      </c>
      <c r="HS20">
        <v>-1.15587</v>
      </c>
      <c r="HT20">
        <v>20.116</v>
      </c>
      <c r="HU20">
        <v>5.18929</v>
      </c>
      <c r="HV20">
        <v>12.0119</v>
      </c>
      <c r="HW20">
        <v>4.97065</v>
      </c>
      <c r="HX20">
        <v>3.295</v>
      </c>
      <c r="HY20">
        <v>999.9</v>
      </c>
      <c r="HZ20">
        <v>9999</v>
      </c>
      <c r="IA20">
        <v>9999</v>
      </c>
      <c r="IB20">
        <v>9999</v>
      </c>
      <c r="IC20">
        <v>1.86318</v>
      </c>
      <c r="ID20">
        <v>1.86813</v>
      </c>
      <c r="IE20">
        <v>1.86785</v>
      </c>
      <c r="IF20">
        <v>1.86902</v>
      </c>
      <c r="IG20">
        <v>1.86985</v>
      </c>
      <c r="IH20">
        <v>1.86588</v>
      </c>
      <c r="II20">
        <v>1.86706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3.096</v>
      </c>
      <c r="IY20">
        <v>0.1627</v>
      </c>
      <c r="IZ20">
        <v>1.12264184085783</v>
      </c>
      <c r="JA20">
        <v>0.00531519531824411</v>
      </c>
      <c r="JB20">
        <v>-1.58401274662554e-06</v>
      </c>
      <c r="JC20">
        <v>4.65529057017795e-10</v>
      </c>
      <c r="JD20">
        <v>0.162735096694976</v>
      </c>
      <c r="JE20">
        <v>0</v>
      </c>
      <c r="JF20">
        <v>0</v>
      </c>
      <c r="JG20">
        <v>0</v>
      </c>
      <c r="JH20">
        <v>4</v>
      </c>
      <c r="JI20">
        <v>2305</v>
      </c>
      <c r="JJ20">
        <v>-0</v>
      </c>
      <c r="JK20">
        <v>23</v>
      </c>
      <c r="JL20">
        <v>29373120.8</v>
      </c>
      <c r="JM20">
        <v>29373120.8</v>
      </c>
      <c r="JN20">
        <v>1.14746</v>
      </c>
      <c r="JO20">
        <v>2.60742</v>
      </c>
      <c r="JP20">
        <v>2.19849</v>
      </c>
      <c r="JQ20">
        <v>2.64038</v>
      </c>
      <c r="JR20">
        <v>2.44507</v>
      </c>
      <c r="JS20">
        <v>2.31079</v>
      </c>
      <c r="JT20">
        <v>32.4433</v>
      </c>
      <c r="JU20">
        <v>24.1838</v>
      </c>
      <c r="JV20">
        <v>18</v>
      </c>
      <c r="JW20">
        <v>496.897</v>
      </c>
      <c r="JX20">
        <v>761.114</v>
      </c>
      <c r="JY20">
        <v>51.5045</v>
      </c>
      <c r="JZ20">
        <v>49.7882</v>
      </c>
      <c r="KA20">
        <v>30.0022</v>
      </c>
      <c r="KB20">
        <v>49.2269</v>
      </c>
      <c r="KC20">
        <v>49.012</v>
      </c>
      <c r="KD20">
        <v>22.9843</v>
      </c>
      <c r="KE20">
        <v>0</v>
      </c>
      <c r="KF20">
        <v>100</v>
      </c>
      <c r="KG20">
        <v>51.5516</v>
      </c>
      <c r="KH20">
        <v>420</v>
      </c>
      <c r="KI20">
        <v>67.7987</v>
      </c>
      <c r="KJ20">
        <v>93.3142</v>
      </c>
      <c r="KK20">
        <v>90.1898</v>
      </c>
    </row>
    <row r="21" spans="1:297">
      <c r="A21">
        <v>5</v>
      </c>
      <c r="B21">
        <v>1762387347</v>
      </c>
      <c r="C21">
        <v>402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1762387343.5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429.979515089331</v>
      </c>
      <c r="AK21">
        <v>439.071896969697</v>
      </c>
      <c r="AL21">
        <v>0.121409534646118</v>
      </c>
      <c r="AM21">
        <v>64.118035756054</v>
      </c>
      <c r="AN21">
        <f>(AP21 - AO21 + DY21*1E3/(8.314*(EA21+273.15)) * AR21/DX21 * AQ21) * DX21/(100*DL21) * 1000/(1000 - AP21)</f>
        <v>0</v>
      </c>
      <c r="AO21">
        <v>21.3010700054065</v>
      </c>
      <c r="AP21">
        <v>43.080956969697</v>
      </c>
      <c r="AQ21">
        <v>0.00535692423890912</v>
      </c>
      <c r="AR21">
        <v>97.5734174724228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5083.25</v>
      </c>
      <c r="AZ21">
        <v>1213.192</v>
      </c>
      <c r="BA21">
        <v>1734.56</v>
      </c>
      <c r="BB21">
        <f>1-AZ21/BA21</f>
        <v>0</v>
      </c>
      <c r="BC21">
        <v>-9.35236277962045</v>
      </c>
      <c r="BD21" t="s">
        <v>461</v>
      </c>
      <c r="BE21">
        <v>5114.56</v>
      </c>
      <c r="BF21">
        <v>1337.94807692308</v>
      </c>
      <c r="BG21">
        <v>1369.05995368726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1242.67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457</v>
      </c>
      <c r="CA21">
        <v>290</v>
      </c>
      <c r="CB21">
        <v>1357.27</v>
      </c>
      <c r="CC21">
        <v>285</v>
      </c>
      <c r="CD21">
        <v>5114.56</v>
      </c>
      <c r="CE21">
        <v>1356.7</v>
      </c>
      <c r="CF21">
        <v>0.57</v>
      </c>
      <c r="CG21">
        <v>300</v>
      </c>
      <c r="CH21">
        <v>23.9</v>
      </c>
      <c r="CI21">
        <v>1369.05995368726</v>
      </c>
      <c r="CJ21">
        <v>1.78517209349951</v>
      </c>
      <c r="CK21">
        <v>-6.32222852898019</v>
      </c>
      <c r="CL21">
        <v>0.813955501139373</v>
      </c>
      <c r="CM21">
        <v>0.683009762273717</v>
      </c>
      <c r="CN21">
        <v>-0.00347994082313682</v>
      </c>
      <c r="CO21">
        <v>290</v>
      </c>
      <c r="CP21">
        <v>1354.97</v>
      </c>
      <c r="CQ21">
        <v>775</v>
      </c>
      <c r="CR21">
        <v>5110.63</v>
      </c>
      <c r="CS21">
        <v>1356.69</v>
      </c>
      <c r="CT21">
        <v>-1.72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1762387343.5</v>
      </c>
      <c r="DR21">
        <v>419.862333333333</v>
      </c>
      <c r="DS21">
        <v>420.742</v>
      </c>
      <c r="DT21">
        <v>43.0674</v>
      </c>
      <c r="DU21">
        <v>21.3012166666667</v>
      </c>
      <c r="DV21">
        <v>416.766</v>
      </c>
      <c r="DW21">
        <v>42.9047</v>
      </c>
      <c r="DX21">
        <v>500.074</v>
      </c>
      <c r="DY21">
        <v>90.84475</v>
      </c>
      <c r="DZ21">
        <v>0.1000841</v>
      </c>
      <c r="EA21">
        <v>51.8206333333333</v>
      </c>
      <c r="EB21">
        <v>48.05165</v>
      </c>
      <c r="EC21">
        <v>999.9</v>
      </c>
      <c r="ED21">
        <v>0</v>
      </c>
      <c r="EE21">
        <v>0</v>
      </c>
      <c r="EF21">
        <v>9982.5</v>
      </c>
      <c r="EG21">
        <v>0</v>
      </c>
      <c r="EH21">
        <v>1138.47333333333</v>
      </c>
      <c r="EI21">
        <v>-0.8795065</v>
      </c>
      <c r="EJ21">
        <v>438.758666666667</v>
      </c>
      <c r="EK21">
        <v>429.899333333333</v>
      </c>
      <c r="EL21">
        <v>21.7661833333333</v>
      </c>
      <c r="EM21">
        <v>420.742</v>
      </c>
      <c r="EN21">
        <v>21.3012166666667</v>
      </c>
      <c r="EO21">
        <v>3.91244666666667</v>
      </c>
      <c r="EP21">
        <v>1.935105</v>
      </c>
      <c r="EQ21">
        <v>28.5245666666667</v>
      </c>
      <c r="ER21">
        <v>16.9230833333333</v>
      </c>
      <c r="ES21">
        <v>899.959666666667</v>
      </c>
      <c r="ET21">
        <v>0.955994</v>
      </c>
      <c r="EU21">
        <v>0.0440061666666667</v>
      </c>
      <c r="EV21">
        <v>0</v>
      </c>
      <c r="EW21">
        <v>1337.68166666667</v>
      </c>
      <c r="EX21">
        <v>5.00059</v>
      </c>
      <c r="EY21">
        <v>12958.4666666667</v>
      </c>
      <c r="EZ21">
        <v>7732.44333333333</v>
      </c>
      <c r="FA21">
        <v>61.187</v>
      </c>
      <c r="FB21">
        <v>62.4475</v>
      </c>
      <c r="FC21">
        <v>61.3225</v>
      </c>
      <c r="FD21">
        <v>62.125</v>
      </c>
      <c r="FE21">
        <v>62.687</v>
      </c>
      <c r="FF21">
        <v>855.575</v>
      </c>
      <c r="FG21">
        <v>39.38</v>
      </c>
      <c r="FH21">
        <v>0</v>
      </c>
      <c r="FI21">
        <v>97.4000000953674</v>
      </c>
      <c r="FJ21">
        <v>0</v>
      </c>
      <c r="FK21">
        <v>1337.94807692308</v>
      </c>
      <c r="FL21">
        <v>-4.01811964981678</v>
      </c>
      <c r="FM21">
        <v>-54.6324786766089</v>
      </c>
      <c r="FN21">
        <v>12962.6615384615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-0.449760828571429</v>
      </c>
      <c r="GD21">
        <v>-3.08223596883117</v>
      </c>
      <c r="GE21">
        <v>0.353480681116208</v>
      </c>
      <c r="GF21">
        <v>0</v>
      </c>
      <c r="GG21">
        <v>1338.33264705882</v>
      </c>
      <c r="GH21">
        <v>-5.51306339518401</v>
      </c>
      <c r="GI21">
        <v>0.587388581792958</v>
      </c>
      <c r="GJ21">
        <v>-1</v>
      </c>
      <c r="GK21">
        <v>21.7184761904762</v>
      </c>
      <c r="GL21">
        <v>0.346371428571421</v>
      </c>
      <c r="GM21">
        <v>0.034997672096215</v>
      </c>
      <c r="GN21">
        <v>0</v>
      </c>
      <c r="GO21">
        <v>0</v>
      </c>
      <c r="GP21">
        <v>2</v>
      </c>
      <c r="GQ21" t="s">
        <v>442</v>
      </c>
      <c r="GR21">
        <v>3.12656</v>
      </c>
      <c r="GS21">
        <v>2.77797</v>
      </c>
      <c r="GT21">
        <v>0.0852021</v>
      </c>
      <c r="GU21">
        <v>0.0856799</v>
      </c>
      <c r="GV21">
        <v>0.149609</v>
      </c>
      <c r="GW21">
        <v>0.0910466</v>
      </c>
      <c r="GX21">
        <v>33010.7</v>
      </c>
      <c r="GY21">
        <v>34964.2</v>
      </c>
      <c r="GZ21">
        <v>32761.4</v>
      </c>
      <c r="HA21">
        <v>34738.6</v>
      </c>
      <c r="HB21">
        <v>39789.9</v>
      </c>
      <c r="HC21">
        <v>45452</v>
      </c>
      <c r="HD21">
        <v>51399.5</v>
      </c>
      <c r="HE21">
        <v>55643.3</v>
      </c>
      <c r="HF21">
        <v>1.7149</v>
      </c>
      <c r="HG21">
        <v>2.03352</v>
      </c>
      <c r="HH21">
        <v>-0.113267</v>
      </c>
      <c r="HI21">
        <v>0</v>
      </c>
      <c r="HJ21">
        <v>49.8748</v>
      </c>
      <c r="HK21">
        <v>999.9</v>
      </c>
      <c r="HL21">
        <v>55.604</v>
      </c>
      <c r="HM21">
        <v>27.845</v>
      </c>
      <c r="HN21">
        <v>23.0178</v>
      </c>
      <c r="HO21">
        <v>59.9937</v>
      </c>
      <c r="HP21">
        <v>32.3478</v>
      </c>
      <c r="HQ21">
        <v>2</v>
      </c>
      <c r="HR21">
        <v>2.00293</v>
      </c>
      <c r="HS21">
        <v>-1.00733</v>
      </c>
      <c r="HT21">
        <v>20.1189</v>
      </c>
      <c r="HU21">
        <v>5.18734</v>
      </c>
      <c r="HV21">
        <v>12.0146</v>
      </c>
      <c r="HW21">
        <v>4.9701</v>
      </c>
      <c r="HX21">
        <v>3.295</v>
      </c>
      <c r="HY21">
        <v>999.9</v>
      </c>
      <c r="HZ21">
        <v>9999</v>
      </c>
      <c r="IA21">
        <v>9999</v>
      </c>
      <c r="IB21">
        <v>9999</v>
      </c>
      <c r="IC21">
        <v>1.86316</v>
      </c>
      <c r="ID21">
        <v>1.86813</v>
      </c>
      <c r="IE21">
        <v>1.86788</v>
      </c>
      <c r="IF21">
        <v>1.86903</v>
      </c>
      <c r="IG21">
        <v>1.86986</v>
      </c>
      <c r="IH21">
        <v>1.86586</v>
      </c>
      <c r="II21">
        <v>1.86705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3.097</v>
      </c>
      <c r="IY21">
        <v>0.1628</v>
      </c>
      <c r="IZ21">
        <v>1.12264184085783</v>
      </c>
      <c r="JA21">
        <v>0.00531519531824411</v>
      </c>
      <c r="JB21">
        <v>-1.58401274662554e-06</v>
      </c>
      <c r="JC21">
        <v>4.65529057017795e-10</v>
      </c>
      <c r="JD21">
        <v>0.162735096694976</v>
      </c>
      <c r="JE21">
        <v>0</v>
      </c>
      <c r="JF21">
        <v>0</v>
      </c>
      <c r="JG21">
        <v>0</v>
      </c>
      <c r="JH21">
        <v>4</v>
      </c>
      <c r="JI21">
        <v>2305</v>
      </c>
      <c r="JJ21">
        <v>-0</v>
      </c>
      <c r="JK21">
        <v>23</v>
      </c>
      <c r="JL21">
        <v>29373122.4</v>
      </c>
      <c r="JM21">
        <v>29373122.4</v>
      </c>
      <c r="JN21">
        <v>1.14258</v>
      </c>
      <c r="JO21">
        <v>2.6062</v>
      </c>
      <c r="JP21">
        <v>2.19849</v>
      </c>
      <c r="JQ21">
        <v>2.6416</v>
      </c>
      <c r="JR21">
        <v>2.44507</v>
      </c>
      <c r="JS21">
        <v>2.29858</v>
      </c>
      <c r="JT21">
        <v>32.4433</v>
      </c>
      <c r="JU21">
        <v>24.1838</v>
      </c>
      <c r="JV21">
        <v>18</v>
      </c>
      <c r="JW21">
        <v>495.74</v>
      </c>
      <c r="JX21">
        <v>758.216</v>
      </c>
      <c r="JY21">
        <v>51.8434</v>
      </c>
      <c r="JZ21">
        <v>50.2631</v>
      </c>
      <c r="KA21">
        <v>30.0024</v>
      </c>
      <c r="KB21">
        <v>49.6429</v>
      </c>
      <c r="KC21">
        <v>49.4166</v>
      </c>
      <c r="KD21">
        <v>22.899</v>
      </c>
      <c r="KE21">
        <v>0</v>
      </c>
      <c r="KF21">
        <v>100</v>
      </c>
      <c r="KG21">
        <v>51.7835</v>
      </c>
      <c r="KH21">
        <v>420</v>
      </c>
      <c r="KI21">
        <v>67.7987</v>
      </c>
      <c r="KJ21">
        <v>93.2263</v>
      </c>
      <c r="KK21">
        <v>90.0774</v>
      </c>
    </row>
    <row r="22" spans="1:297">
      <c r="A22">
        <v>6</v>
      </c>
      <c r="B22">
        <v>1762387450</v>
      </c>
      <c r="C22">
        <v>505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1762387447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429.172669394985</v>
      </c>
      <c r="AK22">
        <v>438.640945454545</v>
      </c>
      <c r="AL22">
        <v>-0.00897525884645632</v>
      </c>
      <c r="AM22">
        <v>64.118035756054</v>
      </c>
      <c r="AN22">
        <f>(AP22 - AO22 + DY22*1E3/(8.314*(EA22+273.15)) * AR22/DX22 * AQ22) * DX22/(100*DL22) * 1000/(1000 - AP22)</f>
        <v>0</v>
      </c>
      <c r="AO22">
        <v>21.2945516688731</v>
      </c>
      <c r="AP22">
        <v>43.2578484848485</v>
      </c>
      <c r="AQ22">
        <v>0.000534158316619702</v>
      </c>
      <c r="AR22">
        <v>97.5734174724228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5083.25</v>
      </c>
      <c r="AZ22">
        <v>1213.192</v>
      </c>
      <c r="BA22">
        <v>1734.56</v>
      </c>
      <c r="BB22">
        <f>1-AZ22/BA22</f>
        <v>0</v>
      </c>
      <c r="BC22">
        <v>-9.35236277962045</v>
      </c>
      <c r="BD22" t="s">
        <v>465</v>
      </c>
      <c r="BE22">
        <v>5117.96</v>
      </c>
      <c r="BF22">
        <v>1332.43769230769</v>
      </c>
      <c r="BG22">
        <v>1369.98130753478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1256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459</v>
      </c>
      <c r="CA22">
        <v>290</v>
      </c>
      <c r="CB22">
        <v>1361.59</v>
      </c>
      <c r="CC22">
        <v>255</v>
      </c>
      <c r="CD22">
        <v>5117.96</v>
      </c>
      <c r="CE22">
        <v>1362.34</v>
      </c>
      <c r="CF22">
        <v>-0.75</v>
      </c>
      <c r="CG22">
        <v>300</v>
      </c>
      <c r="CH22">
        <v>23.9</v>
      </c>
      <c r="CI22">
        <v>1369.98130753478</v>
      </c>
      <c r="CJ22">
        <v>1.46855904085053</v>
      </c>
      <c r="CK22">
        <v>-3.91290818368615</v>
      </c>
      <c r="CL22">
        <v>0.663685679666985</v>
      </c>
      <c r="CM22">
        <v>0.553852916980995</v>
      </c>
      <c r="CN22">
        <v>-0.00373318220244717</v>
      </c>
      <c r="CO22">
        <v>290</v>
      </c>
      <c r="CP22">
        <v>1361.91</v>
      </c>
      <c r="CQ22">
        <v>665</v>
      </c>
      <c r="CR22">
        <v>5114.43</v>
      </c>
      <c r="CS22">
        <v>1362.33</v>
      </c>
      <c r="CT22">
        <v>-0.42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1762387447</v>
      </c>
      <c r="DR22">
        <v>419.7046</v>
      </c>
      <c r="DS22">
        <v>420.0138</v>
      </c>
      <c r="DT22">
        <v>43.25208</v>
      </c>
      <c r="DU22">
        <v>21.2946</v>
      </c>
      <c r="DV22">
        <v>416.6088</v>
      </c>
      <c r="DW22">
        <v>43.08936</v>
      </c>
      <c r="DX22">
        <v>500.032</v>
      </c>
      <c r="DY22">
        <v>90.83672</v>
      </c>
      <c r="DZ22">
        <v>0.09999722</v>
      </c>
      <c r="EA22">
        <v>51.97726</v>
      </c>
      <c r="EB22">
        <v>48.04714</v>
      </c>
      <c r="EC22">
        <v>999.9</v>
      </c>
      <c r="ED22">
        <v>0</v>
      </c>
      <c r="EE22">
        <v>0</v>
      </c>
      <c r="EF22">
        <v>10003.48</v>
      </c>
      <c r="EG22">
        <v>0</v>
      </c>
      <c r="EH22">
        <v>1136.246</v>
      </c>
      <c r="EI22">
        <v>-0.3093994</v>
      </c>
      <c r="EJ22">
        <v>438.6784</v>
      </c>
      <c r="EK22">
        <v>429.1526</v>
      </c>
      <c r="EL22">
        <v>21.9575</v>
      </c>
      <c r="EM22">
        <v>420.0138</v>
      </c>
      <c r="EN22">
        <v>21.2946</v>
      </c>
      <c r="EO22">
        <v>3.928878</v>
      </c>
      <c r="EP22">
        <v>1.934332</v>
      </c>
      <c r="EQ22">
        <v>28.59674</v>
      </c>
      <c r="ER22">
        <v>16.9168</v>
      </c>
      <c r="ES22">
        <v>600.0022</v>
      </c>
      <c r="ET22">
        <v>0.9329844</v>
      </c>
      <c r="EU22">
        <v>0.06701536</v>
      </c>
      <c r="EV22">
        <v>0</v>
      </c>
      <c r="EW22">
        <v>1332.26</v>
      </c>
      <c r="EX22">
        <v>5.00059</v>
      </c>
      <c r="EY22">
        <v>8647.74</v>
      </c>
      <c r="EZ22">
        <v>5105.5</v>
      </c>
      <c r="FA22">
        <v>60.875</v>
      </c>
      <c r="FB22">
        <v>62.6746</v>
      </c>
      <c r="FC22">
        <v>61.312</v>
      </c>
      <c r="FD22">
        <v>62.375</v>
      </c>
      <c r="FE22">
        <v>62.6124</v>
      </c>
      <c r="FF22">
        <v>555.128</v>
      </c>
      <c r="FG22">
        <v>39.87</v>
      </c>
      <c r="FH22">
        <v>0</v>
      </c>
      <c r="FI22">
        <v>97.7999999523163</v>
      </c>
      <c r="FJ22">
        <v>0</v>
      </c>
      <c r="FK22">
        <v>1332.43769230769</v>
      </c>
      <c r="FL22">
        <v>-1.94119657331101</v>
      </c>
      <c r="FM22">
        <v>-28.5271794904907</v>
      </c>
      <c r="FN22">
        <v>8649.31846153846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-0.242648395</v>
      </c>
      <c r="GD22">
        <v>0.518270756390977</v>
      </c>
      <c r="GE22">
        <v>0.419077321958605</v>
      </c>
      <c r="GF22">
        <v>0</v>
      </c>
      <c r="GG22">
        <v>1332.68264705882</v>
      </c>
      <c r="GH22">
        <v>-3.14270434852873</v>
      </c>
      <c r="GI22">
        <v>0.359585617911774</v>
      </c>
      <c r="GJ22">
        <v>-1</v>
      </c>
      <c r="GK22">
        <v>21.927715</v>
      </c>
      <c r="GL22">
        <v>0.220064661654112</v>
      </c>
      <c r="GM22">
        <v>0.021330407286313</v>
      </c>
      <c r="GN22">
        <v>0</v>
      </c>
      <c r="GO22">
        <v>0</v>
      </c>
      <c r="GP22">
        <v>2</v>
      </c>
      <c r="GQ22" t="s">
        <v>442</v>
      </c>
      <c r="GR22">
        <v>3.12656</v>
      </c>
      <c r="GS22">
        <v>2.77811</v>
      </c>
      <c r="GT22">
        <v>0.0850191</v>
      </c>
      <c r="GU22">
        <v>0.0855491</v>
      </c>
      <c r="GV22">
        <v>0.149864</v>
      </c>
      <c r="GW22">
        <v>0.0909236</v>
      </c>
      <c r="GX22">
        <v>32974.5</v>
      </c>
      <c r="GY22">
        <v>34912.5</v>
      </c>
      <c r="GZ22">
        <v>32721.8</v>
      </c>
      <c r="HA22">
        <v>34685.1</v>
      </c>
      <c r="HB22">
        <v>39744.5</v>
      </c>
      <c r="HC22">
        <v>45393.4</v>
      </c>
      <c r="HD22">
        <v>51347</v>
      </c>
      <c r="HE22">
        <v>55563.9</v>
      </c>
      <c r="HF22">
        <v>1.70903</v>
      </c>
      <c r="HG22">
        <v>2.02568</v>
      </c>
      <c r="HH22">
        <v>-0.14773</v>
      </c>
      <c r="HI22">
        <v>0</v>
      </c>
      <c r="HJ22">
        <v>50.3592</v>
      </c>
      <c r="HK22">
        <v>999.9</v>
      </c>
      <c r="HL22">
        <v>55.604</v>
      </c>
      <c r="HM22">
        <v>27.875</v>
      </c>
      <c r="HN22">
        <v>23.0602</v>
      </c>
      <c r="HO22">
        <v>59.9237</v>
      </c>
      <c r="HP22">
        <v>32.1114</v>
      </c>
      <c r="HQ22">
        <v>2</v>
      </c>
      <c r="HR22">
        <v>2.05855</v>
      </c>
      <c r="HS22">
        <v>-0.578502</v>
      </c>
      <c r="HT22">
        <v>20.1233</v>
      </c>
      <c r="HU22">
        <v>5.18824</v>
      </c>
      <c r="HV22">
        <v>12.0156</v>
      </c>
      <c r="HW22">
        <v>4.9693</v>
      </c>
      <c r="HX22">
        <v>3.295</v>
      </c>
      <c r="HY22">
        <v>999.9</v>
      </c>
      <c r="HZ22">
        <v>9999</v>
      </c>
      <c r="IA22">
        <v>9999</v>
      </c>
      <c r="IB22">
        <v>9999</v>
      </c>
      <c r="IC22">
        <v>1.86319</v>
      </c>
      <c r="ID22">
        <v>1.86813</v>
      </c>
      <c r="IE22">
        <v>1.86786</v>
      </c>
      <c r="IF22">
        <v>1.86902</v>
      </c>
      <c r="IG22">
        <v>1.86987</v>
      </c>
      <c r="IH22">
        <v>1.86585</v>
      </c>
      <c r="II22">
        <v>1.86707</v>
      </c>
      <c r="IJ22">
        <v>1.86845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3.095</v>
      </c>
      <c r="IY22">
        <v>0.1627</v>
      </c>
      <c r="IZ22">
        <v>1.12264184085783</v>
      </c>
      <c r="JA22">
        <v>0.00531519531824411</v>
      </c>
      <c r="JB22">
        <v>-1.58401274662554e-06</v>
      </c>
      <c r="JC22">
        <v>4.65529057017795e-10</v>
      </c>
      <c r="JD22">
        <v>0.162735096694976</v>
      </c>
      <c r="JE22">
        <v>0</v>
      </c>
      <c r="JF22">
        <v>0</v>
      </c>
      <c r="JG22">
        <v>0</v>
      </c>
      <c r="JH22">
        <v>4</v>
      </c>
      <c r="JI22">
        <v>2305</v>
      </c>
      <c r="JJ22">
        <v>-0</v>
      </c>
      <c r="JK22">
        <v>23</v>
      </c>
      <c r="JL22">
        <v>29373124.2</v>
      </c>
      <c r="JM22">
        <v>29373124.2</v>
      </c>
      <c r="JN22">
        <v>1.14258</v>
      </c>
      <c r="JO22">
        <v>2.60132</v>
      </c>
      <c r="JP22">
        <v>2.19849</v>
      </c>
      <c r="JQ22">
        <v>2.64038</v>
      </c>
      <c r="JR22">
        <v>2.44507</v>
      </c>
      <c r="JS22">
        <v>2.30713</v>
      </c>
      <c r="JT22">
        <v>32.4433</v>
      </c>
      <c r="JU22">
        <v>24.1926</v>
      </c>
      <c r="JV22">
        <v>18</v>
      </c>
      <c r="JW22">
        <v>494.459</v>
      </c>
      <c r="JX22">
        <v>755.138</v>
      </c>
      <c r="JY22">
        <v>51.889</v>
      </c>
      <c r="JZ22">
        <v>50.8194</v>
      </c>
      <c r="KA22">
        <v>30.0027</v>
      </c>
      <c r="KB22">
        <v>50.1388</v>
      </c>
      <c r="KC22">
        <v>49.9005</v>
      </c>
      <c r="KD22">
        <v>22.9041</v>
      </c>
      <c r="KE22">
        <v>0</v>
      </c>
      <c r="KF22">
        <v>100</v>
      </c>
      <c r="KG22">
        <v>51.8822</v>
      </c>
      <c r="KH22">
        <v>420</v>
      </c>
      <c r="KI22">
        <v>67.7987</v>
      </c>
      <c r="KJ22">
        <v>93.1242</v>
      </c>
      <c r="KK22">
        <v>89.945</v>
      </c>
    </row>
    <row r="23" spans="1:297">
      <c r="A23">
        <v>7</v>
      </c>
      <c r="B23">
        <v>1762387551</v>
      </c>
      <c r="C23">
        <v>606</v>
      </c>
      <c r="D23" t="s">
        <v>467</v>
      </c>
      <c r="E23" t="s">
        <v>468</v>
      </c>
      <c r="F23">
        <v>5</v>
      </c>
      <c r="G23" t="s">
        <v>435</v>
      </c>
      <c r="H23" t="s">
        <v>436</v>
      </c>
      <c r="I23">
        <v>1762387547.5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429.154494819235</v>
      </c>
      <c r="AK23">
        <v>438.864412121212</v>
      </c>
      <c r="AL23">
        <v>0.000524708705676261</v>
      </c>
      <c r="AM23">
        <v>64.118035756054</v>
      </c>
      <c r="AN23">
        <f>(AP23 - AO23 + DY23*1E3/(8.314*(EA23+273.15)) * AR23/DX23 * AQ23) * DX23/(100*DL23) * 1000/(1000 - AP23)</f>
        <v>0</v>
      </c>
      <c r="AO23">
        <v>21.2826679046773</v>
      </c>
      <c r="AP23">
        <v>43.258076969697</v>
      </c>
      <c r="AQ23">
        <v>0.00113930899241458</v>
      </c>
      <c r="AR23">
        <v>97.5734174724228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5083.25</v>
      </c>
      <c r="AZ23">
        <v>1213.192</v>
      </c>
      <c r="BA23">
        <v>1734.56</v>
      </c>
      <c r="BB23">
        <f>1-AZ23/BA23</f>
        <v>0</v>
      </c>
      <c r="BC23">
        <v>-9.35236277962045</v>
      </c>
      <c r="BD23" t="s">
        <v>469</v>
      </c>
      <c r="BE23">
        <v>5110.61</v>
      </c>
      <c r="BF23">
        <v>1322.17807692308</v>
      </c>
      <c r="BG23">
        <v>1383.07619304884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470</v>
      </c>
      <c r="BQ23">
        <v>1250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461</v>
      </c>
      <c r="CA23">
        <v>290</v>
      </c>
      <c r="CB23">
        <v>1377.59</v>
      </c>
      <c r="CC23">
        <v>235</v>
      </c>
      <c r="CD23">
        <v>5110.61</v>
      </c>
      <c r="CE23">
        <v>1377.9</v>
      </c>
      <c r="CF23">
        <v>-0.31</v>
      </c>
      <c r="CG23">
        <v>300</v>
      </c>
      <c r="CH23">
        <v>23.9</v>
      </c>
      <c r="CI23">
        <v>1383.07619304884</v>
      </c>
      <c r="CJ23">
        <v>1.31378449698964</v>
      </c>
      <c r="CK23">
        <v>-2.64449899768189</v>
      </c>
      <c r="CL23">
        <v>0.587184316297944</v>
      </c>
      <c r="CM23">
        <v>0.420088957217537</v>
      </c>
      <c r="CN23">
        <v>-0.00397769944382648</v>
      </c>
      <c r="CO23">
        <v>290</v>
      </c>
      <c r="CP23">
        <v>1378.75</v>
      </c>
      <c r="CQ23">
        <v>795</v>
      </c>
      <c r="CR23">
        <v>5104.93</v>
      </c>
      <c r="CS23">
        <v>1377.9</v>
      </c>
      <c r="CT23">
        <v>0.85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1762387547.5</v>
      </c>
      <c r="DR23">
        <v>419.8855</v>
      </c>
      <c r="DS23">
        <v>419.989166666667</v>
      </c>
      <c r="DT23">
        <v>43.2474333333333</v>
      </c>
      <c r="DU23">
        <v>21.2826333333333</v>
      </c>
      <c r="DV23">
        <v>416.789</v>
      </c>
      <c r="DW23">
        <v>43.0847</v>
      </c>
      <c r="DX23">
        <v>500.0055</v>
      </c>
      <c r="DY23">
        <v>90.8498166666667</v>
      </c>
      <c r="DZ23">
        <v>0.0999862333333333</v>
      </c>
      <c r="EA23">
        <v>52.0802166666667</v>
      </c>
      <c r="EB23">
        <v>48.0038833333333</v>
      </c>
      <c r="EC23">
        <v>999.9</v>
      </c>
      <c r="ED23">
        <v>0</v>
      </c>
      <c r="EE23">
        <v>0</v>
      </c>
      <c r="EF23">
        <v>9998.11666666667</v>
      </c>
      <c r="EG23">
        <v>0</v>
      </c>
      <c r="EH23">
        <v>1134.05833333333</v>
      </c>
      <c r="EI23">
        <v>-0.103561458333333</v>
      </c>
      <c r="EJ23">
        <v>438.865333333333</v>
      </c>
      <c r="EK23">
        <v>429.122</v>
      </c>
      <c r="EL23">
        <v>21.9648166666667</v>
      </c>
      <c r="EM23">
        <v>419.989166666667</v>
      </c>
      <c r="EN23">
        <v>21.2826333333333</v>
      </c>
      <c r="EO23">
        <v>3.92901833333333</v>
      </c>
      <c r="EP23">
        <v>1.93352166666667</v>
      </c>
      <c r="EQ23">
        <v>28.5973833333333</v>
      </c>
      <c r="ER23">
        <v>16.9101833333333</v>
      </c>
      <c r="ES23">
        <v>299.985</v>
      </c>
      <c r="ET23">
        <v>0.8999805</v>
      </c>
      <c r="EU23">
        <v>0.100019516666667</v>
      </c>
      <c r="EV23">
        <v>0</v>
      </c>
      <c r="EW23">
        <v>1322.125</v>
      </c>
      <c r="EX23">
        <v>5.00059</v>
      </c>
      <c r="EY23">
        <v>4414.65333333333</v>
      </c>
      <c r="EZ23">
        <v>2506.04833333333</v>
      </c>
      <c r="FA23">
        <v>60.5</v>
      </c>
      <c r="FB23">
        <v>62.812</v>
      </c>
      <c r="FC23">
        <v>61.25</v>
      </c>
      <c r="FD23">
        <v>62.604</v>
      </c>
      <c r="FE23">
        <v>62.437</v>
      </c>
      <c r="FF23">
        <v>265.48</v>
      </c>
      <c r="FG23">
        <v>29.5</v>
      </c>
      <c r="FH23">
        <v>0</v>
      </c>
      <c r="FI23">
        <v>96.7999999523163</v>
      </c>
      <c r="FJ23">
        <v>0</v>
      </c>
      <c r="FK23">
        <v>1322.17807692308</v>
      </c>
      <c r="FL23">
        <v>-0.761367517284692</v>
      </c>
      <c r="FM23">
        <v>-5.88376068976955</v>
      </c>
      <c r="FN23">
        <v>4415.04538461538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-0.020577979</v>
      </c>
      <c r="GD23">
        <v>-0.922045569022557</v>
      </c>
      <c r="GE23">
        <v>0.128537751447719</v>
      </c>
      <c r="GF23">
        <v>0</v>
      </c>
      <c r="GG23">
        <v>1322.21029411765</v>
      </c>
      <c r="GH23">
        <v>-0.802291822974783</v>
      </c>
      <c r="GI23">
        <v>0.227059014020038</v>
      </c>
      <c r="GJ23">
        <v>-1</v>
      </c>
      <c r="GK23">
        <v>21.94212</v>
      </c>
      <c r="GL23">
        <v>0.215873684210564</v>
      </c>
      <c r="GM23">
        <v>0.0210135575284153</v>
      </c>
      <c r="GN23">
        <v>0</v>
      </c>
      <c r="GO23">
        <v>0</v>
      </c>
      <c r="GP23">
        <v>2</v>
      </c>
      <c r="GQ23" t="s">
        <v>442</v>
      </c>
      <c r="GR23">
        <v>3.12643</v>
      </c>
      <c r="GS23">
        <v>2.77812</v>
      </c>
      <c r="GT23">
        <v>0.0849422</v>
      </c>
      <c r="GU23">
        <v>0.0854695</v>
      </c>
      <c r="GV23">
        <v>0.149717</v>
      </c>
      <c r="GW23">
        <v>0.0907875</v>
      </c>
      <c r="GX23">
        <v>32931.6</v>
      </c>
      <c r="GY23">
        <v>34854.8</v>
      </c>
      <c r="GZ23">
        <v>32679.5</v>
      </c>
      <c r="HA23">
        <v>34627.9</v>
      </c>
      <c r="HB23">
        <v>39714.2</v>
      </c>
      <c r="HC23">
        <v>45330.6</v>
      </c>
      <c r="HD23">
        <v>51290.9</v>
      </c>
      <c r="HE23">
        <v>55478.6</v>
      </c>
      <c r="HF23">
        <v>1.7027</v>
      </c>
      <c r="HG23">
        <v>2.01743</v>
      </c>
      <c r="HH23">
        <v>-0.176657</v>
      </c>
      <c r="HI23">
        <v>0</v>
      </c>
      <c r="HJ23">
        <v>50.7445</v>
      </c>
      <c r="HK23">
        <v>999.9</v>
      </c>
      <c r="HL23">
        <v>55.555</v>
      </c>
      <c r="HM23">
        <v>27.885</v>
      </c>
      <c r="HN23">
        <v>23.0496</v>
      </c>
      <c r="HO23">
        <v>59.8737</v>
      </c>
      <c r="HP23">
        <v>32.0192</v>
      </c>
      <c r="HQ23">
        <v>2</v>
      </c>
      <c r="HR23">
        <v>2.12128</v>
      </c>
      <c r="HS23">
        <v>-0.140245</v>
      </c>
      <c r="HT23">
        <v>20.1261</v>
      </c>
      <c r="HU23">
        <v>5.18719</v>
      </c>
      <c r="HV23">
        <v>12.0158</v>
      </c>
      <c r="HW23">
        <v>4.96945</v>
      </c>
      <c r="HX23">
        <v>3.29497</v>
      </c>
      <c r="HY23">
        <v>999.9</v>
      </c>
      <c r="HZ23">
        <v>9999</v>
      </c>
      <c r="IA23">
        <v>9999</v>
      </c>
      <c r="IB23">
        <v>9999</v>
      </c>
      <c r="IC23">
        <v>1.86317</v>
      </c>
      <c r="ID23">
        <v>1.86813</v>
      </c>
      <c r="IE23">
        <v>1.86787</v>
      </c>
      <c r="IF23">
        <v>1.86904</v>
      </c>
      <c r="IG23">
        <v>1.8699</v>
      </c>
      <c r="IH23">
        <v>1.86587</v>
      </c>
      <c r="II23">
        <v>1.86707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3.096</v>
      </c>
      <c r="IY23">
        <v>0.1627</v>
      </c>
      <c r="IZ23">
        <v>1.12264184085783</v>
      </c>
      <c r="JA23">
        <v>0.00531519531824411</v>
      </c>
      <c r="JB23">
        <v>-1.58401274662554e-06</v>
      </c>
      <c r="JC23">
        <v>4.65529057017795e-10</v>
      </c>
      <c r="JD23">
        <v>0.162735096694976</v>
      </c>
      <c r="JE23">
        <v>0</v>
      </c>
      <c r="JF23">
        <v>0</v>
      </c>
      <c r="JG23">
        <v>0</v>
      </c>
      <c r="JH23">
        <v>4</v>
      </c>
      <c r="JI23">
        <v>2305</v>
      </c>
      <c r="JJ23">
        <v>-0</v>
      </c>
      <c r="JK23">
        <v>23</v>
      </c>
      <c r="JL23">
        <v>29373125.9</v>
      </c>
      <c r="JM23">
        <v>29373125.9</v>
      </c>
      <c r="JN23">
        <v>1.1438</v>
      </c>
      <c r="JO23">
        <v>2.60254</v>
      </c>
      <c r="JP23">
        <v>2.19849</v>
      </c>
      <c r="JQ23">
        <v>2.64038</v>
      </c>
      <c r="JR23">
        <v>2.44629</v>
      </c>
      <c r="JS23">
        <v>2.33643</v>
      </c>
      <c r="JT23">
        <v>32.4433</v>
      </c>
      <c r="JU23">
        <v>24.2013</v>
      </c>
      <c r="JV23">
        <v>18</v>
      </c>
      <c r="JW23">
        <v>493.127</v>
      </c>
      <c r="JX23">
        <v>752.146</v>
      </c>
      <c r="JY23">
        <v>52.2989</v>
      </c>
      <c r="JZ23">
        <v>51.4192</v>
      </c>
      <c r="KA23">
        <v>30.0033</v>
      </c>
      <c r="KB23">
        <v>50.6865</v>
      </c>
      <c r="KC23">
        <v>50.4391</v>
      </c>
      <c r="KD23">
        <v>22.906</v>
      </c>
      <c r="KE23">
        <v>0</v>
      </c>
      <c r="KF23">
        <v>100</v>
      </c>
      <c r="KG23">
        <v>52.247</v>
      </c>
      <c r="KH23">
        <v>420</v>
      </c>
      <c r="KI23">
        <v>67.7987</v>
      </c>
      <c r="KJ23">
        <v>93.0152</v>
      </c>
      <c r="KK23">
        <v>89.8029</v>
      </c>
    </row>
    <row r="24" spans="1:297">
      <c r="A24">
        <v>8</v>
      </c>
      <c r="B24">
        <v>1762387652.1</v>
      </c>
      <c r="C24">
        <v>707.099999904633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1762387648.6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428.94653375532</v>
      </c>
      <c r="AK24">
        <v>439.089460606061</v>
      </c>
      <c r="AL24">
        <v>-0.0207577134930921</v>
      </c>
      <c r="AM24">
        <v>64.118035756054</v>
      </c>
      <c r="AN24">
        <f>(AP24 - AO24 + DY24*1E3/(8.314*(EA24+273.15)) * AR24/DX24 * AQ24) * DX24/(100*DL24) * 1000/(1000 - AP24)</f>
        <v>0</v>
      </c>
      <c r="AO24">
        <v>21.2696242556081</v>
      </c>
      <c r="AP24">
        <v>43.3735696969697</v>
      </c>
      <c r="AQ24">
        <v>0.00536311256167948</v>
      </c>
      <c r="AR24">
        <v>97.5734174724228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5083.25</v>
      </c>
      <c r="AZ24">
        <v>1213.192</v>
      </c>
      <c r="BA24">
        <v>1734.56</v>
      </c>
      <c r="BB24">
        <f>1-AZ24/BA24</f>
        <v>0</v>
      </c>
      <c r="BC24">
        <v>-9.35236277962045</v>
      </c>
      <c r="BD24" t="s">
        <v>473</v>
      </c>
      <c r="BE24">
        <v>5096.41</v>
      </c>
      <c r="BF24">
        <v>1310.85769230769</v>
      </c>
      <c r="BG24">
        <v>1401.29101723884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1254.67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463</v>
      </c>
      <c r="CA24">
        <v>290</v>
      </c>
      <c r="CB24">
        <v>1397.71</v>
      </c>
      <c r="CC24">
        <v>275</v>
      </c>
      <c r="CD24">
        <v>5096.41</v>
      </c>
      <c r="CE24">
        <v>1399.32</v>
      </c>
      <c r="CF24">
        <v>-1.61</v>
      </c>
      <c r="CG24">
        <v>300</v>
      </c>
      <c r="CH24">
        <v>23.9</v>
      </c>
      <c r="CI24">
        <v>1401.29101723884</v>
      </c>
      <c r="CJ24">
        <v>1.57042265409892</v>
      </c>
      <c r="CK24">
        <v>-1.00353404910123</v>
      </c>
      <c r="CL24">
        <v>0.696672195031133</v>
      </c>
      <c r="CM24">
        <v>0.0689925803643094</v>
      </c>
      <c r="CN24">
        <v>-0.00409285406006675</v>
      </c>
      <c r="CO24">
        <v>290</v>
      </c>
      <c r="CP24">
        <v>1402.05</v>
      </c>
      <c r="CQ24">
        <v>785</v>
      </c>
      <c r="CR24">
        <v>5091.78</v>
      </c>
      <c r="CS24">
        <v>1399.32</v>
      </c>
      <c r="CT24">
        <v>2.73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1762387648.6</v>
      </c>
      <c r="DR24">
        <v>420.104833333333</v>
      </c>
      <c r="DS24">
        <v>419.791666666667</v>
      </c>
      <c r="DT24">
        <v>43.36005</v>
      </c>
      <c r="DU24">
        <v>21.2697166666667</v>
      </c>
      <c r="DV24">
        <v>417.007166666667</v>
      </c>
      <c r="DW24">
        <v>43.1973166666667</v>
      </c>
      <c r="DX24">
        <v>500.022166666667</v>
      </c>
      <c r="DY24">
        <v>90.8530833333333</v>
      </c>
      <c r="DZ24">
        <v>0.100032916666667</v>
      </c>
      <c r="EA24">
        <v>52.18275</v>
      </c>
      <c r="EB24">
        <v>48.0019166666667</v>
      </c>
      <c r="EC24">
        <v>999.9</v>
      </c>
      <c r="ED24">
        <v>0</v>
      </c>
      <c r="EE24">
        <v>0</v>
      </c>
      <c r="EF24">
        <v>9998.73333333333</v>
      </c>
      <c r="EG24">
        <v>0</v>
      </c>
      <c r="EH24">
        <v>1132.39</v>
      </c>
      <c r="EI24">
        <v>0.3131561</v>
      </c>
      <c r="EJ24">
        <v>439.146</v>
      </c>
      <c r="EK24">
        <v>428.9145</v>
      </c>
      <c r="EL24">
        <v>22.09035</v>
      </c>
      <c r="EM24">
        <v>419.791666666667</v>
      </c>
      <c r="EN24">
        <v>21.2697166666667</v>
      </c>
      <c r="EO24">
        <v>3.93939333333333</v>
      </c>
      <c r="EP24">
        <v>1.93241666666667</v>
      </c>
      <c r="EQ24">
        <v>28.6428166666667</v>
      </c>
      <c r="ER24">
        <v>16.9011666666667</v>
      </c>
      <c r="ES24">
        <v>150.000666666667</v>
      </c>
      <c r="ET24">
        <v>0.900064833333333</v>
      </c>
      <c r="EU24">
        <v>0.0999353666666667</v>
      </c>
      <c r="EV24">
        <v>0</v>
      </c>
      <c r="EW24">
        <v>1310.86</v>
      </c>
      <c r="EX24">
        <v>5.00059</v>
      </c>
      <c r="EY24">
        <v>2353.73666666667</v>
      </c>
      <c r="EZ24">
        <v>1231.88333333333</v>
      </c>
      <c r="FA24">
        <v>60.25</v>
      </c>
      <c r="FB24">
        <v>62.906</v>
      </c>
      <c r="FC24">
        <v>61.187</v>
      </c>
      <c r="FD24">
        <v>62.75</v>
      </c>
      <c r="FE24">
        <v>62.312</v>
      </c>
      <c r="FF24">
        <v>130.51</v>
      </c>
      <c r="FG24">
        <v>14.49</v>
      </c>
      <c r="FH24">
        <v>0</v>
      </c>
      <c r="FI24">
        <v>96.9000000953674</v>
      </c>
      <c r="FJ24">
        <v>0</v>
      </c>
      <c r="FK24">
        <v>1310.85769230769</v>
      </c>
      <c r="FL24">
        <v>0.106666669803346</v>
      </c>
      <c r="FM24">
        <v>-4.57811965621171</v>
      </c>
      <c r="FN24">
        <v>2354.04192307692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0.243347195238095</v>
      </c>
      <c r="GD24">
        <v>0.18954744935065</v>
      </c>
      <c r="GE24">
        <v>0.153290303905857</v>
      </c>
      <c r="GF24">
        <v>1</v>
      </c>
      <c r="GG24">
        <v>1310.83941176471</v>
      </c>
      <c r="GH24">
        <v>0.0733384286984358</v>
      </c>
      <c r="GI24">
        <v>0.175380949674315</v>
      </c>
      <c r="GJ24">
        <v>-1</v>
      </c>
      <c r="GK24">
        <v>22.0619666666667</v>
      </c>
      <c r="GL24">
        <v>0.195662337662404</v>
      </c>
      <c r="GM24">
        <v>0.0200246118405592</v>
      </c>
      <c r="GN24">
        <v>0</v>
      </c>
      <c r="GO24">
        <v>1</v>
      </c>
      <c r="GP24">
        <v>2</v>
      </c>
      <c r="GQ24" t="s">
        <v>454</v>
      </c>
      <c r="GR24">
        <v>3.12625</v>
      </c>
      <c r="GS24">
        <v>2.77806</v>
      </c>
      <c r="GT24">
        <v>0.0848493</v>
      </c>
      <c r="GU24">
        <v>0.0853549</v>
      </c>
      <c r="GV24">
        <v>0.149778</v>
      </c>
      <c r="GW24">
        <v>0.0906324</v>
      </c>
      <c r="GX24">
        <v>32886.7</v>
      </c>
      <c r="GY24">
        <v>34795.9</v>
      </c>
      <c r="GZ24">
        <v>32635</v>
      </c>
      <c r="HA24">
        <v>34568.3</v>
      </c>
      <c r="HB24">
        <v>39673</v>
      </c>
      <c r="HC24">
        <v>45266</v>
      </c>
      <c r="HD24">
        <v>51231.8</v>
      </c>
      <c r="HE24">
        <v>55390</v>
      </c>
      <c r="HF24">
        <v>1.69597</v>
      </c>
      <c r="HG24">
        <v>2.00875</v>
      </c>
      <c r="HH24">
        <v>-0.193939</v>
      </c>
      <c r="HI24">
        <v>0</v>
      </c>
      <c r="HJ24">
        <v>51.0901</v>
      </c>
      <c r="HK24">
        <v>999.9</v>
      </c>
      <c r="HL24">
        <v>55.506</v>
      </c>
      <c r="HM24">
        <v>27.906</v>
      </c>
      <c r="HN24">
        <v>23.0567</v>
      </c>
      <c r="HO24">
        <v>60.0228</v>
      </c>
      <c r="HP24">
        <v>31.875</v>
      </c>
      <c r="HQ24">
        <v>2</v>
      </c>
      <c r="HR24">
        <v>2.18696</v>
      </c>
      <c r="HS24">
        <v>-0.75073</v>
      </c>
      <c r="HT24">
        <v>20.1256</v>
      </c>
      <c r="HU24">
        <v>5.18974</v>
      </c>
      <c r="HV24">
        <v>12.0159</v>
      </c>
      <c r="HW24">
        <v>4.9694</v>
      </c>
      <c r="HX24">
        <v>3.295</v>
      </c>
      <c r="HY24">
        <v>999.9</v>
      </c>
      <c r="HZ24">
        <v>9999</v>
      </c>
      <c r="IA24">
        <v>9999</v>
      </c>
      <c r="IB24">
        <v>9999</v>
      </c>
      <c r="IC24">
        <v>1.86322</v>
      </c>
      <c r="ID24">
        <v>1.86813</v>
      </c>
      <c r="IE24">
        <v>1.86789</v>
      </c>
      <c r="IF24">
        <v>1.86904</v>
      </c>
      <c r="IG24">
        <v>1.86988</v>
      </c>
      <c r="IH24">
        <v>1.86588</v>
      </c>
      <c r="II24">
        <v>1.86707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3.097</v>
      </c>
      <c r="IY24">
        <v>0.1627</v>
      </c>
      <c r="IZ24">
        <v>1.12264184085783</v>
      </c>
      <c r="JA24">
        <v>0.00531519531824411</v>
      </c>
      <c r="JB24">
        <v>-1.58401274662554e-06</v>
      </c>
      <c r="JC24">
        <v>4.65529057017795e-10</v>
      </c>
      <c r="JD24">
        <v>0.162735096694976</v>
      </c>
      <c r="JE24">
        <v>0</v>
      </c>
      <c r="JF24">
        <v>0</v>
      </c>
      <c r="JG24">
        <v>0</v>
      </c>
      <c r="JH24">
        <v>4</v>
      </c>
      <c r="JI24">
        <v>2305</v>
      </c>
      <c r="JJ24">
        <v>-0</v>
      </c>
      <c r="JK24">
        <v>23</v>
      </c>
      <c r="JL24">
        <v>29373127.5</v>
      </c>
      <c r="JM24">
        <v>29373127.5</v>
      </c>
      <c r="JN24">
        <v>1.14014</v>
      </c>
      <c r="JO24">
        <v>2.59766</v>
      </c>
      <c r="JP24">
        <v>2.19849</v>
      </c>
      <c r="JQ24">
        <v>2.64038</v>
      </c>
      <c r="JR24">
        <v>2.44629</v>
      </c>
      <c r="JS24">
        <v>2.36206</v>
      </c>
      <c r="JT24">
        <v>32.4433</v>
      </c>
      <c r="JU24">
        <v>24.2013</v>
      </c>
      <c r="JV24">
        <v>18</v>
      </c>
      <c r="JW24">
        <v>491.727</v>
      </c>
      <c r="JX24">
        <v>749.045</v>
      </c>
      <c r="JY24">
        <v>52.2786</v>
      </c>
      <c r="JZ24">
        <v>52.0605</v>
      </c>
      <c r="KA24">
        <v>30.0032</v>
      </c>
      <c r="KB24">
        <v>51.2786</v>
      </c>
      <c r="KC24">
        <v>51.0165</v>
      </c>
      <c r="KD24">
        <v>22.8526</v>
      </c>
      <c r="KE24">
        <v>0</v>
      </c>
      <c r="KF24">
        <v>100</v>
      </c>
      <c r="KG24">
        <v>52.2893</v>
      </c>
      <c r="KH24">
        <v>420</v>
      </c>
      <c r="KI24">
        <v>67.7987</v>
      </c>
      <c r="KJ24">
        <v>92.9004</v>
      </c>
      <c r="KK24">
        <v>89.6553</v>
      </c>
    </row>
    <row r="25" spans="1:297">
      <c r="A25">
        <v>9</v>
      </c>
      <c r="B25">
        <v>1762387723.1</v>
      </c>
      <c r="C25">
        <v>778.099999904633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1762387719.6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429.541580949601</v>
      </c>
      <c r="AK25">
        <v>439.689818181818</v>
      </c>
      <c r="AL25">
        <v>-0.00130201883717457</v>
      </c>
      <c r="AM25">
        <v>64.118035756054</v>
      </c>
      <c r="AN25">
        <f>(AP25 - AO25 + DY25*1E3/(8.314*(EA25+273.15)) * AR25/DX25 * AQ25) * DX25/(100*DL25) * 1000/(1000 - AP25)</f>
        <v>0</v>
      </c>
      <c r="AO25">
        <v>21.2626135557699</v>
      </c>
      <c r="AP25">
        <v>43.3614715151515</v>
      </c>
      <c r="AQ25">
        <v>-0.000247133827439121</v>
      </c>
      <c r="AR25">
        <v>97.5734174724228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477</v>
      </c>
      <c r="AY25" t="s">
        <v>477</v>
      </c>
      <c r="AZ25">
        <v>0</v>
      </c>
      <c r="BA25">
        <v>0</v>
      </c>
      <c r="BB25">
        <f>1-AZ25/BA25</f>
        <v>0</v>
      </c>
      <c r="BC25">
        <v>0</v>
      </c>
      <c r="BD25" t="s">
        <v>477</v>
      </c>
      <c r="BE25" t="s">
        <v>477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463</v>
      </c>
      <c r="CA25">
        <v>290</v>
      </c>
      <c r="CB25">
        <v>1397.71</v>
      </c>
      <c r="CC25">
        <v>275</v>
      </c>
      <c r="CD25">
        <v>5096.41</v>
      </c>
      <c r="CE25">
        <v>1399.32</v>
      </c>
      <c r="CF25">
        <v>-1.61</v>
      </c>
      <c r="CG25">
        <v>300</v>
      </c>
      <c r="CH25">
        <v>23.9</v>
      </c>
      <c r="CI25">
        <v>1401.29101723884</v>
      </c>
      <c r="CJ25">
        <v>1.57042265409892</v>
      </c>
      <c r="CK25">
        <v>-1.00353404910123</v>
      </c>
      <c r="CL25">
        <v>0.696672195031133</v>
      </c>
      <c r="CM25">
        <v>0.0689925803643094</v>
      </c>
      <c r="CN25">
        <v>-0.00409285406006675</v>
      </c>
      <c r="CO25">
        <v>290</v>
      </c>
      <c r="CP25">
        <v>1402.05</v>
      </c>
      <c r="CQ25">
        <v>785</v>
      </c>
      <c r="CR25">
        <v>5091.78</v>
      </c>
      <c r="CS25">
        <v>1399.32</v>
      </c>
      <c r="CT25">
        <v>2.73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1762387719.6</v>
      </c>
      <c r="DR25">
        <v>420.636</v>
      </c>
      <c r="DS25">
        <v>420.262833333333</v>
      </c>
      <c r="DT25">
        <v>43.3663666666667</v>
      </c>
      <c r="DU25">
        <v>21.2628</v>
      </c>
      <c r="DV25">
        <v>417.536666666667</v>
      </c>
      <c r="DW25">
        <v>43.2036333333333</v>
      </c>
      <c r="DX25">
        <v>499.986333333333</v>
      </c>
      <c r="DY25">
        <v>90.8549666666667</v>
      </c>
      <c r="DZ25">
        <v>0.10003295</v>
      </c>
      <c r="EA25">
        <v>52.24295</v>
      </c>
      <c r="EB25">
        <v>48.1023833333333</v>
      </c>
      <c r="EC25">
        <v>999.9</v>
      </c>
      <c r="ED25">
        <v>0</v>
      </c>
      <c r="EE25">
        <v>0</v>
      </c>
      <c r="EF25">
        <v>10004.3666666667</v>
      </c>
      <c r="EG25">
        <v>0</v>
      </c>
      <c r="EH25">
        <v>1131.54</v>
      </c>
      <c r="EI25">
        <v>0.373290888333333</v>
      </c>
      <c r="EJ25">
        <v>439.704333333333</v>
      </c>
      <c r="EK25">
        <v>429.393166666667</v>
      </c>
      <c r="EL25">
        <v>22.10355</v>
      </c>
      <c r="EM25">
        <v>420.262833333333</v>
      </c>
      <c r="EN25">
        <v>21.2628</v>
      </c>
      <c r="EO25">
        <v>3.94004833333333</v>
      </c>
      <c r="EP25">
        <v>1.93183166666667</v>
      </c>
      <c r="EQ25">
        <v>28.6457</v>
      </c>
      <c r="ER25">
        <v>16.8964166666667</v>
      </c>
      <c r="ES25">
        <v>50.01225</v>
      </c>
      <c r="ET25">
        <v>0.900261666666667</v>
      </c>
      <c r="EU25">
        <v>0.0997385833333333</v>
      </c>
      <c r="EV25">
        <v>0</v>
      </c>
      <c r="EW25">
        <v>1285.11666666667</v>
      </c>
      <c r="EX25">
        <v>5.00059</v>
      </c>
      <c r="EY25">
        <v>988.493666666667</v>
      </c>
      <c r="EZ25">
        <v>382.430666666667</v>
      </c>
      <c r="FA25">
        <v>60.1456666666667</v>
      </c>
      <c r="FB25">
        <v>63</v>
      </c>
      <c r="FC25">
        <v>61.125</v>
      </c>
      <c r="FD25">
        <v>62.875</v>
      </c>
      <c r="FE25">
        <v>62.25</v>
      </c>
      <c r="FF25">
        <v>40.5216666666667</v>
      </c>
      <c r="FG25">
        <v>4.49</v>
      </c>
      <c r="FH25">
        <v>0</v>
      </c>
      <c r="FI25">
        <v>66.7000000476837</v>
      </c>
      <c r="FJ25">
        <v>0</v>
      </c>
      <c r="FK25">
        <v>1284.96384615385</v>
      </c>
      <c r="FL25">
        <v>2.622905979478</v>
      </c>
      <c r="FM25">
        <v>-2.31176073709467</v>
      </c>
      <c r="FN25">
        <v>988.520346153846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0.3027587665</v>
      </c>
      <c r="GD25">
        <v>-0.43163091924812</v>
      </c>
      <c r="GE25">
        <v>0.343824732827337</v>
      </c>
      <c r="GF25">
        <v>1</v>
      </c>
      <c r="GG25">
        <v>1284.80764705882</v>
      </c>
      <c r="GH25">
        <v>1.7097020662405</v>
      </c>
      <c r="GI25">
        <v>0.215489304000021</v>
      </c>
      <c r="GJ25">
        <v>-1</v>
      </c>
      <c r="GK25">
        <v>22.104925</v>
      </c>
      <c r="GL25">
        <v>-0.04740000000001</v>
      </c>
      <c r="GM25">
        <v>0.0066759175399343</v>
      </c>
      <c r="GN25">
        <v>1</v>
      </c>
      <c r="GO25">
        <v>2</v>
      </c>
      <c r="GP25">
        <v>2</v>
      </c>
      <c r="GQ25" t="s">
        <v>478</v>
      </c>
      <c r="GR25">
        <v>3.12615</v>
      </c>
      <c r="GS25">
        <v>2.77794</v>
      </c>
      <c r="GT25">
        <v>0.0848517</v>
      </c>
      <c r="GU25">
        <v>0.0852721</v>
      </c>
      <c r="GV25">
        <v>0.149642</v>
      </c>
      <c r="GW25">
        <v>0.0905275</v>
      </c>
      <c r="GX25">
        <v>32850.9</v>
      </c>
      <c r="GY25">
        <v>34753.1</v>
      </c>
      <c r="GZ25">
        <v>32602</v>
      </c>
      <c r="HA25">
        <v>34525.2</v>
      </c>
      <c r="HB25">
        <v>39650.7</v>
      </c>
      <c r="HC25">
        <v>45218.8</v>
      </c>
      <c r="HD25">
        <v>51188.7</v>
      </c>
      <c r="HE25">
        <v>55325.9</v>
      </c>
      <c r="HF25">
        <v>1.69095</v>
      </c>
      <c r="HG25">
        <v>2.00255</v>
      </c>
      <c r="HH25">
        <v>-0.205524</v>
      </c>
      <c r="HI25">
        <v>0</v>
      </c>
      <c r="HJ25">
        <v>51.3099</v>
      </c>
      <c r="HK25">
        <v>999.9</v>
      </c>
      <c r="HL25">
        <v>55.488</v>
      </c>
      <c r="HM25">
        <v>27.916</v>
      </c>
      <c r="HN25">
        <v>23.064</v>
      </c>
      <c r="HO25">
        <v>59.8828</v>
      </c>
      <c r="HP25">
        <v>31.7228</v>
      </c>
      <c r="HQ25">
        <v>2</v>
      </c>
      <c r="HR25">
        <v>2.23677</v>
      </c>
      <c r="HS25">
        <v>0.34281</v>
      </c>
      <c r="HT25">
        <v>20.1272</v>
      </c>
      <c r="HU25">
        <v>5.18719</v>
      </c>
      <c r="HV25">
        <v>12.0159</v>
      </c>
      <c r="HW25">
        <v>4.9691</v>
      </c>
      <c r="HX25">
        <v>3.295</v>
      </c>
      <c r="HY25">
        <v>999.9</v>
      </c>
      <c r="HZ25">
        <v>9999</v>
      </c>
      <c r="IA25">
        <v>9999</v>
      </c>
      <c r="IB25">
        <v>9999</v>
      </c>
      <c r="IC25">
        <v>1.86316</v>
      </c>
      <c r="ID25">
        <v>1.86813</v>
      </c>
      <c r="IE25">
        <v>1.86788</v>
      </c>
      <c r="IF25">
        <v>1.86899</v>
      </c>
      <c r="IG25">
        <v>1.86984</v>
      </c>
      <c r="IH25">
        <v>1.86588</v>
      </c>
      <c r="II25">
        <v>1.86707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3.099</v>
      </c>
      <c r="IY25">
        <v>0.1628</v>
      </c>
      <c r="IZ25">
        <v>1.12264184085783</v>
      </c>
      <c r="JA25">
        <v>0.00531519531824411</v>
      </c>
      <c r="JB25">
        <v>-1.58401274662554e-06</v>
      </c>
      <c r="JC25">
        <v>4.65529057017795e-10</v>
      </c>
      <c r="JD25">
        <v>0.162735096694976</v>
      </c>
      <c r="JE25">
        <v>0</v>
      </c>
      <c r="JF25">
        <v>0</v>
      </c>
      <c r="JG25">
        <v>0</v>
      </c>
      <c r="JH25">
        <v>4</v>
      </c>
      <c r="JI25">
        <v>2305</v>
      </c>
      <c r="JJ25">
        <v>-0</v>
      </c>
      <c r="JK25">
        <v>23</v>
      </c>
      <c r="JL25">
        <v>29373128.7</v>
      </c>
      <c r="JM25">
        <v>29373128.7</v>
      </c>
      <c r="JN25">
        <v>1.14014</v>
      </c>
      <c r="JO25">
        <v>2.6062</v>
      </c>
      <c r="JP25">
        <v>2.19849</v>
      </c>
      <c r="JQ25">
        <v>2.64038</v>
      </c>
      <c r="JR25">
        <v>2.44507</v>
      </c>
      <c r="JS25">
        <v>2.26685</v>
      </c>
      <c r="JT25">
        <v>32.4433</v>
      </c>
      <c r="JU25">
        <v>24.1926</v>
      </c>
      <c r="JV25">
        <v>18</v>
      </c>
      <c r="JW25">
        <v>490.64</v>
      </c>
      <c r="JX25">
        <v>746.986</v>
      </c>
      <c r="JY25">
        <v>51.7451</v>
      </c>
      <c r="JZ25">
        <v>52.5324</v>
      </c>
      <c r="KA25">
        <v>30.0034</v>
      </c>
      <c r="KB25">
        <v>51.719</v>
      </c>
      <c r="KC25">
        <v>51.4498</v>
      </c>
      <c r="KD25">
        <v>22.8286</v>
      </c>
      <c r="KE25">
        <v>0</v>
      </c>
      <c r="KF25">
        <v>100</v>
      </c>
      <c r="KG25">
        <v>51.6917</v>
      </c>
      <c r="KH25">
        <v>420</v>
      </c>
      <c r="KI25">
        <v>67.7987</v>
      </c>
      <c r="KJ25">
        <v>92.8161</v>
      </c>
      <c r="KK25">
        <v>89.5484</v>
      </c>
    </row>
    <row r="26" spans="1:297">
      <c r="A26">
        <v>10</v>
      </c>
      <c r="B26">
        <v>1762387786.1</v>
      </c>
      <c r="C26">
        <v>841.099999904633</v>
      </c>
      <c r="D26" t="s">
        <v>479</v>
      </c>
      <c r="E26" t="s">
        <v>480</v>
      </c>
      <c r="F26">
        <v>5</v>
      </c>
      <c r="G26" t="s">
        <v>435</v>
      </c>
      <c r="H26" t="s">
        <v>436</v>
      </c>
      <c r="I26">
        <v>1762387782.6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429.47858577574</v>
      </c>
      <c r="AK26">
        <v>440.108345454545</v>
      </c>
      <c r="AL26">
        <v>0.0380417891049934</v>
      </c>
      <c r="AM26">
        <v>64.118035756054</v>
      </c>
      <c r="AN26">
        <f>(AP26 - AO26 + DY26*1E3/(8.314*(EA26+273.15)) * AR26/DX26 * AQ26) * DX26/(100*DL26) * 1000/(1000 - AP26)</f>
        <v>0</v>
      </c>
      <c r="AO26">
        <v>21.2656574078535</v>
      </c>
      <c r="AP26">
        <v>43.4282751515151</v>
      </c>
      <c r="AQ26">
        <v>0.00634723923204439</v>
      </c>
      <c r="AR26">
        <v>97.5734174724228</v>
      </c>
      <c r="AS26">
        <v>2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481</v>
      </c>
      <c r="AY26">
        <v>5085.19</v>
      </c>
      <c r="AZ26">
        <v>1286.83461538462</v>
      </c>
      <c r="BA26">
        <v>1548.88</v>
      </c>
      <c r="BB26">
        <f>1-AZ26/BA26</f>
        <v>0</v>
      </c>
      <c r="BC26">
        <v>-8.80316614666496</v>
      </c>
      <c r="BD26" t="s">
        <v>477</v>
      </c>
      <c r="BE26" t="s">
        <v>477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477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465</v>
      </c>
      <c r="CA26">
        <v>290</v>
      </c>
      <c r="CB26">
        <v>1548.88</v>
      </c>
      <c r="CC26">
        <v>285</v>
      </c>
      <c r="CD26">
        <v>5085.19</v>
      </c>
      <c r="CE26">
        <v>1550.61</v>
      </c>
      <c r="CF26">
        <v>-1.73</v>
      </c>
      <c r="CG26">
        <v>300</v>
      </c>
      <c r="CH26">
        <v>23.9</v>
      </c>
      <c r="CI26">
        <v>1546.89367555824</v>
      </c>
      <c r="CJ26">
        <v>1.41671402191723</v>
      </c>
      <c r="CK26">
        <v>1.89004881137519</v>
      </c>
      <c r="CL26">
        <v>0.624146138937367</v>
      </c>
      <c r="CM26">
        <v>0.246706098400973</v>
      </c>
      <c r="CN26">
        <v>-0.00420544115684094</v>
      </c>
      <c r="CO26">
        <v>290</v>
      </c>
      <c r="CP26">
        <v>1557.54</v>
      </c>
      <c r="CQ26">
        <v>785</v>
      </c>
      <c r="CR26">
        <v>5080.73</v>
      </c>
      <c r="CS26">
        <v>1550.61</v>
      </c>
      <c r="CT26">
        <v>6.93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1762387782.6</v>
      </c>
      <c r="DR26">
        <v>420.912333333333</v>
      </c>
      <c r="DS26">
        <v>420.338</v>
      </c>
      <c r="DT26">
        <v>43.4125166666667</v>
      </c>
      <c r="DU26">
        <v>21.2657166666667</v>
      </c>
      <c r="DV26">
        <v>417.811333333333</v>
      </c>
      <c r="DW26">
        <v>43.2497833333333</v>
      </c>
      <c r="DX26">
        <v>499.986833333333</v>
      </c>
      <c r="DY26">
        <v>90.86535</v>
      </c>
      <c r="DZ26">
        <v>0.0999936666666667</v>
      </c>
      <c r="EA26">
        <v>52.2516333333333</v>
      </c>
      <c r="EB26">
        <v>47.9756666666667</v>
      </c>
      <c r="EC26">
        <v>999.9</v>
      </c>
      <c r="ED26">
        <v>0</v>
      </c>
      <c r="EE26">
        <v>0</v>
      </c>
      <c r="EF26">
        <v>9993.125</v>
      </c>
      <c r="EG26">
        <v>0</v>
      </c>
      <c r="EH26">
        <v>1130.12166666667</v>
      </c>
      <c r="EI26">
        <v>0.574127166666667</v>
      </c>
      <c r="EJ26">
        <v>440.014333333333</v>
      </c>
      <c r="EK26">
        <v>429.471166666667</v>
      </c>
      <c r="EL26">
        <v>22.14685</v>
      </c>
      <c r="EM26">
        <v>420.338</v>
      </c>
      <c r="EN26">
        <v>21.2657166666667</v>
      </c>
      <c r="EO26">
        <v>3.94469333333333</v>
      </c>
      <c r="EP26">
        <v>1.93231166666667</v>
      </c>
      <c r="EQ26">
        <v>28.6659833333333</v>
      </c>
      <c r="ER26">
        <v>16.90035</v>
      </c>
      <c r="ES26">
        <v>0.00500059</v>
      </c>
      <c r="ET26">
        <v>0</v>
      </c>
      <c r="EU26">
        <v>0</v>
      </c>
      <c r="EV26">
        <v>0</v>
      </c>
      <c r="EW26">
        <v>1289.16666666667</v>
      </c>
      <c r="EX26">
        <v>0.00500059</v>
      </c>
      <c r="EY26">
        <v>387.966666666667</v>
      </c>
      <c r="EZ26">
        <v>5.6</v>
      </c>
      <c r="FA26">
        <v>59.937</v>
      </c>
      <c r="FB26">
        <v>63.031</v>
      </c>
      <c r="FC26">
        <v>61.104</v>
      </c>
      <c r="FD26">
        <v>62.875</v>
      </c>
      <c r="FE26">
        <v>62</v>
      </c>
      <c r="FF26">
        <v>0</v>
      </c>
      <c r="FG26">
        <v>0</v>
      </c>
      <c r="FH26">
        <v>0</v>
      </c>
      <c r="FI26">
        <v>130.200000047684</v>
      </c>
      <c r="FJ26">
        <v>0</v>
      </c>
      <c r="FK26">
        <v>1286.83461538462</v>
      </c>
      <c r="FL26">
        <v>1.54187994861652</v>
      </c>
      <c r="FM26">
        <v>8.64273528932607</v>
      </c>
      <c r="FN26">
        <v>385.192307692308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0.627275761904762</v>
      </c>
      <c r="GD26">
        <v>-0.363713376623375</v>
      </c>
      <c r="GE26">
        <v>0.0785042395439372</v>
      </c>
      <c r="GF26">
        <v>1</v>
      </c>
      <c r="GG26">
        <v>1285.57941176471</v>
      </c>
      <c r="GH26">
        <v>19.6195566733632</v>
      </c>
      <c r="GI26">
        <v>5.75171480372517</v>
      </c>
      <c r="GJ26">
        <v>-1</v>
      </c>
      <c r="GK26">
        <v>22.1284571428571</v>
      </c>
      <c r="GL26">
        <v>0.0696623376623811</v>
      </c>
      <c r="GM26">
        <v>0.0106150643821285</v>
      </c>
      <c r="GN26">
        <v>1</v>
      </c>
      <c r="GO26">
        <v>2</v>
      </c>
      <c r="GP26">
        <v>2</v>
      </c>
      <c r="GQ26" t="s">
        <v>478</v>
      </c>
      <c r="GR26">
        <v>3.1259</v>
      </c>
      <c r="GS26">
        <v>2.77813</v>
      </c>
      <c r="GT26">
        <v>0.0848511</v>
      </c>
      <c r="GU26">
        <v>0.0852674</v>
      </c>
      <c r="GV26">
        <v>0.149684</v>
      </c>
      <c r="GW26">
        <v>0.090465</v>
      </c>
      <c r="GX26">
        <v>32819.5</v>
      </c>
      <c r="GY26">
        <v>34711</v>
      </c>
      <c r="GZ26">
        <v>32573</v>
      </c>
      <c r="HA26">
        <v>34485.4</v>
      </c>
      <c r="HB26">
        <v>39623.9</v>
      </c>
      <c r="HC26">
        <v>45174.1</v>
      </c>
      <c r="HD26">
        <v>51150.2</v>
      </c>
      <c r="HE26">
        <v>55267.3</v>
      </c>
      <c r="HF26">
        <v>1.68635</v>
      </c>
      <c r="HG26">
        <v>1.99695</v>
      </c>
      <c r="HH26">
        <v>-0.222467</v>
      </c>
      <c r="HI26">
        <v>0</v>
      </c>
      <c r="HJ26">
        <v>51.4767</v>
      </c>
      <c r="HK26">
        <v>999.9</v>
      </c>
      <c r="HL26">
        <v>55.488</v>
      </c>
      <c r="HM26">
        <v>27.916</v>
      </c>
      <c r="HN26">
        <v>23.0599</v>
      </c>
      <c r="HO26">
        <v>60.1828</v>
      </c>
      <c r="HP26">
        <v>31.6667</v>
      </c>
      <c r="HQ26">
        <v>2</v>
      </c>
      <c r="HR26">
        <v>2.27993</v>
      </c>
      <c r="HS26">
        <v>-0.247013</v>
      </c>
      <c r="HT26">
        <v>20.1281</v>
      </c>
      <c r="HU26">
        <v>5.18704</v>
      </c>
      <c r="HV26">
        <v>12.0159</v>
      </c>
      <c r="HW26">
        <v>4.96925</v>
      </c>
      <c r="HX26">
        <v>3.29505</v>
      </c>
      <c r="HY26">
        <v>999.9</v>
      </c>
      <c r="HZ26">
        <v>9999</v>
      </c>
      <c r="IA26">
        <v>9999</v>
      </c>
      <c r="IB26">
        <v>9999</v>
      </c>
      <c r="IC26">
        <v>1.86318</v>
      </c>
      <c r="ID26">
        <v>1.86813</v>
      </c>
      <c r="IE26">
        <v>1.86791</v>
      </c>
      <c r="IF26">
        <v>1.86902</v>
      </c>
      <c r="IG26">
        <v>1.86987</v>
      </c>
      <c r="IH26">
        <v>1.86589</v>
      </c>
      <c r="II26">
        <v>1.86707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3.101</v>
      </c>
      <c r="IY26">
        <v>0.1628</v>
      </c>
      <c r="IZ26">
        <v>1.12264184085783</v>
      </c>
      <c r="JA26">
        <v>0.00531519531824411</v>
      </c>
      <c r="JB26">
        <v>-1.58401274662554e-06</v>
      </c>
      <c r="JC26">
        <v>4.65529057017795e-10</v>
      </c>
      <c r="JD26">
        <v>0.162735096694976</v>
      </c>
      <c r="JE26">
        <v>0</v>
      </c>
      <c r="JF26">
        <v>0</v>
      </c>
      <c r="JG26">
        <v>0</v>
      </c>
      <c r="JH26">
        <v>4</v>
      </c>
      <c r="JI26">
        <v>2305</v>
      </c>
      <c r="JJ26">
        <v>-0</v>
      </c>
      <c r="JK26">
        <v>23</v>
      </c>
      <c r="JL26">
        <v>29373129.8</v>
      </c>
      <c r="JM26">
        <v>29373129.8</v>
      </c>
      <c r="JN26">
        <v>1.14014</v>
      </c>
      <c r="JO26">
        <v>2.60132</v>
      </c>
      <c r="JP26">
        <v>2.19849</v>
      </c>
      <c r="JQ26">
        <v>2.64038</v>
      </c>
      <c r="JR26">
        <v>2.44507</v>
      </c>
      <c r="JS26">
        <v>2.32178</v>
      </c>
      <c r="JT26">
        <v>32.4433</v>
      </c>
      <c r="JU26">
        <v>24.2013</v>
      </c>
      <c r="JV26">
        <v>18</v>
      </c>
      <c r="JW26">
        <v>489.634</v>
      </c>
      <c r="JX26">
        <v>745.145</v>
      </c>
      <c r="JY26">
        <v>52.0097</v>
      </c>
      <c r="JZ26">
        <v>52.9663</v>
      </c>
      <c r="KA26">
        <v>30.0036</v>
      </c>
      <c r="KB26">
        <v>52.1239</v>
      </c>
      <c r="KC26">
        <v>51.8464</v>
      </c>
      <c r="KD26">
        <v>22.8493</v>
      </c>
      <c r="KE26">
        <v>0</v>
      </c>
      <c r="KF26">
        <v>100</v>
      </c>
      <c r="KG26">
        <v>52.0555</v>
      </c>
      <c r="KH26">
        <v>420</v>
      </c>
      <c r="KI26">
        <v>67.7987</v>
      </c>
      <c r="KJ26">
        <v>92.7414</v>
      </c>
      <c r="KK26">
        <v>89.4503</v>
      </c>
    </row>
    <row r="27" spans="1:297">
      <c r="A27">
        <v>11</v>
      </c>
      <c r="B27">
        <v>1762388430.1</v>
      </c>
      <c r="C27">
        <v>1485.09999990463</v>
      </c>
      <c r="D27" t="s">
        <v>482</v>
      </c>
      <c r="E27" t="s">
        <v>483</v>
      </c>
      <c r="F27">
        <v>5</v>
      </c>
      <c r="G27" t="s">
        <v>484</v>
      </c>
      <c r="H27" t="s">
        <v>436</v>
      </c>
      <c r="I27">
        <v>1762388426.6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429.153386554711</v>
      </c>
      <c r="AK27">
        <v>429.862315151515</v>
      </c>
      <c r="AL27">
        <v>0.000741612049826826</v>
      </c>
      <c r="AM27">
        <v>64.2521179558838</v>
      </c>
      <c r="AN27">
        <f>(AP27 - AO27 + DY27*1E3/(8.314*(EA27+273.15)) * AR27/DX27 * AQ27) * DX27/(100*DL27) * 1000/(1000 - AP27)</f>
        <v>0</v>
      </c>
      <c r="AO27">
        <v>21.3292488675031</v>
      </c>
      <c r="AP27">
        <v>39.7589206060606</v>
      </c>
      <c r="AQ27">
        <v>1.35550542592663e-05</v>
      </c>
      <c r="AR27">
        <v>97.0751396333885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481</v>
      </c>
      <c r="AY27">
        <v>5085.19</v>
      </c>
      <c r="AZ27">
        <v>1286.83461538462</v>
      </c>
      <c r="BA27">
        <v>1548.88</v>
      </c>
      <c r="BB27">
        <f>1-AZ27/BA27</f>
        <v>0</v>
      </c>
      <c r="BC27">
        <v>-8.80316614666496</v>
      </c>
      <c r="BD27" t="s">
        <v>485</v>
      </c>
      <c r="BE27">
        <v>5086.73</v>
      </c>
      <c r="BF27">
        <v>943.61912</v>
      </c>
      <c r="BG27">
        <v>1029.1810157438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486</v>
      </c>
      <c r="BQ27">
        <v>720.2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466</v>
      </c>
      <c r="CA27">
        <v>290</v>
      </c>
      <c r="CB27">
        <v>988.16</v>
      </c>
      <c r="CC27">
        <v>205</v>
      </c>
      <c r="CD27">
        <v>5086.73</v>
      </c>
      <c r="CE27">
        <v>987.57</v>
      </c>
      <c r="CF27">
        <v>0.59</v>
      </c>
      <c r="CG27">
        <v>300</v>
      </c>
      <c r="CH27">
        <v>23.9</v>
      </c>
      <c r="CI27">
        <v>1029.1810157438</v>
      </c>
      <c r="CJ27">
        <v>2.28306589418962</v>
      </c>
      <c r="CK27">
        <v>-21.1650585504488</v>
      </c>
      <c r="CL27">
        <v>1.06986087440709</v>
      </c>
      <c r="CM27">
        <v>0.933232724795415</v>
      </c>
      <c r="CN27">
        <v>-0.00254187319243604</v>
      </c>
      <c r="CO27">
        <v>290</v>
      </c>
      <c r="CP27">
        <v>986.38</v>
      </c>
      <c r="CQ27">
        <v>785</v>
      </c>
      <c r="CR27">
        <v>5082.28</v>
      </c>
      <c r="CS27">
        <v>987.54</v>
      </c>
      <c r="CT27">
        <v>-1.16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1762388426.6</v>
      </c>
      <c r="DR27">
        <v>412.762</v>
      </c>
      <c r="DS27">
        <v>420.000166666667</v>
      </c>
      <c r="DT27">
        <v>39.7597</v>
      </c>
      <c r="DU27">
        <v>21.3292</v>
      </c>
      <c r="DV27">
        <v>409.6955</v>
      </c>
      <c r="DW27">
        <v>39.597</v>
      </c>
      <c r="DX27">
        <v>500.013</v>
      </c>
      <c r="DY27">
        <v>90.8596166666667</v>
      </c>
      <c r="DZ27">
        <v>0.100014016666667</v>
      </c>
      <c r="EA27">
        <v>49.9721333333333</v>
      </c>
      <c r="EB27">
        <v>47.7297333333333</v>
      </c>
      <c r="EC27">
        <v>999.9</v>
      </c>
      <c r="ED27">
        <v>0</v>
      </c>
      <c r="EE27">
        <v>0</v>
      </c>
      <c r="EF27">
        <v>10000.6083333333</v>
      </c>
      <c r="EG27">
        <v>0</v>
      </c>
      <c r="EH27">
        <v>1155.93</v>
      </c>
      <c r="EI27">
        <v>-7.238305</v>
      </c>
      <c r="EJ27">
        <v>429.852833333333</v>
      </c>
      <c r="EK27">
        <v>429.153833333333</v>
      </c>
      <c r="EL27">
        <v>18.4305333333333</v>
      </c>
      <c r="EM27">
        <v>420.000166666667</v>
      </c>
      <c r="EN27">
        <v>21.3292</v>
      </c>
      <c r="EO27">
        <v>3.61255333333333</v>
      </c>
      <c r="EP27">
        <v>1.93796333333333</v>
      </c>
      <c r="EQ27">
        <v>27.1582</v>
      </c>
      <c r="ER27">
        <v>16.94635</v>
      </c>
      <c r="ES27">
        <v>1999.99</v>
      </c>
      <c r="ET27">
        <v>0.9800025</v>
      </c>
      <c r="EU27">
        <v>0.0199971</v>
      </c>
      <c r="EV27">
        <v>0</v>
      </c>
      <c r="EW27">
        <v>943.381333333333</v>
      </c>
      <c r="EX27">
        <v>5.00059</v>
      </c>
      <c r="EY27">
        <v>20154.4166666667</v>
      </c>
      <c r="EZ27">
        <v>17360.2666666667</v>
      </c>
      <c r="FA27">
        <v>60.4685</v>
      </c>
      <c r="FB27">
        <v>60.531</v>
      </c>
      <c r="FC27">
        <v>59.75</v>
      </c>
      <c r="FD27">
        <v>60.375</v>
      </c>
      <c r="FE27">
        <v>61.562</v>
      </c>
      <c r="FF27">
        <v>1955.09</v>
      </c>
      <c r="FG27">
        <v>39.89</v>
      </c>
      <c r="FH27">
        <v>0</v>
      </c>
      <c r="FI27">
        <v>641.899999856949</v>
      </c>
      <c r="FJ27">
        <v>0</v>
      </c>
      <c r="FK27">
        <v>943.61912</v>
      </c>
      <c r="FL27">
        <v>-4.77253846594702</v>
      </c>
      <c r="FM27">
        <v>-77.9615386326006</v>
      </c>
      <c r="FN27">
        <v>20159.4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-7.25944047619048</v>
      </c>
      <c r="GD27">
        <v>-0.272597142857151</v>
      </c>
      <c r="GE27">
        <v>0.072285440243536</v>
      </c>
      <c r="GF27">
        <v>1</v>
      </c>
      <c r="GG27">
        <v>944.045235294118</v>
      </c>
      <c r="GH27">
        <v>-5.84901451058155</v>
      </c>
      <c r="GI27">
        <v>0.622214359640269</v>
      </c>
      <c r="GJ27">
        <v>-1</v>
      </c>
      <c r="GK27">
        <v>18.4258619047619</v>
      </c>
      <c r="GL27">
        <v>-0.00589090909089866</v>
      </c>
      <c r="GM27">
        <v>0.00567160649035252</v>
      </c>
      <c r="GN27">
        <v>1</v>
      </c>
      <c r="GO27">
        <v>2</v>
      </c>
      <c r="GP27">
        <v>2</v>
      </c>
      <c r="GQ27" t="s">
        <v>478</v>
      </c>
      <c r="GR27">
        <v>3.12604</v>
      </c>
      <c r="GS27">
        <v>2.77802</v>
      </c>
      <c r="GT27">
        <v>0.0835105</v>
      </c>
      <c r="GU27">
        <v>0.0851903</v>
      </c>
      <c r="GV27">
        <v>0.140918</v>
      </c>
      <c r="GW27">
        <v>0.0906544</v>
      </c>
      <c r="GX27">
        <v>32970</v>
      </c>
      <c r="GY27">
        <v>34850.8</v>
      </c>
      <c r="GZ27">
        <v>32672.1</v>
      </c>
      <c r="HA27">
        <v>34618.7</v>
      </c>
      <c r="HB27">
        <v>40105.6</v>
      </c>
      <c r="HC27">
        <v>45330</v>
      </c>
      <c r="HD27">
        <v>51293.4</v>
      </c>
      <c r="HE27">
        <v>55469.4</v>
      </c>
      <c r="HF27">
        <v>1.69225</v>
      </c>
      <c r="HG27">
        <v>2.01003</v>
      </c>
      <c r="HH27">
        <v>0.0791065</v>
      </c>
      <c r="HI27">
        <v>0</v>
      </c>
      <c r="HJ27">
        <v>46.4656</v>
      </c>
      <c r="HK27">
        <v>999.9</v>
      </c>
      <c r="HL27">
        <v>55.488</v>
      </c>
      <c r="HM27">
        <v>27.976</v>
      </c>
      <c r="HN27">
        <v>23.1436</v>
      </c>
      <c r="HO27">
        <v>59.953</v>
      </c>
      <c r="HP27">
        <v>31.7107</v>
      </c>
      <c r="HQ27">
        <v>2</v>
      </c>
      <c r="HR27">
        <v>2.16557</v>
      </c>
      <c r="HS27">
        <v>-1.18478</v>
      </c>
      <c r="HT27">
        <v>20.1061</v>
      </c>
      <c r="HU27">
        <v>5.18659</v>
      </c>
      <c r="HV27">
        <v>12.0155</v>
      </c>
      <c r="HW27">
        <v>4.96915</v>
      </c>
      <c r="HX27">
        <v>3.2953</v>
      </c>
      <c r="HY27">
        <v>999.9</v>
      </c>
      <c r="HZ27">
        <v>9999</v>
      </c>
      <c r="IA27">
        <v>9999</v>
      </c>
      <c r="IB27">
        <v>9999</v>
      </c>
      <c r="IC27">
        <v>1.86314</v>
      </c>
      <c r="ID27">
        <v>1.86813</v>
      </c>
      <c r="IE27">
        <v>1.86786</v>
      </c>
      <c r="IF27">
        <v>1.86904</v>
      </c>
      <c r="IG27">
        <v>1.86984</v>
      </c>
      <c r="IH27">
        <v>1.86591</v>
      </c>
      <c r="II27">
        <v>1.86707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3.067</v>
      </c>
      <c r="IY27">
        <v>0.1627</v>
      </c>
      <c r="IZ27">
        <v>1.12264184085783</v>
      </c>
      <c r="JA27">
        <v>0.00531519531824411</v>
      </c>
      <c r="JB27">
        <v>-1.58401274662554e-06</v>
      </c>
      <c r="JC27">
        <v>4.65529057017795e-10</v>
      </c>
      <c r="JD27">
        <v>0.162735096694976</v>
      </c>
      <c r="JE27">
        <v>0</v>
      </c>
      <c r="JF27">
        <v>0</v>
      </c>
      <c r="JG27">
        <v>0</v>
      </c>
      <c r="JH27">
        <v>4</v>
      </c>
      <c r="JI27">
        <v>2305</v>
      </c>
      <c r="JJ27">
        <v>-0</v>
      </c>
      <c r="JK27">
        <v>23</v>
      </c>
      <c r="JL27">
        <v>29373140.5</v>
      </c>
      <c r="JM27">
        <v>29373140.5</v>
      </c>
      <c r="JN27">
        <v>1.1377</v>
      </c>
      <c r="JO27">
        <v>2.60376</v>
      </c>
      <c r="JP27">
        <v>2.19849</v>
      </c>
      <c r="JQ27">
        <v>2.64038</v>
      </c>
      <c r="JR27">
        <v>2.44507</v>
      </c>
      <c r="JS27">
        <v>2.31323</v>
      </c>
      <c r="JT27">
        <v>32.4875</v>
      </c>
      <c r="JU27">
        <v>24.1838</v>
      </c>
      <c r="JV27">
        <v>18</v>
      </c>
      <c r="JW27">
        <v>493.997</v>
      </c>
      <c r="JX27">
        <v>758.587</v>
      </c>
      <c r="JY27">
        <v>49.2605</v>
      </c>
      <c r="JZ27">
        <v>52.4643</v>
      </c>
      <c r="KA27">
        <v>29.9955</v>
      </c>
      <c r="KB27">
        <v>52.1268</v>
      </c>
      <c r="KC27">
        <v>51.8916</v>
      </c>
      <c r="KD27">
        <v>22.804</v>
      </c>
      <c r="KE27">
        <v>0</v>
      </c>
      <c r="KF27">
        <v>100</v>
      </c>
      <c r="KG27">
        <v>49.5143</v>
      </c>
      <c r="KH27">
        <v>420</v>
      </c>
      <c r="KI27">
        <v>67.7987</v>
      </c>
      <c r="KJ27">
        <v>93.0098</v>
      </c>
      <c r="KK27">
        <v>89.7847</v>
      </c>
    </row>
    <row r="28" spans="1:297">
      <c r="A28">
        <v>12</v>
      </c>
      <c r="B28">
        <v>1762388530.1</v>
      </c>
      <c r="C28">
        <v>1585.09999990463</v>
      </c>
      <c r="D28" t="s">
        <v>487</v>
      </c>
      <c r="E28" t="s">
        <v>488</v>
      </c>
      <c r="F28">
        <v>5</v>
      </c>
      <c r="G28" t="s">
        <v>484</v>
      </c>
      <c r="H28" t="s">
        <v>436</v>
      </c>
      <c r="I28">
        <v>1762388526.6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429.174655442652</v>
      </c>
      <c r="AK28">
        <v>429.865757575757</v>
      </c>
      <c r="AL28">
        <v>-8.628895654617e-05</v>
      </c>
      <c r="AM28">
        <v>64.2521179558838</v>
      </c>
      <c r="AN28">
        <f>(AP28 - AO28 + DY28*1E3/(8.314*(EA28+273.15)) * AR28/DX28 * AQ28) * DX28/(100*DL28) * 1000/(1000 - AP28)</f>
        <v>0</v>
      </c>
      <c r="AO28">
        <v>21.3743549887354</v>
      </c>
      <c r="AP28">
        <v>40.3573157575757</v>
      </c>
      <c r="AQ28">
        <v>0.00978137657582553</v>
      </c>
      <c r="AR28">
        <v>97.0751396333885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5085.19</v>
      </c>
      <c r="AZ28">
        <v>1286.83461538462</v>
      </c>
      <c r="BA28">
        <v>1548.88</v>
      </c>
      <c r="BB28">
        <f>1-AZ28/BA28</f>
        <v>0</v>
      </c>
      <c r="BC28">
        <v>-8.80316614666496</v>
      </c>
      <c r="BD28" t="s">
        <v>489</v>
      </c>
      <c r="BE28">
        <v>5089.19</v>
      </c>
      <c r="BF28">
        <v>939.959461538461</v>
      </c>
      <c r="BG28">
        <v>1036.24763225678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490</v>
      </c>
      <c r="BQ28">
        <v>716.73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468</v>
      </c>
      <c r="CA28">
        <v>290</v>
      </c>
      <c r="CB28">
        <v>991.91</v>
      </c>
      <c r="CC28">
        <v>145</v>
      </c>
      <c r="CD28">
        <v>5089.19</v>
      </c>
      <c r="CE28">
        <v>991.9</v>
      </c>
      <c r="CF28">
        <v>0.01</v>
      </c>
      <c r="CG28">
        <v>300</v>
      </c>
      <c r="CH28">
        <v>23.9</v>
      </c>
      <c r="CI28">
        <v>1036.24763225678</v>
      </c>
      <c r="CJ28">
        <v>2.49121494545529</v>
      </c>
      <c r="CK28">
        <v>-22.5699996159985</v>
      </c>
      <c r="CL28">
        <v>1.16079388610044</v>
      </c>
      <c r="CM28">
        <v>0.931043512654162</v>
      </c>
      <c r="CN28">
        <v>-0.0027088104560623</v>
      </c>
      <c r="CO28">
        <v>290</v>
      </c>
      <c r="CP28">
        <v>989.82</v>
      </c>
      <c r="CQ28">
        <v>725</v>
      </c>
      <c r="CR28">
        <v>5083.4</v>
      </c>
      <c r="CS28">
        <v>991.85</v>
      </c>
      <c r="CT28">
        <v>-2.03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1762388526.6</v>
      </c>
      <c r="DR28">
        <v>412.532333333333</v>
      </c>
      <c r="DS28">
        <v>419.999166666667</v>
      </c>
      <c r="DT28">
        <v>40.3329</v>
      </c>
      <c r="DU28">
        <v>21.3741333333333</v>
      </c>
      <c r="DV28">
        <v>409.467</v>
      </c>
      <c r="DW28">
        <v>40.1701666666667</v>
      </c>
      <c r="DX28">
        <v>500.037</v>
      </c>
      <c r="DY28">
        <v>90.8501166666667</v>
      </c>
      <c r="DZ28">
        <v>0.100028</v>
      </c>
      <c r="EA28">
        <v>50.3445666666667</v>
      </c>
      <c r="EB28">
        <v>47.99045</v>
      </c>
      <c r="EC28">
        <v>999.9</v>
      </c>
      <c r="ED28">
        <v>0</v>
      </c>
      <c r="EE28">
        <v>0</v>
      </c>
      <c r="EF28">
        <v>10004.575</v>
      </c>
      <c r="EG28">
        <v>0</v>
      </c>
      <c r="EH28">
        <v>1158.23833333333</v>
      </c>
      <c r="EI28">
        <v>-7.467025</v>
      </c>
      <c r="EJ28">
        <v>429.870333333333</v>
      </c>
      <c r="EK28">
        <v>429.1725</v>
      </c>
      <c r="EL28">
        <v>18.9587666666667</v>
      </c>
      <c r="EM28">
        <v>419.999166666667</v>
      </c>
      <c r="EN28">
        <v>21.3741333333333</v>
      </c>
      <c r="EO28">
        <v>3.66425</v>
      </c>
      <c r="EP28">
        <v>1.94184166666667</v>
      </c>
      <c r="EQ28">
        <v>27.4006333333333</v>
      </c>
      <c r="ER28">
        <v>16.9779333333333</v>
      </c>
      <c r="ES28">
        <v>1800.005</v>
      </c>
      <c r="ET28">
        <v>0.9780035</v>
      </c>
      <c r="EU28">
        <v>0.0219965333333333</v>
      </c>
      <c r="EV28">
        <v>0</v>
      </c>
      <c r="EW28">
        <v>939.737166666667</v>
      </c>
      <c r="EX28">
        <v>5.00059</v>
      </c>
      <c r="EY28">
        <v>18076.85</v>
      </c>
      <c r="EZ28">
        <v>15610.75</v>
      </c>
      <c r="FA28">
        <v>60.312</v>
      </c>
      <c r="FB28">
        <v>60.375</v>
      </c>
      <c r="FC28">
        <v>59.687</v>
      </c>
      <c r="FD28">
        <v>60.187</v>
      </c>
      <c r="FE28">
        <v>61.4685</v>
      </c>
      <c r="FF28">
        <v>1755.52166666667</v>
      </c>
      <c r="FG28">
        <v>39.48</v>
      </c>
      <c r="FH28">
        <v>0</v>
      </c>
      <c r="FI28">
        <v>97</v>
      </c>
      <c r="FJ28">
        <v>0</v>
      </c>
      <c r="FK28">
        <v>939.959461538461</v>
      </c>
      <c r="FL28">
        <v>-2.91145296962631</v>
      </c>
      <c r="FM28">
        <v>-55.0085468454615</v>
      </c>
      <c r="FN28">
        <v>18080.8307692308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-7.48429952380952</v>
      </c>
      <c r="GD28">
        <v>-0.293849610389621</v>
      </c>
      <c r="GE28">
        <v>0.0670686648483117</v>
      </c>
      <c r="GF28">
        <v>1</v>
      </c>
      <c r="GG28">
        <v>940.068147058823</v>
      </c>
      <c r="GH28">
        <v>-1.90229182156392</v>
      </c>
      <c r="GI28">
        <v>0.320131051506107</v>
      </c>
      <c r="GJ28">
        <v>-1</v>
      </c>
      <c r="GK28">
        <v>18.8816095238095</v>
      </c>
      <c r="GL28">
        <v>0.536368831168817</v>
      </c>
      <c r="GM28">
        <v>0.0541752790641451</v>
      </c>
      <c r="GN28">
        <v>0</v>
      </c>
      <c r="GO28">
        <v>1</v>
      </c>
      <c r="GP28">
        <v>2</v>
      </c>
      <c r="GQ28" t="s">
        <v>454</v>
      </c>
      <c r="GR28">
        <v>3.12625</v>
      </c>
      <c r="GS28">
        <v>2.778</v>
      </c>
      <c r="GT28">
        <v>0.0835972</v>
      </c>
      <c r="GU28">
        <v>0.0853068</v>
      </c>
      <c r="GV28">
        <v>0.142559</v>
      </c>
      <c r="GW28">
        <v>0.0909127</v>
      </c>
      <c r="GX28">
        <v>33018.7</v>
      </c>
      <c r="GY28">
        <v>34914.9</v>
      </c>
      <c r="GZ28">
        <v>32719.4</v>
      </c>
      <c r="HA28">
        <v>34682.8</v>
      </c>
      <c r="HB28">
        <v>40075.7</v>
      </c>
      <c r="HC28">
        <v>45394.7</v>
      </c>
      <c r="HD28">
        <v>51355.3</v>
      </c>
      <c r="HE28">
        <v>55564.4</v>
      </c>
      <c r="HF28">
        <v>1.70053</v>
      </c>
      <c r="HG28">
        <v>2.01995</v>
      </c>
      <c r="HH28">
        <v>0.10157</v>
      </c>
      <c r="HI28">
        <v>0</v>
      </c>
      <c r="HJ28">
        <v>46.3855</v>
      </c>
      <c r="HK28">
        <v>999.9</v>
      </c>
      <c r="HL28">
        <v>55.506</v>
      </c>
      <c r="HM28">
        <v>27.976</v>
      </c>
      <c r="HN28">
        <v>23.151</v>
      </c>
      <c r="HO28">
        <v>59.913</v>
      </c>
      <c r="HP28">
        <v>31.847</v>
      </c>
      <c r="HQ28">
        <v>2</v>
      </c>
      <c r="HR28">
        <v>2.09295</v>
      </c>
      <c r="HS28">
        <v>-2.0117</v>
      </c>
      <c r="HT28">
        <v>20.103</v>
      </c>
      <c r="HU28">
        <v>5.18764</v>
      </c>
      <c r="HV28">
        <v>12.0156</v>
      </c>
      <c r="HW28">
        <v>4.9696</v>
      </c>
      <c r="HX28">
        <v>3.29515</v>
      </c>
      <c r="HY28">
        <v>999.9</v>
      </c>
      <c r="HZ28">
        <v>9999</v>
      </c>
      <c r="IA28">
        <v>9999</v>
      </c>
      <c r="IB28">
        <v>9999</v>
      </c>
      <c r="IC28">
        <v>1.86313</v>
      </c>
      <c r="ID28">
        <v>1.86813</v>
      </c>
      <c r="IE28">
        <v>1.86784</v>
      </c>
      <c r="IF28">
        <v>1.86904</v>
      </c>
      <c r="IG28">
        <v>1.86983</v>
      </c>
      <c r="IH28">
        <v>1.86588</v>
      </c>
      <c r="II28">
        <v>1.86706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3.066</v>
      </c>
      <c r="IY28">
        <v>0.1627</v>
      </c>
      <c r="IZ28">
        <v>1.12264184085783</v>
      </c>
      <c r="JA28">
        <v>0.00531519531824411</v>
      </c>
      <c r="JB28">
        <v>-1.58401274662554e-06</v>
      </c>
      <c r="JC28">
        <v>4.65529057017795e-10</v>
      </c>
      <c r="JD28">
        <v>0.162735096694976</v>
      </c>
      <c r="JE28">
        <v>0</v>
      </c>
      <c r="JF28">
        <v>0</v>
      </c>
      <c r="JG28">
        <v>0</v>
      </c>
      <c r="JH28">
        <v>4</v>
      </c>
      <c r="JI28">
        <v>2305</v>
      </c>
      <c r="JJ28">
        <v>-0</v>
      </c>
      <c r="JK28">
        <v>23</v>
      </c>
      <c r="JL28">
        <v>29373142.2</v>
      </c>
      <c r="JM28">
        <v>29373142.2</v>
      </c>
      <c r="JN28">
        <v>1.13892</v>
      </c>
      <c r="JO28">
        <v>2.59766</v>
      </c>
      <c r="JP28">
        <v>2.19849</v>
      </c>
      <c r="JQ28">
        <v>2.64038</v>
      </c>
      <c r="JR28">
        <v>2.44507</v>
      </c>
      <c r="JS28">
        <v>2.35107</v>
      </c>
      <c r="JT28">
        <v>32.4875</v>
      </c>
      <c r="JU28">
        <v>24.1838</v>
      </c>
      <c r="JV28">
        <v>18</v>
      </c>
      <c r="JW28">
        <v>496.107</v>
      </c>
      <c r="JX28">
        <v>762.382</v>
      </c>
      <c r="JY28">
        <v>52.3055</v>
      </c>
      <c r="JZ28">
        <v>51.6905</v>
      </c>
      <c r="KA28">
        <v>29.9966</v>
      </c>
      <c r="KB28">
        <v>51.4519</v>
      </c>
      <c r="KC28">
        <v>51.2452</v>
      </c>
      <c r="KD28">
        <v>22.8285</v>
      </c>
      <c r="KE28">
        <v>0</v>
      </c>
      <c r="KF28">
        <v>100</v>
      </c>
      <c r="KG28">
        <v>52.2911</v>
      </c>
      <c r="KH28">
        <v>420</v>
      </c>
      <c r="KI28">
        <v>67.7987</v>
      </c>
      <c r="KJ28">
        <v>93.1307</v>
      </c>
      <c r="KK28">
        <v>89.9432</v>
      </c>
    </row>
    <row r="29" spans="1:297">
      <c r="A29">
        <v>13</v>
      </c>
      <c r="B29">
        <v>1762388630.1</v>
      </c>
      <c r="C29">
        <v>1685.09999990463</v>
      </c>
      <c r="D29" t="s">
        <v>491</v>
      </c>
      <c r="E29" t="s">
        <v>492</v>
      </c>
      <c r="F29">
        <v>5</v>
      </c>
      <c r="G29" t="s">
        <v>484</v>
      </c>
      <c r="H29" t="s">
        <v>436</v>
      </c>
      <c r="I29">
        <v>1762388626.6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429.150445376421</v>
      </c>
      <c r="AK29">
        <v>430.149812121212</v>
      </c>
      <c r="AL29">
        <v>0.00217137079206603</v>
      </c>
      <c r="AM29">
        <v>64.2521179558838</v>
      </c>
      <c r="AN29">
        <f>(AP29 - AO29 + DY29*1E3/(8.314*(EA29+273.15)) * AR29/DX29 * AQ29) * DX29/(100*DL29) * 1000/(1000 - AP29)</f>
        <v>0</v>
      </c>
      <c r="AO29">
        <v>21.3945081237014</v>
      </c>
      <c r="AP29">
        <v>40.6802012121212</v>
      </c>
      <c r="AQ29">
        <v>0.00503191534204325</v>
      </c>
      <c r="AR29">
        <v>97.0751396333885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481</v>
      </c>
      <c r="AY29">
        <v>5085.19</v>
      </c>
      <c r="AZ29">
        <v>1286.83461538462</v>
      </c>
      <c r="BA29">
        <v>1548.88</v>
      </c>
      <c r="BB29">
        <f>1-AZ29/BA29</f>
        <v>0</v>
      </c>
      <c r="BC29">
        <v>-8.80316614666496</v>
      </c>
      <c r="BD29" t="s">
        <v>493</v>
      </c>
      <c r="BE29">
        <v>5091.77</v>
      </c>
      <c r="BF29">
        <v>934.661153846154</v>
      </c>
      <c r="BG29">
        <v>1045.42815995685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494</v>
      </c>
      <c r="BQ29">
        <v>714.4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470</v>
      </c>
      <c r="CA29">
        <v>290</v>
      </c>
      <c r="CB29">
        <v>1002.27</v>
      </c>
      <c r="CC29">
        <v>165</v>
      </c>
      <c r="CD29">
        <v>5091.77</v>
      </c>
      <c r="CE29">
        <v>1002.11</v>
      </c>
      <c r="CF29">
        <v>0.16</v>
      </c>
      <c r="CG29">
        <v>300</v>
      </c>
      <c r="CH29">
        <v>23.9</v>
      </c>
      <c r="CI29">
        <v>1045.42815995685</v>
      </c>
      <c r="CJ29">
        <v>1.80340446942372</v>
      </c>
      <c r="CK29">
        <v>-22.0548619263032</v>
      </c>
      <c r="CL29">
        <v>0.833319993316678</v>
      </c>
      <c r="CM29">
        <v>0.96156289716701</v>
      </c>
      <c r="CN29">
        <v>-0.00296147830923249</v>
      </c>
      <c r="CO29">
        <v>290</v>
      </c>
      <c r="CP29">
        <v>999.58</v>
      </c>
      <c r="CQ29">
        <v>705</v>
      </c>
      <c r="CR29">
        <v>5086.42</v>
      </c>
      <c r="CS29">
        <v>1002.07</v>
      </c>
      <c r="CT29">
        <v>-2.49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1762388626.6</v>
      </c>
      <c r="DR29">
        <v>412.6345</v>
      </c>
      <c r="DS29">
        <v>419.9665</v>
      </c>
      <c r="DT29">
        <v>40.6659666666667</v>
      </c>
      <c r="DU29">
        <v>21.39465</v>
      </c>
      <c r="DV29">
        <v>409.5685</v>
      </c>
      <c r="DW29">
        <v>40.50325</v>
      </c>
      <c r="DX29">
        <v>500.014166666667</v>
      </c>
      <c r="DY29">
        <v>90.8618</v>
      </c>
      <c r="DZ29">
        <v>0.099992</v>
      </c>
      <c r="EA29">
        <v>50.6154166666667</v>
      </c>
      <c r="EB29">
        <v>48.0533166666667</v>
      </c>
      <c r="EC29">
        <v>999.9</v>
      </c>
      <c r="ED29">
        <v>0</v>
      </c>
      <c r="EE29">
        <v>0</v>
      </c>
      <c r="EF29">
        <v>10001.4533333333</v>
      </c>
      <c r="EG29">
        <v>0</v>
      </c>
      <c r="EH29">
        <v>1159.78833333333</v>
      </c>
      <c r="EI29">
        <v>-7.33198333333333</v>
      </c>
      <c r="EJ29">
        <v>430.126</v>
      </c>
      <c r="EK29">
        <v>429.148166666667</v>
      </c>
      <c r="EL29">
        <v>19.2713333333333</v>
      </c>
      <c r="EM29">
        <v>419.9665</v>
      </c>
      <c r="EN29">
        <v>21.39465</v>
      </c>
      <c r="EO29">
        <v>3.69498333333333</v>
      </c>
      <c r="EP29">
        <v>1.94395666666667</v>
      </c>
      <c r="EQ29">
        <v>27.5433666666667</v>
      </c>
      <c r="ER29">
        <v>16.9950833333333</v>
      </c>
      <c r="ES29">
        <v>1499.90666666667</v>
      </c>
      <c r="ET29">
        <v>0.972996</v>
      </c>
      <c r="EU29">
        <v>0.0270039</v>
      </c>
      <c r="EV29">
        <v>0</v>
      </c>
      <c r="EW29">
        <v>934.8135</v>
      </c>
      <c r="EX29">
        <v>5.00059</v>
      </c>
      <c r="EY29">
        <v>14979.75</v>
      </c>
      <c r="EZ29">
        <v>12981.55</v>
      </c>
      <c r="FA29">
        <v>59.875</v>
      </c>
      <c r="FB29">
        <v>60.187</v>
      </c>
      <c r="FC29">
        <v>59.5</v>
      </c>
      <c r="FD29">
        <v>60</v>
      </c>
      <c r="FE29">
        <v>61.187</v>
      </c>
      <c r="FF29">
        <v>1454.53666666667</v>
      </c>
      <c r="FG29">
        <v>40.37</v>
      </c>
      <c r="FH29">
        <v>0</v>
      </c>
      <c r="FI29">
        <v>96.7999999523163</v>
      </c>
      <c r="FJ29">
        <v>0</v>
      </c>
      <c r="FK29">
        <v>934.661153846154</v>
      </c>
      <c r="FL29">
        <v>1.79138461693549</v>
      </c>
      <c r="FM29">
        <v>7.39829059172193</v>
      </c>
      <c r="FN29">
        <v>14980.0461538462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-7.219827</v>
      </c>
      <c r="GD29">
        <v>-1.31187157894736</v>
      </c>
      <c r="GE29">
        <v>0.152330022585832</v>
      </c>
      <c r="GF29">
        <v>0</v>
      </c>
      <c r="GG29">
        <v>934.551029411765</v>
      </c>
      <c r="GH29">
        <v>1.92731856561447</v>
      </c>
      <c r="GI29">
        <v>0.289898408705943</v>
      </c>
      <c r="GJ29">
        <v>-1</v>
      </c>
      <c r="GK29">
        <v>19.241275</v>
      </c>
      <c r="GL29">
        <v>0.282148872180459</v>
      </c>
      <c r="GM29">
        <v>0.0274162337858428</v>
      </c>
      <c r="GN29">
        <v>0</v>
      </c>
      <c r="GO29">
        <v>0</v>
      </c>
      <c r="GP29">
        <v>2</v>
      </c>
      <c r="GQ29" t="s">
        <v>442</v>
      </c>
      <c r="GR29">
        <v>3.12638</v>
      </c>
      <c r="GS29">
        <v>2.77801</v>
      </c>
      <c r="GT29">
        <v>0.0837638</v>
      </c>
      <c r="GU29">
        <v>0.0854458</v>
      </c>
      <c r="GV29">
        <v>0.143559</v>
      </c>
      <c r="GW29">
        <v>0.0911116</v>
      </c>
      <c r="GX29">
        <v>33059</v>
      </c>
      <c r="GY29">
        <v>34970.6</v>
      </c>
      <c r="GZ29">
        <v>32761.7</v>
      </c>
      <c r="HA29">
        <v>34739.8</v>
      </c>
      <c r="HB29">
        <v>40068.2</v>
      </c>
      <c r="HC29">
        <v>45453.9</v>
      </c>
      <c r="HD29">
        <v>51410.2</v>
      </c>
      <c r="HE29">
        <v>55649.1</v>
      </c>
      <c r="HF29">
        <v>1.7079</v>
      </c>
      <c r="HG29">
        <v>2.02885</v>
      </c>
      <c r="HH29">
        <v>0.0937656</v>
      </c>
      <c r="HI29">
        <v>0</v>
      </c>
      <c r="HJ29">
        <v>46.5682</v>
      </c>
      <c r="HK29">
        <v>999.9</v>
      </c>
      <c r="HL29">
        <v>55.53</v>
      </c>
      <c r="HM29">
        <v>27.986</v>
      </c>
      <c r="HN29">
        <v>23.1742</v>
      </c>
      <c r="HO29">
        <v>59.813</v>
      </c>
      <c r="HP29">
        <v>32.0793</v>
      </c>
      <c r="HQ29">
        <v>2</v>
      </c>
      <c r="HR29">
        <v>2.02604</v>
      </c>
      <c r="HS29">
        <v>-1.67043</v>
      </c>
      <c r="HT29">
        <v>20.1095</v>
      </c>
      <c r="HU29">
        <v>5.18839</v>
      </c>
      <c r="HV29">
        <v>12.0135</v>
      </c>
      <c r="HW29">
        <v>4.9705</v>
      </c>
      <c r="HX29">
        <v>3.29503</v>
      </c>
      <c r="HY29">
        <v>999.9</v>
      </c>
      <c r="HZ29">
        <v>9999</v>
      </c>
      <c r="IA29">
        <v>9999</v>
      </c>
      <c r="IB29">
        <v>9999</v>
      </c>
      <c r="IC29">
        <v>1.86314</v>
      </c>
      <c r="ID29">
        <v>1.86813</v>
      </c>
      <c r="IE29">
        <v>1.86784</v>
      </c>
      <c r="IF29">
        <v>1.86903</v>
      </c>
      <c r="IG29">
        <v>1.86983</v>
      </c>
      <c r="IH29">
        <v>1.86586</v>
      </c>
      <c r="II29">
        <v>1.86706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3.065</v>
      </c>
      <c r="IY29">
        <v>0.1627</v>
      </c>
      <c r="IZ29">
        <v>1.12264184085783</v>
      </c>
      <c r="JA29">
        <v>0.00531519531824411</v>
      </c>
      <c r="JB29">
        <v>-1.58401274662554e-06</v>
      </c>
      <c r="JC29">
        <v>4.65529057017795e-10</v>
      </c>
      <c r="JD29">
        <v>0.162735096694976</v>
      </c>
      <c r="JE29">
        <v>0</v>
      </c>
      <c r="JF29">
        <v>0</v>
      </c>
      <c r="JG29">
        <v>0</v>
      </c>
      <c r="JH29">
        <v>4</v>
      </c>
      <c r="JI29">
        <v>2305</v>
      </c>
      <c r="JJ29">
        <v>-0</v>
      </c>
      <c r="JK29">
        <v>23</v>
      </c>
      <c r="JL29">
        <v>29373143.8</v>
      </c>
      <c r="JM29">
        <v>29373143.8</v>
      </c>
      <c r="JN29">
        <v>1.13892</v>
      </c>
      <c r="JO29">
        <v>2.60132</v>
      </c>
      <c r="JP29">
        <v>2.19849</v>
      </c>
      <c r="JQ29">
        <v>2.64038</v>
      </c>
      <c r="JR29">
        <v>2.44507</v>
      </c>
      <c r="JS29">
        <v>2.34619</v>
      </c>
      <c r="JT29">
        <v>32.4875</v>
      </c>
      <c r="JU29">
        <v>24.1926</v>
      </c>
      <c r="JV29">
        <v>18</v>
      </c>
      <c r="JW29">
        <v>497.678</v>
      </c>
      <c r="JX29">
        <v>765.295</v>
      </c>
      <c r="JY29">
        <v>52.3216</v>
      </c>
      <c r="JZ29">
        <v>50.9916</v>
      </c>
      <c r="KA29">
        <v>29.9971</v>
      </c>
      <c r="KB29">
        <v>50.8073</v>
      </c>
      <c r="KC29">
        <v>50.622</v>
      </c>
      <c r="KD29">
        <v>22.8219</v>
      </c>
      <c r="KE29">
        <v>0</v>
      </c>
      <c r="KF29">
        <v>100</v>
      </c>
      <c r="KG29">
        <v>52.2656</v>
      </c>
      <c r="KH29">
        <v>420</v>
      </c>
      <c r="KI29">
        <v>67.7987</v>
      </c>
      <c r="KJ29">
        <v>93.2384</v>
      </c>
      <c r="KK29">
        <v>90.0843</v>
      </c>
    </row>
    <row r="30" spans="1:297">
      <c r="A30">
        <v>14</v>
      </c>
      <c r="B30">
        <v>1762388730.1</v>
      </c>
      <c r="C30">
        <v>1785.09999990463</v>
      </c>
      <c r="D30" t="s">
        <v>495</v>
      </c>
      <c r="E30" t="s">
        <v>496</v>
      </c>
      <c r="F30">
        <v>5</v>
      </c>
      <c r="G30" t="s">
        <v>484</v>
      </c>
      <c r="H30" t="s">
        <v>436</v>
      </c>
      <c r="I30">
        <v>1762388726.6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429.188714599746</v>
      </c>
      <c r="AK30">
        <v>430.497527272727</v>
      </c>
      <c r="AL30">
        <v>-0.000653771785649331</v>
      </c>
      <c r="AM30">
        <v>64.2521179558838</v>
      </c>
      <c r="AN30">
        <f>(AP30 - AO30 + DY30*1E3/(8.314*(EA30+273.15)) * AR30/DX30 * AQ30) * DX30/(100*DL30) * 1000/(1000 - AP30)</f>
        <v>0</v>
      </c>
      <c r="AO30">
        <v>21.3979196349796</v>
      </c>
      <c r="AP30">
        <v>40.7877509090909</v>
      </c>
      <c r="AQ30">
        <v>0.00316775694519323</v>
      </c>
      <c r="AR30">
        <v>97.0751396333885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481</v>
      </c>
      <c r="AY30">
        <v>5085.19</v>
      </c>
      <c r="AZ30">
        <v>1286.83461538462</v>
      </c>
      <c r="BA30">
        <v>1548.88</v>
      </c>
      <c r="BB30">
        <f>1-AZ30/BA30</f>
        <v>0</v>
      </c>
      <c r="BC30">
        <v>-8.80316614666496</v>
      </c>
      <c r="BD30" t="s">
        <v>497</v>
      </c>
      <c r="BE30">
        <v>5090.71</v>
      </c>
      <c r="BF30">
        <v>931.793576923077</v>
      </c>
      <c r="BG30">
        <v>1069.45913836005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498</v>
      </c>
      <c r="BQ30">
        <v>710.8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472</v>
      </c>
      <c r="CA30">
        <v>290</v>
      </c>
      <c r="CB30">
        <v>1022.91</v>
      </c>
      <c r="CC30">
        <v>275</v>
      </c>
      <c r="CD30">
        <v>5090.71</v>
      </c>
      <c r="CE30">
        <v>1022.7</v>
      </c>
      <c r="CF30">
        <v>0.21</v>
      </c>
      <c r="CG30">
        <v>300</v>
      </c>
      <c r="CH30">
        <v>23.9</v>
      </c>
      <c r="CI30">
        <v>1069.45913836005</v>
      </c>
      <c r="CJ30">
        <v>2.06564109209677</v>
      </c>
      <c r="CK30">
        <v>-23.8031801255264</v>
      </c>
      <c r="CL30">
        <v>0.946151654220401</v>
      </c>
      <c r="CM30">
        <v>0.957634778512632</v>
      </c>
      <c r="CN30">
        <v>-0.00321229521690768</v>
      </c>
      <c r="CO30">
        <v>290</v>
      </c>
      <c r="CP30">
        <v>1019.64</v>
      </c>
      <c r="CQ30">
        <v>785</v>
      </c>
      <c r="CR30">
        <v>5087.03</v>
      </c>
      <c r="CS30">
        <v>1022.67</v>
      </c>
      <c r="CT30">
        <v>-3.03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1762388726.6</v>
      </c>
      <c r="DR30">
        <v>412.964</v>
      </c>
      <c r="DS30">
        <v>420.002</v>
      </c>
      <c r="DT30">
        <v>40.7789333333333</v>
      </c>
      <c r="DU30">
        <v>21.39775</v>
      </c>
      <c r="DV30">
        <v>409.896833333333</v>
      </c>
      <c r="DW30">
        <v>40.6161833333333</v>
      </c>
      <c r="DX30">
        <v>499.995666666667</v>
      </c>
      <c r="DY30">
        <v>90.8434333333333</v>
      </c>
      <c r="DZ30">
        <v>0.0998854</v>
      </c>
      <c r="EA30">
        <v>50.7182833333333</v>
      </c>
      <c r="EB30">
        <v>48.00485</v>
      </c>
      <c r="EC30">
        <v>999.9</v>
      </c>
      <c r="ED30">
        <v>0</v>
      </c>
      <c r="EE30">
        <v>0</v>
      </c>
      <c r="EF30">
        <v>10010.6333333333</v>
      </c>
      <c r="EG30">
        <v>0</v>
      </c>
      <c r="EH30">
        <v>1160.97</v>
      </c>
      <c r="EI30">
        <v>-7.03802</v>
      </c>
      <c r="EJ30">
        <v>430.520166666667</v>
      </c>
      <c r="EK30">
        <v>429.185666666667</v>
      </c>
      <c r="EL30">
        <v>19.3811666666667</v>
      </c>
      <c r="EM30">
        <v>420.002</v>
      </c>
      <c r="EN30">
        <v>21.39775</v>
      </c>
      <c r="EO30">
        <v>3.70449666666667</v>
      </c>
      <c r="EP30">
        <v>1.943845</v>
      </c>
      <c r="EQ30">
        <v>27.5873166666667</v>
      </c>
      <c r="ER30">
        <v>16.9942</v>
      </c>
      <c r="ES30">
        <v>1199.97666666667</v>
      </c>
      <c r="ET30">
        <v>0.967001666666667</v>
      </c>
      <c r="EU30">
        <v>0.03299835</v>
      </c>
      <c r="EV30">
        <v>0</v>
      </c>
      <c r="EW30">
        <v>931.940666666667</v>
      </c>
      <c r="EX30">
        <v>5.00059</v>
      </c>
      <c r="EY30">
        <v>11950</v>
      </c>
      <c r="EZ30">
        <v>10358.5333333333</v>
      </c>
      <c r="FA30">
        <v>59.333</v>
      </c>
      <c r="FB30">
        <v>60</v>
      </c>
      <c r="FC30">
        <v>59.1975</v>
      </c>
      <c r="FD30">
        <v>59.812</v>
      </c>
      <c r="FE30">
        <v>60.854</v>
      </c>
      <c r="FF30">
        <v>1155.54666666667</v>
      </c>
      <c r="FG30">
        <v>39.43</v>
      </c>
      <c r="FH30">
        <v>0</v>
      </c>
      <c r="FI30">
        <v>97</v>
      </c>
      <c r="FJ30">
        <v>0</v>
      </c>
      <c r="FK30">
        <v>931.793576923077</v>
      </c>
      <c r="FL30">
        <v>3.11695727183601</v>
      </c>
      <c r="FM30">
        <v>26.6017092582765</v>
      </c>
      <c r="FN30">
        <v>11948.6423076923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-7.0452535</v>
      </c>
      <c r="GD30">
        <v>-0.0220885714285804</v>
      </c>
      <c r="GE30">
        <v>0.0257905397917531</v>
      </c>
      <c r="GF30">
        <v>1</v>
      </c>
      <c r="GG30">
        <v>931.600882352941</v>
      </c>
      <c r="GH30">
        <v>3.87379679475643</v>
      </c>
      <c r="GI30">
        <v>0.430608172151752</v>
      </c>
      <c r="GJ30">
        <v>-1</v>
      </c>
      <c r="GK30">
        <v>19.348865</v>
      </c>
      <c r="GL30">
        <v>0.261415037594025</v>
      </c>
      <c r="GM30">
        <v>0.0252610030481769</v>
      </c>
      <c r="GN30">
        <v>0</v>
      </c>
      <c r="GO30">
        <v>1</v>
      </c>
      <c r="GP30">
        <v>2</v>
      </c>
      <c r="GQ30" t="s">
        <v>454</v>
      </c>
      <c r="GR30">
        <v>3.12655</v>
      </c>
      <c r="GS30">
        <v>2.77808</v>
      </c>
      <c r="GT30">
        <v>0.0839108</v>
      </c>
      <c r="GU30">
        <v>0.0855513</v>
      </c>
      <c r="GV30">
        <v>0.143958</v>
      </c>
      <c r="GW30">
        <v>0.0912176</v>
      </c>
      <c r="GX30">
        <v>33092.4</v>
      </c>
      <c r="GY30">
        <v>35017</v>
      </c>
      <c r="GZ30">
        <v>32796.9</v>
      </c>
      <c r="HA30">
        <v>34786.7</v>
      </c>
      <c r="HB30">
        <v>40080</v>
      </c>
      <c r="HC30">
        <v>45505.3</v>
      </c>
      <c r="HD30">
        <v>51455.5</v>
      </c>
      <c r="HE30">
        <v>55718.6</v>
      </c>
      <c r="HF30">
        <v>1.714</v>
      </c>
      <c r="HG30">
        <v>2.0364</v>
      </c>
      <c r="HH30">
        <v>0.0804104</v>
      </c>
      <c r="HI30">
        <v>0</v>
      </c>
      <c r="HJ30">
        <v>46.7402</v>
      </c>
      <c r="HK30">
        <v>999.9</v>
      </c>
      <c r="HL30">
        <v>55.506</v>
      </c>
      <c r="HM30">
        <v>27.986</v>
      </c>
      <c r="HN30">
        <v>23.1668</v>
      </c>
      <c r="HO30">
        <v>59.7129</v>
      </c>
      <c r="HP30">
        <v>32.2837</v>
      </c>
      <c r="HQ30">
        <v>2</v>
      </c>
      <c r="HR30">
        <v>1.97438</v>
      </c>
      <c r="HS30">
        <v>-1.456</v>
      </c>
      <c r="HT30">
        <v>20.1148</v>
      </c>
      <c r="HU30">
        <v>5.19078</v>
      </c>
      <c r="HV30">
        <v>12.0144</v>
      </c>
      <c r="HW30">
        <v>4.9696</v>
      </c>
      <c r="HX30">
        <v>3.295</v>
      </c>
      <c r="HY30">
        <v>999.9</v>
      </c>
      <c r="HZ30">
        <v>9999</v>
      </c>
      <c r="IA30">
        <v>9999</v>
      </c>
      <c r="IB30">
        <v>9999</v>
      </c>
      <c r="IC30">
        <v>1.86318</v>
      </c>
      <c r="ID30">
        <v>1.86813</v>
      </c>
      <c r="IE30">
        <v>1.86788</v>
      </c>
      <c r="IF30">
        <v>1.86901</v>
      </c>
      <c r="IG30">
        <v>1.86984</v>
      </c>
      <c r="IH30">
        <v>1.86584</v>
      </c>
      <c r="II30">
        <v>1.86707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3.067</v>
      </c>
      <c r="IY30">
        <v>0.1627</v>
      </c>
      <c r="IZ30">
        <v>1.12264184085783</v>
      </c>
      <c r="JA30">
        <v>0.00531519531824411</v>
      </c>
      <c r="JB30">
        <v>-1.58401274662554e-06</v>
      </c>
      <c r="JC30">
        <v>4.65529057017795e-10</v>
      </c>
      <c r="JD30">
        <v>0.162735096694976</v>
      </c>
      <c r="JE30">
        <v>0</v>
      </c>
      <c r="JF30">
        <v>0</v>
      </c>
      <c r="JG30">
        <v>0</v>
      </c>
      <c r="JH30">
        <v>4</v>
      </c>
      <c r="JI30">
        <v>2305</v>
      </c>
      <c r="JJ30">
        <v>-0</v>
      </c>
      <c r="JK30">
        <v>23</v>
      </c>
      <c r="JL30">
        <v>29373145.5</v>
      </c>
      <c r="JM30">
        <v>29373145.5</v>
      </c>
      <c r="JN30">
        <v>1.13892</v>
      </c>
      <c r="JO30">
        <v>2.6123</v>
      </c>
      <c r="JP30">
        <v>2.19849</v>
      </c>
      <c r="JQ30">
        <v>2.64038</v>
      </c>
      <c r="JR30">
        <v>2.44507</v>
      </c>
      <c r="JS30">
        <v>2.27295</v>
      </c>
      <c r="JT30">
        <v>32.4875</v>
      </c>
      <c r="JU30">
        <v>24.1751</v>
      </c>
      <c r="JV30">
        <v>18</v>
      </c>
      <c r="JW30">
        <v>498.65</v>
      </c>
      <c r="JX30">
        <v>767.334</v>
      </c>
      <c r="JY30">
        <v>52.5963</v>
      </c>
      <c r="JZ30">
        <v>50.3938</v>
      </c>
      <c r="KA30">
        <v>29.9971</v>
      </c>
      <c r="KB30">
        <v>50.2271</v>
      </c>
      <c r="KC30">
        <v>50.0546</v>
      </c>
      <c r="KD30">
        <v>22.8077</v>
      </c>
      <c r="KE30">
        <v>0</v>
      </c>
      <c r="KF30">
        <v>100</v>
      </c>
      <c r="KG30">
        <v>52.5275</v>
      </c>
      <c r="KH30">
        <v>420</v>
      </c>
      <c r="KI30">
        <v>67.7987</v>
      </c>
      <c r="KJ30">
        <v>93.3277</v>
      </c>
      <c r="KK30">
        <v>90.2005</v>
      </c>
    </row>
    <row r="31" spans="1:297">
      <c r="A31">
        <v>15</v>
      </c>
      <c r="B31">
        <v>1762388830.1</v>
      </c>
      <c r="C31">
        <v>1885.09999990463</v>
      </c>
      <c r="D31" t="s">
        <v>499</v>
      </c>
      <c r="E31" t="s">
        <v>500</v>
      </c>
      <c r="F31">
        <v>5</v>
      </c>
      <c r="G31" t="s">
        <v>484</v>
      </c>
      <c r="H31" t="s">
        <v>436</v>
      </c>
      <c r="I31">
        <v>1762388826.6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429.198476153259</v>
      </c>
      <c r="AK31">
        <v>431.024139393939</v>
      </c>
      <c r="AL31">
        <v>-0.000499373434714937</v>
      </c>
      <c r="AM31">
        <v>64.2521179558838</v>
      </c>
      <c r="AN31">
        <f>(AP31 - AO31 + DY31*1E3/(8.314*(EA31+273.15)) * AR31/DX31 * AQ31) * DX31/(100*DL31) * 1000/(1000 - AP31)</f>
        <v>0</v>
      </c>
      <c r="AO31">
        <v>21.3735868336827</v>
      </c>
      <c r="AP31">
        <v>40.7405727272727</v>
      </c>
      <c r="AQ31">
        <v>0.000952392854731294</v>
      </c>
      <c r="AR31">
        <v>97.0751396333885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481</v>
      </c>
      <c r="AY31">
        <v>5085.19</v>
      </c>
      <c r="AZ31">
        <v>1286.83461538462</v>
      </c>
      <c r="BA31">
        <v>1548.88</v>
      </c>
      <c r="BB31">
        <f>1-AZ31/BA31</f>
        <v>0</v>
      </c>
      <c r="BC31">
        <v>-8.80316614666496</v>
      </c>
      <c r="BD31" t="s">
        <v>501</v>
      </c>
      <c r="BE31">
        <v>5093.19</v>
      </c>
      <c r="BF31">
        <v>924.228230769231</v>
      </c>
      <c r="BG31">
        <v>1104.41865237432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502</v>
      </c>
      <c r="BQ31">
        <v>708.53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474</v>
      </c>
      <c r="CA31">
        <v>290</v>
      </c>
      <c r="CB31">
        <v>1053.32</v>
      </c>
      <c r="CC31">
        <v>295</v>
      </c>
      <c r="CD31">
        <v>5093.19</v>
      </c>
      <c r="CE31">
        <v>1052.95</v>
      </c>
      <c r="CF31">
        <v>0.37</v>
      </c>
      <c r="CG31">
        <v>300</v>
      </c>
      <c r="CH31">
        <v>23.9</v>
      </c>
      <c r="CI31">
        <v>1104.41865237432</v>
      </c>
      <c r="CJ31">
        <v>1.52189007988222</v>
      </c>
      <c r="CK31">
        <v>-26.2156473833911</v>
      </c>
      <c r="CL31">
        <v>0.691044569695994</v>
      </c>
      <c r="CM31">
        <v>0.980915509240332</v>
      </c>
      <c r="CN31">
        <v>-0.0034646531701891</v>
      </c>
      <c r="CO31">
        <v>290</v>
      </c>
      <c r="CP31">
        <v>1050.15</v>
      </c>
      <c r="CQ31">
        <v>685</v>
      </c>
      <c r="CR31">
        <v>5090.52</v>
      </c>
      <c r="CS31">
        <v>1052.92</v>
      </c>
      <c r="CT31">
        <v>-2.77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1762388826.6</v>
      </c>
      <c r="DR31">
        <v>413.472666666667</v>
      </c>
      <c r="DS31">
        <v>420.0155</v>
      </c>
      <c r="DT31">
        <v>40.7357833333333</v>
      </c>
      <c r="DU31">
        <v>21.3736333333333</v>
      </c>
      <c r="DV31">
        <v>410.403166666667</v>
      </c>
      <c r="DW31">
        <v>40.5730666666667</v>
      </c>
      <c r="DX31">
        <v>500.011333333333</v>
      </c>
      <c r="DY31">
        <v>90.84195</v>
      </c>
      <c r="DZ31">
        <v>0.0999841666666667</v>
      </c>
      <c r="EA31">
        <v>50.7719666666667</v>
      </c>
      <c r="EB31">
        <v>47.96985</v>
      </c>
      <c r="EC31">
        <v>999.9</v>
      </c>
      <c r="ED31">
        <v>0</v>
      </c>
      <c r="EE31">
        <v>0</v>
      </c>
      <c r="EF31">
        <v>9988.11666666667</v>
      </c>
      <c r="EG31">
        <v>0</v>
      </c>
      <c r="EH31">
        <v>1162.08333333333</v>
      </c>
      <c r="EI31">
        <v>-6.54295</v>
      </c>
      <c r="EJ31">
        <v>431.031</v>
      </c>
      <c r="EK31">
        <v>429.188833333333</v>
      </c>
      <c r="EL31">
        <v>19.3621666666667</v>
      </c>
      <c r="EM31">
        <v>420.0155</v>
      </c>
      <c r="EN31">
        <v>21.3736333333333</v>
      </c>
      <c r="EO31">
        <v>3.70052</v>
      </c>
      <c r="EP31">
        <v>1.94162333333333</v>
      </c>
      <c r="EQ31">
        <v>27.5689333333333</v>
      </c>
      <c r="ER31">
        <v>16.9761333333333</v>
      </c>
      <c r="ES31">
        <v>899.992833333333</v>
      </c>
      <c r="ET31">
        <v>0.955994833333333</v>
      </c>
      <c r="EU31">
        <v>0.0440048</v>
      </c>
      <c r="EV31">
        <v>0</v>
      </c>
      <c r="EW31">
        <v>924.541833333333</v>
      </c>
      <c r="EX31">
        <v>5.00059</v>
      </c>
      <c r="EY31">
        <v>8893.36666666667</v>
      </c>
      <c r="EZ31">
        <v>7732.735</v>
      </c>
      <c r="FA31">
        <v>58.6663333333333</v>
      </c>
      <c r="FB31">
        <v>59.687</v>
      </c>
      <c r="FC31">
        <v>58.8016666666667</v>
      </c>
      <c r="FD31">
        <v>59.5</v>
      </c>
      <c r="FE31">
        <v>60.354</v>
      </c>
      <c r="FF31">
        <v>855.606666666667</v>
      </c>
      <c r="FG31">
        <v>39.385</v>
      </c>
      <c r="FH31">
        <v>0</v>
      </c>
      <c r="FI31">
        <v>96.7999999523163</v>
      </c>
      <c r="FJ31">
        <v>0</v>
      </c>
      <c r="FK31">
        <v>924.228230769231</v>
      </c>
      <c r="FL31">
        <v>4.60499146076537</v>
      </c>
      <c r="FM31">
        <v>28.8895725827006</v>
      </c>
      <c r="FN31">
        <v>8891.49153846154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-6.50545952380952</v>
      </c>
      <c r="GD31">
        <v>-0.483667792207788</v>
      </c>
      <c r="GE31">
        <v>0.0611229189713872</v>
      </c>
      <c r="GF31">
        <v>1</v>
      </c>
      <c r="GG31">
        <v>923.849205882353</v>
      </c>
      <c r="GH31">
        <v>5.49587471117349</v>
      </c>
      <c r="GI31">
        <v>0.580255105125513</v>
      </c>
      <c r="GJ31">
        <v>-1</v>
      </c>
      <c r="GK31">
        <v>19.3282428571429</v>
      </c>
      <c r="GL31">
        <v>0.23894805194808</v>
      </c>
      <c r="GM31">
        <v>0.0241828071833133</v>
      </c>
      <c r="GN31">
        <v>0</v>
      </c>
      <c r="GO31">
        <v>1</v>
      </c>
      <c r="GP31">
        <v>2</v>
      </c>
      <c r="GQ31" t="s">
        <v>454</v>
      </c>
      <c r="GR31">
        <v>3.12668</v>
      </c>
      <c r="GS31">
        <v>2.77793</v>
      </c>
      <c r="GT31">
        <v>0.0841054</v>
      </c>
      <c r="GU31">
        <v>0.0856517</v>
      </c>
      <c r="GV31">
        <v>0.144001</v>
      </c>
      <c r="GW31">
        <v>0.0912462</v>
      </c>
      <c r="GX31">
        <v>33117.6</v>
      </c>
      <c r="GY31">
        <v>35056.9</v>
      </c>
      <c r="GZ31">
        <v>32826.3</v>
      </c>
      <c r="HA31">
        <v>34827.6</v>
      </c>
      <c r="HB31">
        <v>40102.3</v>
      </c>
      <c r="HC31">
        <v>45553</v>
      </c>
      <c r="HD31">
        <v>51493.3</v>
      </c>
      <c r="HE31">
        <v>55779.1</v>
      </c>
      <c r="HF31">
        <v>1.71928</v>
      </c>
      <c r="HG31">
        <v>2.04287</v>
      </c>
      <c r="HH31">
        <v>0.070706</v>
      </c>
      <c r="HI31">
        <v>0</v>
      </c>
      <c r="HJ31">
        <v>46.863</v>
      </c>
      <c r="HK31">
        <v>999.9</v>
      </c>
      <c r="HL31">
        <v>55.488</v>
      </c>
      <c r="HM31">
        <v>27.986</v>
      </c>
      <c r="HN31">
        <v>23.1603</v>
      </c>
      <c r="HO31">
        <v>59.673</v>
      </c>
      <c r="HP31">
        <v>32.3758</v>
      </c>
      <c r="HQ31">
        <v>2</v>
      </c>
      <c r="HR31">
        <v>1.93358</v>
      </c>
      <c r="HS31">
        <v>-2.51982</v>
      </c>
      <c r="HT31">
        <v>20.1071</v>
      </c>
      <c r="HU31">
        <v>5.18824</v>
      </c>
      <c r="HV31">
        <v>12.0144</v>
      </c>
      <c r="HW31">
        <v>4.97125</v>
      </c>
      <c r="HX31">
        <v>3.295</v>
      </c>
      <c r="HY31">
        <v>999.9</v>
      </c>
      <c r="HZ31">
        <v>9999</v>
      </c>
      <c r="IA31">
        <v>9999</v>
      </c>
      <c r="IB31">
        <v>9999</v>
      </c>
      <c r="IC31">
        <v>1.86313</v>
      </c>
      <c r="ID31">
        <v>1.86813</v>
      </c>
      <c r="IE31">
        <v>1.86783</v>
      </c>
      <c r="IF31">
        <v>1.86903</v>
      </c>
      <c r="IG31">
        <v>1.86983</v>
      </c>
      <c r="IH31">
        <v>1.86584</v>
      </c>
      <c r="II31">
        <v>1.86703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3.069</v>
      </c>
      <c r="IY31">
        <v>0.1627</v>
      </c>
      <c r="IZ31">
        <v>1.12264184085783</v>
      </c>
      <c r="JA31">
        <v>0.00531519531824411</v>
      </c>
      <c r="JB31">
        <v>-1.58401274662554e-06</v>
      </c>
      <c r="JC31">
        <v>4.65529057017795e-10</v>
      </c>
      <c r="JD31">
        <v>0.162735096694976</v>
      </c>
      <c r="JE31">
        <v>0</v>
      </c>
      <c r="JF31">
        <v>0</v>
      </c>
      <c r="JG31">
        <v>0</v>
      </c>
      <c r="JH31">
        <v>4</v>
      </c>
      <c r="JI31">
        <v>2305</v>
      </c>
      <c r="JJ31">
        <v>-0</v>
      </c>
      <c r="JK31">
        <v>23</v>
      </c>
      <c r="JL31">
        <v>29373147.2</v>
      </c>
      <c r="JM31">
        <v>29373147.2</v>
      </c>
      <c r="JN31">
        <v>1.1377</v>
      </c>
      <c r="JO31">
        <v>2.60498</v>
      </c>
      <c r="JP31">
        <v>2.19849</v>
      </c>
      <c r="JQ31">
        <v>2.64038</v>
      </c>
      <c r="JR31">
        <v>2.44629</v>
      </c>
      <c r="JS31">
        <v>2.34375</v>
      </c>
      <c r="JT31">
        <v>32.4875</v>
      </c>
      <c r="JU31">
        <v>24.1926</v>
      </c>
      <c r="JV31">
        <v>18</v>
      </c>
      <c r="JW31">
        <v>499.41</v>
      </c>
      <c r="JX31">
        <v>768.822</v>
      </c>
      <c r="JY31">
        <v>53.4299</v>
      </c>
      <c r="JZ31">
        <v>49.8866</v>
      </c>
      <c r="KA31">
        <v>29.9982</v>
      </c>
      <c r="KB31">
        <v>49.7179</v>
      </c>
      <c r="KC31">
        <v>49.5467</v>
      </c>
      <c r="KD31">
        <v>22.7934</v>
      </c>
      <c r="KE31">
        <v>0</v>
      </c>
      <c r="KF31">
        <v>100</v>
      </c>
      <c r="KG31">
        <v>53.4437</v>
      </c>
      <c r="KH31">
        <v>420</v>
      </c>
      <c r="KI31">
        <v>67.7987</v>
      </c>
      <c r="KJ31">
        <v>93.402</v>
      </c>
      <c r="KK31">
        <v>90.3014</v>
      </c>
    </row>
    <row r="32" spans="1:297">
      <c r="A32">
        <v>16</v>
      </c>
      <c r="B32">
        <v>1762388930.1</v>
      </c>
      <c r="C32">
        <v>1985.09999990463</v>
      </c>
      <c r="D32" t="s">
        <v>503</v>
      </c>
      <c r="E32" t="s">
        <v>504</v>
      </c>
      <c r="F32">
        <v>5</v>
      </c>
      <c r="G32" t="s">
        <v>484</v>
      </c>
      <c r="H32" t="s">
        <v>436</v>
      </c>
      <c r="I32">
        <v>1762388926.6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429.213426162038</v>
      </c>
      <c r="AK32">
        <v>432.098527272727</v>
      </c>
      <c r="AL32">
        <v>-0.000738319405160491</v>
      </c>
      <c r="AM32">
        <v>64.2521179558838</v>
      </c>
      <c r="AN32">
        <f>(AP32 - AO32 + DY32*1E3/(8.314*(EA32+273.15)) * AR32/DX32 * AQ32) * DX32/(100*DL32) * 1000/(1000 - AP32)</f>
        <v>0</v>
      </c>
      <c r="AO32">
        <v>21.3686994669019</v>
      </c>
      <c r="AP32">
        <v>40.6457012121212</v>
      </c>
      <c r="AQ32">
        <v>0.000114081191625293</v>
      </c>
      <c r="AR32">
        <v>97.0751396333885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481</v>
      </c>
      <c r="AY32">
        <v>5085.19</v>
      </c>
      <c r="AZ32">
        <v>1286.83461538462</v>
      </c>
      <c r="BA32">
        <v>1548.88</v>
      </c>
      <c r="BB32">
        <f>1-AZ32/BA32</f>
        <v>0</v>
      </c>
      <c r="BC32">
        <v>-8.80316614666496</v>
      </c>
      <c r="BD32" t="s">
        <v>505</v>
      </c>
      <c r="BE32">
        <v>5096.54</v>
      </c>
      <c r="BF32">
        <v>900.476038461538</v>
      </c>
      <c r="BG32">
        <v>1160.17347325858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506</v>
      </c>
      <c r="BQ32">
        <v>712.67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476</v>
      </c>
      <c r="CA32">
        <v>290</v>
      </c>
      <c r="CB32">
        <v>1099.17</v>
      </c>
      <c r="CC32">
        <v>295</v>
      </c>
      <c r="CD32">
        <v>5096.54</v>
      </c>
      <c r="CE32">
        <v>1098.61</v>
      </c>
      <c r="CF32">
        <v>0.56</v>
      </c>
      <c r="CG32">
        <v>300</v>
      </c>
      <c r="CH32">
        <v>23.9</v>
      </c>
      <c r="CI32">
        <v>1160.17347325858</v>
      </c>
      <c r="CJ32">
        <v>1.65273442534714</v>
      </c>
      <c r="CK32">
        <v>-31.3775450692793</v>
      </c>
      <c r="CL32">
        <v>0.743930408440991</v>
      </c>
      <c r="CM32">
        <v>0.984504610983422</v>
      </c>
      <c r="CN32">
        <v>-0.0037172382647386</v>
      </c>
      <c r="CO32">
        <v>290</v>
      </c>
      <c r="CP32">
        <v>1094</v>
      </c>
      <c r="CQ32">
        <v>685</v>
      </c>
      <c r="CR32">
        <v>5093.79</v>
      </c>
      <c r="CS32">
        <v>1098.57</v>
      </c>
      <c r="CT32">
        <v>-4.57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1762388926.6</v>
      </c>
      <c r="DR32">
        <v>414.565</v>
      </c>
      <c r="DS32">
        <v>420.0355</v>
      </c>
      <c r="DT32">
        <v>40.6414</v>
      </c>
      <c r="DU32">
        <v>21.3688</v>
      </c>
      <c r="DV32">
        <v>411.491</v>
      </c>
      <c r="DW32">
        <v>40.4786833333333</v>
      </c>
      <c r="DX32">
        <v>499.967833333333</v>
      </c>
      <c r="DY32">
        <v>90.8411166666667</v>
      </c>
      <c r="DZ32">
        <v>0.09991315</v>
      </c>
      <c r="EA32">
        <v>50.8920166666667</v>
      </c>
      <c r="EB32">
        <v>48.0114</v>
      </c>
      <c r="EC32">
        <v>999.9</v>
      </c>
      <c r="ED32">
        <v>0</v>
      </c>
      <c r="EE32">
        <v>0</v>
      </c>
      <c r="EF32">
        <v>9999.275</v>
      </c>
      <c r="EG32">
        <v>0</v>
      </c>
      <c r="EH32">
        <v>1162.92166666667</v>
      </c>
      <c r="EI32">
        <v>-5.47052333333333</v>
      </c>
      <c r="EJ32">
        <v>432.127166666667</v>
      </c>
      <c r="EK32">
        <v>429.207</v>
      </c>
      <c r="EL32">
        <v>19.2726166666667</v>
      </c>
      <c r="EM32">
        <v>420.0355</v>
      </c>
      <c r="EN32">
        <v>21.3688</v>
      </c>
      <c r="EO32">
        <v>3.69191166666667</v>
      </c>
      <c r="EP32">
        <v>1.94116666666667</v>
      </c>
      <c r="EQ32">
        <v>27.5291333333333</v>
      </c>
      <c r="ER32">
        <v>16.9724333333333</v>
      </c>
      <c r="ES32">
        <v>599.976666666667</v>
      </c>
      <c r="ET32">
        <v>0.932972</v>
      </c>
      <c r="EU32">
        <v>0.067028</v>
      </c>
      <c r="EV32">
        <v>0</v>
      </c>
      <c r="EW32">
        <v>900.713333333333</v>
      </c>
      <c r="EX32">
        <v>5.00059</v>
      </c>
      <c r="EY32">
        <v>5793.77</v>
      </c>
      <c r="EZ32">
        <v>5105.26333333333</v>
      </c>
      <c r="FA32">
        <v>57.875</v>
      </c>
      <c r="FB32">
        <v>59.3435</v>
      </c>
      <c r="FC32">
        <v>58.312</v>
      </c>
      <c r="FD32">
        <v>59.229</v>
      </c>
      <c r="FE32">
        <v>59.781</v>
      </c>
      <c r="FF32">
        <v>555.095</v>
      </c>
      <c r="FG32">
        <v>39.88</v>
      </c>
      <c r="FH32">
        <v>0</v>
      </c>
      <c r="FI32">
        <v>97</v>
      </c>
      <c r="FJ32">
        <v>0</v>
      </c>
      <c r="FK32">
        <v>900.476038461538</v>
      </c>
      <c r="FL32">
        <v>5.59141877647053</v>
      </c>
      <c r="FM32">
        <v>17.9723076571286</v>
      </c>
      <c r="FN32">
        <v>5792.795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-5.47811428571429</v>
      </c>
      <c r="GD32">
        <v>0.0889628571428507</v>
      </c>
      <c r="GE32">
        <v>0.0207968368866469</v>
      </c>
      <c r="GF32">
        <v>1</v>
      </c>
      <c r="GG32">
        <v>900.072352941177</v>
      </c>
      <c r="GH32">
        <v>5.66942704124496</v>
      </c>
      <c r="GI32">
        <v>0.600746001056586</v>
      </c>
      <c r="GJ32">
        <v>-1</v>
      </c>
      <c r="GK32">
        <v>19.2559523809524</v>
      </c>
      <c r="GL32">
        <v>0.122984415584427</v>
      </c>
      <c r="GM32">
        <v>0.0127010542887335</v>
      </c>
      <c r="GN32">
        <v>0</v>
      </c>
      <c r="GO32">
        <v>1</v>
      </c>
      <c r="GP32">
        <v>2</v>
      </c>
      <c r="GQ32" t="s">
        <v>454</v>
      </c>
      <c r="GR32">
        <v>3.12683</v>
      </c>
      <c r="GS32">
        <v>2.778</v>
      </c>
      <c r="GT32">
        <v>0.0843595</v>
      </c>
      <c r="GU32">
        <v>0.0857466</v>
      </c>
      <c r="GV32">
        <v>0.143893</v>
      </c>
      <c r="GW32">
        <v>0.0913186</v>
      </c>
      <c r="GX32">
        <v>33133.8</v>
      </c>
      <c r="GY32">
        <v>35087.4</v>
      </c>
      <c r="GZ32">
        <v>32849.3</v>
      </c>
      <c r="HA32">
        <v>34859.3</v>
      </c>
      <c r="HB32">
        <v>40125.3</v>
      </c>
      <c r="HC32">
        <v>45587.3</v>
      </c>
      <c r="HD32">
        <v>51522.4</v>
      </c>
      <c r="HE32">
        <v>55825.8</v>
      </c>
      <c r="HF32">
        <v>1.72333</v>
      </c>
      <c r="HG32">
        <v>2.04825</v>
      </c>
      <c r="HH32">
        <v>0.0628643</v>
      </c>
      <c r="HI32">
        <v>0</v>
      </c>
      <c r="HJ32">
        <v>47.0269</v>
      </c>
      <c r="HK32">
        <v>999.9</v>
      </c>
      <c r="HL32">
        <v>55.463</v>
      </c>
      <c r="HM32">
        <v>27.986</v>
      </c>
      <c r="HN32">
        <v>23.1487</v>
      </c>
      <c r="HO32">
        <v>59.453</v>
      </c>
      <c r="HP32">
        <v>32.524</v>
      </c>
      <c r="HQ32">
        <v>2</v>
      </c>
      <c r="HR32">
        <v>1.89753</v>
      </c>
      <c r="HS32">
        <v>-1.84532</v>
      </c>
      <c r="HT32">
        <v>20.1186</v>
      </c>
      <c r="HU32">
        <v>5.19273</v>
      </c>
      <c r="HV32">
        <v>12.0128</v>
      </c>
      <c r="HW32">
        <v>4.9715</v>
      </c>
      <c r="HX32">
        <v>3.295</v>
      </c>
      <c r="HY32">
        <v>999.9</v>
      </c>
      <c r="HZ32">
        <v>9999</v>
      </c>
      <c r="IA32">
        <v>9999</v>
      </c>
      <c r="IB32">
        <v>9999</v>
      </c>
      <c r="IC32">
        <v>1.86313</v>
      </c>
      <c r="ID32">
        <v>1.86813</v>
      </c>
      <c r="IE32">
        <v>1.86784</v>
      </c>
      <c r="IF32">
        <v>1.86903</v>
      </c>
      <c r="IG32">
        <v>1.86982</v>
      </c>
      <c r="IH32">
        <v>1.86585</v>
      </c>
      <c r="II32">
        <v>1.86705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3.074</v>
      </c>
      <c r="IY32">
        <v>0.1627</v>
      </c>
      <c r="IZ32">
        <v>1.12264184085783</v>
      </c>
      <c r="JA32">
        <v>0.00531519531824411</v>
      </c>
      <c r="JB32">
        <v>-1.58401274662554e-06</v>
      </c>
      <c r="JC32">
        <v>4.65529057017795e-10</v>
      </c>
      <c r="JD32">
        <v>0.162735096694976</v>
      </c>
      <c r="JE32">
        <v>0</v>
      </c>
      <c r="JF32">
        <v>0</v>
      </c>
      <c r="JG32">
        <v>0</v>
      </c>
      <c r="JH32">
        <v>4</v>
      </c>
      <c r="JI32">
        <v>2305</v>
      </c>
      <c r="JJ32">
        <v>-0</v>
      </c>
      <c r="JK32">
        <v>23</v>
      </c>
      <c r="JL32">
        <v>29373148.8</v>
      </c>
      <c r="JM32">
        <v>29373148.8</v>
      </c>
      <c r="JN32">
        <v>1.13647</v>
      </c>
      <c r="JO32">
        <v>2.60986</v>
      </c>
      <c r="JP32">
        <v>2.19849</v>
      </c>
      <c r="JQ32">
        <v>2.64038</v>
      </c>
      <c r="JR32">
        <v>2.44507</v>
      </c>
      <c r="JS32">
        <v>2.33643</v>
      </c>
      <c r="JT32">
        <v>32.4654</v>
      </c>
      <c r="JU32">
        <v>24.1926</v>
      </c>
      <c r="JV32">
        <v>18</v>
      </c>
      <c r="JW32">
        <v>499.691</v>
      </c>
      <c r="JX32">
        <v>769.903</v>
      </c>
      <c r="JY32">
        <v>53.8595</v>
      </c>
      <c r="JZ32">
        <v>49.4692</v>
      </c>
      <c r="KA32">
        <v>29.9974</v>
      </c>
      <c r="KB32">
        <v>49.2816</v>
      </c>
      <c r="KC32">
        <v>49.1134</v>
      </c>
      <c r="KD32">
        <v>22.7646</v>
      </c>
      <c r="KE32">
        <v>0</v>
      </c>
      <c r="KF32">
        <v>100</v>
      </c>
      <c r="KG32">
        <v>53.7602</v>
      </c>
      <c r="KH32">
        <v>420</v>
      </c>
      <c r="KI32">
        <v>67.7987</v>
      </c>
      <c r="KJ32">
        <v>93.4597</v>
      </c>
      <c r="KK32">
        <v>90.3796</v>
      </c>
    </row>
    <row r="33" spans="1:297">
      <c r="A33">
        <v>17</v>
      </c>
      <c r="B33">
        <v>1762389000.1</v>
      </c>
      <c r="C33">
        <v>2055.09999990463</v>
      </c>
      <c r="D33" t="s">
        <v>507</v>
      </c>
      <c r="E33" t="s">
        <v>508</v>
      </c>
      <c r="F33">
        <v>5</v>
      </c>
      <c r="G33" t="s">
        <v>484</v>
      </c>
      <c r="H33" t="s">
        <v>436</v>
      </c>
      <c r="I33">
        <v>1762388996.6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429.050015350659</v>
      </c>
      <c r="AK33">
        <v>434.170642424242</v>
      </c>
      <c r="AL33">
        <v>-0.00326004725850382</v>
      </c>
      <c r="AM33">
        <v>64.2521179558838</v>
      </c>
      <c r="AN33">
        <f>(AP33 - AO33 + DY33*1E3/(8.314*(EA33+273.15)) * AR33/DX33 * AQ33) * DX33/(100*DL33) * 1000/(1000 - AP33)</f>
        <v>0</v>
      </c>
      <c r="AO33">
        <v>21.3625405929232</v>
      </c>
      <c r="AP33">
        <v>40.3488212121212</v>
      </c>
      <c r="AQ33">
        <v>-1.90801290768806e-05</v>
      </c>
      <c r="AR33">
        <v>97.0751396333885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477</v>
      </c>
      <c r="AY33" t="s">
        <v>477</v>
      </c>
      <c r="AZ33">
        <v>0</v>
      </c>
      <c r="BA33">
        <v>0</v>
      </c>
      <c r="BB33">
        <f>1-AZ33/BA33</f>
        <v>0</v>
      </c>
      <c r="BC33">
        <v>0</v>
      </c>
      <c r="BD33" t="s">
        <v>477</v>
      </c>
      <c r="BE33" t="s">
        <v>477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477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476</v>
      </c>
      <c r="CA33">
        <v>290</v>
      </c>
      <c r="CB33">
        <v>1099.17</v>
      </c>
      <c r="CC33">
        <v>295</v>
      </c>
      <c r="CD33">
        <v>5096.54</v>
      </c>
      <c r="CE33">
        <v>1098.61</v>
      </c>
      <c r="CF33">
        <v>0.56</v>
      </c>
      <c r="CG33">
        <v>300</v>
      </c>
      <c r="CH33">
        <v>23.9</v>
      </c>
      <c r="CI33">
        <v>1160.17347325858</v>
      </c>
      <c r="CJ33">
        <v>1.65273442534714</v>
      </c>
      <c r="CK33">
        <v>-31.3775450692793</v>
      </c>
      <c r="CL33">
        <v>0.743930408440991</v>
      </c>
      <c r="CM33">
        <v>0.984504610983422</v>
      </c>
      <c r="CN33">
        <v>-0.0037172382647386</v>
      </c>
      <c r="CO33">
        <v>290</v>
      </c>
      <c r="CP33">
        <v>1094</v>
      </c>
      <c r="CQ33">
        <v>685</v>
      </c>
      <c r="CR33">
        <v>5093.79</v>
      </c>
      <c r="CS33">
        <v>1098.57</v>
      </c>
      <c r="CT33">
        <v>-4.57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1762388996.6</v>
      </c>
      <c r="DR33">
        <v>416.660333333333</v>
      </c>
      <c r="DS33">
        <v>419.900333333333</v>
      </c>
      <c r="DT33">
        <v>40.3487</v>
      </c>
      <c r="DU33">
        <v>21.36255</v>
      </c>
      <c r="DV33">
        <v>413.577333333333</v>
      </c>
      <c r="DW33">
        <v>40.18595</v>
      </c>
      <c r="DX33">
        <v>500.033666666667</v>
      </c>
      <c r="DY33">
        <v>90.84585</v>
      </c>
      <c r="DZ33">
        <v>0.10003055</v>
      </c>
      <c r="EA33">
        <v>50.8794833333333</v>
      </c>
      <c r="EB33">
        <v>47.92845</v>
      </c>
      <c r="EC33">
        <v>999.9</v>
      </c>
      <c r="ED33">
        <v>0</v>
      </c>
      <c r="EE33">
        <v>0</v>
      </c>
      <c r="EF33">
        <v>9990.60833333333</v>
      </c>
      <c r="EG33">
        <v>0</v>
      </c>
      <c r="EH33">
        <v>1163.46</v>
      </c>
      <c r="EI33">
        <v>-3.24004</v>
      </c>
      <c r="EJ33">
        <v>434.178833333333</v>
      </c>
      <c r="EK33">
        <v>429.066333333333</v>
      </c>
      <c r="EL33">
        <v>18.9861166666667</v>
      </c>
      <c r="EM33">
        <v>419.900333333333</v>
      </c>
      <c r="EN33">
        <v>21.36255</v>
      </c>
      <c r="EO33">
        <v>3.66551166666667</v>
      </c>
      <c r="EP33">
        <v>1.94070166666667</v>
      </c>
      <c r="EQ33">
        <v>27.4065333333333</v>
      </c>
      <c r="ER33">
        <v>16.9686333333333</v>
      </c>
      <c r="ES33">
        <v>299.996166666667</v>
      </c>
      <c r="ET33">
        <v>0.899993</v>
      </c>
      <c r="EU33">
        <v>0.100007</v>
      </c>
      <c r="EV33">
        <v>0</v>
      </c>
      <c r="EW33">
        <v>829.578833333333</v>
      </c>
      <c r="EX33">
        <v>5.00059</v>
      </c>
      <c r="EY33">
        <v>2769.84666666667</v>
      </c>
      <c r="EZ33">
        <v>2506.15</v>
      </c>
      <c r="FA33">
        <v>57.3016666666667</v>
      </c>
      <c r="FB33">
        <v>59.0935</v>
      </c>
      <c r="FC33">
        <v>57.937</v>
      </c>
      <c r="FD33">
        <v>59</v>
      </c>
      <c r="FE33">
        <v>59.375</v>
      </c>
      <c r="FF33">
        <v>265.493333333333</v>
      </c>
      <c r="FG33">
        <v>29.5</v>
      </c>
      <c r="FH33">
        <v>0</v>
      </c>
      <c r="FI33">
        <v>66.7999999523163</v>
      </c>
      <c r="FJ33">
        <v>0</v>
      </c>
      <c r="FK33">
        <v>829.246076923077</v>
      </c>
      <c r="FL33">
        <v>4.66099145102548</v>
      </c>
      <c r="FM33">
        <v>-2.23897438976605</v>
      </c>
      <c r="FN33">
        <v>2770.04423076923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-3.21421285714286</v>
      </c>
      <c r="GD33">
        <v>0.050441298701302</v>
      </c>
      <c r="GE33">
        <v>0.157362547645113</v>
      </c>
      <c r="GF33">
        <v>1</v>
      </c>
      <c r="GG33">
        <v>828.976941176471</v>
      </c>
      <c r="GH33">
        <v>4.07789151227287</v>
      </c>
      <c r="GI33">
        <v>0.452623070113101</v>
      </c>
      <c r="GJ33">
        <v>-1</v>
      </c>
      <c r="GK33">
        <v>18.9852761904762</v>
      </c>
      <c r="GL33">
        <v>-0.0246077922077764</v>
      </c>
      <c r="GM33">
        <v>0.00700985053586355</v>
      </c>
      <c r="GN33">
        <v>1</v>
      </c>
      <c r="GO33">
        <v>2</v>
      </c>
      <c r="GP33">
        <v>2</v>
      </c>
      <c r="GQ33" t="s">
        <v>478</v>
      </c>
      <c r="GR33">
        <v>3.12688</v>
      </c>
      <c r="GS33">
        <v>2.77793</v>
      </c>
      <c r="GT33">
        <v>0.0847538</v>
      </c>
      <c r="GU33">
        <v>0.085793</v>
      </c>
      <c r="GV33">
        <v>0.143261</v>
      </c>
      <c r="GW33">
        <v>0.0913597</v>
      </c>
      <c r="GX33">
        <v>33134.5</v>
      </c>
      <c r="GY33">
        <v>35105.4</v>
      </c>
      <c r="GZ33">
        <v>32862.9</v>
      </c>
      <c r="HA33">
        <v>34877.7</v>
      </c>
      <c r="HB33">
        <v>40164</v>
      </c>
      <c r="HC33">
        <v>45607.8</v>
      </c>
      <c r="HD33">
        <v>51539.7</v>
      </c>
      <c r="HE33">
        <v>55853.5</v>
      </c>
      <c r="HF33">
        <v>1.72572</v>
      </c>
      <c r="HG33">
        <v>2.05128</v>
      </c>
      <c r="HH33">
        <v>0.0507757</v>
      </c>
      <c r="HI33">
        <v>0</v>
      </c>
      <c r="HJ33">
        <v>47.1321</v>
      </c>
      <c r="HK33">
        <v>999.9</v>
      </c>
      <c r="HL33">
        <v>55.463</v>
      </c>
      <c r="HM33">
        <v>27.986</v>
      </c>
      <c r="HN33">
        <v>23.1473</v>
      </c>
      <c r="HO33">
        <v>59.623</v>
      </c>
      <c r="HP33">
        <v>32.504</v>
      </c>
      <c r="HQ33">
        <v>2</v>
      </c>
      <c r="HR33">
        <v>1.88011</v>
      </c>
      <c r="HS33">
        <v>-2.99129</v>
      </c>
      <c r="HT33">
        <v>20.1068</v>
      </c>
      <c r="HU33">
        <v>5.19213</v>
      </c>
      <c r="HV33">
        <v>12.0156</v>
      </c>
      <c r="HW33">
        <v>4.97135</v>
      </c>
      <c r="HX33">
        <v>3.295</v>
      </c>
      <c r="HY33">
        <v>999.9</v>
      </c>
      <c r="HZ33">
        <v>9999</v>
      </c>
      <c r="IA33">
        <v>9999</v>
      </c>
      <c r="IB33">
        <v>9999</v>
      </c>
      <c r="IC33">
        <v>1.86314</v>
      </c>
      <c r="ID33">
        <v>1.86812</v>
      </c>
      <c r="IE33">
        <v>1.86784</v>
      </c>
      <c r="IF33">
        <v>1.86903</v>
      </c>
      <c r="IG33">
        <v>1.86988</v>
      </c>
      <c r="IH33">
        <v>1.86584</v>
      </c>
      <c r="II33">
        <v>1.86706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3.083</v>
      </c>
      <c r="IY33">
        <v>0.1627</v>
      </c>
      <c r="IZ33">
        <v>1.12264184085783</v>
      </c>
      <c r="JA33">
        <v>0.00531519531824411</v>
      </c>
      <c r="JB33">
        <v>-1.58401274662554e-06</v>
      </c>
      <c r="JC33">
        <v>4.65529057017795e-10</v>
      </c>
      <c r="JD33">
        <v>0.162735096694976</v>
      </c>
      <c r="JE33">
        <v>0</v>
      </c>
      <c r="JF33">
        <v>0</v>
      </c>
      <c r="JG33">
        <v>0</v>
      </c>
      <c r="JH33">
        <v>4</v>
      </c>
      <c r="JI33">
        <v>2305</v>
      </c>
      <c r="JJ33">
        <v>-0</v>
      </c>
      <c r="JK33">
        <v>23</v>
      </c>
      <c r="JL33">
        <v>29373150</v>
      </c>
      <c r="JM33">
        <v>29373150</v>
      </c>
      <c r="JN33">
        <v>1.13525</v>
      </c>
      <c r="JO33">
        <v>2.60986</v>
      </c>
      <c r="JP33">
        <v>2.19849</v>
      </c>
      <c r="JQ33">
        <v>2.64038</v>
      </c>
      <c r="JR33">
        <v>2.44629</v>
      </c>
      <c r="JS33">
        <v>2.31445</v>
      </c>
      <c r="JT33">
        <v>32.4654</v>
      </c>
      <c r="JU33">
        <v>24.1926</v>
      </c>
      <c r="JV33">
        <v>18</v>
      </c>
      <c r="JW33">
        <v>499.822</v>
      </c>
      <c r="JX33">
        <v>770.298</v>
      </c>
      <c r="JY33">
        <v>54.3249</v>
      </c>
      <c r="JZ33">
        <v>49.2258</v>
      </c>
      <c r="KA33">
        <v>29.9988</v>
      </c>
      <c r="KB33">
        <v>49.0194</v>
      </c>
      <c r="KC33">
        <v>48.8499</v>
      </c>
      <c r="KD33">
        <v>22.7397</v>
      </c>
      <c r="KE33">
        <v>0</v>
      </c>
      <c r="KF33">
        <v>100</v>
      </c>
      <c r="KG33">
        <v>54.3549</v>
      </c>
      <c r="KH33">
        <v>420</v>
      </c>
      <c r="KI33">
        <v>67.7987</v>
      </c>
      <c r="KJ33">
        <v>93.4939</v>
      </c>
      <c r="KK33">
        <v>90.4256</v>
      </c>
    </row>
    <row r="34" spans="1:297">
      <c r="A34">
        <v>18</v>
      </c>
      <c r="B34">
        <v>1762389061.1</v>
      </c>
      <c r="C34">
        <v>2116.09999990463</v>
      </c>
      <c r="D34" t="s">
        <v>509</v>
      </c>
      <c r="E34" t="s">
        <v>510</v>
      </c>
      <c r="F34">
        <v>5</v>
      </c>
      <c r="G34" t="s">
        <v>484</v>
      </c>
      <c r="H34" t="s">
        <v>436</v>
      </c>
      <c r="I34">
        <v>1762389057.6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429.197842167748</v>
      </c>
      <c r="AK34">
        <v>436.361272727272</v>
      </c>
      <c r="AL34">
        <v>-0.00247006009121997</v>
      </c>
      <c r="AM34">
        <v>64.2521179558838</v>
      </c>
      <c r="AN34">
        <f>(AP34 - AO34 + DY34*1E3/(8.314*(EA34+273.15)) * AR34/DX34 * AQ34) * DX34/(100*DL34) * 1000/(1000 - AP34)</f>
        <v>0</v>
      </c>
      <c r="AO34">
        <v>21.3517210185455</v>
      </c>
      <c r="AP34">
        <v>40.1982909090909</v>
      </c>
      <c r="AQ34">
        <v>-0.000150111937056868</v>
      </c>
      <c r="AR34">
        <v>97.0751396333885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481</v>
      </c>
      <c r="AY34">
        <v>5085.19</v>
      </c>
      <c r="AZ34">
        <v>1286.83461538462</v>
      </c>
      <c r="BA34">
        <v>1548.88</v>
      </c>
      <c r="BB34">
        <f>1-AZ34/BA34</f>
        <v>0</v>
      </c>
      <c r="BC34">
        <v>-8.80316614666496</v>
      </c>
      <c r="BD34" t="s">
        <v>511</v>
      </c>
      <c r="BE34">
        <v>5075.79</v>
      </c>
      <c r="BF34">
        <v>761.488230769231</v>
      </c>
      <c r="BG34">
        <v>1408.35744637313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512</v>
      </c>
      <c r="BQ34">
        <v>681.53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478</v>
      </c>
      <c r="CA34">
        <v>290</v>
      </c>
      <c r="CB34">
        <v>1308.51</v>
      </c>
      <c r="CC34">
        <v>285</v>
      </c>
      <c r="CD34">
        <v>5075.79</v>
      </c>
      <c r="CE34">
        <v>1311.1</v>
      </c>
      <c r="CF34">
        <v>-2.59</v>
      </c>
      <c r="CG34">
        <v>300</v>
      </c>
      <c r="CH34">
        <v>23.9</v>
      </c>
      <c r="CI34">
        <v>1408.35744637313</v>
      </c>
      <c r="CJ34">
        <v>2.22614429991698</v>
      </c>
      <c r="CK34">
        <v>-49.3678185249315</v>
      </c>
      <c r="CL34">
        <v>0.983676817824817</v>
      </c>
      <c r="CM34">
        <v>0.989005543722666</v>
      </c>
      <c r="CN34">
        <v>-0.00407566006674083</v>
      </c>
      <c r="CO34">
        <v>290</v>
      </c>
      <c r="CP34">
        <v>1299.72</v>
      </c>
      <c r="CQ34">
        <v>635</v>
      </c>
      <c r="CR34">
        <v>5073.68</v>
      </c>
      <c r="CS34">
        <v>1311.06</v>
      </c>
      <c r="CT34">
        <v>-11.34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1762389057.6</v>
      </c>
      <c r="DR34">
        <v>418.844333333333</v>
      </c>
      <c r="DS34">
        <v>420.0325</v>
      </c>
      <c r="DT34">
        <v>40.2019666666667</v>
      </c>
      <c r="DU34">
        <v>21.3517166666667</v>
      </c>
      <c r="DV34">
        <v>415.752166666667</v>
      </c>
      <c r="DW34">
        <v>40.0392333333333</v>
      </c>
      <c r="DX34">
        <v>500.043333333333</v>
      </c>
      <c r="DY34">
        <v>90.8509833333333</v>
      </c>
      <c r="DZ34">
        <v>0.10004355</v>
      </c>
      <c r="EA34">
        <v>50.9512333333333</v>
      </c>
      <c r="EB34">
        <v>47.9849166666667</v>
      </c>
      <c r="EC34">
        <v>999.9</v>
      </c>
      <c r="ED34">
        <v>0</v>
      </c>
      <c r="EE34">
        <v>0</v>
      </c>
      <c r="EF34">
        <v>10007.4916666667</v>
      </c>
      <c r="EG34">
        <v>0</v>
      </c>
      <c r="EH34">
        <v>1163.81</v>
      </c>
      <c r="EI34">
        <v>-1.188</v>
      </c>
      <c r="EJ34">
        <v>436.388166666667</v>
      </c>
      <c r="EK34">
        <v>429.1965</v>
      </c>
      <c r="EL34">
        <v>18.8502333333333</v>
      </c>
      <c r="EM34">
        <v>420.0325</v>
      </c>
      <c r="EN34">
        <v>21.3517166666667</v>
      </c>
      <c r="EO34">
        <v>3.65238666666667</v>
      </c>
      <c r="EP34">
        <v>1.93982333333333</v>
      </c>
      <c r="EQ34">
        <v>27.3452833333333</v>
      </c>
      <c r="ER34">
        <v>16.9615333333333</v>
      </c>
      <c r="ES34">
        <v>150.008333333333</v>
      </c>
      <c r="ET34">
        <v>0.900003333333333</v>
      </c>
      <c r="EU34">
        <v>0.0999968333333333</v>
      </c>
      <c r="EV34">
        <v>0</v>
      </c>
      <c r="EW34">
        <v>761.4275</v>
      </c>
      <c r="EX34">
        <v>5.00059</v>
      </c>
      <c r="EY34">
        <v>1404.82333333333</v>
      </c>
      <c r="EZ34">
        <v>1231.92833333333</v>
      </c>
      <c r="FA34">
        <v>56.7185</v>
      </c>
      <c r="FB34">
        <v>58.833</v>
      </c>
      <c r="FC34">
        <v>57.5413333333333</v>
      </c>
      <c r="FD34">
        <v>58.75</v>
      </c>
      <c r="FE34">
        <v>58.9266666666667</v>
      </c>
      <c r="FF34">
        <v>130.506666666667</v>
      </c>
      <c r="FG34">
        <v>14.5</v>
      </c>
      <c r="FH34">
        <v>0</v>
      </c>
      <c r="FI34">
        <v>128</v>
      </c>
      <c r="FJ34">
        <v>0</v>
      </c>
      <c r="FK34">
        <v>761.488230769231</v>
      </c>
      <c r="FL34">
        <v>-1.37087180074319</v>
      </c>
      <c r="FM34">
        <v>-20.7702564482369</v>
      </c>
      <c r="FN34">
        <v>1405.80961538462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-1.1619</v>
      </c>
      <c r="GD34">
        <v>-0.0698580451127826</v>
      </c>
      <c r="GE34">
        <v>0.0262629349083456</v>
      </c>
      <c r="GF34">
        <v>1</v>
      </c>
      <c r="GG34">
        <v>761.50794117647</v>
      </c>
      <c r="GH34">
        <v>-0.100381971699444</v>
      </c>
      <c r="GI34">
        <v>0.193031686087835</v>
      </c>
      <c r="GJ34">
        <v>-1</v>
      </c>
      <c r="GK34">
        <v>18.85401</v>
      </c>
      <c r="GL34">
        <v>-0.0282676691729339</v>
      </c>
      <c r="GM34">
        <v>0.00316431667189</v>
      </c>
      <c r="GN34">
        <v>1</v>
      </c>
      <c r="GO34">
        <v>2</v>
      </c>
      <c r="GP34">
        <v>2</v>
      </c>
      <c r="GQ34" t="s">
        <v>478</v>
      </c>
      <c r="GR34">
        <v>3.12703</v>
      </c>
      <c r="GS34">
        <v>2.77803</v>
      </c>
      <c r="GT34">
        <v>0.0851471</v>
      </c>
      <c r="GU34">
        <v>0.0858559</v>
      </c>
      <c r="GV34">
        <v>0.142956</v>
      </c>
      <c r="GW34">
        <v>0.0913704</v>
      </c>
      <c r="GX34">
        <v>33131.9</v>
      </c>
      <c r="GY34">
        <v>35118.2</v>
      </c>
      <c r="GZ34">
        <v>32873.5</v>
      </c>
      <c r="HA34">
        <v>34891.8</v>
      </c>
      <c r="HB34">
        <v>40185.9</v>
      </c>
      <c r="HC34">
        <v>45623.7</v>
      </c>
      <c r="HD34">
        <v>51553.1</v>
      </c>
      <c r="HE34">
        <v>55873.7</v>
      </c>
      <c r="HF34">
        <v>1.72742</v>
      </c>
      <c r="HG34">
        <v>2.0537</v>
      </c>
      <c r="HH34">
        <v>0.0483729</v>
      </c>
      <c r="HI34">
        <v>0</v>
      </c>
      <c r="HJ34">
        <v>47.2217</v>
      </c>
      <c r="HK34">
        <v>999.9</v>
      </c>
      <c r="HL34">
        <v>55.463</v>
      </c>
      <c r="HM34">
        <v>27.986</v>
      </c>
      <c r="HN34">
        <v>23.1481</v>
      </c>
      <c r="HO34">
        <v>59.673</v>
      </c>
      <c r="HP34">
        <v>32.52</v>
      </c>
      <c r="HQ34">
        <v>2</v>
      </c>
      <c r="HR34">
        <v>1.86345</v>
      </c>
      <c r="HS34">
        <v>-2.98677</v>
      </c>
      <c r="HT34">
        <v>20.109</v>
      </c>
      <c r="HU34">
        <v>5.18764</v>
      </c>
      <c r="HV34">
        <v>12.0156</v>
      </c>
      <c r="HW34">
        <v>4.97155</v>
      </c>
      <c r="HX34">
        <v>3.295</v>
      </c>
      <c r="HY34">
        <v>999.9</v>
      </c>
      <c r="HZ34">
        <v>9999</v>
      </c>
      <c r="IA34">
        <v>9999</v>
      </c>
      <c r="IB34">
        <v>9999</v>
      </c>
      <c r="IC34">
        <v>1.86318</v>
      </c>
      <c r="ID34">
        <v>1.86812</v>
      </c>
      <c r="IE34">
        <v>1.86784</v>
      </c>
      <c r="IF34">
        <v>1.86905</v>
      </c>
      <c r="IG34">
        <v>1.86985</v>
      </c>
      <c r="IH34">
        <v>1.86587</v>
      </c>
      <c r="II34">
        <v>1.86707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3.092</v>
      </c>
      <c r="IY34">
        <v>0.1627</v>
      </c>
      <c r="IZ34">
        <v>1.12264184085783</v>
      </c>
      <c r="JA34">
        <v>0.00531519531824411</v>
      </c>
      <c r="JB34">
        <v>-1.58401274662554e-06</v>
      </c>
      <c r="JC34">
        <v>4.65529057017795e-10</v>
      </c>
      <c r="JD34">
        <v>0.162735096694976</v>
      </c>
      <c r="JE34">
        <v>0</v>
      </c>
      <c r="JF34">
        <v>0</v>
      </c>
      <c r="JG34">
        <v>0</v>
      </c>
      <c r="JH34">
        <v>4</v>
      </c>
      <c r="JI34">
        <v>2305</v>
      </c>
      <c r="JJ34">
        <v>-0</v>
      </c>
      <c r="JK34">
        <v>23</v>
      </c>
      <c r="JL34">
        <v>29373151</v>
      </c>
      <c r="JM34">
        <v>29373151</v>
      </c>
      <c r="JN34">
        <v>1.13403</v>
      </c>
      <c r="JO34">
        <v>2.6062</v>
      </c>
      <c r="JP34">
        <v>2.19849</v>
      </c>
      <c r="JQ34">
        <v>2.64038</v>
      </c>
      <c r="JR34">
        <v>2.44507</v>
      </c>
      <c r="JS34">
        <v>2.34497</v>
      </c>
      <c r="JT34">
        <v>32.4433</v>
      </c>
      <c r="JU34">
        <v>24.1926</v>
      </c>
      <c r="JV34">
        <v>18</v>
      </c>
      <c r="JW34">
        <v>499.816</v>
      </c>
      <c r="JX34">
        <v>770.679</v>
      </c>
      <c r="JY34">
        <v>54.7849</v>
      </c>
      <c r="JZ34">
        <v>49.0408</v>
      </c>
      <c r="KA34">
        <v>29.9987</v>
      </c>
      <c r="KB34">
        <v>48.8184</v>
      </c>
      <c r="KC34">
        <v>48.6458</v>
      </c>
      <c r="KD34">
        <v>22.7299</v>
      </c>
      <c r="KE34">
        <v>0</v>
      </c>
      <c r="KF34">
        <v>100</v>
      </c>
      <c r="KG34">
        <v>54.7796</v>
      </c>
      <c r="KH34">
        <v>420</v>
      </c>
      <c r="KI34">
        <v>67.7987</v>
      </c>
      <c r="KJ34">
        <v>93.5205</v>
      </c>
      <c r="KK34">
        <v>90.4598</v>
      </c>
    </row>
    <row r="35" spans="1:297">
      <c r="A35">
        <v>19</v>
      </c>
      <c r="B35">
        <v>1762389148</v>
      </c>
      <c r="C35">
        <v>2203</v>
      </c>
      <c r="D35" t="s">
        <v>513</v>
      </c>
      <c r="E35" t="s">
        <v>514</v>
      </c>
      <c r="F35">
        <v>5</v>
      </c>
      <c r="G35" t="s">
        <v>484</v>
      </c>
      <c r="H35" t="s">
        <v>436</v>
      </c>
      <c r="I35">
        <v>1762389144.5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429.168357051036</v>
      </c>
      <c r="AK35">
        <v>439.192909090909</v>
      </c>
      <c r="AL35">
        <v>-0.00149267946841583</v>
      </c>
      <c r="AM35">
        <v>64.2521179558838</v>
      </c>
      <c r="AN35">
        <f>(AP35 - AO35 + DY35*1E3/(8.314*(EA35+273.15)) * AR35/DX35 * AQ35) * DX35/(100*DL35) * 1000/(1000 - AP35)</f>
        <v>0</v>
      </c>
      <c r="AO35">
        <v>21.3497152451287</v>
      </c>
      <c r="AP35">
        <v>40.0232436363636</v>
      </c>
      <c r="AQ35">
        <v>-0.000255070187752927</v>
      </c>
      <c r="AR35">
        <v>97.0751396333885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477</v>
      </c>
      <c r="AY35" t="s">
        <v>477</v>
      </c>
      <c r="AZ35">
        <v>0</v>
      </c>
      <c r="BA35">
        <v>0</v>
      </c>
      <c r="BB35">
        <f>1-AZ35/BA35</f>
        <v>0</v>
      </c>
      <c r="BC35">
        <v>0</v>
      </c>
      <c r="BD35" t="s">
        <v>477</v>
      </c>
      <c r="BE35" t="s">
        <v>477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477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478</v>
      </c>
      <c r="CA35">
        <v>290</v>
      </c>
      <c r="CB35">
        <v>1308.51</v>
      </c>
      <c r="CC35">
        <v>285</v>
      </c>
      <c r="CD35">
        <v>5075.79</v>
      </c>
      <c r="CE35">
        <v>1311.1</v>
      </c>
      <c r="CF35">
        <v>-2.59</v>
      </c>
      <c r="CG35">
        <v>300</v>
      </c>
      <c r="CH35">
        <v>23.9</v>
      </c>
      <c r="CI35">
        <v>1408.35744637313</v>
      </c>
      <c r="CJ35">
        <v>2.22614429991698</v>
      </c>
      <c r="CK35">
        <v>-49.3678185249315</v>
      </c>
      <c r="CL35">
        <v>0.983676817824817</v>
      </c>
      <c r="CM35">
        <v>0.989005543722666</v>
      </c>
      <c r="CN35">
        <v>-0.00407566006674083</v>
      </c>
      <c r="CO35">
        <v>290</v>
      </c>
      <c r="CP35">
        <v>1299.72</v>
      </c>
      <c r="CQ35">
        <v>635</v>
      </c>
      <c r="CR35">
        <v>5073.68</v>
      </c>
      <c r="CS35">
        <v>1311.06</v>
      </c>
      <c r="CT35">
        <v>-11.34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1762389144.5</v>
      </c>
      <c r="DR35">
        <v>421.637</v>
      </c>
      <c r="DS35">
        <v>420.0085</v>
      </c>
      <c r="DT35">
        <v>40.03295</v>
      </c>
      <c r="DU35">
        <v>21.3497166666667</v>
      </c>
      <c r="DV35">
        <v>418.533166666667</v>
      </c>
      <c r="DW35">
        <v>39.8702333333333</v>
      </c>
      <c r="DX35">
        <v>500.017833333333</v>
      </c>
      <c r="DY35">
        <v>90.8506333333333</v>
      </c>
      <c r="DZ35">
        <v>0.1000298</v>
      </c>
      <c r="EA35">
        <v>50.977</v>
      </c>
      <c r="EB35">
        <v>48.0171333333333</v>
      </c>
      <c r="EC35">
        <v>999.9</v>
      </c>
      <c r="ED35">
        <v>0</v>
      </c>
      <c r="EE35">
        <v>0</v>
      </c>
      <c r="EF35">
        <v>9993.74166666667</v>
      </c>
      <c r="EG35">
        <v>0</v>
      </c>
      <c r="EH35">
        <v>1164.48166666667</v>
      </c>
      <c r="EI35">
        <v>1.62879</v>
      </c>
      <c r="EJ35">
        <v>439.220333333333</v>
      </c>
      <c r="EK35">
        <v>429.170833333333</v>
      </c>
      <c r="EL35">
        <v>18.68325</v>
      </c>
      <c r="EM35">
        <v>420.0085</v>
      </c>
      <c r="EN35">
        <v>21.3497166666667</v>
      </c>
      <c r="EO35">
        <v>3.63702166666667</v>
      </c>
      <c r="EP35">
        <v>1.93963333333333</v>
      </c>
      <c r="EQ35">
        <v>27.2733</v>
      </c>
      <c r="ER35">
        <v>16.9599833333333</v>
      </c>
      <c r="ES35">
        <v>50.0536</v>
      </c>
      <c r="ET35">
        <v>0.900241</v>
      </c>
      <c r="EU35">
        <v>0.0997591</v>
      </c>
      <c r="EV35">
        <v>0</v>
      </c>
      <c r="EW35">
        <v>701.258166666667</v>
      </c>
      <c r="EX35">
        <v>5.00059</v>
      </c>
      <c r="EY35">
        <v>589.708333333333</v>
      </c>
      <c r="EZ35">
        <v>382.779333333333</v>
      </c>
      <c r="FA35">
        <v>56.0516666666667</v>
      </c>
      <c r="FB35">
        <v>58.437</v>
      </c>
      <c r="FC35">
        <v>57</v>
      </c>
      <c r="FD35">
        <v>58.437</v>
      </c>
      <c r="FE35">
        <v>58.375</v>
      </c>
      <c r="FF35">
        <v>40.5583333333333</v>
      </c>
      <c r="FG35">
        <v>4.49166666666667</v>
      </c>
      <c r="FH35">
        <v>0</v>
      </c>
      <c r="FI35">
        <v>84.4000000953674</v>
      </c>
      <c r="FJ35">
        <v>0</v>
      </c>
      <c r="FK35">
        <v>701.23084</v>
      </c>
      <c r="FL35">
        <v>-1.27553846890464</v>
      </c>
      <c r="FM35">
        <v>-11.0732307081259</v>
      </c>
      <c r="FN35">
        <v>590.2498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1.63589285714286</v>
      </c>
      <c r="GD35">
        <v>0.0997698701298707</v>
      </c>
      <c r="GE35">
        <v>0.0493374991300548</v>
      </c>
      <c r="GF35">
        <v>1</v>
      </c>
      <c r="GG35">
        <v>701.3865</v>
      </c>
      <c r="GH35">
        <v>-1.60640183903746</v>
      </c>
      <c r="GI35">
        <v>0.237879758306083</v>
      </c>
      <c r="GJ35">
        <v>-1</v>
      </c>
      <c r="GK35">
        <v>18.6962666666667</v>
      </c>
      <c r="GL35">
        <v>-0.0987506493506119</v>
      </c>
      <c r="GM35">
        <v>0.0106747737048984</v>
      </c>
      <c r="GN35">
        <v>1</v>
      </c>
      <c r="GO35">
        <v>2</v>
      </c>
      <c r="GP35">
        <v>2</v>
      </c>
      <c r="GQ35" t="s">
        <v>478</v>
      </c>
      <c r="GR35">
        <v>3.12698</v>
      </c>
      <c r="GS35">
        <v>2.77786</v>
      </c>
      <c r="GT35">
        <v>0.0856398</v>
      </c>
      <c r="GU35">
        <v>0.0859068</v>
      </c>
      <c r="GV35">
        <v>0.142589</v>
      </c>
      <c r="GW35">
        <v>0.0914166</v>
      </c>
      <c r="GX35">
        <v>33127.5</v>
      </c>
      <c r="GY35">
        <v>35135</v>
      </c>
      <c r="GZ35">
        <v>32885.6</v>
      </c>
      <c r="HA35">
        <v>34909.3</v>
      </c>
      <c r="HB35">
        <v>40211.6</v>
      </c>
      <c r="HC35">
        <v>45642.5</v>
      </c>
      <c r="HD35">
        <v>51568.3</v>
      </c>
      <c r="HE35">
        <v>55899.6</v>
      </c>
      <c r="HF35">
        <v>1.72948</v>
      </c>
      <c r="HG35">
        <v>2.05655</v>
      </c>
      <c r="HH35">
        <v>0.0416115</v>
      </c>
      <c r="HI35">
        <v>0</v>
      </c>
      <c r="HJ35">
        <v>47.3622</v>
      </c>
      <c r="HK35">
        <v>999.9</v>
      </c>
      <c r="HL35">
        <v>55.463</v>
      </c>
      <c r="HM35">
        <v>27.976</v>
      </c>
      <c r="HN35">
        <v>23.1338</v>
      </c>
      <c r="HO35">
        <v>59.793</v>
      </c>
      <c r="HP35">
        <v>32.6963</v>
      </c>
      <c r="HQ35">
        <v>2</v>
      </c>
      <c r="HR35">
        <v>1.84102</v>
      </c>
      <c r="HS35">
        <v>-2.6367</v>
      </c>
      <c r="HT35">
        <v>20.1158</v>
      </c>
      <c r="HU35">
        <v>5.19213</v>
      </c>
      <c r="HV35">
        <v>12.0158</v>
      </c>
      <c r="HW35">
        <v>4.97125</v>
      </c>
      <c r="HX35">
        <v>3.295</v>
      </c>
      <c r="HY35">
        <v>999.9</v>
      </c>
      <c r="HZ35">
        <v>9999</v>
      </c>
      <c r="IA35">
        <v>9999</v>
      </c>
      <c r="IB35">
        <v>9999</v>
      </c>
      <c r="IC35">
        <v>1.86315</v>
      </c>
      <c r="ID35">
        <v>1.86812</v>
      </c>
      <c r="IE35">
        <v>1.86784</v>
      </c>
      <c r="IF35">
        <v>1.86903</v>
      </c>
      <c r="IG35">
        <v>1.86983</v>
      </c>
      <c r="IH35">
        <v>1.86588</v>
      </c>
      <c r="II35">
        <v>1.86704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3.104</v>
      </c>
      <c r="IY35">
        <v>0.1627</v>
      </c>
      <c r="IZ35">
        <v>1.12264184085783</v>
      </c>
      <c r="JA35">
        <v>0.00531519531824411</v>
      </c>
      <c r="JB35">
        <v>-1.58401274662554e-06</v>
      </c>
      <c r="JC35">
        <v>4.65529057017795e-10</v>
      </c>
      <c r="JD35">
        <v>0.162735096694976</v>
      </c>
      <c r="JE35">
        <v>0</v>
      </c>
      <c r="JF35">
        <v>0</v>
      </c>
      <c r="JG35">
        <v>0</v>
      </c>
      <c r="JH35">
        <v>4</v>
      </c>
      <c r="JI35">
        <v>2305</v>
      </c>
      <c r="JJ35">
        <v>-0</v>
      </c>
      <c r="JK35">
        <v>23</v>
      </c>
      <c r="JL35">
        <v>29373152.5</v>
      </c>
      <c r="JM35">
        <v>29373152.5</v>
      </c>
      <c r="JN35">
        <v>1.13403</v>
      </c>
      <c r="JO35">
        <v>2.61353</v>
      </c>
      <c r="JP35">
        <v>2.19849</v>
      </c>
      <c r="JQ35">
        <v>2.64038</v>
      </c>
      <c r="JR35">
        <v>2.44629</v>
      </c>
      <c r="JS35">
        <v>2.29126</v>
      </c>
      <c r="JT35">
        <v>32.4212</v>
      </c>
      <c r="JU35">
        <v>24.1926</v>
      </c>
      <c r="JV35">
        <v>18</v>
      </c>
      <c r="JW35">
        <v>499.757</v>
      </c>
      <c r="JX35">
        <v>770.993</v>
      </c>
      <c r="JY35">
        <v>54.4832</v>
      </c>
      <c r="JZ35">
        <v>48.8152</v>
      </c>
      <c r="KA35">
        <v>29.999</v>
      </c>
      <c r="KB35">
        <v>48.5687</v>
      </c>
      <c r="KC35">
        <v>48.3938</v>
      </c>
      <c r="KD35">
        <v>22.7065</v>
      </c>
      <c r="KE35">
        <v>0</v>
      </c>
      <c r="KF35">
        <v>100</v>
      </c>
      <c r="KG35">
        <v>54.4608</v>
      </c>
      <c r="KH35">
        <v>420</v>
      </c>
      <c r="KI35">
        <v>67.7987</v>
      </c>
      <c r="KJ35">
        <v>93.5508</v>
      </c>
      <c r="KK35">
        <v>90.503</v>
      </c>
    </row>
    <row r="36" spans="1:297">
      <c r="A36">
        <v>20</v>
      </c>
      <c r="B36">
        <v>1762389239</v>
      </c>
      <c r="C36">
        <v>2294</v>
      </c>
      <c r="D36" t="s">
        <v>515</v>
      </c>
      <c r="E36" t="s">
        <v>516</v>
      </c>
      <c r="F36">
        <v>5</v>
      </c>
      <c r="G36" t="s">
        <v>484</v>
      </c>
      <c r="H36" t="s">
        <v>436</v>
      </c>
      <c r="I36">
        <v>1762389235.5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429.190047078445</v>
      </c>
      <c r="AK36">
        <v>441.622084848485</v>
      </c>
      <c r="AL36">
        <v>-0.022522071037806</v>
      </c>
      <c r="AM36">
        <v>64.2521179558838</v>
      </c>
      <c r="AN36">
        <f>(AP36 - AO36 + DY36*1E3/(8.314*(EA36+273.15)) * AR36/DX36 * AQ36) * DX36/(100*DL36) * 1000/(1000 - AP36)</f>
        <v>0</v>
      </c>
      <c r="AO36">
        <v>21.3202692381748</v>
      </c>
      <c r="AP36">
        <v>39.7570642424242</v>
      </c>
      <c r="AQ36">
        <v>-9.23272229402234e-05</v>
      </c>
      <c r="AR36">
        <v>97.0751396333885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517</v>
      </c>
      <c r="AY36">
        <v>5066.66</v>
      </c>
      <c r="AZ36">
        <v>639.826923076923</v>
      </c>
      <c r="BA36">
        <v>1736.46</v>
      </c>
      <c r="BB36">
        <f>1-AZ36/BA36</f>
        <v>0</v>
      </c>
      <c r="BC36">
        <v>-10.0583227723073</v>
      </c>
      <c r="BD36" t="s">
        <v>477</v>
      </c>
      <c r="BE36" t="s">
        <v>477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477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480</v>
      </c>
      <c r="CA36">
        <v>290</v>
      </c>
      <c r="CB36">
        <v>1736.46</v>
      </c>
      <c r="CC36">
        <v>295</v>
      </c>
      <c r="CD36">
        <v>5066.66</v>
      </c>
      <c r="CE36">
        <v>1754.01</v>
      </c>
      <c r="CF36">
        <v>-17.55</v>
      </c>
      <c r="CG36">
        <v>300</v>
      </c>
      <c r="CH36">
        <v>23.9</v>
      </c>
      <c r="CI36">
        <v>1703.29269566234</v>
      </c>
      <c r="CJ36">
        <v>9.01634956862678</v>
      </c>
      <c r="CK36">
        <v>25.6960325648756</v>
      </c>
      <c r="CL36">
        <v>3.95818043453138</v>
      </c>
      <c r="CM36">
        <v>0.60082405013325</v>
      </c>
      <c r="CN36">
        <v>-0.00418871012235818</v>
      </c>
      <c r="CO36">
        <v>290</v>
      </c>
      <c r="CP36">
        <v>1777.38</v>
      </c>
      <c r="CQ36">
        <v>725</v>
      </c>
      <c r="CR36">
        <v>5063.63</v>
      </c>
      <c r="CS36">
        <v>1754.04</v>
      </c>
      <c r="CT36">
        <v>23.34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1762389235.5</v>
      </c>
      <c r="DR36">
        <v>424.118666666667</v>
      </c>
      <c r="DS36">
        <v>420.029833333333</v>
      </c>
      <c r="DT36">
        <v>39.7613333333333</v>
      </c>
      <c r="DU36">
        <v>21.3204666666667</v>
      </c>
      <c r="DV36">
        <v>421.004333333333</v>
      </c>
      <c r="DW36">
        <v>39.5986166666667</v>
      </c>
      <c r="DX36">
        <v>499.939166666667</v>
      </c>
      <c r="DY36">
        <v>90.8578</v>
      </c>
      <c r="DZ36">
        <v>0.09986645</v>
      </c>
      <c r="EA36">
        <v>50.93185</v>
      </c>
      <c r="EB36">
        <v>48.0323833333333</v>
      </c>
      <c r="EC36">
        <v>999.9</v>
      </c>
      <c r="ED36">
        <v>0</v>
      </c>
      <c r="EE36">
        <v>0</v>
      </c>
      <c r="EF36">
        <v>10005.6433333333</v>
      </c>
      <c r="EG36">
        <v>0</v>
      </c>
      <c r="EH36">
        <v>1164.69833333333</v>
      </c>
      <c r="EI36">
        <v>4.08874</v>
      </c>
      <c r="EJ36">
        <v>441.680333333333</v>
      </c>
      <c r="EK36">
        <v>429.180166666667</v>
      </c>
      <c r="EL36">
        <v>18.4408833333333</v>
      </c>
      <c r="EM36">
        <v>420.029833333333</v>
      </c>
      <c r="EN36">
        <v>21.3204666666667</v>
      </c>
      <c r="EO36">
        <v>3.61263</v>
      </c>
      <c r="EP36">
        <v>1.93713</v>
      </c>
      <c r="EQ36">
        <v>27.1585833333333</v>
      </c>
      <c r="ER36">
        <v>16.9396166666667</v>
      </c>
      <c r="ES36">
        <v>0.00500059</v>
      </c>
      <c r="ET36">
        <v>0</v>
      </c>
      <c r="EU36">
        <v>0</v>
      </c>
      <c r="EV36">
        <v>0</v>
      </c>
      <c r="EW36">
        <v>635.733333333333</v>
      </c>
      <c r="EX36">
        <v>0.00500059</v>
      </c>
      <c r="EY36">
        <v>244.8</v>
      </c>
      <c r="EZ36">
        <v>3.08333333333333</v>
      </c>
      <c r="FA36">
        <v>55.312</v>
      </c>
      <c r="FB36">
        <v>58</v>
      </c>
      <c r="FC36">
        <v>56.406</v>
      </c>
      <c r="FD36">
        <v>57.937</v>
      </c>
      <c r="FE36">
        <v>57.5935</v>
      </c>
      <c r="FF36">
        <v>0</v>
      </c>
      <c r="FG36">
        <v>0</v>
      </c>
      <c r="FH36">
        <v>0</v>
      </c>
      <c r="FI36">
        <v>175</v>
      </c>
      <c r="FJ36">
        <v>0</v>
      </c>
      <c r="FK36">
        <v>639.826923076923</v>
      </c>
      <c r="FL36">
        <v>-14.5264957289217</v>
      </c>
      <c r="FM36">
        <v>-12.652991233415</v>
      </c>
      <c r="FN36">
        <v>245.003846153846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4.10284</v>
      </c>
      <c r="GD36">
        <v>-0.0692898701298675</v>
      </c>
      <c r="GE36">
        <v>0.0252863738950824</v>
      </c>
      <c r="GF36">
        <v>1</v>
      </c>
      <c r="GG36">
        <v>641.214705882353</v>
      </c>
      <c r="GH36">
        <v>-28.5576775422592</v>
      </c>
      <c r="GI36">
        <v>5.59317506130783</v>
      </c>
      <c r="GJ36">
        <v>-1</v>
      </c>
      <c r="GK36">
        <v>18.4538333333333</v>
      </c>
      <c r="GL36">
        <v>-0.123241558441534</v>
      </c>
      <c r="GM36">
        <v>0.0128894690619289</v>
      </c>
      <c r="GN36">
        <v>0</v>
      </c>
      <c r="GO36">
        <v>1</v>
      </c>
      <c r="GP36">
        <v>2</v>
      </c>
      <c r="GQ36" t="s">
        <v>454</v>
      </c>
      <c r="GR36">
        <v>3.12701</v>
      </c>
      <c r="GS36">
        <v>2.77812</v>
      </c>
      <c r="GT36">
        <v>0.0860727</v>
      </c>
      <c r="GU36">
        <v>0.0859495</v>
      </c>
      <c r="GV36">
        <v>0.142026</v>
      </c>
      <c r="GW36">
        <v>0.0913769</v>
      </c>
      <c r="GX36">
        <v>33122.7</v>
      </c>
      <c r="GY36">
        <v>35148.3</v>
      </c>
      <c r="GZ36">
        <v>32895.5</v>
      </c>
      <c r="HA36">
        <v>34923.2</v>
      </c>
      <c r="HB36">
        <v>40244.3</v>
      </c>
      <c r="HC36">
        <v>45661.2</v>
      </c>
      <c r="HD36">
        <v>51580.9</v>
      </c>
      <c r="HE36">
        <v>55920.3</v>
      </c>
      <c r="HF36">
        <v>1.73125</v>
      </c>
      <c r="HG36">
        <v>2.05907</v>
      </c>
      <c r="HH36">
        <v>0.0376441</v>
      </c>
      <c r="HI36">
        <v>0</v>
      </c>
      <c r="HJ36">
        <v>47.4316</v>
      </c>
      <c r="HK36">
        <v>999.9</v>
      </c>
      <c r="HL36">
        <v>55.439</v>
      </c>
      <c r="HM36">
        <v>27.986</v>
      </c>
      <c r="HN36">
        <v>23.1374</v>
      </c>
      <c r="HO36">
        <v>59.753</v>
      </c>
      <c r="HP36">
        <v>32.7604</v>
      </c>
      <c r="HQ36">
        <v>2</v>
      </c>
      <c r="HR36">
        <v>1.82353</v>
      </c>
      <c r="HS36">
        <v>-2.50592</v>
      </c>
      <c r="HT36">
        <v>20.1187</v>
      </c>
      <c r="HU36">
        <v>5.19243</v>
      </c>
      <c r="HV36">
        <v>12.0159</v>
      </c>
      <c r="HW36">
        <v>4.9714</v>
      </c>
      <c r="HX36">
        <v>3.295</v>
      </c>
      <c r="HY36">
        <v>999.9</v>
      </c>
      <c r="HZ36">
        <v>9999</v>
      </c>
      <c r="IA36">
        <v>9999</v>
      </c>
      <c r="IB36">
        <v>9999</v>
      </c>
      <c r="IC36">
        <v>1.86316</v>
      </c>
      <c r="ID36">
        <v>1.86813</v>
      </c>
      <c r="IE36">
        <v>1.86783</v>
      </c>
      <c r="IF36">
        <v>1.86904</v>
      </c>
      <c r="IG36">
        <v>1.86984</v>
      </c>
      <c r="IH36">
        <v>1.86591</v>
      </c>
      <c r="II36">
        <v>1.86706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3.114</v>
      </c>
      <c r="IY36">
        <v>0.1628</v>
      </c>
      <c r="IZ36">
        <v>1.12264184085783</v>
      </c>
      <c r="JA36">
        <v>0.00531519531824411</v>
      </c>
      <c r="JB36">
        <v>-1.58401274662554e-06</v>
      </c>
      <c r="JC36">
        <v>4.65529057017795e-10</v>
      </c>
      <c r="JD36">
        <v>0.162735096694976</v>
      </c>
      <c r="JE36">
        <v>0</v>
      </c>
      <c r="JF36">
        <v>0</v>
      </c>
      <c r="JG36">
        <v>0</v>
      </c>
      <c r="JH36">
        <v>4</v>
      </c>
      <c r="JI36">
        <v>2305</v>
      </c>
      <c r="JJ36">
        <v>-0</v>
      </c>
      <c r="JK36">
        <v>23</v>
      </c>
      <c r="JL36">
        <v>29373154</v>
      </c>
      <c r="JM36">
        <v>29373154</v>
      </c>
      <c r="JN36">
        <v>1.13159</v>
      </c>
      <c r="JO36">
        <v>2.60498</v>
      </c>
      <c r="JP36">
        <v>2.19849</v>
      </c>
      <c r="JQ36">
        <v>2.64038</v>
      </c>
      <c r="JR36">
        <v>2.44629</v>
      </c>
      <c r="JS36">
        <v>2.323</v>
      </c>
      <c r="JT36">
        <v>32.377</v>
      </c>
      <c r="JU36">
        <v>24.2101</v>
      </c>
      <c r="JV36">
        <v>18</v>
      </c>
      <c r="JW36">
        <v>499.705</v>
      </c>
      <c r="JX36">
        <v>771.328</v>
      </c>
      <c r="JY36">
        <v>54.3266</v>
      </c>
      <c r="JZ36">
        <v>48.6304</v>
      </c>
      <c r="KA36">
        <v>29.9992</v>
      </c>
      <c r="KB36">
        <v>48.3534</v>
      </c>
      <c r="KC36">
        <v>48.1771</v>
      </c>
      <c r="KD36">
        <v>22.6742</v>
      </c>
      <c r="KE36">
        <v>0</v>
      </c>
      <c r="KF36">
        <v>100</v>
      </c>
      <c r="KG36">
        <v>54.2984</v>
      </c>
      <c r="KH36">
        <v>420</v>
      </c>
      <c r="KI36">
        <v>67.7987</v>
      </c>
      <c r="KJ36">
        <v>93.5756</v>
      </c>
      <c r="KK36">
        <v>90.5375</v>
      </c>
    </row>
    <row r="37" spans="1:297">
      <c r="A37">
        <v>21</v>
      </c>
      <c r="B37">
        <v>1762389790</v>
      </c>
      <c r="C37">
        <v>2845</v>
      </c>
      <c r="D37" t="s">
        <v>518</v>
      </c>
      <c r="E37" t="s">
        <v>519</v>
      </c>
      <c r="F37">
        <v>5</v>
      </c>
      <c r="G37" t="s">
        <v>520</v>
      </c>
      <c r="H37" t="s">
        <v>436</v>
      </c>
      <c r="I37">
        <v>1762389787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428.957464854164</v>
      </c>
      <c r="AK37">
        <v>438.896466666667</v>
      </c>
      <c r="AL37">
        <v>0.00306397773875756</v>
      </c>
      <c r="AM37">
        <v>64.0778060381714</v>
      </c>
      <c r="AN37">
        <f>(AP37 - AO37 + DY37*1E3/(8.314*(EA37+273.15)) * AR37/DX37 * AQ37) * DX37/(100*DL37) * 1000/(1000 - AP37)</f>
        <v>0</v>
      </c>
      <c r="AO37">
        <v>21.1764257602076</v>
      </c>
      <c r="AP37">
        <v>39.4869363636363</v>
      </c>
      <c r="AQ37">
        <v>0.00635365342136242</v>
      </c>
      <c r="AR37">
        <v>97.6684432038501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517</v>
      </c>
      <c r="AY37">
        <v>5066.66</v>
      </c>
      <c r="AZ37">
        <v>639.826923076923</v>
      </c>
      <c r="BA37">
        <v>1736.46</v>
      </c>
      <c r="BB37">
        <f>1-AZ37/BA37</f>
        <v>0</v>
      </c>
      <c r="BC37">
        <v>-10.0583227723073</v>
      </c>
      <c r="BD37" t="s">
        <v>521</v>
      </c>
      <c r="BE37">
        <v>5097.76</v>
      </c>
      <c r="BF37">
        <v>918.898076923077</v>
      </c>
      <c r="BG37">
        <v>935.122500189819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522</v>
      </c>
      <c r="BQ37">
        <v>839.87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481</v>
      </c>
      <c r="CA37">
        <v>290</v>
      </c>
      <c r="CB37">
        <v>923.96</v>
      </c>
      <c r="CC37">
        <v>185</v>
      </c>
      <c r="CD37">
        <v>5097.76</v>
      </c>
      <c r="CE37">
        <v>923.44</v>
      </c>
      <c r="CF37">
        <v>0.52</v>
      </c>
      <c r="CG37">
        <v>300</v>
      </c>
      <c r="CH37">
        <v>23.8</v>
      </c>
      <c r="CI37">
        <v>935.122500189819</v>
      </c>
      <c r="CJ37">
        <v>1.78641620685452</v>
      </c>
      <c r="CK37">
        <v>-5.95642041687902</v>
      </c>
      <c r="CL37">
        <v>0.838909051283584</v>
      </c>
      <c r="CM37">
        <v>0.642915499669356</v>
      </c>
      <c r="CN37">
        <v>-0.00254680378197998</v>
      </c>
      <c r="CO37">
        <v>290</v>
      </c>
      <c r="CP37">
        <v>922.37</v>
      </c>
      <c r="CQ37">
        <v>875</v>
      </c>
      <c r="CR37">
        <v>5092.79</v>
      </c>
      <c r="CS37">
        <v>923.43</v>
      </c>
      <c r="CT37">
        <v>-1.06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1762389787</v>
      </c>
      <c r="DR37">
        <v>421.5612</v>
      </c>
      <c r="DS37">
        <v>419.8964</v>
      </c>
      <c r="DT37">
        <v>39.47406</v>
      </c>
      <c r="DU37">
        <v>21.17648</v>
      </c>
      <c r="DV37">
        <v>418.4578</v>
      </c>
      <c r="DW37">
        <v>39.31136</v>
      </c>
      <c r="DX37">
        <v>500.014</v>
      </c>
      <c r="DY37">
        <v>90.87018</v>
      </c>
      <c r="DZ37">
        <v>0.09992736</v>
      </c>
      <c r="EA37">
        <v>51.3683</v>
      </c>
      <c r="EB37">
        <v>47.96826</v>
      </c>
      <c r="EC37">
        <v>999.9</v>
      </c>
      <c r="ED37">
        <v>0</v>
      </c>
      <c r="EE37">
        <v>0</v>
      </c>
      <c r="EF37">
        <v>10012.5</v>
      </c>
      <c r="EG37">
        <v>0</v>
      </c>
      <c r="EH37">
        <v>1186.632</v>
      </c>
      <c r="EI37">
        <v>1.664796</v>
      </c>
      <c r="EJ37">
        <v>438.8858</v>
      </c>
      <c r="EK37">
        <v>428.9806</v>
      </c>
      <c r="EL37">
        <v>18.29758</v>
      </c>
      <c r="EM37">
        <v>419.8964</v>
      </c>
      <c r="EN37">
        <v>21.17648</v>
      </c>
      <c r="EO37">
        <v>3.587018</v>
      </c>
      <c r="EP37">
        <v>1.92431</v>
      </c>
      <c r="EQ37">
        <v>27.03734</v>
      </c>
      <c r="ER37">
        <v>16.8349</v>
      </c>
      <c r="ES37">
        <v>2000.054</v>
      </c>
      <c r="ET37">
        <v>0.9800064</v>
      </c>
      <c r="EU37">
        <v>0.0199941</v>
      </c>
      <c r="EV37">
        <v>0</v>
      </c>
      <c r="EW37">
        <v>918.511</v>
      </c>
      <c r="EX37">
        <v>5.00059</v>
      </c>
      <c r="EY37">
        <v>19402.58</v>
      </c>
      <c r="EZ37">
        <v>17360.82</v>
      </c>
      <c r="FA37">
        <v>58.187</v>
      </c>
      <c r="FB37">
        <v>58.125</v>
      </c>
      <c r="FC37">
        <v>57.3874</v>
      </c>
      <c r="FD37">
        <v>58</v>
      </c>
      <c r="FE37">
        <v>59.4874</v>
      </c>
      <c r="FF37">
        <v>1955.164</v>
      </c>
      <c r="FG37">
        <v>39.89</v>
      </c>
      <c r="FH37">
        <v>0</v>
      </c>
      <c r="FI37">
        <v>550</v>
      </c>
      <c r="FJ37">
        <v>0</v>
      </c>
      <c r="FK37">
        <v>918.898076923077</v>
      </c>
      <c r="FL37">
        <v>-5.31152134636415</v>
      </c>
      <c r="FM37">
        <v>-79.0290596952865</v>
      </c>
      <c r="FN37">
        <v>19407.5538461538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1.9041015</v>
      </c>
      <c r="GD37">
        <v>-1.70718902255638</v>
      </c>
      <c r="GE37">
        <v>0.216709315542157</v>
      </c>
      <c r="GF37">
        <v>0</v>
      </c>
      <c r="GG37">
        <v>919.192882352941</v>
      </c>
      <c r="GH37">
        <v>-4.78554621427229</v>
      </c>
      <c r="GI37">
        <v>0.543141394477041</v>
      </c>
      <c r="GJ37">
        <v>-1</v>
      </c>
      <c r="GK37">
        <v>18.24179</v>
      </c>
      <c r="GL37">
        <v>0.455630075187968</v>
      </c>
      <c r="GM37">
        <v>0.0438338556369389</v>
      </c>
      <c r="GN37">
        <v>0</v>
      </c>
      <c r="GO37">
        <v>0</v>
      </c>
      <c r="GP37">
        <v>2</v>
      </c>
      <c r="GQ37" t="s">
        <v>442</v>
      </c>
      <c r="GR37">
        <v>3.12704</v>
      </c>
      <c r="GS37">
        <v>2.77806</v>
      </c>
      <c r="GT37">
        <v>0.085772</v>
      </c>
      <c r="GU37">
        <v>0.0860365</v>
      </c>
      <c r="GV37">
        <v>0.141532</v>
      </c>
      <c r="GW37">
        <v>0.0910272</v>
      </c>
      <c r="GX37">
        <v>33140.6</v>
      </c>
      <c r="GY37">
        <v>35154.7</v>
      </c>
      <c r="GZ37">
        <v>32901.3</v>
      </c>
      <c r="HA37">
        <v>34931.7</v>
      </c>
      <c r="HB37">
        <v>40268</v>
      </c>
      <c r="HC37">
        <v>45688.2</v>
      </c>
      <c r="HD37">
        <v>51586.5</v>
      </c>
      <c r="HE37">
        <v>55932.6</v>
      </c>
      <c r="HF37">
        <v>1.73318</v>
      </c>
      <c r="HG37">
        <v>2.06158</v>
      </c>
      <c r="HH37">
        <v>0.0451431</v>
      </c>
      <c r="HI37">
        <v>0</v>
      </c>
      <c r="HJ37">
        <v>47.26</v>
      </c>
      <c r="HK37">
        <v>999.9</v>
      </c>
      <c r="HL37">
        <v>55.317</v>
      </c>
      <c r="HM37">
        <v>27.906</v>
      </c>
      <c r="HN37">
        <v>22.9749</v>
      </c>
      <c r="HO37">
        <v>59.613</v>
      </c>
      <c r="HP37">
        <v>32.7604</v>
      </c>
      <c r="HQ37">
        <v>2</v>
      </c>
      <c r="HR37">
        <v>1.81123</v>
      </c>
      <c r="HS37">
        <v>-2.63088</v>
      </c>
      <c r="HT37">
        <v>20.0981</v>
      </c>
      <c r="HU37">
        <v>5.19213</v>
      </c>
      <c r="HV37">
        <v>12.0099</v>
      </c>
      <c r="HW37">
        <v>4.97145</v>
      </c>
      <c r="HX37">
        <v>3.295</v>
      </c>
      <c r="HY37">
        <v>999.9</v>
      </c>
      <c r="HZ37">
        <v>9999</v>
      </c>
      <c r="IA37">
        <v>9999</v>
      </c>
      <c r="IB37">
        <v>9999</v>
      </c>
      <c r="IC37">
        <v>1.86316</v>
      </c>
      <c r="ID37">
        <v>1.86813</v>
      </c>
      <c r="IE37">
        <v>1.86786</v>
      </c>
      <c r="IF37">
        <v>1.869</v>
      </c>
      <c r="IG37">
        <v>1.86985</v>
      </c>
      <c r="IH37">
        <v>1.86587</v>
      </c>
      <c r="II37">
        <v>1.86704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3.104</v>
      </c>
      <c r="IY37">
        <v>0.1628</v>
      </c>
      <c r="IZ37">
        <v>1.12264184085783</v>
      </c>
      <c r="JA37">
        <v>0.00531519531824411</v>
      </c>
      <c r="JB37">
        <v>-1.58401274662554e-06</v>
      </c>
      <c r="JC37">
        <v>4.65529057017795e-10</v>
      </c>
      <c r="JD37">
        <v>0.162735096694976</v>
      </c>
      <c r="JE37">
        <v>0</v>
      </c>
      <c r="JF37">
        <v>0</v>
      </c>
      <c r="JG37">
        <v>0</v>
      </c>
      <c r="JH37">
        <v>4</v>
      </c>
      <c r="JI37">
        <v>2305</v>
      </c>
      <c r="JJ37">
        <v>-0</v>
      </c>
      <c r="JK37">
        <v>23</v>
      </c>
      <c r="JL37">
        <v>29373163.2</v>
      </c>
      <c r="JM37">
        <v>29373163.2</v>
      </c>
      <c r="JN37">
        <v>1.12183</v>
      </c>
      <c r="JO37">
        <v>2.60132</v>
      </c>
      <c r="JP37">
        <v>2.19849</v>
      </c>
      <c r="JQ37">
        <v>2.64038</v>
      </c>
      <c r="JR37">
        <v>2.44507</v>
      </c>
      <c r="JS37">
        <v>2.34741</v>
      </c>
      <c r="JT37">
        <v>32.3107</v>
      </c>
      <c r="JU37">
        <v>24.1751</v>
      </c>
      <c r="JV37">
        <v>18</v>
      </c>
      <c r="JW37">
        <v>498.556</v>
      </c>
      <c r="JX37">
        <v>769.357</v>
      </c>
      <c r="JY37">
        <v>53.7386</v>
      </c>
      <c r="JZ37">
        <v>48.4003</v>
      </c>
      <c r="KA37">
        <v>30.0001</v>
      </c>
      <c r="KB37">
        <v>47.9475</v>
      </c>
      <c r="KC37">
        <v>47.7368</v>
      </c>
      <c r="KD37">
        <v>22.4736</v>
      </c>
      <c r="KE37">
        <v>0</v>
      </c>
      <c r="KF37">
        <v>100</v>
      </c>
      <c r="KG37">
        <v>53.7624</v>
      </c>
      <c r="KH37">
        <v>420</v>
      </c>
      <c r="KI37">
        <v>67.7987</v>
      </c>
      <c r="KJ37">
        <v>93.5882</v>
      </c>
      <c r="KK37">
        <v>90.5582</v>
      </c>
    </row>
    <row r="38" spans="1:297">
      <c r="A38">
        <v>22</v>
      </c>
      <c r="B38">
        <v>1762389890</v>
      </c>
      <c r="C38">
        <v>2945</v>
      </c>
      <c r="D38" t="s">
        <v>523</v>
      </c>
      <c r="E38" t="s">
        <v>524</v>
      </c>
      <c r="F38">
        <v>5</v>
      </c>
      <c r="G38" t="s">
        <v>520</v>
      </c>
      <c r="H38" t="s">
        <v>436</v>
      </c>
      <c r="I38">
        <v>1762389886.5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429.33195044163</v>
      </c>
      <c r="AK38">
        <v>439.010696969697</v>
      </c>
      <c r="AL38">
        <v>0.00377452768079004</v>
      </c>
      <c r="AM38">
        <v>64.0778060381714</v>
      </c>
      <c r="AN38">
        <f>(AP38 - AO38 + DY38*1E3/(8.314*(EA38+273.15)) * AR38/DX38 * AQ38) * DX38/(100*DL38) * 1000/(1000 - AP38)</f>
        <v>0</v>
      </c>
      <c r="AO38">
        <v>21.1456934885321</v>
      </c>
      <c r="AP38">
        <v>39.9900078787879</v>
      </c>
      <c r="AQ38">
        <v>0.00169614405689588</v>
      </c>
      <c r="AR38">
        <v>97.6684432038501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517</v>
      </c>
      <c r="AY38">
        <v>5066.66</v>
      </c>
      <c r="AZ38">
        <v>639.826923076923</v>
      </c>
      <c r="BA38">
        <v>1736.46</v>
      </c>
      <c r="BB38">
        <f>1-AZ38/BA38</f>
        <v>0</v>
      </c>
      <c r="BC38">
        <v>-10.0583227723073</v>
      </c>
      <c r="BD38" t="s">
        <v>525</v>
      </c>
      <c r="BE38">
        <v>5098.94</v>
      </c>
      <c r="BF38">
        <v>912.49508</v>
      </c>
      <c r="BG38">
        <v>930.614652160447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526</v>
      </c>
      <c r="BQ38">
        <v>847.47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483</v>
      </c>
      <c r="CA38">
        <v>290</v>
      </c>
      <c r="CB38">
        <v>918.67</v>
      </c>
      <c r="CC38">
        <v>145</v>
      </c>
      <c r="CD38">
        <v>5098.94</v>
      </c>
      <c r="CE38">
        <v>918.45</v>
      </c>
      <c r="CF38">
        <v>0.22</v>
      </c>
      <c r="CG38">
        <v>300</v>
      </c>
      <c r="CH38">
        <v>23.8</v>
      </c>
      <c r="CI38">
        <v>930.614652160447</v>
      </c>
      <c r="CJ38">
        <v>1.6055073385004</v>
      </c>
      <c r="CK38">
        <v>-6.20313481112657</v>
      </c>
      <c r="CL38">
        <v>0.749563101814543</v>
      </c>
      <c r="CM38">
        <v>0.70980446852575</v>
      </c>
      <c r="CN38">
        <v>-0.00271368008898776</v>
      </c>
      <c r="CO38">
        <v>290</v>
      </c>
      <c r="CP38">
        <v>917.42</v>
      </c>
      <c r="CQ38">
        <v>695</v>
      </c>
      <c r="CR38">
        <v>5093.72</v>
      </c>
      <c r="CS38">
        <v>918.44</v>
      </c>
      <c r="CT38">
        <v>-1.02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1762389886.5</v>
      </c>
      <c r="DR38">
        <v>421.447166666667</v>
      </c>
      <c r="DS38">
        <v>420.742333333333</v>
      </c>
      <c r="DT38">
        <v>39.9829833333333</v>
      </c>
      <c r="DU38">
        <v>21.1459166666667</v>
      </c>
      <c r="DV38">
        <v>418.344</v>
      </c>
      <c r="DW38">
        <v>39.8202</v>
      </c>
      <c r="DX38">
        <v>500.031833333333</v>
      </c>
      <c r="DY38">
        <v>90.8713333333333</v>
      </c>
      <c r="DZ38">
        <v>0.100106066666667</v>
      </c>
      <c r="EA38">
        <v>51.6848</v>
      </c>
      <c r="EB38">
        <v>47.9981666666667</v>
      </c>
      <c r="EC38">
        <v>999.9</v>
      </c>
      <c r="ED38">
        <v>0</v>
      </c>
      <c r="EE38">
        <v>0</v>
      </c>
      <c r="EF38">
        <v>9990.61666666667</v>
      </c>
      <c r="EG38">
        <v>0</v>
      </c>
      <c r="EH38">
        <v>1186.63666666667</v>
      </c>
      <c r="EI38">
        <v>0.704776833333333</v>
      </c>
      <c r="EJ38">
        <v>438.999666666667</v>
      </c>
      <c r="EK38">
        <v>429.831333333333</v>
      </c>
      <c r="EL38">
        <v>18.8370666666667</v>
      </c>
      <c r="EM38">
        <v>420.742333333333</v>
      </c>
      <c r="EN38">
        <v>21.1459166666667</v>
      </c>
      <c r="EO38">
        <v>3.633305</v>
      </c>
      <c r="EP38">
        <v>1.921555</v>
      </c>
      <c r="EQ38">
        <v>27.2558833333333</v>
      </c>
      <c r="ER38">
        <v>16.81235</v>
      </c>
      <c r="ES38">
        <v>1799.97</v>
      </c>
      <c r="ET38">
        <v>0.977993333333333</v>
      </c>
      <c r="EU38">
        <v>0.02200675</v>
      </c>
      <c r="EV38">
        <v>0</v>
      </c>
      <c r="EW38">
        <v>912.219333333333</v>
      </c>
      <c r="EX38">
        <v>5.00059</v>
      </c>
      <c r="EY38">
        <v>17368.8833333333</v>
      </c>
      <c r="EZ38">
        <v>15610.3833333333</v>
      </c>
      <c r="FA38">
        <v>58.437</v>
      </c>
      <c r="FB38">
        <v>58.4895</v>
      </c>
      <c r="FC38">
        <v>57.75</v>
      </c>
      <c r="FD38">
        <v>58.281</v>
      </c>
      <c r="FE38">
        <v>59.75</v>
      </c>
      <c r="FF38">
        <v>1755.47</v>
      </c>
      <c r="FG38">
        <v>39.5</v>
      </c>
      <c r="FH38">
        <v>0</v>
      </c>
      <c r="FI38">
        <v>97</v>
      </c>
      <c r="FJ38">
        <v>0</v>
      </c>
      <c r="FK38">
        <v>912.49508</v>
      </c>
      <c r="FL38">
        <v>-4.4850769097065</v>
      </c>
      <c r="FM38">
        <v>-78.0692306755364</v>
      </c>
      <c r="FN38">
        <v>17373.78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1.47918480952381</v>
      </c>
      <c r="GD38">
        <v>-2.26801948051948</v>
      </c>
      <c r="GE38">
        <v>0.323332780907376</v>
      </c>
      <c r="GF38">
        <v>0</v>
      </c>
      <c r="GG38">
        <v>912.958705882353</v>
      </c>
      <c r="GH38">
        <v>-5.68216959147122</v>
      </c>
      <c r="GI38">
        <v>0.599511788110156</v>
      </c>
      <c r="GJ38">
        <v>-1</v>
      </c>
      <c r="GK38">
        <v>18.7780142857143</v>
      </c>
      <c r="GL38">
        <v>0.427854545454562</v>
      </c>
      <c r="GM38">
        <v>0.0432752132476858</v>
      </c>
      <c r="GN38">
        <v>0</v>
      </c>
      <c r="GO38">
        <v>0</v>
      </c>
      <c r="GP38">
        <v>2</v>
      </c>
      <c r="GQ38" t="s">
        <v>442</v>
      </c>
      <c r="GR38">
        <v>3.12711</v>
      </c>
      <c r="GS38">
        <v>2.77795</v>
      </c>
      <c r="GT38">
        <v>0.0858181</v>
      </c>
      <c r="GU38">
        <v>0.0869476</v>
      </c>
      <c r="GV38">
        <v>0.142761</v>
      </c>
      <c r="GW38">
        <v>0.0909377</v>
      </c>
      <c r="GX38">
        <v>33140.5</v>
      </c>
      <c r="GY38">
        <v>35121.4</v>
      </c>
      <c r="GZ38">
        <v>32902.7</v>
      </c>
      <c r="HA38">
        <v>34933.3</v>
      </c>
      <c r="HB38">
        <v>40215.1</v>
      </c>
      <c r="HC38">
        <v>45694.8</v>
      </c>
      <c r="HD38">
        <v>51588.3</v>
      </c>
      <c r="HE38">
        <v>55935.2</v>
      </c>
      <c r="HF38">
        <v>1.73382</v>
      </c>
      <c r="HG38">
        <v>2.06195</v>
      </c>
      <c r="HH38">
        <v>0.0390187</v>
      </c>
      <c r="HI38">
        <v>0</v>
      </c>
      <c r="HJ38">
        <v>47.3741</v>
      </c>
      <c r="HK38">
        <v>999.9</v>
      </c>
      <c r="HL38">
        <v>55.292</v>
      </c>
      <c r="HM38">
        <v>27.885</v>
      </c>
      <c r="HN38">
        <v>22.9378</v>
      </c>
      <c r="HO38">
        <v>59.5431</v>
      </c>
      <c r="HP38">
        <v>32.7804</v>
      </c>
      <c r="HQ38">
        <v>2</v>
      </c>
      <c r="HR38">
        <v>1.80673</v>
      </c>
      <c r="HS38">
        <v>-2.03183</v>
      </c>
      <c r="HT38">
        <v>20.1081</v>
      </c>
      <c r="HU38">
        <v>5.19198</v>
      </c>
      <c r="HV38">
        <v>12.0099</v>
      </c>
      <c r="HW38">
        <v>4.97125</v>
      </c>
      <c r="HX38">
        <v>3.295</v>
      </c>
      <c r="HY38">
        <v>999.9</v>
      </c>
      <c r="HZ38">
        <v>9999</v>
      </c>
      <c r="IA38">
        <v>9999</v>
      </c>
      <c r="IB38">
        <v>9999</v>
      </c>
      <c r="IC38">
        <v>1.86313</v>
      </c>
      <c r="ID38">
        <v>1.86813</v>
      </c>
      <c r="IE38">
        <v>1.86783</v>
      </c>
      <c r="IF38">
        <v>1.86901</v>
      </c>
      <c r="IG38">
        <v>1.86982</v>
      </c>
      <c r="IH38">
        <v>1.86589</v>
      </c>
      <c r="II38">
        <v>1.86704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3.105</v>
      </c>
      <c r="IY38">
        <v>0.1627</v>
      </c>
      <c r="IZ38">
        <v>1.12264184085783</v>
      </c>
      <c r="JA38">
        <v>0.00531519531824411</v>
      </c>
      <c r="JB38">
        <v>-1.58401274662554e-06</v>
      </c>
      <c r="JC38">
        <v>4.65529057017795e-10</v>
      </c>
      <c r="JD38">
        <v>0.162735096694976</v>
      </c>
      <c r="JE38">
        <v>0</v>
      </c>
      <c r="JF38">
        <v>0</v>
      </c>
      <c r="JG38">
        <v>0</v>
      </c>
      <c r="JH38">
        <v>4</v>
      </c>
      <c r="JI38">
        <v>2305</v>
      </c>
      <c r="JJ38">
        <v>-0</v>
      </c>
      <c r="JK38">
        <v>23</v>
      </c>
      <c r="JL38">
        <v>29373164.8</v>
      </c>
      <c r="JM38">
        <v>29373164.8</v>
      </c>
      <c r="JN38">
        <v>1.11084</v>
      </c>
      <c r="JO38">
        <v>2.60742</v>
      </c>
      <c r="JP38">
        <v>2.19849</v>
      </c>
      <c r="JQ38">
        <v>2.64038</v>
      </c>
      <c r="JR38">
        <v>2.44629</v>
      </c>
      <c r="JS38">
        <v>2.30957</v>
      </c>
      <c r="JT38">
        <v>32.3107</v>
      </c>
      <c r="JU38">
        <v>24.1838</v>
      </c>
      <c r="JV38">
        <v>18</v>
      </c>
      <c r="JW38">
        <v>498.926</v>
      </c>
      <c r="JX38">
        <v>769.622</v>
      </c>
      <c r="JY38">
        <v>54.3108</v>
      </c>
      <c r="JZ38">
        <v>48.3738</v>
      </c>
      <c r="KA38">
        <v>29.9988</v>
      </c>
      <c r="KB38">
        <v>47.9311</v>
      </c>
      <c r="KC38">
        <v>47.7261</v>
      </c>
      <c r="KD38">
        <v>22.2379</v>
      </c>
      <c r="KE38">
        <v>0</v>
      </c>
      <c r="KF38">
        <v>100</v>
      </c>
      <c r="KG38">
        <v>54.3738</v>
      </c>
      <c r="KH38">
        <v>420</v>
      </c>
      <c r="KI38">
        <v>67.7987</v>
      </c>
      <c r="KJ38">
        <v>93.5919</v>
      </c>
      <c r="KK38">
        <v>90.5624</v>
      </c>
    </row>
    <row r="39" spans="1:297">
      <c r="A39">
        <v>23</v>
      </c>
      <c r="B39">
        <v>1762389990</v>
      </c>
      <c r="C39">
        <v>3045</v>
      </c>
      <c r="D39" t="s">
        <v>527</v>
      </c>
      <c r="E39" t="s">
        <v>528</v>
      </c>
      <c r="F39">
        <v>5</v>
      </c>
      <c r="G39" t="s">
        <v>520</v>
      </c>
      <c r="H39" t="s">
        <v>436</v>
      </c>
      <c r="I39">
        <v>1762389986.5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428.812983887844</v>
      </c>
      <c r="AK39">
        <v>438.866787878788</v>
      </c>
      <c r="AL39">
        <v>-0.00209537875859773</v>
      </c>
      <c r="AM39">
        <v>64.0778060381714</v>
      </c>
      <c r="AN39">
        <f>(AP39 - AO39 + DY39*1E3/(8.314*(EA39+273.15)) * AR39/DX39 * AQ39) * DX39/(100*DL39) * 1000/(1000 - AP39)</f>
        <v>0</v>
      </c>
      <c r="AO39">
        <v>21.1132530792258</v>
      </c>
      <c r="AP39">
        <v>40.4126187878788</v>
      </c>
      <c r="AQ39">
        <v>0.00873625652595356</v>
      </c>
      <c r="AR39">
        <v>97.6684432038501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517</v>
      </c>
      <c r="AY39">
        <v>5066.66</v>
      </c>
      <c r="AZ39">
        <v>639.826923076923</v>
      </c>
      <c r="BA39">
        <v>1736.46</v>
      </c>
      <c r="BB39">
        <f>1-AZ39/BA39</f>
        <v>0</v>
      </c>
      <c r="BC39">
        <v>-10.0583227723073</v>
      </c>
      <c r="BD39" t="s">
        <v>529</v>
      </c>
      <c r="BE39">
        <v>5101.09</v>
      </c>
      <c r="BF39">
        <v>906.811807692308</v>
      </c>
      <c r="BG39">
        <v>923.475362766801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530</v>
      </c>
      <c r="BQ39">
        <v>840.53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485</v>
      </c>
      <c r="CA39">
        <v>290</v>
      </c>
      <c r="CB39">
        <v>915.49</v>
      </c>
      <c r="CC39">
        <v>155</v>
      </c>
      <c r="CD39">
        <v>5101.09</v>
      </c>
      <c r="CE39">
        <v>914.82</v>
      </c>
      <c r="CF39">
        <v>0.67</v>
      </c>
      <c r="CG39">
        <v>300</v>
      </c>
      <c r="CH39">
        <v>23.9</v>
      </c>
      <c r="CI39">
        <v>923.475362766801</v>
      </c>
      <c r="CJ39">
        <v>2.17127849919638</v>
      </c>
      <c r="CK39">
        <v>-4.41410017947168</v>
      </c>
      <c r="CL39">
        <v>1.00512152312467</v>
      </c>
      <c r="CM39">
        <v>0.407861377836701</v>
      </c>
      <c r="CN39">
        <v>-0.00296647452725251</v>
      </c>
      <c r="CO39">
        <v>290</v>
      </c>
      <c r="CP39">
        <v>914.45</v>
      </c>
      <c r="CQ39">
        <v>625</v>
      </c>
      <c r="CR39">
        <v>5096.54</v>
      </c>
      <c r="CS39">
        <v>914.81</v>
      </c>
      <c r="CT39">
        <v>-0.36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1762389986.5</v>
      </c>
      <c r="DR39">
        <v>421.158166666667</v>
      </c>
      <c r="DS39">
        <v>419.7815</v>
      </c>
      <c r="DT39">
        <v>40.3906833333333</v>
      </c>
      <c r="DU39">
        <v>21.11325</v>
      </c>
      <c r="DV39">
        <v>418.056166666667</v>
      </c>
      <c r="DW39">
        <v>40.2279666666667</v>
      </c>
      <c r="DX39">
        <v>500.010666666667</v>
      </c>
      <c r="DY39">
        <v>90.8720166666667</v>
      </c>
      <c r="DZ39">
        <v>0.0999549166666667</v>
      </c>
      <c r="EA39">
        <v>52.0517166666667</v>
      </c>
      <c r="EB39">
        <v>48.06815</v>
      </c>
      <c r="EC39">
        <v>999.9</v>
      </c>
      <c r="ED39">
        <v>0</v>
      </c>
      <c r="EE39">
        <v>0</v>
      </c>
      <c r="EF39">
        <v>9996.14166666667</v>
      </c>
      <c r="EG39">
        <v>0</v>
      </c>
      <c r="EH39">
        <v>1185.41666666667</v>
      </c>
      <c r="EI39">
        <v>1.3762</v>
      </c>
      <c r="EJ39">
        <v>438.884833333333</v>
      </c>
      <c r="EK39">
        <v>428.835833333333</v>
      </c>
      <c r="EL39">
        <v>19.27745</v>
      </c>
      <c r="EM39">
        <v>419.7815</v>
      </c>
      <c r="EN39">
        <v>21.11325</v>
      </c>
      <c r="EO39">
        <v>3.670385</v>
      </c>
      <c r="EP39">
        <v>1.9186</v>
      </c>
      <c r="EQ39">
        <v>27.4292166666667</v>
      </c>
      <c r="ER39">
        <v>16.7881166666667</v>
      </c>
      <c r="ES39">
        <v>1499.98666666667</v>
      </c>
      <c r="ET39">
        <v>0.973008</v>
      </c>
      <c r="EU39">
        <v>0.026992</v>
      </c>
      <c r="EV39">
        <v>0</v>
      </c>
      <c r="EW39">
        <v>906.582833333333</v>
      </c>
      <c r="EX39">
        <v>5.00059</v>
      </c>
      <c r="EY39">
        <v>14391.7166666667</v>
      </c>
      <c r="EZ39">
        <v>12982.2833333333</v>
      </c>
      <c r="FA39">
        <v>58.375</v>
      </c>
      <c r="FB39">
        <v>58.75</v>
      </c>
      <c r="FC39">
        <v>57.9475</v>
      </c>
      <c r="FD39">
        <v>58.5</v>
      </c>
      <c r="FE39">
        <v>59.833</v>
      </c>
      <c r="FF39">
        <v>1454.63666666667</v>
      </c>
      <c r="FG39">
        <v>40.35</v>
      </c>
      <c r="FH39">
        <v>0</v>
      </c>
      <c r="FI39">
        <v>96.7999999523163</v>
      </c>
      <c r="FJ39">
        <v>0</v>
      </c>
      <c r="FK39">
        <v>906.811807692308</v>
      </c>
      <c r="FL39">
        <v>-4.09015384768248</v>
      </c>
      <c r="FM39">
        <v>-50.1059829455186</v>
      </c>
      <c r="FN39">
        <v>14395.0538461538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1.48804238095238</v>
      </c>
      <c r="GD39">
        <v>-1.15009246753246</v>
      </c>
      <c r="GE39">
        <v>0.141376102308187</v>
      </c>
      <c r="GF39">
        <v>0</v>
      </c>
      <c r="GG39">
        <v>907.156588235294</v>
      </c>
      <c r="GH39">
        <v>-4.34881588468747</v>
      </c>
      <c r="GI39">
        <v>0.485151408607001</v>
      </c>
      <c r="GJ39">
        <v>-1</v>
      </c>
      <c r="GK39">
        <v>19.1925095238095</v>
      </c>
      <c r="GL39">
        <v>0.619792207792195</v>
      </c>
      <c r="GM39">
        <v>0.0626603611677914</v>
      </c>
      <c r="GN39">
        <v>0</v>
      </c>
      <c r="GO39">
        <v>0</v>
      </c>
      <c r="GP39">
        <v>2</v>
      </c>
      <c r="GQ39" t="s">
        <v>442</v>
      </c>
      <c r="GR39">
        <v>3.12688</v>
      </c>
      <c r="GS39">
        <v>2.77792</v>
      </c>
      <c r="GT39">
        <v>0.0857194</v>
      </c>
      <c r="GU39">
        <v>0.0860359</v>
      </c>
      <c r="GV39">
        <v>0.1438</v>
      </c>
      <c r="GW39">
        <v>0.0908411</v>
      </c>
      <c r="GX39">
        <v>33145.2</v>
      </c>
      <c r="GY39">
        <v>35158.7</v>
      </c>
      <c r="GZ39">
        <v>32903.7</v>
      </c>
      <c r="HA39">
        <v>34935.4</v>
      </c>
      <c r="HB39">
        <v>40169.9</v>
      </c>
      <c r="HC39">
        <v>45702.1</v>
      </c>
      <c r="HD39">
        <v>51589.3</v>
      </c>
      <c r="HE39">
        <v>55938.6</v>
      </c>
      <c r="HF39">
        <v>1.73417</v>
      </c>
      <c r="HG39">
        <v>2.06205</v>
      </c>
      <c r="HH39">
        <v>0.0242293</v>
      </c>
      <c r="HI39">
        <v>0</v>
      </c>
      <c r="HJ39">
        <v>47.688</v>
      </c>
      <c r="HK39">
        <v>999.9</v>
      </c>
      <c r="HL39">
        <v>55.268</v>
      </c>
      <c r="HM39">
        <v>27.875</v>
      </c>
      <c r="HN39">
        <v>22.9121</v>
      </c>
      <c r="HO39">
        <v>59.5631</v>
      </c>
      <c r="HP39">
        <v>32.7724</v>
      </c>
      <c r="HQ39">
        <v>2</v>
      </c>
      <c r="HR39">
        <v>1.80559</v>
      </c>
      <c r="HS39">
        <v>-1.57116</v>
      </c>
      <c r="HT39">
        <v>20.1149</v>
      </c>
      <c r="HU39">
        <v>5.18884</v>
      </c>
      <c r="HV39">
        <v>12.0104</v>
      </c>
      <c r="HW39">
        <v>4.97125</v>
      </c>
      <c r="HX39">
        <v>3.295</v>
      </c>
      <c r="HY39">
        <v>999.9</v>
      </c>
      <c r="HZ39">
        <v>9999</v>
      </c>
      <c r="IA39">
        <v>9999</v>
      </c>
      <c r="IB39">
        <v>9999</v>
      </c>
      <c r="IC39">
        <v>1.86312</v>
      </c>
      <c r="ID39">
        <v>1.86813</v>
      </c>
      <c r="IE39">
        <v>1.86786</v>
      </c>
      <c r="IF39">
        <v>1.86898</v>
      </c>
      <c r="IG39">
        <v>1.86982</v>
      </c>
      <c r="IH39">
        <v>1.86586</v>
      </c>
      <c r="II39">
        <v>1.86706</v>
      </c>
      <c r="IJ39">
        <v>1.86843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3.102</v>
      </c>
      <c r="IY39">
        <v>0.1628</v>
      </c>
      <c r="IZ39">
        <v>1.12264184085783</v>
      </c>
      <c r="JA39">
        <v>0.00531519531824411</v>
      </c>
      <c r="JB39">
        <v>-1.58401274662554e-06</v>
      </c>
      <c r="JC39">
        <v>4.65529057017795e-10</v>
      </c>
      <c r="JD39">
        <v>0.162735096694976</v>
      </c>
      <c r="JE39">
        <v>0</v>
      </c>
      <c r="JF39">
        <v>0</v>
      </c>
      <c r="JG39">
        <v>0</v>
      </c>
      <c r="JH39">
        <v>4</v>
      </c>
      <c r="JI39">
        <v>2305</v>
      </c>
      <c r="JJ39">
        <v>-0</v>
      </c>
      <c r="JK39">
        <v>23</v>
      </c>
      <c r="JL39">
        <v>29373166.5</v>
      </c>
      <c r="JM39">
        <v>29373166.5</v>
      </c>
      <c r="JN39">
        <v>1.12183</v>
      </c>
      <c r="JO39">
        <v>2.60132</v>
      </c>
      <c r="JP39">
        <v>2.19849</v>
      </c>
      <c r="JQ39">
        <v>2.64038</v>
      </c>
      <c r="JR39">
        <v>2.44507</v>
      </c>
      <c r="JS39">
        <v>2.33643</v>
      </c>
      <c r="JT39">
        <v>32.3107</v>
      </c>
      <c r="JU39">
        <v>24.1926</v>
      </c>
      <c r="JV39">
        <v>18</v>
      </c>
      <c r="JW39">
        <v>499.112</v>
      </c>
      <c r="JX39">
        <v>769.612</v>
      </c>
      <c r="JY39">
        <v>55.0585</v>
      </c>
      <c r="JZ39">
        <v>48.3548</v>
      </c>
      <c r="KA39">
        <v>29.9982</v>
      </c>
      <c r="KB39">
        <v>47.9203</v>
      </c>
      <c r="KC39">
        <v>47.7153</v>
      </c>
      <c r="KD39">
        <v>22.4777</v>
      </c>
      <c r="KE39">
        <v>0</v>
      </c>
      <c r="KF39">
        <v>100</v>
      </c>
      <c r="KG39">
        <v>54.9998</v>
      </c>
      <c r="KH39">
        <v>420</v>
      </c>
      <c r="KI39">
        <v>67.7987</v>
      </c>
      <c r="KJ39">
        <v>93.594</v>
      </c>
      <c r="KK39">
        <v>90.5678</v>
      </c>
    </row>
    <row r="40" spans="1:297">
      <c r="A40">
        <v>24</v>
      </c>
      <c r="B40">
        <v>1762390090</v>
      </c>
      <c r="C40">
        <v>3145</v>
      </c>
      <c r="D40" t="s">
        <v>531</v>
      </c>
      <c r="E40" t="s">
        <v>532</v>
      </c>
      <c r="F40">
        <v>5</v>
      </c>
      <c r="G40" t="s">
        <v>520</v>
      </c>
      <c r="H40" t="s">
        <v>436</v>
      </c>
      <c r="I40">
        <v>1762390086.5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428.501867952266</v>
      </c>
      <c r="AK40">
        <v>439.225072727273</v>
      </c>
      <c r="AL40">
        <v>-0.126206823543843</v>
      </c>
      <c r="AM40">
        <v>64.0778060381714</v>
      </c>
      <c r="AN40">
        <f>(AP40 - AO40 + DY40*1E3/(8.314*(EA40+273.15)) * AR40/DX40 * AQ40) * DX40/(100*DL40) * 1000/(1000 - AP40)</f>
        <v>0</v>
      </c>
      <c r="AO40">
        <v>21.0895034461873</v>
      </c>
      <c r="AP40">
        <v>40.8854472727273</v>
      </c>
      <c r="AQ40">
        <v>0.00721263616200906</v>
      </c>
      <c r="AR40">
        <v>97.6684432038501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517</v>
      </c>
      <c r="AY40">
        <v>5066.66</v>
      </c>
      <c r="AZ40">
        <v>639.826923076923</v>
      </c>
      <c r="BA40">
        <v>1736.46</v>
      </c>
      <c r="BB40">
        <f>1-AZ40/BA40</f>
        <v>0</v>
      </c>
      <c r="BC40">
        <v>-10.0583227723073</v>
      </c>
      <c r="BD40" t="s">
        <v>533</v>
      </c>
      <c r="BE40">
        <v>5099.95</v>
      </c>
      <c r="BF40">
        <v>902.77436</v>
      </c>
      <c r="BG40">
        <v>922.913168213595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534</v>
      </c>
      <c r="BQ40">
        <v>833.67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487</v>
      </c>
      <c r="CA40">
        <v>290</v>
      </c>
      <c r="CB40">
        <v>915.35</v>
      </c>
      <c r="CC40">
        <v>215</v>
      </c>
      <c r="CD40">
        <v>5099.95</v>
      </c>
      <c r="CE40">
        <v>914.32</v>
      </c>
      <c r="CF40">
        <v>1.03</v>
      </c>
      <c r="CG40">
        <v>300</v>
      </c>
      <c r="CH40">
        <v>23.9</v>
      </c>
      <c r="CI40">
        <v>922.913168213595</v>
      </c>
      <c r="CJ40">
        <v>1.81710970776164</v>
      </c>
      <c r="CK40">
        <v>-4.38338867899271</v>
      </c>
      <c r="CL40">
        <v>0.833630851073819</v>
      </c>
      <c r="CM40">
        <v>0.49684226229751</v>
      </c>
      <c r="CN40">
        <v>-0.00321723515016685</v>
      </c>
      <c r="CO40">
        <v>290</v>
      </c>
      <c r="CP40">
        <v>913.7</v>
      </c>
      <c r="CQ40">
        <v>725</v>
      </c>
      <c r="CR40">
        <v>5095.63</v>
      </c>
      <c r="CS40">
        <v>914.31</v>
      </c>
      <c r="CT40">
        <v>-0.61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1762390086.5</v>
      </c>
      <c r="DR40">
        <v>421.585666666667</v>
      </c>
      <c r="DS40">
        <v>419.545833333333</v>
      </c>
      <c r="DT40">
        <v>40.8676166666667</v>
      </c>
      <c r="DU40">
        <v>21.0893333333333</v>
      </c>
      <c r="DV40">
        <v>418.482166666667</v>
      </c>
      <c r="DW40">
        <v>40.7048666666667</v>
      </c>
      <c r="DX40">
        <v>499.935833333333</v>
      </c>
      <c r="DY40">
        <v>90.8643333333333</v>
      </c>
      <c r="DZ40">
        <v>0.0998556333333333</v>
      </c>
      <c r="EA40">
        <v>52.33855</v>
      </c>
      <c r="EB40">
        <v>48.1451</v>
      </c>
      <c r="EC40">
        <v>999.9</v>
      </c>
      <c r="ED40">
        <v>0</v>
      </c>
      <c r="EE40">
        <v>0</v>
      </c>
      <c r="EF40">
        <v>10018.75</v>
      </c>
      <c r="EG40">
        <v>0</v>
      </c>
      <c r="EH40">
        <v>1182.84</v>
      </c>
      <c r="EI40">
        <v>2.03997833333333</v>
      </c>
      <c r="EJ40">
        <v>439.549</v>
      </c>
      <c r="EK40">
        <v>428.584333333333</v>
      </c>
      <c r="EL40">
        <v>19.77825</v>
      </c>
      <c r="EM40">
        <v>419.545833333333</v>
      </c>
      <c r="EN40">
        <v>21.0893333333333</v>
      </c>
      <c r="EO40">
        <v>3.71340666666667</v>
      </c>
      <c r="EP40">
        <v>1.91626666666667</v>
      </c>
      <c r="EQ40">
        <v>27.6283833333333</v>
      </c>
      <c r="ER40">
        <v>16.76895</v>
      </c>
      <c r="ES40">
        <v>1200.00166666667</v>
      </c>
      <c r="ET40">
        <v>0.9669995</v>
      </c>
      <c r="EU40">
        <v>0.0330003666666667</v>
      </c>
      <c r="EV40">
        <v>0</v>
      </c>
      <c r="EW40">
        <v>902.5415</v>
      </c>
      <c r="EX40">
        <v>5.00059</v>
      </c>
      <c r="EY40">
        <v>11482.35</v>
      </c>
      <c r="EZ40">
        <v>10358.7166666667</v>
      </c>
      <c r="FA40">
        <v>58.3645</v>
      </c>
      <c r="FB40">
        <v>59.125</v>
      </c>
      <c r="FC40">
        <v>58.187</v>
      </c>
      <c r="FD40">
        <v>58.875</v>
      </c>
      <c r="FE40">
        <v>59.9895</v>
      </c>
      <c r="FF40">
        <v>1155.56166666667</v>
      </c>
      <c r="FG40">
        <v>39.44</v>
      </c>
      <c r="FH40">
        <v>0</v>
      </c>
      <c r="FI40">
        <v>97</v>
      </c>
      <c r="FJ40">
        <v>0</v>
      </c>
      <c r="FK40">
        <v>902.77436</v>
      </c>
      <c r="FL40">
        <v>-3.21561537960741</v>
      </c>
      <c r="FM40">
        <v>-25.4461537439674</v>
      </c>
      <c r="FN40">
        <v>11483.864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1.34499342857143</v>
      </c>
      <c r="GD40">
        <v>2.72953285714286</v>
      </c>
      <c r="GE40">
        <v>0.475642611151089</v>
      </c>
      <c r="GF40">
        <v>0</v>
      </c>
      <c r="GG40">
        <v>903.022088235294</v>
      </c>
      <c r="GH40">
        <v>-3.27237585411953</v>
      </c>
      <c r="GI40">
        <v>0.412307806752004</v>
      </c>
      <c r="GJ40">
        <v>-1</v>
      </c>
      <c r="GK40">
        <v>19.7148238095238</v>
      </c>
      <c r="GL40">
        <v>0.481503896103908</v>
      </c>
      <c r="GM40">
        <v>0.0488734995362122</v>
      </c>
      <c r="GN40">
        <v>0</v>
      </c>
      <c r="GO40">
        <v>0</v>
      </c>
      <c r="GP40">
        <v>2</v>
      </c>
      <c r="GQ40" t="s">
        <v>442</v>
      </c>
      <c r="GR40">
        <v>3.12705</v>
      </c>
      <c r="GS40">
        <v>2.7781</v>
      </c>
      <c r="GT40">
        <v>0.0857047</v>
      </c>
      <c r="GU40">
        <v>0.0859365</v>
      </c>
      <c r="GV40">
        <v>0.144899</v>
      </c>
      <c r="GW40">
        <v>0.0907336</v>
      </c>
      <c r="GX40">
        <v>33132.8</v>
      </c>
      <c r="GY40">
        <v>35144.5</v>
      </c>
      <c r="GZ40">
        <v>32891.4</v>
      </c>
      <c r="HA40">
        <v>34918.1</v>
      </c>
      <c r="HB40">
        <v>40109.9</v>
      </c>
      <c r="HC40">
        <v>45686</v>
      </c>
      <c r="HD40">
        <v>51572.7</v>
      </c>
      <c r="HE40">
        <v>55912.3</v>
      </c>
      <c r="HF40">
        <v>1.73318</v>
      </c>
      <c r="HG40">
        <v>2.05963</v>
      </c>
      <c r="HH40">
        <v>-0.035353</v>
      </c>
      <c r="HI40">
        <v>0</v>
      </c>
      <c r="HJ40">
        <v>48.7024</v>
      </c>
      <c r="HK40">
        <v>999.9</v>
      </c>
      <c r="HL40">
        <v>55.219</v>
      </c>
      <c r="HM40">
        <v>27.855</v>
      </c>
      <c r="HN40">
        <v>22.8684</v>
      </c>
      <c r="HO40">
        <v>59.7031</v>
      </c>
      <c r="HP40">
        <v>32.7564</v>
      </c>
      <c r="HQ40">
        <v>2</v>
      </c>
      <c r="HR40">
        <v>1.82276</v>
      </c>
      <c r="HS40">
        <v>-1.67741</v>
      </c>
      <c r="HT40">
        <v>20.1153</v>
      </c>
      <c r="HU40">
        <v>5.18824</v>
      </c>
      <c r="HV40">
        <v>12.0099</v>
      </c>
      <c r="HW40">
        <v>4.9709</v>
      </c>
      <c r="HX40">
        <v>3.29497</v>
      </c>
      <c r="HY40">
        <v>999.9</v>
      </c>
      <c r="HZ40">
        <v>9999</v>
      </c>
      <c r="IA40">
        <v>9999</v>
      </c>
      <c r="IB40">
        <v>9999</v>
      </c>
      <c r="IC40">
        <v>1.86312</v>
      </c>
      <c r="ID40">
        <v>1.8681</v>
      </c>
      <c r="IE40">
        <v>1.86785</v>
      </c>
      <c r="IF40">
        <v>1.869</v>
      </c>
      <c r="IG40">
        <v>1.86981</v>
      </c>
      <c r="IH40">
        <v>1.86588</v>
      </c>
      <c r="II40">
        <v>1.86704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3.102</v>
      </c>
      <c r="IY40">
        <v>0.1628</v>
      </c>
      <c r="IZ40">
        <v>1.12264184085783</v>
      </c>
      <c r="JA40">
        <v>0.00531519531824411</v>
      </c>
      <c r="JB40">
        <v>-1.58401274662554e-06</v>
      </c>
      <c r="JC40">
        <v>4.65529057017795e-10</v>
      </c>
      <c r="JD40">
        <v>0.162735096694976</v>
      </c>
      <c r="JE40">
        <v>0</v>
      </c>
      <c r="JF40">
        <v>0</v>
      </c>
      <c r="JG40">
        <v>0</v>
      </c>
      <c r="JH40">
        <v>4</v>
      </c>
      <c r="JI40">
        <v>2305</v>
      </c>
      <c r="JJ40">
        <v>-0</v>
      </c>
      <c r="JK40">
        <v>23</v>
      </c>
      <c r="JL40">
        <v>29373168.2</v>
      </c>
      <c r="JM40">
        <v>29373168.2</v>
      </c>
      <c r="JN40">
        <v>1.12183</v>
      </c>
      <c r="JO40">
        <v>2.60498</v>
      </c>
      <c r="JP40">
        <v>2.19849</v>
      </c>
      <c r="JQ40">
        <v>2.64038</v>
      </c>
      <c r="JR40">
        <v>2.44507</v>
      </c>
      <c r="JS40">
        <v>2.31445</v>
      </c>
      <c r="JT40">
        <v>32.3107</v>
      </c>
      <c r="JU40">
        <v>24.1926</v>
      </c>
      <c r="JV40">
        <v>18</v>
      </c>
      <c r="JW40">
        <v>499.004</v>
      </c>
      <c r="JX40">
        <v>768.277</v>
      </c>
      <c r="JY40">
        <v>54.1233</v>
      </c>
      <c r="JZ40">
        <v>48.4686</v>
      </c>
      <c r="KA40">
        <v>30.0012</v>
      </c>
      <c r="KB40">
        <v>48.0188</v>
      </c>
      <c r="KC40">
        <v>47.822</v>
      </c>
      <c r="KD40">
        <v>22.4797</v>
      </c>
      <c r="KE40">
        <v>0</v>
      </c>
      <c r="KF40">
        <v>100</v>
      </c>
      <c r="KG40">
        <v>54.0106</v>
      </c>
      <c r="KH40">
        <v>420</v>
      </c>
      <c r="KI40">
        <v>67.7987</v>
      </c>
      <c r="KJ40">
        <v>93.562</v>
      </c>
      <c r="KK40">
        <v>90.5244</v>
      </c>
    </row>
    <row r="41" spans="1:297">
      <c r="A41">
        <v>25</v>
      </c>
      <c r="B41">
        <v>1762390191</v>
      </c>
      <c r="C41">
        <v>3246</v>
      </c>
      <c r="D41" t="s">
        <v>535</v>
      </c>
      <c r="E41" t="s">
        <v>536</v>
      </c>
      <c r="F41">
        <v>5</v>
      </c>
      <c r="G41" t="s">
        <v>520</v>
      </c>
      <c r="H41" t="s">
        <v>436</v>
      </c>
      <c r="I41">
        <v>1762390187.5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429.004933176636</v>
      </c>
      <c r="AK41">
        <v>439.247181818182</v>
      </c>
      <c r="AL41">
        <v>0.00313315894884108</v>
      </c>
      <c r="AM41">
        <v>64.0778060381714</v>
      </c>
      <c r="AN41">
        <f>(AP41 - AO41 + DY41*1E3/(8.314*(EA41+273.15)) * AR41/DX41 * AQ41) * DX41/(100*DL41) * 1000/(1000 - AP41)</f>
        <v>0</v>
      </c>
      <c r="AO41">
        <v>21.0660578531788</v>
      </c>
      <c r="AP41">
        <v>41.0571103030303</v>
      </c>
      <c r="AQ41">
        <v>0.000699373859122117</v>
      </c>
      <c r="AR41">
        <v>97.6684432038501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517</v>
      </c>
      <c r="AY41">
        <v>5066.66</v>
      </c>
      <c r="AZ41">
        <v>639.826923076923</v>
      </c>
      <c r="BA41">
        <v>1736.46</v>
      </c>
      <c r="BB41">
        <f>1-AZ41/BA41</f>
        <v>0</v>
      </c>
      <c r="BC41">
        <v>-10.0583227723073</v>
      </c>
      <c r="BD41" t="s">
        <v>537</v>
      </c>
      <c r="BE41">
        <v>5103.77</v>
      </c>
      <c r="BF41">
        <v>898.630615384615</v>
      </c>
      <c r="BG41">
        <v>925.029655779721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538</v>
      </c>
      <c r="BQ41">
        <v>834.93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489</v>
      </c>
      <c r="CA41">
        <v>290</v>
      </c>
      <c r="CB41">
        <v>915.82</v>
      </c>
      <c r="CC41">
        <v>135</v>
      </c>
      <c r="CD41">
        <v>5103.77</v>
      </c>
      <c r="CE41">
        <v>916.06</v>
      </c>
      <c r="CF41">
        <v>-0.24</v>
      </c>
      <c r="CG41">
        <v>300</v>
      </c>
      <c r="CH41">
        <v>23.9</v>
      </c>
      <c r="CI41">
        <v>925.029655779721</v>
      </c>
      <c r="CJ41">
        <v>1.26661452827754</v>
      </c>
      <c r="CK41">
        <v>-4.57672547327896</v>
      </c>
      <c r="CL41">
        <v>0.575883096825311</v>
      </c>
      <c r="CM41">
        <v>0.692847221837367</v>
      </c>
      <c r="CN41">
        <v>-0.00346913971078977</v>
      </c>
      <c r="CO41">
        <v>290</v>
      </c>
      <c r="CP41">
        <v>915.54</v>
      </c>
      <c r="CQ41">
        <v>695</v>
      </c>
      <c r="CR41">
        <v>5097.09</v>
      </c>
      <c r="CS41">
        <v>916.05</v>
      </c>
      <c r="CT41">
        <v>-0.51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1762390187.5</v>
      </c>
      <c r="DR41">
        <v>421.206166666667</v>
      </c>
      <c r="DS41">
        <v>419.943333333333</v>
      </c>
      <c r="DT41">
        <v>41.0531</v>
      </c>
      <c r="DU41">
        <v>21.0660166666667</v>
      </c>
      <c r="DV41">
        <v>418.104</v>
      </c>
      <c r="DW41">
        <v>40.8903833333333</v>
      </c>
      <c r="DX41">
        <v>500.048666666667</v>
      </c>
      <c r="DY41">
        <v>90.8690666666667</v>
      </c>
      <c r="DZ41">
        <v>0.100052</v>
      </c>
      <c r="EA41">
        <v>52.4047833333333</v>
      </c>
      <c r="EB41">
        <v>48.0567</v>
      </c>
      <c r="EC41">
        <v>999.9</v>
      </c>
      <c r="ED41">
        <v>0</v>
      </c>
      <c r="EE41">
        <v>0</v>
      </c>
      <c r="EF41">
        <v>9988.11666666667</v>
      </c>
      <c r="EG41">
        <v>0</v>
      </c>
      <c r="EH41">
        <v>1180.25333333333</v>
      </c>
      <c r="EI41">
        <v>1.26280166666667</v>
      </c>
      <c r="EJ41">
        <v>439.238</v>
      </c>
      <c r="EK41">
        <v>428.980333333333</v>
      </c>
      <c r="EL41">
        <v>19.9871</v>
      </c>
      <c r="EM41">
        <v>419.943333333333</v>
      </c>
      <c r="EN41">
        <v>21.0660166666667</v>
      </c>
      <c r="EO41">
        <v>3.73046</v>
      </c>
      <c r="EP41">
        <v>1.91425</v>
      </c>
      <c r="EQ41">
        <v>27.7068166666667</v>
      </c>
      <c r="ER41">
        <v>16.7523333333333</v>
      </c>
      <c r="ES41">
        <v>900.025</v>
      </c>
      <c r="ET41">
        <v>0.956</v>
      </c>
      <c r="EU41">
        <v>0.0440003333333333</v>
      </c>
      <c r="EV41">
        <v>0</v>
      </c>
      <c r="EW41">
        <v>898.391833333333</v>
      </c>
      <c r="EX41">
        <v>5.00059</v>
      </c>
      <c r="EY41">
        <v>8597.965</v>
      </c>
      <c r="EZ41">
        <v>7733.02333333333</v>
      </c>
      <c r="FA41">
        <v>58.312</v>
      </c>
      <c r="FB41">
        <v>59.5</v>
      </c>
      <c r="FC41">
        <v>58.3956666666667</v>
      </c>
      <c r="FD41">
        <v>59.312</v>
      </c>
      <c r="FE41">
        <v>60.125</v>
      </c>
      <c r="FF41">
        <v>855.643333333333</v>
      </c>
      <c r="FG41">
        <v>39.38</v>
      </c>
      <c r="FH41">
        <v>0</v>
      </c>
      <c r="FI41">
        <v>97.4000000953674</v>
      </c>
      <c r="FJ41">
        <v>0</v>
      </c>
      <c r="FK41">
        <v>898.630615384615</v>
      </c>
      <c r="FL41">
        <v>-2.36711110319142</v>
      </c>
      <c r="FM41">
        <v>-13.7141880673172</v>
      </c>
      <c r="FN41">
        <v>8598.51846153846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1.24059</v>
      </c>
      <c r="GD41">
        <v>0.00255338345864698</v>
      </c>
      <c r="GE41">
        <v>0.0508374817432964</v>
      </c>
      <c r="GF41">
        <v>1</v>
      </c>
      <c r="GG41">
        <v>898.778705882353</v>
      </c>
      <c r="GH41">
        <v>-1.98044308699986</v>
      </c>
      <c r="GI41">
        <v>0.31442089900339</v>
      </c>
      <c r="GJ41">
        <v>-1</v>
      </c>
      <c r="GK41">
        <v>19.955535</v>
      </c>
      <c r="GL41">
        <v>0.24841353383459</v>
      </c>
      <c r="GM41">
        <v>0.0241925458561104</v>
      </c>
      <c r="GN41">
        <v>0</v>
      </c>
      <c r="GO41">
        <v>1</v>
      </c>
      <c r="GP41">
        <v>2</v>
      </c>
      <c r="GQ41" t="s">
        <v>454</v>
      </c>
      <c r="GR41">
        <v>3.12687</v>
      </c>
      <c r="GS41">
        <v>2.77785</v>
      </c>
      <c r="GT41">
        <v>0.0856601</v>
      </c>
      <c r="GU41">
        <v>0.0859725</v>
      </c>
      <c r="GV41">
        <v>0.145269</v>
      </c>
      <c r="GW41">
        <v>0.0906213</v>
      </c>
      <c r="GX41">
        <v>33108.6</v>
      </c>
      <c r="GY41">
        <v>35108.2</v>
      </c>
      <c r="GZ41">
        <v>32867.2</v>
      </c>
      <c r="HA41">
        <v>34884.9</v>
      </c>
      <c r="HB41">
        <v>40071.2</v>
      </c>
      <c r="HC41">
        <v>45651.5</v>
      </c>
      <c r="HD41">
        <v>51539.8</v>
      </c>
      <c r="HE41">
        <v>55863.2</v>
      </c>
      <c r="HF41">
        <v>1.72997</v>
      </c>
      <c r="HG41">
        <v>2.05503</v>
      </c>
      <c r="HH41">
        <v>-0.0876263</v>
      </c>
      <c r="HI41">
        <v>0</v>
      </c>
      <c r="HJ41">
        <v>49.4368</v>
      </c>
      <c r="HK41">
        <v>999.9</v>
      </c>
      <c r="HL41">
        <v>55.219</v>
      </c>
      <c r="HM41">
        <v>27.855</v>
      </c>
      <c r="HN41">
        <v>22.8626</v>
      </c>
      <c r="HO41">
        <v>59.4731</v>
      </c>
      <c r="HP41">
        <v>32.6963</v>
      </c>
      <c r="HQ41">
        <v>2</v>
      </c>
      <c r="HR41">
        <v>1.85767</v>
      </c>
      <c r="HS41">
        <v>-1.7438</v>
      </c>
      <c r="HT41">
        <v>20.1169</v>
      </c>
      <c r="HU41">
        <v>5.19093</v>
      </c>
      <c r="HV41">
        <v>12.0113</v>
      </c>
      <c r="HW41">
        <v>4.9705</v>
      </c>
      <c r="HX41">
        <v>3.29497</v>
      </c>
      <c r="HY41">
        <v>999.9</v>
      </c>
      <c r="HZ41">
        <v>9999</v>
      </c>
      <c r="IA41">
        <v>9999</v>
      </c>
      <c r="IB41">
        <v>9999</v>
      </c>
      <c r="IC41">
        <v>1.86312</v>
      </c>
      <c r="ID41">
        <v>1.86813</v>
      </c>
      <c r="IE41">
        <v>1.86785</v>
      </c>
      <c r="IF41">
        <v>1.86902</v>
      </c>
      <c r="IG41">
        <v>1.86981</v>
      </c>
      <c r="IH41">
        <v>1.86588</v>
      </c>
      <c r="II41">
        <v>1.86706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3.102</v>
      </c>
      <c r="IY41">
        <v>0.1627</v>
      </c>
      <c r="IZ41">
        <v>1.12264184085783</v>
      </c>
      <c r="JA41">
        <v>0.00531519531824411</v>
      </c>
      <c r="JB41">
        <v>-1.58401274662554e-06</v>
      </c>
      <c r="JC41">
        <v>4.65529057017795e-10</v>
      </c>
      <c r="JD41">
        <v>0.162735096694976</v>
      </c>
      <c r="JE41">
        <v>0</v>
      </c>
      <c r="JF41">
        <v>0</v>
      </c>
      <c r="JG41">
        <v>0</v>
      </c>
      <c r="JH41">
        <v>4</v>
      </c>
      <c r="JI41">
        <v>2305</v>
      </c>
      <c r="JJ41">
        <v>-0</v>
      </c>
      <c r="JK41">
        <v>23</v>
      </c>
      <c r="JL41">
        <v>29373169.9</v>
      </c>
      <c r="JM41">
        <v>29373169.9</v>
      </c>
      <c r="JN41">
        <v>1.12427</v>
      </c>
      <c r="JO41">
        <v>2.6001</v>
      </c>
      <c r="JP41">
        <v>2.19849</v>
      </c>
      <c r="JQ41">
        <v>2.64038</v>
      </c>
      <c r="JR41">
        <v>2.44629</v>
      </c>
      <c r="JS41">
        <v>2.35229</v>
      </c>
      <c r="JT41">
        <v>32.3107</v>
      </c>
      <c r="JU41">
        <v>24.1926</v>
      </c>
      <c r="JV41">
        <v>18</v>
      </c>
      <c r="JW41">
        <v>498.156</v>
      </c>
      <c r="JX41">
        <v>766.038</v>
      </c>
      <c r="JY41">
        <v>53.6835</v>
      </c>
      <c r="JZ41">
        <v>48.7558</v>
      </c>
      <c r="KA41">
        <v>30.0019</v>
      </c>
      <c r="KB41">
        <v>48.2552</v>
      </c>
      <c r="KC41">
        <v>48.0531</v>
      </c>
      <c r="KD41">
        <v>22.5174</v>
      </c>
      <c r="KE41">
        <v>0</v>
      </c>
      <c r="KF41">
        <v>100</v>
      </c>
      <c r="KG41">
        <v>53.6342</v>
      </c>
      <c r="KH41">
        <v>420</v>
      </c>
      <c r="KI41">
        <v>67.7987</v>
      </c>
      <c r="KJ41">
        <v>93.4988</v>
      </c>
      <c r="KK41">
        <v>90.4423</v>
      </c>
    </row>
    <row r="42" spans="1:297">
      <c r="A42">
        <v>26</v>
      </c>
      <c r="B42">
        <v>1762390292</v>
      </c>
      <c r="C42">
        <v>3347</v>
      </c>
      <c r="D42" t="s">
        <v>539</v>
      </c>
      <c r="E42" t="s">
        <v>540</v>
      </c>
      <c r="F42">
        <v>5</v>
      </c>
      <c r="G42" t="s">
        <v>520</v>
      </c>
      <c r="H42" t="s">
        <v>436</v>
      </c>
      <c r="I42">
        <v>1762390288.5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428.91324736222</v>
      </c>
      <c r="AK42">
        <v>439.362690909091</v>
      </c>
      <c r="AL42">
        <v>-0.00144162846175088</v>
      </c>
      <c r="AM42">
        <v>64.0778060381714</v>
      </c>
      <c r="AN42">
        <f>(AP42 - AO42 + DY42*1E3/(8.314*(EA42+273.15)) * AR42/DX42 * AQ42) * DX42/(100*DL42) * 1000/(1000 - AP42)</f>
        <v>0</v>
      </c>
      <c r="AO42">
        <v>21.0545498554605</v>
      </c>
      <c r="AP42">
        <v>41.1713533333333</v>
      </c>
      <c r="AQ42">
        <v>0.00643862913964633</v>
      </c>
      <c r="AR42">
        <v>97.6684432038501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517</v>
      </c>
      <c r="AY42">
        <v>5066.66</v>
      </c>
      <c r="AZ42">
        <v>639.826923076923</v>
      </c>
      <c r="BA42">
        <v>1736.46</v>
      </c>
      <c r="BB42">
        <f>1-AZ42/BA42</f>
        <v>0</v>
      </c>
      <c r="BC42">
        <v>-10.0583227723073</v>
      </c>
      <c r="BD42" t="s">
        <v>541</v>
      </c>
      <c r="BE42">
        <v>5102.36</v>
      </c>
      <c r="BF42">
        <v>892.9596</v>
      </c>
      <c r="BG42">
        <v>928.721234784521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542</v>
      </c>
      <c r="BQ42">
        <v>838.87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491</v>
      </c>
      <c r="CA42">
        <v>290</v>
      </c>
      <c r="CB42">
        <v>921.54</v>
      </c>
      <c r="CC42">
        <v>265</v>
      </c>
      <c r="CD42">
        <v>5102.36</v>
      </c>
      <c r="CE42">
        <v>920.86</v>
      </c>
      <c r="CF42">
        <v>0.68</v>
      </c>
      <c r="CG42">
        <v>300</v>
      </c>
      <c r="CH42">
        <v>23.9</v>
      </c>
      <c r="CI42">
        <v>928.721234784521</v>
      </c>
      <c r="CJ42">
        <v>1.57026487422645</v>
      </c>
      <c r="CK42">
        <v>-4.01025852642838</v>
      </c>
      <c r="CL42">
        <v>0.707556321185303</v>
      </c>
      <c r="CM42">
        <v>0.534291832149606</v>
      </c>
      <c r="CN42">
        <v>-0.00372129410456062</v>
      </c>
      <c r="CO42">
        <v>290</v>
      </c>
      <c r="CP42">
        <v>920.43</v>
      </c>
      <c r="CQ42">
        <v>675</v>
      </c>
      <c r="CR42">
        <v>5099.29</v>
      </c>
      <c r="CS42">
        <v>920.86</v>
      </c>
      <c r="CT42">
        <v>-0.43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1762390288.5</v>
      </c>
      <c r="DR42">
        <v>421.299</v>
      </c>
      <c r="DS42">
        <v>419.886833333333</v>
      </c>
      <c r="DT42">
        <v>41.1552833333333</v>
      </c>
      <c r="DU42">
        <v>21.0547333333333</v>
      </c>
      <c r="DV42">
        <v>418.1965</v>
      </c>
      <c r="DW42">
        <v>40.9925666666667</v>
      </c>
      <c r="DX42">
        <v>500.071666666667</v>
      </c>
      <c r="DY42">
        <v>90.8674333333333</v>
      </c>
      <c r="DZ42">
        <v>0.100061233333333</v>
      </c>
      <c r="EA42">
        <v>52.51795</v>
      </c>
      <c r="EB42">
        <v>48.0075833333333</v>
      </c>
      <c r="EC42">
        <v>999.9</v>
      </c>
      <c r="ED42">
        <v>0</v>
      </c>
      <c r="EE42">
        <v>0</v>
      </c>
      <c r="EF42">
        <v>9991.25</v>
      </c>
      <c r="EG42">
        <v>0</v>
      </c>
      <c r="EH42">
        <v>1177.74</v>
      </c>
      <c r="EI42">
        <v>1.41230166666667</v>
      </c>
      <c r="EJ42">
        <v>439.381833333333</v>
      </c>
      <c r="EK42">
        <v>428.917333333333</v>
      </c>
      <c r="EL42">
        <v>20.10055</v>
      </c>
      <c r="EM42">
        <v>419.886833333333</v>
      </c>
      <c r="EN42">
        <v>21.0547333333333</v>
      </c>
      <c r="EO42">
        <v>3.73967666666667</v>
      </c>
      <c r="EP42">
        <v>1.91318833333333</v>
      </c>
      <c r="EQ42">
        <v>27.7490666666667</v>
      </c>
      <c r="ER42">
        <v>16.7436333333333</v>
      </c>
      <c r="ES42">
        <v>600.054166666667</v>
      </c>
      <c r="ET42">
        <v>0.933006333333333</v>
      </c>
      <c r="EU42">
        <v>0.0669937833333333</v>
      </c>
      <c r="EV42">
        <v>0</v>
      </c>
      <c r="EW42">
        <v>892.995333333333</v>
      </c>
      <c r="EX42">
        <v>5.00059</v>
      </c>
      <c r="EY42">
        <v>5731.49666666667</v>
      </c>
      <c r="EZ42">
        <v>5105.97666666667</v>
      </c>
      <c r="FA42">
        <v>58.208</v>
      </c>
      <c r="FB42">
        <v>59.875</v>
      </c>
      <c r="FC42">
        <v>58.5725</v>
      </c>
      <c r="FD42">
        <v>59.75</v>
      </c>
      <c r="FE42">
        <v>60.187</v>
      </c>
      <c r="FF42">
        <v>555.19</v>
      </c>
      <c r="FG42">
        <v>39.8633333333333</v>
      </c>
      <c r="FH42">
        <v>0</v>
      </c>
      <c r="FI42">
        <v>97.5999999046326</v>
      </c>
      <c r="FJ42">
        <v>0</v>
      </c>
      <c r="FK42">
        <v>892.9596</v>
      </c>
      <c r="FL42">
        <v>-0.446846162833482</v>
      </c>
      <c r="FM42">
        <v>-2.50153850947334</v>
      </c>
      <c r="FN42">
        <v>5731.4756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1.35271238095238</v>
      </c>
      <c r="GD42">
        <v>0.385086233766235</v>
      </c>
      <c r="GE42">
        <v>0.0620501835233664</v>
      </c>
      <c r="GF42">
        <v>1</v>
      </c>
      <c r="GG42">
        <v>893.058117647059</v>
      </c>
      <c r="GH42">
        <v>-1.5197249832246</v>
      </c>
      <c r="GI42">
        <v>0.241869163064499</v>
      </c>
      <c r="GJ42">
        <v>-1</v>
      </c>
      <c r="GK42">
        <v>20.0571095238095</v>
      </c>
      <c r="GL42">
        <v>0.291264935065002</v>
      </c>
      <c r="GM42">
        <v>0.0295758412473344</v>
      </c>
      <c r="GN42">
        <v>0</v>
      </c>
      <c r="GO42">
        <v>1</v>
      </c>
      <c r="GP42">
        <v>2</v>
      </c>
      <c r="GQ42" t="s">
        <v>454</v>
      </c>
      <c r="GR42">
        <v>3.12684</v>
      </c>
      <c r="GS42">
        <v>2.77796</v>
      </c>
      <c r="GT42">
        <v>0.085598</v>
      </c>
      <c r="GU42">
        <v>0.085903</v>
      </c>
      <c r="GV42">
        <v>0.145413</v>
      </c>
      <c r="GW42">
        <v>0.0905099</v>
      </c>
      <c r="GX42">
        <v>33077.2</v>
      </c>
      <c r="GY42">
        <v>35067.3</v>
      </c>
      <c r="GZ42">
        <v>32836</v>
      </c>
      <c r="HA42">
        <v>34843.8</v>
      </c>
      <c r="HB42">
        <v>40036.5</v>
      </c>
      <c r="HC42">
        <v>45607</v>
      </c>
      <c r="HD42">
        <v>51497.6</v>
      </c>
      <c r="HE42">
        <v>55801.7</v>
      </c>
      <c r="HF42">
        <v>1.71983</v>
      </c>
      <c r="HG42">
        <v>2.04927</v>
      </c>
      <c r="HH42">
        <v>-0.125803</v>
      </c>
      <c r="HI42">
        <v>0</v>
      </c>
      <c r="HJ42">
        <v>50.0043</v>
      </c>
      <c r="HK42">
        <v>999.9</v>
      </c>
      <c r="HL42">
        <v>55.195</v>
      </c>
      <c r="HM42">
        <v>27.845</v>
      </c>
      <c r="HN42">
        <v>22.8462</v>
      </c>
      <c r="HO42">
        <v>59.6931</v>
      </c>
      <c r="HP42">
        <v>32.5481</v>
      </c>
      <c r="HQ42">
        <v>2</v>
      </c>
      <c r="HR42">
        <v>1.90152</v>
      </c>
      <c r="HS42">
        <v>-1.67872</v>
      </c>
      <c r="HT42">
        <v>20.1189</v>
      </c>
      <c r="HU42">
        <v>5.19108</v>
      </c>
      <c r="HV42">
        <v>12.014</v>
      </c>
      <c r="HW42">
        <v>4.971</v>
      </c>
      <c r="HX42">
        <v>3.295</v>
      </c>
      <c r="HY42">
        <v>999.9</v>
      </c>
      <c r="HZ42">
        <v>9999</v>
      </c>
      <c r="IA42">
        <v>9999</v>
      </c>
      <c r="IB42">
        <v>9999</v>
      </c>
      <c r="IC42">
        <v>1.86315</v>
      </c>
      <c r="ID42">
        <v>1.86813</v>
      </c>
      <c r="IE42">
        <v>1.86785</v>
      </c>
      <c r="IF42">
        <v>1.869</v>
      </c>
      <c r="IG42">
        <v>1.86985</v>
      </c>
      <c r="IH42">
        <v>1.86588</v>
      </c>
      <c r="II42">
        <v>1.86705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3.102</v>
      </c>
      <c r="IY42">
        <v>0.1627</v>
      </c>
      <c r="IZ42">
        <v>1.12264184085783</v>
      </c>
      <c r="JA42">
        <v>0.00531519531824411</v>
      </c>
      <c r="JB42">
        <v>-1.58401274662554e-06</v>
      </c>
      <c r="JC42">
        <v>4.65529057017795e-10</v>
      </c>
      <c r="JD42">
        <v>0.162735096694976</v>
      </c>
      <c r="JE42">
        <v>0</v>
      </c>
      <c r="JF42">
        <v>0</v>
      </c>
      <c r="JG42">
        <v>0</v>
      </c>
      <c r="JH42">
        <v>4</v>
      </c>
      <c r="JI42">
        <v>2305</v>
      </c>
      <c r="JJ42">
        <v>-0</v>
      </c>
      <c r="JK42">
        <v>23</v>
      </c>
      <c r="JL42">
        <v>29373171.5</v>
      </c>
      <c r="JM42">
        <v>29373171.5</v>
      </c>
      <c r="JN42">
        <v>1.12549</v>
      </c>
      <c r="JO42">
        <v>2.60498</v>
      </c>
      <c r="JP42">
        <v>2.19849</v>
      </c>
      <c r="JQ42">
        <v>2.64038</v>
      </c>
      <c r="JR42">
        <v>2.44507</v>
      </c>
      <c r="JS42">
        <v>2.323</v>
      </c>
      <c r="JT42">
        <v>32.3107</v>
      </c>
      <c r="JU42">
        <v>24.1926</v>
      </c>
      <c r="JV42">
        <v>18</v>
      </c>
      <c r="JW42">
        <v>492.962</v>
      </c>
      <c r="JX42">
        <v>763.702</v>
      </c>
      <c r="JY42">
        <v>54.2446</v>
      </c>
      <c r="JZ42">
        <v>49.1691</v>
      </c>
      <c r="KA42">
        <v>30.002</v>
      </c>
      <c r="KB42">
        <v>48.6053</v>
      </c>
      <c r="KC42">
        <v>48.3899</v>
      </c>
      <c r="KD42">
        <v>22.5397</v>
      </c>
      <c r="KE42">
        <v>0</v>
      </c>
      <c r="KF42">
        <v>100</v>
      </c>
      <c r="KG42">
        <v>53.9424</v>
      </c>
      <c r="KH42">
        <v>420</v>
      </c>
      <c r="KI42">
        <v>67.7987</v>
      </c>
      <c r="KJ42">
        <v>93.4175</v>
      </c>
      <c r="KK42">
        <v>90.3402</v>
      </c>
    </row>
    <row r="43" spans="1:297">
      <c r="A43">
        <v>27</v>
      </c>
      <c r="B43">
        <v>1762390393</v>
      </c>
      <c r="C43">
        <v>3448</v>
      </c>
      <c r="D43" t="s">
        <v>543</v>
      </c>
      <c r="E43" t="s">
        <v>544</v>
      </c>
      <c r="F43">
        <v>5</v>
      </c>
      <c r="G43" t="s">
        <v>520</v>
      </c>
      <c r="H43" t="s">
        <v>436</v>
      </c>
      <c r="I43">
        <v>1762390389.5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429.098831083841</v>
      </c>
      <c r="AK43">
        <v>439.766757575757</v>
      </c>
      <c r="AL43">
        <v>0.00331090982697985</v>
      </c>
      <c r="AM43">
        <v>64.0778060381714</v>
      </c>
      <c r="AN43">
        <f>(AP43 - AO43 + DY43*1E3/(8.314*(EA43+273.15)) * AR43/DX43 * AQ43) * DX43/(100*DL43) * 1000/(1000 - AP43)</f>
        <v>0</v>
      </c>
      <c r="AO43">
        <v>21.0381089229771</v>
      </c>
      <c r="AP43">
        <v>41.2247818181818</v>
      </c>
      <c r="AQ43">
        <v>0.00539915669181954</v>
      </c>
      <c r="AR43">
        <v>97.6684432038501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517</v>
      </c>
      <c r="AY43">
        <v>5066.66</v>
      </c>
      <c r="AZ43">
        <v>639.826923076923</v>
      </c>
      <c r="BA43">
        <v>1736.46</v>
      </c>
      <c r="BB43">
        <f>1-AZ43/BA43</f>
        <v>0</v>
      </c>
      <c r="BC43">
        <v>-10.0583227723073</v>
      </c>
      <c r="BD43" t="s">
        <v>545</v>
      </c>
      <c r="BE43">
        <v>5093.21</v>
      </c>
      <c r="BF43">
        <v>884.038384615385</v>
      </c>
      <c r="BG43">
        <v>945.377066906281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546</v>
      </c>
      <c r="BQ43">
        <v>839.6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493</v>
      </c>
      <c r="CA43">
        <v>290</v>
      </c>
      <c r="CB43">
        <v>936.11</v>
      </c>
      <c r="CC43">
        <v>285</v>
      </c>
      <c r="CD43">
        <v>5093.21</v>
      </c>
      <c r="CE43">
        <v>936.05</v>
      </c>
      <c r="CF43">
        <v>0.06</v>
      </c>
      <c r="CG43">
        <v>300</v>
      </c>
      <c r="CH43">
        <v>23.9</v>
      </c>
      <c r="CI43">
        <v>945.377066906281</v>
      </c>
      <c r="CJ43">
        <v>1.19365684425504</v>
      </c>
      <c r="CK43">
        <v>-4.74832212919143</v>
      </c>
      <c r="CL43">
        <v>0.531830291856234</v>
      </c>
      <c r="CM43">
        <v>0.740052186131906</v>
      </c>
      <c r="CN43">
        <v>-0.00396442246941046</v>
      </c>
      <c r="CO43">
        <v>290</v>
      </c>
      <c r="CP43">
        <v>935.78</v>
      </c>
      <c r="CQ43">
        <v>775</v>
      </c>
      <c r="CR43">
        <v>5089.35</v>
      </c>
      <c r="CS43">
        <v>936.05</v>
      </c>
      <c r="CT43">
        <v>-0.27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1762390389.5</v>
      </c>
      <c r="DR43">
        <v>421.607666666667</v>
      </c>
      <c r="DS43">
        <v>420.081166666667</v>
      </c>
      <c r="DT43">
        <v>41.2113166666667</v>
      </c>
      <c r="DU43">
        <v>21.0381666666667</v>
      </c>
      <c r="DV43">
        <v>418.503833333333</v>
      </c>
      <c r="DW43">
        <v>41.0485666666667</v>
      </c>
      <c r="DX43">
        <v>500.0165</v>
      </c>
      <c r="DY43">
        <v>90.8738</v>
      </c>
      <c r="DZ43">
        <v>0.0999733333333333</v>
      </c>
      <c r="EA43">
        <v>52.6962833333333</v>
      </c>
      <c r="EB43">
        <v>48.0053333333333</v>
      </c>
      <c r="EC43">
        <v>999.9</v>
      </c>
      <c r="ED43">
        <v>0</v>
      </c>
      <c r="EE43">
        <v>0</v>
      </c>
      <c r="EF43">
        <v>10001.5533333333</v>
      </c>
      <c r="EG43">
        <v>0</v>
      </c>
      <c r="EH43">
        <v>1174.975</v>
      </c>
      <c r="EI43">
        <v>1.52624</v>
      </c>
      <c r="EJ43">
        <v>439.729333333333</v>
      </c>
      <c r="EK43">
        <v>429.108833333333</v>
      </c>
      <c r="EL43">
        <v>20.1731166666667</v>
      </c>
      <c r="EM43">
        <v>420.081166666667</v>
      </c>
      <c r="EN43">
        <v>21.0381666666667</v>
      </c>
      <c r="EO43">
        <v>3.74503</v>
      </c>
      <c r="EP43">
        <v>1.91181833333333</v>
      </c>
      <c r="EQ43">
        <v>27.7735333333333</v>
      </c>
      <c r="ER43">
        <v>16.7323333333333</v>
      </c>
      <c r="ES43">
        <v>299.999333333333</v>
      </c>
      <c r="ET43">
        <v>0.8999955</v>
      </c>
      <c r="EU43">
        <v>0.100004566666667</v>
      </c>
      <c r="EV43">
        <v>0</v>
      </c>
      <c r="EW43">
        <v>884.003166666667</v>
      </c>
      <c r="EX43">
        <v>5.00059</v>
      </c>
      <c r="EY43">
        <v>2937.835</v>
      </c>
      <c r="EZ43">
        <v>2506.18166666667</v>
      </c>
      <c r="FA43">
        <v>58.0725</v>
      </c>
      <c r="FB43">
        <v>60.25</v>
      </c>
      <c r="FC43">
        <v>58.75</v>
      </c>
      <c r="FD43">
        <v>60.1663333333333</v>
      </c>
      <c r="FE43">
        <v>60.208</v>
      </c>
      <c r="FF43">
        <v>265.5</v>
      </c>
      <c r="FG43">
        <v>29.5</v>
      </c>
      <c r="FH43">
        <v>0</v>
      </c>
      <c r="FI43">
        <v>96.7999999523163</v>
      </c>
      <c r="FJ43">
        <v>0</v>
      </c>
      <c r="FK43">
        <v>884.038384615385</v>
      </c>
      <c r="FL43">
        <v>-0.660923085523997</v>
      </c>
      <c r="FM43">
        <v>-3.22324790570436</v>
      </c>
      <c r="FN43">
        <v>2937.98384615385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1.66162523809524</v>
      </c>
      <c r="GD43">
        <v>-1.09934727272727</v>
      </c>
      <c r="GE43">
        <v>0.11688751082493</v>
      </c>
      <c r="GF43">
        <v>0</v>
      </c>
      <c r="GG43">
        <v>884.053058823529</v>
      </c>
      <c r="GH43">
        <v>-0.767608861686658</v>
      </c>
      <c r="GI43">
        <v>0.22340650645858</v>
      </c>
      <c r="GJ43">
        <v>-1</v>
      </c>
      <c r="GK43">
        <v>20.1402047619048</v>
      </c>
      <c r="GL43">
        <v>0.248976623376632</v>
      </c>
      <c r="GM43">
        <v>0.0253449248454102</v>
      </c>
      <c r="GN43">
        <v>0</v>
      </c>
      <c r="GO43">
        <v>0</v>
      </c>
      <c r="GP43">
        <v>2</v>
      </c>
      <c r="GQ43" t="s">
        <v>442</v>
      </c>
      <c r="GR43">
        <v>3.12672</v>
      </c>
      <c r="GS43">
        <v>2.77802</v>
      </c>
      <c r="GT43">
        <v>0.0855773</v>
      </c>
      <c r="GU43">
        <v>0.0858498</v>
      </c>
      <c r="GV43">
        <v>0.145418</v>
      </c>
      <c r="GW43">
        <v>0.0903857</v>
      </c>
      <c r="GX43">
        <v>33038.8</v>
      </c>
      <c r="GY43">
        <v>35018</v>
      </c>
      <c r="GZ43">
        <v>32799.7</v>
      </c>
      <c r="HA43">
        <v>34795.4</v>
      </c>
      <c r="HB43">
        <v>40004.9</v>
      </c>
      <c r="HC43">
        <v>45554.4</v>
      </c>
      <c r="HD43">
        <v>51450.3</v>
      </c>
      <c r="HE43">
        <v>55729.8</v>
      </c>
      <c r="HF43">
        <v>1.71615</v>
      </c>
      <c r="HG43">
        <v>2.04223</v>
      </c>
      <c r="HH43">
        <v>-0.15939</v>
      </c>
      <c r="HI43">
        <v>0</v>
      </c>
      <c r="HJ43">
        <v>50.5363</v>
      </c>
      <c r="HK43">
        <v>999.9</v>
      </c>
      <c r="HL43">
        <v>55.195</v>
      </c>
      <c r="HM43">
        <v>27.845</v>
      </c>
      <c r="HN43">
        <v>22.8408</v>
      </c>
      <c r="HO43">
        <v>59.7331</v>
      </c>
      <c r="HP43">
        <v>32.48</v>
      </c>
      <c r="HQ43">
        <v>2</v>
      </c>
      <c r="HR43">
        <v>1.95067</v>
      </c>
      <c r="HS43">
        <v>-1.9002</v>
      </c>
      <c r="HT43">
        <v>20.1187</v>
      </c>
      <c r="HU43">
        <v>5.18899</v>
      </c>
      <c r="HV43">
        <v>12.0155</v>
      </c>
      <c r="HW43">
        <v>4.9696</v>
      </c>
      <c r="HX43">
        <v>3.295</v>
      </c>
      <c r="HY43">
        <v>999.9</v>
      </c>
      <c r="HZ43">
        <v>9999</v>
      </c>
      <c r="IA43">
        <v>9999</v>
      </c>
      <c r="IB43">
        <v>9999</v>
      </c>
      <c r="IC43">
        <v>1.86315</v>
      </c>
      <c r="ID43">
        <v>1.86813</v>
      </c>
      <c r="IE43">
        <v>1.86783</v>
      </c>
      <c r="IF43">
        <v>1.86902</v>
      </c>
      <c r="IG43">
        <v>1.86983</v>
      </c>
      <c r="IH43">
        <v>1.86584</v>
      </c>
      <c r="II43">
        <v>1.86705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3.104</v>
      </c>
      <c r="IY43">
        <v>0.1627</v>
      </c>
      <c r="IZ43">
        <v>1.12264184085783</v>
      </c>
      <c r="JA43">
        <v>0.00531519531824411</v>
      </c>
      <c r="JB43">
        <v>-1.58401274662554e-06</v>
      </c>
      <c r="JC43">
        <v>4.65529057017795e-10</v>
      </c>
      <c r="JD43">
        <v>0.162735096694976</v>
      </c>
      <c r="JE43">
        <v>0</v>
      </c>
      <c r="JF43">
        <v>0</v>
      </c>
      <c r="JG43">
        <v>0</v>
      </c>
      <c r="JH43">
        <v>4</v>
      </c>
      <c r="JI43">
        <v>2305</v>
      </c>
      <c r="JJ43">
        <v>-0</v>
      </c>
      <c r="JK43">
        <v>23</v>
      </c>
      <c r="JL43">
        <v>29373173.2</v>
      </c>
      <c r="JM43">
        <v>29373173.2</v>
      </c>
      <c r="JN43">
        <v>1.12671</v>
      </c>
      <c r="JO43">
        <v>2.6123</v>
      </c>
      <c r="JP43">
        <v>2.19849</v>
      </c>
      <c r="JQ43">
        <v>2.64038</v>
      </c>
      <c r="JR43">
        <v>2.44507</v>
      </c>
      <c r="JS43">
        <v>2.26562</v>
      </c>
      <c r="JT43">
        <v>32.3107</v>
      </c>
      <c r="JU43">
        <v>24.1926</v>
      </c>
      <c r="JV43">
        <v>18</v>
      </c>
      <c r="JW43">
        <v>492.983</v>
      </c>
      <c r="JX43">
        <v>760.945</v>
      </c>
      <c r="JY43">
        <v>54.6558</v>
      </c>
      <c r="JZ43">
        <v>49.6724</v>
      </c>
      <c r="KA43">
        <v>30.0024</v>
      </c>
      <c r="KB43">
        <v>49.043</v>
      </c>
      <c r="KC43">
        <v>48.8165</v>
      </c>
      <c r="KD43">
        <v>22.5619</v>
      </c>
      <c r="KE43">
        <v>0</v>
      </c>
      <c r="KF43">
        <v>100</v>
      </c>
      <c r="KG43">
        <v>54.3167</v>
      </c>
      <c r="KH43">
        <v>420</v>
      </c>
      <c r="KI43">
        <v>67.7987</v>
      </c>
      <c r="KJ43">
        <v>93.3249</v>
      </c>
      <c r="KK43">
        <v>90.2202</v>
      </c>
    </row>
    <row r="44" spans="1:297">
      <c r="A44">
        <v>28</v>
      </c>
      <c r="B44">
        <v>1762390475</v>
      </c>
      <c r="C44">
        <v>3530</v>
      </c>
      <c r="D44" t="s">
        <v>547</v>
      </c>
      <c r="E44" t="s">
        <v>548</v>
      </c>
      <c r="F44">
        <v>5</v>
      </c>
      <c r="G44" t="s">
        <v>520</v>
      </c>
      <c r="H44" t="s">
        <v>436</v>
      </c>
      <c r="I44">
        <v>1762390472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429.025675511151</v>
      </c>
      <c r="AK44">
        <v>440.276909090909</v>
      </c>
      <c r="AL44">
        <v>0.0043190396622192</v>
      </c>
      <c r="AM44">
        <v>64.0778060381714</v>
      </c>
      <c r="AN44">
        <f>(AP44 - AO44 + DY44*1E3/(8.314*(EA44+273.15)) * AR44/DX44 * AQ44) * DX44/(100*DL44) * 1000/(1000 - AP44)</f>
        <v>0</v>
      </c>
      <c r="AO44">
        <v>21.0240155442518</v>
      </c>
      <c r="AP44">
        <v>41.3020024242424</v>
      </c>
      <c r="AQ44">
        <v>0.000125601951467729</v>
      </c>
      <c r="AR44">
        <v>97.6684432038501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477</v>
      </c>
      <c r="AY44" t="s">
        <v>477</v>
      </c>
      <c r="AZ44">
        <v>0</v>
      </c>
      <c r="BA44">
        <v>0</v>
      </c>
      <c r="BB44">
        <f>1-AZ44/BA44</f>
        <v>0</v>
      </c>
      <c r="BC44">
        <v>0</v>
      </c>
      <c r="BD44" t="s">
        <v>477</v>
      </c>
      <c r="BE44" t="s">
        <v>477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477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493</v>
      </c>
      <c r="CA44">
        <v>290</v>
      </c>
      <c r="CB44">
        <v>936.11</v>
      </c>
      <c r="CC44">
        <v>285</v>
      </c>
      <c r="CD44">
        <v>5093.21</v>
      </c>
      <c r="CE44">
        <v>936.05</v>
      </c>
      <c r="CF44">
        <v>0.06</v>
      </c>
      <c r="CG44">
        <v>300</v>
      </c>
      <c r="CH44">
        <v>23.9</v>
      </c>
      <c r="CI44">
        <v>945.377066906281</v>
      </c>
      <c r="CJ44">
        <v>1.19365684425504</v>
      </c>
      <c r="CK44">
        <v>-4.74832212919143</v>
      </c>
      <c r="CL44">
        <v>0.531830291856234</v>
      </c>
      <c r="CM44">
        <v>0.740052186131906</v>
      </c>
      <c r="CN44">
        <v>-0.00396442246941046</v>
      </c>
      <c r="CO44">
        <v>290</v>
      </c>
      <c r="CP44">
        <v>935.78</v>
      </c>
      <c r="CQ44">
        <v>775</v>
      </c>
      <c r="CR44">
        <v>5089.35</v>
      </c>
      <c r="CS44">
        <v>936.05</v>
      </c>
      <c r="CT44">
        <v>-0.27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1762390472</v>
      </c>
      <c r="DR44">
        <v>422.0628</v>
      </c>
      <c r="DS44">
        <v>420.0186</v>
      </c>
      <c r="DT44">
        <v>41.30024</v>
      </c>
      <c r="DU44">
        <v>21.0241</v>
      </c>
      <c r="DV44">
        <v>418.957</v>
      </c>
      <c r="DW44">
        <v>41.13752</v>
      </c>
      <c r="DX44">
        <v>500.061</v>
      </c>
      <c r="DY44">
        <v>90.8873</v>
      </c>
      <c r="DZ44">
        <v>0.10006826</v>
      </c>
      <c r="EA44">
        <v>52.84116</v>
      </c>
      <c r="EB44">
        <v>48.07088</v>
      </c>
      <c r="EC44">
        <v>999.9</v>
      </c>
      <c r="ED44">
        <v>0</v>
      </c>
      <c r="EE44">
        <v>0</v>
      </c>
      <c r="EF44">
        <v>9997.27</v>
      </c>
      <c r="EG44">
        <v>0</v>
      </c>
      <c r="EH44">
        <v>1172.852</v>
      </c>
      <c r="EI44">
        <v>2.044196</v>
      </c>
      <c r="EJ44">
        <v>440.245</v>
      </c>
      <c r="EK44">
        <v>429.0386</v>
      </c>
      <c r="EL44">
        <v>20.27618</v>
      </c>
      <c r="EM44">
        <v>420.0186</v>
      </c>
      <c r="EN44">
        <v>21.0241</v>
      </c>
      <c r="EO44">
        <v>3.753668</v>
      </c>
      <c r="EP44">
        <v>1.910822</v>
      </c>
      <c r="EQ44">
        <v>27.813</v>
      </c>
      <c r="ER44">
        <v>16.7241</v>
      </c>
      <c r="ES44">
        <v>150.1272</v>
      </c>
      <c r="ET44">
        <v>0.8999968</v>
      </c>
      <c r="EU44">
        <v>0.10000328</v>
      </c>
      <c r="EV44">
        <v>0</v>
      </c>
      <c r="EW44">
        <v>880.4636</v>
      </c>
      <c r="EX44">
        <v>5.00059</v>
      </c>
      <c r="EY44">
        <v>1603.638</v>
      </c>
      <c r="EZ44">
        <v>1232.934</v>
      </c>
      <c r="FA44">
        <v>58.062</v>
      </c>
      <c r="FB44">
        <v>60.5</v>
      </c>
      <c r="FC44">
        <v>58.875</v>
      </c>
      <c r="FD44">
        <v>60.4496</v>
      </c>
      <c r="FE44">
        <v>60.2748</v>
      </c>
      <c r="FF44">
        <v>130.616</v>
      </c>
      <c r="FG44">
        <v>14.51</v>
      </c>
      <c r="FH44">
        <v>0</v>
      </c>
      <c r="FI44">
        <v>78</v>
      </c>
      <c r="FJ44">
        <v>0</v>
      </c>
      <c r="FK44">
        <v>880.39544</v>
      </c>
      <c r="FL44">
        <v>1.16384614381629</v>
      </c>
      <c r="FM44">
        <v>2.55000004075192</v>
      </c>
      <c r="FN44">
        <v>1602.0676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2.1642545</v>
      </c>
      <c r="GD44">
        <v>-0.428031428571431</v>
      </c>
      <c r="GE44">
        <v>0.115730878873143</v>
      </c>
      <c r="GF44">
        <v>1</v>
      </c>
      <c r="GG44">
        <v>880.283852941176</v>
      </c>
      <c r="GH44">
        <v>1.42085561111475</v>
      </c>
      <c r="GI44">
        <v>0.202406133996933</v>
      </c>
      <c r="GJ44">
        <v>-1</v>
      </c>
      <c r="GK44">
        <v>20.26433</v>
      </c>
      <c r="GL44">
        <v>0.0924180451127774</v>
      </c>
      <c r="GM44">
        <v>0.00920337438117146</v>
      </c>
      <c r="GN44">
        <v>1</v>
      </c>
      <c r="GO44">
        <v>2</v>
      </c>
      <c r="GP44">
        <v>2</v>
      </c>
      <c r="GQ44" t="s">
        <v>478</v>
      </c>
      <c r="GR44">
        <v>3.12666</v>
      </c>
      <c r="GS44">
        <v>2.7779</v>
      </c>
      <c r="GT44">
        <v>0.0855782</v>
      </c>
      <c r="GU44">
        <v>0.0857584</v>
      </c>
      <c r="GV44">
        <v>0.145503</v>
      </c>
      <c r="GW44">
        <v>0.0902705</v>
      </c>
      <c r="GX44">
        <v>33004.4</v>
      </c>
      <c r="GY44">
        <v>34975.2</v>
      </c>
      <c r="GZ44">
        <v>32768</v>
      </c>
      <c r="HA44">
        <v>34751.8</v>
      </c>
      <c r="HB44">
        <v>39973.4</v>
      </c>
      <c r="HC44">
        <v>45507.2</v>
      </c>
      <c r="HD44">
        <v>51408.1</v>
      </c>
      <c r="HE44">
        <v>55664.8</v>
      </c>
      <c r="HF44">
        <v>1.71125</v>
      </c>
      <c r="HG44">
        <v>2.03573</v>
      </c>
      <c r="HH44">
        <v>-0.182092</v>
      </c>
      <c r="HI44">
        <v>0</v>
      </c>
      <c r="HJ44">
        <v>50.9567</v>
      </c>
      <c r="HK44">
        <v>999.9</v>
      </c>
      <c r="HL44">
        <v>55.195</v>
      </c>
      <c r="HM44">
        <v>27.835</v>
      </c>
      <c r="HN44">
        <v>22.8253</v>
      </c>
      <c r="HO44">
        <v>59.7831</v>
      </c>
      <c r="HP44">
        <v>32.3237</v>
      </c>
      <c r="HQ44">
        <v>2</v>
      </c>
      <c r="HR44">
        <v>1.99351</v>
      </c>
      <c r="HS44">
        <v>-1.52464</v>
      </c>
      <c r="HT44">
        <v>20.1237</v>
      </c>
      <c r="HU44">
        <v>5.18959</v>
      </c>
      <c r="HV44">
        <v>12.0159</v>
      </c>
      <c r="HW44">
        <v>4.9709</v>
      </c>
      <c r="HX44">
        <v>3.295</v>
      </c>
      <c r="HY44">
        <v>999.9</v>
      </c>
      <c r="HZ44">
        <v>9999</v>
      </c>
      <c r="IA44">
        <v>9999</v>
      </c>
      <c r="IB44">
        <v>9999</v>
      </c>
      <c r="IC44">
        <v>1.86318</v>
      </c>
      <c r="ID44">
        <v>1.86813</v>
      </c>
      <c r="IE44">
        <v>1.86786</v>
      </c>
      <c r="IF44">
        <v>1.86905</v>
      </c>
      <c r="IG44">
        <v>1.86981</v>
      </c>
      <c r="IH44">
        <v>1.8659</v>
      </c>
      <c r="II44">
        <v>1.86702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3.106</v>
      </c>
      <c r="IY44">
        <v>0.1628</v>
      </c>
      <c r="IZ44">
        <v>1.12264184085783</v>
      </c>
      <c r="JA44">
        <v>0.00531519531824411</v>
      </c>
      <c r="JB44">
        <v>-1.58401274662554e-06</v>
      </c>
      <c r="JC44">
        <v>4.65529057017795e-10</v>
      </c>
      <c r="JD44">
        <v>0.162735096694976</v>
      </c>
      <c r="JE44">
        <v>0</v>
      </c>
      <c r="JF44">
        <v>0</v>
      </c>
      <c r="JG44">
        <v>0</v>
      </c>
      <c r="JH44">
        <v>4</v>
      </c>
      <c r="JI44">
        <v>2305</v>
      </c>
      <c r="JJ44">
        <v>-0</v>
      </c>
      <c r="JK44">
        <v>23</v>
      </c>
      <c r="JL44">
        <v>29373174.6</v>
      </c>
      <c r="JM44">
        <v>29373174.6</v>
      </c>
      <c r="JN44">
        <v>1.12793</v>
      </c>
      <c r="JO44">
        <v>2.60986</v>
      </c>
      <c r="JP44">
        <v>2.19849</v>
      </c>
      <c r="JQ44">
        <v>2.63916</v>
      </c>
      <c r="JR44">
        <v>2.44507</v>
      </c>
      <c r="JS44">
        <v>2.30225</v>
      </c>
      <c r="JT44">
        <v>32.3107</v>
      </c>
      <c r="JU44">
        <v>24.1926</v>
      </c>
      <c r="JV44">
        <v>18</v>
      </c>
      <c r="JW44">
        <v>491.945</v>
      </c>
      <c r="JX44">
        <v>758.44</v>
      </c>
      <c r="JY44">
        <v>54.3271</v>
      </c>
      <c r="JZ44">
        <v>50.136</v>
      </c>
      <c r="KA44">
        <v>30.0026</v>
      </c>
      <c r="KB44">
        <v>49.4562</v>
      </c>
      <c r="KC44">
        <v>49.2167</v>
      </c>
      <c r="KD44">
        <v>22.5921</v>
      </c>
      <c r="KE44">
        <v>0</v>
      </c>
      <c r="KF44">
        <v>100</v>
      </c>
      <c r="KG44">
        <v>54.2809</v>
      </c>
      <c r="KH44">
        <v>420</v>
      </c>
      <c r="KI44">
        <v>67.7987</v>
      </c>
      <c r="KJ44">
        <v>93.243</v>
      </c>
      <c r="KK44">
        <v>90.1121</v>
      </c>
    </row>
    <row r="45" spans="1:297">
      <c r="A45">
        <v>29</v>
      </c>
      <c r="B45">
        <v>1762390543</v>
      </c>
      <c r="C45">
        <v>3598</v>
      </c>
      <c r="D45" t="s">
        <v>549</v>
      </c>
      <c r="E45" t="s">
        <v>550</v>
      </c>
      <c r="F45">
        <v>5</v>
      </c>
      <c r="G45" t="s">
        <v>520</v>
      </c>
      <c r="H45" t="s">
        <v>436</v>
      </c>
      <c r="I45">
        <v>1762390540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429.097267848396</v>
      </c>
      <c r="AK45">
        <v>441.096181818182</v>
      </c>
      <c r="AL45">
        <v>0.00688477634061243</v>
      </c>
      <c r="AM45">
        <v>64.0778060381714</v>
      </c>
      <c r="AN45">
        <f>(AP45 - AO45 + DY45*1E3/(8.314*(EA45+273.15)) * AR45/DX45 * AQ45) * DX45/(100*DL45) * 1000/(1000 - AP45)</f>
        <v>0</v>
      </c>
      <c r="AO45">
        <v>21.0085614372411</v>
      </c>
      <c r="AP45">
        <v>41.277403030303</v>
      </c>
      <c r="AQ45">
        <v>0.00392633226238416</v>
      </c>
      <c r="AR45">
        <v>97.6684432038501</v>
      </c>
      <c r="AS45">
        <v>1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517</v>
      </c>
      <c r="AY45">
        <v>5066.66</v>
      </c>
      <c r="AZ45">
        <v>639.826923076923</v>
      </c>
      <c r="BA45">
        <v>1736.46</v>
      </c>
      <c r="BB45">
        <f>1-AZ45/BA45</f>
        <v>0</v>
      </c>
      <c r="BC45">
        <v>-10.0583227723073</v>
      </c>
      <c r="BD45" t="s">
        <v>551</v>
      </c>
      <c r="BE45">
        <v>5069.79</v>
      </c>
      <c r="BF45">
        <v>881.078961538461</v>
      </c>
      <c r="BG45">
        <v>1004.62025950707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552</v>
      </c>
      <c r="BQ45">
        <v>866.07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495</v>
      </c>
      <c r="CA45">
        <v>290</v>
      </c>
      <c r="CB45">
        <v>999.03</v>
      </c>
      <c r="CC45">
        <v>285</v>
      </c>
      <c r="CD45">
        <v>5069.79</v>
      </c>
      <c r="CE45">
        <v>1000.21</v>
      </c>
      <c r="CF45">
        <v>-1.18</v>
      </c>
      <c r="CG45">
        <v>300</v>
      </c>
      <c r="CH45">
        <v>23.9</v>
      </c>
      <c r="CI45">
        <v>1004.62025950707</v>
      </c>
      <c r="CJ45">
        <v>1.46618501290555</v>
      </c>
      <c r="CK45">
        <v>-2.23412809364008</v>
      </c>
      <c r="CL45">
        <v>0.644970800870711</v>
      </c>
      <c r="CM45">
        <v>0.299978138188724</v>
      </c>
      <c r="CN45">
        <v>-0.00415442157953282</v>
      </c>
      <c r="CO45">
        <v>290</v>
      </c>
      <c r="CP45">
        <v>1000.6</v>
      </c>
      <c r="CQ45">
        <v>755</v>
      </c>
      <c r="CR45">
        <v>5065.99</v>
      </c>
      <c r="CS45">
        <v>1000.21</v>
      </c>
      <c r="CT45">
        <v>0.39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1762390540</v>
      </c>
      <c r="DR45">
        <v>422.873</v>
      </c>
      <c r="DS45">
        <v>420.0628</v>
      </c>
      <c r="DT45">
        <v>41.26898</v>
      </c>
      <c r="DU45">
        <v>21.00872</v>
      </c>
      <c r="DV45">
        <v>419.7636</v>
      </c>
      <c r="DW45">
        <v>41.10626</v>
      </c>
      <c r="DX45">
        <v>500.0292</v>
      </c>
      <c r="DY45">
        <v>90.89284</v>
      </c>
      <c r="DZ45">
        <v>0.09995966</v>
      </c>
      <c r="EA45">
        <v>52.86046</v>
      </c>
      <c r="EB45">
        <v>48.0379</v>
      </c>
      <c r="EC45">
        <v>999.9</v>
      </c>
      <c r="ED45">
        <v>0</v>
      </c>
      <c r="EE45">
        <v>0</v>
      </c>
      <c r="EF45">
        <v>10007.63</v>
      </c>
      <c r="EG45">
        <v>0</v>
      </c>
      <c r="EH45">
        <v>1171.262</v>
      </c>
      <c r="EI45">
        <v>2.809874</v>
      </c>
      <c r="EJ45">
        <v>441.0756</v>
      </c>
      <c r="EK45">
        <v>429.077</v>
      </c>
      <c r="EL45">
        <v>20.26028</v>
      </c>
      <c r="EM45">
        <v>420.0628</v>
      </c>
      <c r="EN45">
        <v>21.00872</v>
      </c>
      <c r="EO45">
        <v>3.751056</v>
      </c>
      <c r="EP45">
        <v>1.909542</v>
      </c>
      <c r="EQ45">
        <v>27.80108</v>
      </c>
      <c r="ER45">
        <v>16.71354</v>
      </c>
      <c r="ES45">
        <v>50.02036</v>
      </c>
      <c r="ET45">
        <v>0.9000584</v>
      </c>
      <c r="EU45">
        <v>0.09994164</v>
      </c>
      <c r="EV45">
        <v>0</v>
      </c>
      <c r="EW45">
        <v>881.6664</v>
      </c>
      <c r="EX45">
        <v>5.00059</v>
      </c>
      <c r="EY45">
        <v>714.2084</v>
      </c>
      <c r="EZ45">
        <v>382.4756</v>
      </c>
      <c r="FA45">
        <v>57.9496</v>
      </c>
      <c r="FB45">
        <v>60.687</v>
      </c>
      <c r="FC45">
        <v>58.937</v>
      </c>
      <c r="FD45">
        <v>60.687</v>
      </c>
      <c r="FE45">
        <v>60.2624</v>
      </c>
      <c r="FF45">
        <v>40.522</v>
      </c>
      <c r="FG45">
        <v>4.5</v>
      </c>
      <c r="FH45">
        <v>0</v>
      </c>
      <c r="FI45">
        <v>145.799999952316</v>
      </c>
      <c r="FJ45">
        <v>0</v>
      </c>
      <c r="FK45">
        <v>881.078961538461</v>
      </c>
      <c r="FL45">
        <v>8.23928205853604</v>
      </c>
      <c r="FM45">
        <v>1.85928206624089</v>
      </c>
      <c r="FN45">
        <v>713.657076923077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2.776601</v>
      </c>
      <c r="GD45">
        <v>-0.493804511278193</v>
      </c>
      <c r="GE45">
        <v>0.0916763941753819</v>
      </c>
      <c r="GF45">
        <v>1</v>
      </c>
      <c r="GG45">
        <v>880.389352941177</v>
      </c>
      <c r="GH45">
        <v>10.1731703483683</v>
      </c>
      <c r="GI45">
        <v>1.01586227883024</v>
      </c>
      <c r="GJ45">
        <v>-1</v>
      </c>
      <c r="GK45">
        <v>20.239375</v>
      </c>
      <c r="GL45">
        <v>0.0717248120300772</v>
      </c>
      <c r="GM45">
        <v>0.0110396501303256</v>
      </c>
      <c r="GN45">
        <v>1</v>
      </c>
      <c r="GO45">
        <v>2</v>
      </c>
      <c r="GP45">
        <v>2</v>
      </c>
      <c r="GQ45" t="s">
        <v>478</v>
      </c>
      <c r="GR45">
        <v>3.12651</v>
      </c>
      <c r="GS45">
        <v>2.77805</v>
      </c>
      <c r="GT45">
        <v>0.0856237</v>
      </c>
      <c r="GU45">
        <v>0.0856949</v>
      </c>
      <c r="GV45">
        <v>0.145319</v>
      </c>
      <c r="GW45">
        <v>0.0901522</v>
      </c>
      <c r="GX45">
        <v>32971</v>
      </c>
      <c r="GY45">
        <v>34936.4</v>
      </c>
      <c r="GZ45">
        <v>32738.6</v>
      </c>
      <c r="HA45">
        <v>34712.9</v>
      </c>
      <c r="HB45">
        <v>39955.4</v>
      </c>
      <c r="HC45">
        <v>45465.8</v>
      </c>
      <c r="HD45">
        <v>51369</v>
      </c>
      <c r="HE45">
        <v>55607</v>
      </c>
      <c r="HF45">
        <v>1.70693</v>
      </c>
      <c r="HG45">
        <v>2.0299</v>
      </c>
      <c r="HH45">
        <v>-0.202656</v>
      </c>
      <c r="HI45">
        <v>0</v>
      </c>
      <c r="HJ45">
        <v>51.2425</v>
      </c>
      <c r="HK45">
        <v>999.9</v>
      </c>
      <c r="HL45">
        <v>55.195</v>
      </c>
      <c r="HM45">
        <v>27.835</v>
      </c>
      <c r="HN45">
        <v>22.8243</v>
      </c>
      <c r="HO45">
        <v>59.9131</v>
      </c>
      <c r="HP45">
        <v>32.1755</v>
      </c>
      <c r="HQ45">
        <v>2</v>
      </c>
      <c r="HR45">
        <v>2.03225</v>
      </c>
      <c r="HS45">
        <v>-1.3029</v>
      </c>
      <c r="HT45">
        <v>20.1256</v>
      </c>
      <c r="HU45">
        <v>5.18704</v>
      </c>
      <c r="HV45">
        <v>12.0159</v>
      </c>
      <c r="HW45">
        <v>4.97045</v>
      </c>
      <c r="HX45">
        <v>3.295</v>
      </c>
      <c r="HY45">
        <v>999.9</v>
      </c>
      <c r="HZ45">
        <v>9999</v>
      </c>
      <c r="IA45">
        <v>9999</v>
      </c>
      <c r="IB45">
        <v>9999</v>
      </c>
      <c r="IC45">
        <v>1.86314</v>
      </c>
      <c r="ID45">
        <v>1.86813</v>
      </c>
      <c r="IE45">
        <v>1.86783</v>
      </c>
      <c r="IF45">
        <v>1.86905</v>
      </c>
      <c r="IG45">
        <v>1.86981</v>
      </c>
      <c r="IH45">
        <v>1.86586</v>
      </c>
      <c r="II45">
        <v>1.86703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3.109</v>
      </c>
      <c r="IY45">
        <v>0.1627</v>
      </c>
      <c r="IZ45">
        <v>1.12264184085783</v>
      </c>
      <c r="JA45">
        <v>0.00531519531824411</v>
      </c>
      <c r="JB45">
        <v>-1.58401274662554e-06</v>
      </c>
      <c r="JC45">
        <v>4.65529057017795e-10</v>
      </c>
      <c r="JD45">
        <v>0.162735096694976</v>
      </c>
      <c r="JE45">
        <v>0</v>
      </c>
      <c r="JF45">
        <v>0</v>
      </c>
      <c r="JG45">
        <v>0</v>
      </c>
      <c r="JH45">
        <v>4</v>
      </c>
      <c r="JI45">
        <v>2305</v>
      </c>
      <c r="JJ45">
        <v>-0</v>
      </c>
      <c r="JK45">
        <v>23</v>
      </c>
      <c r="JL45">
        <v>29373175.7</v>
      </c>
      <c r="JM45">
        <v>29373175.7</v>
      </c>
      <c r="JN45">
        <v>1.12671</v>
      </c>
      <c r="JO45">
        <v>2.6062</v>
      </c>
      <c r="JP45">
        <v>2.19849</v>
      </c>
      <c r="JQ45">
        <v>2.64038</v>
      </c>
      <c r="JR45">
        <v>2.44629</v>
      </c>
      <c r="JS45">
        <v>2.33765</v>
      </c>
      <c r="JT45">
        <v>32.3107</v>
      </c>
      <c r="JU45">
        <v>24.2013</v>
      </c>
      <c r="JV45">
        <v>18</v>
      </c>
      <c r="JW45">
        <v>491.062</v>
      </c>
      <c r="JX45">
        <v>756.257</v>
      </c>
      <c r="JY45">
        <v>53.8724</v>
      </c>
      <c r="JZ45">
        <v>50.5476</v>
      </c>
      <c r="KA45">
        <v>30.0029</v>
      </c>
      <c r="KB45">
        <v>49.8295</v>
      </c>
      <c r="KC45">
        <v>49.5843</v>
      </c>
      <c r="KD45">
        <v>22.5793</v>
      </c>
      <c r="KE45">
        <v>0</v>
      </c>
      <c r="KF45">
        <v>100</v>
      </c>
      <c r="KG45">
        <v>53.823</v>
      </c>
      <c r="KH45">
        <v>420</v>
      </c>
      <c r="KI45">
        <v>67.7987</v>
      </c>
      <c r="KJ45">
        <v>93.1671</v>
      </c>
      <c r="KK45">
        <v>90.0157</v>
      </c>
    </row>
    <row r="46" spans="1:297">
      <c r="A46">
        <v>30</v>
      </c>
      <c r="B46">
        <v>1762390614.1</v>
      </c>
      <c r="C46">
        <v>3669.09999990463</v>
      </c>
      <c r="D46" t="s">
        <v>553</v>
      </c>
      <c r="E46" t="s">
        <v>554</v>
      </c>
      <c r="F46">
        <v>5</v>
      </c>
      <c r="G46" t="s">
        <v>520</v>
      </c>
      <c r="H46" t="s">
        <v>436</v>
      </c>
      <c r="I46">
        <v>1762390611.1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428.920544626916</v>
      </c>
      <c r="AK46">
        <v>441.482363636364</v>
      </c>
      <c r="AL46">
        <v>0.0019602688359257</v>
      </c>
      <c r="AM46">
        <v>64.0778060381714</v>
      </c>
      <c r="AN46">
        <f>(AP46 - AO46 + DY46*1E3/(8.314*(EA46+273.15)) * AR46/DX46 * AQ46) * DX46/(100*DL46) * 1000/(1000 - AP46)</f>
        <v>0</v>
      </c>
      <c r="AO46">
        <v>21.0114749717128</v>
      </c>
      <c r="AP46">
        <v>41.2333436363636</v>
      </c>
      <c r="AQ46">
        <v>-0.000336455881266322</v>
      </c>
      <c r="AR46">
        <v>97.6684432038501</v>
      </c>
      <c r="AS46">
        <v>2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477</v>
      </c>
      <c r="AY46" t="s">
        <v>477</v>
      </c>
      <c r="AZ46">
        <v>0</v>
      </c>
      <c r="BA46">
        <v>0</v>
      </c>
      <c r="BB46">
        <f>1-AZ46/BA46</f>
        <v>0</v>
      </c>
      <c r="BC46">
        <v>0</v>
      </c>
      <c r="BD46" t="s">
        <v>477</v>
      </c>
      <c r="BE46" t="s">
        <v>477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477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495</v>
      </c>
      <c r="CA46">
        <v>290</v>
      </c>
      <c r="CB46">
        <v>999.03</v>
      </c>
      <c r="CC46">
        <v>285</v>
      </c>
      <c r="CD46">
        <v>5069.79</v>
      </c>
      <c r="CE46">
        <v>1000.21</v>
      </c>
      <c r="CF46">
        <v>-1.18</v>
      </c>
      <c r="CG46">
        <v>300</v>
      </c>
      <c r="CH46">
        <v>23.9</v>
      </c>
      <c r="CI46">
        <v>1004.62025950707</v>
      </c>
      <c r="CJ46">
        <v>1.46618501290555</v>
      </c>
      <c r="CK46">
        <v>-2.23412809364008</v>
      </c>
      <c r="CL46">
        <v>0.644970800870711</v>
      </c>
      <c r="CM46">
        <v>0.299978138188724</v>
      </c>
      <c r="CN46">
        <v>-0.00415442157953282</v>
      </c>
      <c r="CO46">
        <v>290</v>
      </c>
      <c r="CP46">
        <v>1000.6</v>
      </c>
      <c r="CQ46">
        <v>755</v>
      </c>
      <c r="CR46">
        <v>5065.99</v>
      </c>
      <c r="CS46">
        <v>1000.21</v>
      </c>
      <c r="CT46">
        <v>0.39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1762390611.1</v>
      </c>
      <c r="DR46">
        <v>423.2512</v>
      </c>
      <c r="DS46">
        <v>419.9274</v>
      </c>
      <c r="DT46">
        <v>41.2396</v>
      </c>
      <c r="DU46">
        <v>21.0114</v>
      </c>
      <c r="DV46">
        <v>420.1404</v>
      </c>
      <c r="DW46">
        <v>41.07686</v>
      </c>
      <c r="DX46">
        <v>500.1002</v>
      </c>
      <c r="DY46">
        <v>90.88724</v>
      </c>
      <c r="DZ46">
        <v>0.1001572</v>
      </c>
      <c r="EA46">
        <v>52.865</v>
      </c>
      <c r="EB46">
        <v>48.04328</v>
      </c>
      <c r="EC46">
        <v>999.9</v>
      </c>
      <c r="ED46">
        <v>0</v>
      </c>
      <c r="EE46">
        <v>0</v>
      </c>
      <c r="EF46">
        <v>9991.51</v>
      </c>
      <c r="EG46">
        <v>0</v>
      </c>
      <c r="EH46">
        <v>1169.618</v>
      </c>
      <c r="EI46">
        <v>3.323462</v>
      </c>
      <c r="EJ46">
        <v>441.4564</v>
      </c>
      <c r="EK46">
        <v>428.9402</v>
      </c>
      <c r="EL46">
        <v>20.22818</v>
      </c>
      <c r="EM46">
        <v>419.9274</v>
      </c>
      <c r="EN46">
        <v>21.0114</v>
      </c>
      <c r="EO46">
        <v>3.74815</v>
      </c>
      <c r="EP46">
        <v>1.90967</v>
      </c>
      <c r="EQ46">
        <v>27.78784</v>
      </c>
      <c r="ER46">
        <v>16.7146</v>
      </c>
      <c r="ES46">
        <v>0.00500059</v>
      </c>
      <c r="ET46">
        <v>0</v>
      </c>
      <c r="EU46">
        <v>0</v>
      </c>
      <c r="EV46">
        <v>0</v>
      </c>
      <c r="EW46">
        <v>985.38</v>
      </c>
      <c r="EX46">
        <v>0.00500059</v>
      </c>
      <c r="EY46">
        <v>309.14</v>
      </c>
      <c r="EZ46">
        <v>4.2</v>
      </c>
      <c r="FA46">
        <v>58</v>
      </c>
      <c r="FB46">
        <v>60.937</v>
      </c>
      <c r="FC46">
        <v>59.0372</v>
      </c>
      <c r="FD46">
        <v>60.875</v>
      </c>
      <c r="FE46">
        <v>60.187</v>
      </c>
      <c r="FF46">
        <v>0</v>
      </c>
      <c r="FG46">
        <v>0</v>
      </c>
      <c r="FH46">
        <v>0</v>
      </c>
      <c r="FI46">
        <v>67.4000000953674</v>
      </c>
      <c r="FJ46">
        <v>0</v>
      </c>
      <c r="FK46">
        <v>983.428</v>
      </c>
      <c r="FL46">
        <v>51.95384599307</v>
      </c>
      <c r="FM46">
        <v>58.5461542698055</v>
      </c>
      <c r="FN46">
        <v>311.096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3.33045952380952</v>
      </c>
      <c r="GD46">
        <v>-0.121365194805191</v>
      </c>
      <c r="GE46">
        <v>0.0354650571792239</v>
      </c>
      <c r="GF46">
        <v>1</v>
      </c>
      <c r="GG46">
        <v>978.358823529412</v>
      </c>
      <c r="GH46">
        <v>80.0916731539905</v>
      </c>
      <c r="GI46">
        <v>10.8332037965816</v>
      </c>
      <c r="GJ46">
        <v>-1</v>
      </c>
      <c r="GK46">
        <v>20.2385095238095</v>
      </c>
      <c r="GL46">
        <v>-0.061620779220759</v>
      </c>
      <c r="GM46">
        <v>0.00732132597682665</v>
      </c>
      <c r="GN46">
        <v>1</v>
      </c>
      <c r="GO46">
        <v>2</v>
      </c>
      <c r="GP46">
        <v>2</v>
      </c>
      <c r="GQ46" t="s">
        <v>478</v>
      </c>
      <c r="GR46">
        <v>3.12642</v>
      </c>
      <c r="GS46">
        <v>2.77794</v>
      </c>
      <c r="GT46">
        <v>0.0856036</v>
      </c>
      <c r="GU46">
        <v>0.0855926</v>
      </c>
      <c r="GV46">
        <v>0.145075</v>
      </c>
      <c r="GW46">
        <v>0.0900781</v>
      </c>
      <c r="GX46">
        <v>32938.2</v>
      </c>
      <c r="GY46">
        <v>34895</v>
      </c>
      <c r="GZ46">
        <v>32707.7</v>
      </c>
      <c r="HA46">
        <v>34670.3</v>
      </c>
      <c r="HB46">
        <v>39938.9</v>
      </c>
      <c r="HC46">
        <v>45417.8</v>
      </c>
      <c r="HD46">
        <v>51328.1</v>
      </c>
      <c r="HE46">
        <v>55543.6</v>
      </c>
      <c r="HF46">
        <v>1.70235</v>
      </c>
      <c r="HG46">
        <v>2.0236</v>
      </c>
      <c r="HH46">
        <v>-0.219569</v>
      </c>
      <c r="HI46">
        <v>0</v>
      </c>
      <c r="HJ46">
        <v>51.4925</v>
      </c>
      <c r="HK46">
        <v>999.9</v>
      </c>
      <c r="HL46">
        <v>55.219</v>
      </c>
      <c r="HM46">
        <v>27.815</v>
      </c>
      <c r="HN46">
        <v>22.8085</v>
      </c>
      <c r="HO46">
        <v>59.8249</v>
      </c>
      <c r="HP46">
        <v>32.0913</v>
      </c>
      <c r="HQ46">
        <v>2</v>
      </c>
      <c r="HR46">
        <v>2.07854</v>
      </c>
      <c r="HS46">
        <v>-0.754123</v>
      </c>
      <c r="HT46">
        <v>20.1295</v>
      </c>
      <c r="HU46">
        <v>5.18854</v>
      </c>
      <c r="HV46">
        <v>12.0159</v>
      </c>
      <c r="HW46">
        <v>4.9695</v>
      </c>
      <c r="HX46">
        <v>3.295</v>
      </c>
      <c r="HY46">
        <v>999.9</v>
      </c>
      <c r="HZ46">
        <v>9999</v>
      </c>
      <c r="IA46">
        <v>9999</v>
      </c>
      <c r="IB46">
        <v>9999</v>
      </c>
      <c r="IC46">
        <v>1.86314</v>
      </c>
      <c r="ID46">
        <v>1.86813</v>
      </c>
      <c r="IE46">
        <v>1.86784</v>
      </c>
      <c r="IF46">
        <v>1.86903</v>
      </c>
      <c r="IG46">
        <v>1.86984</v>
      </c>
      <c r="IH46">
        <v>1.86586</v>
      </c>
      <c r="II46">
        <v>1.86703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3.111</v>
      </c>
      <c r="IY46">
        <v>0.1627</v>
      </c>
      <c r="IZ46">
        <v>1.12264184085783</v>
      </c>
      <c r="JA46">
        <v>0.00531519531824411</v>
      </c>
      <c r="JB46">
        <v>-1.58401274662554e-06</v>
      </c>
      <c r="JC46">
        <v>4.65529057017795e-10</v>
      </c>
      <c r="JD46">
        <v>0.162735096694976</v>
      </c>
      <c r="JE46">
        <v>0</v>
      </c>
      <c r="JF46">
        <v>0</v>
      </c>
      <c r="JG46">
        <v>0</v>
      </c>
      <c r="JH46">
        <v>4</v>
      </c>
      <c r="JI46">
        <v>2305</v>
      </c>
      <c r="JJ46">
        <v>-0</v>
      </c>
      <c r="JK46">
        <v>23</v>
      </c>
      <c r="JL46">
        <v>29373176.9</v>
      </c>
      <c r="JM46">
        <v>29373176.9</v>
      </c>
      <c r="JN46">
        <v>1.12793</v>
      </c>
      <c r="JO46">
        <v>2.61108</v>
      </c>
      <c r="JP46">
        <v>2.19849</v>
      </c>
      <c r="JQ46">
        <v>2.63916</v>
      </c>
      <c r="JR46">
        <v>2.44507</v>
      </c>
      <c r="JS46">
        <v>2.28394</v>
      </c>
      <c r="JT46">
        <v>32.3107</v>
      </c>
      <c r="JU46">
        <v>24.2013</v>
      </c>
      <c r="JV46">
        <v>18</v>
      </c>
      <c r="JW46">
        <v>490.232</v>
      </c>
      <c r="JX46">
        <v>753.979</v>
      </c>
      <c r="JY46">
        <v>53.3566</v>
      </c>
      <c r="JZ46">
        <v>51.004</v>
      </c>
      <c r="KA46">
        <v>30.0033</v>
      </c>
      <c r="KB46">
        <v>50.245</v>
      </c>
      <c r="KC46">
        <v>49.9933</v>
      </c>
      <c r="KD46">
        <v>22.6098</v>
      </c>
      <c r="KE46">
        <v>0</v>
      </c>
      <c r="KF46">
        <v>100</v>
      </c>
      <c r="KG46">
        <v>53.3088</v>
      </c>
      <c r="KH46">
        <v>420</v>
      </c>
      <c r="KI46">
        <v>67.7987</v>
      </c>
      <c r="KJ46">
        <v>93.0876</v>
      </c>
      <c r="KK46">
        <v>89.91</v>
      </c>
    </row>
    <row r="47" spans="1:297">
      <c r="A47">
        <v>31</v>
      </c>
      <c r="B47">
        <v>1762391218.1</v>
      </c>
      <c r="C47">
        <v>4273.09999990463</v>
      </c>
      <c r="D47" t="s">
        <v>555</v>
      </c>
      <c r="E47" t="s">
        <v>556</v>
      </c>
      <c r="F47">
        <v>5</v>
      </c>
      <c r="G47" t="s">
        <v>557</v>
      </c>
      <c r="H47" t="s">
        <v>436</v>
      </c>
      <c r="I47">
        <v>1762391215.1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429.071412825739</v>
      </c>
      <c r="AK47">
        <v>438.119745454545</v>
      </c>
      <c r="AL47">
        <v>0.0217779964545447</v>
      </c>
      <c r="AM47">
        <v>64.2100372477511</v>
      </c>
      <c r="AN47">
        <f>(AP47 - AO47 + DY47*1E3/(8.314*(EA47+273.15)) * AR47/DX47 * AQ47) * DX47/(100*DL47) * 1000/(1000 - AP47)</f>
        <v>0</v>
      </c>
      <c r="AO47">
        <v>21.0970283354798</v>
      </c>
      <c r="AP47">
        <v>45.0965357575757</v>
      </c>
      <c r="AQ47">
        <v>-3.39369846035595e-05</v>
      </c>
      <c r="AR47">
        <v>97.4616165551684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517</v>
      </c>
      <c r="AY47">
        <v>5066.66</v>
      </c>
      <c r="AZ47">
        <v>639.826923076923</v>
      </c>
      <c r="BA47">
        <v>1736.46</v>
      </c>
      <c r="BB47">
        <f>1-AZ47/BA47</f>
        <v>0</v>
      </c>
      <c r="BC47">
        <v>-10.0583227723073</v>
      </c>
      <c r="BD47" t="s">
        <v>558</v>
      </c>
      <c r="BE47">
        <v>5113.93</v>
      </c>
      <c r="BF47">
        <v>1441.45461538462</v>
      </c>
      <c r="BG47">
        <v>1477.2960879029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559</v>
      </c>
      <c r="BQ47">
        <v>1341.33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497</v>
      </c>
      <c r="CA47">
        <v>290</v>
      </c>
      <c r="CB47">
        <v>1455.52</v>
      </c>
      <c r="CC47">
        <v>75</v>
      </c>
      <c r="CD47">
        <v>5113.93</v>
      </c>
      <c r="CE47">
        <v>1453.71</v>
      </c>
      <c r="CF47">
        <v>1.81</v>
      </c>
      <c r="CG47">
        <v>300</v>
      </c>
      <c r="CH47">
        <v>23.8</v>
      </c>
      <c r="CI47">
        <v>1477.2960879029</v>
      </c>
      <c r="CJ47">
        <v>2.39545328844504</v>
      </c>
      <c r="CK47">
        <v>-12.0607683265271</v>
      </c>
      <c r="CL47">
        <v>1.12766538990064</v>
      </c>
      <c r="CM47">
        <v>0.803357482131775</v>
      </c>
      <c r="CN47">
        <v>-0.00255364226918799</v>
      </c>
      <c r="CO47">
        <v>290</v>
      </c>
      <c r="CP47">
        <v>1451.32</v>
      </c>
      <c r="CQ47">
        <v>725</v>
      </c>
      <c r="CR47">
        <v>5105.94</v>
      </c>
      <c r="CS47">
        <v>1453.68</v>
      </c>
      <c r="CT47">
        <v>-2.36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1762391215.1</v>
      </c>
      <c r="DR47">
        <v>418.3226</v>
      </c>
      <c r="DS47">
        <v>419.9934</v>
      </c>
      <c r="DT47">
        <v>45.09722</v>
      </c>
      <c r="DU47">
        <v>21.0971</v>
      </c>
      <c r="DV47">
        <v>415.2326</v>
      </c>
      <c r="DW47">
        <v>44.93446</v>
      </c>
      <c r="DX47">
        <v>499.9586</v>
      </c>
      <c r="DY47">
        <v>90.89852</v>
      </c>
      <c r="DZ47">
        <v>0.09982608</v>
      </c>
      <c r="EA47">
        <v>50.9592</v>
      </c>
      <c r="EB47">
        <v>47.62486</v>
      </c>
      <c r="EC47">
        <v>999.9</v>
      </c>
      <c r="ED47">
        <v>0</v>
      </c>
      <c r="EE47">
        <v>0</v>
      </c>
      <c r="EF47">
        <v>10009.644</v>
      </c>
      <c r="EG47">
        <v>0</v>
      </c>
      <c r="EH47">
        <v>1214.4</v>
      </c>
      <c r="EI47">
        <v>-1.67076</v>
      </c>
      <c r="EJ47">
        <v>438.079</v>
      </c>
      <c r="EK47">
        <v>429.0452</v>
      </c>
      <c r="EL47">
        <v>24.00012</v>
      </c>
      <c r="EM47">
        <v>419.9934</v>
      </c>
      <c r="EN47">
        <v>21.0971</v>
      </c>
      <c r="EO47">
        <v>4.099268</v>
      </c>
      <c r="EP47">
        <v>1.917696</v>
      </c>
      <c r="EQ47">
        <v>29.33022</v>
      </c>
      <c r="ER47">
        <v>16.78066</v>
      </c>
      <c r="ES47">
        <v>1999.954</v>
      </c>
      <c r="ET47">
        <v>0.9799976</v>
      </c>
      <c r="EU47">
        <v>0.02000214</v>
      </c>
      <c r="EV47">
        <v>0</v>
      </c>
      <c r="EW47">
        <v>1441.018</v>
      </c>
      <c r="EX47">
        <v>5.00059</v>
      </c>
      <c r="EY47">
        <v>30837</v>
      </c>
      <c r="EZ47">
        <v>17359.88</v>
      </c>
      <c r="FA47">
        <v>60.625</v>
      </c>
      <c r="FB47">
        <v>60.5746</v>
      </c>
      <c r="FC47">
        <v>59.9246</v>
      </c>
      <c r="FD47">
        <v>60.5248</v>
      </c>
      <c r="FE47">
        <v>61.7748</v>
      </c>
      <c r="FF47">
        <v>1955.054</v>
      </c>
      <c r="FG47">
        <v>39.9</v>
      </c>
      <c r="FH47">
        <v>0</v>
      </c>
      <c r="FI47">
        <v>671.100000143051</v>
      </c>
      <c r="FJ47">
        <v>0</v>
      </c>
      <c r="FK47">
        <v>1441.45461538462</v>
      </c>
      <c r="FL47">
        <v>-5.14529915572906</v>
      </c>
      <c r="FM47">
        <v>-116.741880381169</v>
      </c>
      <c r="FN47">
        <v>30846.2115384615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-1.51892276190476</v>
      </c>
      <c r="GD47">
        <v>-2.33538677922078</v>
      </c>
      <c r="GE47">
        <v>0.297591799780601</v>
      </c>
      <c r="GF47">
        <v>0</v>
      </c>
      <c r="GG47">
        <v>1441.76264705882</v>
      </c>
      <c r="GH47">
        <v>-4.92421696382551</v>
      </c>
      <c r="GI47">
        <v>0.534340213410726</v>
      </c>
      <c r="GJ47">
        <v>-1</v>
      </c>
      <c r="GK47">
        <v>24.0159428571429</v>
      </c>
      <c r="GL47">
        <v>-0.227033766233761</v>
      </c>
      <c r="GM47">
        <v>0.0284537648597491</v>
      </c>
      <c r="GN47">
        <v>0</v>
      </c>
      <c r="GO47">
        <v>0</v>
      </c>
      <c r="GP47">
        <v>2</v>
      </c>
      <c r="GQ47" t="s">
        <v>442</v>
      </c>
      <c r="GR47">
        <v>3.12608</v>
      </c>
      <c r="GS47">
        <v>2.77811</v>
      </c>
      <c r="GT47">
        <v>0.0846327</v>
      </c>
      <c r="GU47">
        <v>0.0853655</v>
      </c>
      <c r="GV47">
        <v>0.153867</v>
      </c>
      <c r="GW47">
        <v>0.0901317</v>
      </c>
      <c r="GX47">
        <v>32965.3</v>
      </c>
      <c r="GY47">
        <v>34895.3</v>
      </c>
      <c r="GZ47">
        <v>32703.9</v>
      </c>
      <c r="HA47">
        <v>34666.3</v>
      </c>
      <c r="HB47">
        <v>39572.9</v>
      </c>
      <c r="HC47">
        <v>45413.6</v>
      </c>
      <c r="HD47">
        <v>51332.8</v>
      </c>
      <c r="HE47">
        <v>55541.3</v>
      </c>
      <c r="HF47">
        <v>1.70173</v>
      </c>
      <c r="HG47">
        <v>2.01825</v>
      </c>
      <c r="HH47">
        <v>0.0500605</v>
      </c>
      <c r="HI47">
        <v>0</v>
      </c>
      <c r="HJ47">
        <v>46.8277</v>
      </c>
      <c r="HK47">
        <v>999.9</v>
      </c>
      <c r="HL47">
        <v>55.488</v>
      </c>
      <c r="HM47">
        <v>27.805</v>
      </c>
      <c r="HN47">
        <v>22.9044</v>
      </c>
      <c r="HO47">
        <v>59.905</v>
      </c>
      <c r="HP47">
        <v>31.8109</v>
      </c>
      <c r="HQ47">
        <v>2</v>
      </c>
      <c r="HR47">
        <v>2.11553</v>
      </c>
      <c r="HS47">
        <v>-2.23836</v>
      </c>
      <c r="HT47">
        <v>20.0954</v>
      </c>
      <c r="HU47">
        <v>5.18794</v>
      </c>
      <c r="HV47">
        <v>12.0156</v>
      </c>
      <c r="HW47">
        <v>4.96965</v>
      </c>
      <c r="HX47">
        <v>3.29523</v>
      </c>
      <c r="HY47">
        <v>999.9</v>
      </c>
      <c r="HZ47">
        <v>9999</v>
      </c>
      <c r="IA47">
        <v>9999</v>
      </c>
      <c r="IB47">
        <v>9999</v>
      </c>
      <c r="IC47">
        <v>1.86311</v>
      </c>
      <c r="ID47">
        <v>1.86813</v>
      </c>
      <c r="IE47">
        <v>1.86785</v>
      </c>
      <c r="IF47">
        <v>1.869</v>
      </c>
      <c r="IG47">
        <v>1.86982</v>
      </c>
      <c r="IH47">
        <v>1.86587</v>
      </c>
      <c r="II47">
        <v>1.86704</v>
      </c>
      <c r="IJ47">
        <v>1.86844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3.09</v>
      </c>
      <c r="IY47">
        <v>0.1627</v>
      </c>
      <c r="IZ47">
        <v>1.12264184085783</v>
      </c>
      <c r="JA47">
        <v>0.00531519531824411</v>
      </c>
      <c r="JB47">
        <v>-1.58401274662554e-06</v>
      </c>
      <c r="JC47">
        <v>4.65529057017795e-10</v>
      </c>
      <c r="JD47">
        <v>0.162735096694976</v>
      </c>
      <c r="JE47">
        <v>0</v>
      </c>
      <c r="JF47">
        <v>0</v>
      </c>
      <c r="JG47">
        <v>0</v>
      </c>
      <c r="JH47">
        <v>4</v>
      </c>
      <c r="JI47">
        <v>2305</v>
      </c>
      <c r="JJ47">
        <v>-0</v>
      </c>
      <c r="JK47">
        <v>23</v>
      </c>
      <c r="JL47">
        <v>29373187</v>
      </c>
      <c r="JM47">
        <v>29373187</v>
      </c>
      <c r="JN47">
        <v>1.13037</v>
      </c>
      <c r="JO47">
        <v>2.61108</v>
      </c>
      <c r="JP47">
        <v>2.19849</v>
      </c>
      <c r="JQ47">
        <v>2.64038</v>
      </c>
      <c r="JR47">
        <v>2.44507</v>
      </c>
      <c r="JS47">
        <v>2.2583</v>
      </c>
      <c r="JT47">
        <v>32.3328</v>
      </c>
      <c r="JU47">
        <v>24.1663</v>
      </c>
      <c r="JV47">
        <v>18</v>
      </c>
      <c r="JW47">
        <v>496.4</v>
      </c>
      <c r="JX47">
        <v>759.315</v>
      </c>
      <c r="JY47">
        <v>51.5106</v>
      </c>
      <c r="JZ47">
        <v>51.8266</v>
      </c>
      <c r="KA47">
        <v>29.9972</v>
      </c>
      <c r="KB47">
        <v>51.3529</v>
      </c>
      <c r="KC47">
        <v>51.1029</v>
      </c>
      <c r="KD47">
        <v>22.656</v>
      </c>
      <c r="KE47">
        <v>0</v>
      </c>
      <c r="KF47">
        <v>100</v>
      </c>
      <c r="KG47">
        <v>51.7397</v>
      </c>
      <c r="KH47">
        <v>420</v>
      </c>
      <c r="KI47">
        <v>67.7987</v>
      </c>
      <c r="KJ47">
        <v>93.0887</v>
      </c>
      <c r="KK47">
        <v>89.9037</v>
      </c>
    </row>
    <row r="48" spans="1:297">
      <c r="A48">
        <v>32</v>
      </c>
      <c r="B48">
        <v>1762391318.1</v>
      </c>
      <c r="C48">
        <v>4373.09999990463</v>
      </c>
      <c r="D48" t="s">
        <v>560</v>
      </c>
      <c r="E48" t="s">
        <v>561</v>
      </c>
      <c r="F48">
        <v>5</v>
      </c>
      <c r="G48" t="s">
        <v>557</v>
      </c>
      <c r="H48" t="s">
        <v>436</v>
      </c>
      <c r="I48">
        <v>1762391314.6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429.222112582042</v>
      </c>
      <c r="AK48">
        <v>438.289206060606</v>
      </c>
      <c r="AL48">
        <v>0.01458748694042</v>
      </c>
      <c r="AM48">
        <v>64.2100372477511</v>
      </c>
      <c r="AN48">
        <f>(AP48 - AO48 + DY48*1E3/(8.314*(EA48+273.15)) * AR48/DX48 * AQ48) * DX48/(100*DL48) * 1000/(1000 - AP48)</f>
        <v>0</v>
      </c>
      <c r="AO48">
        <v>21.1148909683123</v>
      </c>
      <c r="AP48">
        <v>45.7811781818182</v>
      </c>
      <c r="AQ48">
        <v>0.0130257844839728</v>
      </c>
      <c r="AR48">
        <v>97.4616165551684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517</v>
      </c>
      <c r="AY48">
        <v>5066.66</v>
      </c>
      <c r="AZ48">
        <v>639.826923076923</v>
      </c>
      <c r="BA48">
        <v>1736.46</v>
      </c>
      <c r="BB48">
        <f>1-AZ48/BA48</f>
        <v>0</v>
      </c>
      <c r="BC48">
        <v>-10.0583227723073</v>
      </c>
      <c r="BD48" t="s">
        <v>562</v>
      </c>
      <c r="BE48">
        <v>5111.27</v>
      </c>
      <c r="BF48">
        <v>1431.186</v>
      </c>
      <c r="BG48">
        <v>1465.65219697738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563</v>
      </c>
      <c r="BQ48">
        <v>1344.87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499</v>
      </c>
      <c r="CA48">
        <v>290</v>
      </c>
      <c r="CB48">
        <v>1447.43</v>
      </c>
      <c r="CC48">
        <v>185</v>
      </c>
      <c r="CD48">
        <v>5111.27</v>
      </c>
      <c r="CE48">
        <v>1445.73</v>
      </c>
      <c r="CF48">
        <v>1.7</v>
      </c>
      <c r="CG48">
        <v>300</v>
      </c>
      <c r="CH48">
        <v>23.8</v>
      </c>
      <c r="CI48">
        <v>1465.65219697738</v>
      </c>
      <c r="CJ48">
        <v>2.47506817976946</v>
      </c>
      <c r="CK48">
        <v>-10.1837316001131</v>
      </c>
      <c r="CL48">
        <v>1.15850121534231</v>
      </c>
      <c r="CM48">
        <v>0.734021779571041</v>
      </c>
      <c r="CN48">
        <v>-0.0027212447163515</v>
      </c>
      <c r="CO48">
        <v>290</v>
      </c>
      <c r="CP48">
        <v>1444.07</v>
      </c>
      <c r="CQ48">
        <v>665</v>
      </c>
      <c r="CR48">
        <v>5107.02</v>
      </c>
      <c r="CS48">
        <v>1445.71</v>
      </c>
      <c r="CT48">
        <v>-1.64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1762391314.6</v>
      </c>
      <c r="DR48">
        <v>418.1935</v>
      </c>
      <c r="DS48">
        <v>420.1045</v>
      </c>
      <c r="DT48">
        <v>45.7489333333333</v>
      </c>
      <c r="DU48">
        <v>21.1148666666667</v>
      </c>
      <c r="DV48">
        <v>415.104166666667</v>
      </c>
      <c r="DW48">
        <v>45.5861666666667</v>
      </c>
      <c r="DX48">
        <v>499.975833333333</v>
      </c>
      <c r="DY48">
        <v>90.9079666666667</v>
      </c>
      <c r="DZ48">
        <v>0.0999333666666667</v>
      </c>
      <c r="EA48">
        <v>51.4962833333333</v>
      </c>
      <c r="EB48">
        <v>47.9886166666667</v>
      </c>
      <c r="EC48">
        <v>999.9</v>
      </c>
      <c r="ED48">
        <v>0</v>
      </c>
      <c r="EE48">
        <v>0</v>
      </c>
      <c r="EF48">
        <v>10004.975</v>
      </c>
      <c r="EG48">
        <v>0</v>
      </c>
      <c r="EH48">
        <v>1216.42166666667</v>
      </c>
      <c r="EI48">
        <v>-1.91091833333333</v>
      </c>
      <c r="EJ48">
        <v>438.242666666667</v>
      </c>
      <c r="EK48">
        <v>429.166333333333</v>
      </c>
      <c r="EL48">
        <v>24.6340666666667</v>
      </c>
      <c r="EM48">
        <v>420.1045</v>
      </c>
      <c r="EN48">
        <v>21.1148666666667</v>
      </c>
      <c r="EO48">
        <v>4.15894166666667</v>
      </c>
      <c r="EP48">
        <v>1.91951</v>
      </c>
      <c r="EQ48">
        <v>29.5808166666667</v>
      </c>
      <c r="ER48">
        <v>16.79555</v>
      </c>
      <c r="ES48">
        <v>1800</v>
      </c>
      <c r="ET48">
        <v>0.977999666666666</v>
      </c>
      <c r="EU48">
        <v>0.02200005</v>
      </c>
      <c r="EV48">
        <v>0</v>
      </c>
      <c r="EW48">
        <v>1430.72333333333</v>
      </c>
      <c r="EX48">
        <v>5.00059</v>
      </c>
      <c r="EY48">
        <v>27543.8833333333</v>
      </c>
      <c r="EZ48">
        <v>15610.6666666667</v>
      </c>
      <c r="FA48">
        <v>60.4895</v>
      </c>
      <c r="FB48">
        <v>60.5</v>
      </c>
      <c r="FC48">
        <v>59.875</v>
      </c>
      <c r="FD48">
        <v>60.375</v>
      </c>
      <c r="FE48">
        <v>61.687</v>
      </c>
      <c r="FF48">
        <v>1755.51</v>
      </c>
      <c r="FG48">
        <v>39.49</v>
      </c>
      <c r="FH48">
        <v>0</v>
      </c>
      <c r="FI48">
        <v>97</v>
      </c>
      <c r="FJ48">
        <v>0</v>
      </c>
      <c r="FK48">
        <v>1431.186</v>
      </c>
      <c r="FL48">
        <v>-7.43923077399452</v>
      </c>
      <c r="FM48">
        <v>-151.80769232909</v>
      </c>
      <c r="FN48">
        <v>27553.452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-1.9046105</v>
      </c>
      <c r="GD48">
        <v>0.690706917293235</v>
      </c>
      <c r="GE48">
        <v>0.190290205225466</v>
      </c>
      <c r="GF48">
        <v>0</v>
      </c>
      <c r="GG48">
        <v>1431.74882352941</v>
      </c>
      <c r="GH48">
        <v>-7.08296409208776</v>
      </c>
      <c r="GI48">
        <v>0.736888389289641</v>
      </c>
      <c r="GJ48">
        <v>-1</v>
      </c>
      <c r="GK48">
        <v>24.54766</v>
      </c>
      <c r="GL48">
        <v>0.631506766917286</v>
      </c>
      <c r="GM48">
        <v>0.0607903396930793</v>
      </c>
      <c r="GN48">
        <v>0</v>
      </c>
      <c r="GO48">
        <v>0</v>
      </c>
      <c r="GP48">
        <v>2</v>
      </c>
      <c r="GQ48" t="s">
        <v>442</v>
      </c>
      <c r="GR48">
        <v>3.12625</v>
      </c>
      <c r="GS48">
        <v>2.77806</v>
      </c>
      <c r="GT48">
        <v>0.0847111</v>
      </c>
      <c r="GU48">
        <v>0.0854765</v>
      </c>
      <c r="GV48">
        <v>0.155625</v>
      </c>
      <c r="GW48">
        <v>0.0902831</v>
      </c>
      <c r="GX48">
        <v>33000.7</v>
      </c>
      <c r="GY48">
        <v>34942</v>
      </c>
      <c r="GZ48">
        <v>32738.9</v>
      </c>
      <c r="HA48">
        <v>34713.9</v>
      </c>
      <c r="HB48">
        <v>39525.4</v>
      </c>
      <c r="HC48">
        <v>45463.9</v>
      </c>
      <c r="HD48">
        <v>51378.5</v>
      </c>
      <c r="HE48">
        <v>55612.1</v>
      </c>
      <c r="HF48">
        <v>1.70855</v>
      </c>
      <c r="HG48">
        <v>2.02588</v>
      </c>
      <c r="HH48">
        <v>0.0758395</v>
      </c>
      <c r="HI48">
        <v>0</v>
      </c>
      <c r="HJ48">
        <v>46.8004</v>
      </c>
      <c r="HK48">
        <v>999.9</v>
      </c>
      <c r="HL48">
        <v>55.506</v>
      </c>
      <c r="HM48">
        <v>27.805</v>
      </c>
      <c r="HN48">
        <v>22.9089</v>
      </c>
      <c r="HO48">
        <v>59.505</v>
      </c>
      <c r="HP48">
        <v>31.891</v>
      </c>
      <c r="HQ48">
        <v>2</v>
      </c>
      <c r="HR48">
        <v>2.06235</v>
      </c>
      <c r="HS48">
        <v>-3.15375</v>
      </c>
      <c r="HT48">
        <v>20.0885</v>
      </c>
      <c r="HU48">
        <v>5.18704</v>
      </c>
      <c r="HV48">
        <v>12.0156</v>
      </c>
      <c r="HW48">
        <v>4.97065</v>
      </c>
      <c r="HX48">
        <v>3.29515</v>
      </c>
      <c r="HY48">
        <v>999.9</v>
      </c>
      <c r="HZ48">
        <v>9999</v>
      </c>
      <c r="IA48">
        <v>9999</v>
      </c>
      <c r="IB48">
        <v>9999</v>
      </c>
      <c r="IC48">
        <v>1.86311</v>
      </c>
      <c r="ID48">
        <v>1.86813</v>
      </c>
      <c r="IE48">
        <v>1.86783</v>
      </c>
      <c r="IF48">
        <v>1.86897</v>
      </c>
      <c r="IG48">
        <v>1.86981</v>
      </c>
      <c r="IH48">
        <v>1.86584</v>
      </c>
      <c r="II48">
        <v>1.86705</v>
      </c>
      <c r="IJ48">
        <v>1.86842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3.089</v>
      </c>
      <c r="IY48">
        <v>0.1627</v>
      </c>
      <c r="IZ48">
        <v>1.12264184085783</v>
      </c>
      <c r="JA48">
        <v>0.00531519531824411</v>
      </c>
      <c r="JB48">
        <v>-1.58401274662554e-06</v>
      </c>
      <c r="JC48">
        <v>4.65529057017795e-10</v>
      </c>
      <c r="JD48">
        <v>0.162735096694976</v>
      </c>
      <c r="JE48">
        <v>0</v>
      </c>
      <c r="JF48">
        <v>0</v>
      </c>
      <c r="JG48">
        <v>0</v>
      </c>
      <c r="JH48">
        <v>4</v>
      </c>
      <c r="JI48">
        <v>2305</v>
      </c>
      <c r="JJ48">
        <v>-0</v>
      </c>
      <c r="JK48">
        <v>23</v>
      </c>
      <c r="JL48">
        <v>29373188.6</v>
      </c>
      <c r="JM48">
        <v>29373188.6</v>
      </c>
      <c r="JN48">
        <v>1.12915</v>
      </c>
      <c r="JO48">
        <v>2.60986</v>
      </c>
      <c r="JP48">
        <v>2.19849</v>
      </c>
      <c r="JQ48">
        <v>2.64038</v>
      </c>
      <c r="JR48">
        <v>2.44507</v>
      </c>
      <c r="JS48">
        <v>2.23755</v>
      </c>
      <c r="JT48">
        <v>32.3328</v>
      </c>
      <c r="JU48">
        <v>24.1663</v>
      </c>
      <c r="JV48">
        <v>18</v>
      </c>
      <c r="JW48">
        <v>498.617</v>
      </c>
      <c r="JX48">
        <v>762.685</v>
      </c>
      <c r="JY48">
        <v>55.3941</v>
      </c>
      <c r="JZ48">
        <v>51.2484</v>
      </c>
      <c r="KA48">
        <v>29.9972</v>
      </c>
      <c r="KB48">
        <v>50.8836</v>
      </c>
      <c r="KC48">
        <v>50.6602</v>
      </c>
      <c r="KD48">
        <v>22.6321</v>
      </c>
      <c r="KE48">
        <v>0</v>
      </c>
      <c r="KF48">
        <v>100</v>
      </c>
      <c r="KG48">
        <v>55.3744</v>
      </c>
      <c r="KH48">
        <v>420</v>
      </c>
      <c r="KI48">
        <v>67.7987</v>
      </c>
      <c r="KJ48">
        <v>93.178</v>
      </c>
      <c r="KK48">
        <v>90.0217</v>
      </c>
    </row>
    <row r="49" spans="1:297">
      <c r="A49">
        <v>33</v>
      </c>
      <c r="B49">
        <v>1762391418.1</v>
      </c>
      <c r="C49">
        <v>4473.09999990463</v>
      </c>
      <c r="D49" t="s">
        <v>564</v>
      </c>
      <c r="E49" t="s">
        <v>565</v>
      </c>
      <c r="F49">
        <v>5</v>
      </c>
      <c r="G49" t="s">
        <v>557</v>
      </c>
      <c r="H49" t="s">
        <v>436</v>
      </c>
      <c r="I49">
        <v>1762391414.6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429.377676699699</v>
      </c>
      <c r="AK49">
        <v>438.396551515151</v>
      </c>
      <c r="AL49">
        <v>0.0248543652980935</v>
      </c>
      <c r="AM49">
        <v>64.2100372477511</v>
      </c>
      <c r="AN49">
        <f>(AP49 - AO49 + DY49*1E3/(8.314*(EA49+273.15)) * AR49/DX49 * AQ49) * DX49/(100*DL49) * 1000/(1000 - AP49)</f>
        <v>0</v>
      </c>
      <c r="AO49">
        <v>21.1433353054684</v>
      </c>
      <c r="AP49">
        <v>46.1495309090909</v>
      </c>
      <c r="AQ49">
        <v>0.00113241596555467</v>
      </c>
      <c r="AR49">
        <v>97.4616165551684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517</v>
      </c>
      <c r="AY49">
        <v>5066.66</v>
      </c>
      <c r="AZ49">
        <v>639.826923076923</v>
      </c>
      <c r="BA49">
        <v>1736.46</v>
      </c>
      <c r="BB49">
        <f>1-AZ49/BA49</f>
        <v>0</v>
      </c>
      <c r="BC49">
        <v>-10.0583227723073</v>
      </c>
      <c r="BD49" t="s">
        <v>566</v>
      </c>
      <c r="BE49">
        <v>5115.42</v>
      </c>
      <c r="BF49">
        <v>1423.30846153846</v>
      </c>
      <c r="BG49">
        <v>1469.50653736663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567</v>
      </c>
      <c r="BQ49">
        <v>1330.27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501</v>
      </c>
      <c r="CA49">
        <v>290</v>
      </c>
      <c r="CB49">
        <v>1445.21</v>
      </c>
      <c r="CC49">
        <v>145</v>
      </c>
      <c r="CD49">
        <v>5115.42</v>
      </c>
      <c r="CE49">
        <v>1444.06</v>
      </c>
      <c r="CF49">
        <v>1.15</v>
      </c>
      <c r="CG49">
        <v>300</v>
      </c>
      <c r="CH49">
        <v>23.8</v>
      </c>
      <c r="CI49">
        <v>1469.50653736663</v>
      </c>
      <c r="CJ49">
        <v>2.39246356228375</v>
      </c>
      <c r="CK49">
        <v>-13.0189543684229</v>
      </c>
      <c r="CL49">
        <v>1.11049887182801</v>
      </c>
      <c r="CM49">
        <v>0.830755265017684</v>
      </c>
      <c r="CN49">
        <v>-0.00297498464961068</v>
      </c>
      <c r="CO49">
        <v>290</v>
      </c>
      <c r="CP49">
        <v>1441.36</v>
      </c>
      <c r="CQ49">
        <v>705</v>
      </c>
      <c r="CR49">
        <v>5109.36</v>
      </c>
      <c r="CS49">
        <v>1444.03</v>
      </c>
      <c r="CT49">
        <v>-2.67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1762391414.6</v>
      </c>
      <c r="DR49">
        <v>418.107333333333</v>
      </c>
      <c r="DS49">
        <v>420.312166666667</v>
      </c>
      <c r="DT49">
        <v>46.1424</v>
      </c>
      <c r="DU49">
        <v>21.1431</v>
      </c>
      <c r="DV49">
        <v>415.0185</v>
      </c>
      <c r="DW49">
        <v>45.9796666666667</v>
      </c>
      <c r="DX49">
        <v>499.9745</v>
      </c>
      <c r="DY49">
        <v>90.8919166666667</v>
      </c>
      <c r="DZ49">
        <v>0.100040916666667</v>
      </c>
      <c r="EA49">
        <v>51.8571333333333</v>
      </c>
      <c r="EB49">
        <v>48.0957</v>
      </c>
      <c r="EC49">
        <v>999.9</v>
      </c>
      <c r="ED49">
        <v>0</v>
      </c>
      <c r="EE49">
        <v>0</v>
      </c>
      <c r="EF49">
        <v>9994.49</v>
      </c>
      <c r="EG49">
        <v>0</v>
      </c>
      <c r="EH49">
        <v>1218.065</v>
      </c>
      <c r="EI49">
        <v>-2.20447833333333</v>
      </c>
      <c r="EJ49">
        <v>438.333166666667</v>
      </c>
      <c r="EK49">
        <v>429.3905</v>
      </c>
      <c r="EL49">
        <v>24.9993</v>
      </c>
      <c r="EM49">
        <v>420.312166666667</v>
      </c>
      <c r="EN49">
        <v>21.1431</v>
      </c>
      <c r="EO49">
        <v>4.19397</v>
      </c>
      <c r="EP49">
        <v>1.921735</v>
      </c>
      <c r="EQ49">
        <v>29.7264833333333</v>
      </c>
      <c r="ER49">
        <v>16.8138333333333</v>
      </c>
      <c r="ES49">
        <v>1500.01333333333</v>
      </c>
      <c r="ET49">
        <v>0.972995166666667</v>
      </c>
      <c r="EU49">
        <v>0.0270047833333333</v>
      </c>
      <c r="EV49">
        <v>0</v>
      </c>
      <c r="EW49">
        <v>1423.12833333333</v>
      </c>
      <c r="EX49">
        <v>5.00059</v>
      </c>
      <c r="EY49">
        <v>22800.3833333333</v>
      </c>
      <c r="EZ49">
        <v>12982.4833333333</v>
      </c>
      <c r="FA49">
        <v>60.125</v>
      </c>
      <c r="FB49">
        <v>60.375</v>
      </c>
      <c r="FC49">
        <v>59.75</v>
      </c>
      <c r="FD49">
        <v>60.2913333333333</v>
      </c>
      <c r="FE49">
        <v>61.5</v>
      </c>
      <c r="FF49">
        <v>1454.63833333333</v>
      </c>
      <c r="FG49">
        <v>40.375</v>
      </c>
      <c r="FH49">
        <v>0</v>
      </c>
      <c r="FI49">
        <v>97.4000000953674</v>
      </c>
      <c r="FJ49">
        <v>0</v>
      </c>
      <c r="FK49">
        <v>1423.30846153846</v>
      </c>
      <c r="FL49">
        <v>-2.97914528512115</v>
      </c>
      <c r="FM49">
        <v>-62.8205128019539</v>
      </c>
      <c r="FN49">
        <v>22803.9423076923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-2.04369476190476</v>
      </c>
      <c r="GD49">
        <v>-0.668585454545455</v>
      </c>
      <c r="GE49">
        <v>0.117042367934052</v>
      </c>
      <c r="GF49">
        <v>0</v>
      </c>
      <c r="GG49">
        <v>1423.49941176471</v>
      </c>
      <c r="GH49">
        <v>-3.070129866615</v>
      </c>
      <c r="GI49">
        <v>0.352361288323001</v>
      </c>
      <c r="GJ49">
        <v>-1</v>
      </c>
      <c r="GK49">
        <v>24.9678857142857</v>
      </c>
      <c r="GL49">
        <v>0.276794805194806</v>
      </c>
      <c r="GM49">
        <v>0.0284427626699537</v>
      </c>
      <c r="GN49">
        <v>0</v>
      </c>
      <c r="GO49">
        <v>0</v>
      </c>
      <c r="GP49">
        <v>2</v>
      </c>
      <c r="GQ49" t="s">
        <v>442</v>
      </c>
      <c r="GR49">
        <v>3.12647</v>
      </c>
      <c r="GS49">
        <v>2.77784</v>
      </c>
      <c r="GT49">
        <v>0.0848007</v>
      </c>
      <c r="GU49">
        <v>0.0856237</v>
      </c>
      <c r="GV49">
        <v>0.156588</v>
      </c>
      <c r="GW49">
        <v>0.0904513</v>
      </c>
      <c r="GX49">
        <v>33033.3</v>
      </c>
      <c r="GY49">
        <v>34983.4</v>
      </c>
      <c r="GZ49">
        <v>32771.6</v>
      </c>
      <c r="HA49">
        <v>34757.9</v>
      </c>
      <c r="HB49">
        <v>39510.1</v>
      </c>
      <c r="HC49">
        <v>45509</v>
      </c>
      <c r="HD49">
        <v>51421.3</v>
      </c>
      <c r="HE49">
        <v>55677.4</v>
      </c>
      <c r="HF49">
        <v>1.71408</v>
      </c>
      <c r="HG49">
        <v>2.03247</v>
      </c>
      <c r="HH49">
        <v>0.061743</v>
      </c>
      <c r="HI49">
        <v>0</v>
      </c>
      <c r="HJ49">
        <v>47.1191</v>
      </c>
      <c r="HK49">
        <v>999.9</v>
      </c>
      <c r="HL49">
        <v>55.53</v>
      </c>
      <c r="HM49">
        <v>27.805</v>
      </c>
      <c r="HN49">
        <v>22.9218</v>
      </c>
      <c r="HO49">
        <v>60.035</v>
      </c>
      <c r="HP49">
        <v>32.1074</v>
      </c>
      <c r="HQ49">
        <v>2</v>
      </c>
      <c r="HR49">
        <v>2.00961</v>
      </c>
      <c r="HS49">
        <v>-2.32611</v>
      </c>
      <c r="HT49">
        <v>20.1033</v>
      </c>
      <c r="HU49">
        <v>5.18914</v>
      </c>
      <c r="HV49">
        <v>12.0147</v>
      </c>
      <c r="HW49">
        <v>4.96925</v>
      </c>
      <c r="HX49">
        <v>3.29503</v>
      </c>
      <c r="HY49">
        <v>999.9</v>
      </c>
      <c r="HZ49">
        <v>9999</v>
      </c>
      <c r="IA49">
        <v>9999</v>
      </c>
      <c r="IB49">
        <v>9999</v>
      </c>
      <c r="IC49">
        <v>1.86314</v>
      </c>
      <c r="ID49">
        <v>1.86813</v>
      </c>
      <c r="IE49">
        <v>1.86784</v>
      </c>
      <c r="IF49">
        <v>1.86901</v>
      </c>
      <c r="IG49">
        <v>1.86981</v>
      </c>
      <c r="IH49">
        <v>1.86587</v>
      </c>
      <c r="II49">
        <v>1.86707</v>
      </c>
      <c r="IJ49">
        <v>1.86842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3.089</v>
      </c>
      <c r="IY49">
        <v>0.1628</v>
      </c>
      <c r="IZ49">
        <v>1.12264184085783</v>
      </c>
      <c r="JA49">
        <v>0.00531519531824411</v>
      </c>
      <c r="JB49">
        <v>-1.58401274662554e-06</v>
      </c>
      <c r="JC49">
        <v>4.65529057017795e-10</v>
      </c>
      <c r="JD49">
        <v>0.162735096694976</v>
      </c>
      <c r="JE49">
        <v>0</v>
      </c>
      <c r="JF49">
        <v>0</v>
      </c>
      <c r="JG49">
        <v>0</v>
      </c>
      <c r="JH49">
        <v>4</v>
      </c>
      <c r="JI49">
        <v>2305</v>
      </c>
      <c r="JJ49">
        <v>-0</v>
      </c>
      <c r="JK49">
        <v>23</v>
      </c>
      <c r="JL49">
        <v>29373190.3</v>
      </c>
      <c r="JM49">
        <v>29373190.3</v>
      </c>
      <c r="JN49">
        <v>1.12671</v>
      </c>
      <c r="JO49">
        <v>2.6062</v>
      </c>
      <c r="JP49">
        <v>2.19849</v>
      </c>
      <c r="JQ49">
        <v>2.64038</v>
      </c>
      <c r="JR49">
        <v>2.44507</v>
      </c>
      <c r="JS49">
        <v>2.27051</v>
      </c>
      <c r="JT49">
        <v>32.3328</v>
      </c>
      <c r="JU49">
        <v>24.1751</v>
      </c>
      <c r="JV49">
        <v>18</v>
      </c>
      <c r="JW49">
        <v>499.866</v>
      </c>
      <c r="JX49">
        <v>764.947</v>
      </c>
      <c r="JY49">
        <v>55.0276</v>
      </c>
      <c r="JZ49">
        <v>50.7148</v>
      </c>
      <c r="KA49">
        <v>29.9977</v>
      </c>
      <c r="KB49">
        <v>50.4176</v>
      </c>
      <c r="KC49">
        <v>50.2127</v>
      </c>
      <c r="KD49">
        <v>22.5781</v>
      </c>
      <c r="KE49">
        <v>0</v>
      </c>
      <c r="KF49">
        <v>100</v>
      </c>
      <c r="KG49">
        <v>54.9313</v>
      </c>
      <c r="KH49">
        <v>420</v>
      </c>
      <c r="KI49">
        <v>67.7987</v>
      </c>
      <c r="KJ49">
        <v>93.2617</v>
      </c>
      <c r="KK49">
        <v>90.1306</v>
      </c>
    </row>
    <row r="50" spans="1:297">
      <c r="A50">
        <v>34</v>
      </c>
      <c r="B50">
        <v>1762391518.1</v>
      </c>
      <c r="C50">
        <v>4573.09999990463</v>
      </c>
      <c r="D50" t="s">
        <v>568</v>
      </c>
      <c r="E50" t="s">
        <v>569</v>
      </c>
      <c r="F50">
        <v>5</v>
      </c>
      <c r="G50" t="s">
        <v>557</v>
      </c>
      <c r="H50" t="s">
        <v>436</v>
      </c>
      <c r="I50">
        <v>1762391514.6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428.679862008397</v>
      </c>
      <c r="AK50">
        <v>437.911781818182</v>
      </c>
      <c r="AL50">
        <v>-0.0515822945508234</v>
      </c>
      <c r="AM50">
        <v>64.2100372477511</v>
      </c>
      <c r="AN50">
        <f>(AP50 - AO50 + DY50*1E3/(8.314*(EA50+273.15)) * AR50/DX50 * AQ50) * DX50/(100*DL50) * 1000/(1000 - AP50)</f>
        <v>0</v>
      </c>
      <c r="AO50">
        <v>21.1649468588463</v>
      </c>
      <c r="AP50">
        <v>46.1789539393939</v>
      </c>
      <c r="AQ50">
        <v>0.00599995961072212</v>
      </c>
      <c r="AR50">
        <v>97.4616165551684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517</v>
      </c>
      <c r="AY50">
        <v>5066.66</v>
      </c>
      <c r="AZ50">
        <v>639.826923076923</v>
      </c>
      <c r="BA50">
        <v>1736.46</v>
      </c>
      <c r="BB50">
        <f>1-AZ50/BA50</f>
        <v>0</v>
      </c>
      <c r="BC50">
        <v>-10.0583227723073</v>
      </c>
      <c r="BD50" t="s">
        <v>570</v>
      </c>
      <c r="BE50">
        <v>5119.38</v>
      </c>
      <c r="BF50">
        <v>1419.25961538462</v>
      </c>
      <c r="BG50">
        <v>1469.77411482627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571</v>
      </c>
      <c r="BQ50">
        <v>1334.93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503</v>
      </c>
      <c r="CA50">
        <v>290</v>
      </c>
      <c r="CB50">
        <v>1449.79</v>
      </c>
      <c r="CC50">
        <v>85</v>
      </c>
      <c r="CD50">
        <v>5119.38</v>
      </c>
      <c r="CE50">
        <v>1448.48</v>
      </c>
      <c r="CF50">
        <v>1.31</v>
      </c>
      <c r="CG50">
        <v>300</v>
      </c>
      <c r="CH50">
        <v>23.9</v>
      </c>
      <c r="CI50">
        <v>1469.77411482627</v>
      </c>
      <c r="CJ50">
        <v>1.39615353460201</v>
      </c>
      <c r="CK50">
        <v>-10.8997668556187</v>
      </c>
      <c r="CL50">
        <v>0.64238527866357</v>
      </c>
      <c r="CM50">
        <v>0.911364652075987</v>
      </c>
      <c r="CN50">
        <v>-0.0032269508342603</v>
      </c>
      <c r="CO50">
        <v>290</v>
      </c>
      <c r="CP50">
        <v>1446.11</v>
      </c>
      <c r="CQ50">
        <v>625</v>
      </c>
      <c r="CR50">
        <v>5111.66</v>
      </c>
      <c r="CS50">
        <v>1448.45</v>
      </c>
      <c r="CT50">
        <v>-2.34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1762391514.6</v>
      </c>
      <c r="DR50">
        <v>417.8145</v>
      </c>
      <c r="DS50">
        <v>419.703666666667</v>
      </c>
      <c r="DT50">
        <v>46.1636666666667</v>
      </c>
      <c r="DU50">
        <v>21.1649833333333</v>
      </c>
      <c r="DV50">
        <v>414.726666666667</v>
      </c>
      <c r="DW50">
        <v>46.0009666666667</v>
      </c>
      <c r="DX50">
        <v>500.034166666667</v>
      </c>
      <c r="DY50">
        <v>90.8847166666667</v>
      </c>
      <c r="DZ50">
        <v>0.100050766666667</v>
      </c>
      <c r="EA50">
        <v>51.9669833333333</v>
      </c>
      <c r="EB50">
        <v>48.02045</v>
      </c>
      <c r="EC50">
        <v>999.9</v>
      </c>
      <c r="ED50">
        <v>0</v>
      </c>
      <c r="EE50">
        <v>0</v>
      </c>
      <c r="EF50">
        <v>9983.11666666667</v>
      </c>
      <c r="EG50">
        <v>0</v>
      </c>
      <c r="EH50">
        <v>1219.34</v>
      </c>
      <c r="EI50">
        <v>-1.88914833333333</v>
      </c>
      <c r="EJ50">
        <v>438.035833333333</v>
      </c>
      <c r="EK50">
        <v>428.778666666667</v>
      </c>
      <c r="EL50">
        <v>24.9986833333333</v>
      </c>
      <c r="EM50">
        <v>419.703666666667</v>
      </c>
      <c r="EN50">
        <v>21.1649833333333</v>
      </c>
      <c r="EO50">
        <v>4.19557333333333</v>
      </c>
      <c r="EP50">
        <v>1.923575</v>
      </c>
      <c r="EQ50">
        <v>29.7331166666667</v>
      </c>
      <c r="ER50">
        <v>16.8288833333333</v>
      </c>
      <c r="ES50">
        <v>1200.015</v>
      </c>
      <c r="ET50">
        <v>0.966998333333333</v>
      </c>
      <c r="EU50">
        <v>0.0330017833333333</v>
      </c>
      <c r="EV50">
        <v>0</v>
      </c>
      <c r="EW50">
        <v>1419.14333333333</v>
      </c>
      <c r="EX50">
        <v>5.00059</v>
      </c>
      <c r="EY50">
        <v>18162.1833333333</v>
      </c>
      <c r="EZ50">
        <v>10358.8666666667</v>
      </c>
      <c r="FA50">
        <v>59.583</v>
      </c>
      <c r="FB50">
        <v>60.208</v>
      </c>
      <c r="FC50">
        <v>59.437</v>
      </c>
      <c r="FD50">
        <v>60.125</v>
      </c>
      <c r="FE50">
        <v>61.125</v>
      </c>
      <c r="FF50">
        <v>1155.575</v>
      </c>
      <c r="FG50">
        <v>39.44</v>
      </c>
      <c r="FH50">
        <v>0</v>
      </c>
      <c r="FI50">
        <v>97</v>
      </c>
      <c r="FJ50">
        <v>0</v>
      </c>
      <c r="FK50">
        <v>1419.25961538462</v>
      </c>
      <c r="FL50">
        <v>-0.768205121473572</v>
      </c>
      <c r="FM50">
        <v>-33.6820512097237</v>
      </c>
      <c r="FN50">
        <v>18164.2076923077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-1.9671275</v>
      </c>
      <c r="GD50">
        <v>1.7228837593985</v>
      </c>
      <c r="GE50">
        <v>0.27539713774611</v>
      </c>
      <c r="GF50">
        <v>0</v>
      </c>
      <c r="GG50">
        <v>1419.33676470588</v>
      </c>
      <c r="GH50">
        <v>-0.946524062539734</v>
      </c>
      <c r="GI50">
        <v>0.228237757718673</v>
      </c>
      <c r="GJ50">
        <v>-1</v>
      </c>
      <c r="GK50">
        <v>24.963705</v>
      </c>
      <c r="GL50">
        <v>0.271195488721777</v>
      </c>
      <c r="GM50">
        <v>0.0263498287470719</v>
      </c>
      <c r="GN50">
        <v>0</v>
      </c>
      <c r="GO50">
        <v>0</v>
      </c>
      <c r="GP50">
        <v>2</v>
      </c>
      <c r="GQ50" t="s">
        <v>442</v>
      </c>
      <c r="GR50">
        <v>3.12664</v>
      </c>
      <c r="GS50">
        <v>2.77799</v>
      </c>
      <c r="GT50">
        <v>0.0848107</v>
      </c>
      <c r="GU50">
        <v>0.0856362</v>
      </c>
      <c r="GV50">
        <v>0.156736</v>
      </c>
      <c r="GW50">
        <v>0.0905951</v>
      </c>
      <c r="GX50">
        <v>33063.5</v>
      </c>
      <c r="GY50">
        <v>35023.4</v>
      </c>
      <c r="GZ50">
        <v>32799.6</v>
      </c>
      <c r="HA50">
        <v>34795.7</v>
      </c>
      <c r="HB50">
        <v>39525.7</v>
      </c>
      <c r="HC50">
        <v>45547.3</v>
      </c>
      <c r="HD50">
        <v>51457.5</v>
      </c>
      <c r="HE50">
        <v>55733.1</v>
      </c>
      <c r="HF50">
        <v>1.7187</v>
      </c>
      <c r="HG50">
        <v>2.03842</v>
      </c>
      <c r="HH50">
        <v>0.0455789</v>
      </c>
      <c r="HI50">
        <v>0</v>
      </c>
      <c r="HJ50">
        <v>47.299</v>
      </c>
      <c r="HK50">
        <v>999.9</v>
      </c>
      <c r="HL50">
        <v>55.555</v>
      </c>
      <c r="HM50">
        <v>27.805</v>
      </c>
      <c r="HN50">
        <v>22.9336</v>
      </c>
      <c r="HO50">
        <v>59.575</v>
      </c>
      <c r="HP50">
        <v>32.1715</v>
      </c>
      <c r="HQ50">
        <v>2</v>
      </c>
      <c r="HR50">
        <v>1.96928</v>
      </c>
      <c r="HS50">
        <v>-2.23983</v>
      </c>
      <c r="HT50">
        <v>20.1078</v>
      </c>
      <c r="HU50">
        <v>5.19078</v>
      </c>
      <c r="HV50">
        <v>12.0152</v>
      </c>
      <c r="HW50">
        <v>4.9711</v>
      </c>
      <c r="HX50">
        <v>3.295</v>
      </c>
      <c r="HY50">
        <v>999.9</v>
      </c>
      <c r="HZ50">
        <v>9999</v>
      </c>
      <c r="IA50">
        <v>9999</v>
      </c>
      <c r="IB50">
        <v>9999</v>
      </c>
      <c r="IC50">
        <v>1.86312</v>
      </c>
      <c r="ID50">
        <v>1.86813</v>
      </c>
      <c r="IE50">
        <v>1.86783</v>
      </c>
      <c r="IF50">
        <v>1.86896</v>
      </c>
      <c r="IG50">
        <v>1.86981</v>
      </c>
      <c r="IH50">
        <v>1.86588</v>
      </c>
      <c r="II50">
        <v>1.86704</v>
      </c>
      <c r="IJ50">
        <v>1.86843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3.088</v>
      </c>
      <c r="IY50">
        <v>0.1627</v>
      </c>
      <c r="IZ50">
        <v>1.12264184085783</v>
      </c>
      <c r="JA50">
        <v>0.00531519531824411</v>
      </c>
      <c r="JB50">
        <v>-1.58401274662554e-06</v>
      </c>
      <c r="JC50">
        <v>4.65529057017795e-10</v>
      </c>
      <c r="JD50">
        <v>0.162735096694976</v>
      </c>
      <c r="JE50">
        <v>0</v>
      </c>
      <c r="JF50">
        <v>0</v>
      </c>
      <c r="JG50">
        <v>0</v>
      </c>
      <c r="JH50">
        <v>4</v>
      </c>
      <c r="JI50">
        <v>2305</v>
      </c>
      <c r="JJ50">
        <v>-0</v>
      </c>
      <c r="JK50">
        <v>23</v>
      </c>
      <c r="JL50">
        <v>29373192</v>
      </c>
      <c r="JM50">
        <v>29373192</v>
      </c>
      <c r="JN50">
        <v>1.12671</v>
      </c>
      <c r="JO50">
        <v>2.60498</v>
      </c>
      <c r="JP50">
        <v>2.19849</v>
      </c>
      <c r="JQ50">
        <v>2.64038</v>
      </c>
      <c r="JR50">
        <v>2.44629</v>
      </c>
      <c r="JS50">
        <v>2.33032</v>
      </c>
      <c r="JT50">
        <v>32.3328</v>
      </c>
      <c r="JU50">
        <v>24.1926</v>
      </c>
      <c r="JV50">
        <v>18</v>
      </c>
      <c r="JW50">
        <v>500.621</v>
      </c>
      <c r="JX50">
        <v>766.768</v>
      </c>
      <c r="JY50">
        <v>55.3223</v>
      </c>
      <c r="JZ50">
        <v>50.2556</v>
      </c>
      <c r="KA50">
        <v>29.9971</v>
      </c>
      <c r="KB50">
        <v>49.9839</v>
      </c>
      <c r="KC50">
        <v>49.7906</v>
      </c>
      <c r="KD50">
        <v>22.582</v>
      </c>
      <c r="KE50">
        <v>0</v>
      </c>
      <c r="KF50">
        <v>100</v>
      </c>
      <c r="KG50">
        <v>55.2207</v>
      </c>
      <c r="KH50">
        <v>420</v>
      </c>
      <c r="KI50">
        <v>67.7987</v>
      </c>
      <c r="KJ50">
        <v>93.3327</v>
      </c>
      <c r="KK50">
        <v>90.2238</v>
      </c>
    </row>
    <row r="51" spans="1:297">
      <c r="A51">
        <v>35</v>
      </c>
      <c r="B51">
        <v>1762391618.1</v>
      </c>
      <c r="C51">
        <v>4673.09999990463</v>
      </c>
      <c r="D51" t="s">
        <v>572</v>
      </c>
      <c r="E51" t="s">
        <v>573</v>
      </c>
      <c r="F51">
        <v>5</v>
      </c>
      <c r="G51" t="s">
        <v>557</v>
      </c>
      <c r="H51" t="s">
        <v>436</v>
      </c>
      <c r="I51">
        <v>1762391614.6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429.037977662467</v>
      </c>
      <c r="AK51">
        <v>438.161957575758</v>
      </c>
      <c r="AL51">
        <v>-0.00460157546284031</v>
      </c>
      <c r="AM51">
        <v>64.2100372477511</v>
      </c>
      <c r="AN51">
        <f>(AP51 - AO51 + DY51*1E3/(8.314*(EA51+273.15)) * AR51/DX51 * AQ51) * DX51/(100*DL51) * 1000/(1000 - AP51)</f>
        <v>0</v>
      </c>
      <c r="AO51">
        <v>21.1794193317719</v>
      </c>
      <c r="AP51">
        <v>46.185143030303</v>
      </c>
      <c r="AQ51">
        <v>0.00197611114956958</v>
      </c>
      <c r="AR51">
        <v>97.4616165551684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517</v>
      </c>
      <c r="AY51">
        <v>5066.66</v>
      </c>
      <c r="AZ51">
        <v>639.826923076923</v>
      </c>
      <c r="BA51">
        <v>1736.46</v>
      </c>
      <c r="BB51">
        <f>1-AZ51/BA51</f>
        <v>0</v>
      </c>
      <c r="BC51">
        <v>-10.0583227723073</v>
      </c>
      <c r="BD51" t="s">
        <v>574</v>
      </c>
      <c r="BE51">
        <v>5117.56</v>
      </c>
      <c r="BF51">
        <v>1413.53576923077</v>
      </c>
      <c r="BG51">
        <v>1478.85026983439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575</v>
      </c>
      <c r="BQ51">
        <v>1329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505</v>
      </c>
      <c r="CA51">
        <v>290</v>
      </c>
      <c r="CB51">
        <v>1457.34</v>
      </c>
      <c r="CC51">
        <v>215</v>
      </c>
      <c r="CD51">
        <v>5117.56</v>
      </c>
      <c r="CE51">
        <v>1456.41</v>
      </c>
      <c r="CF51">
        <v>0.93</v>
      </c>
      <c r="CG51">
        <v>300</v>
      </c>
      <c r="CH51">
        <v>23.9</v>
      </c>
      <c r="CI51">
        <v>1478.85026983439</v>
      </c>
      <c r="CJ51">
        <v>1.81102724272798</v>
      </c>
      <c r="CK51">
        <v>-11.4864581529641</v>
      </c>
      <c r="CL51">
        <v>0.826010075196006</v>
      </c>
      <c r="CM51">
        <v>0.873518105495505</v>
      </c>
      <c r="CN51">
        <v>-0.00348032791991101</v>
      </c>
      <c r="CO51">
        <v>290</v>
      </c>
      <c r="CP51">
        <v>1454.12</v>
      </c>
      <c r="CQ51">
        <v>665</v>
      </c>
      <c r="CR51">
        <v>5113.5</v>
      </c>
      <c r="CS51">
        <v>1456.39</v>
      </c>
      <c r="CT51">
        <v>-2.27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1762391614.6</v>
      </c>
      <c r="DR51">
        <v>417.977333333333</v>
      </c>
      <c r="DS51">
        <v>419.918833333333</v>
      </c>
      <c r="DT51">
        <v>46.1731833333333</v>
      </c>
      <c r="DU51">
        <v>21.1795</v>
      </c>
      <c r="DV51">
        <v>414.889</v>
      </c>
      <c r="DW51">
        <v>46.0104333333333</v>
      </c>
      <c r="DX51">
        <v>499.952166666667</v>
      </c>
      <c r="DY51">
        <v>90.8794</v>
      </c>
      <c r="DZ51">
        <v>0.0999826333333333</v>
      </c>
      <c r="EA51">
        <v>52.1150833333333</v>
      </c>
      <c r="EB51">
        <v>47.99895</v>
      </c>
      <c r="EC51">
        <v>999.9</v>
      </c>
      <c r="ED51">
        <v>0</v>
      </c>
      <c r="EE51">
        <v>0</v>
      </c>
      <c r="EF51">
        <v>10007.5</v>
      </c>
      <c r="EG51">
        <v>0</v>
      </c>
      <c r="EH51">
        <v>1220.26</v>
      </c>
      <c r="EI51">
        <v>-1.94154333333333</v>
      </c>
      <c r="EJ51">
        <v>438.211</v>
      </c>
      <c r="EK51">
        <v>429.005</v>
      </c>
      <c r="EL51">
        <v>24.9936833333333</v>
      </c>
      <c r="EM51">
        <v>419.918833333333</v>
      </c>
      <c r="EN51">
        <v>21.1795</v>
      </c>
      <c r="EO51">
        <v>4.19618833333333</v>
      </c>
      <c r="EP51">
        <v>1.92478166666667</v>
      </c>
      <c r="EQ51">
        <v>29.73565</v>
      </c>
      <c r="ER51">
        <v>16.83875</v>
      </c>
      <c r="ES51">
        <v>900.008</v>
      </c>
      <c r="ET51">
        <v>0.955986666666667</v>
      </c>
      <c r="EU51">
        <v>0.0440136833333333</v>
      </c>
      <c r="EV51">
        <v>0</v>
      </c>
      <c r="EW51">
        <v>1413.435</v>
      </c>
      <c r="EX51">
        <v>5.00059</v>
      </c>
      <c r="EY51">
        <v>13544.0833333333</v>
      </c>
      <c r="EZ51">
        <v>7732.84333333333</v>
      </c>
      <c r="FA51">
        <v>58.937</v>
      </c>
      <c r="FB51">
        <v>60</v>
      </c>
      <c r="FC51">
        <v>59.1145</v>
      </c>
      <c r="FD51">
        <v>59.9266666666667</v>
      </c>
      <c r="FE51">
        <v>60.687</v>
      </c>
      <c r="FF51">
        <v>855.615</v>
      </c>
      <c r="FG51">
        <v>39.39</v>
      </c>
      <c r="FH51">
        <v>0</v>
      </c>
      <c r="FI51">
        <v>96.7999999523163</v>
      </c>
      <c r="FJ51">
        <v>0</v>
      </c>
      <c r="FK51">
        <v>1413.53576923077</v>
      </c>
      <c r="FL51">
        <v>-0.215726491863027</v>
      </c>
      <c r="FM51">
        <v>-22.2461540179342</v>
      </c>
      <c r="FN51">
        <v>13545.35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-2.00676142857143</v>
      </c>
      <c r="GD51">
        <v>0.360813506493507</v>
      </c>
      <c r="GE51">
        <v>0.146051966918684</v>
      </c>
      <c r="GF51">
        <v>1</v>
      </c>
      <c r="GG51">
        <v>1413.49764705882</v>
      </c>
      <c r="GH51">
        <v>-0.117647053905032</v>
      </c>
      <c r="GI51">
        <v>0.213156374848174</v>
      </c>
      <c r="GJ51">
        <v>-1</v>
      </c>
      <c r="GK51">
        <v>24.9626190476191</v>
      </c>
      <c r="GL51">
        <v>0.261825974025977</v>
      </c>
      <c r="GM51">
        <v>0.0266244001774176</v>
      </c>
      <c r="GN51">
        <v>0</v>
      </c>
      <c r="GO51">
        <v>1</v>
      </c>
      <c r="GP51">
        <v>2</v>
      </c>
      <c r="GQ51" t="s">
        <v>454</v>
      </c>
      <c r="GR51">
        <v>3.1269</v>
      </c>
      <c r="GS51">
        <v>2.77816</v>
      </c>
      <c r="GT51">
        <v>0.0849087</v>
      </c>
      <c r="GU51">
        <v>0.0856915</v>
      </c>
      <c r="GV51">
        <v>0.156897</v>
      </c>
      <c r="GW51">
        <v>0.0907086</v>
      </c>
      <c r="GX51">
        <v>33084.4</v>
      </c>
      <c r="GY51">
        <v>35053.4</v>
      </c>
      <c r="GZ51">
        <v>32821.8</v>
      </c>
      <c r="HA51">
        <v>34825.5</v>
      </c>
      <c r="HB51">
        <v>39535.8</v>
      </c>
      <c r="HC51">
        <v>45577.7</v>
      </c>
      <c r="HD51">
        <v>51486.2</v>
      </c>
      <c r="HE51">
        <v>55777.3</v>
      </c>
      <c r="HF51">
        <v>1.72308</v>
      </c>
      <c r="HG51">
        <v>2.04305</v>
      </c>
      <c r="HH51">
        <v>0.031475</v>
      </c>
      <c r="HI51">
        <v>0</v>
      </c>
      <c r="HJ51">
        <v>47.5127</v>
      </c>
      <c r="HK51">
        <v>999.9</v>
      </c>
      <c r="HL51">
        <v>55.579</v>
      </c>
      <c r="HM51">
        <v>27.815</v>
      </c>
      <c r="HN51">
        <v>22.9582</v>
      </c>
      <c r="HO51">
        <v>59.685</v>
      </c>
      <c r="HP51">
        <v>32.2035</v>
      </c>
      <c r="HQ51">
        <v>2</v>
      </c>
      <c r="HR51">
        <v>1.93939</v>
      </c>
      <c r="HS51">
        <v>-3.31993</v>
      </c>
      <c r="HT51">
        <v>20.0955</v>
      </c>
      <c r="HU51">
        <v>5.19168</v>
      </c>
      <c r="HV51">
        <v>12.0158</v>
      </c>
      <c r="HW51">
        <v>4.96975</v>
      </c>
      <c r="HX51">
        <v>3.295</v>
      </c>
      <c r="HY51">
        <v>999.9</v>
      </c>
      <c r="HZ51">
        <v>9999</v>
      </c>
      <c r="IA51">
        <v>9999</v>
      </c>
      <c r="IB51">
        <v>9999</v>
      </c>
      <c r="IC51">
        <v>1.86313</v>
      </c>
      <c r="ID51">
        <v>1.86813</v>
      </c>
      <c r="IE51">
        <v>1.86784</v>
      </c>
      <c r="IF51">
        <v>1.86897</v>
      </c>
      <c r="IG51">
        <v>1.86981</v>
      </c>
      <c r="IH51">
        <v>1.86585</v>
      </c>
      <c r="II51">
        <v>1.86701</v>
      </c>
      <c r="IJ51">
        <v>1.86843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3.088</v>
      </c>
      <c r="IY51">
        <v>0.1627</v>
      </c>
      <c r="IZ51">
        <v>1.12264184085783</v>
      </c>
      <c r="JA51">
        <v>0.00531519531824411</v>
      </c>
      <c r="JB51">
        <v>-1.58401274662554e-06</v>
      </c>
      <c r="JC51">
        <v>4.65529057017795e-10</v>
      </c>
      <c r="JD51">
        <v>0.162735096694976</v>
      </c>
      <c r="JE51">
        <v>0</v>
      </c>
      <c r="JF51">
        <v>0</v>
      </c>
      <c r="JG51">
        <v>0</v>
      </c>
      <c r="JH51">
        <v>4</v>
      </c>
      <c r="JI51">
        <v>2305</v>
      </c>
      <c r="JJ51">
        <v>-0</v>
      </c>
      <c r="JK51">
        <v>23</v>
      </c>
      <c r="JL51">
        <v>29373193.6</v>
      </c>
      <c r="JM51">
        <v>29373193.6</v>
      </c>
      <c r="JN51">
        <v>1.12549</v>
      </c>
      <c r="JO51">
        <v>2.61108</v>
      </c>
      <c r="JP51">
        <v>2.19849</v>
      </c>
      <c r="JQ51">
        <v>2.64038</v>
      </c>
      <c r="JR51">
        <v>2.44507</v>
      </c>
      <c r="JS51">
        <v>2.27661</v>
      </c>
      <c r="JT51">
        <v>32.3328</v>
      </c>
      <c r="JU51">
        <v>24.1751</v>
      </c>
      <c r="JV51">
        <v>18</v>
      </c>
      <c r="JW51">
        <v>501.483</v>
      </c>
      <c r="JX51">
        <v>767.67</v>
      </c>
      <c r="JY51">
        <v>56.3335</v>
      </c>
      <c r="JZ51">
        <v>49.8672</v>
      </c>
      <c r="KA51">
        <v>29.9985</v>
      </c>
      <c r="KB51">
        <v>49.601</v>
      </c>
      <c r="KC51">
        <v>49.4127</v>
      </c>
      <c r="KD51">
        <v>22.5576</v>
      </c>
      <c r="KE51">
        <v>0</v>
      </c>
      <c r="KF51">
        <v>100</v>
      </c>
      <c r="KG51">
        <v>56.3187</v>
      </c>
      <c r="KH51">
        <v>420</v>
      </c>
      <c r="KI51">
        <v>67.7987</v>
      </c>
      <c r="KJ51">
        <v>93.3892</v>
      </c>
      <c r="KK51">
        <v>90.2976</v>
      </c>
    </row>
    <row r="52" spans="1:297">
      <c r="A52">
        <v>36</v>
      </c>
      <c r="B52">
        <v>1762391718.1</v>
      </c>
      <c r="C52">
        <v>4773.09999990463</v>
      </c>
      <c r="D52" t="s">
        <v>576</v>
      </c>
      <c r="E52" t="s">
        <v>577</v>
      </c>
      <c r="F52">
        <v>5</v>
      </c>
      <c r="G52" t="s">
        <v>557</v>
      </c>
      <c r="H52" t="s">
        <v>436</v>
      </c>
      <c r="I52">
        <v>1762391714.6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428.877375396186</v>
      </c>
      <c r="AK52">
        <v>438.179927272727</v>
      </c>
      <c r="AL52">
        <v>-0.0104891912969621</v>
      </c>
      <c r="AM52">
        <v>64.2100372477511</v>
      </c>
      <c r="AN52">
        <f>(AP52 - AO52 + DY52*1E3/(8.314*(EA52+273.15)) * AR52/DX52 * AQ52) * DX52/(100*DL52) * 1000/(1000 - AP52)</f>
        <v>0</v>
      </c>
      <c r="AO52">
        <v>21.1929682733225</v>
      </c>
      <c r="AP52">
        <v>46.18572</v>
      </c>
      <c r="AQ52">
        <v>0.000449299255552688</v>
      </c>
      <c r="AR52">
        <v>97.4616165551684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517</v>
      </c>
      <c r="AY52">
        <v>5066.66</v>
      </c>
      <c r="AZ52">
        <v>639.826923076923</v>
      </c>
      <c r="BA52">
        <v>1736.46</v>
      </c>
      <c r="BB52">
        <f>1-AZ52/BA52</f>
        <v>0</v>
      </c>
      <c r="BC52">
        <v>-10.0583227723073</v>
      </c>
      <c r="BD52" t="s">
        <v>578</v>
      </c>
      <c r="BE52">
        <v>5119.19</v>
      </c>
      <c r="BF52">
        <v>1402.78884615385</v>
      </c>
      <c r="BG52">
        <v>1491.43963965078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579</v>
      </c>
      <c r="BQ52">
        <v>1331.87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507</v>
      </c>
      <c r="CA52">
        <v>290</v>
      </c>
      <c r="CB52">
        <v>1469.37</v>
      </c>
      <c r="CC52">
        <v>285</v>
      </c>
      <c r="CD52">
        <v>5119.19</v>
      </c>
      <c r="CE52">
        <v>1469.3</v>
      </c>
      <c r="CF52">
        <v>0.07</v>
      </c>
      <c r="CG52">
        <v>300</v>
      </c>
      <c r="CH52">
        <v>23.9</v>
      </c>
      <c r="CI52">
        <v>1491.43963965078</v>
      </c>
      <c r="CJ52">
        <v>1.23802752841774</v>
      </c>
      <c r="CK52">
        <v>-11.3359701572235</v>
      </c>
      <c r="CL52">
        <v>0.559733716103039</v>
      </c>
      <c r="CM52">
        <v>0.936096561261811</v>
      </c>
      <c r="CN52">
        <v>-0.00373394616240267</v>
      </c>
      <c r="CO52">
        <v>290</v>
      </c>
      <c r="CP52">
        <v>1467.08</v>
      </c>
      <c r="CQ52">
        <v>735</v>
      </c>
      <c r="CR52">
        <v>5115.79</v>
      </c>
      <c r="CS52">
        <v>1469.28</v>
      </c>
      <c r="CT52">
        <v>-2.2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1762391714.6</v>
      </c>
      <c r="DR52">
        <v>417.974833333333</v>
      </c>
      <c r="DS52">
        <v>419.829833333333</v>
      </c>
      <c r="DT52">
        <v>46.1830666666667</v>
      </c>
      <c r="DU52">
        <v>21.1930833333333</v>
      </c>
      <c r="DV52">
        <v>414.886166666667</v>
      </c>
      <c r="DW52">
        <v>46.0203333333333</v>
      </c>
      <c r="DX52">
        <v>500.035333333333</v>
      </c>
      <c r="DY52">
        <v>90.8836833333333</v>
      </c>
      <c r="DZ52">
        <v>0.100033283333333</v>
      </c>
      <c r="EA52">
        <v>52.2952166666667</v>
      </c>
      <c r="EB52">
        <v>48.0175833333333</v>
      </c>
      <c r="EC52">
        <v>999.9</v>
      </c>
      <c r="ED52">
        <v>0</v>
      </c>
      <c r="EE52">
        <v>0</v>
      </c>
      <c r="EF52">
        <v>9999.39166666667</v>
      </c>
      <c r="EG52">
        <v>0</v>
      </c>
      <c r="EH52">
        <v>1220.97666666667</v>
      </c>
      <c r="EI52">
        <v>-1.85509333333333</v>
      </c>
      <c r="EJ52">
        <v>438.212666666667</v>
      </c>
      <c r="EK52">
        <v>428.919833333333</v>
      </c>
      <c r="EL52">
        <v>24.9899833333333</v>
      </c>
      <c r="EM52">
        <v>419.829833333333</v>
      </c>
      <c r="EN52">
        <v>21.1930833333333</v>
      </c>
      <c r="EO52">
        <v>4.197285</v>
      </c>
      <c r="EP52">
        <v>1.92610666666667</v>
      </c>
      <c r="EQ52">
        <v>29.7402</v>
      </c>
      <c r="ER52">
        <v>16.8496166666667</v>
      </c>
      <c r="ES52">
        <v>600.011</v>
      </c>
      <c r="ET52">
        <v>0.933017</v>
      </c>
      <c r="EU52">
        <v>0.0669832</v>
      </c>
      <c r="EV52">
        <v>0</v>
      </c>
      <c r="EW52">
        <v>1403.005</v>
      </c>
      <c r="EX52">
        <v>5.00059</v>
      </c>
      <c r="EY52">
        <v>8952.36833333333</v>
      </c>
      <c r="EZ52">
        <v>5105.62666666667</v>
      </c>
      <c r="FA52">
        <v>58.25</v>
      </c>
      <c r="FB52">
        <v>59.687</v>
      </c>
      <c r="FC52">
        <v>58.6353333333333</v>
      </c>
      <c r="FD52">
        <v>59.6456666666667</v>
      </c>
      <c r="FE52">
        <v>60.187</v>
      </c>
      <c r="FF52">
        <v>555.155</v>
      </c>
      <c r="FG52">
        <v>39.86</v>
      </c>
      <c r="FH52">
        <v>0</v>
      </c>
      <c r="FI52">
        <v>97.4000000953674</v>
      </c>
      <c r="FJ52">
        <v>0</v>
      </c>
      <c r="FK52">
        <v>1402.78884615385</v>
      </c>
      <c r="FL52">
        <v>2.08307692214868</v>
      </c>
      <c r="FM52">
        <v>-8.44888888232295</v>
      </c>
      <c r="FN52">
        <v>8952.685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-1.778859</v>
      </c>
      <c r="GD52">
        <v>-0.436267669172933</v>
      </c>
      <c r="GE52">
        <v>0.0782859753020936</v>
      </c>
      <c r="GF52">
        <v>1</v>
      </c>
      <c r="GG52">
        <v>1402.66676470588</v>
      </c>
      <c r="GH52">
        <v>1.47089380947171</v>
      </c>
      <c r="GI52">
        <v>0.258157733227003</v>
      </c>
      <c r="GJ52">
        <v>-1</v>
      </c>
      <c r="GK52">
        <v>24.956865</v>
      </c>
      <c r="GL52">
        <v>0.28369172932327</v>
      </c>
      <c r="GM52">
        <v>0.0278773792706563</v>
      </c>
      <c r="GN52">
        <v>0</v>
      </c>
      <c r="GO52">
        <v>1</v>
      </c>
      <c r="GP52">
        <v>2</v>
      </c>
      <c r="GQ52" t="s">
        <v>454</v>
      </c>
      <c r="GR52">
        <v>3.1268</v>
      </c>
      <c r="GS52">
        <v>2.77798</v>
      </c>
      <c r="GT52">
        <v>0.0849873</v>
      </c>
      <c r="GU52">
        <v>0.085777</v>
      </c>
      <c r="GV52">
        <v>0.157023</v>
      </c>
      <c r="GW52">
        <v>0.0908234</v>
      </c>
      <c r="GX52">
        <v>33101</v>
      </c>
      <c r="GY52">
        <v>35077.2</v>
      </c>
      <c r="GZ52">
        <v>32839.4</v>
      </c>
      <c r="HA52">
        <v>34850.8</v>
      </c>
      <c r="HB52">
        <v>39543.4</v>
      </c>
      <c r="HC52">
        <v>45602.6</v>
      </c>
      <c r="HD52">
        <v>51508.7</v>
      </c>
      <c r="HE52">
        <v>55814.9</v>
      </c>
      <c r="HF52">
        <v>1.72637</v>
      </c>
      <c r="HG52">
        <v>2.04725</v>
      </c>
      <c r="HH52">
        <v>0.0185706</v>
      </c>
      <c r="HI52">
        <v>0</v>
      </c>
      <c r="HJ52">
        <v>47.7242</v>
      </c>
      <c r="HK52">
        <v>999.9</v>
      </c>
      <c r="HL52">
        <v>55.579</v>
      </c>
      <c r="HM52">
        <v>27.815</v>
      </c>
      <c r="HN52">
        <v>22.957</v>
      </c>
      <c r="HO52">
        <v>59.615</v>
      </c>
      <c r="HP52">
        <v>32.3838</v>
      </c>
      <c r="HQ52">
        <v>2</v>
      </c>
      <c r="HR52">
        <v>1.91128</v>
      </c>
      <c r="HS52">
        <v>-2.53896</v>
      </c>
      <c r="HT52">
        <v>20.1111</v>
      </c>
      <c r="HU52">
        <v>5.19198</v>
      </c>
      <c r="HV52">
        <v>12.0152</v>
      </c>
      <c r="HW52">
        <v>4.9711</v>
      </c>
      <c r="HX52">
        <v>3.295</v>
      </c>
      <c r="HY52">
        <v>999.9</v>
      </c>
      <c r="HZ52">
        <v>9999</v>
      </c>
      <c r="IA52">
        <v>9999</v>
      </c>
      <c r="IB52">
        <v>9999</v>
      </c>
      <c r="IC52">
        <v>1.86312</v>
      </c>
      <c r="ID52">
        <v>1.86812</v>
      </c>
      <c r="IE52">
        <v>1.86784</v>
      </c>
      <c r="IF52">
        <v>1.86897</v>
      </c>
      <c r="IG52">
        <v>1.86981</v>
      </c>
      <c r="IH52">
        <v>1.86591</v>
      </c>
      <c r="II52">
        <v>1.86702</v>
      </c>
      <c r="IJ52">
        <v>1.86843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3.088</v>
      </c>
      <c r="IY52">
        <v>0.1627</v>
      </c>
      <c r="IZ52">
        <v>1.12264184085783</v>
      </c>
      <c r="JA52">
        <v>0.00531519531824411</v>
      </c>
      <c r="JB52">
        <v>-1.58401274662554e-06</v>
      </c>
      <c r="JC52">
        <v>4.65529057017795e-10</v>
      </c>
      <c r="JD52">
        <v>0.162735096694976</v>
      </c>
      <c r="JE52">
        <v>0</v>
      </c>
      <c r="JF52">
        <v>0</v>
      </c>
      <c r="JG52">
        <v>0</v>
      </c>
      <c r="JH52">
        <v>4</v>
      </c>
      <c r="JI52">
        <v>2305</v>
      </c>
      <c r="JJ52">
        <v>-0</v>
      </c>
      <c r="JK52">
        <v>23</v>
      </c>
      <c r="JL52">
        <v>29373195.3</v>
      </c>
      <c r="JM52">
        <v>29373195.3</v>
      </c>
      <c r="JN52">
        <v>1.12305</v>
      </c>
      <c r="JO52">
        <v>2.6001</v>
      </c>
      <c r="JP52">
        <v>2.19849</v>
      </c>
      <c r="JQ52">
        <v>2.64038</v>
      </c>
      <c r="JR52">
        <v>2.44507</v>
      </c>
      <c r="JS52">
        <v>2.37183</v>
      </c>
      <c r="JT52">
        <v>32.3328</v>
      </c>
      <c r="JU52">
        <v>24.1926</v>
      </c>
      <c r="JV52">
        <v>18</v>
      </c>
      <c r="JW52">
        <v>501.885</v>
      </c>
      <c r="JX52">
        <v>768.642</v>
      </c>
      <c r="JY52">
        <v>56.8968</v>
      </c>
      <c r="JZ52">
        <v>49.5487</v>
      </c>
      <c r="KA52">
        <v>29.9972</v>
      </c>
      <c r="KB52">
        <v>49.2743</v>
      </c>
      <c r="KC52">
        <v>49.0874</v>
      </c>
      <c r="KD52">
        <v>22.5143</v>
      </c>
      <c r="KE52">
        <v>0</v>
      </c>
      <c r="KF52">
        <v>100</v>
      </c>
      <c r="KG52">
        <v>56.7068</v>
      </c>
      <c r="KH52">
        <v>420</v>
      </c>
      <c r="KI52">
        <v>67.7987</v>
      </c>
      <c r="KJ52">
        <v>93.4336</v>
      </c>
      <c r="KK52">
        <v>90.3603</v>
      </c>
    </row>
    <row r="53" spans="1:297">
      <c r="A53">
        <v>37</v>
      </c>
      <c r="B53">
        <v>1762391818.1</v>
      </c>
      <c r="C53">
        <v>4873.09999990463</v>
      </c>
      <c r="D53" t="s">
        <v>580</v>
      </c>
      <c r="E53" t="s">
        <v>581</v>
      </c>
      <c r="F53">
        <v>5</v>
      </c>
      <c r="G53" t="s">
        <v>557</v>
      </c>
      <c r="H53" t="s">
        <v>436</v>
      </c>
      <c r="I53">
        <v>1762391814.6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429.455381770969</v>
      </c>
      <c r="AK53">
        <v>439.334303030303</v>
      </c>
      <c r="AL53">
        <v>0.0269157954009889</v>
      </c>
      <c r="AM53">
        <v>64.2100372477511</v>
      </c>
      <c r="AN53">
        <f>(AP53 - AO53 + DY53*1E3/(8.314*(EA53+273.15)) * AR53/DX53 * AQ53) * DX53/(100*DL53) * 1000/(1000 - AP53)</f>
        <v>0</v>
      </c>
      <c r="AO53">
        <v>21.2064317055644</v>
      </c>
      <c r="AP53">
        <v>46.0664781818182</v>
      </c>
      <c r="AQ53">
        <v>-0.000118200248565534</v>
      </c>
      <c r="AR53">
        <v>97.4616165551684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517</v>
      </c>
      <c r="AY53">
        <v>5066.66</v>
      </c>
      <c r="AZ53">
        <v>639.826923076923</v>
      </c>
      <c r="BA53">
        <v>1736.46</v>
      </c>
      <c r="BB53">
        <f>1-AZ53/BA53</f>
        <v>0</v>
      </c>
      <c r="BC53">
        <v>-10.0583227723073</v>
      </c>
      <c r="BD53" t="s">
        <v>582</v>
      </c>
      <c r="BE53">
        <v>5111.66</v>
      </c>
      <c r="BF53">
        <v>1385.4688</v>
      </c>
      <c r="BG53">
        <v>1525.43657254272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583</v>
      </c>
      <c r="BQ53">
        <v>1337.47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509</v>
      </c>
      <c r="CA53">
        <v>290</v>
      </c>
      <c r="CB53">
        <v>1499.54</v>
      </c>
      <c r="CC53">
        <v>295</v>
      </c>
      <c r="CD53">
        <v>5111.66</v>
      </c>
      <c r="CE53">
        <v>1499.66</v>
      </c>
      <c r="CF53">
        <v>-0.12</v>
      </c>
      <c r="CG53">
        <v>300</v>
      </c>
      <c r="CH53">
        <v>23.9</v>
      </c>
      <c r="CI53">
        <v>1525.43657254272</v>
      </c>
      <c r="CJ53">
        <v>1.15271706762213</v>
      </c>
      <c r="CK53">
        <v>-13.1766990928953</v>
      </c>
      <c r="CL53">
        <v>0.515458557581319</v>
      </c>
      <c r="CM53">
        <v>0.95891235977567</v>
      </c>
      <c r="CN53">
        <v>-0.00397871590656285</v>
      </c>
      <c r="CO53">
        <v>290</v>
      </c>
      <c r="CP53">
        <v>1497.05</v>
      </c>
      <c r="CQ53">
        <v>795</v>
      </c>
      <c r="CR53">
        <v>5107.71</v>
      </c>
      <c r="CS53">
        <v>1499.64</v>
      </c>
      <c r="CT53">
        <v>-2.59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1762391814.6</v>
      </c>
      <c r="DR53">
        <v>419.027333333333</v>
      </c>
      <c r="DS53">
        <v>420.314166666667</v>
      </c>
      <c r="DT53">
        <v>46.0674666666667</v>
      </c>
      <c r="DU53">
        <v>21.2064</v>
      </c>
      <c r="DV53">
        <v>415.934333333333</v>
      </c>
      <c r="DW53">
        <v>45.9047166666667</v>
      </c>
      <c r="DX53">
        <v>500.037</v>
      </c>
      <c r="DY53">
        <v>90.885</v>
      </c>
      <c r="DZ53">
        <v>0.10016555</v>
      </c>
      <c r="EA53">
        <v>52.41475</v>
      </c>
      <c r="EB53">
        <v>47.97125</v>
      </c>
      <c r="EC53">
        <v>999.9</v>
      </c>
      <c r="ED53">
        <v>0</v>
      </c>
      <c r="EE53">
        <v>0</v>
      </c>
      <c r="EF53">
        <v>9990</v>
      </c>
      <c r="EG53">
        <v>0</v>
      </c>
      <c r="EH53">
        <v>1221.57166666667</v>
      </c>
      <c r="EI53">
        <v>-1.28666666666667</v>
      </c>
      <c r="EJ53">
        <v>439.262833333333</v>
      </c>
      <c r="EK53">
        <v>429.420333333333</v>
      </c>
      <c r="EL53">
        <v>24.86105</v>
      </c>
      <c r="EM53">
        <v>420.314166666667</v>
      </c>
      <c r="EN53">
        <v>21.2064</v>
      </c>
      <c r="EO53">
        <v>4.18684333333333</v>
      </c>
      <c r="EP53">
        <v>1.927345</v>
      </c>
      <c r="EQ53">
        <v>29.6969333333333</v>
      </c>
      <c r="ER53">
        <v>16.8597333333333</v>
      </c>
      <c r="ES53">
        <v>300.001166666667</v>
      </c>
      <c r="ET53">
        <v>0.899948</v>
      </c>
      <c r="EU53">
        <v>0.100052</v>
      </c>
      <c r="EV53">
        <v>0</v>
      </c>
      <c r="EW53">
        <v>1385.765</v>
      </c>
      <c r="EX53">
        <v>5.00059</v>
      </c>
      <c r="EY53">
        <v>4479.32</v>
      </c>
      <c r="EZ53">
        <v>2506.16166666667</v>
      </c>
      <c r="FA53">
        <v>57.437</v>
      </c>
      <c r="FB53">
        <v>59.3225</v>
      </c>
      <c r="FC53">
        <v>58.125</v>
      </c>
      <c r="FD53">
        <v>59.375</v>
      </c>
      <c r="FE53">
        <v>59.625</v>
      </c>
      <c r="FF53">
        <v>265.486666666667</v>
      </c>
      <c r="FG53">
        <v>29.515</v>
      </c>
      <c r="FH53">
        <v>0</v>
      </c>
      <c r="FI53">
        <v>97</v>
      </c>
      <c r="FJ53">
        <v>0</v>
      </c>
      <c r="FK53">
        <v>1385.4688</v>
      </c>
      <c r="FL53">
        <v>4.57846152616805</v>
      </c>
      <c r="FM53">
        <v>-6.07384616050374</v>
      </c>
      <c r="FN53">
        <v>4479.6776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-1.337797</v>
      </c>
      <c r="GD53">
        <v>1.2040962406015</v>
      </c>
      <c r="GE53">
        <v>0.226478116936273</v>
      </c>
      <c r="GF53">
        <v>0</v>
      </c>
      <c r="GG53">
        <v>1385.25323529412</v>
      </c>
      <c r="GH53">
        <v>3.34377386863601</v>
      </c>
      <c r="GI53">
        <v>0.388963332524324</v>
      </c>
      <c r="GJ53">
        <v>-1</v>
      </c>
      <c r="GK53">
        <v>24.831085</v>
      </c>
      <c r="GL53">
        <v>0.260711278195473</v>
      </c>
      <c r="GM53">
        <v>0.0256335966067973</v>
      </c>
      <c r="GN53">
        <v>0</v>
      </c>
      <c r="GO53">
        <v>0</v>
      </c>
      <c r="GP53">
        <v>2</v>
      </c>
      <c r="GQ53" t="s">
        <v>442</v>
      </c>
      <c r="GR53">
        <v>3.12694</v>
      </c>
      <c r="GS53">
        <v>2.77783</v>
      </c>
      <c r="GT53">
        <v>0.0852206</v>
      </c>
      <c r="GU53">
        <v>0.0858177</v>
      </c>
      <c r="GV53">
        <v>0.156835</v>
      </c>
      <c r="GW53">
        <v>0.0909187</v>
      </c>
      <c r="GX53">
        <v>33108.2</v>
      </c>
      <c r="GY53">
        <v>35095.7</v>
      </c>
      <c r="GZ53">
        <v>32853.7</v>
      </c>
      <c r="HA53">
        <v>34869.5</v>
      </c>
      <c r="HB53">
        <v>39562</v>
      </c>
      <c r="HC53">
        <v>45620.4</v>
      </c>
      <c r="HD53">
        <v>51526.5</v>
      </c>
      <c r="HE53">
        <v>55842.5</v>
      </c>
      <c r="HF53">
        <v>1.7288</v>
      </c>
      <c r="HG53">
        <v>2.0503</v>
      </c>
      <c r="HH53">
        <v>0.00351295</v>
      </c>
      <c r="HI53">
        <v>0</v>
      </c>
      <c r="HJ53">
        <v>47.9375</v>
      </c>
      <c r="HK53">
        <v>999.9</v>
      </c>
      <c r="HL53">
        <v>55.604</v>
      </c>
      <c r="HM53">
        <v>27.835</v>
      </c>
      <c r="HN53">
        <v>22.9947</v>
      </c>
      <c r="HO53">
        <v>59.1851</v>
      </c>
      <c r="HP53">
        <v>32.3838</v>
      </c>
      <c r="HQ53">
        <v>2</v>
      </c>
      <c r="HR53">
        <v>1.89381</v>
      </c>
      <c r="HS53">
        <v>-3.77261</v>
      </c>
      <c r="HT53">
        <v>20.0942</v>
      </c>
      <c r="HU53">
        <v>5.19078</v>
      </c>
      <c r="HV53">
        <v>12.0159</v>
      </c>
      <c r="HW53">
        <v>4.97085</v>
      </c>
      <c r="HX53">
        <v>3.295</v>
      </c>
      <c r="HY53">
        <v>999.9</v>
      </c>
      <c r="HZ53">
        <v>9999</v>
      </c>
      <c r="IA53">
        <v>9999</v>
      </c>
      <c r="IB53">
        <v>9999</v>
      </c>
      <c r="IC53">
        <v>1.86315</v>
      </c>
      <c r="ID53">
        <v>1.86813</v>
      </c>
      <c r="IE53">
        <v>1.86783</v>
      </c>
      <c r="IF53">
        <v>1.86896</v>
      </c>
      <c r="IG53">
        <v>1.86981</v>
      </c>
      <c r="IH53">
        <v>1.86594</v>
      </c>
      <c r="II53">
        <v>1.86706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3.093</v>
      </c>
      <c r="IY53">
        <v>0.1628</v>
      </c>
      <c r="IZ53">
        <v>1.12264184085783</v>
      </c>
      <c r="JA53">
        <v>0.00531519531824411</v>
      </c>
      <c r="JB53">
        <v>-1.58401274662554e-06</v>
      </c>
      <c r="JC53">
        <v>4.65529057017795e-10</v>
      </c>
      <c r="JD53">
        <v>0.162735096694976</v>
      </c>
      <c r="JE53">
        <v>0</v>
      </c>
      <c r="JF53">
        <v>0</v>
      </c>
      <c r="JG53">
        <v>0</v>
      </c>
      <c r="JH53">
        <v>4</v>
      </c>
      <c r="JI53">
        <v>2305</v>
      </c>
      <c r="JJ53">
        <v>-0</v>
      </c>
      <c r="JK53">
        <v>23</v>
      </c>
      <c r="JL53">
        <v>29373197</v>
      </c>
      <c r="JM53">
        <v>29373197</v>
      </c>
      <c r="JN53">
        <v>1.12183</v>
      </c>
      <c r="JO53">
        <v>2.59644</v>
      </c>
      <c r="JP53">
        <v>2.19849</v>
      </c>
      <c r="JQ53">
        <v>2.64038</v>
      </c>
      <c r="JR53">
        <v>2.44629</v>
      </c>
      <c r="JS53">
        <v>2.36694</v>
      </c>
      <c r="JT53">
        <v>32.3328</v>
      </c>
      <c r="JU53">
        <v>24.1926</v>
      </c>
      <c r="JV53">
        <v>18</v>
      </c>
      <c r="JW53">
        <v>501.984</v>
      </c>
      <c r="JX53">
        <v>768.992</v>
      </c>
      <c r="JY53">
        <v>57.5952</v>
      </c>
      <c r="JZ53">
        <v>49.2995</v>
      </c>
      <c r="KA53">
        <v>29.9992</v>
      </c>
      <c r="KB53">
        <v>49.0043</v>
      </c>
      <c r="KC53">
        <v>48.8168</v>
      </c>
      <c r="KD53">
        <v>22.4678</v>
      </c>
      <c r="KE53">
        <v>0</v>
      </c>
      <c r="KF53">
        <v>100</v>
      </c>
      <c r="KG53">
        <v>57.6097</v>
      </c>
      <c r="KH53">
        <v>420</v>
      </c>
      <c r="KI53">
        <v>67.7987</v>
      </c>
      <c r="KJ53">
        <v>93.4691</v>
      </c>
      <c r="KK53">
        <v>90.4064</v>
      </c>
    </row>
    <row r="54" spans="1:297">
      <c r="A54">
        <v>38</v>
      </c>
      <c r="B54">
        <v>1762391918.1</v>
      </c>
      <c r="C54">
        <v>4973.09999990463</v>
      </c>
      <c r="D54" t="s">
        <v>584</v>
      </c>
      <c r="E54" t="s">
        <v>585</v>
      </c>
      <c r="F54">
        <v>5</v>
      </c>
      <c r="G54" t="s">
        <v>557</v>
      </c>
      <c r="H54" t="s">
        <v>436</v>
      </c>
      <c r="I54">
        <v>1762391914.6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428.955123709474</v>
      </c>
      <c r="AK54">
        <v>439.366993939394</v>
      </c>
      <c r="AL54">
        <v>0.0100846085868259</v>
      </c>
      <c r="AM54">
        <v>64.2100372477511</v>
      </c>
      <c r="AN54">
        <f>(AP54 - AO54 + DY54*1E3/(8.314*(EA54+273.15)) * AR54/DX54 * AQ54) * DX54/(100*DL54) * 1000/(1000 - AP54)</f>
        <v>0</v>
      </c>
      <c r="AO54">
        <v>21.2050553464981</v>
      </c>
      <c r="AP54">
        <v>46.0711284848485</v>
      </c>
      <c r="AQ54">
        <v>0.000309802832422371</v>
      </c>
      <c r="AR54">
        <v>97.4616165551684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517</v>
      </c>
      <c r="AY54">
        <v>5066.66</v>
      </c>
      <c r="AZ54">
        <v>639.826923076923</v>
      </c>
      <c r="BA54">
        <v>1736.46</v>
      </c>
      <c r="BB54">
        <f>1-AZ54/BA54</f>
        <v>0</v>
      </c>
      <c r="BC54">
        <v>-10.0583227723073</v>
      </c>
      <c r="BD54" t="s">
        <v>586</v>
      </c>
      <c r="BE54">
        <v>5098.66</v>
      </c>
      <c r="BF54">
        <v>1380.9476</v>
      </c>
      <c r="BG54">
        <v>1559.84416240065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587</v>
      </c>
      <c r="BQ54">
        <v>1344.33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511</v>
      </c>
      <c r="CA54">
        <v>290</v>
      </c>
      <c r="CB54">
        <v>1537.56</v>
      </c>
      <c r="CC54">
        <v>285</v>
      </c>
      <c r="CD54">
        <v>5098.66</v>
      </c>
      <c r="CE54">
        <v>1537.48</v>
      </c>
      <c r="CF54">
        <v>0.08</v>
      </c>
      <c r="CG54">
        <v>300</v>
      </c>
      <c r="CH54">
        <v>23.9</v>
      </c>
      <c r="CI54">
        <v>1559.84416240065</v>
      </c>
      <c r="CJ54">
        <v>1.93754480084826</v>
      </c>
      <c r="CK54">
        <v>-11.4046841814848</v>
      </c>
      <c r="CL54">
        <v>0.860007386390079</v>
      </c>
      <c r="CM54">
        <v>0.862649500637613</v>
      </c>
      <c r="CN54">
        <v>-0.0040939955506118</v>
      </c>
      <c r="CO54">
        <v>290</v>
      </c>
      <c r="CP54">
        <v>1535.6</v>
      </c>
      <c r="CQ54">
        <v>705</v>
      </c>
      <c r="CR54">
        <v>5095.57</v>
      </c>
      <c r="CS54">
        <v>1537.46</v>
      </c>
      <c r="CT54">
        <v>-1.86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1762391914.6</v>
      </c>
      <c r="DR54">
        <v>419.077833333333</v>
      </c>
      <c r="DS54">
        <v>419.8295</v>
      </c>
      <c r="DT54">
        <v>46.0661166666667</v>
      </c>
      <c r="DU54">
        <v>21.20515</v>
      </c>
      <c r="DV54">
        <v>415.9845</v>
      </c>
      <c r="DW54">
        <v>45.9034</v>
      </c>
      <c r="DX54">
        <v>499.945666666667</v>
      </c>
      <c r="DY54">
        <v>90.8848166666667</v>
      </c>
      <c r="DZ54">
        <v>0.0999243</v>
      </c>
      <c r="EA54">
        <v>52.5202</v>
      </c>
      <c r="EB54">
        <v>48.0070666666667</v>
      </c>
      <c r="EC54">
        <v>999.9</v>
      </c>
      <c r="ED54">
        <v>0</v>
      </c>
      <c r="EE54">
        <v>0</v>
      </c>
      <c r="EF54">
        <v>10000.6083333333</v>
      </c>
      <c r="EG54">
        <v>0</v>
      </c>
      <c r="EH54">
        <v>1221.91833333333</v>
      </c>
      <c r="EI54">
        <v>-0.751937833333333</v>
      </c>
      <c r="EJ54">
        <v>439.315166666667</v>
      </c>
      <c r="EK54">
        <v>428.925166666667</v>
      </c>
      <c r="EL54">
        <v>24.86095</v>
      </c>
      <c r="EM54">
        <v>419.8295</v>
      </c>
      <c r="EN54">
        <v>21.20515</v>
      </c>
      <c r="EO54">
        <v>4.18671</v>
      </c>
      <c r="EP54">
        <v>1.92722666666667</v>
      </c>
      <c r="EQ54">
        <v>29.6963833333333</v>
      </c>
      <c r="ER54">
        <v>16.8588</v>
      </c>
      <c r="ES54">
        <v>149.947333333333</v>
      </c>
      <c r="ET54">
        <v>0.900028833333333</v>
      </c>
      <c r="EU54">
        <v>0.0999713</v>
      </c>
      <c r="EV54">
        <v>0</v>
      </c>
      <c r="EW54">
        <v>1381.27833333333</v>
      </c>
      <c r="EX54">
        <v>5.00059</v>
      </c>
      <c r="EY54">
        <v>2326.95333333333</v>
      </c>
      <c r="EZ54">
        <v>1231.415</v>
      </c>
      <c r="FA54">
        <v>56.7395</v>
      </c>
      <c r="FB54">
        <v>58.9475</v>
      </c>
      <c r="FC54">
        <v>57.5935</v>
      </c>
      <c r="FD54">
        <v>59.0103333333333</v>
      </c>
      <c r="FE54">
        <v>59.062</v>
      </c>
      <c r="FF54">
        <v>130.456666666667</v>
      </c>
      <c r="FG54">
        <v>14.49</v>
      </c>
      <c r="FH54">
        <v>0</v>
      </c>
      <c r="FI54">
        <v>97.4000000953674</v>
      </c>
      <c r="FJ54">
        <v>0</v>
      </c>
      <c r="FK54">
        <v>1380.9476</v>
      </c>
      <c r="FL54">
        <v>5.5399999932686</v>
      </c>
      <c r="FM54">
        <v>-10.496153818662</v>
      </c>
      <c r="FN54">
        <v>2328.656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-0.535891935</v>
      </c>
      <c r="GD54">
        <v>3.5444749037594</v>
      </c>
      <c r="GE54">
        <v>1.2098337466076</v>
      </c>
      <c r="GF54">
        <v>0</v>
      </c>
      <c r="GG54">
        <v>1380.51882352941</v>
      </c>
      <c r="GH54">
        <v>5.75126051331002</v>
      </c>
      <c r="GI54">
        <v>0.59045727397292</v>
      </c>
      <c r="GJ54">
        <v>-1</v>
      </c>
      <c r="GK54">
        <v>24.854915</v>
      </c>
      <c r="GL54">
        <v>0.0243293233082789</v>
      </c>
      <c r="GM54">
        <v>0.00355376912587196</v>
      </c>
      <c r="GN54">
        <v>1</v>
      </c>
      <c r="GO54">
        <v>1</v>
      </c>
      <c r="GP54">
        <v>2</v>
      </c>
      <c r="GQ54" t="s">
        <v>454</v>
      </c>
      <c r="GR54">
        <v>3.1269</v>
      </c>
      <c r="GS54">
        <v>2.77787</v>
      </c>
      <c r="GT54">
        <v>0.0852719</v>
      </c>
      <c r="GU54">
        <v>0.0859068</v>
      </c>
      <c r="GV54">
        <v>0.156922</v>
      </c>
      <c r="GW54">
        <v>0.0909602</v>
      </c>
      <c r="GX54">
        <v>33117.5</v>
      </c>
      <c r="GY54">
        <v>35107.8</v>
      </c>
      <c r="GZ54">
        <v>32863.8</v>
      </c>
      <c r="HA54">
        <v>34883.8</v>
      </c>
      <c r="HB54">
        <v>39565.7</v>
      </c>
      <c r="HC54">
        <v>45635.6</v>
      </c>
      <c r="HD54">
        <v>51539.5</v>
      </c>
      <c r="HE54">
        <v>55863.7</v>
      </c>
      <c r="HF54">
        <v>1.7306</v>
      </c>
      <c r="HG54">
        <v>2.05263</v>
      </c>
      <c r="HH54">
        <v>-0.00756979</v>
      </c>
      <c r="HI54">
        <v>0</v>
      </c>
      <c r="HJ54">
        <v>48.1319</v>
      </c>
      <c r="HK54">
        <v>999.9</v>
      </c>
      <c r="HL54">
        <v>55.579</v>
      </c>
      <c r="HM54">
        <v>27.845</v>
      </c>
      <c r="HN54">
        <v>22.9986</v>
      </c>
      <c r="HO54">
        <v>59.4751</v>
      </c>
      <c r="HP54">
        <v>32.476</v>
      </c>
      <c r="HQ54">
        <v>2</v>
      </c>
      <c r="HR54">
        <v>1.87742</v>
      </c>
      <c r="HS54">
        <v>-3.60501</v>
      </c>
      <c r="HT54">
        <v>20.0991</v>
      </c>
      <c r="HU54">
        <v>5.19258</v>
      </c>
      <c r="HV54">
        <v>12.0159</v>
      </c>
      <c r="HW54">
        <v>4.97145</v>
      </c>
      <c r="HX54">
        <v>3.29497</v>
      </c>
      <c r="HY54">
        <v>999.9</v>
      </c>
      <c r="HZ54">
        <v>9999</v>
      </c>
      <c r="IA54">
        <v>9999</v>
      </c>
      <c r="IB54">
        <v>9999</v>
      </c>
      <c r="IC54">
        <v>1.86312</v>
      </c>
      <c r="ID54">
        <v>1.86813</v>
      </c>
      <c r="IE54">
        <v>1.86783</v>
      </c>
      <c r="IF54">
        <v>1.86896</v>
      </c>
      <c r="IG54">
        <v>1.86981</v>
      </c>
      <c r="IH54">
        <v>1.8659</v>
      </c>
      <c r="II54">
        <v>1.86703</v>
      </c>
      <c r="IJ54">
        <v>1.86838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3.093</v>
      </c>
      <c r="IY54">
        <v>0.1628</v>
      </c>
      <c r="IZ54">
        <v>1.12264184085783</v>
      </c>
      <c r="JA54">
        <v>0.00531519531824411</v>
      </c>
      <c r="JB54">
        <v>-1.58401274662554e-06</v>
      </c>
      <c r="JC54">
        <v>4.65529057017795e-10</v>
      </c>
      <c r="JD54">
        <v>0.162735096694976</v>
      </c>
      <c r="JE54">
        <v>0</v>
      </c>
      <c r="JF54">
        <v>0</v>
      </c>
      <c r="JG54">
        <v>0</v>
      </c>
      <c r="JH54">
        <v>4</v>
      </c>
      <c r="JI54">
        <v>2305</v>
      </c>
      <c r="JJ54">
        <v>-0</v>
      </c>
      <c r="JK54">
        <v>23</v>
      </c>
      <c r="JL54">
        <v>29373198.6</v>
      </c>
      <c r="JM54">
        <v>29373198.6</v>
      </c>
      <c r="JN54">
        <v>1.12183</v>
      </c>
      <c r="JO54">
        <v>2.60864</v>
      </c>
      <c r="JP54">
        <v>2.19849</v>
      </c>
      <c r="JQ54">
        <v>2.64038</v>
      </c>
      <c r="JR54">
        <v>2.44507</v>
      </c>
      <c r="JS54">
        <v>2.31079</v>
      </c>
      <c r="JT54">
        <v>32.3328</v>
      </c>
      <c r="JU54">
        <v>24.1838</v>
      </c>
      <c r="JV54">
        <v>18</v>
      </c>
      <c r="JW54">
        <v>501.945</v>
      </c>
      <c r="JX54">
        <v>769.121</v>
      </c>
      <c r="JY54">
        <v>57.6345</v>
      </c>
      <c r="JZ54">
        <v>49.1089</v>
      </c>
      <c r="KA54">
        <v>29.9995</v>
      </c>
      <c r="KB54">
        <v>48.7869</v>
      </c>
      <c r="KC54">
        <v>48.5978</v>
      </c>
      <c r="KD54">
        <v>22.4742</v>
      </c>
      <c r="KE54">
        <v>0</v>
      </c>
      <c r="KF54">
        <v>100</v>
      </c>
      <c r="KG54">
        <v>57.6405</v>
      </c>
      <c r="KH54">
        <v>420</v>
      </c>
      <c r="KI54">
        <v>67.7987</v>
      </c>
      <c r="KJ54">
        <v>93.4947</v>
      </c>
      <c r="KK54">
        <v>90.4418</v>
      </c>
    </row>
    <row r="55" spans="1:297">
      <c r="A55">
        <v>39</v>
      </c>
      <c r="B55">
        <v>1762391998.1</v>
      </c>
      <c r="C55">
        <v>5053.09999990463</v>
      </c>
      <c r="D55" t="s">
        <v>588</v>
      </c>
      <c r="E55" t="s">
        <v>589</v>
      </c>
      <c r="F55">
        <v>5</v>
      </c>
      <c r="G55" t="s">
        <v>557</v>
      </c>
      <c r="H55" t="s">
        <v>436</v>
      </c>
      <c r="I55">
        <v>1762391994.6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429.263352737103</v>
      </c>
      <c r="AK55">
        <v>440.419418181818</v>
      </c>
      <c r="AL55">
        <v>0.0335965647963614</v>
      </c>
      <c r="AM55">
        <v>64.2100372477511</v>
      </c>
      <c r="AN55">
        <f>(AP55 - AO55 + DY55*1E3/(8.314*(EA55+273.15)) * AR55/DX55 * AQ55) * DX55/(100*DL55) * 1000/(1000 - AP55)</f>
        <v>0</v>
      </c>
      <c r="AO55">
        <v>21.2157398062065</v>
      </c>
      <c r="AP55">
        <v>46.0205672727273</v>
      </c>
      <c r="AQ55">
        <v>-6.55915131032138e-05</v>
      </c>
      <c r="AR55">
        <v>97.4616165551684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477</v>
      </c>
      <c r="AY55" t="s">
        <v>477</v>
      </c>
      <c r="AZ55">
        <v>0</v>
      </c>
      <c r="BA55">
        <v>0</v>
      </c>
      <c r="BB55">
        <f>1-AZ55/BA55</f>
        <v>0</v>
      </c>
      <c r="BC55">
        <v>0</v>
      </c>
      <c r="BD55" t="s">
        <v>477</v>
      </c>
      <c r="BE55" t="s">
        <v>477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477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511</v>
      </c>
      <c r="CA55">
        <v>290</v>
      </c>
      <c r="CB55">
        <v>1537.56</v>
      </c>
      <c r="CC55">
        <v>285</v>
      </c>
      <c r="CD55">
        <v>5098.66</v>
      </c>
      <c r="CE55">
        <v>1537.48</v>
      </c>
      <c r="CF55">
        <v>0.08</v>
      </c>
      <c r="CG55">
        <v>300</v>
      </c>
      <c r="CH55">
        <v>23.9</v>
      </c>
      <c r="CI55">
        <v>1559.84416240065</v>
      </c>
      <c r="CJ55">
        <v>1.93754480084826</v>
      </c>
      <c r="CK55">
        <v>-11.4046841814848</v>
      </c>
      <c r="CL55">
        <v>0.860007386390079</v>
      </c>
      <c r="CM55">
        <v>0.862649500637613</v>
      </c>
      <c r="CN55">
        <v>-0.0040939955506118</v>
      </c>
      <c r="CO55">
        <v>290</v>
      </c>
      <c r="CP55">
        <v>1535.6</v>
      </c>
      <c r="CQ55">
        <v>705</v>
      </c>
      <c r="CR55">
        <v>5095.57</v>
      </c>
      <c r="CS55">
        <v>1537.46</v>
      </c>
      <c r="CT55">
        <v>-1.86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1762391994.6</v>
      </c>
      <c r="DR55">
        <v>420.067666666667</v>
      </c>
      <c r="DS55">
        <v>420.128666666667</v>
      </c>
      <c r="DT55">
        <v>46.0228166666667</v>
      </c>
      <c r="DU55">
        <v>21.2155666666667</v>
      </c>
      <c r="DV55">
        <v>416.9705</v>
      </c>
      <c r="DW55">
        <v>45.8600833333333</v>
      </c>
      <c r="DX55">
        <v>500.027666666667</v>
      </c>
      <c r="DY55">
        <v>90.8824333333333</v>
      </c>
      <c r="DZ55">
        <v>0.10009115</v>
      </c>
      <c r="EA55">
        <v>52.5426166666667</v>
      </c>
      <c r="EB55">
        <v>47.9701</v>
      </c>
      <c r="EC55">
        <v>999.9</v>
      </c>
      <c r="ED55">
        <v>0</v>
      </c>
      <c r="EE55">
        <v>0</v>
      </c>
      <c r="EF55">
        <v>9986.24666666667</v>
      </c>
      <c r="EG55">
        <v>0</v>
      </c>
      <c r="EH55">
        <v>1221.96666666667</v>
      </c>
      <c r="EI55">
        <v>-0.0611471833333333</v>
      </c>
      <c r="EJ55">
        <v>440.333166666667</v>
      </c>
      <c r="EK55">
        <v>429.235333333333</v>
      </c>
      <c r="EL55">
        <v>24.80725</v>
      </c>
      <c r="EM55">
        <v>420.128666666667</v>
      </c>
      <c r="EN55">
        <v>21.2155666666667</v>
      </c>
      <c r="EO55">
        <v>4.182665</v>
      </c>
      <c r="EP55">
        <v>1.92812</v>
      </c>
      <c r="EQ55">
        <v>29.6796</v>
      </c>
      <c r="ER55">
        <v>16.8660833333333</v>
      </c>
      <c r="ES55">
        <v>49.9432166666667</v>
      </c>
      <c r="ET55">
        <v>0.8999475</v>
      </c>
      <c r="EU55">
        <v>0.1000526</v>
      </c>
      <c r="EV55">
        <v>0</v>
      </c>
      <c r="EW55">
        <v>1381.095</v>
      </c>
      <c r="EX55">
        <v>5.00059</v>
      </c>
      <c r="EY55">
        <v>900.756666666667</v>
      </c>
      <c r="EZ55">
        <v>381.8075</v>
      </c>
      <c r="FA55">
        <v>56.25</v>
      </c>
      <c r="FB55">
        <v>58.6456666666667</v>
      </c>
      <c r="FC55">
        <v>57.187</v>
      </c>
      <c r="FD55">
        <v>58.75</v>
      </c>
      <c r="FE55">
        <v>58.6766666666667</v>
      </c>
      <c r="FF55">
        <v>40.445</v>
      </c>
      <c r="FG55">
        <v>4.5</v>
      </c>
      <c r="FH55">
        <v>0</v>
      </c>
      <c r="FI55">
        <v>77.2000000476837</v>
      </c>
      <c r="FJ55">
        <v>0</v>
      </c>
      <c r="FK55">
        <v>1380.596</v>
      </c>
      <c r="FL55">
        <v>8.10769232544764</v>
      </c>
      <c r="FM55">
        <v>-4.80215385151424</v>
      </c>
      <c r="FN55">
        <v>901.53064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0.1015914255</v>
      </c>
      <c r="GD55">
        <v>0.175005420902256</v>
      </c>
      <c r="GE55">
        <v>0.262674552526066</v>
      </c>
      <c r="GF55">
        <v>1</v>
      </c>
      <c r="GG55">
        <v>1379.92882352941</v>
      </c>
      <c r="GH55">
        <v>9.3726508822817</v>
      </c>
      <c r="GI55">
        <v>0.932538485898385</v>
      </c>
      <c r="GJ55">
        <v>-1</v>
      </c>
      <c r="GK55">
        <v>24.80073</v>
      </c>
      <c r="GL55">
        <v>0.0664691729323199</v>
      </c>
      <c r="GM55">
        <v>0.00716485170816515</v>
      </c>
      <c r="GN55">
        <v>1</v>
      </c>
      <c r="GO55">
        <v>2</v>
      </c>
      <c r="GP55">
        <v>2</v>
      </c>
      <c r="GQ55" t="s">
        <v>478</v>
      </c>
      <c r="GR55">
        <v>3.12695</v>
      </c>
      <c r="GS55">
        <v>2.77797</v>
      </c>
      <c r="GT55">
        <v>0.0854618</v>
      </c>
      <c r="GU55">
        <v>0.0859187</v>
      </c>
      <c r="GV55">
        <v>0.156835</v>
      </c>
      <c r="GW55">
        <v>0.0910184</v>
      </c>
      <c r="GX55">
        <v>33117.5</v>
      </c>
      <c r="GY55">
        <v>35117.1</v>
      </c>
      <c r="GZ55">
        <v>32869.9</v>
      </c>
      <c r="HA55">
        <v>34892.9</v>
      </c>
      <c r="HB55">
        <v>39573.8</v>
      </c>
      <c r="HC55">
        <v>45643.5</v>
      </c>
      <c r="HD55">
        <v>51547</v>
      </c>
      <c r="HE55">
        <v>55877</v>
      </c>
      <c r="HF55">
        <v>1.73195</v>
      </c>
      <c r="HG55">
        <v>2.05397</v>
      </c>
      <c r="HH55">
        <v>-0.01752</v>
      </c>
      <c r="HI55">
        <v>0</v>
      </c>
      <c r="HJ55">
        <v>48.2484</v>
      </c>
      <c r="HK55">
        <v>999.9</v>
      </c>
      <c r="HL55">
        <v>55.579</v>
      </c>
      <c r="HM55">
        <v>27.845</v>
      </c>
      <c r="HN55">
        <v>22.9971</v>
      </c>
      <c r="HO55">
        <v>59.7251</v>
      </c>
      <c r="HP55">
        <v>32.6162</v>
      </c>
      <c r="HQ55">
        <v>2</v>
      </c>
      <c r="HR55">
        <v>1.86742</v>
      </c>
      <c r="HS55">
        <v>-3.66488</v>
      </c>
      <c r="HT55">
        <v>20.0989</v>
      </c>
      <c r="HU55">
        <v>5.19273</v>
      </c>
      <c r="HV55">
        <v>12.0158</v>
      </c>
      <c r="HW55">
        <v>4.97135</v>
      </c>
      <c r="HX55">
        <v>3.295</v>
      </c>
      <c r="HY55">
        <v>999.9</v>
      </c>
      <c r="HZ55">
        <v>9999</v>
      </c>
      <c r="IA55">
        <v>9999</v>
      </c>
      <c r="IB55">
        <v>9999</v>
      </c>
      <c r="IC55">
        <v>1.86314</v>
      </c>
      <c r="ID55">
        <v>1.86813</v>
      </c>
      <c r="IE55">
        <v>1.86786</v>
      </c>
      <c r="IF55">
        <v>1.86902</v>
      </c>
      <c r="IG55">
        <v>1.86982</v>
      </c>
      <c r="IH55">
        <v>1.86592</v>
      </c>
      <c r="II55">
        <v>1.86702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3.098</v>
      </c>
      <c r="IY55">
        <v>0.1627</v>
      </c>
      <c r="IZ55">
        <v>1.12264184085783</v>
      </c>
      <c r="JA55">
        <v>0.00531519531824411</v>
      </c>
      <c r="JB55">
        <v>-1.58401274662554e-06</v>
      </c>
      <c r="JC55">
        <v>4.65529057017795e-10</v>
      </c>
      <c r="JD55">
        <v>0.162735096694976</v>
      </c>
      <c r="JE55">
        <v>0</v>
      </c>
      <c r="JF55">
        <v>0</v>
      </c>
      <c r="JG55">
        <v>0</v>
      </c>
      <c r="JH55">
        <v>4</v>
      </c>
      <c r="JI55">
        <v>2305</v>
      </c>
      <c r="JJ55">
        <v>-0</v>
      </c>
      <c r="JK55">
        <v>23</v>
      </c>
      <c r="JL55">
        <v>29373200</v>
      </c>
      <c r="JM55">
        <v>29373200</v>
      </c>
      <c r="JN55">
        <v>1.12183</v>
      </c>
      <c r="JO55">
        <v>2.6123</v>
      </c>
      <c r="JP55">
        <v>2.19849</v>
      </c>
      <c r="JQ55">
        <v>2.64038</v>
      </c>
      <c r="JR55">
        <v>2.44507</v>
      </c>
      <c r="JS55">
        <v>2.27417</v>
      </c>
      <c r="JT55">
        <v>32.3107</v>
      </c>
      <c r="JU55">
        <v>24.1838</v>
      </c>
      <c r="JV55">
        <v>18</v>
      </c>
      <c r="JW55">
        <v>502.071</v>
      </c>
      <c r="JX55">
        <v>769.065</v>
      </c>
      <c r="JY55">
        <v>57.6963</v>
      </c>
      <c r="JZ55">
        <v>48.9916</v>
      </c>
      <c r="KA55">
        <v>29.9995</v>
      </c>
      <c r="KB55">
        <v>48.6489</v>
      </c>
      <c r="KC55">
        <v>48.4579</v>
      </c>
      <c r="KD55">
        <v>22.483</v>
      </c>
      <c r="KE55">
        <v>0</v>
      </c>
      <c r="KF55">
        <v>100</v>
      </c>
      <c r="KG55">
        <v>57.7057</v>
      </c>
      <c r="KH55">
        <v>420</v>
      </c>
      <c r="KI55">
        <v>67.7987</v>
      </c>
      <c r="KJ55">
        <v>93.5098</v>
      </c>
      <c r="KK55">
        <v>90.4641</v>
      </c>
    </row>
    <row r="56" spans="1:297">
      <c r="A56">
        <v>40</v>
      </c>
      <c r="B56">
        <v>1762392059.1</v>
      </c>
      <c r="C56">
        <v>5114.09999990463</v>
      </c>
      <c r="D56" t="s">
        <v>590</v>
      </c>
      <c r="E56" t="s">
        <v>591</v>
      </c>
      <c r="F56">
        <v>5</v>
      </c>
      <c r="G56" t="s">
        <v>557</v>
      </c>
      <c r="H56" t="s">
        <v>436</v>
      </c>
      <c r="I56">
        <v>1762392055.6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430.249826390151</v>
      </c>
      <c r="AK56">
        <v>441.695</v>
      </c>
      <c r="AL56">
        <v>0.133249909819736</v>
      </c>
      <c r="AM56">
        <v>64.2100372477511</v>
      </c>
      <c r="AN56">
        <f>(AP56 - AO56 + DY56*1E3/(8.314*(EA56+273.15)) * AR56/DX56 * AQ56) * DX56/(100*DL56) * 1000/(1000 - AP56)</f>
        <v>0</v>
      </c>
      <c r="AO56">
        <v>21.250288811783</v>
      </c>
      <c r="AP56">
        <v>46.0224527272727</v>
      </c>
      <c r="AQ56">
        <v>0.000271282706311894</v>
      </c>
      <c r="AR56">
        <v>97.4616165551684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592</v>
      </c>
      <c r="AY56">
        <v>5087.33</v>
      </c>
      <c r="AZ56">
        <v>1381.54</v>
      </c>
      <c r="BA56">
        <v>1615.57</v>
      </c>
      <c r="BB56">
        <f>1-AZ56/BA56</f>
        <v>0</v>
      </c>
      <c r="BC56">
        <v>-9.80481250773812</v>
      </c>
      <c r="BD56" t="s">
        <v>477</v>
      </c>
      <c r="BE56" t="s">
        <v>477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477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513</v>
      </c>
      <c r="CA56">
        <v>290</v>
      </c>
      <c r="CB56">
        <v>1615.57</v>
      </c>
      <c r="CC56">
        <v>295</v>
      </c>
      <c r="CD56">
        <v>5087.33</v>
      </c>
      <c r="CE56">
        <v>1618.3</v>
      </c>
      <c r="CF56">
        <v>-2.73</v>
      </c>
      <c r="CG56">
        <v>300</v>
      </c>
      <c r="CH56">
        <v>23.9</v>
      </c>
      <c r="CI56">
        <v>1608.05410243098</v>
      </c>
      <c r="CJ56">
        <v>1.82863064856788</v>
      </c>
      <c r="CK56">
        <v>5.21310546065582</v>
      </c>
      <c r="CL56">
        <v>0.806019761243105</v>
      </c>
      <c r="CM56">
        <v>0.599033826313598</v>
      </c>
      <c r="CN56">
        <v>-0.00420603937708565</v>
      </c>
      <c r="CO56">
        <v>290</v>
      </c>
      <c r="CP56">
        <v>1624.74</v>
      </c>
      <c r="CQ56">
        <v>655</v>
      </c>
      <c r="CR56">
        <v>5084.93</v>
      </c>
      <c r="CS56">
        <v>1618.31</v>
      </c>
      <c r="CT56">
        <v>6.43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1762392055.6</v>
      </c>
      <c r="DR56">
        <v>421.040833333333</v>
      </c>
      <c r="DS56">
        <v>420.983166666667</v>
      </c>
      <c r="DT56">
        <v>46.0133333333333</v>
      </c>
      <c r="DU56">
        <v>21.2496833333333</v>
      </c>
      <c r="DV56">
        <v>417.9395</v>
      </c>
      <c r="DW56">
        <v>45.8505833333333</v>
      </c>
      <c r="DX56">
        <v>500.074166666667</v>
      </c>
      <c r="DY56">
        <v>90.8889166666667</v>
      </c>
      <c r="DZ56">
        <v>0.0999589666666667</v>
      </c>
      <c r="EA56">
        <v>52.5542833333333</v>
      </c>
      <c r="EB56">
        <v>48.0059833333333</v>
      </c>
      <c r="EC56">
        <v>999.9</v>
      </c>
      <c r="ED56">
        <v>0</v>
      </c>
      <c r="EE56">
        <v>0</v>
      </c>
      <c r="EF56">
        <v>10001.3466666667</v>
      </c>
      <c r="EG56">
        <v>0</v>
      </c>
      <c r="EH56">
        <v>1222.08666666667</v>
      </c>
      <c r="EI56">
        <v>0.05759175</v>
      </c>
      <c r="EJ56">
        <v>441.348666666667</v>
      </c>
      <c r="EK56">
        <v>430.123166666667</v>
      </c>
      <c r="EL56">
        <v>24.7636666666667</v>
      </c>
      <c r="EM56">
        <v>420.983166666667</v>
      </c>
      <c r="EN56">
        <v>21.2496833333333</v>
      </c>
      <c r="EO56">
        <v>4.182105</v>
      </c>
      <c r="EP56">
        <v>1.93136</v>
      </c>
      <c r="EQ56">
        <v>29.67725</v>
      </c>
      <c r="ER56">
        <v>16.89255</v>
      </c>
      <c r="ES56">
        <v>0.00500059</v>
      </c>
      <c r="ET56">
        <v>0</v>
      </c>
      <c r="EU56">
        <v>0</v>
      </c>
      <c r="EV56">
        <v>0</v>
      </c>
      <c r="EW56">
        <v>1382.4</v>
      </c>
      <c r="EX56">
        <v>0.00500059</v>
      </c>
      <c r="EY56">
        <v>249.666666666667</v>
      </c>
      <c r="EZ56">
        <v>3.41666666666667</v>
      </c>
      <c r="FA56">
        <v>55.812</v>
      </c>
      <c r="FB56">
        <v>58.3956666666667</v>
      </c>
      <c r="FC56">
        <v>56.8645</v>
      </c>
      <c r="FD56">
        <v>58.479</v>
      </c>
      <c r="FE56">
        <v>58.156</v>
      </c>
      <c r="FF56">
        <v>0</v>
      </c>
      <c r="FG56">
        <v>0</v>
      </c>
      <c r="FH56">
        <v>0</v>
      </c>
      <c r="FI56">
        <v>138.400000095367</v>
      </c>
      <c r="FJ56">
        <v>0</v>
      </c>
      <c r="FK56">
        <v>1381.54</v>
      </c>
      <c r="FL56">
        <v>26.7846156640338</v>
      </c>
      <c r="FM56">
        <v>-8.78461527462461</v>
      </c>
      <c r="FN56">
        <v>251.952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0.44778291</v>
      </c>
      <c r="GD56">
        <v>-0.725537278195487</v>
      </c>
      <c r="GE56">
        <v>0.516176476307792</v>
      </c>
      <c r="GF56">
        <v>0</v>
      </c>
      <c r="GG56">
        <v>1381.62941176471</v>
      </c>
      <c r="GH56">
        <v>13.7051185677768</v>
      </c>
      <c r="GI56">
        <v>6.50784727268301</v>
      </c>
      <c r="GJ56">
        <v>-1</v>
      </c>
      <c r="GK56">
        <v>24.773085</v>
      </c>
      <c r="GL56">
        <v>-0.0967172932330632</v>
      </c>
      <c r="GM56">
        <v>0.0107619828563326</v>
      </c>
      <c r="GN56">
        <v>1</v>
      </c>
      <c r="GO56">
        <v>1</v>
      </c>
      <c r="GP56">
        <v>2</v>
      </c>
      <c r="GQ56" t="s">
        <v>454</v>
      </c>
      <c r="GR56">
        <v>3.12703</v>
      </c>
      <c r="GS56">
        <v>2.77811</v>
      </c>
      <c r="GT56">
        <v>0.0856748</v>
      </c>
      <c r="GU56">
        <v>0.0859855</v>
      </c>
      <c r="GV56">
        <v>0.156877</v>
      </c>
      <c r="GW56">
        <v>0.0911616</v>
      </c>
      <c r="GX56">
        <v>33114.2</v>
      </c>
      <c r="GY56">
        <v>35121</v>
      </c>
      <c r="GZ56">
        <v>32874</v>
      </c>
      <c r="HA56">
        <v>34899</v>
      </c>
      <c r="HB56">
        <v>39575.2</v>
      </c>
      <c r="HC56">
        <v>45644</v>
      </c>
      <c r="HD56">
        <v>51552.4</v>
      </c>
      <c r="HE56">
        <v>55886.1</v>
      </c>
      <c r="HF56">
        <v>1.7328</v>
      </c>
      <c r="HG56">
        <v>2.0489</v>
      </c>
      <c r="HH56">
        <v>-0.0204816</v>
      </c>
      <c r="HI56">
        <v>0</v>
      </c>
      <c r="HJ56">
        <v>48.3251</v>
      </c>
      <c r="HK56">
        <v>999.9</v>
      </c>
      <c r="HL56">
        <v>55.628</v>
      </c>
      <c r="HM56">
        <v>27.845</v>
      </c>
      <c r="HN56">
        <v>23.0178</v>
      </c>
      <c r="HO56">
        <v>59.2351</v>
      </c>
      <c r="HP56">
        <v>32.9487</v>
      </c>
      <c r="HQ56">
        <v>2</v>
      </c>
      <c r="HR56">
        <v>1.85995</v>
      </c>
      <c r="HS56">
        <v>-3.54094</v>
      </c>
      <c r="HT56">
        <v>20.1028</v>
      </c>
      <c r="HU56">
        <v>5.18734</v>
      </c>
      <c r="HV56">
        <v>12.0159</v>
      </c>
      <c r="HW56">
        <v>4.9715</v>
      </c>
      <c r="HX56">
        <v>3.295</v>
      </c>
      <c r="HY56">
        <v>999.9</v>
      </c>
      <c r="HZ56">
        <v>9999</v>
      </c>
      <c r="IA56">
        <v>9999</v>
      </c>
      <c r="IB56">
        <v>9999</v>
      </c>
      <c r="IC56">
        <v>1.86313</v>
      </c>
      <c r="ID56">
        <v>1.86813</v>
      </c>
      <c r="IE56">
        <v>1.86783</v>
      </c>
      <c r="IF56">
        <v>1.86903</v>
      </c>
      <c r="IG56">
        <v>1.86981</v>
      </c>
      <c r="IH56">
        <v>1.86588</v>
      </c>
      <c r="II56">
        <v>1.86702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3.103</v>
      </c>
      <c r="IY56">
        <v>0.1627</v>
      </c>
      <c r="IZ56">
        <v>1.12264184085783</v>
      </c>
      <c r="JA56">
        <v>0.00531519531824411</v>
      </c>
      <c r="JB56">
        <v>-1.58401274662554e-06</v>
      </c>
      <c r="JC56">
        <v>4.65529057017795e-10</v>
      </c>
      <c r="JD56">
        <v>0.162735096694976</v>
      </c>
      <c r="JE56">
        <v>0</v>
      </c>
      <c r="JF56">
        <v>0</v>
      </c>
      <c r="JG56">
        <v>0</v>
      </c>
      <c r="JH56">
        <v>4</v>
      </c>
      <c r="JI56">
        <v>2305</v>
      </c>
      <c r="JJ56">
        <v>-0</v>
      </c>
      <c r="JK56">
        <v>23</v>
      </c>
      <c r="JL56">
        <v>29373201</v>
      </c>
      <c r="JM56">
        <v>29373201</v>
      </c>
      <c r="JN56">
        <v>1.11694</v>
      </c>
      <c r="JO56">
        <v>2.60986</v>
      </c>
      <c r="JP56">
        <v>2.19849</v>
      </c>
      <c r="JQ56">
        <v>2.64038</v>
      </c>
      <c r="JR56">
        <v>2.44507</v>
      </c>
      <c r="JS56">
        <v>2.31445</v>
      </c>
      <c r="JT56">
        <v>32.3328</v>
      </c>
      <c r="JU56">
        <v>24.1926</v>
      </c>
      <c r="JV56">
        <v>18</v>
      </c>
      <c r="JW56">
        <v>502.135</v>
      </c>
      <c r="JX56">
        <v>763.12</v>
      </c>
      <c r="JY56">
        <v>57.7</v>
      </c>
      <c r="JZ56">
        <v>48.9192</v>
      </c>
      <c r="KA56">
        <v>29.9996</v>
      </c>
      <c r="KB56">
        <v>48.56</v>
      </c>
      <c r="KC56">
        <v>48.3683</v>
      </c>
      <c r="KD56">
        <v>22.3714</v>
      </c>
      <c r="KE56">
        <v>0</v>
      </c>
      <c r="KF56">
        <v>100</v>
      </c>
      <c r="KG56">
        <v>57.6994</v>
      </c>
      <c r="KH56">
        <v>420</v>
      </c>
      <c r="KI56">
        <v>67.7987</v>
      </c>
      <c r="KJ56">
        <v>93.5204</v>
      </c>
      <c r="KK56">
        <v>90.4793</v>
      </c>
    </row>
    <row r="57" spans="1:297">
      <c r="A57">
        <v>41</v>
      </c>
      <c r="B57">
        <v>1762392599</v>
      </c>
      <c r="C57">
        <v>5654</v>
      </c>
      <c r="D57" t="s">
        <v>593</v>
      </c>
      <c r="E57" t="s">
        <v>594</v>
      </c>
      <c r="F57">
        <v>5</v>
      </c>
      <c r="G57" t="s">
        <v>595</v>
      </c>
      <c r="H57" t="s">
        <v>436</v>
      </c>
      <c r="I57">
        <v>1762392595.5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429.471630802406</v>
      </c>
      <c r="AK57">
        <v>438.652127272727</v>
      </c>
      <c r="AL57">
        <v>0.0639298767146602</v>
      </c>
      <c r="AM57">
        <v>64.0971715371779</v>
      </c>
      <c r="AN57">
        <f>(AP57 - AO57 + DY57*1E3/(8.314*(EA57+273.15)) * AR57/DX57 * AQ57) * DX57/(100*DL57) * 1000/(1000 - AP57)</f>
        <v>0</v>
      </c>
      <c r="AO57">
        <v>21.3192437918678</v>
      </c>
      <c r="AP57">
        <v>32.6741612121212</v>
      </c>
      <c r="AQ57">
        <v>-0.0138681312592725</v>
      </c>
      <c r="AR57">
        <v>97.6138108198519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592</v>
      </c>
      <c r="AY57">
        <v>5087.33</v>
      </c>
      <c r="AZ57">
        <v>1381.54</v>
      </c>
      <c r="BA57">
        <v>1615.57</v>
      </c>
      <c r="BB57">
        <f>1-AZ57/BA57</f>
        <v>0</v>
      </c>
      <c r="BC57">
        <v>-9.80481250773812</v>
      </c>
      <c r="BD57" t="s">
        <v>596</v>
      </c>
      <c r="BE57">
        <v>5153.04</v>
      </c>
      <c r="BF57">
        <v>1787.47961538462</v>
      </c>
      <c r="BG57">
        <v>1804.70611710515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597</v>
      </c>
      <c r="BQ57">
        <v>1580.53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514</v>
      </c>
      <c r="CA57">
        <v>290</v>
      </c>
      <c r="CB57">
        <v>1791.12</v>
      </c>
      <c r="CC57">
        <v>215</v>
      </c>
      <c r="CD57">
        <v>5153.04</v>
      </c>
      <c r="CE57">
        <v>1790.82</v>
      </c>
      <c r="CF57">
        <v>0.3</v>
      </c>
      <c r="CG57">
        <v>300</v>
      </c>
      <c r="CH57">
        <v>23.6</v>
      </c>
      <c r="CI57">
        <v>1804.70611710515</v>
      </c>
      <c r="CJ57">
        <v>2.74099763001665</v>
      </c>
      <c r="CK57">
        <v>-7.1542448329013</v>
      </c>
      <c r="CL57">
        <v>1.30133376866118</v>
      </c>
      <c r="CM57">
        <v>0.519097651267661</v>
      </c>
      <c r="CN57">
        <v>-0.00257494571746385</v>
      </c>
      <c r="CO57">
        <v>290</v>
      </c>
      <c r="CP57">
        <v>1789.02</v>
      </c>
      <c r="CQ57">
        <v>645</v>
      </c>
      <c r="CR57">
        <v>5150.36</v>
      </c>
      <c r="CS57">
        <v>1790.82</v>
      </c>
      <c r="CT57">
        <v>-1.8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1762392595.5</v>
      </c>
      <c r="DR57">
        <v>424.136333333333</v>
      </c>
      <c r="DS57">
        <v>420.435333333333</v>
      </c>
      <c r="DT57">
        <v>32.709</v>
      </c>
      <c r="DU57">
        <v>21.3192666666667</v>
      </c>
      <c r="DV57">
        <v>421.021666666667</v>
      </c>
      <c r="DW57">
        <v>32.5462666666667</v>
      </c>
      <c r="DX57">
        <v>499.974166666667</v>
      </c>
      <c r="DY57">
        <v>90.8908333333333</v>
      </c>
      <c r="DZ57">
        <v>0.0999861666666667</v>
      </c>
      <c r="EA57">
        <v>49.3356</v>
      </c>
      <c r="EB57">
        <v>47.89715</v>
      </c>
      <c r="EC57">
        <v>999.9</v>
      </c>
      <c r="ED57">
        <v>0</v>
      </c>
      <c r="EE57">
        <v>0</v>
      </c>
      <c r="EF57">
        <v>9992.50833333333</v>
      </c>
      <c r="EG57">
        <v>0</v>
      </c>
      <c r="EH57">
        <v>1225.215</v>
      </c>
      <c r="EI57">
        <v>3.70083666666667</v>
      </c>
      <c r="EJ57">
        <v>438.478333333333</v>
      </c>
      <c r="EK57">
        <v>429.593833333333</v>
      </c>
      <c r="EL57">
        <v>11.3897333333333</v>
      </c>
      <c r="EM57">
        <v>420.435333333333</v>
      </c>
      <c r="EN57">
        <v>21.3192666666667</v>
      </c>
      <c r="EO57">
        <v>2.97294833333333</v>
      </c>
      <c r="EP57">
        <v>1.93772666666667</v>
      </c>
      <c r="EQ57">
        <v>23.8771833333333</v>
      </c>
      <c r="ER57">
        <v>16.94445</v>
      </c>
      <c r="ES57">
        <v>1999.95</v>
      </c>
      <c r="ET57">
        <v>0.979994</v>
      </c>
      <c r="EU57">
        <v>0.02000585</v>
      </c>
      <c r="EV57">
        <v>0</v>
      </c>
      <c r="EW57">
        <v>1786.70666666667</v>
      </c>
      <c r="EX57">
        <v>5.00059</v>
      </c>
      <c r="EY57">
        <v>37029.5</v>
      </c>
      <c r="EZ57">
        <v>17359.8666666667</v>
      </c>
      <c r="FA57">
        <v>55.5206666666667</v>
      </c>
      <c r="FB57">
        <v>56.562</v>
      </c>
      <c r="FC57">
        <v>55.125</v>
      </c>
      <c r="FD57">
        <v>56.75</v>
      </c>
      <c r="FE57">
        <v>57.1145</v>
      </c>
      <c r="FF57">
        <v>1955.04</v>
      </c>
      <c r="FG57">
        <v>39.91</v>
      </c>
      <c r="FH57">
        <v>0</v>
      </c>
      <c r="FI57">
        <v>538.799999952316</v>
      </c>
      <c r="FJ57">
        <v>0</v>
      </c>
      <c r="FK57">
        <v>1787.47961538462</v>
      </c>
      <c r="FL57">
        <v>-9.82871792668151</v>
      </c>
      <c r="FM57">
        <v>-104.724786033571</v>
      </c>
      <c r="FN57">
        <v>37036.5307692308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4.06447380952381</v>
      </c>
      <c r="GD57">
        <v>0.442584155844161</v>
      </c>
      <c r="GE57">
        <v>0.512215582184988</v>
      </c>
      <c r="GF57">
        <v>1</v>
      </c>
      <c r="GG57">
        <v>1788.03852941176</v>
      </c>
      <c r="GH57">
        <v>-9.25637891704047</v>
      </c>
      <c r="GI57">
        <v>0.957085441981333</v>
      </c>
      <c r="GJ57">
        <v>-1</v>
      </c>
      <c r="GK57">
        <v>11.5201333333333</v>
      </c>
      <c r="GL57">
        <v>-0.914493506493506</v>
      </c>
      <c r="GM57">
        <v>0.0923229029694062</v>
      </c>
      <c r="GN57">
        <v>0</v>
      </c>
      <c r="GO57">
        <v>1</v>
      </c>
      <c r="GP57">
        <v>2</v>
      </c>
      <c r="GQ57" t="s">
        <v>454</v>
      </c>
      <c r="GR57">
        <v>3.12692</v>
      </c>
      <c r="GS57">
        <v>2.77784</v>
      </c>
      <c r="GT57">
        <v>0.0861068</v>
      </c>
      <c r="GU57">
        <v>0.0860252</v>
      </c>
      <c r="GV57">
        <v>0.123914</v>
      </c>
      <c r="GW57">
        <v>0.0914131</v>
      </c>
      <c r="GX57">
        <v>33095.8</v>
      </c>
      <c r="GY57">
        <v>35115.4</v>
      </c>
      <c r="GZ57">
        <v>32871.6</v>
      </c>
      <c r="HA57">
        <v>34894.6</v>
      </c>
      <c r="HB57">
        <v>41019.5</v>
      </c>
      <c r="HC57">
        <v>45625.7</v>
      </c>
      <c r="HD57">
        <v>51548.8</v>
      </c>
      <c r="HE57">
        <v>55878.8</v>
      </c>
      <c r="HF57">
        <v>1.72333</v>
      </c>
      <c r="HG57">
        <v>2.05415</v>
      </c>
      <c r="HH57">
        <v>0.0614002</v>
      </c>
      <c r="HI57">
        <v>0</v>
      </c>
      <c r="HJ57">
        <v>46.8206</v>
      </c>
      <c r="HK57">
        <v>999.9</v>
      </c>
      <c r="HL57">
        <v>55.701</v>
      </c>
      <c r="HM57">
        <v>27.885</v>
      </c>
      <c r="HN57">
        <v>23.1015</v>
      </c>
      <c r="HO57">
        <v>59.8352</v>
      </c>
      <c r="HP57">
        <v>32.6963</v>
      </c>
      <c r="HQ57">
        <v>2</v>
      </c>
      <c r="HR57">
        <v>1.91795</v>
      </c>
      <c r="HS57">
        <v>6.20806</v>
      </c>
      <c r="HT57">
        <v>19.9246</v>
      </c>
      <c r="HU57">
        <v>5.19033</v>
      </c>
      <c r="HV57">
        <v>12.0156</v>
      </c>
      <c r="HW57">
        <v>4.97115</v>
      </c>
      <c r="HX57">
        <v>3.295</v>
      </c>
      <c r="HY57">
        <v>999.9</v>
      </c>
      <c r="HZ57">
        <v>9999</v>
      </c>
      <c r="IA57">
        <v>9999</v>
      </c>
      <c r="IB57">
        <v>9999</v>
      </c>
      <c r="IC57">
        <v>1.8631</v>
      </c>
      <c r="ID57">
        <v>1.8681</v>
      </c>
      <c r="IE57">
        <v>1.86783</v>
      </c>
      <c r="IF57">
        <v>1.86895</v>
      </c>
      <c r="IG57">
        <v>1.86981</v>
      </c>
      <c r="IH57">
        <v>1.86584</v>
      </c>
      <c r="II57">
        <v>1.867</v>
      </c>
      <c r="IJ57">
        <v>1.86842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3.116</v>
      </c>
      <c r="IY57">
        <v>0.1627</v>
      </c>
      <c r="IZ57">
        <v>1.12264184085783</v>
      </c>
      <c r="JA57">
        <v>0.00531519531824411</v>
      </c>
      <c r="JB57">
        <v>-1.58401274662554e-06</v>
      </c>
      <c r="JC57">
        <v>4.65529057017795e-10</v>
      </c>
      <c r="JD57">
        <v>0.162735096694976</v>
      </c>
      <c r="JE57">
        <v>0</v>
      </c>
      <c r="JF57">
        <v>0</v>
      </c>
      <c r="JG57">
        <v>0</v>
      </c>
      <c r="JH57">
        <v>4</v>
      </c>
      <c r="JI57">
        <v>2305</v>
      </c>
      <c r="JJ57">
        <v>-0</v>
      </c>
      <c r="JK57">
        <v>23</v>
      </c>
      <c r="JL57">
        <v>29373210</v>
      </c>
      <c r="JM57">
        <v>29373210</v>
      </c>
      <c r="JN57">
        <v>1.11694</v>
      </c>
      <c r="JO57">
        <v>2.60498</v>
      </c>
      <c r="JP57">
        <v>2.19849</v>
      </c>
      <c r="JQ57">
        <v>2.64038</v>
      </c>
      <c r="JR57">
        <v>2.44629</v>
      </c>
      <c r="JS57">
        <v>2.3291</v>
      </c>
      <c r="JT57">
        <v>32.4212</v>
      </c>
      <c r="JU57">
        <v>24.1488</v>
      </c>
      <c r="JV57">
        <v>18</v>
      </c>
      <c r="JW57">
        <v>494.114</v>
      </c>
      <c r="JX57">
        <v>766.288</v>
      </c>
      <c r="JY57">
        <v>40.6943</v>
      </c>
      <c r="JZ57">
        <v>48.8738</v>
      </c>
      <c r="KA57">
        <v>29.9996</v>
      </c>
      <c r="KB57">
        <v>48.3811</v>
      </c>
      <c r="KC57">
        <v>48.1642</v>
      </c>
      <c r="KD57">
        <v>22.3911</v>
      </c>
      <c r="KE57">
        <v>0</v>
      </c>
      <c r="KF57">
        <v>100</v>
      </c>
      <c r="KG57">
        <v>46.7272</v>
      </c>
      <c r="KH57">
        <v>420</v>
      </c>
      <c r="KI57">
        <v>67.7987</v>
      </c>
      <c r="KJ57">
        <v>93.5137</v>
      </c>
      <c r="KK57">
        <v>90.4677</v>
      </c>
    </row>
    <row r="58" spans="1:297">
      <c r="A58">
        <v>42</v>
      </c>
      <c r="B58">
        <v>1762392699</v>
      </c>
      <c r="C58">
        <v>5754</v>
      </c>
      <c r="D58" t="s">
        <v>598</v>
      </c>
      <c r="E58" t="s">
        <v>599</v>
      </c>
      <c r="F58">
        <v>5</v>
      </c>
      <c r="G58" t="s">
        <v>595</v>
      </c>
      <c r="H58" t="s">
        <v>436</v>
      </c>
      <c r="I58">
        <v>1762392695.5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429.327547708003</v>
      </c>
      <c r="AK58">
        <v>437.713981818182</v>
      </c>
      <c r="AL58">
        <v>0.00776512443090576</v>
      </c>
      <c r="AM58">
        <v>64.0971715371779</v>
      </c>
      <c r="AN58">
        <f>(AP58 - AO58 + DY58*1E3/(8.314*(EA58+273.15)) * AR58/DX58 * AQ58) * DX58/(100*DL58) * 1000/(1000 - AP58)</f>
        <v>0</v>
      </c>
      <c r="AO58">
        <v>21.3253575408472</v>
      </c>
      <c r="AP58">
        <v>32.5927812121212</v>
      </c>
      <c r="AQ58">
        <v>0.00644369494131849</v>
      </c>
      <c r="AR58">
        <v>97.6138108198519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592</v>
      </c>
      <c r="AY58">
        <v>5087.33</v>
      </c>
      <c r="AZ58">
        <v>1381.54</v>
      </c>
      <c r="BA58">
        <v>1615.57</v>
      </c>
      <c r="BB58">
        <f>1-AZ58/BA58</f>
        <v>0</v>
      </c>
      <c r="BC58">
        <v>-9.80481250773812</v>
      </c>
      <c r="BD58" t="s">
        <v>600</v>
      </c>
      <c r="BE58">
        <v>5151.44</v>
      </c>
      <c r="BF58">
        <v>1750.4912</v>
      </c>
      <c r="BG58">
        <v>1761.24507356527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601</v>
      </c>
      <c r="BQ58">
        <v>1561.33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516</v>
      </c>
      <c r="CA58">
        <v>290</v>
      </c>
      <c r="CB58">
        <v>1754.65</v>
      </c>
      <c r="CC58">
        <v>275</v>
      </c>
      <c r="CD58">
        <v>5151.44</v>
      </c>
      <c r="CE58">
        <v>1754.17</v>
      </c>
      <c r="CF58">
        <v>0.48</v>
      </c>
      <c r="CG58">
        <v>300</v>
      </c>
      <c r="CH58">
        <v>23.7</v>
      </c>
      <c r="CI58">
        <v>1761.24507356527</v>
      </c>
      <c r="CJ58">
        <v>2.86288768275594</v>
      </c>
      <c r="CK58">
        <v>-3.64468596665891</v>
      </c>
      <c r="CL58">
        <v>1.35110727365135</v>
      </c>
      <c r="CM58">
        <v>0.206277263752808</v>
      </c>
      <c r="CN58">
        <v>-0.00274330033370412</v>
      </c>
      <c r="CO58">
        <v>290</v>
      </c>
      <c r="CP58">
        <v>1752.86</v>
      </c>
      <c r="CQ58">
        <v>655</v>
      </c>
      <c r="CR58">
        <v>5149.5</v>
      </c>
      <c r="CS58">
        <v>1754.17</v>
      </c>
      <c r="CT58">
        <v>-1.31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1762392695.5</v>
      </c>
      <c r="DR58">
        <v>423.416333333333</v>
      </c>
      <c r="DS58">
        <v>420.093833333333</v>
      </c>
      <c r="DT58">
        <v>32.5766333333333</v>
      </c>
      <c r="DU58">
        <v>21.3255</v>
      </c>
      <c r="DV58">
        <v>420.305166666667</v>
      </c>
      <c r="DW58">
        <v>32.4139333333333</v>
      </c>
      <c r="DX58">
        <v>500.0165</v>
      </c>
      <c r="DY58">
        <v>90.8906166666666</v>
      </c>
      <c r="DZ58">
        <v>0.100024533333333</v>
      </c>
      <c r="EA58">
        <v>49.13855</v>
      </c>
      <c r="EB58">
        <v>47.63655</v>
      </c>
      <c r="EC58">
        <v>999.9</v>
      </c>
      <c r="ED58">
        <v>0</v>
      </c>
      <c r="EE58">
        <v>0</v>
      </c>
      <c r="EF58">
        <v>9996.46666666667</v>
      </c>
      <c r="EG58">
        <v>0</v>
      </c>
      <c r="EH58">
        <v>1225.39666666667</v>
      </c>
      <c r="EI58">
        <v>3.32240333333333</v>
      </c>
      <c r="EJ58">
        <v>437.6745</v>
      </c>
      <c r="EK58">
        <v>429.248</v>
      </c>
      <c r="EL58">
        <v>11.2511666666667</v>
      </c>
      <c r="EM58">
        <v>420.093833333333</v>
      </c>
      <c r="EN58">
        <v>21.3255</v>
      </c>
      <c r="EO58">
        <v>2.96091</v>
      </c>
      <c r="EP58">
        <v>1.93828666666667</v>
      </c>
      <c r="EQ58">
        <v>23.8097166666667</v>
      </c>
      <c r="ER58">
        <v>16.9490166666667</v>
      </c>
      <c r="ES58">
        <v>1799.99333333333</v>
      </c>
      <c r="ET58">
        <v>0.978003</v>
      </c>
      <c r="EU58">
        <v>0.0219971</v>
      </c>
      <c r="EV58">
        <v>0</v>
      </c>
      <c r="EW58">
        <v>1748.54666666667</v>
      </c>
      <c r="EX58">
        <v>5.00059</v>
      </c>
      <c r="EY58">
        <v>32700.0333333333</v>
      </c>
      <c r="EZ58">
        <v>15610.6333333333</v>
      </c>
      <c r="FA58">
        <v>56.406</v>
      </c>
      <c r="FB58">
        <v>56.937</v>
      </c>
      <c r="FC58">
        <v>55.833</v>
      </c>
      <c r="FD58">
        <v>57</v>
      </c>
      <c r="FE58">
        <v>57.812</v>
      </c>
      <c r="FF58">
        <v>1755.51</v>
      </c>
      <c r="FG58">
        <v>39.48</v>
      </c>
      <c r="FH58">
        <v>0</v>
      </c>
      <c r="FI58">
        <v>97</v>
      </c>
      <c r="FJ58">
        <v>0</v>
      </c>
      <c r="FK58">
        <v>1750.4912</v>
      </c>
      <c r="FL58">
        <v>-28.5446154243634</v>
      </c>
      <c r="FM58">
        <v>-491.461539197125</v>
      </c>
      <c r="FN58">
        <v>32731.808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3.198804</v>
      </c>
      <c r="GD58">
        <v>1.47378315789473</v>
      </c>
      <c r="GE58">
        <v>0.268825576153014</v>
      </c>
      <c r="GF58">
        <v>0</v>
      </c>
      <c r="GG58">
        <v>1752.18911764706</v>
      </c>
      <c r="GH58">
        <v>-29.8522536331115</v>
      </c>
      <c r="GI58">
        <v>2.94590180704439</v>
      </c>
      <c r="GJ58">
        <v>-1</v>
      </c>
      <c r="GK58">
        <v>11.1971</v>
      </c>
      <c r="GL58">
        <v>0.448890225563945</v>
      </c>
      <c r="GM58">
        <v>0.0432037035449509</v>
      </c>
      <c r="GN58">
        <v>0</v>
      </c>
      <c r="GO58">
        <v>0</v>
      </c>
      <c r="GP58">
        <v>2</v>
      </c>
      <c r="GQ58" t="s">
        <v>442</v>
      </c>
      <c r="GR58">
        <v>3.12705</v>
      </c>
      <c r="GS58">
        <v>2.77808</v>
      </c>
      <c r="GT58">
        <v>0.0859212</v>
      </c>
      <c r="GU58">
        <v>0.0859012</v>
      </c>
      <c r="GV58">
        <v>0.123748</v>
      </c>
      <c r="GW58">
        <v>0.0914216</v>
      </c>
      <c r="GX58">
        <v>33098.3</v>
      </c>
      <c r="GY58">
        <v>35115.5</v>
      </c>
      <c r="GZ58">
        <v>32867.8</v>
      </c>
      <c r="HA58">
        <v>34890.4</v>
      </c>
      <c r="HB58">
        <v>41023.3</v>
      </c>
      <c r="HC58">
        <v>45620.3</v>
      </c>
      <c r="HD58">
        <v>51543.6</v>
      </c>
      <c r="HE58">
        <v>55872.7</v>
      </c>
      <c r="HF58">
        <v>1.72362</v>
      </c>
      <c r="HG58">
        <v>2.05372</v>
      </c>
      <c r="HH58">
        <v>0.0995249</v>
      </c>
      <c r="HI58">
        <v>0</v>
      </c>
      <c r="HJ58">
        <v>46.0982</v>
      </c>
      <c r="HK58">
        <v>999.9</v>
      </c>
      <c r="HL58">
        <v>55.701</v>
      </c>
      <c r="HM58">
        <v>27.906</v>
      </c>
      <c r="HN58">
        <v>23.1291</v>
      </c>
      <c r="HO58">
        <v>59.6751</v>
      </c>
      <c r="HP58">
        <v>32.6763</v>
      </c>
      <c r="HQ58">
        <v>2</v>
      </c>
      <c r="HR58">
        <v>1.86978</v>
      </c>
      <c r="HS58">
        <v>-2.92133</v>
      </c>
      <c r="HT58">
        <v>20.0914</v>
      </c>
      <c r="HU58">
        <v>5.19108</v>
      </c>
      <c r="HV58">
        <v>12.0107</v>
      </c>
      <c r="HW58">
        <v>4.9712</v>
      </c>
      <c r="HX58">
        <v>3.295</v>
      </c>
      <c r="HY58">
        <v>999.9</v>
      </c>
      <c r="HZ58">
        <v>9999</v>
      </c>
      <c r="IA58">
        <v>9999</v>
      </c>
      <c r="IB58">
        <v>9999</v>
      </c>
      <c r="IC58">
        <v>1.86313</v>
      </c>
      <c r="ID58">
        <v>1.86813</v>
      </c>
      <c r="IE58">
        <v>1.86784</v>
      </c>
      <c r="IF58">
        <v>1.86899</v>
      </c>
      <c r="IG58">
        <v>1.86981</v>
      </c>
      <c r="IH58">
        <v>1.86585</v>
      </c>
      <c r="II58">
        <v>1.86704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3.111</v>
      </c>
      <c r="IY58">
        <v>0.1628</v>
      </c>
      <c r="IZ58">
        <v>1.12264184085783</v>
      </c>
      <c r="JA58">
        <v>0.00531519531824411</v>
      </c>
      <c r="JB58">
        <v>-1.58401274662554e-06</v>
      </c>
      <c r="JC58">
        <v>4.65529057017795e-10</v>
      </c>
      <c r="JD58">
        <v>0.162735096694976</v>
      </c>
      <c r="JE58">
        <v>0</v>
      </c>
      <c r="JF58">
        <v>0</v>
      </c>
      <c r="JG58">
        <v>0</v>
      </c>
      <c r="JH58">
        <v>4</v>
      </c>
      <c r="JI58">
        <v>2305</v>
      </c>
      <c r="JJ58">
        <v>-0</v>
      </c>
      <c r="JK58">
        <v>23</v>
      </c>
      <c r="JL58">
        <v>29373211.6</v>
      </c>
      <c r="JM58">
        <v>29373211.6</v>
      </c>
      <c r="JN58">
        <v>1.11938</v>
      </c>
      <c r="JO58">
        <v>2.6123</v>
      </c>
      <c r="JP58">
        <v>2.19849</v>
      </c>
      <c r="JQ58">
        <v>2.63916</v>
      </c>
      <c r="JR58">
        <v>2.44507</v>
      </c>
      <c r="JS58">
        <v>2.27173</v>
      </c>
      <c r="JT58">
        <v>32.4654</v>
      </c>
      <c r="JU58">
        <v>24.1663</v>
      </c>
      <c r="JV58">
        <v>18</v>
      </c>
      <c r="JW58">
        <v>494.537</v>
      </c>
      <c r="JX58">
        <v>766.125</v>
      </c>
      <c r="JY58">
        <v>51.1702</v>
      </c>
      <c r="JZ58">
        <v>48.942</v>
      </c>
      <c r="KA58">
        <v>30.0002</v>
      </c>
      <c r="KB58">
        <v>48.4144</v>
      </c>
      <c r="KC58">
        <v>48.1902</v>
      </c>
      <c r="KD58">
        <v>22.4355</v>
      </c>
      <c r="KE58">
        <v>0</v>
      </c>
      <c r="KF58">
        <v>100</v>
      </c>
      <c r="KG58">
        <v>51.3008</v>
      </c>
      <c r="KH58">
        <v>420</v>
      </c>
      <c r="KI58">
        <v>67.7987</v>
      </c>
      <c r="KJ58">
        <v>93.5037</v>
      </c>
      <c r="KK58">
        <v>90.4573</v>
      </c>
    </row>
    <row r="59" spans="1:297">
      <c r="A59">
        <v>43</v>
      </c>
      <c r="B59">
        <v>1762392800</v>
      </c>
      <c r="C59">
        <v>5855</v>
      </c>
      <c r="D59" t="s">
        <v>602</v>
      </c>
      <c r="E59" t="s">
        <v>603</v>
      </c>
      <c r="F59">
        <v>5</v>
      </c>
      <c r="G59" t="s">
        <v>595</v>
      </c>
      <c r="H59" t="s">
        <v>436</v>
      </c>
      <c r="I59">
        <v>1762392796.5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429.055106956238</v>
      </c>
      <c r="AK59">
        <v>437.291060606061</v>
      </c>
      <c r="AL59">
        <v>-0.0557629037426396</v>
      </c>
      <c r="AM59">
        <v>64.0971715371779</v>
      </c>
      <c r="AN59">
        <f>(AP59 - AO59 + DY59*1E3/(8.314*(EA59+273.15)) * AR59/DX59 * AQ59) * DX59/(100*DL59) * 1000/(1000 - AP59)</f>
        <v>0</v>
      </c>
      <c r="AO59">
        <v>21.3401016688052</v>
      </c>
      <c r="AP59">
        <v>33.0504909090909</v>
      </c>
      <c r="AQ59">
        <v>0.000412961210484556</v>
      </c>
      <c r="AR59">
        <v>97.6138108198519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592</v>
      </c>
      <c r="AY59">
        <v>5087.33</v>
      </c>
      <c r="AZ59">
        <v>1381.54</v>
      </c>
      <c r="BA59">
        <v>1615.57</v>
      </c>
      <c r="BB59">
        <f>1-AZ59/BA59</f>
        <v>0</v>
      </c>
      <c r="BC59">
        <v>-9.80481250773812</v>
      </c>
      <c r="BD59" t="s">
        <v>604</v>
      </c>
      <c r="BE59">
        <v>5153.43</v>
      </c>
      <c r="BF59">
        <v>1715.7064</v>
      </c>
      <c r="BG59">
        <v>1729.80105504652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605</v>
      </c>
      <c r="BQ59">
        <v>1556.87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518</v>
      </c>
      <c r="CA59">
        <v>290</v>
      </c>
      <c r="CB59">
        <v>1723.65</v>
      </c>
      <c r="CC59">
        <v>295</v>
      </c>
      <c r="CD59">
        <v>5153.43</v>
      </c>
      <c r="CE59">
        <v>1724.53</v>
      </c>
      <c r="CF59">
        <v>-0.88</v>
      </c>
      <c r="CG59">
        <v>300</v>
      </c>
      <c r="CH59">
        <v>23.8</v>
      </c>
      <c r="CI59">
        <v>1729.80105504652</v>
      </c>
      <c r="CJ59">
        <v>2.30122952582302</v>
      </c>
      <c r="CK59">
        <v>-2.71553462332405</v>
      </c>
      <c r="CL59">
        <v>1.07682021940432</v>
      </c>
      <c r="CM59">
        <v>0.185087553414662</v>
      </c>
      <c r="CN59">
        <v>-0.00299887964404895</v>
      </c>
      <c r="CO59">
        <v>290</v>
      </c>
      <c r="CP59">
        <v>1723.75</v>
      </c>
      <c r="CQ59">
        <v>665</v>
      </c>
      <c r="CR59">
        <v>5151.41</v>
      </c>
      <c r="CS59">
        <v>1724.53</v>
      </c>
      <c r="CT59">
        <v>-0.78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1762392796.5</v>
      </c>
      <c r="DR59">
        <v>422.981166666667</v>
      </c>
      <c r="DS59">
        <v>419.923166666667</v>
      </c>
      <c r="DT59">
        <v>33.0464333333333</v>
      </c>
      <c r="DU59">
        <v>21.34</v>
      </c>
      <c r="DV59">
        <v>419.8715</v>
      </c>
      <c r="DW59">
        <v>32.8837</v>
      </c>
      <c r="DX59">
        <v>500.014</v>
      </c>
      <c r="DY59">
        <v>90.8884666666667</v>
      </c>
      <c r="DZ59">
        <v>0.1000005</v>
      </c>
      <c r="EA59">
        <v>49.9639333333333</v>
      </c>
      <c r="EB59">
        <v>48.3138</v>
      </c>
      <c r="EC59">
        <v>999.9</v>
      </c>
      <c r="ED59">
        <v>0</v>
      </c>
      <c r="EE59">
        <v>0</v>
      </c>
      <c r="EF59">
        <v>10004.48</v>
      </c>
      <c r="EG59">
        <v>0</v>
      </c>
      <c r="EH59">
        <v>1222.87666666667</v>
      </c>
      <c r="EI59">
        <v>3.05789166666667</v>
      </c>
      <c r="EJ59">
        <v>437.436833333333</v>
      </c>
      <c r="EK59">
        <v>429.079666666667</v>
      </c>
      <c r="EL59">
        <v>11.7064833333333</v>
      </c>
      <c r="EM59">
        <v>419.923166666667</v>
      </c>
      <c r="EN59">
        <v>21.34</v>
      </c>
      <c r="EO59">
        <v>3.00354166666667</v>
      </c>
      <c r="EP59">
        <v>1.93955833333333</v>
      </c>
      <c r="EQ59">
        <v>24.0475666666667</v>
      </c>
      <c r="ER59">
        <v>16.95935</v>
      </c>
      <c r="ES59">
        <v>1500.03</v>
      </c>
      <c r="ET59">
        <v>0.9729945</v>
      </c>
      <c r="EU59">
        <v>0.0270056666666667</v>
      </c>
      <c r="EV59">
        <v>0</v>
      </c>
      <c r="EW59">
        <v>1714.67333333333</v>
      </c>
      <c r="EX59">
        <v>5.00059</v>
      </c>
      <c r="EY59">
        <v>26735.7833333333</v>
      </c>
      <c r="EZ59">
        <v>12982.6166666667</v>
      </c>
      <c r="FA59">
        <v>56.854</v>
      </c>
      <c r="FB59">
        <v>57.437</v>
      </c>
      <c r="FC59">
        <v>56.4475</v>
      </c>
      <c r="FD59">
        <v>57.3956666666667</v>
      </c>
      <c r="FE59">
        <v>58.3016666666667</v>
      </c>
      <c r="FF59">
        <v>1454.65833333333</v>
      </c>
      <c r="FG59">
        <v>40.37</v>
      </c>
      <c r="FH59">
        <v>0</v>
      </c>
      <c r="FI59">
        <v>97.4000000953674</v>
      </c>
      <c r="FJ59">
        <v>0</v>
      </c>
      <c r="FK59">
        <v>1715.7064</v>
      </c>
      <c r="FL59">
        <v>-15.1176922951127</v>
      </c>
      <c r="FM59">
        <v>-220.553845880843</v>
      </c>
      <c r="FN59">
        <v>26748.74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2.92971238095238</v>
      </c>
      <c r="GD59">
        <v>-0.615631948051945</v>
      </c>
      <c r="GE59">
        <v>0.290374241985436</v>
      </c>
      <c r="GF59">
        <v>0</v>
      </c>
      <c r="GG59">
        <v>1716.77411764706</v>
      </c>
      <c r="GH59">
        <v>-16.3587471410033</v>
      </c>
      <c r="GI59">
        <v>1.62505405819053</v>
      </c>
      <c r="GJ59">
        <v>-1</v>
      </c>
      <c r="GK59">
        <v>11.6771476190476</v>
      </c>
      <c r="GL59">
        <v>0.256192207792217</v>
      </c>
      <c r="GM59">
        <v>0.0261989752443656</v>
      </c>
      <c r="GN59">
        <v>0</v>
      </c>
      <c r="GO59">
        <v>0</v>
      </c>
      <c r="GP59">
        <v>2</v>
      </c>
      <c r="GQ59" t="s">
        <v>442</v>
      </c>
      <c r="GR59">
        <v>3.1269</v>
      </c>
      <c r="GS59">
        <v>2.77796</v>
      </c>
      <c r="GT59">
        <v>0.0858369</v>
      </c>
      <c r="GU59">
        <v>0.0860042</v>
      </c>
      <c r="GV59">
        <v>0.124953</v>
      </c>
      <c r="GW59">
        <v>0.0914556</v>
      </c>
      <c r="GX59">
        <v>33097</v>
      </c>
      <c r="GY59">
        <v>35105.7</v>
      </c>
      <c r="GZ59">
        <v>32863.5</v>
      </c>
      <c r="HA59">
        <v>34884.7</v>
      </c>
      <c r="HB59">
        <v>40965.6</v>
      </c>
      <c r="HC59">
        <v>45612.1</v>
      </c>
      <c r="HD59">
        <v>51537.9</v>
      </c>
      <c r="HE59">
        <v>55864.6</v>
      </c>
      <c r="HF59">
        <v>1.72278</v>
      </c>
      <c r="HG59">
        <v>2.0531</v>
      </c>
      <c r="HH59">
        <v>0.0979379</v>
      </c>
      <c r="HI59">
        <v>0</v>
      </c>
      <c r="HJ59">
        <v>46.7661</v>
      </c>
      <c r="HK59">
        <v>999.9</v>
      </c>
      <c r="HL59">
        <v>55.677</v>
      </c>
      <c r="HM59">
        <v>27.916</v>
      </c>
      <c r="HN59">
        <v>23.1311</v>
      </c>
      <c r="HO59">
        <v>59.4451</v>
      </c>
      <c r="HP59">
        <v>32.7003</v>
      </c>
      <c r="HQ59">
        <v>2</v>
      </c>
      <c r="HR59">
        <v>1.86999</v>
      </c>
      <c r="HS59">
        <v>0.358216</v>
      </c>
      <c r="HT59">
        <v>20.1179</v>
      </c>
      <c r="HU59">
        <v>5.19108</v>
      </c>
      <c r="HV59">
        <v>12.0102</v>
      </c>
      <c r="HW59">
        <v>4.9713</v>
      </c>
      <c r="HX59">
        <v>3.295</v>
      </c>
      <c r="HY59">
        <v>999.9</v>
      </c>
      <c r="HZ59">
        <v>9999</v>
      </c>
      <c r="IA59">
        <v>9999</v>
      </c>
      <c r="IB59">
        <v>9999</v>
      </c>
      <c r="IC59">
        <v>1.86317</v>
      </c>
      <c r="ID59">
        <v>1.86813</v>
      </c>
      <c r="IE59">
        <v>1.86786</v>
      </c>
      <c r="IF59">
        <v>1.86904</v>
      </c>
      <c r="IG59">
        <v>1.86982</v>
      </c>
      <c r="IH59">
        <v>1.86593</v>
      </c>
      <c r="II59">
        <v>1.86705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3.109</v>
      </c>
      <c r="IY59">
        <v>0.1628</v>
      </c>
      <c r="IZ59">
        <v>1.12264184085783</v>
      </c>
      <c r="JA59">
        <v>0.00531519531824411</v>
      </c>
      <c r="JB59">
        <v>-1.58401274662554e-06</v>
      </c>
      <c r="JC59">
        <v>4.65529057017795e-10</v>
      </c>
      <c r="JD59">
        <v>0.162735096694976</v>
      </c>
      <c r="JE59">
        <v>0</v>
      </c>
      <c r="JF59">
        <v>0</v>
      </c>
      <c r="JG59">
        <v>0</v>
      </c>
      <c r="JH59">
        <v>4</v>
      </c>
      <c r="JI59">
        <v>2305</v>
      </c>
      <c r="JJ59">
        <v>-0</v>
      </c>
      <c r="JK59">
        <v>23</v>
      </c>
      <c r="JL59">
        <v>29373213.3</v>
      </c>
      <c r="JM59">
        <v>29373213.3</v>
      </c>
      <c r="JN59">
        <v>1.11694</v>
      </c>
      <c r="JO59">
        <v>2.6123</v>
      </c>
      <c r="JP59">
        <v>2.19849</v>
      </c>
      <c r="JQ59">
        <v>2.64038</v>
      </c>
      <c r="JR59">
        <v>2.44507</v>
      </c>
      <c r="JS59">
        <v>2.28149</v>
      </c>
      <c r="JT59">
        <v>32.4875</v>
      </c>
      <c r="JU59">
        <v>24.1751</v>
      </c>
      <c r="JV59">
        <v>18</v>
      </c>
      <c r="JW59">
        <v>494.196</v>
      </c>
      <c r="JX59">
        <v>766.05</v>
      </c>
      <c r="JY59">
        <v>50.436</v>
      </c>
      <c r="JZ59">
        <v>48.962</v>
      </c>
      <c r="KA59">
        <v>30.0013</v>
      </c>
      <c r="KB59">
        <v>48.4588</v>
      </c>
      <c r="KC59">
        <v>48.2446</v>
      </c>
      <c r="KD59">
        <v>22.3833</v>
      </c>
      <c r="KE59">
        <v>0</v>
      </c>
      <c r="KF59">
        <v>100</v>
      </c>
      <c r="KG59">
        <v>50.1211</v>
      </c>
      <c r="KH59">
        <v>420</v>
      </c>
      <c r="KI59">
        <v>67.7987</v>
      </c>
      <c r="KJ59">
        <v>93.4926</v>
      </c>
      <c r="KK59">
        <v>90.4436</v>
      </c>
    </row>
    <row r="60" spans="1:297">
      <c r="A60">
        <v>44</v>
      </c>
      <c r="B60">
        <v>1762392879</v>
      </c>
      <c r="C60">
        <v>5934</v>
      </c>
      <c r="D60" t="s">
        <v>606</v>
      </c>
      <c r="E60" t="s">
        <v>607</v>
      </c>
      <c r="F60">
        <v>5</v>
      </c>
      <c r="G60" t="s">
        <v>595</v>
      </c>
      <c r="H60" t="s">
        <v>436</v>
      </c>
      <c r="I60">
        <v>1762392875.5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429.423961741999</v>
      </c>
      <c r="AK60">
        <v>437.42426060606</v>
      </c>
      <c r="AL60">
        <v>-0.000258266374577958</v>
      </c>
      <c r="AM60">
        <v>64.0971715371779</v>
      </c>
      <c r="AN60">
        <f>(AP60 - AO60 + DY60*1E3/(8.314*(EA60+273.15)) * AR60/DX60 * AQ60) * DX60/(100*DL60) * 1000/(1000 - AP60)</f>
        <v>0</v>
      </c>
      <c r="AO60">
        <v>21.3497272551907</v>
      </c>
      <c r="AP60">
        <v>33.0137072727273</v>
      </c>
      <c r="AQ60">
        <v>9.70084734833603e-05</v>
      </c>
      <c r="AR60">
        <v>97.6138108198519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477</v>
      </c>
      <c r="AY60" t="s">
        <v>477</v>
      </c>
      <c r="AZ60">
        <v>0</v>
      </c>
      <c r="BA60">
        <v>0</v>
      </c>
      <c r="BB60">
        <f>1-AZ60/BA60</f>
        <v>0</v>
      </c>
      <c r="BC60">
        <v>0</v>
      </c>
      <c r="BD60" t="s">
        <v>477</v>
      </c>
      <c r="BE60" t="s">
        <v>477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477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518</v>
      </c>
      <c r="CA60">
        <v>290</v>
      </c>
      <c r="CB60">
        <v>1723.65</v>
      </c>
      <c r="CC60">
        <v>295</v>
      </c>
      <c r="CD60">
        <v>5153.43</v>
      </c>
      <c r="CE60">
        <v>1724.53</v>
      </c>
      <c r="CF60">
        <v>-0.88</v>
      </c>
      <c r="CG60">
        <v>300</v>
      </c>
      <c r="CH60">
        <v>23.8</v>
      </c>
      <c r="CI60">
        <v>1729.80105504652</v>
      </c>
      <c r="CJ60">
        <v>2.30122952582302</v>
      </c>
      <c r="CK60">
        <v>-2.71553462332405</v>
      </c>
      <c r="CL60">
        <v>1.07682021940432</v>
      </c>
      <c r="CM60">
        <v>0.185087553414662</v>
      </c>
      <c r="CN60">
        <v>-0.00299887964404895</v>
      </c>
      <c r="CO60">
        <v>290</v>
      </c>
      <c r="CP60">
        <v>1723.75</v>
      </c>
      <c r="CQ60">
        <v>665</v>
      </c>
      <c r="CR60">
        <v>5151.41</v>
      </c>
      <c r="CS60">
        <v>1724.53</v>
      </c>
      <c r="CT60">
        <v>-0.78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1762392875.5</v>
      </c>
      <c r="DR60">
        <v>422.987666666667</v>
      </c>
      <c r="DS60">
        <v>420.143166666667</v>
      </c>
      <c r="DT60">
        <v>33.0102333333333</v>
      </c>
      <c r="DU60">
        <v>21.3497666666667</v>
      </c>
      <c r="DV60">
        <v>419.878</v>
      </c>
      <c r="DW60">
        <v>32.8475</v>
      </c>
      <c r="DX60">
        <v>500.0285</v>
      </c>
      <c r="DY60">
        <v>90.8914833333333</v>
      </c>
      <c r="DZ60">
        <v>0.100044</v>
      </c>
      <c r="EA60">
        <v>49.8999833333333</v>
      </c>
      <c r="EB60">
        <v>48.11495</v>
      </c>
      <c r="EC60">
        <v>999.9</v>
      </c>
      <c r="ED60">
        <v>0</v>
      </c>
      <c r="EE60">
        <v>0</v>
      </c>
      <c r="EF60">
        <v>10004.375</v>
      </c>
      <c r="EG60">
        <v>0</v>
      </c>
      <c r="EH60">
        <v>1220.73333333333</v>
      </c>
      <c r="EI60">
        <v>2.84431833333333</v>
      </c>
      <c r="EJ60">
        <v>437.427333333333</v>
      </c>
      <c r="EK60">
        <v>429.308833333333</v>
      </c>
      <c r="EL60">
        <v>11.6604333333333</v>
      </c>
      <c r="EM60">
        <v>420.143166666667</v>
      </c>
      <c r="EN60">
        <v>21.3497666666667</v>
      </c>
      <c r="EO60">
        <v>3.00034666666667</v>
      </c>
      <c r="EP60">
        <v>1.94051166666667</v>
      </c>
      <c r="EQ60">
        <v>24.0298333333333</v>
      </c>
      <c r="ER60">
        <v>16.9671</v>
      </c>
      <c r="ES60">
        <v>1200.03833333333</v>
      </c>
      <c r="ET60">
        <v>0.966988666666667</v>
      </c>
      <c r="EU60">
        <v>0.0330111166666667</v>
      </c>
      <c r="EV60">
        <v>0</v>
      </c>
      <c r="EW60">
        <v>1699.40833333333</v>
      </c>
      <c r="EX60">
        <v>5.00059</v>
      </c>
      <c r="EY60">
        <v>21202.65</v>
      </c>
      <c r="EZ60">
        <v>10359.0166666667</v>
      </c>
      <c r="FA60">
        <v>57.104</v>
      </c>
      <c r="FB60">
        <v>58</v>
      </c>
      <c r="FC60">
        <v>56.937</v>
      </c>
      <c r="FD60">
        <v>57.8853333333333</v>
      </c>
      <c r="FE60">
        <v>58.687</v>
      </c>
      <c r="FF60">
        <v>1155.58833333333</v>
      </c>
      <c r="FG60">
        <v>39.45</v>
      </c>
      <c r="FH60">
        <v>0</v>
      </c>
      <c r="FI60">
        <v>74.9000000953674</v>
      </c>
      <c r="FJ60">
        <v>0</v>
      </c>
      <c r="FK60">
        <v>1700.0236</v>
      </c>
      <c r="FL60">
        <v>-9.86384612504967</v>
      </c>
      <c r="FM60">
        <v>-106.484615258669</v>
      </c>
      <c r="FN60">
        <v>21208.96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2.74259571428571</v>
      </c>
      <c r="GD60">
        <v>-0.0857929870129828</v>
      </c>
      <c r="GE60">
        <v>0.138740017832993</v>
      </c>
      <c r="GF60">
        <v>1</v>
      </c>
      <c r="GG60">
        <v>1700.77352941176</v>
      </c>
      <c r="GH60">
        <v>-9.75951106103138</v>
      </c>
      <c r="GI60">
        <v>0.973147961523481</v>
      </c>
      <c r="GJ60">
        <v>-1</v>
      </c>
      <c r="GK60">
        <v>11.6516238095238</v>
      </c>
      <c r="GL60">
        <v>0.0491844155844364</v>
      </c>
      <c r="GM60">
        <v>0.00594601945777927</v>
      </c>
      <c r="GN60">
        <v>1</v>
      </c>
      <c r="GO60">
        <v>2</v>
      </c>
      <c r="GP60">
        <v>2</v>
      </c>
      <c r="GQ60" t="s">
        <v>478</v>
      </c>
      <c r="GR60">
        <v>3.12692</v>
      </c>
      <c r="GS60">
        <v>2.77799</v>
      </c>
      <c r="GT60">
        <v>0.0858236</v>
      </c>
      <c r="GU60">
        <v>0.0858996</v>
      </c>
      <c r="GV60">
        <v>0.124805</v>
      </c>
      <c r="GW60">
        <v>0.0914684</v>
      </c>
      <c r="GX60">
        <v>33084.5</v>
      </c>
      <c r="GY60">
        <v>35091.2</v>
      </c>
      <c r="GZ60">
        <v>32851.3</v>
      </c>
      <c r="HA60">
        <v>34866.9</v>
      </c>
      <c r="HB60">
        <v>40959.7</v>
      </c>
      <c r="HC60">
        <v>45589.7</v>
      </c>
      <c r="HD60">
        <v>51521.2</v>
      </c>
      <c r="HE60">
        <v>55837.9</v>
      </c>
      <c r="HF60">
        <v>1.72123</v>
      </c>
      <c r="HG60">
        <v>2.05083</v>
      </c>
      <c r="HH60">
        <v>0.0401214</v>
      </c>
      <c r="HI60">
        <v>0</v>
      </c>
      <c r="HJ60">
        <v>47.4825</v>
      </c>
      <c r="HK60">
        <v>999.9</v>
      </c>
      <c r="HL60">
        <v>55.677</v>
      </c>
      <c r="HM60">
        <v>27.916</v>
      </c>
      <c r="HN60">
        <v>23.1284</v>
      </c>
      <c r="HO60">
        <v>59.8852</v>
      </c>
      <c r="HP60">
        <v>32.6322</v>
      </c>
      <c r="HQ60">
        <v>2</v>
      </c>
      <c r="HR60">
        <v>1.88629</v>
      </c>
      <c r="HS60">
        <v>0.979496</v>
      </c>
      <c r="HT60">
        <v>20.1181</v>
      </c>
      <c r="HU60">
        <v>5.18989</v>
      </c>
      <c r="HV60">
        <v>12.0128</v>
      </c>
      <c r="HW60">
        <v>4.97075</v>
      </c>
      <c r="HX60">
        <v>3.295</v>
      </c>
      <c r="HY60">
        <v>999.9</v>
      </c>
      <c r="HZ60">
        <v>9999</v>
      </c>
      <c r="IA60">
        <v>9999</v>
      </c>
      <c r="IB60">
        <v>9999</v>
      </c>
      <c r="IC60">
        <v>1.86316</v>
      </c>
      <c r="ID60">
        <v>1.86813</v>
      </c>
      <c r="IE60">
        <v>1.86787</v>
      </c>
      <c r="IF60">
        <v>1.86902</v>
      </c>
      <c r="IG60">
        <v>1.86982</v>
      </c>
      <c r="IH60">
        <v>1.86591</v>
      </c>
      <c r="II60">
        <v>1.86706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3.109</v>
      </c>
      <c r="IY60">
        <v>0.1628</v>
      </c>
      <c r="IZ60">
        <v>1.12264184085783</v>
      </c>
      <c r="JA60">
        <v>0.00531519531824411</v>
      </c>
      <c r="JB60">
        <v>-1.58401274662554e-06</v>
      </c>
      <c r="JC60">
        <v>4.65529057017795e-10</v>
      </c>
      <c r="JD60">
        <v>0.162735096694976</v>
      </c>
      <c r="JE60">
        <v>0</v>
      </c>
      <c r="JF60">
        <v>0</v>
      </c>
      <c r="JG60">
        <v>0</v>
      </c>
      <c r="JH60">
        <v>4</v>
      </c>
      <c r="JI60">
        <v>2305</v>
      </c>
      <c r="JJ60">
        <v>-0</v>
      </c>
      <c r="JK60">
        <v>23</v>
      </c>
      <c r="JL60">
        <v>29373214.6</v>
      </c>
      <c r="JM60">
        <v>29373214.6</v>
      </c>
      <c r="JN60">
        <v>1.11816</v>
      </c>
      <c r="JO60">
        <v>2.6123</v>
      </c>
      <c r="JP60">
        <v>2.19849</v>
      </c>
      <c r="JQ60">
        <v>2.64038</v>
      </c>
      <c r="JR60">
        <v>2.44507</v>
      </c>
      <c r="JS60">
        <v>2.32422</v>
      </c>
      <c r="JT60">
        <v>32.5097</v>
      </c>
      <c r="JU60">
        <v>24.1838</v>
      </c>
      <c r="JV60">
        <v>18</v>
      </c>
      <c r="JW60">
        <v>493.802</v>
      </c>
      <c r="JX60">
        <v>765.036</v>
      </c>
      <c r="JY60">
        <v>48.0594</v>
      </c>
      <c r="JZ60">
        <v>49.0824</v>
      </c>
      <c r="KA60">
        <v>30.0013</v>
      </c>
      <c r="KB60">
        <v>48.5771</v>
      </c>
      <c r="KC60">
        <v>48.3693</v>
      </c>
      <c r="KD60">
        <v>22.3911</v>
      </c>
      <c r="KE60">
        <v>0</v>
      </c>
      <c r="KF60">
        <v>100</v>
      </c>
      <c r="KG60">
        <v>48.012</v>
      </c>
      <c r="KH60">
        <v>420</v>
      </c>
      <c r="KI60">
        <v>67.7987</v>
      </c>
      <c r="KJ60">
        <v>93.4606</v>
      </c>
      <c r="KK60">
        <v>90.3992</v>
      </c>
    </row>
    <row r="61" spans="1:297">
      <c r="A61">
        <v>45</v>
      </c>
      <c r="B61">
        <v>1762392970</v>
      </c>
      <c r="C61">
        <v>6025</v>
      </c>
      <c r="D61" t="s">
        <v>608</v>
      </c>
      <c r="E61" t="s">
        <v>609</v>
      </c>
      <c r="F61">
        <v>5</v>
      </c>
      <c r="G61" t="s">
        <v>595</v>
      </c>
      <c r="H61" t="s">
        <v>436</v>
      </c>
      <c r="I61">
        <v>1762392966.5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429.472435697678</v>
      </c>
      <c r="AK61">
        <v>437.02026060606</v>
      </c>
      <c r="AL61">
        <v>0.0653552524035328</v>
      </c>
      <c r="AM61">
        <v>64.0971715371779</v>
      </c>
      <c r="AN61">
        <f>(AP61 - AO61 + DY61*1E3/(8.314*(EA61+273.15)) * AR61/DX61 * AQ61) * DX61/(100*DL61) * 1000/(1000 - AP61)</f>
        <v>0</v>
      </c>
      <c r="AO61">
        <v>21.3667708421531</v>
      </c>
      <c r="AP61">
        <v>33.0740278787879</v>
      </c>
      <c r="AQ61">
        <v>0.000483475580921519</v>
      </c>
      <c r="AR61">
        <v>97.6138108198519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592</v>
      </c>
      <c r="AY61">
        <v>5087.33</v>
      </c>
      <c r="AZ61">
        <v>1381.54</v>
      </c>
      <c r="BA61">
        <v>1615.57</v>
      </c>
      <c r="BB61">
        <f>1-AZ61/BA61</f>
        <v>0</v>
      </c>
      <c r="BC61">
        <v>-9.80481250773812</v>
      </c>
      <c r="BD61" t="s">
        <v>610</v>
      </c>
      <c r="BE61">
        <v>5156.22</v>
      </c>
      <c r="BF61">
        <v>1684.6836</v>
      </c>
      <c r="BG61">
        <v>1704.48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611</v>
      </c>
      <c r="BQ61">
        <v>1541.93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520</v>
      </c>
      <c r="CA61">
        <v>290</v>
      </c>
      <c r="CB61">
        <v>1704.48</v>
      </c>
      <c r="CC61">
        <v>275</v>
      </c>
      <c r="CD61">
        <v>5156.22</v>
      </c>
      <c r="CE61">
        <v>1704.9</v>
      </c>
      <c r="CF61">
        <v>-0.42</v>
      </c>
      <c r="CG61">
        <v>300</v>
      </c>
      <c r="CH61">
        <v>23.8</v>
      </c>
      <c r="CI61">
        <v>1702.77592164374</v>
      </c>
      <c r="CJ61">
        <v>1.91291364723239</v>
      </c>
      <c r="CK61">
        <v>1.09596331392464</v>
      </c>
      <c r="CL61">
        <v>0.879310801993675</v>
      </c>
      <c r="CM61">
        <v>0.0525652205914735</v>
      </c>
      <c r="CN61">
        <v>-0.0035077041156841</v>
      </c>
      <c r="CO61">
        <v>290</v>
      </c>
      <c r="CP61">
        <v>1706.13</v>
      </c>
      <c r="CQ61">
        <v>695</v>
      </c>
      <c r="CR61">
        <v>5153.33</v>
      </c>
      <c r="CS61">
        <v>1704.9</v>
      </c>
      <c r="CT61">
        <v>1.23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1762392966.5</v>
      </c>
      <c r="DR61">
        <v>422.404333333333</v>
      </c>
      <c r="DS61">
        <v>420.361166666667</v>
      </c>
      <c r="DT61">
        <v>33.06615</v>
      </c>
      <c r="DU61">
        <v>21.3667</v>
      </c>
      <c r="DV61">
        <v>419.297166666667</v>
      </c>
      <c r="DW61">
        <v>32.90345</v>
      </c>
      <c r="DX61">
        <v>500.044</v>
      </c>
      <c r="DY61">
        <v>90.8841666666667</v>
      </c>
      <c r="DZ61">
        <v>0.0999745</v>
      </c>
      <c r="EA61">
        <v>49.92475</v>
      </c>
      <c r="EB61">
        <v>48.0984833333333</v>
      </c>
      <c r="EC61">
        <v>999.9</v>
      </c>
      <c r="ED61">
        <v>0</v>
      </c>
      <c r="EE61">
        <v>0</v>
      </c>
      <c r="EF61">
        <v>10001.04</v>
      </c>
      <c r="EG61">
        <v>0</v>
      </c>
      <c r="EH61">
        <v>1218.04166666667</v>
      </c>
      <c r="EI61">
        <v>2.04297666666667</v>
      </c>
      <c r="EJ61">
        <v>436.849166666667</v>
      </c>
      <c r="EK61">
        <v>429.539333333333</v>
      </c>
      <c r="EL61">
        <v>11.6994666666667</v>
      </c>
      <c r="EM61">
        <v>420.361166666667</v>
      </c>
      <c r="EN61">
        <v>21.3667</v>
      </c>
      <c r="EO61">
        <v>3.00519166666667</v>
      </c>
      <c r="EP61">
        <v>1.94189666666667</v>
      </c>
      <c r="EQ61">
        <v>24.0567</v>
      </c>
      <c r="ER61">
        <v>16.97835</v>
      </c>
      <c r="ES61">
        <v>899.972166666667</v>
      </c>
      <c r="ET61">
        <v>0.956005666666667</v>
      </c>
      <c r="EU61">
        <v>0.0439947</v>
      </c>
      <c r="EV61">
        <v>0</v>
      </c>
      <c r="EW61">
        <v>1684.22</v>
      </c>
      <c r="EX61">
        <v>5.00059</v>
      </c>
      <c r="EY61">
        <v>15756.2666666667</v>
      </c>
      <c r="EZ61">
        <v>7732.57833333333</v>
      </c>
      <c r="FA61">
        <v>57.25</v>
      </c>
      <c r="FB61">
        <v>58.562</v>
      </c>
      <c r="FC61">
        <v>57.3645</v>
      </c>
      <c r="FD61">
        <v>58.458</v>
      </c>
      <c r="FE61">
        <v>58.937</v>
      </c>
      <c r="FF61">
        <v>855.596666666667</v>
      </c>
      <c r="FG61">
        <v>39.375</v>
      </c>
      <c r="FH61">
        <v>0</v>
      </c>
      <c r="FI61">
        <v>166.100000143051</v>
      </c>
      <c r="FJ61">
        <v>0</v>
      </c>
      <c r="FK61">
        <v>1684.6836</v>
      </c>
      <c r="FL61">
        <v>-6.26076922801617</v>
      </c>
      <c r="FM61">
        <v>-56.8923076339255</v>
      </c>
      <c r="FN61">
        <v>15759.996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2.57963333333333</v>
      </c>
      <c r="GD61">
        <v>-2.85804467532468</v>
      </c>
      <c r="GE61">
        <v>0.390724117289611</v>
      </c>
      <c r="GF61">
        <v>0</v>
      </c>
      <c r="GG61">
        <v>1685.21941176471</v>
      </c>
      <c r="GH61">
        <v>-8.17754011113247</v>
      </c>
      <c r="GI61">
        <v>0.832519002349685</v>
      </c>
      <c r="GJ61">
        <v>-1</v>
      </c>
      <c r="GK61">
        <v>11.680280952381</v>
      </c>
      <c r="GL61">
        <v>0.145340259740281</v>
      </c>
      <c r="GM61">
        <v>0.01479194179106</v>
      </c>
      <c r="GN61">
        <v>0</v>
      </c>
      <c r="GO61">
        <v>0</v>
      </c>
      <c r="GP61">
        <v>2</v>
      </c>
      <c r="GQ61" t="s">
        <v>442</v>
      </c>
      <c r="GR61">
        <v>3.12688</v>
      </c>
      <c r="GS61">
        <v>2.77808</v>
      </c>
      <c r="GT61">
        <v>0.0857311</v>
      </c>
      <c r="GU61">
        <v>0.0859895</v>
      </c>
      <c r="GV61">
        <v>0.124902</v>
      </c>
      <c r="GW61">
        <v>0.0914552</v>
      </c>
      <c r="GX61">
        <v>33063.9</v>
      </c>
      <c r="GY61">
        <v>35056.3</v>
      </c>
      <c r="GZ61">
        <v>32828.9</v>
      </c>
      <c r="HA61">
        <v>34837</v>
      </c>
      <c r="HB61">
        <v>40933.1</v>
      </c>
      <c r="HC61">
        <v>45554.1</v>
      </c>
      <c r="HD61">
        <v>51490.8</v>
      </c>
      <c r="HE61">
        <v>55793.3</v>
      </c>
      <c r="HF61">
        <v>1.71847</v>
      </c>
      <c r="HG61">
        <v>2.04655</v>
      </c>
      <c r="HH61">
        <v>0.00275671</v>
      </c>
      <c r="HI61">
        <v>0</v>
      </c>
      <c r="HJ61">
        <v>48.0601</v>
      </c>
      <c r="HK61">
        <v>999.9</v>
      </c>
      <c r="HL61">
        <v>55.677</v>
      </c>
      <c r="HM61">
        <v>27.946</v>
      </c>
      <c r="HN61">
        <v>23.1742</v>
      </c>
      <c r="HO61">
        <v>59.5752</v>
      </c>
      <c r="HP61">
        <v>32.5521</v>
      </c>
      <c r="HQ61">
        <v>2</v>
      </c>
      <c r="HR61">
        <v>1.91358</v>
      </c>
      <c r="HS61">
        <v>0.468328</v>
      </c>
      <c r="HT61">
        <v>20.1235</v>
      </c>
      <c r="HU61">
        <v>5.19138</v>
      </c>
      <c r="HV61">
        <v>12.0138</v>
      </c>
      <c r="HW61">
        <v>4.97105</v>
      </c>
      <c r="HX61">
        <v>3.295</v>
      </c>
      <c r="HY61">
        <v>999.9</v>
      </c>
      <c r="HZ61">
        <v>9999</v>
      </c>
      <c r="IA61">
        <v>9999</v>
      </c>
      <c r="IB61">
        <v>9999</v>
      </c>
      <c r="IC61">
        <v>1.86319</v>
      </c>
      <c r="ID61">
        <v>1.86813</v>
      </c>
      <c r="IE61">
        <v>1.86785</v>
      </c>
      <c r="IF61">
        <v>1.86904</v>
      </c>
      <c r="IG61">
        <v>1.86981</v>
      </c>
      <c r="IH61">
        <v>1.86588</v>
      </c>
      <c r="II61">
        <v>1.86706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3.108</v>
      </c>
      <c r="IY61">
        <v>0.1627</v>
      </c>
      <c r="IZ61">
        <v>1.12264184085783</v>
      </c>
      <c r="JA61">
        <v>0.00531519531824411</v>
      </c>
      <c r="JB61">
        <v>-1.58401274662554e-06</v>
      </c>
      <c r="JC61">
        <v>4.65529057017795e-10</v>
      </c>
      <c r="JD61">
        <v>0.162735096694976</v>
      </c>
      <c r="JE61">
        <v>0</v>
      </c>
      <c r="JF61">
        <v>0</v>
      </c>
      <c r="JG61">
        <v>0</v>
      </c>
      <c r="JH61">
        <v>4</v>
      </c>
      <c r="JI61">
        <v>2305</v>
      </c>
      <c r="JJ61">
        <v>-0</v>
      </c>
      <c r="JK61">
        <v>23</v>
      </c>
      <c r="JL61">
        <v>29373216.2</v>
      </c>
      <c r="JM61">
        <v>29373216.2</v>
      </c>
      <c r="JN61">
        <v>1.11694</v>
      </c>
      <c r="JO61">
        <v>2.6123</v>
      </c>
      <c r="JP61">
        <v>2.19849</v>
      </c>
      <c r="JQ61">
        <v>2.64038</v>
      </c>
      <c r="JR61">
        <v>2.44507</v>
      </c>
      <c r="JS61">
        <v>2.26562</v>
      </c>
      <c r="JT61">
        <v>32.5097</v>
      </c>
      <c r="JU61">
        <v>24.1838</v>
      </c>
      <c r="JV61">
        <v>18</v>
      </c>
      <c r="JW61">
        <v>493.251</v>
      </c>
      <c r="JX61">
        <v>763.107</v>
      </c>
      <c r="JY61">
        <v>48.6006</v>
      </c>
      <c r="JZ61">
        <v>49.3468</v>
      </c>
      <c r="KA61">
        <v>30.0021</v>
      </c>
      <c r="KB61">
        <v>48.8113</v>
      </c>
      <c r="KC61">
        <v>48.6016</v>
      </c>
      <c r="KD61">
        <v>22.3761</v>
      </c>
      <c r="KE61">
        <v>0</v>
      </c>
      <c r="KF61">
        <v>100</v>
      </c>
      <c r="KG61">
        <v>48.5552</v>
      </c>
      <c r="KH61">
        <v>420</v>
      </c>
      <c r="KI61">
        <v>67.7987</v>
      </c>
      <c r="KJ61">
        <v>93.4021</v>
      </c>
      <c r="KK61">
        <v>90.325</v>
      </c>
    </row>
    <row r="62" spans="1:297">
      <c r="A62">
        <v>46</v>
      </c>
      <c r="B62">
        <v>1762393071</v>
      </c>
      <c r="C62">
        <v>6126</v>
      </c>
      <c r="D62" t="s">
        <v>612</v>
      </c>
      <c r="E62" t="s">
        <v>613</v>
      </c>
      <c r="F62">
        <v>5</v>
      </c>
      <c r="G62" t="s">
        <v>595</v>
      </c>
      <c r="H62" t="s">
        <v>436</v>
      </c>
      <c r="I62">
        <v>1762393067.5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428.940104148676</v>
      </c>
      <c r="AK62">
        <v>436.739818181818</v>
      </c>
      <c r="AL62">
        <v>-0.062487384980692</v>
      </c>
      <c r="AM62">
        <v>64.0971715371779</v>
      </c>
      <c r="AN62">
        <f>(AP62 - AO62 + DY62*1E3/(8.314*(EA62+273.15)) * AR62/DX62 * AQ62) * DX62/(100*DL62) * 1000/(1000 - AP62)</f>
        <v>0</v>
      </c>
      <c r="AO62">
        <v>21.3745740639749</v>
      </c>
      <c r="AP62">
        <v>33.1058012121212</v>
      </c>
      <c r="AQ62">
        <v>0.000163185134995374</v>
      </c>
      <c r="AR62">
        <v>97.6138108198519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592</v>
      </c>
      <c r="AY62">
        <v>5087.33</v>
      </c>
      <c r="AZ62">
        <v>1381.54</v>
      </c>
      <c r="BA62">
        <v>1615.57</v>
      </c>
      <c r="BB62">
        <f>1-AZ62/BA62</f>
        <v>0</v>
      </c>
      <c r="BC62">
        <v>-9.80481250773812</v>
      </c>
      <c r="BD62" t="s">
        <v>614</v>
      </c>
      <c r="BE62">
        <v>5158.64</v>
      </c>
      <c r="BF62">
        <v>1669.88230769231</v>
      </c>
      <c r="BG62">
        <v>1698.05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615</v>
      </c>
      <c r="BQ62">
        <v>1542.73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522</v>
      </c>
      <c r="CA62">
        <v>290</v>
      </c>
      <c r="CB62">
        <v>1698.05</v>
      </c>
      <c r="CC62">
        <v>285</v>
      </c>
      <c r="CD62">
        <v>5158.64</v>
      </c>
      <c r="CE62">
        <v>1698.91</v>
      </c>
      <c r="CF62">
        <v>-0.86</v>
      </c>
      <c r="CG62">
        <v>300</v>
      </c>
      <c r="CH62">
        <v>23.9</v>
      </c>
      <c r="CI62">
        <v>1688.60354429259</v>
      </c>
      <c r="CJ62">
        <v>2.07289846356882</v>
      </c>
      <c r="CK62">
        <v>5.31532385383758</v>
      </c>
      <c r="CL62">
        <v>0.944412748178704</v>
      </c>
      <c r="CM62">
        <v>0.530802774270411</v>
      </c>
      <c r="CN62">
        <v>-0.00376307586206896</v>
      </c>
      <c r="CO62">
        <v>290</v>
      </c>
      <c r="CP62">
        <v>1702.97</v>
      </c>
      <c r="CQ62">
        <v>795</v>
      </c>
      <c r="CR62">
        <v>5154.87</v>
      </c>
      <c r="CS62">
        <v>1698.91</v>
      </c>
      <c r="CT62">
        <v>4.06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1762393067.5</v>
      </c>
      <c r="DR62">
        <v>422.440833333333</v>
      </c>
      <c r="DS62">
        <v>419.852833333333</v>
      </c>
      <c r="DT62">
        <v>33.0985166666667</v>
      </c>
      <c r="DU62">
        <v>21.3745666666667</v>
      </c>
      <c r="DV62">
        <v>419.333833333333</v>
      </c>
      <c r="DW62">
        <v>32.93575</v>
      </c>
      <c r="DX62">
        <v>500.044166666667</v>
      </c>
      <c r="DY62">
        <v>90.8899666666667</v>
      </c>
      <c r="DZ62">
        <v>0.100062733333333</v>
      </c>
      <c r="EA62">
        <v>49.9215</v>
      </c>
      <c r="EB62">
        <v>48.03295</v>
      </c>
      <c r="EC62">
        <v>999.9</v>
      </c>
      <c r="ED62">
        <v>0</v>
      </c>
      <c r="EE62">
        <v>0</v>
      </c>
      <c r="EF62">
        <v>9998.73333333333</v>
      </c>
      <c r="EG62">
        <v>0</v>
      </c>
      <c r="EH62">
        <v>1215.14666666667</v>
      </c>
      <c r="EI62">
        <v>2.58822833333333</v>
      </c>
      <c r="EJ62">
        <v>436.901666666667</v>
      </c>
      <c r="EK62">
        <v>429.022833333333</v>
      </c>
      <c r="EL62">
        <v>11.72395</v>
      </c>
      <c r="EM62">
        <v>419.852833333333</v>
      </c>
      <c r="EN62">
        <v>21.3745666666667</v>
      </c>
      <c r="EO62">
        <v>3.00832</v>
      </c>
      <c r="EP62">
        <v>1.94273333333333</v>
      </c>
      <c r="EQ62">
        <v>24.07405</v>
      </c>
      <c r="ER62">
        <v>16.9851666666667</v>
      </c>
      <c r="ES62">
        <v>600.035666666667</v>
      </c>
      <c r="ET62">
        <v>0.9330145</v>
      </c>
      <c r="EU62">
        <v>0.0669855</v>
      </c>
      <c r="EV62">
        <v>0</v>
      </c>
      <c r="EW62">
        <v>1669.64833333333</v>
      </c>
      <c r="EX62">
        <v>5.00059</v>
      </c>
      <c r="EY62">
        <v>10409.4</v>
      </c>
      <c r="EZ62">
        <v>5105.83333333333</v>
      </c>
      <c r="FA62">
        <v>57.375</v>
      </c>
      <c r="FB62">
        <v>59.187</v>
      </c>
      <c r="FC62">
        <v>57.75</v>
      </c>
      <c r="FD62">
        <v>59.1145</v>
      </c>
      <c r="FE62">
        <v>59.208</v>
      </c>
      <c r="FF62">
        <v>555.176666666667</v>
      </c>
      <c r="FG62">
        <v>39.86</v>
      </c>
      <c r="FH62">
        <v>0</v>
      </c>
      <c r="FI62">
        <v>96.7999999523163</v>
      </c>
      <c r="FJ62">
        <v>0</v>
      </c>
      <c r="FK62">
        <v>1669.88230769231</v>
      </c>
      <c r="FL62">
        <v>-4.52649573342158</v>
      </c>
      <c r="FM62">
        <v>-13.8495726660331</v>
      </c>
      <c r="FN62">
        <v>10410.0730769231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2.421972</v>
      </c>
      <c r="GD62">
        <v>-0.660007218045112</v>
      </c>
      <c r="GE62">
        <v>0.38955009424463</v>
      </c>
      <c r="GF62">
        <v>0</v>
      </c>
      <c r="GG62">
        <v>1670.11264705882</v>
      </c>
      <c r="GH62">
        <v>-4.69870130264399</v>
      </c>
      <c r="GI62">
        <v>0.485000356722324</v>
      </c>
      <c r="GJ62">
        <v>-1</v>
      </c>
      <c r="GK62">
        <v>11.708715</v>
      </c>
      <c r="GL62">
        <v>0.126690225563923</v>
      </c>
      <c r="GM62">
        <v>0.0122809720706466</v>
      </c>
      <c r="GN62">
        <v>0</v>
      </c>
      <c r="GO62">
        <v>0</v>
      </c>
      <c r="GP62">
        <v>2</v>
      </c>
      <c r="GQ62" t="s">
        <v>442</v>
      </c>
      <c r="GR62">
        <v>3.12679</v>
      </c>
      <c r="GS62">
        <v>2.77802</v>
      </c>
      <c r="GT62">
        <v>0.0856066</v>
      </c>
      <c r="GU62">
        <v>0.0857946</v>
      </c>
      <c r="GV62">
        <v>0.124888</v>
      </c>
      <c r="GW62">
        <v>0.0914194</v>
      </c>
      <c r="GX62">
        <v>33033.9</v>
      </c>
      <c r="GY62">
        <v>35017.4</v>
      </c>
      <c r="GZ62">
        <v>32796.7</v>
      </c>
      <c r="HA62">
        <v>34793.1</v>
      </c>
      <c r="HB62">
        <v>40902.5</v>
      </c>
      <c r="HC62">
        <v>45502.8</v>
      </c>
      <c r="HD62">
        <v>51447.7</v>
      </c>
      <c r="HE62">
        <v>55728</v>
      </c>
      <c r="HF62">
        <v>1.71373</v>
      </c>
      <c r="HG62">
        <v>2.04032</v>
      </c>
      <c r="HH62">
        <v>-0.0343844</v>
      </c>
      <c r="HI62">
        <v>0</v>
      </c>
      <c r="HJ62">
        <v>48.5791</v>
      </c>
      <c r="HK62">
        <v>999.9</v>
      </c>
      <c r="HL62">
        <v>55.653</v>
      </c>
      <c r="HM62">
        <v>27.956</v>
      </c>
      <c r="HN62">
        <v>23.1747</v>
      </c>
      <c r="HO62">
        <v>59.4952</v>
      </c>
      <c r="HP62">
        <v>32.4159</v>
      </c>
      <c r="HQ62">
        <v>2</v>
      </c>
      <c r="HR62">
        <v>1.95605</v>
      </c>
      <c r="HS62">
        <v>0.312571</v>
      </c>
      <c r="HT62">
        <v>20.1257</v>
      </c>
      <c r="HU62">
        <v>5.18899</v>
      </c>
      <c r="HV62">
        <v>12.0129</v>
      </c>
      <c r="HW62">
        <v>4.9705</v>
      </c>
      <c r="HX62">
        <v>3.295</v>
      </c>
      <c r="HY62">
        <v>999.9</v>
      </c>
      <c r="HZ62">
        <v>9999</v>
      </c>
      <c r="IA62">
        <v>9999</v>
      </c>
      <c r="IB62">
        <v>9999</v>
      </c>
      <c r="IC62">
        <v>1.8632</v>
      </c>
      <c r="ID62">
        <v>1.86813</v>
      </c>
      <c r="IE62">
        <v>1.86788</v>
      </c>
      <c r="IF62">
        <v>1.86904</v>
      </c>
      <c r="IG62">
        <v>1.86984</v>
      </c>
      <c r="IH62">
        <v>1.86587</v>
      </c>
      <c r="II62">
        <v>1.86706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3.107</v>
      </c>
      <c r="IY62">
        <v>0.1627</v>
      </c>
      <c r="IZ62">
        <v>1.12264184085783</v>
      </c>
      <c r="JA62">
        <v>0.00531519531824411</v>
      </c>
      <c r="JB62">
        <v>-1.58401274662554e-06</v>
      </c>
      <c r="JC62">
        <v>4.65529057017795e-10</v>
      </c>
      <c r="JD62">
        <v>0.162735096694976</v>
      </c>
      <c r="JE62">
        <v>0</v>
      </c>
      <c r="JF62">
        <v>0</v>
      </c>
      <c r="JG62">
        <v>0</v>
      </c>
      <c r="JH62">
        <v>4</v>
      </c>
      <c r="JI62">
        <v>2305</v>
      </c>
      <c r="JJ62">
        <v>-0</v>
      </c>
      <c r="JK62">
        <v>23</v>
      </c>
      <c r="JL62">
        <v>29373217.9</v>
      </c>
      <c r="JM62">
        <v>29373217.9</v>
      </c>
      <c r="JN62">
        <v>1.11816</v>
      </c>
      <c r="JO62">
        <v>2.61108</v>
      </c>
      <c r="JP62">
        <v>2.19849</v>
      </c>
      <c r="JQ62">
        <v>2.64038</v>
      </c>
      <c r="JR62">
        <v>2.44507</v>
      </c>
      <c r="JS62">
        <v>2.29126</v>
      </c>
      <c r="JT62">
        <v>32.5318</v>
      </c>
      <c r="JU62">
        <v>24.1838</v>
      </c>
      <c r="JV62">
        <v>18</v>
      </c>
      <c r="JW62">
        <v>492.048</v>
      </c>
      <c r="JX62">
        <v>760.474</v>
      </c>
      <c r="JY62">
        <v>48.4772</v>
      </c>
      <c r="JZ62">
        <v>49.7629</v>
      </c>
      <c r="KA62">
        <v>30.0022</v>
      </c>
      <c r="KB62">
        <v>49.1776</v>
      </c>
      <c r="KC62">
        <v>48.9596</v>
      </c>
      <c r="KD62">
        <v>22.3896</v>
      </c>
      <c r="KE62">
        <v>0</v>
      </c>
      <c r="KF62">
        <v>100</v>
      </c>
      <c r="KG62">
        <v>48.4549</v>
      </c>
      <c r="KH62">
        <v>420</v>
      </c>
      <c r="KI62">
        <v>67.7987</v>
      </c>
      <c r="KJ62">
        <v>93.3187</v>
      </c>
      <c r="KK62">
        <v>90.2161</v>
      </c>
    </row>
    <row r="63" spans="1:297">
      <c r="A63">
        <v>47</v>
      </c>
      <c r="B63">
        <v>1762393172</v>
      </c>
      <c r="C63">
        <v>6227</v>
      </c>
      <c r="D63" t="s">
        <v>616</v>
      </c>
      <c r="E63" t="s">
        <v>617</v>
      </c>
      <c r="F63">
        <v>5</v>
      </c>
      <c r="G63" t="s">
        <v>595</v>
      </c>
      <c r="H63" t="s">
        <v>436</v>
      </c>
      <c r="I63">
        <v>1762393168.5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429.900615232236</v>
      </c>
      <c r="AK63">
        <v>437.143060606061</v>
      </c>
      <c r="AL63">
        <v>0.0499164710421376</v>
      </c>
      <c r="AM63">
        <v>64.0971715371779</v>
      </c>
      <c r="AN63">
        <f>(AP63 - AO63 + DY63*1E3/(8.314*(EA63+273.15)) * AR63/DX63 * AQ63) * DX63/(100*DL63) * 1000/(1000 - AP63)</f>
        <v>0</v>
      </c>
      <c r="AO63">
        <v>21.3743777742034</v>
      </c>
      <c r="AP63">
        <v>33.1457648484848</v>
      </c>
      <c r="AQ63">
        <v>-1.44363680027901e-05</v>
      </c>
      <c r="AR63">
        <v>97.6138108198519</v>
      </c>
      <c r="AS63">
        <v>1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592</v>
      </c>
      <c r="AY63">
        <v>5087.33</v>
      </c>
      <c r="AZ63">
        <v>1381.54</v>
      </c>
      <c r="BA63">
        <v>1615.57</v>
      </c>
      <c r="BB63">
        <f>1-AZ63/BA63</f>
        <v>0</v>
      </c>
      <c r="BC63">
        <v>-9.80481250773812</v>
      </c>
      <c r="BD63" t="s">
        <v>618</v>
      </c>
      <c r="BE63">
        <v>5150.53</v>
      </c>
      <c r="BF63">
        <v>1649.5132</v>
      </c>
      <c r="BG63">
        <v>1695.95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619</v>
      </c>
      <c r="BQ63">
        <v>1521.2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524</v>
      </c>
      <c r="CA63">
        <v>290</v>
      </c>
      <c r="CB63">
        <v>1695.95</v>
      </c>
      <c r="CC63">
        <v>295</v>
      </c>
      <c r="CD63">
        <v>5150.53</v>
      </c>
      <c r="CE63">
        <v>1697.59</v>
      </c>
      <c r="CF63">
        <v>-1.64</v>
      </c>
      <c r="CG63">
        <v>300</v>
      </c>
      <c r="CH63">
        <v>23.9</v>
      </c>
      <c r="CI63">
        <v>1679.78931367127</v>
      </c>
      <c r="CJ63">
        <v>2.07516565556967</v>
      </c>
      <c r="CK63">
        <v>9.16923740274742</v>
      </c>
      <c r="CL63">
        <v>0.934988890298217</v>
      </c>
      <c r="CM63">
        <v>0.774508294625214</v>
      </c>
      <c r="CN63">
        <v>-0.00400941868743048</v>
      </c>
      <c r="CO63">
        <v>290</v>
      </c>
      <c r="CP63">
        <v>1705.19</v>
      </c>
      <c r="CQ63">
        <v>885</v>
      </c>
      <c r="CR63">
        <v>5145.92</v>
      </c>
      <c r="CS63">
        <v>1697.61</v>
      </c>
      <c r="CT63">
        <v>7.58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1762393168.5</v>
      </c>
      <c r="DR63">
        <v>422.540333333333</v>
      </c>
      <c r="DS63">
        <v>420.499</v>
      </c>
      <c r="DT63">
        <v>33.146</v>
      </c>
      <c r="DU63">
        <v>21.3743666666667</v>
      </c>
      <c r="DV63">
        <v>419.4325</v>
      </c>
      <c r="DW63">
        <v>32.9832666666667</v>
      </c>
      <c r="DX63">
        <v>500.004333333333</v>
      </c>
      <c r="DY63">
        <v>90.90795</v>
      </c>
      <c r="DZ63">
        <v>0.0999550166666667</v>
      </c>
      <c r="EA63">
        <v>49.99575</v>
      </c>
      <c r="EB63">
        <v>48.02035</v>
      </c>
      <c r="EC63">
        <v>999.9</v>
      </c>
      <c r="ED63">
        <v>0</v>
      </c>
      <c r="EE63">
        <v>0</v>
      </c>
      <c r="EF63">
        <v>10004.9833333333</v>
      </c>
      <c r="EG63">
        <v>0</v>
      </c>
      <c r="EH63">
        <v>1212.24833333333</v>
      </c>
      <c r="EI63">
        <v>2.04123833333333</v>
      </c>
      <c r="EJ63">
        <v>437.025666666667</v>
      </c>
      <c r="EK63">
        <v>429.683166666667</v>
      </c>
      <c r="EL63">
        <v>11.7716</v>
      </c>
      <c r="EM63">
        <v>420.499</v>
      </c>
      <c r="EN63">
        <v>21.3743666666667</v>
      </c>
      <c r="EO63">
        <v>3.01323666666667</v>
      </c>
      <c r="EP63">
        <v>1.9431</v>
      </c>
      <c r="EQ63">
        <v>24.1012166666667</v>
      </c>
      <c r="ER63">
        <v>16.9881666666667</v>
      </c>
      <c r="ES63">
        <v>299.997333333333</v>
      </c>
      <c r="ET63">
        <v>0.899986666666667</v>
      </c>
      <c r="EU63">
        <v>0.100013183333333</v>
      </c>
      <c r="EV63">
        <v>0</v>
      </c>
      <c r="EW63">
        <v>1649.385</v>
      </c>
      <c r="EX63">
        <v>5.00059</v>
      </c>
      <c r="EY63">
        <v>5199.58</v>
      </c>
      <c r="EZ63">
        <v>2506.15833333333</v>
      </c>
      <c r="FA63">
        <v>57.375</v>
      </c>
      <c r="FB63">
        <v>59.6975</v>
      </c>
      <c r="FC63">
        <v>58.062</v>
      </c>
      <c r="FD63">
        <v>59.625</v>
      </c>
      <c r="FE63">
        <v>59.375</v>
      </c>
      <c r="FF63">
        <v>265.495</v>
      </c>
      <c r="FG63">
        <v>29.5</v>
      </c>
      <c r="FH63">
        <v>0</v>
      </c>
      <c r="FI63">
        <v>97.6000001430511</v>
      </c>
      <c r="FJ63">
        <v>0</v>
      </c>
      <c r="FK63">
        <v>1649.5132</v>
      </c>
      <c r="FL63">
        <v>-2.15230770263691</v>
      </c>
      <c r="FM63">
        <v>-0.352307682770435</v>
      </c>
      <c r="FN63">
        <v>5200.1444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1.877081</v>
      </c>
      <c r="GD63">
        <v>-0.238250526315788</v>
      </c>
      <c r="GE63">
        <v>0.338666860718612</v>
      </c>
      <c r="GF63">
        <v>1</v>
      </c>
      <c r="GG63">
        <v>1649.67264705882</v>
      </c>
      <c r="GH63">
        <v>-1.37738732273201</v>
      </c>
      <c r="GI63">
        <v>0.218730411876312</v>
      </c>
      <c r="GJ63">
        <v>-1</v>
      </c>
      <c r="GK63">
        <v>11.749445</v>
      </c>
      <c r="GL63">
        <v>0.173409022556384</v>
      </c>
      <c r="GM63">
        <v>0.0167844116667819</v>
      </c>
      <c r="GN63">
        <v>0</v>
      </c>
      <c r="GO63">
        <v>1</v>
      </c>
      <c r="GP63">
        <v>2</v>
      </c>
      <c r="GQ63" t="s">
        <v>454</v>
      </c>
      <c r="GR63">
        <v>3.12659</v>
      </c>
      <c r="GS63">
        <v>2.77802</v>
      </c>
      <c r="GT63">
        <v>0.0855545</v>
      </c>
      <c r="GU63">
        <v>0.0857164</v>
      </c>
      <c r="GV63">
        <v>0.124903</v>
      </c>
      <c r="GW63">
        <v>0.0913354</v>
      </c>
      <c r="GX63">
        <v>32995.3</v>
      </c>
      <c r="GY63">
        <v>34967.2</v>
      </c>
      <c r="GZ63">
        <v>32759.2</v>
      </c>
      <c r="HA63">
        <v>34742.9</v>
      </c>
      <c r="HB63">
        <v>40865.9</v>
      </c>
      <c r="HC63">
        <v>45445.6</v>
      </c>
      <c r="HD63">
        <v>51398</v>
      </c>
      <c r="HE63">
        <v>55652.6</v>
      </c>
      <c r="HF63">
        <v>1.7082</v>
      </c>
      <c r="HG63">
        <v>2.03303</v>
      </c>
      <c r="HH63">
        <v>-0.0618398</v>
      </c>
      <c r="HI63">
        <v>0</v>
      </c>
      <c r="HJ63">
        <v>48.9961</v>
      </c>
      <c r="HK63">
        <v>999.9</v>
      </c>
      <c r="HL63">
        <v>55.653</v>
      </c>
      <c r="HM63">
        <v>27.976</v>
      </c>
      <c r="HN63">
        <v>23.1985</v>
      </c>
      <c r="HO63">
        <v>59.8952</v>
      </c>
      <c r="HP63">
        <v>32.3638</v>
      </c>
      <c r="HQ63">
        <v>2</v>
      </c>
      <c r="HR63">
        <v>2.00718</v>
      </c>
      <c r="HS63">
        <v>0.680863</v>
      </c>
      <c r="HT63">
        <v>20.1262</v>
      </c>
      <c r="HU63">
        <v>5.18749</v>
      </c>
      <c r="HV63">
        <v>12.015</v>
      </c>
      <c r="HW63">
        <v>4.9694</v>
      </c>
      <c r="HX63">
        <v>3.295</v>
      </c>
      <c r="HY63">
        <v>999.9</v>
      </c>
      <c r="HZ63">
        <v>9999</v>
      </c>
      <c r="IA63">
        <v>9999</v>
      </c>
      <c r="IB63">
        <v>9999</v>
      </c>
      <c r="IC63">
        <v>1.86319</v>
      </c>
      <c r="ID63">
        <v>1.86813</v>
      </c>
      <c r="IE63">
        <v>1.86783</v>
      </c>
      <c r="IF63">
        <v>1.86904</v>
      </c>
      <c r="IG63">
        <v>1.86981</v>
      </c>
      <c r="IH63">
        <v>1.86596</v>
      </c>
      <c r="II63">
        <v>1.86707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3.108</v>
      </c>
      <c r="IY63">
        <v>0.1627</v>
      </c>
      <c r="IZ63">
        <v>1.12264184085783</v>
      </c>
      <c r="JA63">
        <v>0.00531519531824411</v>
      </c>
      <c r="JB63">
        <v>-1.58401274662554e-06</v>
      </c>
      <c r="JC63">
        <v>4.65529057017795e-10</v>
      </c>
      <c r="JD63">
        <v>0.162735096694976</v>
      </c>
      <c r="JE63">
        <v>0</v>
      </c>
      <c r="JF63">
        <v>0</v>
      </c>
      <c r="JG63">
        <v>0</v>
      </c>
      <c r="JH63">
        <v>4</v>
      </c>
      <c r="JI63">
        <v>2305</v>
      </c>
      <c r="JJ63">
        <v>-0</v>
      </c>
      <c r="JK63">
        <v>23</v>
      </c>
      <c r="JL63">
        <v>29373219.5</v>
      </c>
      <c r="JM63">
        <v>29373219.5</v>
      </c>
      <c r="JN63">
        <v>1.11694</v>
      </c>
      <c r="JO63">
        <v>2.61353</v>
      </c>
      <c r="JP63">
        <v>2.19849</v>
      </c>
      <c r="JQ63">
        <v>2.64038</v>
      </c>
      <c r="JR63">
        <v>2.44507</v>
      </c>
      <c r="JS63">
        <v>2.27539</v>
      </c>
      <c r="JT63">
        <v>32.5318</v>
      </c>
      <c r="JU63">
        <v>24.1926</v>
      </c>
      <c r="JV63">
        <v>18</v>
      </c>
      <c r="JW63">
        <v>490.809</v>
      </c>
      <c r="JX63">
        <v>757.607</v>
      </c>
      <c r="JY63">
        <v>48.7085</v>
      </c>
      <c r="JZ63">
        <v>50.2751</v>
      </c>
      <c r="KA63">
        <v>30.0033</v>
      </c>
      <c r="KB63">
        <v>49.634</v>
      </c>
      <c r="KC63">
        <v>49.405</v>
      </c>
      <c r="KD63">
        <v>22.3774</v>
      </c>
      <c r="KE63">
        <v>0</v>
      </c>
      <c r="KF63">
        <v>100</v>
      </c>
      <c r="KG63">
        <v>48.6736</v>
      </c>
      <c r="KH63">
        <v>420</v>
      </c>
      <c r="KI63">
        <v>67.7987</v>
      </c>
      <c r="KJ63">
        <v>93.2221</v>
      </c>
      <c r="KK63">
        <v>90.091</v>
      </c>
    </row>
    <row r="64" spans="1:297">
      <c r="A64">
        <v>48</v>
      </c>
      <c r="B64">
        <v>1762393247</v>
      </c>
      <c r="C64">
        <v>6302</v>
      </c>
      <c r="D64" t="s">
        <v>620</v>
      </c>
      <c r="E64" t="s">
        <v>621</v>
      </c>
      <c r="F64">
        <v>5</v>
      </c>
      <c r="G64" t="s">
        <v>595</v>
      </c>
      <c r="H64" t="s">
        <v>436</v>
      </c>
      <c r="I64">
        <v>1762393243.5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429.195427381465</v>
      </c>
      <c r="AK64">
        <v>436.581157575757</v>
      </c>
      <c r="AL64">
        <v>-0.00277104724154423</v>
      </c>
      <c r="AM64">
        <v>64.0971715371779</v>
      </c>
      <c r="AN64">
        <f>(AP64 - AO64 + DY64*1E3/(8.314*(EA64+273.15)) * AR64/DX64 * AQ64) * DX64/(100*DL64) * 1000/(1000 - AP64)</f>
        <v>0</v>
      </c>
      <c r="AO64">
        <v>21.3736796199946</v>
      </c>
      <c r="AP64">
        <v>33.2090709090909</v>
      </c>
      <c r="AQ64">
        <v>0.000118858798562772</v>
      </c>
      <c r="AR64">
        <v>97.6138108198519</v>
      </c>
      <c r="AS64">
        <v>2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477</v>
      </c>
      <c r="AY64" t="s">
        <v>477</v>
      </c>
      <c r="AZ64">
        <v>0</v>
      </c>
      <c r="BA64">
        <v>0</v>
      </c>
      <c r="BB64">
        <f>1-AZ64/BA64</f>
        <v>0</v>
      </c>
      <c r="BC64">
        <v>0</v>
      </c>
      <c r="BD64" t="s">
        <v>477</v>
      </c>
      <c r="BE64" t="s">
        <v>477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477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524</v>
      </c>
      <c r="CA64">
        <v>290</v>
      </c>
      <c r="CB64">
        <v>1695.95</v>
      </c>
      <c r="CC64">
        <v>295</v>
      </c>
      <c r="CD64">
        <v>5150.53</v>
      </c>
      <c r="CE64">
        <v>1697.59</v>
      </c>
      <c r="CF64">
        <v>-1.64</v>
      </c>
      <c r="CG64">
        <v>300</v>
      </c>
      <c r="CH64">
        <v>23.9</v>
      </c>
      <c r="CI64">
        <v>1679.78931367127</v>
      </c>
      <c r="CJ64">
        <v>2.07516565556967</v>
      </c>
      <c r="CK64">
        <v>9.16923740274742</v>
      </c>
      <c r="CL64">
        <v>0.934988890298217</v>
      </c>
      <c r="CM64">
        <v>0.774508294625214</v>
      </c>
      <c r="CN64">
        <v>-0.00400941868743048</v>
      </c>
      <c r="CO64">
        <v>290</v>
      </c>
      <c r="CP64">
        <v>1705.19</v>
      </c>
      <c r="CQ64">
        <v>885</v>
      </c>
      <c r="CR64">
        <v>5145.92</v>
      </c>
      <c r="CS64">
        <v>1697.61</v>
      </c>
      <c r="CT64">
        <v>7.58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1762393243.5</v>
      </c>
      <c r="DR64">
        <v>422.0965</v>
      </c>
      <c r="DS64">
        <v>420.010166666667</v>
      </c>
      <c r="DT64">
        <v>33.2054666666667</v>
      </c>
      <c r="DU64">
        <v>21.3736666666667</v>
      </c>
      <c r="DV64">
        <v>418.990666666667</v>
      </c>
      <c r="DW64">
        <v>33.0427333333333</v>
      </c>
      <c r="DX64">
        <v>500.028333333333</v>
      </c>
      <c r="DY64">
        <v>90.9113666666667</v>
      </c>
      <c r="DZ64">
        <v>0.1000498</v>
      </c>
      <c r="EA64">
        <v>50.03855</v>
      </c>
      <c r="EB64">
        <v>48.0069833333333</v>
      </c>
      <c r="EC64">
        <v>999.9</v>
      </c>
      <c r="ED64">
        <v>0</v>
      </c>
      <c r="EE64">
        <v>0</v>
      </c>
      <c r="EF64">
        <v>9997.48333333333</v>
      </c>
      <c r="EG64">
        <v>0</v>
      </c>
      <c r="EH64">
        <v>1210.22333333333</v>
      </c>
      <c r="EI64">
        <v>2.08627166666667</v>
      </c>
      <c r="EJ64">
        <v>436.593833333333</v>
      </c>
      <c r="EK64">
        <v>429.183166666667</v>
      </c>
      <c r="EL64">
        <v>11.8318</v>
      </c>
      <c r="EM64">
        <v>420.010166666667</v>
      </c>
      <c r="EN64">
        <v>21.3736666666667</v>
      </c>
      <c r="EO64">
        <v>3.018755</v>
      </c>
      <c r="EP64">
        <v>1.94311</v>
      </c>
      <c r="EQ64">
        <v>24.1317166666667</v>
      </c>
      <c r="ER64">
        <v>16.9882333333333</v>
      </c>
      <c r="ES64">
        <v>150.028833333333</v>
      </c>
      <c r="ET64">
        <v>0.900034</v>
      </c>
      <c r="EU64">
        <v>0.0999656666666667</v>
      </c>
      <c r="EV64">
        <v>0</v>
      </c>
      <c r="EW64">
        <v>1627.54333333333</v>
      </c>
      <c r="EX64">
        <v>5.00059</v>
      </c>
      <c r="EY64">
        <v>2681.52666666667</v>
      </c>
      <c r="EZ64">
        <v>1232.11</v>
      </c>
      <c r="FA64">
        <v>57.437</v>
      </c>
      <c r="FB64">
        <v>60.062</v>
      </c>
      <c r="FC64">
        <v>58.3016666666667</v>
      </c>
      <c r="FD64">
        <v>60.0103333333333</v>
      </c>
      <c r="FE64">
        <v>59.5103333333333</v>
      </c>
      <c r="FF64">
        <v>130.53</v>
      </c>
      <c r="FG64">
        <v>14.5</v>
      </c>
      <c r="FH64">
        <v>0</v>
      </c>
      <c r="FI64">
        <v>71</v>
      </c>
      <c r="FJ64">
        <v>0</v>
      </c>
      <c r="FK64">
        <v>1627.516</v>
      </c>
      <c r="FL64">
        <v>-0.460769225509992</v>
      </c>
      <c r="FM64">
        <v>-0.122307700609691</v>
      </c>
      <c r="FN64">
        <v>2681.22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1.8654980952381</v>
      </c>
      <c r="GD64">
        <v>0.0447225974025991</v>
      </c>
      <c r="GE64">
        <v>0.292768264602359</v>
      </c>
      <c r="GF64">
        <v>1</v>
      </c>
      <c r="GG64">
        <v>1627.65088235294</v>
      </c>
      <c r="GH64">
        <v>-1.64721160896783</v>
      </c>
      <c r="GI64">
        <v>0.265943024051255</v>
      </c>
      <c r="GJ64">
        <v>-1</v>
      </c>
      <c r="GK64">
        <v>11.8161476190476</v>
      </c>
      <c r="GL64">
        <v>0.0932961038961178</v>
      </c>
      <c r="GM64">
        <v>0.00970452123632596</v>
      </c>
      <c r="GN64">
        <v>1</v>
      </c>
      <c r="GO64">
        <v>2</v>
      </c>
      <c r="GP64">
        <v>2</v>
      </c>
      <c r="GQ64" t="s">
        <v>478</v>
      </c>
      <c r="GR64">
        <v>3.12671</v>
      </c>
      <c r="GS64">
        <v>2.77819</v>
      </c>
      <c r="GT64">
        <v>0.0854108</v>
      </c>
      <c r="GU64">
        <v>0.085642</v>
      </c>
      <c r="GV64">
        <v>0.12497</v>
      </c>
      <c r="GW64">
        <v>0.0912631</v>
      </c>
      <c r="GX64">
        <v>32967.5</v>
      </c>
      <c r="GY64">
        <v>34926.3</v>
      </c>
      <c r="GZ64">
        <v>32728.7</v>
      </c>
      <c r="HA64">
        <v>34701.7</v>
      </c>
      <c r="HB64">
        <v>40833.5</v>
      </c>
      <c r="HC64">
        <v>45399.5</v>
      </c>
      <c r="HD64">
        <v>51357.1</v>
      </c>
      <c r="HE64">
        <v>55591.6</v>
      </c>
      <c r="HF64">
        <v>1.704</v>
      </c>
      <c r="HG64">
        <v>2.02692</v>
      </c>
      <c r="HH64">
        <v>-0.0790879</v>
      </c>
      <c r="HI64">
        <v>0</v>
      </c>
      <c r="HJ64">
        <v>49.2575</v>
      </c>
      <c r="HK64">
        <v>999.9</v>
      </c>
      <c r="HL64">
        <v>55.628</v>
      </c>
      <c r="HM64">
        <v>27.986</v>
      </c>
      <c r="HN64">
        <v>23.1989</v>
      </c>
      <c r="HO64">
        <v>59.9252</v>
      </c>
      <c r="HP64">
        <v>32.1234</v>
      </c>
      <c r="HQ64">
        <v>2</v>
      </c>
      <c r="HR64">
        <v>2.04936</v>
      </c>
      <c r="HS64">
        <v>0.468224</v>
      </c>
      <c r="HT64">
        <v>20.1283</v>
      </c>
      <c r="HU64">
        <v>5.19078</v>
      </c>
      <c r="HV64">
        <v>12.0155</v>
      </c>
      <c r="HW64">
        <v>4.9699</v>
      </c>
      <c r="HX64">
        <v>3.295</v>
      </c>
      <c r="HY64">
        <v>999.9</v>
      </c>
      <c r="HZ64">
        <v>9999</v>
      </c>
      <c r="IA64">
        <v>9999</v>
      </c>
      <c r="IB64">
        <v>9999</v>
      </c>
      <c r="IC64">
        <v>1.86319</v>
      </c>
      <c r="ID64">
        <v>1.86813</v>
      </c>
      <c r="IE64">
        <v>1.86786</v>
      </c>
      <c r="IF64">
        <v>1.86904</v>
      </c>
      <c r="IG64">
        <v>1.86981</v>
      </c>
      <c r="IH64">
        <v>1.86586</v>
      </c>
      <c r="II64">
        <v>1.86707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3.105</v>
      </c>
      <c r="IY64">
        <v>0.1627</v>
      </c>
      <c r="IZ64">
        <v>1.12264184085783</v>
      </c>
      <c r="JA64">
        <v>0.00531519531824411</v>
      </c>
      <c r="JB64">
        <v>-1.58401274662554e-06</v>
      </c>
      <c r="JC64">
        <v>4.65529057017795e-10</v>
      </c>
      <c r="JD64">
        <v>0.162735096694976</v>
      </c>
      <c r="JE64">
        <v>0</v>
      </c>
      <c r="JF64">
        <v>0</v>
      </c>
      <c r="JG64">
        <v>0</v>
      </c>
      <c r="JH64">
        <v>4</v>
      </c>
      <c r="JI64">
        <v>2305</v>
      </c>
      <c r="JJ64">
        <v>-0</v>
      </c>
      <c r="JK64">
        <v>23</v>
      </c>
      <c r="JL64">
        <v>29373220.8</v>
      </c>
      <c r="JM64">
        <v>29373220.8</v>
      </c>
      <c r="JN64">
        <v>1.11572</v>
      </c>
      <c r="JO64">
        <v>2.60986</v>
      </c>
      <c r="JP64">
        <v>2.19849</v>
      </c>
      <c r="JQ64">
        <v>2.6416</v>
      </c>
      <c r="JR64">
        <v>2.44507</v>
      </c>
      <c r="JS64">
        <v>2.26562</v>
      </c>
      <c r="JT64">
        <v>32.5539</v>
      </c>
      <c r="JU64">
        <v>24.1926</v>
      </c>
      <c r="JV64">
        <v>18</v>
      </c>
      <c r="JW64">
        <v>490.094</v>
      </c>
      <c r="JX64">
        <v>755.261</v>
      </c>
      <c r="JY64">
        <v>48.7031</v>
      </c>
      <c r="JZ64">
        <v>50.7043</v>
      </c>
      <c r="KA64">
        <v>30.0034</v>
      </c>
      <c r="KB64">
        <v>50.0218</v>
      </c>
      <c r="KC64">
        <v>49.7853</v>
      </c>
      <c r="KD64">
        <v>22.3531</v>
      </c>
      <c r="KE64">
        <v>0</v>
      </c>
      <c r="KF64">
        <v>100</v>
      </c>
      <c r="KG64">
        <v>48.6731</v>
      </c>
      <c r="KH64">
        <v>420</v>
      </c>
      <c r="KI64">
        <v>67.7987</v>
      </c>
      <c r="KJ64">
        <v>93.143</v>
      </c>
      <c r="KK64">
        <v>89.9891</v>
      </c>
    </row>
    <row r="65" spans="1:297">
      <c r="A65">
        <v>49</v>
      </c>
      <c r="B65">
        <v>1762393338</v>
      </c>
      <c r="C65">
        <v>6393</v>
      </c>
      <c r="D65" t="s">
        <v>622</v>
      </c>
      <c r="E65" t="s">
        <v>623</v>
      </c>
      <c r="F65">
        <v>5</v>
      </c>
      <c r="G65" t="s">
        <v>595</v>
      </c>
      <c r="H65" t="s">
        <v>436</v>
      </c>
      <c r="I65">
        <v>1762393334.5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429.038058286715</v>
      </c>
      <c r="AK65">
        <v>436.360163636364</v>
      </c>
      <c r="AL65">
        <v>-0.00571226893357013</v>
      </c>
      <c r="AM65">
        <v>64.0971715371779</v>
      </c>
      <c r="AN65">
        <f>(AP65 - AO65 + DY65*1E3/(8.314*(EA65+273.15)) * AR65/DX65 * AQ65) * DX65/(100*DL65) * 1000/(1000 - AP65)</f>
        <v>0</v>
      </c>
      <c r="AO65">
        <v>21.3795567981521</v>
      </c>
      <c r="AP65">
        <v>33.3209381818182</v>
      </c>
      <c r="AQ65">
        <v>9.13747304296747e-06</v>
      </c>
      <c r="AR65">
        <v>97.6138108198519</v>
      </c>
      <c r="AS65">
        <v>3</v>
      </c>
      <c r="AT65">
        <v>1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592</v>
      </c>
      <c r="AY65">
        <v>5087.33</v>
      </c>
      <c r="AZ65">
        <v>1381.54</v>
      </c>
      <c r="BA65">
        <v>1615.57</v>
      </c>
      <c r="BB65">
        <f>1-AZ65/BA65</f>
        <v>0</v>
      </c>
      <c r="BC65">
        <v>-9.80481250773812</v>
      </c>
      <c r="BD65" t="s">
        <v>624</v>
      </c>
      <c r="BE65">
        <v>5128.07</v>
      </c>
      <c r="BF65">
        <v>1590.4592</v>
      </c>
      <c r="BG65">
        <v>1694.71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625</v>
      </c>
      <c r="BQ65">
        <v>1510.73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526</v>
      </c>
      <c r="CA65">
        <v>290</v>
      </c>
      <c r="CB65">
        <v>1694.71</v>
      </c>
      <c r="CC65">
        <v>295</v>
      </c>
      <c r="CD65">
        <v>5128.07</v>
      </c>
      <c r="CE65">
        <v>1699.25</v>
      </c>
      <c r="CF65">
        <v>-4.54</v>
      </c>
      <c r="CG65">
        <v>300</v>
      </c>
      <c r="CH65">
        <v>23.9</v>
      </c>
      <c r="CI65">
        <v>1665.08503199474</v>
      </c>
      <c r="CJ65">
        <v>3.83645127117699</v>
      </c>
      <c r="CK65">
        <v>17.5183884831017</v>
      </c>
      <c r="CL65">
        <v>1.70704530239743</v>
      </c>
      <c r="CM65">
        <v>0.789974169722059</v>
      </c>
      <c r="CN65">
        <v>-0.00420234327030034</v>
      </c>
      <c r="CO65">
        <v>290</v>
      </c>
      <c r="CP65">
        <v>1712.87</v>
      </c>
      <c r="CQ65">
        <v>875</v>
      </c>
      <c r="CR65">
        <v>5123.35</v>
      </c>
      <c r="CS65">
        <v>1699.28</v>
      </c>
      <c r="CT65">
        <v>13.59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1762393334.5</v>
      </c>
      <c r="DR65">
        <v>421.851333333333</v>
      </c>
      <c r="DS65">
        <v>419.884833333333</v>
      </c>
      <c r="DT65">
        <v>33.3199</v>
      </c>
      <c r="DU65">
        <v>21.3796</v>
      </c>
      <c r="DV65">
        <v>418.7465</v>
      </c>
      <c r="DW65">
        <v>33.1571833333333</v>
      </c>
      <c r="DX65">
        <v>500.083333333333</v>
      </c>
      <c r="DY65">
        <v>90.9102833333333</v>
      </c>
      <c r="DZ65">
        <v>0.100085066666667</v>
      </c>
      <c r="EA65">
        <v>50.08995</v>
      </c>
      <c r="EB65">
        <v>48.0450166666667</v>
      </c>
      <c r="EC65">
        <v>999.9</v>
      </c>
      <c r="ED65">
        <v>0</v>
      </c>
      <c r="EE65">
        <v>0</v>
      </c>
      <c r="EF65">
        <v>9993.125</v>
      </c>
      <c r="EG65">
        <v>0</v>
      </c>
      <c r="EH65">
        <v>1207.52166666667</v>
      </c>
      <c r="EI65">
        <v>1.96649833333333</v>
      </c>
      <c r="EJ65">
        <v>436.392</v>
      </c>
      <c r="EK65">
        <v>429.058166666667</v>
      </c>
      <c r="EL65">
        <v>11.9403</v>
      </c>
      <c r="EM65">
        <v>419.884833333333</v>
      </c>
      <c r="EN65">
        <v>21.3796</v>
      </c>
      <c r="EO65">
        <v>3.02912166666667</v>
      </c>
      <c r="EP65">
        <v>1.943625</v>
      </c>
      <c r="EQ65">
        <v>24.18885</v>
      </c>
      <c r="ER65">
        <v>16.9924166666667</v>
      </c>
      <c r="ES65">
        <v>50.0247833333333</v>
      </c>
      <c r="ET65">
        <v>0.900277</v>
      </c>
      <c r="EU65">
        <v>0.099723</v>
      </c>
      <c r="EV65">
        <v>0</v>
      </c>
      <c r="EW65">
        <v>1590.48333333333</v>
      </c>
      <c r="EX65">
        <v>5.00059</v>
      </c>
      <c r="EY65">
        <v>1024.8</v>
      </c>
      <c r="EZ65">
        <v>382.538833333333</v>
      </c>
      <c r="FA65">
        <v>57.4475</v>
      </c>
      <c r="FB65">
        <v>60.437</v>
      </c>
      <c r="FC65">
        <v>58.5</v>
      </c>
      <c r="FD65">
        <v>60.437</v>
      </c>
      <c r="FE65">
        <v>59.625</v>
      </c>
      <c r="FF65">
        <v>40.5333333333333</v>
      </c>
      <c r="FG65">
        <v>4.49</v>
      </c>
      <c r="FH65">
        <v>0</v>
      </c>
      <c r="FI65">
        <v>162.199999809265</v>
      </c>
      <c r="FJ65">
        <v>0</v>
      </c>
      <c r="FK65">
        <v>1590.4592</v>
      </c>
      <c r="FL65">
        <v>-0.992307694973251</v>
      </c>
      <c r="FM65">
        <v>-0.0192307779714079</v>
      </c>
      <c r="FN65">
        <v>1024.5936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1.660378</v>
      </c>
      <c r="GD65">
        <v>0.975558496240599</v>
      </c>
      <c r="GE65">
        <v>0.280684738498551</v>
      </c>
      <c r="GF65">
        <v>0</v>
      </c>
      <c r="GG65">
        <v>1590.58470588235</v>
      </c>
      <c r="GH65">
        <v>-1.64064170930728</v>
      </c>
      <c r="GI65">
        <v>0.24040695025334</v>
      </c>
      <c r="GJ65">
        <v>-1</v>
      </c>
      <c r="GK65">
        <v>11.927945</v>
      </c>
      <c r="GL65">
        <v>0.100560902255646</v>
      </c>
      <c r="GM65">
        <v>0.0100679429378598</v>
      </c>
      <c r="GN65">
        <v>0</v>
      </c>
      <c r="GO65">
        <v>0</v>
      </c>
      <c r="GP65">
        <v>2</v>
      </c>
      <c r="GQ65" t="s">
        <v>442</v>
      </c>
      <c r="GR65">
        <v>3.12634</v>
      </c>
      <c r="GS65">
        <v>2.77793</v>
      </c>
      <c r="GT65">
        <v>0.0852597</v>
      </c>
      <c r="GU65">
        <v>0.0855241</v>
      </c>
      <c r="GV65">
        <v>0.125125</v>
      </c>
      <c r="GW65">
        <v>0.0911769</v>
      </c>
      <c r="GX65">
        <v>32928.6</v>
      </c>
      <c r="GY65">
        <v>34872.3</v>
      </c>
      <c r="GZ65">
        <v>32687.6</v>
      </c>
      <c r="HA65">
        <v>34646.5</v>
      </c>
      <c r="HB65">
        <v>40787.4</v>
      </c>
      <c r="HC65">
        <v>45336.8</v>
      </c>
      <c r="HD65">
        <v>51302.5</v>
      </c>
      <c r="HE65">
        <v>55509.4</v>
      </c>
      <c r="HF65">
        <v>1.69777</v>
      </c>
      <c r="HG65">
        <v>2.01918</v>
      </c>
      <c r="HH65">
        <v>-0.0938028</v>
      </c>
      <c r="HI65">
        <v>0</v>
      </c>
      <c r="HJ65">
        <v>49.5375</v>
      </c>
      <c r="HK65">
        <v>999.9</v>
      </c>
      <c r="HL65">
        <v>55.604</v>
      </c>
      <c r="HM65">
        <v>27.996</v>
      </c>
      <c r="HN65">
        <v>23.2052</v>
      </c>
      <c r="HO65">
        <v>59.8552</v>
      </c>
      <c r="HP65">
        <v>32.1074</v>
      </c>
      <c r="HQ65">
        <v>2</v>
      </c>
      <c r="HR65">
        <v>2.11045</v>
      </c>
      <c r="HS65">
        <v>0.947712</v>
      </c>
      <c r="HT65">
        <v>20.1263</v>
      </c>
      <c r="HU65">
        <v>5.18689</v>
      </c>
      <c r="HV65">
        <v>12.0159</v>
      </c>
      <c r="HW65">
        <v>4.96945</v>
      </c>
      <c r="HX65">
        <v>3.295</v>
      </c>
      <c r="HY65">
        <v>999.9</v>
      </c>
      <c r="HZ65">
        <v>9999</v>
      </c>
      <c r="IA65">
        <v>9999</v>
      </c>
      <c r="IB65">
        <v>9999</v>
      </c>
      <c r="IC65">
        <v>1.8632</v>
      </c>
      <c r="ID65">
        <v>1.86813</v>
      </c>
      <c r="IE65">
        <v>1.86788</v>
      </c>
      <c r="IF65">
        <v>1.86904</v>
      </c>
      <c r="IG65">
        <v>1.86983</v>
      </c>
      <c r="IH65">
        <v>1.86594</v>
      </c>
      <c r="II65">
        <v>1.86707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3.104</v>
      </c>
      <c r="IY65">
        <v>0.1627</v>
      </c>
      <c r="IZ65">
        <v>1.12264184085783</v>
      </c>
      <c r="JA65">
        <v>0.00531519531824411</v>
      </c>
      <c r="JB65">
        <v>-1.58401274662554e-06</v>
      </c>
      <c r="JC65">
        <v>4.65529057017795e-10</v>
      </c>
      <c r="JD65">
        <v>0.162735096694976</v>
      </c>
      <c r="JE65">
        <v>0</v>
      </c>
      <c r="JF65">
        <v>0</v>
      </c>
      <c r="JG65">
        <v>0</v>
      </c>
      <c r="JH65">
        <v>4</v>
      </c>
      <c r="JI65">
        <v>2305</v>
      </c>
      <c r="JJ65">
        <v>-0</v>
      </c>
      <c r="JK65">
        <v>23</v>
      </c>
      <c r="JL65">
        <v>29373222.3</v>
      </c>
      <c r="JM65">
        <v>29373222.3</v>
      </c>
      <c r="JN65">
        <v>1.1145</v>
      </c>
      <c r="JO65">
        <v>2.59888</v>
      </c>
      <c r="JP65">
        <v>2.19849</v>
      </c>
      <c r="JQ65">
        <v>2.64038</v>
      </c>
      <c r="JR65">
        <v>2.44507</v>
      </c>
      <c r="JS65">
        <v>2.33154</v>
      </c>
      <c r="JT65">
        <v>32.5539</v>
      </c>
      <c r="JU65">
        <v>24.2013</v>
      </c>
      <c r="JV65">
        <v>18</v>
      </c>
      <c r="JW65">
        <v>488.68</v>
      </c>
      <c r="JX65">
        <v>752.519</v>
      </c>
      <c r="JY65">
        <v>48.4426</v>
      </c>
      <c r="JZ65">
        <v>51.276</v>
      </c>
      <c r="KA65">
        <v>30.0034</v>
      </c>
      <c r="KB65">
        <v>50.5427</v>
      </c>
      <c r="KC65">
        <v>50.2971</v>
      </c>
      <c r="KD65">
        <v>22.3377</v>
      </c>
      <c r="KE65">
        <v>0</v>
      </c>
      <c r="KF65">
        <v>100</v>
      </c>
      <c r="KG65">
        <v>48.4151</v>
      </c>
      <c r="KH65">
        <v>420</v>
      </c>
      <c r="KI65">
        <v>67.7987</v>
      </c>
      <c r="KJ65">
        <v>93.037</v>
      </c>
      <c r="KK65">
        <v>89.8522</v>
      </c>
    </row>
    <row r="66" spans="1:297">
      <c r="A66">
        <v>50</v>
      </c>
      <c r="B66">
        <v>1762393428</v>
      </c>
      <c r="C66">
        <v>6483</v>
      </c>
      <c r="D66" t="s">
        <v>626</v>
      </c>
      <c r="E66" t="s">
        <v>627</v>
      </c>
      <c r="F66">
        <v>5</v>
      </c>
      <c r="G66" t="s">
        <v>595</v>
      </c>
      <c r="H66" t="s">
        <v>436</v>
      </c>
      <c r="I66">
        <v>1762393424.5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429.337549828775</v>
      </c>
      <c r="AK66">
        <v>436.327545454545</v>
      </c>
      <c r="AL66">
        <v>0.0425611853985924</v>
      </c>
      <c r="AM66">
        <v>64.0971715371779</v>
      </c>
      <c r="AN66">
        <f>(AP66 - AO66 + DY66*1E3/(8.314*(EA66+273.15)) * AR66/DX66 * AQ66) * DX66/(100*DL66) * 1000/(1000 - AP66)</f>
        <v>0</v>
      </c>
      <c r="AO66">
        <v>21.380122059469</v>
      </c>
      <c r="AP66">
        <v>33.3981224242424</v>
      </c>
      <c r="AQ66">
        <v>-7.33926723938797e-05</v>
      </c>
      <c r="AR66">
        <v>97.6138108198519</v>
      </c>
      <c r="AS66">
        <v>4</v>
      </c>
      <c r="AT66">
        <v>1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477</v>
      </c>
      <c r="AY66" t="s">
        <v>477</v>
      </c>
      <c r="AZ66">
        <v>0</v>
      </c>
      <c r="BA66">
        <v>0</v>
      </c>
      <c r="BB66">
        <f>1-AZ66/BA66</f>
        <v>0</v>
      </c>
      <c r="BC66">
        <v>0</v>
      </c>
      <c r="BD66" t="s">
        <v>477</v>
      </c>
      <c r="BE66" t="s">
        <v>477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477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526</v>
      </c>
      <c r="CA66">
        <v>290</v>
      </c>
      <c r="CB66">
        <v>1694.71</v>
      </c>
      <c r="CC66">
        <v>295</v>
      </c>
      <c r="CD66">
        <v>5128.07</v>
      </c>
      <c r="CE66">
        <v>1699.25</v>
      </c>
      <c r="CF66">
        <v>-4.54</v>
      </c>
      <c r="CG66">
        <v>300</v>
      </c>
      <c r="CH66">
        <v>23.9</v>
      </c>
      <c r="CI66">
        <v>1665.08503199474</v>
      </c>
      <c r="CJ66">
        <v>3.83645127117699</v>
      </c>
      <c r="CK66">
        <v>17.5183884831017</v>
      </c>
      <c r="CL66">
        <v>1.70704530239743</v>
      </c>
      <c r="CM66">
        <v>0.789974169722059</v>
      </c>
      <c r="CN66">
        <v>-0.00420234327030034</v>
      </c>
      <c r="CO66">
        <v>290</v>
      </c>
      <c r="CP66">
        <v>1712.87</v>
      </c>
      <c r="CQ66">
        <v>875</v>
      </c>
      <c r="CR66">
        <v>5123.35</v>
      </c>
      <c r="CS66">
        <v>1699.28</v>
      </c>
      <c r="CT66">
        <v>13.59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1762393424.5</v>
      </c>
      <c r="DR66">
        <v>421.651166666667</v>
      </c>
      <c r="DS66">
        <v>420.063166666667</v>
      </c>
      <c r="DT66">
        <v>33.40175</v>
      </c>
      <c r="DU66">
        <v>21.3801333333333</v>
      </c>
      <c r="DV66">
        <v>418.547333333333</v>
      </c>
      <c r="DW66">
        <v>33.2390333333333</v>
      </c>
      <c r="DX66">
        <v>500.013166666667</v>
      </c>
      <c r="DY66">
        <v>90.9239666666667</v>
      </c>
      <c r="DZ66">
        <v>0.09994515</v>
      </c>
      <c r="EA66">
        <v>50.05205</v>
      </c>
      <c r="EB66">
        <v>47.9975666666667</v>
      </c>
      <c r="EC66">
        <v>999.9</v>
      </c>
      <c r="ED66">
        <v>0</v>
      </c>
      <c r="EE66">
        <v>0</v>
      </c>
      <c r="EF66">
        <v>10008.2383333333</v>
      </c>
      <c r="EG66">
        <v>0</v>
      </c>
      <c r="EH66">
        <v>1205.135</v>
      </c>
      <c r="EI66">
        <v>1.58810833333333</v>
      </c>
      <c r="EJ66">
        <v>436.221833333333</v>
      </c>
      <c r="EK66">
        <v>429.2405</v>
      </c>
      <c r="EL66">
        <v>12.0216333333333</v>
      </c>
      <c r="EM66">
        <v>420.063166666667</v>
      </c>
      <c r="EN66">
        <v>21.3801333333333</v>
      </c>
      <c r="EO66">
        <v>3.03702166666667</v>
      </c>
      <c r="EP66">
        <v>1.94396666666667</v>
      </c>
      <c r="EQ66">
        <v>24.2323</v>
      </c>
      <c r="ER66">
        <v>16.9951666666667</v>
      </c>
      <c r="ES66">
        <v>0.00500059</v>
      </c>
      <c r="ET66">
        <v>0</v>
      </c>
      <c r="EU66">
        <v>0</v>
      </c>
      <c r="EV66">
        <v>0</v>
      </c>
      <c r="EW66">
        <v>1590.51666666667</v>
      </c>
      <c r="EX66">
        <v>0.00500059</v>
      </c>
      <c r="EY66">
        <v>304.9</v>
      </c>
      <c r="EZ66">
        <v>4.48333333333333</v>
      </c>
      <c r="FA66">
        <v>57.625</v>
      </c>
      <c r="FB66">
        <v>60.812</v>
      </c>
      <c r="FC66">
        <v>58.7395</v>
      </c>
      <c r="FD66">
        <v>60.7185</v>
      </c>
      <c r="FE66">
        <v>59.625</v>
      </c>
      <c r="FF66">
        <v>0</v>
      </c>
      <c r="FG66">
        <v>0</v>
      </c>
      <c r="FH66">
        <v>0</v>
      </c>
      <c r="FI66">
        <v>85.6000001430511</v>
      </c>
      <c r="FJ66">
        <v>0</v>
      </c>
      <c r="FK66">
        <v>1591.368</v>
      </c>
      <c r="FL66">
        <v>13.4615388894712</v>
      </c>
      <c r="FM66">
        <v>-12.1923075914372</v>
      </c>
      <c r="FN66">
        <v>304.98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1.490025</v>
      </c>
      <c r="GD66">
        <v>-0.0854914285714262</v>
      </c>
      <c r="GE66">
        <v>0.198988201622609</v>
      </c>
      <c r="GF66">
        <v>1</v>
      </c>
      <c r="GG66">
        <v>1588.82941176471</v>
      </c>
      <c r="GH66">
        <v>24.4675324679146</v>
      </c>
      <c r="GI66">
        <v>5.13119235150048</v>
      </c>
      <c r="GJ66">
        <v>-1</v>
      </c>
      <c r="GK66">
        <v>12.018125</v>
      </c>
      <c r="GL66">
        <v>0.0260165413533883</v>
      </c>
      <c r="GM66">
        <v>0.00353424320046039</v>
      </c>
      <c r="GN66">
        <v>1</v>
      </c>
      <c r="GO66">
        <v>2</v>
      </c>
      <c r="GP66">
        <v>2</v>
      </c>
      <c r="GQ66" t="s">
        <v>478</v>
      </c>
      <c r="GR66">
        <v>3.12627</v>
      </c>
      <c r="GS66">
        <v>2.77805</v>
      </c>
      <c r="GT66">
        <v>0.0851491</v>
      </c>
      <c r="GU66">
        <v>0.08541</v>
      </c>
      <c r="GV66">
        <v>0.125202</v>
      </c>
      <c r="GW66">
        <v>0.0910835</v>
      </c>
      <c r="GX66">
        <v>32888.1</v>
      </c>
      <c r="GY66">
        <v>34817.6</v>
      </c>
      <c r="GZ66">
        <v>32646.6</v>
      </c>
      <c r="HA66">
        <v>34591</v>
      </c>
      <c r="HB66">
        <v>40745.2</v>
      </c>
      <c r="HC66">
        <v>45274.8</v>
      </c>
      <c r="HD66">
        <v>51248.5</v>
      </c>
      <c r="HE66">
        <v>55427.5</v>
      </c>
      <c r="HF66">
        <v>1.69142</v>
      </c>
      <c r="HG66">
        <v>2.01085</v>
      </c>
      <c r="HH66">
        <v>-0.110976</v>
      </c>
      <c r="HI66">
        <v>0</v>
      </c>
      <c r="HJ66">
        <v>49.757</v>
      </c>
      <c r="HK66">
        <v>999.9</v>
      </c>
      <c r="HL66">
        <v>55.579</v>
      </c>
      <c r="HM66">
        <v>28.016</v>
      </c>
      <c r="HN66">
        <v>23.2194</v>
      </c>
      <c r="HO66">
        <v>60.0052</v>
      </c>
      <c r="HP66">
        <v>31.871</v>
      </c>
      <c r="HQ66">
        <v>2</v>
      </c>
      <c r="HR66">
        <v>2.17256</v>
      </c>
      <c r="HS66">
        <v>0.245784</v>
      </c>
      <c r="HT66">
        <v>20.1292</v>
      </c>
      <c r="HU66">
        <v>5.18749</v>
      </c>
      <c r="HV66">
        <v>12.0159</v>
      </c>
      <c r="HW66">
        <v>4.96965</v>
      </c>
      <c r="HX66">
        <v>3.295</v>
      </c>
      <c r="HY66">
        <v>999.9</v>
      </c>
      <c r="HZ66">
        <v>9999</v>
      </c>
      <c r="IA66">
        <v>9999</v>
      </c>
      <c r="IB66">
        <v>9999</v>
      </c>
      <c r="IC66">
        <v>1.86322</v>
      </c>
      <c r="ID66">
        <v>1.86813</v>
      </c>
      <c r="IE66">
        <v>1.86786</v>
      </c>
      <c r="IF66">
        <v>1.86902</v>
      </c>
      <c r="IG66">
        <v>1.86981</v>
      </c>
      <c r="IH66">
        <v>1.86591</v>
      </c>
      <c r="II66">
        <v>1.86703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3.105</v>
      </c>
      <c r="IY66">
        <v>0.1627</v>
      </c>
      <c r="IZ66">
        <v>1.12264184085783</v>
      </c>
      <c r="JA66">
        <v>0.00531519531824411</v>
      </c>
      <c r="JB66">
        <v>-1.58401274662554e-06</v>
      </c>
      <c r="JC66">
        <v>4.65529057017795e-10</v>
      </c>
      <c r="JD66">
        <v>0.162735096694976</v>
      </c>
      <c r="JE66">
        <v>0</v>
      </c>
      <c r="JF66">
        <v>0</v>
      </c>
      <c r="JG66">
        <v>0</v>
      </c>
      <c r="JH66">
        <v>4</v>
      </c>
      <c r="JI66">
        <v>2305</v>
      </c>
      <c r="JJ66">
        <v>-0</v>
      </c>
      <c r="JK66">
        <v>23</v>
      </c>
      <c r="JL66">
        <v>29373223.8</v>
      </c>
      <c r="JM66">
        <v>29373223.8</v>
      </c>
      <c r="JN66">
        <v>1.1145</v>
      </c>
      <c r="JO66">
        <v>2.60376</v>
      </c>
      <c r="JP66">
        <v>2.19849</v>
      </c>
      <c r="JQ66">
        <v>2.64038</v>
      </c>
      <c r="JR66">
        <v>2.44507</v>
      </c>
      <c r="JS66">
        <v>2.34741</v>
      </c>
      <c r="JT66">
        <v>32.5761</v>
      </c>
      <c r="JU66">
        <v>24.2013</v>
      </c>
      <c r="JV66">
        <v>18</v>
      </c>
      <c r="JW66">
        <v>487.353</v>
      </c>
      <c r="JX66">
        <v>749.457</v>
      </c>
      <c r="JY66">
        <v>47.9136</v>
      </c>
      <c r="JZ66">
        <v>51.8807</v>
      </c>
      <c r="KA66">
        <v>30.0019</v>
      </c>
      <c r="KB66">
        <v>51.0997</v>
      </c>
      <c r="KC66">
        <v>50.8404</v>
      </c>
      <c r="KD66">
        <v>22.3181</v>
      </c>
      <c r="KE66">
        <v>0</v>
      </c>
      <c r="KF66">
        <v>100</v>
      </c>
      <c r="KG66">
        <v>48.0042</v>
      </c>
      <c r="KH66">
        <v>420</v>
      </c>
      <c r="KI66">
        <v>67.7987</v>
      </c>
      <c r="KJ66">
        <v>92.9317</v>
      </c>
      <c r="KK66">
        <v>89.7153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2025-11-05T19:46:39Z</dcterms:created>
  <dcterms:modified xsi:type="dcterms:W3CDTF">2025-11-05T19:46:39Z</dcterms:modified>
</cp:coreProperties>
</file>