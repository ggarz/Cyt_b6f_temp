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<sst xmlns="http://schemas.openxmlformats.org/spreadsheetml/2006/main" count="1440" uniqueCount="520">
  <si>
    <t>File opened</t>
  </si>
  <si>
    <t>2025-10-17 14:51:32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</si>
  <si>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</si>
  <si>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</si>
  <si>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</si>
  <si>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</si>
  <si>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</si>
  <si>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</si>
  <si>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</si>
  <si>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</si>
  <si>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</si>
  <si>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</si>
  <si>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</si>
  <si>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{"flowbzero": "0.28105", "co2bspan2a": "0.300636", "flowmeterzero": "2.49091", "h2oaspan2": "0", "co2aspan2a": "0.300986", "h2obspanconc2": "0", "h2obspanconc1": "11.69", "h2oaspan2b": "0.0649319", "chamberpressurezero": "2.62959", "h2oazero": "1.10043", "co2aspan2b": "0.297984", "h2obspan2b": "0.0654872", "h2obspan2": "0", "ssa_ref": "45138", "co2bspan1": "1.00051", "co2bspan2": "-0.0354637", "co2aspanconc2": "301.4", "h2obspan2a": "0.0647193", "co2aspanconc1": "2473", "co2bzero": "0.901409", "h2oaspanconc2": "0", "tbzero": "0.339216", "co2bspan2b": "0.297586", "ssb_ref": "50169", "h2oaspan2a": "0.0642495", "h2obspan1": "1.01187", "co2bspanconc1": "2473", "h2oaspanconc1": "11.69", "flowazero": "0.29401", "co2aspan1": "1.00063", "h2obzero": "1.10982", "co2bspanconc2": "301.4", "oxygen": "21", "co2azero": "0.900515", "co2aspan2": "-0.0352407", "h2oaspan1": "1.01062", "tazero": "0.20418"}</t>
  </si>
  <si>
    <t>Factory cal date</t>
  </si>
  <si>
    <t>19 Oct 2023</t>
  </si>
  <si>
    <t>CO2 rangematch</t>
  </si>
  <si>
    <t>Thu Oct  2 09:24</t>
  </si>
  <si>
    <t>H2O rangematch</t>
  </si>
  <si>
    <t>Thu Oct  2 09:39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</si>
  <si>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</si>
  <si>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</si>
  <si>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</si>
  <si>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</si>
  <si>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</si>
  <si>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</si>
  <si>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</si>
  <si>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</si>
  <si>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</si>
  <si>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14:51:32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</si>
  <si>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</si>
  <si>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</si>
  <si>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</si>
  <si>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</si>
  <si>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</si>
  <si>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</si>
  <si>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</si>
  <si>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</si>
  <si>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</si>
  <si>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</si>
  <si>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</si>
  <si>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</si>
  <si>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</si>
  <si>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</si>
  <si>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</si>
  <si>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</si>
  <si>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</si>
  <si>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</si>
  <si>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</si>
  <si>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</si>
  <si>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</si>
  <si>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</si>
  <si>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</si>
  <si>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</si>
  <si>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</si>
  <si>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</si>
  <si>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</si>
  <si>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</si>
  <si>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</si>
  <si>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</si>
  <si>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</si>
  <si>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</si>
  <si>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</si>
  <si>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</si>
  <si>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</si>
  <si>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</si>
  <si>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</si>
  <si>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</si>
  <si>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</si>
  <si>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</si>
  <si>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</si>
  <si>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</si>
  <si>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</si>
  <si>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</si>
  <si>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</si>
  <si>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</si>
  <si>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</si>
  <si>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</si>
  <si>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</si>
  <si>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</si>
  <si>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</si>
  <si>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</si>
  <si>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4.17413 185.566 355.131 642.016 881.933 1090.39 1263.2 1410.44</t>
  </si>
  <si>
    <t>Fs_true</t>
  </si>
  <si>
    <t>-0.397971 213.493 376.89 615.419 799.683 1006.02 1201.15 1401.14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</si>
  <si>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</si>
  <si>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</si>
  <si>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</si>
  <si>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</si>
  <si>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</si>
  <si>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</si>
  <si>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</si>
  <si>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</si>
  <si>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</si>
  <si>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</si>
  <si>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</si>
  <si>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</si>
  <si>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</si>
  <si>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</si>
  <si>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</si>
  <si>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</si>
  <si>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</si>
  <si>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</si>
  <si>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</si>
  <si>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</si>
  <si>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</si>
  <si>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</si>
  <si>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</si>
  <si>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</si>
  <si>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</si>
  <si>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</si>
  <si>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</si>
  <si>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</si>
  <si>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</si>
  <si>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</si>
  <si>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</si>
  <si>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</si>
  <si>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</si>
  <si>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</si>
  <si>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</si>
  <si>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</si>
  <si>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</si>
  <si>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</si>
  <si>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</si>
  <si>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</si>
  <si>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</si>
  <si>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</si>
  <si>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</si>
  <si>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</si>
  <si>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</si>
  <si>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</si>
  <si>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</si>
  <si>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</si>
  <si>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</si>
  <si>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</si>
  <si>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</si>
  <si>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</si>
  <si>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</si>
  <si>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</si>
  <si>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</si>
  <si>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</si>
  <si>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</si>
  <si>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</si>
  <si>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</si>
  <si>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</si>
  <si>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</si>
  <si>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</si>
  <si>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</si>
  <si>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</si>
  <si>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</si>
  <si>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</si>
  <si>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</si>
  <si>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</si>
  <si>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</si>
  <si>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</si>
  <si>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</si>
  <si>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</si>
  <si>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</si>
  <si>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</si>
  <si>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</si>
  <si>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</si>
  <si>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</si>
  <si>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</si>
  <si>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</si>
  <si>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</si>
  <si>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</si>
  <si>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</si>
  <si>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</si>
  <si>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</si>
  <si>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</si>
  <si>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</si>
  <si>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</si>
  <si>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</si>
  <si>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</si>
  <si>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</si>
  <si>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</si>
  <si>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</si>
  <si>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</si>
  <si>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</si>
  <si>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</si>
  <si>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</si>
  <si>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</si>
  <si>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</si>
  <si>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</si>
  <si>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</si>
  <si>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</si>
  <si>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</si>
  <si>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</si>
  <si>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</si>
  <si>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</si>
  <si>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</si>
  <si>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</si>
  <si>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</si>
  <si>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</si>
  <si>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</si>
  <si>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</si>
  <si>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</si>
  <si>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</si>
  <si>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</si>
  <si>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</si>
  <si>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</si>
  <si>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</si>
  <si>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</si>
  <si>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</si>
  <si>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</si>
  <si>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</si>
  <si>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</si>
  <si>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</si>
  <si>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</si>
  <si>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</si>
  <si>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</si>
  <si>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</si>
  <si>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</si>
  <si>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</si>
  <si>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</si>
  <si>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</si>
  <si>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</si>
  <si>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</si>
  <si>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</si>
  <si>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</si>
  <si>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</si>
  <si>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</si>
  <si>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</si>
  <si>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</si>
  <si>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</si>
  <si>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</si>
  <si>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</si>
  <si>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</si>
  <si>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</si>
  <si>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</si>
  <si>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</si>
  <si>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</si>
  <si>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</si>
  <si>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</si>
  <si>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</si>
  <si>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</si>
  <si>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</si>
  <si>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</si>
  <si>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</si>
  <si>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</si>
  <si>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</si>
  <si>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</si>
  <si>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</si>
  <si>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</si>
  <si>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</si>
  <si>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</si>
  <si>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</si>
  <si>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</si>
  <si>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</si>
  <si>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</si>
  <si>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</si>
  <si>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</si>
  <si>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</si>
  <si>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</si>
  <si>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</si>
  <si>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</si>
  <si>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</si>
  <si>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</si>
  <si>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</si>
  <si>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</si>
  <si>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</si>
  <si>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</si>
  <si>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</si>
  <si>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</si>
  <si>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</si>
  <si>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</si>
  <si>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</si>
  <si>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</si>
  <si>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</si>
  <si>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</si>
  <si>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</si>
  <si>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</si>
  <si>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</si>
  <si>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</si>
  <si>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</si>
  <si>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</si>
  <si>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</si>
  <si>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</si>
  <si>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</si>
  <si>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</si>
  <si>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</si>
  <si>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</si>
  <si>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</si>
  <si>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</si>
  <si>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</si>
  <si>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</si>
  <si>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</si>
  <si>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</si>
  <si>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</si>
  <si>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</si>
  <si>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</si>
  <si>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</si>
  <si>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</si>
  <si>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</si>
  <si>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</si>
  <si>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</si>
  <si>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</si>
  <si>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</si>
  <si>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</si>
  <si>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</si>
  <si>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</si>
  <si>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</si>
  <si>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</si>
  <si>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</si>
  <si>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</si>
  <si>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</si>
  <si>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</si>
  <si>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</si>
  <si>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</si>
  <si>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</si>
  <si>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</si>
  <si>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</si>
  <si>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</si>
  <si>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</si>
  <si>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</si>
  <si>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</si>
  <si>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</si>
  <si>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</si>
  <si>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</si>
  <si>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</si>
  <si>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</si>
  <si>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</si>
  <si>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</si>
  <si>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</si>
  <si>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</si>
  <si>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</si>
  <si>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</si>
  <si>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</si>
  <si>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</si>
  <si>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</si>
  <si>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</si>
  <si>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</si>
  <si>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</si>
  <si>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</si>
  <si>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</si>
  <si>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</si>
  <si>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CO2_hrs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</si>
  <si>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</si>
  <si>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</si>
  <si>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</si>
  <si>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</si>
  <si>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</si>
  <si>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</si>
  <si>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</si>
  <si>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</si>
  <si>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</si>
  <si>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</si>
  <si>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</si>
  <si>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</si>
  <si>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</si>
  <si>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</si>
  <si>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</si>
  <si>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</si>
  <si>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</si>
  <si>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</si>
  <si>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</si>
  <si>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</si>
  <si>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</si>
  <si>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</si>
  <si>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</si>
  <si>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</si>
  <si>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</si>
  <si>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</si>
  <si>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</si>
  <si>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</si>
  <si>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</si>
  <si>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</si>
  <si>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</si>
  <si>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</si>
  <si>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</si>
  <si>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</si>
  <si>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</si>
  <si>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</si>
  <si>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</si>
  <si>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</si>
  <si>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</si>
  <si>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</si>
  <si>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</si>
  <si>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</si>
  <si>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</si>
  <si>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</si>
  <si>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</si>
  <si>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</si>
  <si>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</si>
  <si>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</si>
  <si>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</si>
  <si>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</si>
  <si>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</si>
  <si>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</si>
  <si>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</si>
  <si>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</si>
  <si>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</si>
  <si>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</si>
  <si>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</si>
  <si>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</si>
  <si>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</si>
  <si>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</si>
  <si>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</si>
  <si>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</si>
  <si>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</si>
  <si>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</si>
  <si>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</si>
  <si>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</si>
  <si>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</si>
  <si>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</si>
  <si>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</si>
  <si>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</si>
  <si>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</si>
  <si>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</si>
  <si>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</si>
  <si>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</si>
  <si>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</si>
  <si>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</si>
  <si>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</si>
  <si>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</si>
  <si>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</si>
  <si>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</si>
  <si>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</si>
  <si>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</si>
  <si>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</si>
  <si>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</si>
  <si>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</si>
  <si>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</si>
  <si>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</si>
  <si>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</si>
  <si>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</si>
  <si>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</si>
  <si>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</si>
  <si>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</si>
  <si>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</si>
  <si>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</si>
  <si>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</si>
  <si>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</si>
  <si>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20251017 15:57:40</t>
  </si>
  <si>
    <t>15:57:40</t>
  </si>
  <si>
    <t>gg_4</t>
  </si>
  <si>
    <t>ozzie</t>
  </si>
  <si>
    <t>RECT-1-20251017-15_57_08</t>
  </si>
  <si>
    <t>-</t>
  </si>
  <si>
    <t>0: Broadleaf</t>
  </si>
  <si>
    <t>--:--:--</t>
  </si>
  <si>
    <t>2/2</t>
  </si>
  <si>
    <t>11111111</t>
  </si>
  <si>
    <t>oooooooo</t>
  </si>
  <si>
    <t>off</t>
  </si>
  <si>
    <t>20251017 16:01:53</t>
  </si>
  <si>
    <t>16:01:53</t>
  </si>
  <si>
    <t>RECT-2-20251017-16_01_22</t>
  </si>
  <si>
    <t>20251017 16:03:51</t>
  </si>
  <si>
    <t>16:03:51</t>
  </si>
  <si>
    <t>RECT-3-20251017-16_03_19</t>
  </si>
  <si>
    <t>20251017 16:11:44</t>
  </si>
  <si>
    <t>16:11:44</t>
  </si>
  <si>
    <t>gg_40</t>
  </si>
  <si>
    <t>RECT-4-20251017-16_11_12</t>
  </si>
  <si>
    <t>20251017 16:14:27</t>
  </si>
  <si>
    <t>16:14:27</t>
  </si>
  <si>
    <t>RECT-5-20251017-16_13_56</t>
  </si>
  <si>
    <t>20251017 16:15:40</t>
  </si>
  <si>
    <t>16:15:40</t>
  </si>
  <si>
    <t>20251017 16:20:54</t>
  </si>
  <si>
    <t>16:20:54</t>
  </si>
  <si>
    <t>gg_20</t>
  </si>
  <si>
    <t>RECT-6-20251017-16_20_23</t>
  </si>
  <si>
    <t>20251017 16:22:36</t>
  </si>
  <si>
    <t>16:22:36</t>
  </si>
  <si>
    <t>RECT-7-20251017-16_22_05</t>
  </si>
  <si>
    <t>20251017 16:24:42</t>
  </si>
  <si>
    <t>16:24:42</t>
  </si>
  <si>
    <t>RECT-8-20251017-16_24_11</t>
  </si>
  <si>
    <t>20251017 16:32:47</t>
  </si>
  <si>
    <t>16:32:47</t>
  </si>
  <si>
    <t>gg_26</t>
  </si>
  <si>
    <t>RECT-9-20251017-16_32_16</t>
  </si>
  <si>
    <t>20251017 16:34:38</t>
  </si>
  <si>
    <t>16:34:38</t>
  </si>
  <si>
    <t>RECT-10-20251017-16_34_07</t>
  </si>
  <si>
    <t>20251017 16:38:01</t>
  </si>
  <si>
    <t>16:38:01</t>
  </si>
  <si>
    <t>RECT-11-20251017-16_37_30</t>
  </si>
  <si>
    <t>20251017 16:46:07</t>
  </si>
  <si>
    <t>16:46:07</t>
  </si>
  <si>
    <t>gg_2</t>
  </si>
  <si>
    <t>RECT-12-20251017-16_45_36</t>
  </si>
  <si>
    <t>20251017 16:49:35</t>
  </si>
  <si>
    <t>16:49:35</t>
  </si>
  <si>
    <t>RECT-13-20251017-16_49_04</t>
  </si>
  <si>
    <t>20251017 16:52:30</t>
  </si>
  <si>
    <t>16:52:30</t>
  </si>
  <si>
    <t>RECT-14-20251017-16_51_59</t>
  </si>
  <si>
    <t>20251017 16:58:02</t>
  </si>
  <si>
    <t>16:58:02</t>
  </si>
  <si>
    <t>gg_24</t>
  </si>
  <si>
    <t>RECT-15-20251017-16_57_31</t>
  </si>
  <si>
    <t>20251017 17:01:35</t>
  </si>
  <si>
    <t>17:01:35</t>
  </si>
  <si>
    <t>RECT-16-20251017-17_01_04</t>
  </si>
  <si>
    <t>20251017 17:06:04</t>
  </si>
  <si>
    <t>17:06:04</t>
  </si>
  <si>
    <t>RECT-17-20251017-17_05_33</t>
  </si>
  <si>
    <t>20251017 17:12:16</t>
  </si>
  <si>
    <t>17:12:16</t>
  </si>
  <si>
    <t>gg_6</t>
  </si>
  <si>
    <t>RECT-18-20251017-17_11_45</t>
  </si>
  <si>
    <t>1/2</t>
  </si>
  <si>
    <t>20251017 17:14:54</t>
  </si>
  <si>
    <t>17:14:54</t>
  </si>
  <si>
    <t>RECT-19-20251017-17_14_23</t>
  </si>
  <si>
    <t>20251017 17:17:14</t>
  </si>
  <si>
    <t>17:17:14</t>
  </si>
  <si>
    <t>RECT-20-20251017-17_16_43</t>
  </si>
  <si>
    <t>20251017 17:22:05</t>
  </si>
  <si>
    <t>17:22:05</t>
  </si>
  <si>
    <t>gg_38</t>
  </si>
  <si>
    <t>RECT-21-20251017-17_21_34</t>
  </si>
  <si>
    <t>20251017 17:23:12</t>
  </si>
  <si>
    <t>17:23:12</t>
  </si>
  <si>
    <t>20251017 17:25:50</t>
  </si>
  <si>
    <t>17:25:50</t>
  </si>
  <si>
    <t>RECT-22-20251017-17_25_19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</si>
</sst>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431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1760734660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1760734656.5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425.07859386051</v>
      </c>
      <c r="AK17">
        <v>425.716303030303</v>
      </c>
      <c r="AL17">
        <v>0.00111919634815653</v>
      </c>
      <c r="AM17">
        <v>64.721791116832</v>
      </c>
      <c r="AN17">
        <f>(AP17 - AO17 + DY17*1E3/(8.314*(EA17+273.15)) * AR17/DX17 * AQ17) * DX17/(100*DL17) * 1000/(1000 - AP17)</f>
        <v>0</v>
      </c>
      <c r="AO17">
        <v>11.9637395803136</v>
      </c>
      <c r="AP17">
        <v>12.1198002063984</v>
      </c>
      <c r="AQ17">
        <v>-1.79977011211043e-06</v>
      </c>
      <c r="AR17">
        <v>132.323965966301</v>
      </c>
      <c r="AS17">
        <v>2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5133.6</v>
      </c>
      <c r="AZ17">
        <v>653.165384615385</v>
      </c>
      <c r="BA17">
        <v>2894.25</v>
      </c>
      <c r="BB17">
        <f>1-AZ17/BA17</f>
        <v>0</v>
      </c>
      <c r="BC17">
        <v>-0.989792498118951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3.21</v>
      </c>
      <c r="DM17">
        <v>0.5</v>
      </c>
      <c r="DN17" t="s">
        <v>439</v>
      </c>
      <c r="DO17">
        <v>2</v>
      </c>
      <c r="DP17" t="b">
        <v>1</v>
      </c>
      <c r="DQ17">
        <v>1760734656.5</v>
      </c>
      <c r="DR17">
        <v>420.520166666667</v>
      </c>
      <c r="DS17">
        <v>419.995666666667</v>
      </c>
      <c r="DT17">
        <v>12.1217666666667</v>
      </c>
      <c r="DU17">
        <v>11.9630166666667</v>
      </c>
      <c r="DV17">
        <v>418.980166666667</v>
      </c>
      <c r="DW17">
        <v>12.1353833333333</v>
      </c>
      <c r="DX17">
        <v>500.066166666667</v>
      </c>
      <c r="DY17">
        <v>89.5967833333333</v>
      </c>
      <c r="DZ17">
        <v>0.0336595</v>
      </c>
      <c r="EA17">
        <v>18.8270666666667</v>
      </c>
      <c r="EB17">
        <v>18.0074166666667</v>
      </c>
      <c r="EC17">
        <v>999.9</v>
      </c>
      <c r="ED17">
        <v>0</v>
      </c>
      <c r="EE17">
        <v>0</v>
      </c>
      <c r="EF17">
        <v>10003.125</v>
      </c>
      <c r="EG17">
        <v>0</v>
      </c>
      <c r="EH17">
        <v>0.220656</v>
      </c>
      <c r="EI17">
        <v>0.524378333333333</v>
      </c>
      <c r="EJ17">
        <v>425.68</v>
      </c>
      <c r="EK17">
        <v>425.081</v>
      </c>
      <c r="EL17">
        <v>0.158727666666667</v>
      </c>
      <c r="EM17">
        <v>419.995666666667</v>
      </c>
      <c r="EN17">
        <v>11.9630166666667</v>
      </c>
      <c r="EO17">
        <v>1.08607</v>
      </c>
      <c r="EP17">
        <v>1.07185166666667</v>
      </c>
      <c r="EQ17">
        <v>8.12523</v>
      </c>
      <c r="ER17">
        <v>7.93145833333333</v>
      </c>
      <c r="ES17">
        <v>0.00500059</v>
      </c>
      <c r="ET17">
        <v>0</v>
      </c>
      <c r="EU17">
        <v>0</v>
      </c>
      <c r="EV17">
        <v>0</v>
      </c>
      <c r="EW17">
        <v>653.716666666667</v>
      </c>
      <c r="EX17">
        <v>0.00500059</v>
      </c>
      <c r="EY17">
        <v>-12.7666666666667</v>
      </c>
      <c r="EZ17">
        <v>-1</v>
      </c>
      <c r="FA17">
        <v>34.5516666666667</v>
      </c>
      <c r="FB17">
        <v>39.333</v>
      </c>
      <c r="FC17">
        <v>36.687</v>
      </c>
      <c r="FD17">
        <v>40.9163333333333</v>
      </c>
      <c r="FE17">
        <v>36.687</v>
      </c>
      <c r="FF17">
        <v>0</v>
      </c>
      <c r="FG17">
        <v>0</v>
      </c>
      <c r="FH17">
        <v>0</v>
      </c>
      <c r="FI17">
        <v>1760734634.2</v>
      </c>
      <c r="FJ17">
        <v>0</v>
      </c>
      <c r="FK17">
        <v>653.165384615385</v>
      </c>
      <c r="FL17">
        <v>0.926495640997675</v>
      </c>
      <c r="FM17">
        <v>-14.1401709920684</v>
      </c>
      <c r="FN17">
        <v>-12.0846153846154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0.497530952380952</v>
      </c>
      <c r="GD17">
        <v>0.25591348051948</v>
      </c>
      <c r="GE17">
        <v>0.0477636707605429</v>
      </c>
      <c r="GF17">
        <v>1</v>
      </c>
      <c r="GG17">
        <v>653.391176470588</v>
      </c>
      <c r="GH17">
        <v>-0.499618176968666</v>
      </c>
      <c r="GI17">
        <v>5.47982221947879</v>
      </c>
      <c r="GJ17">
        <v>-1</v>
      </c>
      <c r="GK17">
        <v>0.158868238095238</v>
      </c>
      <c r="GL17">
        <v>0.00826363636363643</v>
      </c>
      <c r="GM17">
        <v>0.00130603525456544</v>
      </c>
      <c r="GN17">
        <v>1</v>
      </c>
      <c r="GO17">
        <v>2</v>
      </c>
      <c r="GP17">
        <v>2</v>
      </c>
      <c r="GQ17" t="s">
        <v>441</v>
      </c>
      <c r="GR17">
        <v>3.1316</v>
      </c>
      <c r="GS17">
        <v>2.7119</v>
      </c>
      <c r="GT17">
        <v>0.0899275</v>
      </c>
      <c r="GU17">
        <v>0.0902223</v>
      </c>
      <c r="GV17">
        <v>0.0625478</v>
      </c>
      <c r="GW17">
        <v>0.0622878</v>
      </c>
      <c r="GX17">
        <v>34670.1</v>
      </c>
      <c r="GY17">
        <v>37193.1</v>
      </c>
      <c r="GZ17">
        <v>34438.9</v>
      </c>
      <c r="HA17">
        <v>36985.8</v>
      </c>
      <c r="HB17">
        <v>45554.3</v>
      </c>
      <c r="HC17">
        <v>49762.8</v>
      </c>
      <c r="HD17">
        <v>53627.7</v>
      </c>
      <c r="HE17">
        <v>59040</v>
      </c>
      <c r="HF17">
        <v>2.02383</v>
      </c>
      <c r="HG17">
        <v>1.83218</v>
      </c>
      <c r="HH17">
        <v>0.030309</v>
      </c>
      <c r="HI17">
        <v>0</v>
      </c>
      <c r="HJ17">
        <v>17.51</v>
      </c>
      <c r="HK17">
        <v>999.9</v>
      </c>
      <c r="HL17">
        <v>32.865</v>
      </c>
      <c r="HM17">
        <v>29.89</v>
      </c>
      <c r="HN17">
        <v>15.5294</v>
      </c>
      <c r="HO17">
        <v>53.5582</v>
      </c>
      <c r="HP17">
        <v>48.7179</v>
      </c>
      <c r="HQ17">
        <v>1</v>
      </c>
      <c r="HR17">
        <v>-0.348089</v>
      </c>
      <c r="HS17">
        <v>1.7102</v>
      </c>
      <c r="HT17">
        <v>20.1234</v>
      </c>
      <c r="HU17">
        <v>5.19932</v>
      </c>
      <c r="HV17">
        <v>12.004</v>
      </c>
      <c r="HW17">
        <v>4.97565</v>
      </c>
      <c r="HX17">
        <v>3.29318</v>
      </c>
      <c r="HY17">
        <v>9999</v>
      </c>
      <c r="HZ17">
        <v>9999</v>
      </c>
      <c r="IA17">
        <v>999.9</v>
      </c>
      <c r="IB17">
        <v>9999</v>
      </c>
      <c r="IC17">
        <v>1.86339</v>
      </c>
      <c r="ID17">
        <v>1.86813</v>
      </c>
      <c r="IE17">
        <v>1.86783</v>
      </c>
      <c r="IF17">
        <v>1.86913</v>
      </c>
      <c r="IG17">
        <v>1.86993</v>
      </c>
      <c r="IH17">
        <v>1.86599</v>
      </c>
      <c r="II17">
        <v>1.86705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1.54</v>
      </c>
      <c r="IY17">
        <v>-0.0137</v>
      </c>
      <c r="IZ17">
        <v>0.282887266083375</v>
      </c>
      <c r="JA17">
        <v>0.00306585071625405</v>
      </c>
      <c r="JB17">
        <v>-2.0560773108561e-07</v>
      </c>
      <c r="JC17">
        <v>1.17266038970699e-10</v>
      </c>
      <c r="JD17">
        <v>-0.0828159689460901</v>
      </c>
      <c r="JE17">
        <v>-0.0292312028691274</v>
      </c>
      <c r="JF17">
        <v>0.00362507029369384</v>
      </c>
      <c r="JG17">
        <v>-6.15131582447985e-05</v>
      </c>
      <c r="JH17">
        <v>5</v>
      </c>
      <c r="JI17">
        <v>2200</v>
      </c>
      <c r="JJ17">
        <v>0</v>
      </c>
      <c r="JK17">
        <v>22</v>
      </c>
      <c r="JL17">
        <v>29345577.7</v>
      </c>
      <c r="JM17">
        <v>29345577.7</v>
      </c>
      <c r="JN17">
        <v>1.00464</v>
      </c>
      <c r="JO17">
        <v>2.6123</v>
      </c>
      <c r="JP17">
        <v>1.54785</v>
      </c>
      <c r="JQ17">
        <v>2.31934</v>
      </c>
      <c r="JR17">
        <v>1.64551</v>
      </c>
      <c r="JS17">
        <v>2.27173</v>
      </c>
      <c r="JT17">
        <v>33.6479</v>
      </c>
      <c r="JU17">
        <v>24.2101</v>
      </c>
      <c r="JV17">
        <v>18</v>
      </c>
      <c r="JW17">
        <v>500.39</v>
      </c>
      <c r="JX17">
        <v>384.095</v>
      </c>
      <c r="JY17">
        <v>15.7304</v>
      </c>
      <c r="JZ17">
        <v>22.8231</v>
      </c>
      <c r="KA17">
        <v>29.9999</v>
      </c>
      <c r="KB17">
        <v>22.898</v>
      </c>
      <c r="KC17">
        <v>22.8686</v>
      </c>
      <c r="KD17">
        <v>20.1293</v>
      </c>
      <c r="KE17">
        <v>14.8944</v>
      </c>
      <c r="KF17">
        <v>4.77674</v>
      </c>
      <c r="KG17">
        <v>15.7307</v>
      </c>
      <c r="KH17">
        <v>420</v>
      </c>
      <c r="KI17">
        <v>12.0274</v>
      </c>
      <c r="KJ17">
        <v>97.5526</v>
      </c>
      <c r="KK17">
        <v>95.7023</v>
      </c>
    </row>
    <row r="18" spans="1:297">
      <c r="A18">
        <v>2</v>
      </c>
      <c r="B18">
        <v>1760734913</v>
      </c>
      <c r="C18">
        <v>253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1760734909.5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425.143034259926</v>
      </c>
      <c r="AK18">
        <v>425.724751515151</v>
      </c>
      <c r="AL18">
        <v>-0.000391699160272891</v>
      </c>
      <c r="AM18">
        <v>64.721791116832</v>
      </c>
      <c r="AN18">
        <f>(AP18 - AO18 + DY18*1E3/(8.314*(EA18+273.15)) * AR18/DX18 * AQ18) * DX18/(100*DL18) * 1000/(1000 - AP18)</f>
        <v>0</v>
      </c>
      <c r="AO18">
        <v>12.060600075655</v>
      </c>
      <c r="AP18">
        <v>12.2207373581011</v>
      </c>
      <c r="AQ18">
        <v>-3.80534759973517e-07</v>
      </c>
      <c r="AR18">
        <v>132.323965966301</v>
      </c>
      <c r="AS18">
        <v>2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5132.74</v>
      </c>
      <c r="AZ18">
        <v>680.65</v>
      </c>
      <c r="BA18">
        <v>2855.89</v>
      </c>
      <c r="BB18">
        <f>1-AZ18/BA18</f>
        <v>0</v>
      </c>
      <c r="BC18">
        <v>-0.892321945206108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3.21</v>
      </c>
      <c r="DM18">
        <v>0.5</v>
      </c>
      <c r="DN18" t="s">
        <v>439</v>
      </c>
      <c r="DO18">
        <v>2</v>
      </c>
      <c r="DP18" t="b">
        <v>1</v>
      </c>
      <c r="DQ18">
        <v>1760734909.5</v>
      </c>
      <c r="DR18">
        <v>420.5445</v>
      </c>
      <c r="DS18">
        <v>420.0125</v>
      </c>
      <c r="DT18">
        <v>12.2220833333333</v>
      </c>
      <c r="DU18">
        <v>12.0580833333333</v>
      </c>
      <c r="DV18">
        <v>419.0045</v>
      </c>
      <c r="DW18">
        <v>12.2326333333333</v>
      </c>
      <c r="DX18">
        <v>500.0145</v>
      </c>
      <c r="DY18">
        <v>89.5999333333333</v>
      </c>
      <c r="DZ18">
        <v>0.0332786333333333</v>
      </c>
      <c r="EA18">
        <v>18.8369666666667</v>
      </c>
      <c r="EB18">
        <v>18.0090166666667</v>
      </c>
      <c r="EC18">
        <v>999.9</v>
      </c>
      <c r="ED18">
        <v>0</v>
      </c>
      <c r="EE18">
        <v>0</v>
      </c>
      <c r="EF18">
        <v>10012.6033333333</v>
      </c>
      <c r="EG18">
        <v>0</v>
      </c>
      <c r="EH18">
        <v>0.220656</v>
      </c>
      <c r="EI18">
        <v>0.531926666666667</v>
      </c>
      <c r="EJ18">
        <v>425.748</v>
      </c>
      <c r="EK18">
        <v>425.139166666667</v>
      </c>
      <c r="EL18">
        <v>0.164012</v>
      </c>
      <c r="EM18">
        <v>420.0125</v>
      </c>
      <c r="EN18">
        <v>12.0580833333333</v>
      </c>
      <c r="EO18">
        <v>1.095095</v>
      </c>
      <c r="EP18">
        <v>1.08040166666667</v>
      </c>
      <c r="EQ18">
        <v>8.24704666666667</v>
      </c>
      <c r="ER18">
        <v>8.048245</v>
      </c>
      <c r="ES18">
        <v>0.00500059</v>
      </c>
      <c r="ET18">
        <v>0</v>
      </c>
      <c r="EU18">
        <v>0</v>
      </c>
      <c r="EV18">
        <v>0</v>
      </c>
      <c r="EW18">
        <v>677.6</v>
      </c>
      <c r="EX18">
        <v>0.00500059</v>
      </c>
      <c r="EY18">
        <v>-11.1</v>
      </c>
      <c r="EZ18">
        <v>-0.816666666666667</v>
      </c>
      <c r="FA18">
        <v>34.9685</v>
      </c>
      <c r="FB18">
        <v>39.812</v>
      </c>
      <c r="FC18">
        <v>37.125</v>
      </c>
      <c r="FD18">
        <v>41.937</v>
      </c>
      <c r="FE18">
        <v>37.187</v>
      </c>
      <c r="FF18">
        <v>0</v>
      </c>
      <c r="FG18">
        <v>0</v>
      </c>
      <c r="FH18">
        <v>0</v>
      </c>
      <c r="FI18">
        <v>251.799999952316</v>
      </c>
      <c r="FJ18">
        <v>0</v>
      </c>
      <c r="FK18">
        <v>680.65</v>
      </c>
      <c r="FL18">
        <v>-24.5777778326621</v>
      </c>
      <c r="FM18">
        <v>14.7282054877297</v>
      </c>
      <c r="FN18">
        <v>-9.96923076923077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0.5325882</v>
      </c>
      <c r="GD18">
        <v>-0.0865565413533828</v>
      </c>
      <c r="GE18">
        <v>0.0247793106554642</v>
      </c>
      <c r="GF18">
        <v>1</v>
      </c>
      <c r="GG18">
        <v>683.308823529412</v>
      </c>
      <c r="GH18">
        <v>-22.9686784898413</v>
      </c>
      <c r="GI18">
        <v>6.28922363332984</v>
      </c>
      <c r="GJ18">
        <v>-1</v>
      </c>
      <c r="GK18">
        <v>0.15800605</v>
      </c>
      <c r="GL18">
        <v>0.0536265112781955</v>
      </c>
      <c r="GM18">
        <v>0.00531033398643626</v>
      </c>
      <c r="GN18">
        <v>1</v>
      </c>
      <c r="GO18">
        <v>2</v>
      </c>
      <c r="GP18">
        <v>2</v>
      </c>
      <c r="GQ18" t="s">
        <v>441</v>
      </c>
      <c r="GR18">
        <v>3.13175</v>
      </c>
      <c r="GS18">
        <v>2.71145</v>
      </c>
      <c r="GT18">
        <v>0.0899597</v>
      </c>
      <c r="GU18">
        <v>0.0902534</v>
      </c>
      <c r="GV18">
        <v>0.0629626</v>
      </c>
      <c r="GW18">
        <v>0.0626507</v>
      </c>
      <c r="GX18">
        <v>34676.1</v>
      </c>
      <c r="GY18">
        <v>37202.2</v>
      </c>
      <c r="GZ18">
        <v>34445.5</v>
      </c>
      <c r="HA18">
        <v>36995.5</v>
      </c>
      <c r="HB18">
        <v>45541</v>
      </c>
      <c r="HC18">
        <v>49755.9</v>
      </c>
      <c r="HD18">
        <v>53636.3</v>
      </c>
      <c r="HE18">
        <v>59054.8</v>
      </c>
      <c r="HF18">
        <v>2.02562</v>
      </c>
      <c r="HG18">
        <v>1.83347</v>
      </c>
      <c r="HH18">
        <v>0.0296198</v>
      </c>
      <c r="HI18">
        <v>0</v>
      </c>
      <c r="HJ18">
        <v>17.51</v>
      </c>
      <c r="HK18">
        <v>999.9</v>
      </c>
      <c r="HL18">
        <v>32.243</v>
      </c>
      <c r="HM18">
        <v>29.96</v>
      </c>
      <c r="HN18">
        <v>15.2957</v>
      </c>
      <c r="HO18">
        <v>54.8082</v>
      </c>
      <c r="HP18">
        <v>48.9343</v>
      </c>
      <c r="HQ18">
        <v>1</v>
      </c>
      <c r="HR18">
        <v>-0.356448</v>
      </c>
      <c r="HS18">
        <v>1.69824</v>
      </c>
      <c r="HT18">
        <v>20.1239</v>
      </c>
      <c r="HU18">
        <v>5.20157</v>
      </c>
      <c r="HV18">
        <v>12.004</v>
      </c>
      <c r="HW18">
        <v>4.97585</v>
      </c>
      <c r="HX18">
        <v>3.29303</v>
      </c>
      <c r="HY18">
        <v>9999</v>
      </c>
      <c r="HZ18">
        <v>9999</v>
      </c>
      <c r="IA18">
        <v>999.9</v>
      </c>
      <c r="IB18">
        <v>9999</v>
      </c>
      <c r="IC18">
        <v>1.8634</v>
      </c>
      <c r="ID18">
        <v>1.86813</v>
      </c>
      <c r="IE18">
        <v>1.86784</v>
      </c>
      <c r="IF18">
        <v>1.86907</v>
      </c>
      <c r="IG18">
        <v>1.86995</v>
      </c>
      <c r="IH18">
        <v>1.866</v>
      </c>
      <c r="II18">
        <v>1.86701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1.54</v>
      </c>
      <c r="IY18">
        <v>-0.0105</v>
      </c>
      <c r="IZ18">
        <v>0.282887266083375</v>
      </c>
      <c r="JA18">
        <v>0.00306585071625405</v>
      </c>
      <c r="JB18">
        <v>-2.0560773108561e-07</v>
      </c>
      <c r="JC18">
        <v>1.17266038970699e-10</v>
      </c>
      <c r="JD18">
        <v>-0.0828159689460901</v>
      </c>
      <c r="JE18">
        <v>-0.0292312028691274</v>
      </c>
      <c r="JF18">
        <v>0.00362507029369384</v>
      </c>
      <c r="JG18">
        <v>-6.15131582447985e-05</v>
      </c>
      <c r="JH18">
        <v>5</v>
      </c>
      <c r="JI18">
        <v>2200</v>
      </c>
      <c r="JJ18">
        <v>0</v>
      </c>
      <c r="JK18">
        <v>22</v>
      </c>
      <c r="JL18">
        <v>29345581.9</v>
      </c>
      <c r="JM18">
        <v>29345581.9</v>
      </c>
      <c r="JN18">
        <v>1.00464</v>
      </c>
      <c r="JO18">
        <v>2.60254</v>
      </c>
      <c r="JP18">
        <v>1.54785</v>
      </c>
      <c r="JQ18">
        <v>2.31934</v>
      </c>
      <c r="JR18">
        <v>1.64551</v>
      </c>
      <c r="JS18">
        <v>2.323</v>
      </c>
      <c r="JT18">
        <v>33.6254</v>
      </c>
      <c r="JU18">
        <v>24.2188</v>
      </c>
      <c r="JV18">
        <v>18</v>
      </c>
      <c r="JW18">
        <v>500.409</v>
      </c>
      <c r="JX18">
        <v>383.919</v>
      </c>
      <c r="JY18">
        <v>15.6577</v>
      </c>
      <c r="JZ18">
        <v>22.7197</v>
      </c>
      <c r="KA18">
        <v>30.0001</v>
      </c>
      <c r="KB18">
        <v>22.7828</v>
      </c>
      <c r="KC18">
        <v>22.7531</v>
      </c>
      <c r="KD18">
        <v>20.1399</v>
      </c>
      <c r="KE18">
        <v>12.4041</v>
      </c>
      <c r="KF18">
        <v>4.77674</v>
      </c>
      <c r="KG18">
        <v>15.6482</v>
      </c>
      <c r="KH18">
        <v>420</v>
      </c>
      <c r="KI18">
        <v>12.1119</v>
      </c>
      <c r="KJ18">
        <v>97.5694</v>
      </c>
      <c r="KK18">
        <v>95.7267</v>
      </c>
    </row>
    <row r="19" spans="1:297">
      <c r="A19">
        <v>3</v>
      </c>
      <c r="B19">
        <v>1760735031</v>
      </c>
      <c r="C19">
        <v>371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1760735028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425.117428542006</v>
      </c>
      <c r="AK19">
        <v>425.697945454545</v>
      </c>
      <c r="AL19">
        <v>0.000105989463770621</v>
      </c>
      <c r="AM19">
        <v>64.721791116832</v>
      </c>
      <c r="AN19">
        <f>(AP19 - AO19 + DY19*1E3/(8.314*(EA19+273.15)) * AR19/DX19 * AQ19) * DX19/(100*DL19) * 1000/(1000 - AP19)</f>
        <v>0</v>
      </c>
      <c r="AO19">
        <v>12.0464990040623</v>
      </c>
      <c r="AP19">
        <v>12.2189446852425</v>
      </c>
      <c r="AQ19">
        <v>-4.27931509170086e-07</v>
      </c>
      <c r="AR19">
        <v>132.323965966301</v>
      </c>
      <c r="AS19">
        <v>3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5134.4</v>
      </c>
      <c r="AZ19">
        <v>722.412</v>
      </c>
      <c r="BA19">
        <v>2814.28</v>
      </c>
      <c r="BB19">
        <f>1-AZ19/BA19</f>
        <v>0</v>
      </c>
      <c r="BC19">
        <v>-0.894111460257671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3.21</v>
      </c>
      <c r="DM19">
        <v>0.5</v>
      </c>
      <c r="DN19" t="s">
        <v>439</v>
      </c>
      <c r="DO19">
        <v>2</v>
      </c>
      <c r="DP19" t="b">
        <v>1</v>
      </c>
      <c r="DQ19">
        <v>1760735028</v>
      </c>
      <c r="DR19">
        <v>420.4906</v>
      </c>
      <c r="DS19">
        <v>420.0004</v>
      </c>
      <c r="DT19">
        <v>12.2198</v>
      </c>
      <c r="DU19">
        <v>12.04394</v>
      </c>
      <c r="DV19">
        <v>418.9508</v>
      </c>
      <c r="DW19">
        <v>12.2304</v>
      </c>
      <c r="DX19">
        <v>499.9948</v>
      </c>
      <c r="DY19">
        <v>89.60106</v>
      </c>
      <c r="DZ19">
        <v>0.03313706</v>
      </c>
      <c r="EA19">
        <v>18.8183</v>
      </c>
      <c r="EB19">
        <v>17.98668</v>
      </c>
      <c r="EC19">
        <v>999.9</v>
      </c>
      <c r="ED19">
        <v>0</v>
      </c>
      <c r="EE19">
        <v>0</v>
      </c>
      <c r="EF19">
        <v>9992.26</v>
      </c>
      <c r="EG19">
        <v>0</v>
      </c>
      <c r="EH19">
        <v>0.220656</v>
      </c>
      <c r="EI19">
        <v>0.4903566</v>
      </c>
      <c r="EJ19">
        <v>425.6928</v>
      </c>
      <c r="EK19">
        <v>425.1206</v>
      </c>
      <c r="EL19">
        <v>0.1758468</v>
      </c>
      <c r="EM19">
        <v>420.0004</v>
      </c>
      <c r="EN19">
        <v>12.04394</v>
      </c>
      <c r="EO19">
        <v>1.09491</v>
      </c>
      <c r="EP19">
        <v>1.07915</v>
      </c>
      <c r="EQ19">
        <v>8.244488</v>
      </c>
      <c r="ER19">
        <v>8.031212</v>
      </c>
      <c r="ES19">
        <v>0.00500059</v>
      </c>
      <c r="ET19">
        <v>0</v>
      </c>
      <c r="EU19">
        <v>0</v>
      </c>
      <c r="EV19">
        <v>0</v>
      </c>
      <c r="EW19">
        <v>720.58</v>
      </c>
      <c r="EX19">
        <v>0.00500059</v>
      </c>
      <c r="EY19">
        <v>-11.58</v>
      </c>
      <c r="EZ19">
        <v>-0.92</v>
      </c>
      <c r="FA19">
        <v>34.187</v>
      </c>
      <c r="FB19">
        <v>37.6248</v>
      </c>
      <c r="FC19">
        <v>35.937</v>
      </c>
      <c r="FD19">
        <v>38.1622</v>
      </c>
      <c r="FE19">
        <v>35.9122</v>
      </c>
      <c r="FF19">
        <v>0</v>
      </c>
      <c r="FG19">
        <v>0</v>
      </c>
      <c r="FH19">
        <v>0</v>
      </c>
      <c r="FI19">
        <v>116.799999952316</v>
      </c>
      <c r="FJ19">
        <v>0</v>
      </c>
      <c r="FK19">
        <v>722.412</v>
      </c>
      <c r="FL19">
        <v>-32.3692304695853</v>
      </c>
      <c r="FM19">
        <v>-11.9846156517194</v>
      </c>
      <c r="FN19">
        <v>-12.176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0.491663047619048</v>
      </c>
      <c r="GD19">
        <v>0.0101587012987011</v>
      </c>
      <c r="GE19">
        <v>0.0335539128262281</v>
      </c>
      <c r="GF19">
        <v>1</v>
      </c>
      <c r="GG19">
        <v>726.15</v>
      </c>
      <c r="GH19">
        <v>-46.1375094011437</v>
      </c>
      <c r="GI19">
        <v>7.16573751386743</v>
      </c>
      <c r="GJ19">
        <v>-1</v>
      </c>
      <c r="GK19">
        <v>0.170868333333333</v>
      </c>
      <c r="GL19">
        <v>0.0394119740259745</v>
      </c>
      <c r="GM19">
        <v>0.00399792429873462</v>
      </c>
      <c r="GN19">
        <v>1</v>
      </c>
      <c r="GO19">
        <v>2</v>
      </c>
      <c r="GP19">
        <v>2</v>
      </c>
      <c r="GQ19" t="s">
        <v>441</v>
      </c>
      <c r="GR19">
        <v>3.13177</v>
      </c>
      <c r="GS19">
        <v>2.7112</v>
      </c>
      <c r="GT19">
        <v>0.0899611</v>
      </c>
      <c r="GU19">
        <v>0.0902538</v>
      </c>
      <c r="GV19">
        <v>0.062963</v>
      </c>
      <c r="GW19">
        <v>0.0626021</v>
      </c>
      <c r="GX19">
        <v>34678</v>
      </c>
      <c r="GY19">
        <v>37204.8</v>
      </c>
      <c r="GZ19">
        <v>34447.3</v>
      </c>
      <c r="HA19">
        <v>36997.9</v>
      </c>
      <c r="HB19">
        <v>45543</v>
      </c>
      <c r="HC19">
        <v>49762</v>
      </c>
      <c r="HD19">
        <v>53638.7</v>
      </c>
      <c r="HE19">
        <v>59058.9</v>
      </c>
      <c r="HF19">
        <v>2.02597</v>
      </c>
      <c r="HG19">
        <v>1.83368</v>
      </c>
      <c r="HH19">
        <v>0.0291839</v>
      </c>
      <c r="HI19">
        <v>0</v>
      </c>
      <c r="HJ19">
        <v>17.5054</v>
      </c>
      <c r="HK19">
        <v>999.9</v>
      </c>
      <c r="HL19">
        <v>31.944</v>
      </c>
      <c r="HM19">
        <v>29.98</v>
      </c>
      <c r="HN19">
        <v>15.1711</v>
      </c>
      <c r="HO19">
        <v>54.4682</v>
      </c>
      <c r="HP19">
        <v>48.8542</v>
      </c>
      <c r="HQ19">
        <v>1</v>
      </c>
      <c r="HR19">
        <v>-0.359118</v>
      </c>
      <c r="HS19">
        <v>1.60825</v>
      </c>
      <c r="HT19">
        <v>20.125</v>
      </c>
      <c r="HU19">
        <v>5.20142</v>
      </c>
      <c r="HV19">
        <v>12.004</v>
      </c>
      <c r="HW19">
        <v>4.9757</v>
      </c>
      <c r="HX19">
        <v>3.29308</v>
      </c>
      <c r="HY19">
        <v>9999</v>
      </c>
      <c r="HZ19">
        <v>9999</v>
      </c>
      <c r="IA19">
        <v>999.9</v>
      </c>
      <c r="IB19">
        <v>9999</v>
      </c>
      <c r="IC19">
        <v>1.86338</v>
      </c>
      <c r="ID19">
        <v>1.86813</v>
      </c>
      <c r="IE19">
        <v>1.86783</v>
      </c>
      <c r="IF19">
        <v>1.86911</v>
      </c>
      <c r="IG19">
        <v>1.86992</v>
      </c>
      <c r="IH19">
        <v>1.866</v>
      </c>
      <c r="II19">
        <v>1.86706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1.539</v>
      </c>
      <c r="IY19">
        <v>-0.0106</v>
      </c>
      <c r="IZ19">
        <v>0.282887266083375</v>
      </c>
      <c r="JA19">
        <v>0.00306585071625405</v>
      </c>
      <c r="JB19">
        <v>-2.0560773108561e-07</v>
      </c>
      <c r="JC19">
        <v>1.17266038970699e-10</v>
      </c>
      <c r="JD19">
        <v>-0.0828159689460901</v>
      </c>
      <c r="JE19">
        <v>-0.0292312028691274</v>
      </c>
      <c r="JF19">
        <v>0.00362507029369384</v>
      </c>
      <c r="JG19">
        <v>-6.15131582447985e-05</v>
      </c>
      <c r="JH19">
        <v>5</v>
      </c>
      <c r="JI19">
        <v>2200</v>
      </c>
      <c r="JJ19">
        <v>0</v>
      </c>
      <c r="JK19">
        <v>22</v>
      </c>
      <c r="JL19">
        <v>29345583.9</v>
      </c>
      <c r="JM19">
        <v>29345583.9</v>
      </c>
      <c r="JN19">
        <v>1.00586</v>
      </c>
      <c r="JO19">
        <v>2.60864</v>
      </c>
      <c r="JP19">
        <v>1.54785</v>
      </c>
      <c r="JQ19">
        <v>2.31934</v>
      </c>
      <c r="JR19">
        <v>1.64673</v>
      </c>
      <c r="JS19">
        <v>2.32666</v>
      </c>
      <c r="JT19">
        <v>33.6254</v>
      </c>
      <c r="JU19">
        <v>24.2188</v>
      </c>
      <c r="JV19">
        <v>18</v>
      </c>
      <c r="JW19">
        <v>500.223</v>
      </c>
      <c r="JX19">
        <v>383.709</v>
      </c>
      <c r="JY19">
        <v>15.686</v>
      </c>
      <c r="JZ19">
        <v>22.6848</v>
      </c>
      <c r="KA19">
        <v>29.9999</v>
      </c>
      <c r="KB19">
        <v>22.741</v>
      </c>
      <c r="KC19">
        <v>22.7102</v>
      </c>
      <c r="KD19">
        <v>20.1444</v>
      </c>
      <c r="KE19">
        <v>11.3121</v>
      </c>
      <c r="KF19">
        <v>4.77674</v>
      </c>
      <c r="KG19">
        <v>15.694</v>
      </c>
      <c r="KH19">
        <v>420</v>
      </c>
      <c r="KI19">
        <v>12.0646</v>
      </c>
      <c r="KJ19">
        <v>97.5741</v>
      </c>
      <c r="KK19">
        <v>95.7333</v>
      </c>
    </row>
    <row r="20" spans="1:297">
      <c r="A20">
        <v>4</v>
      </c>
      <c r="B20">
        <v>1760735504</v>
      </c>
      <c r="C20">
        <v>844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1760735500.5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425.122498025948</v>
      </c>
      <c r="AK20">
        <v>425.627012121212</v>
      </c>
      <c r="AL20">
        <v>-0.000437106611438348</v>
      </c>
      <c r="AM20">
        <v>64.8915818827657</v>
      </c>
      <c r="AN20">
        <f>(AP20 - AO20 + DY20*1E3/(8.314*(EA20+273.15)) * AR20/DX20 * AQ20) * DX20/(100*DL20) * 1000/(1000 - AP20)</f>
        <v>0</v>
      </c>
      <c r="AO20">
        <v>12.0611580469932</v>
      </c>
      <c r="AP20">
        <v>12.2616452941177</v>
      </c>
      <c r="AQ20">
        <v>2.39340323821781e-06</v>
      </c>
      <c r="AR20">
        <v>129.570498630926</v>
      </c>
      <c r="AS20">
        <v>4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5143.41</v>
      </c>
      <c r="AZ20">
        <v>639.104</v>
      </c>
      <c r="BA20">
        <v>2591.23</v>
      </c>
      <c r="BB20">
        <f>1-AZ20/BA20</f>
        <v>0</v>
      </c>
      <c r="BC20">
        <v>-0.773196319734582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3.21</v>
      </c>
      <c r="DM20">
        <v>0.5</v>
      </c>
      <c r="DN20" t="s">
        <v>439</v>
      </c>
      <c r="DO20">
        <v>2</v>
      </c>
      <c r="DP20" t="b">
        <v>1</v>
      </c>
      <c r="DQ20">
        <v>1760735500.5</v>
      </c>
      <c r="DR20">
        <v>420.443833333333</v>
      </c>
      <c r="DS20">
        <v>420.000666666667</v>
      </c>
      <c r="DT20">
        <v>12.2628666666667</v>
      </c>
      <c r="DU20">
        <v>12.0596166666667</v>
      </c>
      <c r="DV20">
        <v>418.904166666667</v>
      </c>
      <c r="DW20">
        <v>12.2721333333333</v>
      </c>
      <c r="DX20">
        <v>500.030166666667</v>
      </c>
      <c r="DY20">
        <v>89.59015</v>
      </c>
      <c r="DZ20">
        <v>0.0335028666666667</v>
      </c>
      <c r="EA20">
        <v>18.9023333333333</v>
      </c>
      <c r="EB20">
        <v>18.0123666666667</v>
      </c>
      <c r="EC20">
        <v>999.9</v>
      </c>
      <c r="ED20">
        <v>0</v>
      </c>
      <c r="EE20">
        <v>0</v>
      </c>
      <c r="EF20">
        <v>10015.8333333333</v>
      </c>
      <c r="EG20">
        <v>0</v>
      </c>
      <c r="EH20">
        <v>0.220656</v>
      </c>
      <c r="EI20">
        <v>0.4430695</v>
      </c>
      <c r="EJ20">
        <v>425.6635</v>
      </c>
      <c r="EK20">
        <v>425.1275</v>
      </c>
      <c r="EL20">
        <v>0.2032265</v>
      </c>
      <c r="EM20">
        <v>420.000666666667</v>
      </c>
      <c r="EN20">
        <v>12.0596166666667</v>
      </c>
      <c r="EO20">
        <v>1.09863</v>
      </c>
      <c r="EP20">
        <v>1.080425</v>
      </c>
      <c r="EQ20">
        <v>8.29450333333333</v>
      </c>
      <c r="ER20">
        <v>8.04855166666667</v>
      </c>
      <c r="ES20">
        <v>0.00500059</v>
      </c>
      <c r="ET20">
        <v>0</v>
      </c>
      <c r="EU20">
        <v>0</v>
      </c>
      <c r="EV20">
        <v>0</v>
      </c>
      <c r="EW20">
        <v>638.65</v>
      </c>
      <c r="EX20">
        <v>0.00500059</v>
      </c>
      <c r="EY20">
        <v>-9.88333333333333</v>
      </c>
      <c r="EZ20">
        <v>-0.75</v>
      </c>
      <c r="FA20">
        <v>35.062</v>
      </c>
      <c r="FB20">
        <v>40.0516666666667</v>
      </c>
      <c r="FC20">
        <v>37.3225</v>
      </c>
      <c r="FD20">
        <v>41.9895</v>
      </c>
      <c r="FE20">
        <v>37.2706666666667</v>
      </c>
      <c r="FF20">
        <v>0</v>
      </c>
      <c r="FG20">
        <v>0</v>
      </c>
      <c r="FH20">
        <v>0</v>
      </c>
      <c r="FI20">
        <v>472</v>
      </c>
      <c r="FJ20">
        <v>0</v>
      </c>
      <c r="FK20">
        <v>639.104</v>
      </c>
      <c r="FL20">
        <v>24.4846153412108</v>
      </c>
      <c r="FM20">
        <v>4.44615381803268</v>
      </c>
      <c r="FN20">
        <v>-8.768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0.437969428571429</v>
      </c>
      <c r="GD20">
        <v>0.0308276883116886</v>
      </c>
      <c r="GE20">
        <v>0.0302477148756278</v>
      </c>
      <c r="GF20">
        <v>1</v>
      </c>
      <c r="GG20">
        <v>638.426470588235</v>
      </c>
      <c r="GH20">
        <v>5.31550793627727</v>
      </c>
      <c r="GI20">
        <v>4.47301114683646</v>
      </c>
      <c r="GJ20">
        <v>-1</v>
      </c>
      <c r="GK20">
        <v>0.201809047619048</v>
      </c>
      <c r="GL20">
        <v>-0.00897919480519454</v>
      </c>
      <c r="GM20">
        <v>0.00321719662759204</v>
      </c>
      <c r="GN20">
        <v>1</v>
      </c>
      <c r="GO20">
        <v>2</v>
      </c>
      <c r="GP20">
        <v>2</v>
      </c>
      <c r="GQ20" t="s">
        <v>441</v>
      </c>
      <c r="GR20">
        <v>3.1317</v>
      </c>
      <c r="GS20">
        <v>2.71158</v>
      </c>
      <c r="GT20">
        <v>0.0898888</v>
      </c>
      <c r="GU20">
        <v>0.0902049</v>
      </c>
      <c r="GV20">
        <v>0.0630844</v>
      </c>
      <c r="GW20">
        <v>0.0626292</v>
      </c>
      <c r="GX20">
        <v>34658.2</v>
      </c>
      <c r="GY20">
        <v>37177.6</v>
      </c>
      <c r="GZ20">
        <v>34426.5</v>
      </c>
      <c r="HA20">
        <v>36970.6</v>
      </c>
      <c r="HB20">
        <v>45513.7</v>
      </c>
      <c r="HC20">
        <v>49726.6</v>
      </c>
      <c r="HD20">
        <v>53611.5</v>
      </c>
      <c r="HE20">
        <v>59019.3</v>
      </c>
      <c r="HF20">
        <v>2.02027</v>
      </c>
      <c r="HG20">
        <v>1.83003</v>
      </c>
      <c r="HH20">
        <v>0.000733882</v>
      </c>
      <c r="HI20">
        <v>0</v>
      </c>
      <c r="HJ20">
        <v>18.0018</v>
      </c>
      <c r="HK20">
        <v>999.9</v>
      </c>
      <c r="HL20">
        <v>30.942</v>
      </c>
      <c r="HM20">
        <v>30.051</v>
      </c>
      <c r="HN20">
        <v>14.7574</v>
      </c>
      <c r="HO20">
        <v>54.4482</v>
      </c>
      <c r="HP20">
        <v>48.5377</v>
      </c>
      <c r="HQ20">
        <v>1</v>
      </c>
      <c r="HR20">
        <v>-0.330513</v>
      </c>
      <c r="HS20">
        <v>2.53993</v>
      </c>
      <c r="HT20">
        <v>20.1141</v>
      </c>
      <c r="HU20">
        <v>5.20052</v>
      </c>
      <c r="HV20">
        <v>12.004</v>
      </c>
      <c r="HW20">
        <v>4.97565</v>
      </c>
      <c r="HX20">
        <v>3.29305</v>
      </c>
      <c r="HY20">
        <v>9999</v>
      </c>
      <c r="HZ20">
        <v>9999</v>
      </c>
      <c r="IA20">
        <v>999.9</v>
      </c>
      <c r="IB20">
        <v>9999</v>
      </c>
      <c r="IC20">
        <v>1.86338</v>
      </c>
      <c r="ID20">
        <v>1.86813</v>
      </c>
      <c r="IE20">
        <v>1.86783</v>
      </c>
      <c r="IF20">
        <v>1.8691</v>
      </c>
      <c r="IG20">
        <v>1.86994</v>
      </c>
      <c r="IH20">
        <v>1.866</v>
      </c>
      <c r="II20">
        <v>1.86706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1.539</v>
      </c>
      <c r="IY20">
        <v>-0.0094</v>
      </c>
      <c r="IZ20">
        <v>0.282887266083375</v>
      </c>
      <c r="JA20">
        <v>0.00306585071625405</v>
      </c>
      <c r="JB20">
        <v>-2.0560773108561e-07</v>
      </c>
      <c r="JC20">
        <v>1.17266038970699e-10</v>
      </c>
      <c r="JD20">
        <v>-0.0828159689460901</v>
      </c>
      <c r="JE20">
        <v>-0.0292312028691274</v>
      </c>
      <c r="JF20">
        <v>0.00362507029369384</v>
      </c>
      <c r="JG20">
        <v>-6.15131582447985e-05</v>
      </c>
      <c r="JH20">
        <v>5</v>
      </c>
      <c r="JI20">
        <v>2200</v>
      </c>
      <c r="JJ20">
        <v>0</v>
      </c>
      <c r="JK20">
        <v>22</v>
      </c>
      <c r="JL20">
        <v>29345591.7</v>
      </c>
      <c r="JM20">
        <v>29345591.7</v>
      </c>
      <c r="JN20">
        <v>1.00586</v>
      </c>
      <c r="JO20">
        <v>2.60498</v>
      </c>
      <c r="JP20">
        <v>1.54785</v>
      </c>
      <c r="JQ20">
        <v>2.31934</v>
      </c>
      <c r="JR20">
        <v>1.64673</v>
      </c>
      <c r="JS20">
        <v>2.35352</v>
      </c>
      <c r="JT20">
        <v>33.6029</v>
      </c>
      <c r="JU20">
        <v>24.2188</v>
      </c>
      <c r="JV20">
        <v>18</v>
      </c>
      <c r="JW20">
        <v>498.805</v>
      </c>
      <c r="JX20">
        <v>383.433</v>
      </c>
      <c r="JY20">
        <v>14.9149</v>
      </c>
      <c r="JZ20">
        <v>22.9966</v>
      </c>
      <c r="KA20">
        <v>30.0004</v>
      </c>
      <c r="KB20">
        <v>22.9669</v>
      </c>
      <c r="KC20">
        <v>22.9292</v>
      </c>
      <c r="KD20">
        <v>20.1631</v>
      </c>
      <c r="KE20">
        <v>5.20723</v>
      </c>
      <c r="KF20">
        <v>4.77674</v>
      </c>
      <c r="KG20">
        <v>14.9014</v>
      </c>
      <c r="KH20">
        <v>420</v>
      </c>
      <c r="KI20">
        <v>12.1225</v>
      </c>
      <c r="KJ20">
        <v>97.5209</v>
      </c>
      <c r="KK20">
        <v>95.6665</v>
      </c>
    </row>
    <row r="21" spans="1:297">
      <c r="A21">
        <v>5</v>
      </c>
      <c r="B21">
        <v>1760735667</v>
      </c>
      <c r="C21">
        <v>1007</v>
      </c>
      <c r="D21" t="s">
        <v>455</v>
      </c>
      <c r="E21" t="s">
        <v>456</v>
      </c>
      <c r="F21">
        <v>5</v>
      </c>
      <c r="G21" t="s">
        <v>453</v>
      </c>
      <c r="H21" t="s">
        <v>436</v>
      </c>
      <c r="I21">
        <v>1760735663.5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425.128615057985</v>
      </c>
      <c r="AK21">
        <v>425.588503030303</v>
      </c>
      <c r="AL21">
        <v>0.000439450459201257</v>
      </c>
      <c r="AM21">
        <v>64.8915818827657</v>
      </c>
      <c r="AN21">
        <f>(AP21 - AO21 + DY21*1E3/(8.314*(EA21+273.15)) * AR21/DX21 * AQ21) * DX21/(100*DL21) * 1000/(1000 - AP21)</f>
        <v>0</v>
      </c>
      <c r="AO21">
        <v>12.0515136228884</v>
      </c>
      <c r="AP21">
        <v>12.2092476470588</v>
      </c>
      <c r="AQ21">
        <v>-6.54171992475396e-06</v>
      </c>
      <c r="AR21">
        <v>129.570498630926</v>
      </c>
      <c r="AS21">
        <v>3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457</v>
      </c>
      <c r="AY21">
        <v>5144.65</v>
      </c>
      <c r="AZ21">
        <v>696.203846153846</v>
      </c>
      <c r="BA21">
        <v>2571.29</v>
      </c>
      <c r="BB21">
        <f>1-AZ21/BA21</f>
        <v>0</v>
      </c>
      <c r="BC21">
        <v>-0.710955795455423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3.21</v>
      </c>
      <c r="DM21">
        <v>0.5</v>
      </c>
      <c r="DN21" t="s">
        <v>439</v>
      </c>
      <c r="DO21">
        <v>2</v>
      </c>
      <c r="DP21" t="b">
        <v>1</v>
      </c>
      <c r="DQ21">
        <v>1760735663.5</v>
      </c>
      <c r="DR21">
        <v>420.366166666667</v>
      </c>
      <c r="DS21">
        <v>419.9975</v>
      </c>
      <c r="DT21">
        <v>12.2109333333333</v>
      </c>
      <c r="DU21">
        <v>12.0510166666667</v>
      </c>
      <c r="DV21">
        <v>418.826666666667</v>
      </c>
      <c r="DW21">
        <v>12.2218333333333</v>
      </c>
      <c r="DX21">
        <v>500.009166666667</v>
      </c>
      <c r="DY21">
        <v>89.588</v>
      </c>
      <c r="DZ21">
        <v>0.0337047833333333</v>
      </c>
      <c r="EA21">
        <v>18.8326166666667</v>
      </c>
      <c r="EB21">
        <v>17.98965</v>
      </c>
      <c r="EC21">
        <v>999.9</v>
      </c>
      <c r="ED21">
        <v>0</v>
      </c>
      <c r="EE21">
        <v>0</v>
      </c>
      <c r="EF21">
        <v>10005.6133333333</v>
      </c>
      <c r="EG21">
        <v>0</v>
      </c>
      <c r="EH21">
        <v>0.220656</v>
      </c>
      <c r="EI21">
        <v>0.368469166666667</v>
      </c>
      <c r="EJ21">
        <v>425.562666666667</v>
      </c>
      <c r="EK21">
        <v>425.120833333333</v>
      </c>
      <c r="EL21">
        <v>0.1599025</v>
      </c>
      <c r="EM21">
        <v>419.9975</v>
      </c>
      <c r="EN21">
        <v>12.0510166666667</v>
      </c>
      <c r="EO21">
        <v>1.093955</v>
      </c>
      <c r="EP21">
        <v>1.07962833333333</v>
      </c>
      <c r="EQ21">
        <v>8.23165666666667</v>
      </c>
      <c r="ER21">
        <v>8.03771333333333</v>
      </c>
      <c r="ES21">
        <v>0.00500059</v>
      </c>
      <c r="ET21">
        <v>0</v>
      </c>
      <c r="EU21">
        <v>0</v>
      </c>
      <c r="EV21">
        <v>0</v>
      </c>
      <c r="EW21">
        <v>698.45</v>
      </c>
      <c r="EX21">
        <v>0.00500059</v>
      </c>
      <c r="EY21">
        <v>-20.4833333333333</v>
      </c>
      <c r="EZ21">
        <v>-1.61666666666667</v>
      </c>
      <c r="FA21">
        <v>34.437</v>
      </c>
      <c r="FB21">
        <v>38.729</v>
      </c>
      <c r="FC21">
        <v>36.5</v>
      </c>
      <c r="FD21">
        <v>39.3851666666667</v>
      </c>
      <c r="FE21">
        <v>36.375</v>
      </c>
      <c r="FF21">
        <v>0</v>
      </c>
      <c r="FG21">
        <v>0</v>
      </c>
      <c r="FH21">
        <v>0</v>
      </c>
      <c r="FI21">
        <v>161.799999952316</v>
      </c>
      <c r="FJ21">
        <v>0</v>
      </c>
      <c r="FK21">
        <v>696.203846153846</v>
      </c>
      <c r="FL21">
        <v>-4.21538461352539</v>
      </c>
      <c r="FM21">
        <v>-13.9452997778936</v>
      </c>
      <c r="FN21">
        <v>-14.8730769230769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0.38059385</v>
      </c>
      <c r="GD21">
        <v>-0.211477037593984</v>
      </c>
      <c r="GE21">
        <v>0.045947723425949</v>
      </c>
      <c r="GF21">
        <v>1</v>
      </c>
      <c r="GG21">
        <v>697.776470588235</v>
      </c>
      <c r="GH21">
        <v>-22.3407182352217</v>
      </c>
      <c r="GI21">
        <v>6.27680411484968</v>
      </c>
      <c r="GJ21">
        <v>-1</v>
      </c>
      <c r="GK21">
        <v>0.1614802</v>
      </c>
      <c r="GL21">
        <v>-0.0109264060150374</v>
      </c>
      <c r="GM21">
        <v>0.0011010275473393</v>
      </c>
      <c r="GN21">
        <v>1</v>
      </c>
      <c r="GO21">
        <v>2</v>
      </c>
      <c r="GP21">
        <v>2</v>
      </c>
      <c r="GQ21" t="s">
        <v>441</v>
      </c>
      <c r="GR21">
        <v>3.13166</v>
      </c>
      <c r="GS21">
        <v>2.71156</v>
      </c>
      <c r="GT21">
        <v>0.089855</v>
      </c>
      <c r="GU21">
        <v>0.0901698</v>
      </c>
      <c r="GV21">
        <v>0.0628575</v>
      </c>
      <c r="GW21">
        <v>0.0625788</v>
      </c>
      <c r="GX21">
        <v>34652.3</v>
      </c>
      <c r="GY21">
        <v>37169.6</v>
      </c>
      <c r="GZ21">
        <v>34420.1</v>
      </c>
      <c r="HA21">
        <v>36961.9</v>
      </c>
      <c r="HB21">
        <v>45518.1</v>
      </c>
      <c r="HC21">
        <v>49718.8</v>
      </c>
      <c r="HD21">
        <v>53603.5</v>
      </c>
      <c r="HE21">
        <v>59007</v>
      </c>
      <c r="HF21">
        <v>2.01925</v>
      </c>
      <c r="HG21">
        <v>1.8278</v>
      </c>
      <c r="HH21">
        <v>0.0025779</v>
      </c>
      <c r="HI21">
        <v>0</v>
      </c>
      <c r="HJ21">
        <v>17.9478</v>
      </c>
      <c r="HK21">
        <v>999.9</v>
      </c>
      <c r="HL21">
        <v>30.717</v>
      </c>
      <c r="HM21">
        <v>30.081</v>
      </c>
      <c r="HN21">
        <v>14.6757</v>
      </c>
      <c r="HO21">
        <v>54.3482</v>
      </c>
      <c r="HP21">
        <v>48.75</v>
      </c>
      <c r="HQ21">
        <v>1</v>
      </c>
      <c r="HR21">
        <v>-0.322116</v>
      </c>
      <c r="HS21">
        <v>2.09004</v>
      </c>
      <c r="HT21">
        <v>20.1203</v>
      </c>
      <c r="HU21">
        <v>5.19947</v>
      </c>
      <c r="HV21">
        <v>12.004</v>
      </c>
      <c r="HW21">
        <v>4.97575</v>
      </c>
      <c r="HX21">
        <v>3.29308</v>
      </c>
      <c r="HY21">
        <v>9999</v>
      </c>
      <c r="HZ21">
        <v>9999</v>
      </c>
      <c r="IA21">
        <v>999.9</v>
      </c>
      <c r="IB21">
        <v>9999</v>
      </c>
      <c r="IC21">
        <v>1.86338</v>
      </c>
      <c r="ID21">
        <v>1.86813</v>
      </c>
      <c r="IE21">
        <v>1.86783</v>
      </c>
      <c r="IF21">
        <v>1.86913</v>
      </c>
      <c r="IG21">
        <v>1.86991</v>
      </c>
      <c r="IH21">
        <v>1.866</v>
      </c>
      <c r="II21">
        <v>1.86705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1.54</v>
      </c>
      <c r="IY21">
        <v>-0.011</v>
      </c>
      <c r="IZ21">
        <v>0.282887266083375</v>
      </c>
      <c r="JA21">
        <v>0.00306585071625405</v>
      </c>
      <c r="JB21">
        <v>-2.0560773108561e-07</v>
      </c>
      <c r="JC21">
        <v>1.17266038970699e-10</v>
      </c>
      <c r="JD21">
        <v>-0.0828159689460901</v>
      </c>
      <c r="JE21">
        <v>-0.0292312028691274</v>
      </c>
      <c r="JF21">
        <v>0.00362507029369384</v>
      </c>
      <c r="JG21">
        <v>-6.15131582447985e-05</v>
      </c>
      <c r="JH21">
        <v>5</v>
      </c>
      <c r="JI21">
        <v>2200</v>
      </c>
      <c r="JJ21">
        <v>0</v>
      </c>
      <c r="JK21">
        <v>22</v>
      </c>
      <c r="JL21">
        <v>29345594.4</v>
      </c>
      <c r="JM21">
        <v>29345594.4</v>
      </c>
      <c r="JN21">
        <v>1.00586</v>
      </c>
      <c r="JO21">
        <v>2.60742</v>
      </c>
      <c r="JP21">
        <v>1.54785</v>
      </c>
      <c r="JQ21">
        <v>2.31812</v>
      </c>
      <c r="JR21">
        <v>1.64673</v>
      </c>
      <c r="JS21">
        <v>2.37915</v>
      </c>
      <c r="JT21">
        <v>33.6254</v>
      </c>
      <c r="JU21">
        <v>24.2188</v>
      </c>
      <c r="JV21">
        <v>18</v>
      </c>
      <c r="JW21">
        <v>499.332</v>
      </c>
      <c r="JX21">
        <v>383.161</v>
      </c>
      <c r="JY21">
        <v>15.3096</v>
      </c>
      <c r="JZ21">
        <v>23.1284</v>
      </c>
      <c r="KA21">
        <v>30.0004</v>
      </c>
      <c r="KB21">
        <v>23.0884</v>
      </c>
      <c r="KC21">
        <v>23.0488</v>
      </c>
      <c r="KD21">
        <v>20.169</v>
      </c>
      <c r="KE21">
        <v>4.09853</v>
      </c>
      <c r="KF21">
        <v>5.89943</v>
      </c>
      <c r="KG21">
        <v>15.3137</v>
      </c>
      <c r="KH21">
        <v>420</v>
      </c>
      <c r="KI21">
        <v>12.0401</v>
      </c>
      <c r="KJ21">
        <v>97.5049</v>
      </c>
      <c r="KK21">
        <v>95.6456</v>
      </c>
    </row>
    <row r="22" spans="1:297">
      <c r="A22">
        <v>6</v>
      </c>
      <c r="B22">
        <v>1760735740</v>
      </c>
      <c r="C22">
        <v>1080</v>
      </c>
      <c r="D22" t="s">
        <v>458</v>
      </c>
      <c r="E22" t="s">
        <v>459</v>
      </c>
      <c r="F22">
        <v>5</v>
      </c>
      <c r="G22" t="s">
        <v>453</v>
      </c>
      <c r="H22" t="s">
        <v>436</v>
      </c>
      <c r="I22">
        <v>1760735736.5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425.113585962329</v>
      </c>
      <c r="AK22">
        <v>425.498054545454</v>
      </c>
      <c r="AL22">
        <v>0.00108539833995018</v>
      </c>
      <c r="AM22">
        <v>64.8915818827657</v>
      </c>
      <c r="AN22">
        <f>(AP22 - AO22 + DY22*1E3/(8.314*(EA22+273.15)) * AR22/DX22 * AQ22) * DX22/(100*DL22) * 1000/(1000 - AP22)</f>
        <v>0</v>
      </c>
      <c r="AO22">
        <v>12.0433334648967</v>
      </c>
      <c r="AP22">
        <v>12.1739085294118</v>
      </c>
      <c r="AQ22">
        <v>-2.7568284870897e-06</v>
      </c>
      <c r="AR22">
        <v>129.570498630926</v>
      </c>
      <c r="AS22">
        <v>3</v>
      </c>
      <c r="AT22">
        <v>1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 t="s">
        <v>438</v>
      </c>
      <c r="AZ22">
        <v>0</v>
      </c>
      <c r="BA22">
        <v>0</v>
      </c>
      <c r="BB22">
        <f>1-AZ22/BA22</f>
        <v>0</v>
      </c>
      <c r="BC22">
        <v>0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3.21</v>
      </c>
      <c r="DM22">
        <v>0.5</v>
      </c>
      <c r="DN22" t="s">
        <v>439</v>
      </c>
      <c r="DO22">
        <v>2</v>
      </c>
      <c r="DP22" t="b">
        <v>1</v>
      </c>
      <c r="DQ22">
        <v>1760735736.5</v>
      </c>
      <c r="DR22">
        <v>420.3035</v>
      </c>
      <c r="DS22">
        <v>419.9935</v>
      </c>
      <c r="DT22">
        <v>12.1750666666667</v>
      </c>
      <c r="DU22">
        <v>12.04365</v>
      </c>
      <c r="DV22">
        <v>418.764</v>
      </c>
      <c r="DW22">
        <v>12.1870666666667</v>
      </c>
      <c r="DX22">
        <v>500.028</v>
      </c>
      <c r="DY22">
        <v>89.5850833333333</v>
      </c>
      <c r="DZ22">
        <v>0.03410125</v>
      </c>
      <c r="EA22">
        <v>18.8361</v>
      </c>
      <c r="EB22">
        <v>17.9868666666667</v>
      </c>
      <c r="EC22">
        <v>999.9</v>
      </c>
      <c r="ED22">
        <v>0</v>
      </c>
      <c r="EE22">
        <v>0</v>
      </c>
      <c r="EF22">
        <v>9988.75</v>
      </c>
      <c r="EG22">
        <v>0</v>
      </c>
      <c r="EH22">
        <v>0.220656</v>
      </c>
      <c r="EI22">
        <v>0.309941666666667</v>
      </c>
      <c r="EJ22">
        <v>425.483833333333</v>
      </c>
      <c r="EK22">
        <v>425.1135</v>
      </c>
      <c r="EL22">
        <v>0.1313985</v>
      </c>
      <c r="EM22">
        <v>419.9935</v>
      </c>
      <c r="EN22">
        <v>12.04365</v>
      </c>
      <c r="EO22">
        <v>1.090705</v>
      </c>
      <c r="EP22">
        <v>1.07893333333333</v>
      </c>
      <c r="EQ22">
        <v>8.18787666666667</v>
      </c>
      <c r="ER22">
        <v>8.028255</v>
      </c>
      <c r="ES22">
        <v>0.00500059</v>
      </c>
      <c r="ET22">
        <v>0</v>
      </c>
      <c r="EU22">
        <v>0</v>
      </c>
      <c r="EV22">
        <v>0</v>
      </c>
      <c r="EW22">
        <v>757</v>
      </c>
      <c r="EX22">
        <v>0.00500059</v>
      </c>
      <c r="EY22">
        <v>-10.95</v>
      </c>
      <c r="EZ22">
        <v>-1.03333333333333</v>
      </c>
      <c r="FA22">
        <v>34.625</v>
      </c>
      <c r="FB22">
        <v>39.25</v>
      </c>
      <c r="FC22">
        <v>36.75</v>
      </c>
      <c r="FD22">
        <v>40.3016666666667</v>
      </c>
      <c r="FE22">
        <v>36.6766666666667</v>
      </c>
      <c r="FF22">
        <v>0</v>
      </c>
      <c r="FG22">
        <v>0</v>
      </c>
      <c r="FH22">
        <v>0</v>
      </c>
      <c r="FI22">
        <v>71.7999999523163</v>
      </c>
      <c r="FJ22">
        <v>0</v>
      </c>
      <c r="FK22">
        <v>763.161538461538</v>
      </c>
      <c r="FL22">
        <v>-112.806837522486</v>
      </c>
      <c r="FM22">
        <v>12.642735323675</v>
      </c>
      <c r="FN22">
        <v>-13.1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0.332396095238095</v>
      </c>
      <c r="GD22">
        <v>-0.049087012987013</v>
      </c>
      <c r="GE22">
        <v>0.0187819024187413</v>
      </c>
      <c r="GF22">
        <v>1</v>
      </c>
      <c r="GG22">
        <v>771.455882352941</v>
      </c>
      <c r="GH22">
        <v>-116.569900713264</v>
      </c>
      <c r="GI22">
        <v>13.3864767401871</v>
      </c>
      <c r="GJ22">
        <v>-1</v>
      </c>
      <c r="GK22">
        <v>0.132652571428571</v>
      </c>
      <c r="GL22">
        <v>0.00358581818181824</v>
      </c>
      <c r="GM22">
        <v>0.00162826810040691</v>
      </c>
      <c r="GN22">
        <v>1</v>
      </c>
      <c r="GO22">
        <v>2</v>
      </c>
      <c r="GP22">
        <v>2</v>
      </c>
      <c r="GQ22" t="s">
        <v>441</v>
      </c>
      <c r="GR22">
        <v>3.13159</v>
      </c>
      <c r="GS22">
        <v>2.71193</v>
      </c>
      <c r="GT22">
        <v>0.0898266</v>
      </c>
      <c r="GU22">
        <v>0.0901677</v>
      </c>
      <c r="GV22">
        <v>0.0627108</v>
      </c>
      <c r="GW22">
        <v>0.0625627</v>
      </c>
      <c r="GX22">
        <v>34651.9</v>
      </c>
      <c r="GY22">
        <v>37168.1</v>
      </c>
      <c r="GZ22">
        <v>34418.9</v>
      </c>
      <c r="HA22">
        <v>36960.5</v>
      </c>
      <c r="HB22">
        <v>45524.4</v>
      </c>
      <c r="HC22">
        <v>49718.1</v>
      </c>
      <c r="HD22">
        <v>53602.3</v>
      </c>
      <c r="HE22">
        <v>59005.2</v>
      </c>
      <c r="HF22">
        <v>2.01822</v>
      </c>
      <c r="HG22">
        <v>1.82815</v>
      </c>
      <c r="HH22">
        <v>0.00469759</v>
      </c>
      <c r="HI22">
        <v>0</v>
      </c>
      <c r="HJ22">
        <v>17.9086</v>
      </c>
      <c r="HK22">
        <v>999.9</v>
      </c>
      <c r="HL22">
        <v>30.668</v>
      </c>
      <c r="HM22">
        <v>30.101</v>
      </c>
      <c r="HN22">
        <v>14.6695</v>
      </c>
      <c r="HO22">
        <v>54.5482</v>
      </c>
      <c r="HP22">
        <v>48.5697</v>
      </c>
      <c r="HQ22">
        <v>1</v>
      </c>
      <c r="HR22">
        <v>-0.32032</v>
      </c>
      <c r="HS22">
        <v>2.0944</v>
      </c>
      <c r="HT22">
        <v>20.1203</v>
      </c>
      <c r="HU22">
        <v>5.20052</v>
      </c>
      <c r="HV22">
        <v>12.004</v>
      </c>
      <c r="HW22">
        <v>4.9757</v>
      </c>
      <c r="HX22">
        <v>3.29332</v>
      </c>
      <c r="HY22">
        <v>9999</v>
      </c>
      <c r="HZ22">
        <v>9999</v>
      </c>
      <c r="IA22">
        <v>999.9</v>
      </c>
      <c r="IB22">
        <v>9999</v>
      </c>
      <c r="IC22">
        <v>1.8634</v>
      </c>
      <c r="ID22">
        <v>1.86813</v>
      </c>
      <c r="IE22">
        <v>1.86783</v>
      </c>
      <c r="IF22">
        <v>1.86911</v>
      </c>
      <c r="IG22">
        <v>1.86993</v>
      </c>
      <c r="IH22">
        <v>1.86598</v>
      </c>
      <c r="II22">
        <v>1.86704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1.54</v>
      </c>
      <c r="IY22">
        <v>-0.012</v>
      </c>
      <c r="IZ22">
        <v>0.282887266083375</v>
      </c>
      <c r="JA22">
        <v>0.00306585071625405</v>
      </c>
      <c r="JB22">
        <v>-2.0560773108561e-07</v>
      </c>
      <c r="JC22">
        <v>1.17266038970699e-10</v>
      </c>
      <c r="JD22">
        <v>-0.0828159689460901</v>
      </c>
      <c r="JE22">
        <v>-0.0292312028691274</v>
      </c>
      <c r="JF22">
        <v>0.00362507029369384</v>
      </c>
      <c r="JG22">
        <v>-6.15131582447985e-05</v>
      </c>
      <c r="JH22">
        <v>5</v>
      </c>
      <c r="JI22">
        <v>2200</v>
      </c>
      <c r="JJ22">
        <v>0</v>
      </c>
      <c r="JK22">
        <v>22</v>
      </c>
      <c r="JL22">
        <v>29345595.7</v>
      </c>
      <c r="JM22">
        <v>29345595.7</v>
      </c>
      <c r="JN22">
        <v>1.00708</v>
      </c>
      <c r="JO22">
        <v>2.60742</v>
      </c>
      <c r="JP22">
        <v>1.54785</v>
      </c>
      <c r="JQ22">
        <v>2.31934</v>
      </c>
      <c r="JR22">
        <v>1.64551</v>
      </c>
      <c r="JS22">
        <v>2.34009</v>
      </c>
      <c r="JT22">
        <v>33.6479</v>
      </c>
      <c r="JU22">
        <v>24.2188</v>
      </c>
      <c r="JV22">
        <v>18</v>
      </c>
      <c r="JW22">
        <v>499.068</v>
      </c>
      <c r="JX22">
        <v>383.623</v>
      </c>
      <c r="JY22">
        <v>15.2787</v>
      </c>
      <c r="JZ22">
        <v>23.1634</v>
      </c>
      <c r="KA22">
        <v>30.0002</v>
      </c>
      <c r="KB22">
        <v>23.1283</v>
      </c>
      <c r="KC22">
        <v>23.088</v>
      </c>
      <c r="KD22">
        <v>20.1686</v>
      </c>
      <c r="KE22">
        <v>4.09853</v>
      </c>
      <c r="KF22">
        <v>6.6445</v>
      </c>
      <c r="KG22">
        <v>15.284</v>
      </c>
      <c r="KH22">
        <v>420</v>
      </c>
      <c r="KI22">
        <v>12.0384</v>
      </c>
      <c r="KJ22">
        <v>97.5023</v>
      </c>
      <c r="KK22">
        <v>95.6425</v>
      </c>
    </row>
    <row r="23" spans="1:297">
      <c r="A23">
        <v>7</v>
      </c>
      <c r="B23">
        <v>1760736054.1</v>
      </c>
      <c r="C23">
        <v>1394.09999990463</v>
      </c>
      <c r="D23" t="s">
        <v>460</v>
      </c>
      <c r="E23" t="s">
        <v>461</v>
      </c>
      <c r="F23">
        <v>5</v>
      </c>
      <c r="G23" t="s">
        <v>462</v>
      </c>
      <c r="H23" t="s">
        <v>436</v>
      </c>
      <c r="I23">
        <v>1760736050.6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425.119001069642</v>
      </c>
      <c r="AK23">
        <v>425.51703030303</v>
      </c>
      <c r="AL23">
        <v>0.000755130769217572</v>
      </c>
      <c r="AM23">
        <v>64.7611662194347</v>
      </c>
      <c r="AN23">
        <f>(AP23 - AO23 + DY23*1E3/(8.314*(EA23+273.15)) * AR23/DX23 * AQ23) * DX23/(100*DL23) * 1000/(1000 - AP23)</f>
        <v>0</v>
      </c>
      <c r="AO23">
        <v>11.9568648558119</v>
      </c>
      <c r="AP23">
        <v>12.0841430340557</v>
      </c>
      <c r="AQ23">
        <v>-1.12343764787144e-05</v>
      </c>
      <c r="AR23">
        <v>131.370296253877</v>
      </c>
      <c r="AS23">
        <v>10</v>
      </c>
      <c r="AT23">
        <v>2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463</v>
      </c>
      <c r="AY23">
        <v>5132.1</v>
      </c>
      <c r="AZ23">
        <v>696.68</v>
      </c>
      <c r="BA23">
        <v>2661.53</v>
      </c>
      <c r="BB23">
        <f>1-AZ23/BA23</f>
        <v>0</v>
      </c>
      <c r="BC23">
        <v>-0.618110435182998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3.21</v>
      </c>
      <c r="DM23">
        <v>0.5</v>
      </c>
      <c r="DN23" t="s">
        <v>439</v>
      </c>
      <c r="DO23">
        <v>2</v>
      </c>
      <c r="DP23" t="b">
        <v>1</v>
      </c>
      <c r="DQ23">
        <v>1760736050.6</v>
      </c>
      <c r="DR23">
        <v>420.339166666667</v>
      </c>
      <c r="DS23">
        <v>420.0285</v>
      </c>
      <c r="DT23">
        <v>12.0838333333333</v>
      </c>
      <c r="DU23">
        <v>11.9620666666667</v>
      </c>
      <c r="DV23">
        <v>418.799666666667</v>
      </c>
      <c r="DW23">
        <v>12.0986333333333</v>
      </c>
      <c r="DX23">
        <v>499.990166666667</v>
      </c>
      <c r="DY23">
        <v>89.5919833333333</v>
      </c>
      <c r="DZ23">
        <v>0.03324275</v>
      </c>
      <c r="EA23">
        <v>18.8203666666667</v>
      </c>
      <c r="EB23">
        <v>17.9715</v>
      </c>
      <c r="EC23">
        <v>999.9</v>
      </c>
      <c r="ED23">
        <v>0</v>
      </c>
      <c r="EE23">
        <v>0</v>
      </c>
      <c r="EF23">
        <v>10002.5083333333</v>
      </c>
      <c r="EG23">
        <v>0</v>
      </c>
      <c r="EH23">
        <v>0.220656</v>
      </c>
      <c r="EI23">
        <v>0.310623</v>
      </c>
      <c r="EJ23">
        <v>425.480666666667</v>
      </c>
      <c r="EK23">
        <v>425.113666666667</v>
      </c>
      <c r="EL23">
        <v>0.121769666666667</v>
      </c>
      <c r="EM23">
        <v>420.0285</v>
      </c>
      <c r="EN23">
        <v>11.9620666666667</v>
      </c>
      <c r="EO23">
        <v>1.082615</v>
      </c>
      <c r="EP23">
        <v>1.07170333333333</v>
      </c>
      <c r="EQ23">
        <v>8.07833833333333</v>
      </c>
      <c r="ER23">
        <v>7.92947166666667</v>
      </c>
      <c r="ES23">
        <v>0.00500059</v>
      </c>
      <c r="ET23">
        <v>0</v>
      </c>
      <c r="EU23">
        <v>0</v>
      </c>
      <c r="EV23">
        <v>0</v>
      </c>
      <c r="EW23">
        <v>698.216666666667</v>
      </c>
      <c r="EX23">
        <v>0.00500059</v>
      </c>
      <c r="EY23">
        <v>-12.15</v>
      </c>
      <c r="EZ23">
        <v>-0.616666666666667</v>
      </c>
      <c r="FA23">
        <v>35.083</v>
      </c>
      <c r="FB23">
        <v>39.8435</v>
      </c>
      <c r="FC23">
        <v>37.2496666666667</v>
      </c>
      <c r="FD23">
        <v>41.4268333333333</v>
      </c>
      <c r="FE23">
        <v>37.1455</v>
      </c>
      <c r="FF23">
        <v>0</v>
      </c>
      <c r="FG23">
        <v>0</v>
      </c>
      <c r="FH23">
        <v>0</v>
      </c>
      <c r="FI23">
        <v>385.600000143051</v>
      </c>
      <c r="FJ23">
        <v>0</v>
      </c>
      <c r="FK23">
        <v>696.68</v>
      </c>
      <c r="FL23">
        <v>-10.3307691527295</v>
      </c>
      <c r="FM23">
        <v>14.2615385909522</v>
      </c>
      <c r="FN23">
        <v>-13.776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0.351706428571429</v>
      </c>
      <c r="GD23">
        <v>-0.0896037662337659</v>
      </c>
      <c r="GE23">
        <v>0.0404183467836215</v>
      </c>
      <c r="GF23">
        <v>1</v>
      </c>
      <c r="GG23">
        <v>696.811764705882</v>
      </c>
      <c r="GH23">
        <v>2.64018348943281</v>
      </c>
      <c r="GI23">
        <v>6.37715429371229</v>
      </c>
      <c r="GJ23">
        <v>-1</v>
      </c>
      <c r="GK23">
        <v>0.128749476190476</v>
      </c>
      <c r="GL23">
        <v>-0.0289653506493506</v>
      </c>
      <c r="GM23">
        <v>0.00353535651356473</v>
      </c>
      <c r="GN23">
        <v>1</v>
      </c>
      <c r="GO23">
        <v>2</v>
      </c>
      <c r="GP23">
        <v>2</v>
      </c>
      <c r="GQ23" t="s">
        <v>441</v>
      </c>
      <c r="GR23">
        <v>3.13162</v>
      </c>
      <c r="GS23">
        <v>2.71152</v>
      </c>
      <c r="GT23">
        <v>0.0898497</v>
      </c>
      <c r="GU23">
        <v>0.0901757</v>
      </c>
      <c r="GV23">
        <v>0.0623736</v>
      </c>
      <c r="GW23">
        <v>0.0622731</v>
      </c>
      <c r="GX23">
        <v>34661.8</v>
      </c>
      <c r="GY23">
        <v>37184.4</v>
      </c>
      <c r="GZ23">
        <v>34429</v>
      </c>
      <c r="HA23">
        <v>36976.6</v>
      </c>
      <c r="HB23">
        <v>45553.6</v>
      </c>
      <c r="HC23">
        <v>49754.4</v>
      </c>
      <c r="HD23">
        <v>53616.9</v>
      </c>
      <c r="HE23">
        <v>59029.5</v>
      </c>
      <c r="HF23">
        <v>2.0069</v>
      </c>
      <c r="HG23">
        <v>1.82908</v>
      </c>
      <c r="HH23">
        <v>0.0329986</v>
      </c>
      <c r="HI23">
        <v>0</v>
      </c>
      <c r="HJ23">
        <v>17.4211</v>
      </c>
      <c r="HK23">
        <v>999.9</v>
      </c>
      <c r="HL23">
        <v>30.692</v>
      </c>
      <c r="HM23">
        <v>30.172</v>
      </c>
      <c r="HN23">
        <v>14.7408</v>
      </c>
      <c r="HO23">
        <v>53.9418</v>
      </c>
      <c r="HP23">
        <v>48.6418</v>
      </c>
      <c r="HQ23">
        <v>1</v>
      </c>
      <c r="HR23">
        <v>-0.334393</v>
      </c>
      <c r="HS23">
        <v>1.36667</v>
      </c>
      <c r="HT23">
        <v>20.1254</v>
      </c>
      <c r="HU23">
        <v>5.20052</v>
      </c>
      <c r="HV23">
        <v>12.004</v>
      </c>
      <c r="HW23">
        <v>4.9757</v>
      </c>
      <c r="HX23">
        <v>3.2931</v>
      </c>
      <c r="HY23">
        <v>9999</v>
      </c>
      <c r="HZ23">
        <v>9999</v>
      </c>
      <c r="IA23">
        <v>999.9</v>
      </c>
      <c r="IB23">
        <v>9999</v>
      </c>
      <c r="IC23">
        <v>1.86338</v>
      </c>
      <c r="ID23">
        <v>1.86813</v>
      </c>
      <c r="IE23">
        <v>1.86784</v>
      </c>
      <c r="IF23">
        <v>1.86913</v>
      </c>
      <c r="IG23">
        <v>1.86994</v>
      </c>
      <c r="IH23">
        <v>1.866</v>
      </c>
      <c r="II23">
        <v>1.86702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1.539</v>
      </c>
      <c r="IY23">
        <v>-0.0148</v>
      </c>
      <c r="IZ23">
        <v>0.282887266083375</v>
      </c>
      <c r="JA23">
        <v>0.00306585071625405</v>
      </c>
      <c r="JB23">
        <v>-2.0560773108561e-07</v>
      </c>
      <c r="JC23">
        <v>1.17266038970699e-10</v>
      </c>
      <c r="JD23">
        <v>-0.0828159689460901</v>
      </c>
      <c r="JE23">
        <v>-0.0292312028691274</v>
      </c>
      <c r="JF23">
        <v>0.00362507029369384</v>
      </c>
      <c r="JG23">
        <v>-6.15131582447985e-05</v>
      </c>
      <c r="JH23">
        <v>5</v>
      </c>
      <c r="JI23">
        <v>2200</v>
      </c>
      <c r="JJ23">
        <v>0</v>
      </c>
      <c r="JK23">
        <v>22</v>
      </c>
      <c r="JL23">
        <v>29345600.9</v>
      </c>
      <c r="JM23">
        <v>29345600.9</v>
      </c>
      <c r="JN23">
        <v>1.00586</v>
      </c>
      <c r="JO23">
        <v>2.61597</v>
      </c>
      <c r="JP23">
        <v>1.54785</v>
      </c>
      <c r="JQ23">
        <v>2.31812</v>
      </c>
      <c r="JR23">
        <v>1.64673</v>
      </c>
      <c r="JS23">
        <v>2.27661</v>
      </c>
      <c r="JT23">
        <v>33.693</v>
      </c>
      <c r="JU23">
        <v>24.2101</v>
      </c>
      <c r="JV23">
        <v>18</v>
      </c>
      <c r="JW23">
        <v>491.637</v>
      </c>
      <c r="JX23">
        <v>383.893</v>
      </c>
      <c r="JY23">
        <v>16.1062</v>
      </c>
      <c r="JZ23">
        <v>23.07</v>
      </c>
      <c r="KA23">
        <v>29.9994</v>
      </c>
      <c r="KB23">
        <v>23.0993</v>
      </c>
      <c r="KC23">
        <v>23.0595</v>
      </c>
      <c r="KD23">
        <v>20.1678</v>
      </c>
      <c r="KE23">
        <v>7.17013</v>
      </c>
      <c r="KF23">
        <v>8.37051</v>
      </c>
      <c r="KG23">
        <v>16.1262</v>
      </c>
      <c r="KH23">
        <v>420</v>
      </c>
      <c r="KI23">
        <v>12.0615</v>
      </c>
      <c r="KJ23">
        <v>97.5296</v>
      </c>
      <c r="KK23">
        <v>95.6827</v>
      </c>
    </row>
    <row r="24" spans="1:297">
      <c r="A24">
        <v>8</v>
      </c>
      <c r="B24">
        <v>1760736156.1</v>
      </c>
      <c r="C24">
        <v>1496.09999990463</v>
      </c>
      <c r="D24" t="s">
        <v>464</v>
      </c>
      <c r="E24" t="s">
        <v>465</v>
      </c>
      <c r="F24">
        <v>5</v>
      </c>
      <c r="G24" t="s">
        <v>462</v>
      </c>
      <c r="H24" t="s">
        <v>436</v>
      </c>
      <c r="I24">
        <v>1760736153.1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425.124027816114</v>
      </c>
      <c r="AK24">
        <v>425.574581818182</v>
      </c>
      <c r="AL24">
        <v>1.27455176992341e-05</v>
      </c>
      <c r="AM24">
        <v>64.7611662194347</v>
      </c>
      <c r="AN24">
        <f>(AP24 - AO24 + DY24*1E3/(8.314*(EA24+273.15)) * AR24/DX24 * AQ24) * DX24/(100*DL24) * 1000/(1000 - AP24)</f>
        <v>0</v>
      </c>
      <c r="AO24">
        <v>12.1458889848947</v>
      </c>
      <c r="AP24">
        <v>12.2488955624355</v>
      </c>
      <c r="AQ24">
        <v>7.4337339856687e-06</v>
      </c>
      <c r="AR24">
        <v>131.370296253877</v>
      </c>
      <c r="AS24">
        <v>10</v>
      </c>
      <c r="AT24">
        <v>2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466</v>
      </c>
      <c r="AY24">
        <v>5132.96</v>
      </c>
      <c r="AZ24">
        <v>809.373076923077</v>
      </c>
      <c r="BA24">
        <v>2648.75</v>
      </c>
      <c r="BB24">
        <f>1-AZ24/BA24</f>
        <v>0</v>
      </c>
      <c r="BC24">
        <v>-0.693386994093841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3.21</v>
      </c>
      <c r="DM24">
        <v>0.5</v>
      </c>
      <c r="DN24" t="s">
        <v>439</v>
      </c>
      <c r="DO24">
        <v>2</v>
      </c>
      <c r="DP24" t="b">
        <v>1</v>
      </c>
      <c r="DQ24">
        <v>1760736153.1</v>
      </c>
      <c r="DR24">
        <v>420.3588</v>
      </c>
      <c r="DS24">
        <v>419.9686</v>
      </c>
      <c r="DT24">
        <v>12.248</v>
      </c>
      <c r="DU24">
        <v>12.14666</v>
      </c>
      <c r="DV24">
        <v>418.8196</v>
      </c>
      <c r="DW24">
        <v>12.25776</v>
      </c>
      <c r="DX24">
        <v>500.0146</v>
      </c>
      <c r="DY24">
        <v>89.58394</v>
      </c>
      <c r="DZ24">
        <v>0.0329384</v>
      </c>
      <c r="EA24">
        <v>18.84586</v>
      </c>
      <c r="EB24">
        <v>17.979</v>
      </c>
      <c r="EC24">
        <v>999.9</v>
      </c>
      <c r="ED24">
        <v>0</v>
      </c>
      <c r="EE24">
        <v>0</v>
      </c>
      <c r="EF24">
        <v>10020.76</v>
      </c>
      <c r="EG24">
        <v>0</v>
      </c>
      <c r="EH24">
        <v>0.220656</v>
      </c>
      <c r="EI24">
        <v>0.3899842</v>
      </c>
      <c r="EJ24">
        <v>425.5714</v>
      </c>
      <c r="EK24">
        <v>425.133</v>
      </c>
      <c r="EL24">
        <v>0.1013264</v>
      </c>
      <c r="EM24">
        <v>419.9686</v>
      </c>
      <c r="EN24">
        <v>12.14666</v>
      </c>
      <c r="EO24">
        <v>1.097222</v>
      </c>
      <c r="EP24">
        <v>1.088146</v>
      </c>
      <c r="EQ24">
        <v>8.275626</v>
      </c>
      <c r="ER24">
        <v>8.153318</v>
      </c>
      <c r="ES24">
        <v>0.00500059</v>
      </c>
      <c r="ET24">
        <v>0</v>
      </c>
      <c r="EU24">
        <v>0</v>
      </c>
      <c r="EV24">
        <v>0</v>
      </c>
      <c r="EW24">
        <v>802.44</v>
      </c>
      <c r="EX24">
        <v>0.00500059</v>
      </c>
      <c r="EY24">
        <v>-14.14</v>
      </c>
      <c r="EZ24">
        <v>-1.64</v>
      </c>
      <c r="FA24">
        <v>34.2248</v>
      </c>
      <c r="FB24">
        <v>38.2624</v>
      </c>
      <c r="FC24">
        <v>36.2374</v>
      </c>
      <c r="FD24">
        <v>38.6622</v>
      </c>
      <c r="FE24">
        <v>36.125</v>
      </c>
      <c r="FF24">
        <v>0</v>
      </c>
      <c r="FG24">
        <v>0</v>
      </c>
      <c r="FH24">
        <v>0</v>
      </c>
      <c r="FI24">
        <v>100.799999952316</v>
      </c>
      <c r="FJ24">
        <v>0</v>
      </c>
      <c r="FK24">
        <v>809.373076923077</v>
      </c>
      <c r="FL24">
        <v>-102.670085688753</v>
      </c>
      <c r="FM24">
        <v>4.23589749517729</v>
      </c>
      <c r="FN24">
        <v>-13.55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0.3489701</v>
      </c>
      <c r="GD24">
        <v>0.211470586466166</v>
      </c>
      <c r="GE24">
        <v>0.0324071776801066</v>
      </c>
      <c r="GF24">
        <v>1</v>
      </c>
      <c r="GG24">
        <v>814.664705882353</v>
      </c>
      <c r="GH24">
        <v>-81.7478994064703</v>
      </c>
      <c r="GI24">
        <v>10.405481653576</v>
      </c>
      <c r="GJ24">
        <v>-1</v>
      </c>
      <c r="GK24">
        <v>0.098873745</v>
      </c>
      <c r="GL24">
        <v>0.0210134300751879</v>
      </c>
      <c r="GM24">
        <v>0.00205724864284194</v>
      </c>
      <c r="GN24">
        <v>1</v>
      </c>
      <c r="GO24">
        <v>2</v>
      </c>
      <c r="GP24">
        <v>2</v>
      </c>
      <c r="GQ24" t="s">
        <v>441</v>
      </c>
      <c r="GR24">
        <v>3.13172</v>
      </c>
      <c r="GS24">
        <v>2.7111</v>
      </c>
      <c r="GT24">
        <v>0.089874</v>
      </c>
      <c r="GU24">
        <v>0.0902031</v>
      </c>
      <c r="GV24">
        <v>0.0630326</v>
      </c>
      <c r="GW24">
        <v>0.062979</v>
      </c>
      <c r="GX24">
        <v>34674.1</v>
      </c>
      <c r="GY24">
        <v>37202.4</v>
      </c>
      <c r="GZ24">
        <v>34441.1</v>
      </c>
      <c r="HA24">
        <v>36994.5</v>
      </c>
      <c r="HB24">
        <v>45534.4</v>
      </c>
      <c r="HC24">
        <v>49738.7</v>
      </c>
      <c r="HD24">
        <v>53632.8</v>
      </c>
      <c r="HE24">
        <v>59055.8</v>
      </c>
      <c r="HF24">
        <v>2.00915</v>
      </c>
      <c r="HG24">
        <v>1.83197</v>
      </c>
      <c r="HH24">
        <v>0.043828</v>
      </c>
      <c r="HI24">
        <v>0</v>
      </c>
      <c r="HJ24">
        <v>17.261</v>
      </c>
      <c r="HK24">
        <v>999.9</v>
      </c>
      <c r="HL24">
        <v>30.741</v>
      </c>
      <c r="HM24">
        <v>30.202</v>
      </c>
      <c r="HN24">
        <v>14.7904</v>
      </c>
      <c r="HO24">
        <v>53.9118</v>
      </c>
      <c r="HP24">
        <v>48.5216</v>
      </c>
      <c r="HQ24">
        <v>1</v>
      </c>
      <c r="HR24">
        <v>-0.351156</v>
      </c>
      <c r="HS24">
        <v>1.17846</v>
      </c>
      <c r="HT24">
        <v>20.1285</v>
      </c>
      <c r="HU24">
        <v>5.20097</v>
      </c>
      <c r="HV24">
        <v>12.004</v>
      </c>
      <c r="HW24">
        <v>4.97575</v>
      </c>
      <c r="HX24">
        <v>3.29313</v>
      </c>
      <c r="HY24">
        <v>9999</v>
      </c>
      <c r="HZ24">
        <v>9999</v>
      </c>
      <c r="IA24">
        <v>999.9</v>
      </c>
      <c r="IB24">
        <v>9999</v>
      </c>
      <c r="IC24">
        <v>1.86335</v>
      </c>
      <c r="ID24">
        <v>1.86813</v>
      </c>
      <c r="IE24">
        <v>1.86783</v>
      </c>
      <c r="IF24">
        <v>1.86907</v>
      </c>
      <c r="IG24">
        <v>1.8699</v>
      </c>
      <c r="IH24">
        <v>1.866</v>
      </c>
      <c r="II24">
        <v>1.86706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1.54</v>
      </c>
      <c r="IY24">
        <v>-0.0097</v>
      </c>
      <c r="IZ24">
        <v>0.282887266083375</v>
      </c>
      <c r="JA24">
        <v>0.00306585071625405</v>
      </c>
      <c r="JB24">
        <v>-2.0560773108561e-07</v>
      </c>
      <c r="JC24">
        <v>1.17266038970699e-10</v>
      </c>
      <c r="JD24">
        <v>-0.0828159689460901</v>
      </c>
      <c r="JE24">
        <v>-0.0292312028691274</v>
      </c>
      <c r="JF24">
        <v>0.00362507029369384</v>
      </c>
      <c r="JG24">
        <v>-6.15131582447985e-05</v>
      </c>
      <c r="JH24">
        <v>5</v>
      </c>
      <c r="JI24">
        <v>2200</v>
      </c>
      <c r="JJ24">
        <v>0</v>
      </c>
      <c r="JK24">
        <v>22</v>
      </c>
      <c r="JL24">
        <v>29345602.6</v>
      </c>
      <c r="JM24">
        <v>29345602.6</v>
      </c>
      <c r="JN24">
        <v>1.00708</v>
      </c>
      <c r="JO24">
        <v>2.60254</v>
      </c>
      <c r="JP24">
        <v>1.54785</v>
      </c>
      <c r="JQ24">
        <v>2.31812</v>
      </c>
      <c r="JR24">
        <v>1.64551</v>
      </c>
      <c r="JS24">
        <v>2.33398</v>
      </c>
      <c r="JT24">
        <v>33.7381</v>
      </c>
      <c r="JU24">
        <v>24.2276</v>
      </c>
      <c r="JV24">
        <v>18</v>
      </c>
      <c r="JW24">
        <v>491.661</v>
      </c>
      <c r="JX24">
        <v>384.36</v>
      </c>
      <c r="JY24">
        <v>16.2616</v>
      </c>
      <c r="JZ24">
        <v>22.8772</v>
      </c>
      <c r="KA24">
        <v>29.9992</v>
      </c>
      <c r="KB24">
        <v>22.9538</v>
      </c>
      <c r="KC24">
        <v>22.919</v>
      </c>
      <c r="KD24">
        <v>20.1664</v>
      </c>
      <c r="KE24">
        <v>5.38335</v>
      </c>
      <c r="KF24">
        <v>9.11483</v>
      </c>
      <c r="KG24">
        <v>16.2743</v>
      </c>
      <c r="KH24">
        <v>420</v>
      </c>
      <c r="KI24">
        <v>12.1629</v>
      </c>
      <c r="KJ24">
        <v>97.5607</v>
      </c>
      <c r="KK24">
        <v>95.7268</v>
      </c>
    </row>
    <row r="25" spans="1:297">
      <c r="A25">
        <v>9</v>
      </c>
      <c r="B25">
        <v>1760736282.1</v>
      </c>
      <c r="C25">
        <v>1622.09999990463</v>
      </c>
      <c r="D25" t="s">
        <v>467</v>
      </c>
      <c r="E25" t="s">
        <v>468</v>
      </c>
      <c r="F25">
        <v>5</v>
      </c>
      <c r="G25" t="s">
        <v>462</v>
      </c>
      <c r="H25" t="s">
        <v>436</v>
      </c>
      <c r="I25">
        <v>1760736279.1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425.155998407506</v>
      </c>
      <c r="AK25">
        <v>425.571448484848</v>
      </c>
      <c r="AL25">
        <v>8.87559195070206e-05</v>
      </c>
      <c r="AM25">
        <v>64.7611662194347</v>
      </c>
      <c r="AN25">
        <f>(AP25 - AO25 + DY25*1E3/(8.314*(EA25+273.15)) * AR25/DX25 * AQ25) * DX25/(100*DL25) * 1000/(1000 - AP25)</f>
        <v>0</v>
      </c>
      <c r="AO25">
        <v>12.1430864145824</v>
      </c>
      <c r="AP25">
        <v>12.241936119711</v>
      </c>
      <c r="AQ25">
        <v>-7.34391048824107e-06</v>
      </c>
      <c r="AR25">
        <v>131.370296253877</v>
      </c>
      <c r="AS25">
        <v>9</v>
      </c>
      <c r="AT25">
        <v>2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469</v>
      </c>
      <c r="AY25">
        <v>5132.35</v>
      </c>
      <c r="AZ25">
        <v>780.696</v>
      </c>
      <c r="BA25">
        <v>2629.72</v>
      </c>
      <c r="BB25">
        <f>1-AZ25/BA25</f>
        <v>0</v>
      </c>
      <c r="BC25">
        <v>-0.639953522148628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3.21</v>
      </c>
      <c r="DM25">
        <v>0.5</v>
      </c>
      <c r="DN25" t="s">
        <v>439</v>
      </c>
      <c r="DO25">
        <v>2</v>
      </c>
      <c r="DP25" t="b">
        <v>1</v>
      </c>
      <c r="DQ25">
        <v>1760736279.1</v>
      </c>
      <c r="DR25">
        <v>420.3442</v>
      </c>
      <c r="DS25">
        <v>420.002</v>
      </c>
      <c r="DT25">
        <v>12.24272</v>
      </c>
      <c r="DU25">
        <v>12.14316</v>
      </c>
      <c r="DV25">
        <v>418.8048</v>
      </c>
      <c r="DW25">
        <v>12.25264</v>
      </c>
      <c r="DX25">
        <v>500.0316</v>
      </c>
      <c r="DY25">
        <v>89.5838</v>
      </c>
      <c r="DZ25">
        <v>0.03230178</v>
      </c>
      <c r="EA25">
        <v>18.87334</v>
      </c>
      <c r="EB25">
        <v>18.00202</v>
      </c>
      <c r="EC25">
        <v>999.9</v>
      </c>
      <c r="ED25">
        <v>0</v>
      </c>
      <c r="EE25">
        <v>0</v>
      </c>
      <c r="EF25">
        <v>10012.46</v>
      </c>
      <c r="EG25">
        <v>0</v>
      </c>
      <c r="EH25">
        <v>0.220656</v>
      </c>
      <c r="EI25">
        <v>0.3419984</v>
      </c>
      <c r="EJ25">
        <v>425.5542</v>
      </c>
      <c r="EK25">
        <v>425.1652</v>
      </c>
      <c r="EL25">
        <v>0.09956984</v>
      </c>
      <c r="EM25">
        <v>420.002</v>
      </c>
      <c r="EN25">
        <v>12.14316</v>
      </c>
      <c r="EO25">
        <v>1.09675</v>
      </c>
      <c r="EP25">
        <v>1.087832</v>
      </c>
      <c r="EQ25">
        <v>8.26927</v>
      </c>
      <c r="ER25">
        <v>8.149044</v>
      </c>
      <c r="ES25">
        <v>0.00500059</v>
      </c>
      <c r="ET25">
        <v>0</v>
      </c>
      <c r="EU25">
        <v>0</v>
      </c>
      <c r="EV25">
        <v>0</v>
      </c>
      <c r="EW25">
        <v>778.68</v>
      </c>
      <c r="EX25">
        <v>0.00500059</v>
      </c>
      <c r="EY25">
        <v>-14.86</v>
      </c>
      <c r="EZ25">
        <v>-0.42</v>
      </c>
      <c r="FA25">
        <v>34.437</v>
      </c>
      <c r="FB25">
        <v>39.125</v>
      </c>
      <c r="FC25">
        <v>36.562</v>
      </c>
      <c r="FD25">
        <v>40.25</v>
      </c>
      <c r="FE25">
        <v>36.5372</v>
      </c>
      <c r="FF25">
        <v>0</v>
      </c>
      <c r="FG25">
        <v>0</v>
      </c>
      <c r="FH25">
        <v>0</v>
      </c>
      <c r="FI25">
        <v>124</v>
      </c>
      <c r="FJ25">
        <v>0</v>
      </c>
      <c r="FK25">
        <v>780.696</v>
      </c>
      <c r="FL25">
        <v>-44.6307692973077</v>
      </c>
      <c r="FM25">
        <v>7.13076930128373</v>
      </c>
      <c r="FN25">
        <v>-13.32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0.3368821</v>
      </c>
      <c r="GD25">
        <v>0.0607400300751879</v>
      </c>
      <c r="GE25">
        <v>0.0291550975798401</v>
      </c>
      <c r="GF25">
        <v>1</v>
      </c>
      <c r="GG25">
        <v>783.532352941176</v>
      </c>
      <c r="GH25">
        <v>-47.9648587021546</v>
      </c>
      <c r="GI25">
        <v>5.83537491049382</v>
      </c>
      <c r="GJ25">
        <v>-1</v>
      </c>
      <c r="GK25">
        <v>0.10063207</v>
      </c>
      <c r="GL25">
        <v>0.00388713383458641</v>
      </c>
      <c r="GM25">
        <v>0.00237589807506551</v>
      </c>
      <c r="GN25">
        <v>1</v>
      </c>
      <c r="GO25">
        <v>2</v>
      </c>
      <c r="GP25">
        <v>2</v>
      </c>
      <c r="GQ25" t="s">
        <v>441</v>
      </c>
      <c r="GR25">
        <v>3.13185</v>
      </c>
      <c r="GS25">
        <v>2.71046</v>
      </c>
      <c r="GT25">
        <v>0.0899273</v>
      </c>
      <c r="GU25">
        <v>0.0902503</v>
      </c>
      <c r="GV25">
        <v>0.0630422</v>
      </c>
      <c r="GW25">
        <v>0.0629991</v>
      </c>
      <c r="GX25">
        <v>34688.8</v>
      </c>
      <c r="GY25">
        <v>37223.9</v>
      </c>
      <c r="GZ25">
        <v>34456.3</v>
      </c>
      <c r="HA25">
        <v>37016.4</v>
      </c>
      <c r="HB25">
        <v>45550.6</v>
      </c>
      <c r="HC25">
        <v>49765.4</v>
      </c>
      <c r="HD25">
        <v>53652.2</v>
      </c>
      <c r="HE25">
        <v>59088.2</v>
      </c>
      <c r="HF25">
        <v>2.013</v>
      </c>
      <c r="HG25">
        <v>1.83475</v>
      </c>
      <c r="HH25">
        <v>0.0493228</v>
      </c>
      <c r="HI25">
        <v>0</v>
      </c>
      <c r="HJ25">
        <v>17.1792</v>
      </c>
      <c r="HK25">
        <v>999.9</v>
      </c>
      <c r="HL25">
        <v>30.79</v>
      </c>
      <c r="HM25">
        <v>30.222</v>
      </c>
      <c r="HN25">
        <v>14.832</v>
      </c>
      <c r="HO25">
        <v>53.9718</v>
      </c>
      <c r="HP25">
        <v>48.4375</v>
      </c>
      <c r="HQ25">
        <v>1</v>
      </c>
      <c r="HR25">
        <v>-0.371684</v>
      </c>
      <c r="HS25">
        <v>1.19176</v>
      </c>
      <c r="HT25">
        <v>20.1283</v>
      </c>
      <c r="HU25">
        <v>5.19932</v>
      </c>
      <c r="HV25">
        <v>12.004</v>
      </c>
      <c r="HW25">
        <v>4.9759</v>
      </c>
      <c r="HX25">
        <v>3.29303</v>
      </c>
      <c r="HY25">
        <v>9999</v>
      </c>
      <c r="HZ25">
        <v>9999</v>
      </c>
      <c r="IA25">
        <v>999.9</v>
      </c>
      <c r="IB25">
        <v>9999</v>
      </c>
      <c r="IC25">
        <v>1.86339</v>
      </c>
      <c r="ID25">
        <v>1.86813</v>
      </c>
      <c r="IE25">
        <v>1.86783</v>
      </c>
      <c r="IF25">
        <v>1.86913</v>
      </c>
      <c r="IG25">
        <v>1.8699</v>
      </c>
      <c r="IH25">
        <v>1.866</v>
      </c>
      <c r="II25">
        <v>1.86706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1.539</v>
      </c>
      <c r="IY25">
        <v>-0.0099</v>
      </c>
      <c r="IZ25">
        <v>0.282887266083375</v>
      </c>
      <c r="JA25">
        <v>0.00306585071625405</v>
      </c>
      <c r="JB25">
        <v>-2.0560773108561e-07</v>
      </c>
      <c r="JC25">
        <v>1.17266038970699e-10</v>
      </c>
      <c r="JD25">
        <v>-0.0828159689460901</v>
      </c>
      <c r="JE25">
        <v>-0.0292312028691274</v>
      </c>
      <c r="JF25">
        <v>0.00362507029369384</v>
      </c>
      <c r="JG25">
        <v>-6.15131582447985e-05</v>
      </c>
      <c r="JH25">
        <v>5</v>
      </c>
      <c r="JI25">
        <v>2200</v>
      </c>
      <c r="JJ25">
        <v>0</v>
      </c>
      <c r="JK25">
        <v>22</v>
      </c>
      <c r="JL25">
        <v>29345604.7</v>
      </c>
      <c r="JM25">
        <v>29345604.7</v>
      </c>
      <c r="JN25">
        <v>1.00708</v>
      </c>
      <c r="JO25">
        <v>2.61475</v>
      </c>
      <c r="JP25">
        <v>1.54785</v>
      </c>
      <c r="JQ25">
        <v>2.31812</v>
      </c>
      <c r="JR25">
        <v>1.64673</v>
      </c>
      <c r="JS25">
        <v>2.30225</v>
      </c>
      <c r="JT25">
        <v>33.8283</v>
      </c>
      <c r="JU25">
        <v>24.2188</v>
      </c>
      <c r="JV25">
        <v>18</v>
      </c>
      <c r="JW25">
        <v>491.988</v>
      </c>
      <c r="JX25">
        <v>384.24</v>
      </c>
      <c r="JY25">
        <v>16.3346</v>
      </c>
      <c r="JZ25">
        <v>22.6134</v>
      </c>
      <c r="KA25">
        <v>29.9994</v>
      </c>
      <c r="KB25">
        <v>22.7361</v>
      </c>
      <c r="KC25">
        <v>22.7075</v>
      </c>
      <c r="KD25">
        <v>20.1646</v>
      </c>
      <c r="KE25">
        <v>6.77663</v>
      </c>
      <c r="KF25">
        <v>9.49611</v>
      </c>
      <c r="KG25">
        <v>16.3351</v>
      </c>
      <c r="KH25">
        <v>420</v>
      </c>
      <c r="KI25">
        <v>12.1047</v>
      </c>
      <c r="KJ25">
        <v>97.599</v>
      </c>
      <c r="KK25">
        <v>95.7809</v>
      </c>
    </row>
    <row r="26" spans="1:297">
      <c r="A26">
        <v>10</v>
      </c>
      <c r="B26">
        <v>1760736767.1</v>
      </c>
      <c r="C26">
        <v>2107.09999990463</v>
      </c>
      <c r="D26" t="s">
        <v>470</v>
      </c>
      <c r="E26" t="s">
        <v>471</v>
      </c>
      <c r="F26">
        <v>5</v>
      </c>
      <c r="G26" t="s">
        <v>472</v>
      </c>
      <c r="H26" t="s">
        <v>436</v>
      </c>
      <c r="I26">
        <v>1760736764.1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424.902080781118</v>
      </c>
      <c r="AK26">
        <v>425.600006060606</v>
      </c>
      <c r="AL26">
        <v>6.61307737551095e-05</v>
      </c>
      <c r="AM26">
        <v>64.7544544295306</v>
      </c>
      <c r="AN26">
        <f>(AP26 - AO26 + DY26*1E3/(8.314*(EA26+273.15)) * AR26/DX26 * AQ26) * DX26/(100*DL26) * 1000/(1000 - AP26)</f>
        <v>0</v>
      </c>
      <c r="AO26">
        <v>11.4934150825538</v>
      </c>
      <c r="AP26">
        <v>12.1878494324045</v>
      </c>
      <c r="AQ26">
        <v>-1.38647385742849e-05</v>
      </c>
      <c r="AR26">
        <v>131.512780253368</v>
      </c>
      <c r="AS26">
        <v>3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473</v>
      </c>
      <c r="AY26">
        <v>5140.47</v>
      </c>
      <c r="AZ26">
        <v>711.328</v>
      </c>
      <c r="BA26">
        <v>2995.36</v>
      </c>
      <c r="BB26">
        <f>1-AZ26/BA26</f>
        <v>0</v>
      </c>
      <c r="BC26">
        <v>-1.07509125415847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3.21</v>
      </c>
      <c r="DM26">
        <v>0.5</v>
      </c>
      <c r="DN26" t="s">
        <v>439</v>
      </c>
      <c r="DO26">
        <v>2</v>
      </c>
      <c r="DP26" t="b">
        <v>1</v>
      </c>
      <c r="DQ26">
        <v>1760736764.1</v>
      </c>
      <c r="DR26">
        <v>420.4094</v>
      </c>
      <c r="DS26">
        <v>420.021</v>
      </c>
      <c r="DT26">
        <v>12.19078</v>
      </c>
      <c r="DU26">
        <v>11.49306</v>
      </c>
      <c r="DV26">
        <v>418.8696</v>
      </c>
      <c r="DW26">
        <v>12.20228</v>
      </c>
      <c r="DX26">
        <v>499.9944</v>
      </c>
      <c r="DY26">
        <v>89.57704</v>
      </c>
      <c r="DZ26">
        <v>0.033121</v>
      </c>
      <c r="EA26">
        <v>18.89942</v>
      </c>
      <c r="EB26">
        <v>17.99918</v>
      </c>
      <c r="EC26">
        <v>999.9</v>
      </c>
      <c r="ED26">
        <v>0</v>
      </c>
      <c r="EE26">
        <v>0</v>
      </c>
      <c r="EF26">
        <v>10010.23</v>
      </c>
      <c r="EG26">
        <v>0</v>
      </c>
      <c r="EH26">
        <v>0.220656</v>
      </c>
      <c r="EI26">
        <v>0.3882628</v>
      </c>
      <c r="EJ26">
        <v>425.5976</v>
      </c>
      <c r="EK26">
        <v>424.9044</v>
      </c>
      <c r="EL26">
        <v>0.697708</v>
      </c>
      <c r="EM26">
        <v>420.021</v>
      </c>
      <c r="EN26">
        <v>11.49306</v>
      </c>
      <c r="EO26">
        <v>1.092014</v>
      </c>
      <c r="EP26">
        <v>1.029516</v>
      </c>
      <c r="EQ26">
        <v>8.20553</v>
      </c>
      <c r="ER26">
        <v>7.340904</v>
      </c>
      <c r="ES26">
        <v>0.00500059</v>
      </c>
      <c r="ET26">
        <v>0</v>
      </c>
      <c r="EU26">
        <v>0</v>
      </c>
      <c r="EV26">
        <v>0</v>
      </c>
      <c r="EW26">
        <v>715.7</v>
      </c>
      <c r="EX26">
        <v>0.00500059</v>
      </c>
      <c r="EY26">
        <v>-17.46</v>
      </c>
      <c r="EZ26">
        <v>-2.22</v>
      </c>
      <c r="FA26">
        <v>34.4246</v>
      </c>
      <c r="FB26">
        <v>38.0248</v>
      </c>
      <c r="FC26">
        <v>36.1872</v>
      </c>
      <c r="FD26">
        <v>38.6872</v>
      </c>
      <c r="FE26">
        <v>36.0998</v>
      </c>
      <c r="FF26">
        <v>0</v>
      </c>
      <c r="FG26">
        <v>0</v>
      </c>
      <c r="FH26">
        <v>0</v>
      </c>
      <c r="FI26">
        <v>483.099999904633</v>
      </c>
      <c r="FJ26">
        <v>0</v>
      </c>
      <c r="FK26">
        <v>711.328</v>
      </c>
      <c r="FL26">
        <v>18.9538459889262</v>
      </c>
      <c r="FM26">
        <v>-39.2615381544628</v>
      </c>
      <c r="FN26">
        <v>-12.272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0.377525666666667</v>
      </c>
      <c r="GD26">
        <v>-0.0179449090909086</v>
      </c>
      <c r="GE26">
        <v>0.0244544690108613</v>
      </c>
      <c r="GF26">
        <v>1</v>
      </c>
      <c r="GG26">
        <v>711.694117647059</v>
      </c>
      <c r="GH26">
        <v>-0.999236064161423</v>
      </c>
      <c r="GI26">
        <v>5.4963592857385</v>
      </c>
      <c r="GJ26">
        <v>-1</v>
      </c>
      <c r="GK26">
        <v>0.706309523809524</v>
      </c>
      <c r="GL26">
        <v>-0.0596742077922084</v>
      </c>
      <c r="GM26">
        <v>0.00610455469784299</v>
      </c>
      <c r="GN26">
        <v>1</v>
      </c>
      <c r="GO26">
        <v>2</v>
      </c>
      <c r="GP26">
        <v>2</v>
      </c>
      <c r="GQ26" t="s">
        <v>441</v>
      </c>
      <c r="GR26">
        <v>3.13176</v>
      </c>
      <c r="GS26">
        <v>2.71126</v>
      </c>
      <c r="GT26">
        <v>0.0899611</v>
      </c>
      <c r="GU26">
        <v>0.0902717</v>
      </c>
      <c r="GV26">
        <v>0.0628525</v>
      </c>
      <c r="GW26">
        <v>0.0604059</v>
      </c>
      <c r="GX26">
        <v>34681.1</v>
      </c>
      <c r="GY26">
        <v>37214.8</v>
      </c>
      <c r="GZ26">
        <v>34449.7</v>
      </c>
      <c r="HA26">
        <v>37007.9</v>
      </c>
      <c r="HB26">
        <v>45550.8</v>
      </c>
      <c r="HC26">
        <v>49894.9</v>
      </c>
      <c r="HD26">
        <v>53641.3</v>
      </c>
      <c r="HE26">
        <v>59075.5</v>
      </c>
      <c r="HF26">
        <v>2.02793</v>
      </c>
      <c r="HG26">
        <v>1.83235</v>
      </c>
      <c r="HH26">
        <v>0.00993162</v>
      </c>
      <c r="HI26">
        <v>0</v>
      </c>
      <c r="HJ26">
        <v>17.832</v>
      </c>
      <c r="HK26">
        <v>999.9</v>
      </c>
      <c r="HL26">
        <v>30.418</v>
      </c>
      <c r="HM26">
        <v>30.353</v>
      </c>
      <c r="HN26">
        <v>14.7634</v>
      </c>
      <c r="HO26">
        <v>54.4318</v>
      </c>
      <c r="HP26">
        <v>48.4896</v>
      </c>
      <c r="HQ26">
        <v>1</v>
      </c>
      <c r="HR26">
        <v>-0.366911</v>
      </c>
      <c r="HS26">
        <v>1.9889</v>
      </c>
      <c r="HT26">
        <v>20.1187</v>
      </c>
      <c r="HU26">
        <v>5.19932</v>
      </c>
      <c r="HV26">
        <v>12.004</v>
      </c>
      <c r="HW26">
        <v>4.9758</v>
      </c>
      <c r="HX26">
        <v>3.29308</v>
      </c>
      <c r="HY26">
        <v>9999</v>
      </c>
      <c r="HZ26">
        <v>9999</v>
      </c>
      <c r="IA26">
        <v>999.9</v>
      </c>
      <c r="IB26">
        <v>9999</v>
      </c>
      <c r="IC26">
        <v>1.8634</v>
      </c>
      <c r="ID26">
        <v>1.86813</v>
      </c>
      <c r="IE26">
        <v>1.86783</v>
      </c>
      <c r="IF26">
        <v>1.86906</v>
      </c>
      <c r="IG26">
        <v>1.86992</v>
      </c>
      <c r="IH26">
        <v>1.86597</v>
      </c>
      <c r="II26">
        <v>1.86702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1.54</v>
      </c>
      <c r="IY26">
        <v>-0.0116</v>
      </c>
      <c r="IZ26">
        <v>0.282887266083375</v>
      </c>
      <c r="JA26">
        <v>0.00306585071625405</v>
      </c>
      <c r="JB26">
        <v>-2.0560773108561e-07</v>
      </c>
      <c r="JC26">
        <v>1.17266038970699e-10</v>
      </c>
      <c r="JD26">
        <v>-0.0828159689460901</v>
      </c>
      <c r="JE26">
        <v>-0.0292312028691274</v>
      </c>
      <c r="JF26">
        <v>0.00362507029369384</v>
      </c>
      <c r="JG26">
        <v>-6.15131582447985e-05</v>
      </c>
      <c r="JH26">
        <v>5</v>
      </c>
      <c r="JI26">
        <v>2200</v>
      </c>
      <c r="JJ26">
        <v>0</v>
      </c>
      <c r="JK26">
        <v>22</v>
      </c>
      <c r="JL26">
        <v>29345612.8</v>
      </c>
      <c r="JM26">
        <v>29345612.8</v>
      </c>
      <c r="JN26">
        <v>1.00586</v>
      </c>
      <c r="JO26">
        <v>2.61719</v>
      </c>
      <c r="JP26">
        <v>1.54785</v>
      </c>
      <c r="JQ26">
        <v>2.31689</v>
      </c>
      <c r="JR26">
        <v>1.64551</v>
      </c>
      <c r="JS26">
        <v>2.24609</v>
      </c>
      <c r="JT26">
        <v>33.9413</v>
      </c>
      <c r="JU26">
        <v>24.2101</v>
      </c>
      <c r="JV26">
        <v>18</v>
      </c>
      <c r="JW26">
        <v>499.876</v>
      </c>
      <c r="JX26">
        <v>381.839</v>
      </c>
      <c r="JY26">
        <v>15.529</v>
      </c>
      <c r="JZ26">
        <v>22.564</v>
      </c>
      <c r="KA26">
        <v>30.0001</v>
      </c>
      <c r="KB26">
        <v>22.5794</v>
      </c>
      <c r="KC26">
        <v>22.5464</v>
      </c>
      <c r="KD26">
        <v>20.153</v>
      </c>
      <c r="KE26">
        <v>13.338</v>
      </c>
      <c r="KF26">
        <v>9.86856</v>
      </c>
      <c r="KG26">
        <v>15.53</v>
      </c>
      <c r="KH26">
        <v>420</v>
      </c>
      <c r="KI26">
        <v>11.5365</v>
      </c>
      <c r="KJ26">
        <v>97.5796</v>
      </c>
      <c r="KK26">
        <v>95.7597</v>
      </c>
    </row>
    <row r="27" spans="1:297">
      <c r="A27">
        <v>11</v>
      </c>
      <c r="B27">
        <v>1760736878.1</v>
      </c>
      <c r="C27">
        <v>2218.09999990463</v>
      </c>
      <c r="D27" t="s">
        <v>474</v>
      </c>
      <c r="E27" t="s">
        <v>475</v>
      </c>
      <c r="F27">
        <v>5</v>
      </c>
      <c r="G27" t="s">
        <v>472</v>
      </c>
      <c r="H27" t="s">
        <v>436</v>
      </c>
      <c r="I27">
        <v>1760736875.1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424.930300783035</v>
      </c>
      <c r="AK27">
        <v>425.558096969697</v>
      </c>
      <c r="AL27">
        <v>0.000183460264148926</v>
      </c>
      <c r="AM27">
        <v>64.7544544295306</v>
      </c>
      <c r="AN27">
        <f>(AP27 - AO27 + DY27*1E3/(8.314*(EA27+273.15)) * AR27/DX27 * AQ27) * DX27/(100*DL27) * 1000/(1000 - AP27)</f>
        <v>0</v>
      </c>
      <c r="AO27">
        <v>11.6038049810699</v>
      </c>
      <c r="AP27">
        <v>12.1936493292054</v>
      </c>
      <c r="AQ27">
        <v>1.07157524804179e-07</v>
      </c>
      <c r="AR27">
        <v>131.512780253368</v>
      </c>
      <c r="AS27">
        <v>3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476</v>
      </c>
      <c r="AY27">
        <v>5139.22</v>
      </c>
      <c r="AZ27">
        <v>785.038461538462</v>
      </c>
      <c r="BA27">
        <v>2941.17</v>
      </c>
      <c r="BB27">
        <f>1-AZ27/BA27</f>
        <v>0</v>
      </c>
      <c r="BC27">
        <v>-0.96787975015109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3.21</v>
      </c>
      <c r="DM27">
        <v>0.5</v>
      </c>
      <c r="DN27" t="s">
        <v>439</v>
      </c>
      <c r="DO27">
        <v>2</v>
      </c>
      <c r="DP27" t="b">
        <v>1</v>
      </c>
      <c r="DQ27">
        <v>1760736875.1</v>
      </c>
      <c r="DR27">
        <v>420.3482</v>
      </c>
      <c r="DS27">
        <v>420.0014</v>
      </c>
      <c r="DT27">
        <v>12.19212</v>
      </c>
      <c r="DU27">
        <v>11.60552</v>
      </c>
      <c r="DV27">
        <v>418.8086</v>
      </c>
      <c r="DW27">
        <v>12.2036</v>
      </c>
      <c r="DX27">
        <v>500.0016</v>
      </c>
      <c r="DY27">
        <v>89.57318</v>
      </c>
      <c r="DZ27">
        <v>0.03344514</v>
      </c>
      <c r="EA27">
        <v>18.83268</v>
      </c>
      <c r="EB27">
        <v>17.97114</v>
      </c>
      <c r="EC27">
        <v>999.9</v>
      </c>
      <c r="ED27">
        <v>0</v>
      </c>
      <c r="EE27">
        <v>0</v>
      </c>
      <c r="EF27">
        <v>9987.49</v>
      </c>
      <c r="EG27">
        <v>0</v>
      </c>
      <c r="EH27">
        <v>0.220656</v>
      </c>
      <c r="EI27">
        <v>0.3466858</v>
      </c>
      <c r="EJ27">
        <v>425.5362</v>
      </c>
      <c r="EK27">
        <v>424.933</v>
      </c>
      <c r="EL27">
        <v>0.5866146</v>
      </c>
      <c r="EM27">
        <v>420.0014</v>
      </c>
      <c r="EN27">
        <v>11.60552</v>
      </c>
      <c r="EO27">
        <v>1.09209</v>
      </c>
      <c r="EP27">
        <v>1.039542</v>
      </c>
      <c r="EQ27">
        <v>8.206538</v>
      </c>
      <c r="ER27">
        <v>7.482706</v>
      </c>
      <c r="ES27">
        <v>0.00500059</v>
      </c>
      <c r="ET27">
        <v>0</v>
      </c>
      <c r="EU27">
        <v>0</v>
      </c>
      <c r="EV27">
        <v>0</v>
      </c>
      <c r="EW27">
        <v>784.64</v>
      </c>
      <c r="EX27">
        <v>0.00500059</v>
      </c>
      <c r="EY27">
        <v>-13.82</v>
      </c>
      <c r="EZ27">
        <v>-0.72</v>
      </c>
      <c r="FA27">
        <v>34.312</v>
      </c>
      <c r="FB27">
        <v>38.625</v>
      </c>
      <c r="FC27">
        <v>36.375</v>
      </c>
      <c r="FD27">
        <v>39.375</v>
      </c>
      <c r="FE27">
        <v>36.312</v>
      </c>
      <c r="FF27">
        <v>0</v>
      </c>
      <c r="FG27">
        <v>0</v>
      </c>
      <c r="FH27">
        <v>0</v>
      </c>
      <c r="FI27">
        <v>109</v>
      </c>
      <c r="FJ27">
        <v>0</v>
      </c>
      <c r="FK27">
        <v>785.038461538462</v>
      </c>
      <c r="FL27">
        <v>-29.3811964991822</v>
      </c>
      <c r="FM27">
        <v>-30.6905982215836</v>
      </c>
      <c r="FN27">
        <v>-12.8269230769231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0.339544428571429</v>
      </c>
      <c r="GD27">
        <v>0.0537136363636364</v>
      </c>
      <c r="GE27">
        <v>0.0303817587590402</v>
      </c>
      <c r="GF27">
        <v>1</v>
      </c>
      <c r="GG27">
        <v>787.544117647059</v>
      </c>
      <c r="GH27">
        <v>-40.4965622809069</v>
      </c>
      <c r="GI27">
        <v>6.77196605288695</v>
      </c>
      <c r="GJ27">
        <v>-1</v>
      </c>
      <c r="GK27">
        <v>0.597568476190476</v>
      </c>
      <c r="GL27">
        <v>-0.0766388571428562</v>
      </c>
      <c r="GM27">
        <v>0.00815429623613075</v>
      </c>
      <c r="GN27">
        <v>1</v>
      </c>
      <c r="GO27">
        <v>2</v>
      </c>
      <c r="GP27">
        <v>2</v>
      </c>
      <c r="GQ27" t="s">
        <v>441</v>
      </c>
      <c r="GR27">
        <v>3.13167</v>
      </c>
      <c r="GS27">
        <v>2.71135</v>
      </c>
      <c r="GT27">
        <v>0.0899478</v>
      </c>
      <c r="GU27">
        <v>0.0902651</v>
      </c>
      <c r="GV27">
        <v>0.0628716</v>
      </c>
      <c r="GW27">
        <v>0.0608569</v>
      </c>
      <c r="GX27">
        <v>34681</v>
      </c>
      <c r="GY27">
        <v>37213.9</v>
      </c>
      <c r="GZ27">
        <v>34449.2</v>
      </c>
      <c r="HA27">
        <v>37006.9</v>
      </c>
      <c r="HB27">
        <v>45549.7</v>
      </c>
      <c r="HC27">
        <v>49869.3</v>
      </c>
      <c r="HD27">
        <v>53641.1</v>
      </c>
      <c r="HE27">
        <v>59074.1</v>
      </c>
      <c r="HF27">
        <v>2.02745</v>
      </c>
      <c r="HG27">
        <v>1.83205</v>
      </c>
      <c r="HH27">
        <v>0.0148118</v>
      </c>
      <c r="HI27">
        <v>0</v>
      </c>
      <c r="HJ27">
        <v>17.7269</v>
      </c>
      <c r="HK27">
        <v>999.9</v>
      </c>
      <c r="HL27">
        <v>30.344</v>
      </c>
      <c r="HM27">
        <v>30.383</v>
      </c>
      <c r="HN27">
        <v>14.7542</v>
      </c>
      <c r="HO27">
        <v>54.4318</v>
      </c>
      <c r="HP27">
        <v>48.7861</v>
      </c>
      <c r="HQ27">
        <v>1</v>
      </c>
      <c r="HR27">
        <v>-0.366118</v>
      </c>
      <c r="HS27">
        <v>1.71869</v>
      </c>
      <c r="HT27">
        <v>20.1236</v>
      </c>
      <c r="HU27">
        <v>5.20127</v>
      </c>
      <c r="HV27">
        <v>12.004</v>
      </c>
      <c r="HW27">
        <v>4.9757</v>
      </c>
      <c r="HX27">
        <v>3.29305</v>
      </c>
      <c r="HY27">
        <v>9999</v>
      </c>
      <c r="HZ27">
        <v>9999</v>
      </c>
      <c r="IA27">
        <v>999.9</v>
      </c>
      <c r="IB27">
        <v>9999</v>
      </c>
      <c r="IC27">
        <v>1.8634</v>
      </c>
      <c r="ID27">
        <v>1.86813</v>
      </c>
      <c r="IE27">
        <v>1.86784</v>
      </c>
      <c r="IF27">
        <v>1.86908</v>
      </c>
      <c r="IG27">
        <v>1.86995</v>
      </c>
      <c r="IH27">
        <v>1.86598</v>
      </c>
      <c r="II27">
        <v>1.86705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1.539</v>
      </c>
      <c r="IY27">
        <v>-0.0114</v>
      </c>
      <c r="IZ27">
        <v>0.282887266083375</v>
      </c>
      <c r="JA27">
        <v>0.00306585071625405</v>
      </c>
      <c r="JB27">
        <v>-2.0560773108561e-07</v>
      </c>
      <c r="JC27">
        <v>1.17266038970699e-10</v>
      </c>
      <c r="JD27">
        <v>-0.0828159689460901</v>
      </c>
      <c r="JE27">
        <v>-0.0292312028691274</v>
      </c>
      <c r="JF27">
        <v>0.00362507029369384</v>
      </c>
      <c r="JG27">
        <v>-6.15131582447985e-05</v>
      </c>
      <c r="JH27">
        <v>5</v>
      </c>
      <c r="JI27">
        <v>2200</v>
      </c>
      <c r="JJ27">
        <v>0</v>
      </c>
      <c r="JK27">
        <v>22</v>
      </c>
      <c r="JL27">
        <v>29345614.6</v>
      </c>
      <c r="JM27">
        <v>29345614.6</v>
      </c>
      <c r="JN27">
        <v>1.00586</v>
      </c>
      <c r="JO27">
        <v>2.6062</v>
      </c>
      <c r="JP27">
        <v>1.54785</v>
      </c>
      <c r="JQ27">
        <v>2.31689</v>
      </c>
      <c r="JR27">
        <v>1.64551</v>
      </c>
      <c r="JS27">
        <v>2.37305</v>
      </c>
      <c r="JT27">
        <v>33.9865</v>
      </c>
      <c r="JU27">
        <v>24.2188</v>
      </c>
      <c r="JV27">
        <v>18</v>
      </c>
      <c r="JW27">
        <v>499.732</v>
      </c>
      <c r="JX27">
        <v>381.795</v>
      </c>
      <c r="JY27">
        <v>15.6839</v>
      </c>
      <c r="JZ27">
        <v>22.59</v>
      </c>
      <c r="KA27">
        <v>30</v>
      </c>
      <c r="KB27">
        <v>22.5954</v>
      </c>
      <c r="KC27">
        <v>22.5613</v>
      </c>
      <c r="KD27">
        <v>20.1537</v>
      </c>
      <c r="KE27">
        <v>11.9324</v>
      </c>
      <c r="KF27">
        <v>9.86856</v>
      </c>
      <c r="KG27">
        <v>15.704</v>
      </c>
      <c r="KH27">
        <v>420</v>
      </c>
      <c r="KI27">
        <v>11.6485</v>
      </c>
      <c r="KJ27">
        <v>97.5789</v>
      </c>
      <c r="KK27">
        <v>95.7574</v>
      </c>
    </row>
    <row r="28" spans="1:297">
      <c r="A28">
        <v>12</v>
      </c>
      <c r="B28">
        <v>1760737081.1</v>
      </c>
      <c r="C28">
        <v>2421.09999990463</v>
      </c>
      <c r="D28" t="s">
        <v>477</v>
      </c>
      <c r="E28" t="s">
        <v>478</v>
      </c>
      <c r="F28">
        <v>5</v>
      </c>
      <c r="G28" t="s">
        <v>472</v>
      </c>
      <c r="H28" t="s">
        <v>436</v>
      </c>
      <c r="I28">
        <v>1760737077.6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424.929988055862</v>
      </c>
      <c r="AK28">
        <v>425.565672727273</v>
      </c>
      <c r="AL28">
        <v>-4.46572327848638e-05</v>
      </c>
      <c r="AM28">
        <v>64.7544544295306</v>
      </c>
      <c r="AN28">
        <f>(AP28 - AO28 + DY28*1E3/(8.314*(EA28+273.15)) * AR28/DX28 * AQ28) * DX28/(100*DL28) * 1000/(1000 - AP28)</f>
        <v>0</v>
      </c>
      <c r="AO28">
        <v>11.6632264846079</v>
      </c>
      <c r="AP28">
        <v>12.1459336429309</v>
      </c>
      <c r="AQ28">
        <v>7.59676727633306e-07</v>
      </c>
      <c r="AR28">
        <v>131.512780253368</v>
      </c>
      <c r="AS28">
        <v>3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479</v>
      </c>
      <c r="AY28">
        <v>5138.38</v>
      </c>
      <c r="AZ28">
        <v>739.711538461538</v>
      </c>
      <c r="BA28">
        <v>2902.75</v>
      </c>
      <c r="BB28">
        <f>1-AZ28/BA28</f>
        <v>0</v>
      </c>
      <c r="BC28">
        <v>-0.978221537557647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3.21</v>
      </c>
      <c r="DM28">
        <v>0.5</v>
      </c>
      <c r="DN28" t="s">
        <v>439</v>
      </c>
      <c r="DO28">
        <v>2</v>
      </c>
      <c r="DP28" t="b">
        <v>1</v>
      </c>
      <c r="DQ28">
        <v>1760737077.6</v>
      </c>
      <c r="DR28">
        <v>420.401166666667</v>
      </c>
      <c r="DS28">
        <v>419.977333333333</v>
      </c>
      <c r="DT28">
        <v>12.14615</v>
      </c>
      <c r="DU28">
        <v>11.6628166666667</v>
      </c>
      <c r="DV28">
        <v>418.861666666667</v>
      </c>
      <c r="DW28">
        <v>12.1590333333333</v>
      </c>
      <c r="DX28">
        <v>499.966833333333</v>
      </c>
      <c r="DY28">
        <v>89.5752666666667</v>
      </c>
      <c r="DZ28">
        <v>0.0328511333333333</v>
      </c>
      <c r="EA28">
        <v>18.8668666666667</v>
      </c>
      <c r="EB28">
        <v>17.9845833333333</v>
      </c>
      <c r="EC28">
        <v>999.9</v>
      </c>
      <c r="ED28">
        <v>0</v>
      </c>
      <c r="EE28">
        <v>0</v>
      </c>
      <c r="EF28">
        <v>10005.625</v>
      </c>
      <c r="EG28">
        <v>0</v>
      </c>
      <c r="EH28">
        <v>0.220656</v>
      </c>
      <c r="EI28">
        <v>0.423787166666667</v>
      </c>
      <c r="EJ28">
        <v>425.570166666667</v>
      </c>
      <c r="EK28">
        <v>424.933166666667</v>
      </c>
      <c r="EL28">
        <v>0.483343833333333</v>
      </c>
      <c r="EM28">
        <v>419.977333333333</v>
      </c>
      <c r="EN28">
        <v>11.6628166666667</v>
      </c>
      <c r="EO28">
        <v>1.08799333333333</v>
      </c>
      <c r="EP28">
        <v>1.0447</v>
      </c>
      <c r="EQ28">
        <v>8.15128166666667</v>
      </c>
      <c r="ER28">
        <v>7.55515833333333</v>
      </c>
      <c r="ES28">
        <v>0.00500059</v>
      </c>
      <c r="ET28">
        <v>0</v>
      </c>
      <c r="EU28">
        <v>0</v>
      </c>
      <c r="EV28">
        <v>0</v>
      </c>
      <c r="EW28">
        <v>737.933333333333</v>
      </c>
      <c r="EX28">
        <v>0.00500059</v>
      </c>
      <c r="EY28">
        <v>-13.8166666666667</v>
      </c>
      <c r="EZ28">
        <v>-1.45</v>
      </c>
      <c r="FA28">
        <v>34.625</v>
      </c>
      <c r="FB28">
        <v>39.437</v>
      </c>
      <c r="FC28">
        <v>36.781</v>
      </c>
      <c r="FD28">
        <v>41.031</v>
      </c>
      <c r="FE28">
        <v>36.8016666666667</v>
      </c>
      <c r="FF28">
        <v>0</v>
      </c>
      <c r="FG28">
        <v>0</v>
      </c>
      <c r="FH28">
        <v>0</v>
      </c>
      <c r="FI28">
        <v>201.199999809265</v>
      </c>
      <c r="FJ28">
        <v>0</v>
      </c>
      <c r="FK28">
        <v>739.711538461538</v>
      </c>
      <c r="FL28">
        <v>-17.5076923754944</v>
      </c>
      <c r="FM28">
        <v>-11.0427349562084</v>
      </c>
      <c r="FN28">
        <v>-13.2384615384615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0.4135848</v>
      </c>
      <c r="GD28">
        <v>0.0288273383458644</v>
      </c>
      <c r="GE28">
        <v>0.0209226262084854</v>
      </c>
      <c r="GF28">
        <v>1</v>
      </c>
      <c r="GG28">
        <v>741.023529411765</v>
      </c>
      <c r="GH28">
        <v>-24.7944995878016</v>
      </c>
      <c r="GI28">
        <v>5.66356044860627</v>
      </c>
      <c r="GJ28">
        <v>-1</v>
      </c>
      <c r="GK28">
        <v>0.48115345</v>
      </c>
      <c r="GL28">
        <v>0.0223123759398489</v>
      </c>
      <c r="GM28">
        <v>0.00238790316962393</v>
      </c>
      <c r="GN28">
        <v>1</v>
      </c>
      <c r="GO28">
        <v>2</v>
      </c>
      <c r="GP28">
        <v>2</v>
      </c>
      <c r="GQ28" t="s">
        <v>441</v>
      </c>
      <c r="GR28">
        <v>3.13163</v>
      </c>
      <c r="GS28">
        <v>2.7109</v>
      </c>
      <c r="GT28">
        <v>0.0899635</v>
      </c>
      <c r="GU28">
        <v>0.0902767</v>
      </c>
      <c r="GV28">
        <v>0.0626933</v>
      </c>
      <c r="GW28">
        <v>0.0610961</v>
      </c>
      <c r="GX28">
        <v>34684.9</v>
      </c>
      <c r="GY28">
        <v>37220.1</v>
      </c>
      <c r="GZ28">
        <v>34453.4</v>
      </c>
      <c r="HA28">
        <v>37013.3</v>
      </c>
      <c r="HB28">
        <v>45563.3</v>
      </c>
      <c r="HC28">
        <v>49864.9</v>
      </c>
      <c r="HD28">
        <v>53646.6</v>
      </c>
      <c r="HE28">
        <v>59084.1</v>
      </c>
      <c r="HF28">
        <v>2.028</v>
      </c>
      <c r="HG28">
        <v>1.83202</v>
      </c>
      <c r="HH28">
        <v>0.0249594</v>
      </c>
      <c r="HI28">
        <v>0</v>
      </c>
      <c r="HJ28">
        <v>17.5735</v>
      </c>
      <c r="HK28">
        <v>999.9</v>
      </c>
      <c r="HL28">
        <v>30.216</v>
      </c>
      <c r="HM28">
        <v>30.464</v>
      </c>
      <c r="HN28">
        <v>14.7565</v>
      </c>
      <c r="HO28">
        <v>54.3218</v>
      </c>
      <c r="HP28">
        <v>48.7099</v>
      </c>
      <c r="HQ28">
        <v>1</v>
      </c>
      <c r="HR28">
        <v>-0.37126</v>
      </c>
      <c r="HS28">
        <v>1.57349</v>
      </c>
      <c r="HT28">
        <v>20.1244</v>
      </c>
      <c r="HU28">
        <v>5.20157</v>
      </c>
      <c r="HV28">
        <v>12.004</v>
      </c>
      <c r="HW28">
        <v>4.9758</v>
      </c>
      <c r="HX28">
        <v>3.293</v>
      </c>
      <c r="HY28">
        <v>9999</v>
      </c>
      <c r="HZ28">
        <v>9999</v>
      </c>
      <c r="IA28">
        <v>999.9</v>
      </c>
      <c r="IB28">
        <v>9999</v>
      </c>
      <c r="IC28">
        <v>1.8634</v>
      </c>
      <c r="ID28">
        <v>1.86813</v>
      </c>
      <c r="IE28">
        <v>1.86785</v>
      </c>
      <c r="IF28">
        <v>1.86911</v>
      </c>
      <c r="IG28">
        <v>1.86994</v>
      </c>
      <c r="IH28">
        <v>1.86599</v>
      </c>
      <c r="II28">
        <v>1.86707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1.54</v>
      </c>
      <c r="IY28">
        <v>-0.0129</v>
      </c>
      <c r="IZ28">
        <v>0.282887266083375</v>
      </c>
      <c r="JA28">
        <v>0.00306585071625405</v>
      </c>
      <c r="JB28">
        <v>-2.0560773108561e-07</v>
      </c>
      <c r="JC28">
        <v>1.17266038970699e-10</v>
      </c>
      <c r="JD28">
        <v>-0.0828159689460901</v>
      </c>
      <c r="JE28">
        <v>-0.0292312028691274</v>
      </c>
      <c r="JF28">
        <v>0.00362507029369384</v>
      </c>
      <c r="JG28">
        <v>-6.15131582447985e-05</v>
      </c>
      <c r="JH28">
        <v>5</v>
      </c>
      <c r="JI28">
        <v>2200</v>
      </c>
      <c r="JJ28">
        <v>0</v>
      </c>
      <c r="JK28">
        <v>22</v>
      </c>
      <c r="JL28">
        <v>29345618</v>
      </c>
      <c r="JM28">
        <v>29345618</v>
      </c>
      <c r="JN28">
        <v>1.00586</v>
      </c>
      <c r="JO28">
        <v>2.60986</v>
      </c>
      <c r="JP28">
        <v>1.54785</v>
      </c>
      <c r="JQ28">
        <v>2.31689</v>
      </c>
      <c r="JR28">
        <v>1.64551</v>
      </c>
      <c r="JS28">
        <v>2.3291</v>
      </c>
      <c r="JT28">
        <v>34.0998</v>
      </c>
      <c r="JU28">
        <v>24.2188</v>
      </c>
      <c r="JV28">
        <v>18</v>
      </c>
      <c r="JW28">
        <v>499.78</v>
      </c>
      <c r="JX28">
        <v>381.551</v>
      </c>
      <c r="JY28">
        <v>15.9171</v>
      </c>
      <c r="JZ28">
        <v>22.5424</v>
      </c>
      <c r="KA28">
        <v>30</v>
      </c>
      <c r="KB28">
        <v>22.5648</v>
      </c>
      <c r="KC28">
        <v>22.5295</v>
      </c>
      <c r="KD28">
        <v>20.157</v>
      </c>
      <c r="KE28">
        <v>11.0548</v>
      </c>
      <c r="KF28">
        <v>9.86856</v>
      </c>
      <c r="KG28">
        <v>15.9258</v>
      </c>
      <c r="KH28">
        <v>420</v>
      </c>
      <c r="KI28">
        <v>11.7059</v>
      </c>
      <c r="KJ28">
        <v>97.5896</v>
      </c>
      <c r="KK28">
        <v>95.7737</v>
      </c>
    </row>
    <row r="29" spans="1:297">
      <c r="A29">
        <v>13</v>
      </c>
      <c r="B29">
        <v>1760737567</v>
      </c>
      <c r="C29">
        <v>2907</v>
      </c>
      <c r="D29" t="s">
        <v>480</v>
      </c>
      <c r="E29" t="s">
        <v>481</v>
      </c>
      <c r="F29">
        <v>5</v>
      </c>
      <c r="G29" t="s">
        <v>482</v>
      </c>
      <c r="H29" t="s">
        <v>436</v>
      </c>
      <c r="I29">
        <v>1760737564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425.100944461061</v>
      </c>
      <c r="AK29">
        <v>425.500484848485</v>
      </c>
      <c r="AL29">
        <v>-0.000322939756747205</v>
      </c>
      <c r="AM29">
        <v>64.7960711695279</v>
      </c>
      <c r="AN29">
        <f>(AP29 - AO29 + DY29*1E3/(8.314*(EA29+273.15)) * AR29/DX29 * AQ29) * DX29/(100*DL29) * 1000/(1000 - AP29)</f>
        <v>0</v>
      </c>
      <c r="AO29">
        <v>12.0474301348673</v>
      </c>
      <c r="AP29">
        <v>12.2918238390093</v>
      </c>
      <c r="AQ29">
        <v>1.81403788113544e-06</v>
      </c>
      <c r="AR29">
        <v>130.617200955769</v>
      </c>
      <c r="AS29">
        <v>3</v>
      </c>
      <c r="AT29">
        <v>1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483</v>
      </c>
      <c r="AY29">
        <v>5149.62</v>
      </c>
      <c r="AZ29">
        <v>667.364</v>
      </c>
      <c r="BA29">
        <v>2688.97</v>
      </c>
      <c r="BB29">
        <f>1-AZ29/BA29</f>
        <v>0</v>
      </c>
      <c r="BC29">
        <v>-0.61243748942311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3.21</v>
      </c>
      <c r="DM29">
        <v>0.5</v>
      </c>
      <c r="DN29" t="s">
        <v>439</v>
      </c>
      <c r="DO29">
        <v>2</v>
      </c>
      <c r="DP29" t="b">
        <v>1</v>
      </c>
      <c r="DQ29">
        <v>1760737564</v>
      </c>
      <c r="DR29">
        <v>420.2992</v>
      </c>
      <c r="DS29">
        <v>419.9776</v>
      </c>
      <c r="DT29">
        <v>12.2921</v>
      </c>
      <c r="DU29">
        <v>12.04676</v>
      </c>
      <c r="DV29">
        <v>418.7598</v>
      </c>
      <c r="DW29">
        <v>12.30048</v>
      </c>
      <c r="DX29">
        <v>499.9784</v>
      </c>
      <c r="DY29">
        <v>89.56268</v>
      </c>
      <c r="DZ29">
        <v>0.03308838</v>
      </c>
      <c r="EA29">
        <v>18.86046</v>
      </c>
      <c r="EB29">
        <v>18.00812</v>
      </c>
      <c r="EC29">
        <v>999.9</v>
      </c>
      <c r="ED29">
        <v>0</v>
      </c>
      <c r="EE29">
        <v>0</v>
      </c>
      <c r="EF29">
        <v>10005.63</v>
      </c>
      <c r="EG29">
        <v>0</v>
      </c>
      <c r="EH29">
        <v>0.220656</v>
      </c>
      <c r="EI29">
        <v>0.3217164</v>
      </c>
      <c r="EJ29">
        <v>425.5298</v>
      </c>
      <c r="EK29">
        <v>425.0986</v>
      </c>
      <c r="EL29">
        <v>0.2453536</v>
      </c>
      <c r="EM29">
        <v>419.9776</v>
      </c>
      <c r="EN29">
        <v>12.04676</v>
      </c>
      <c r="EO29">
        <v>1.100914</v>
      </c>
      <c r="EP29">
        <v>1.078938</v>
      </c>
      <c r="EQ29">
        <v>8.32508</v>
      </c>
      <c r="ER29">
        <v>8.028328</v>
      </c>
      <c r="ES29">
        <v>0.00500059</v>
      </c>
      <c r="ET29">
        <v>0</v>
      </c>
      <c r="EU29">
        <v>0</v>
      </c>
      <c r="EV29">
        <v>0</v>
      </c>
      <c r="EW29">
        <v>670.78</v>
      </c>
      <c r="EX29">
        <v>0.00500059</v>
      </c>
      <c r="EY29">
        <v>-8.4</v>
      </c>
      <c r="EZ29">
        <v>0.4</v>
      </c>
      <c r="FA29">
        <v>34.312</v>
      </c>
      <c r="FB29">
        <v>38.0622</v>
      </c>
      <c r="FC29">
        <v>36.187</v>
      </c>
      <c r="FD29">
        <v>38.4748</v>
      </c>
      <c r="FE29">
        <v>36.1374</v>
      </c>
      <c r="FF29">
        <v>0</v>
      </c>
      <c r="FG29">
        <v>0</v>
      </c>
      <c r="FH29">
        <v>0</v>
      </c>
      <c r="FI29">
        <v>484</v>
      </c>
      <c r="FJ29">
        <v>0</v>
      </c>
      <c r="FK29">
        <v>667.364</v>
      </c>
      <c r="FL29">
        <v>32.076922890846</v>
      </c>
      <c r="FM29">
        <v>20.7230769667164</v>
      </c>
      <c r="FN29">
        <v>-10.768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0.30159155</v>
      </c>
      <c r="GD29">
        <v>0.102546</v>
      </c>
      <c r="GE29">
        <v>0.0372034213137381</v>
      </c>
      <c r="GF29">
        <v>1</v>
      </c>
      <c r="GG29">
        <v>668.158823529412</v>
      </c>
      <c r="GH29">
        <v>-10.7532468416567</v>
      </c>
      <c r="GI29">
        <v>5.46368318170396</v>
      </c>
      <c r="GJ29">
        <v>-1</v>
      </c>
      <c r="GK29">
        <v>0.242292</v>
      </c>
      <c r="GL29">
        <v>0.025559187969925</v>
      </c>
      <c r="GM29">
        <v>0.00253834296343107</v>
      </c>
      <c r="GN29">
        <v>1</v>
      </c>
      <c r="GO29">
        <v>2</v>
      </c>
      <c r="GP29">
        <v>2</v>
      </c>
      <c r="GQ29" t="s">
        <v>441</v>
      </c>
      <c r="GR29">
        <v>3.13182</v>
      </c>
      <c r="GS29">
        <v>2.7109</v>
      </c>
      <c r="GT29">
        <v>0.0899044</v>
      </c>
      <c r="GU29">
        <v>0.0902499</v>
      </c>
      <c r="GV29">
        <v>0.063228</v>
      </c>
      <c r="GW29">
        <v>0.0626031</v>
      </c>
      <c r="GX29">
        <v>34672.9</v>
      </c>
      <c r="GY29">
        <v>37202.6</v>
      </c>
      <c r="GZ29">
        <v>34440.1</v>
      </c>
      <c r="HA29">
        <v>36995.7</v>
      </c>
      <c r="HB29">
        <v>45521.7</v>
      </c>
      <c r="HC29">
        <v>49761.5</v>
      </c>
      <c r="HD29">
        <v>53629.2</v>
      </c>
      <c r="HE29">
        <v>59058.4</v>
      </c>
      <c r="HF29">
        <v>2.02558</v>
      </c>
      <c r="HG29">
        <v>1.82975</v>
      </c>
      <c r="HH29">
        <v>0.000283122</v>
      </c>
      <c r="HI29">
        <v>0</v>
      </c>
      <c r="HJ29">
        <v>18.0033</v>
      </c>
      <c r="HK29">
        <v>999.9</v>
      </c>
      <c r="HL29">
        <v>29.99</v>
      </c>
      <c r="HM29">
        <v>30.625</v>
      </c>
      <c r="HN29">
        <v>14.7847</v>
      </c>
      <c r="HO29">
        <v>54.3217</v>
      </c>
      <c r="HP29">
        <v>48.5617</v>
      </c>
      <c r="HQ29">
        <v>1</v>
      </c>
      <c r="HR29">
        <v>-0.354538</v>
      </c>
      <c r="HS29">
        <v>2.39882</v>
      </c>
      <c r="HT29">
        <v>20.1156</v>
      </c>
      <c r="HU29">
        <v>5.20022</v>
      </c>
      <c r="HV29">
        <v>12.004</v>
      </c>
      <c r="HW29">
        <v>4.97575</v>
      </c>
      <c r="HX29">
        <v>3.29335</v>
      </c>
      <c r="HY29">
        <v>9999</v>
      </c>
      <c r="HZ29">
        <v>9999</v>
      </c>
      <c r="IA29">
        <v>999.9</v>
      </c>
      <c r="IB29">
        <v>9999</v>
      </c>
      <c r="IC29">
        <v>1.8634</v>
      </c>
      <c r="ID29">
        <v>1.86813</v>
      </c>
      <c r="IE29">
        <v>1.86784</v>
      </c>
      <c r="IF29">
        <v>1.8691</v>
      </c>
      <c r="IG29">
        <v>1.86994</v>
      </c>
      <c r="IH29">
        <v>1.86599</v>
      </c>
      <c r="II29">
        <v>1.86705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1.539</v>
      </c>
      <c r="IY29">
        <v>-0.0084</v>
      </c>
      <c r="IZ29">
        <v>0.282887266083375</v>
      </c>
      <c r="JA29">
        <v>0.00306585071625405</v>
      </c>
      <c r="JB29">
        <v>-2.0560773108561e-07</v>
      </c>
      <c r="JC29">
        <v>1.17266038970699e-10</v>
      </c>
      <c r="JD29">
        <v>-0.0828159689460901</v>
      </c>
      <c r="JE29">
        <v>-0.0292312028691274</v>
      </c>
      <c r="JF29">
        <v>0.00362507029369384</v>
      </c>
      <c r="JG29">
        <v>-6.15131582447985e-05</v>
      </c>
      <c r="JH29">
        <v>5</v>
      </c>
      <c r="JI29">
        <v>2200</v>
      </c>
      <c r="JJ29">
        <v>0</v>
      </c>
      <c r="JK29">
        <v>22</v>
      </c>
      <c r="JL29">
        <v>29345626.1</v>
      </c>
      <c r="JM29">
        <v>29345626.1</v>
      </c>
      <c r="JN29">
        <v>1.00586</v>
      </c>
      <c r="JO29">
        <v>2.62207</v>
      </c>
      <c r="JP29">
        <v>1.54785</v>
      </c>
      <c r="JQ29">
        <v>2.31689</v>
      </c>
      <c r="JR29">
        <v>1.64673</v>
      </c>
      <c r="JS29">
        <v>2.24487</v>
      </c>
      <c r="JT29">
        <v>34.236</v>
      </c>
      <c r="JU29">
        <v>24.2101</v>
      </c>
      <c r="JV29">
        <v>18</v>
      </c>
      <c r="JW29">
        <v>499.421</v>
      </c>
      <c r="JX29">
        <v>381.258</v>
      </c>
      <c r="JY29">
        <v>15.1039</v>
      </c>
      <c r="JZ29">
        <v>22.7035</v>
      </c>
      <c r="KA29">
        <v>30.0003</v>
      </c>
      <c r="KB29">
        <v>22.6851</v>
      </c>
      <c r="KC29">
        <v>22.6485</v>
      </c>
      <c r="KD29">
        <v>20.1624</v>
      </c>
      <c r="KE29">
        <v>6.32736</v>
      </c>
      <c r="KF29">
        <v>10.9856</v>
      </c>
      <c r="KG29">
        <v>15.099</v>
      </c>
      <c r="KH29">
        <v>420</v>
      </c>
      <c r="KI29">
        <v>11.9498</v>
      </c>
      <c r="KJ29">
        <v>97.5556</v>
      </c>
      <c r="KK29">
        <v>95.7305</v>
      </c>
    </row>
    <row r="30" spans="1:297">
      <c r="A30">
        <v>14</v>
      </c>
      <c r="B30">
        <v>1760737775</v>
      </c>
      <c r="C30">
        <v>3115</v>
      </c>
      <c r="D30" t="s">
        <v>484</v>
      </c>
      <c r="E30" t="s">
        <v>485</v>
      </c>
      <c r="F30">
        <v>5</v>
      </c>
      <c r="G30" t="s">
        <v>482</v>
      </c>
      <c r="H30" t="s">
        <v>436</v>
      </c>
      <c r="I30">
        <v>1760737772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425.098080394054</v>
      </c>
      <c r="AK30">
        <v>425.495496969697</v>
      </c>
      <c r="AL30">
        <v>6.11458775398511e-05</v>
      </c>
      <c r="AM30">
        <v>64.7960711695279</v>
      </c>
      <c r="AN30">
        <f>(AP30 - AO30 + DY30*1E3/(8.314*(EA30+273.15)) * AR30/DX30 * AQ30) * DX30/(100*DL30) * 1000/(1000 - AP30)</f>
        <v>0</v>
      </c>
      <c r="AO30">
        <v>11.9237043646291</v>
      </c>
      <c r="AP30">
        <v>12.1489489164087</v>
      </c>
      <c r="AQ30">
        <v>-3.22658339410983e-07</v>
      </c>
      <c r="AR30">
        <v>130.617200955769</v>
      </c>
      <c r="AS30">
        <v>3</v>
      </c>
      <c r="AT30">
        <v>1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486</v>
      </c>
      <c r="AY30">
        <v>5148.77</v>
      </c>
      <c r="AZ30">
        <v>709.1</v>
      </c>
      <c r="BA30">
        <v>2656.11</v>
      </c>
      <c r="BB30">
        <f>1-AZ30/BA30</f>
        <v>0</v>
      </c>
      <c r="BC30">
        <v>-0.612123820817237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3.21</v>
      </c>
      <c r="DM30">
        <v>0.5</v>
      </c>
      <c r="DN30" t="s">
        <v>439</v>
      </c>
      <c r="DO30">
        <v>2</v>
      </c>
      <c r="DP30" t="b">
        <v>1</v>
      </c>
      <c r="DQ30">
        <v>1760737772</v>
      </c>
      <c r="DR30">
        <v>420.325</v>
      </c>
      <c r="DS30">
        <v>420.0232</v>
      </c>
      <c r="DT30">
        <v>12.1487</v>
      </c>
      <c r="DU30">
        <v>11.92752</v>
      </c>
      <c r="DV30">
        <v>418.786</v>
      </c>
      <c r="DW30">
        <v>12.1615</v>
      </c>
      <c r="DX30">
        <v>500.0232</v>
      </c>
      <c r="DY30">
        <v>89.56828</v>
      </c>
      <c r="DZ30">
        <v>0.03327512</v>
      </c>
      <c r="EA30">
        <v>18.82416</v>
      </c>
      <c r="EB30">
        <v>17.98288</v>
      </c>
      <c r="EC30">
        <v>999.9</v>
      </c>
      <c r="ED30">
        <v>0</v>
      </c>
      <c r="EE30">
        <v>0</v>
      </c>
      <c r="EF30">
        <v>10009.5</v>
      </c>
      <c r="EG30">
        <v>0</v>
      </c>
      <c r="EH30">
        <v>0.220656</v>
      </c>
      <c r="EI30">
        <v>0.3022156</v>
      </c>
      <c r="EJ30">
        <v>425.4946</v>
      </c>
      <c r="EK30">
        <v>425.093</v>
      </c>
      <c r="EL30">
        <v>0.2211636</v>
      </c>
      <c r="EM30">
        <v>420.0232</v>
      </c>
      <c r="EN30">
        <v>11.92752</v>
      </c>
      <c r="EO30">
        <v>1.088136</v>
      </c>
      <c r="EP30">
        <v>1.068328</v>
      </c>
      <c r="EQ30">
        <v>8.153204</v>
      </c>
      <c r="ER30">
        <v>7.883134</v>
      </c>
      <c r="ES30">
        <v>0.00500059</v>
      </c>
      <c r="ET30">
        <v>0</v>
      </c>
      <c r="EU30">
        <v>0</v>
      </c>
      <c r="EV30">
        <v>0</v>
      </c>
      <c r="EW30">
        <v>711.64</v>
      </c>
      <c r="EX30">
        <v>0.00500059</v>
      </c>
      <c r="EY30">
        <v>-16.84</v>
      </c>
      <c r="EZ30">
        <v>-1.8</v>
      </c>
      <c r="FA30">
        <v>34.687</v>
      </c>
      <c r="FB30">
        <v>39.4748</v>
      </c>
      <c r="FC30">
        <v>36.812</v>
      </c>
      <c r="FD30">
        <v>40.8498</v>
      </c>
      <c r="FE30">
        <v>36.812</v>
      </c>
      <c r="FF30">
        <v>0</v>
      </c>
      <c r="FG30">
        <v>0</v>
      </c>
      <c r="FH30">
        <v>0</v>
      </c>
      <c r="FI30">
        <v>205.899999856949</v>
      </c>
      <c r="FJ30">
        <v>0</v>
      </c>
      <c r="FK30">
        <v>709.1</v>
      </c>
      <c r="FL30">
        <v>-2.91538429540073</v>
      </c>
      <c r="FM30">
        <v>-7.80000018523295</v>
      </c>
      <c r="FN30">
        <v>-13.256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0.294937809523809</v>
      </c>
      <c r="GD30">
        <v>-0.105765740259739</v>
      </c>
      <c r="GE30">
        <v>0.028569501208405</v>
      </c>
      <c r="GF30">
        <v>1</v>
      </c>
      <c r="GG30">
        <v>708.961764705882</v>
      </c>
      <c r="GH30">
        <v>-5.85637868913413</v>
      </c>
      <c r="GI30">
        <v>5.61196278476415</v>
      </c>
      <c r="GJ30">
        <v>-1</v>
      </c>
      <c r="GK30">
        <v>0.227031285714286</v>
      </c>
      <c r="GL30">
        <v>-0.0258027272727272</v>
      </c>
      <c r="GM30">
        <v>0.00364642122195052</v>
      </c>
      <c r="GN30">
        <v>1</v>
      </c>
      <c r="GO30">
        <v>2</v>
      </c>
      <c r="GP30">
        <v>2</v>
      </c>
      <c r="GQ30" t="s">
        <v>441</v>
      </c>
      <c r="GR30">
        <v>3.1317</v>
      </c>
      <c r="GS30">
        <v>2.71144</v>
      </c>
      <c r="GT30">
        <v>0.0898827</v>
      </c>
      <c r="GU30">
        <v>0.0902174</v>
      </c>
      <c r="GV30">
        <v>0.0626623</v>
      </c>
      <c r="GW30">
        <v>0.0621485</v>
      </c>
      <c r="GX30">
        <v>34666.3</v>
      </c>
      <c r="GY30">
        <v>37194.4</v>
      </c>
      <c r="GZ30">
        <v>34433.4</v>
      </c>
      <c r="HA30">
        <v>36986.9</v>
      </c>
      <c r="HB30">
        <v>45543</v>
      </c>
      <c r="HC30">
        <v>49775.4</v>
      </c>
      <c r="HD30">
        <v>53621.1</v>
      </c>
      <c r="HE30">
        <v>59046.1</v>
      </c>
      <c r="HF30">
        <v>2.02393</v>
      </c>
      <c r="HG30">
        <v>1.82763</v>
      </c>
      <c r="HH30">
        <v>0.00241026</v>
      </c>
      <c r="HI30">
        <v>0</v>
      </c>
      <c r="HJ30">
        <v>17.9403</v>
      </c>
      <c r="HK30">
        <v>999.9</v>
      </c>
      <c r="HL30">
        <v>29.868</v>
      </c>
      <c r="HM30">
        <v>30.675</v>
      </c>
      <c r="HN30">
        <v>14.7679</v>
      </c>
      <c r="HO30">
        <v>54.4317</v>
      </c>
      <c r="HP30">
        <v>48.4936</v>
      </c>
      <c r="HQ30">
        <v>1</v>
      </c>
      <c r="HR30">
        <v>-0.345938</v>
      </c>
      <c r="HS30">
        <v>2.14413</v>
      </c>
      <c r="HT30">
        <v>20.1193</v>
      </c>
      <c r="HU30">
        <v>5.19947</v>
      </c>
      <c r="HV30">
        <v>12.004</v>
      </c>
      <c r="HW30">
        <v>4.97575</v>
      </c>
      <c r="HX30">
        <v>3.29318</v>
      </c>
      <c r="HY30">
        <v>9999</v>
      </c>
      <c r="HZ30">
        <v>9999</v>
      </c>
      <c r="IA30">
        <v>999.9</v>
      </c>
      <c r="IB30">
        <v>9999</v>
      </c>
      <c r="IC30">
        <v>1.8634</v>
      </c>
      <c r="ID30">
        <v>1.86813</v>
      </c>
      <c r="IE30">
        <v>1.86786</v>
      </c>
      <c r="IF30">
        <v>1.86913</v>
      </c>
      <c r="IG30">
        <v>1.86993</v>
      </c>
      <c r="IH30">
        <v>1.86595</v>
      </c>
      <c r="II30">
        <v>1.86704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1.54</v>
      </c>
      <c r="IY30">
        <v>-0.0127</v>
      </c>
      <c r="IZ30">
        <v>0.282887266083375</v>
      </c>
      <c r="JA30">
        <v>0.00306585071625405</v>
      </c>
      <c r="JB30">
        <v>-2.0560773108561e-07</v>
      </c>
      <c r="JC30">
        <v>1.17266038970699e-10</v>
      </c>
      <c r="JD30">
        <v>-0.0828159689460901</v>
      </c>
      <c r="JE30">
        <v>-0.0292312028691274</v>
      </c>
      <c r="JF30">
        <v>0.00362507029369384</v>
      </c>
      <c r="JG30">
        <v>-6.15131582447985e-05</v>
      </c>
      <c r="JH30">
        <v>5</v>
      </c>
      <c r="JI30">
        <v>2200</v>
      </c>
      <c r="JJ30">
        <v>0</v>
      </c>
      <c r="JK30">
        <v>22</v>
      </c>
      <c r="JL30">
        <v>29345629.6</v>
      </c>
      <c r="JM30">
        <v>29345629.6</v>
      </c>
      <c r="JN30">
        <v>1.00708</v>
      </c>
      <c r="JO30">
        <v>2.61353</v>
      </c>
      <c r="JP30">
        <v>1.54785</v>
      </c>
      <c r="JQ30">
        <v>2.31689</v>
      </c>
      <c r="JR30">
        <v>1.64673</v>
      </c>
      <c r="JS30">
        <v>2.35352</v>
      </c>
      <c r="JT30">
        <v>34.2814</v>
      </c>
      <c r="JU30">
        <v>24.2188</v>
      </c>
      <c r="JV30">
        <v>18</v>
      </c>
      <c r="JW30">
        <v>499.509</v>
      </c>
      <c r="JX30">
        <v>381.002</v>
      </c>
      <c r="JY30">
        <v>15.2816</v>
      </c>
      <c r="JZ30">
        <v>22.8284</v>
      </c>
      <c r="KA30">
        <v>30.0003</v>
      </c>
      <c r="KB30">
        <v>22.8013</v>
      </c>
      <c r="KC30">
        <v>22.7624</v>
      </c>
      <c r="KD30">
        <v>20.1644</v>
      </c>
      <c r="KE30">
        <v>6.92888</v>
      </c>
      <c r="KF30">
        <v>10.9856</v>
      </c>
      <c r="KG30">
        <v>15.2871</v>
      </c>
      <c r="KH30">
        <v>420</v>
      </c>
      <c r="KI30">
        <v>12.0147</v>
      </c>
      <c r="KJ30">
        <v>97.5391</v>
      </c>
      <c r="KK30">
        <v>95.7095</v>
      </c>
    </row>
    <row r="31" spans="1:297">
      <c r="A31">
        <v>15</v>
      </c>
      <c r="B31">
        <v>1760737950</v>
      </c>
      <c r="C31">
        <v>3290</v>
      </c>
      <c r="D31" t="s">
        <v>487</v>
      </c>
      <c r="E31" t="s">
        <v>488</v>
      </c>
      <c r="F31">
        <v>5</v>
      </c>
      <c r="G31" t="s">
        <v>482</v>
      </c>
      <c r="H31" t="s">
        <v>436</v>
      </c>
      <c r="I31">
        <v>1760737946.5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425.111800104507</v>
      </c>
      <c r="AK31">
        <v>425.485284848485</v>
      </c>
      <c r="AL31">
        <v>-8.65251411422298e-06</v>
      </c>
      <c r="AM31">
        <v>64.7960711695279</v>
      </c>
      <c r="AN31">
        <f>(AP31 - AO31 + DY31*1E3/(8.314*(EA31+273.15)) * AR31/DX31 * AQ31) * DX31/(100*DL31) * 1000/(1000 - AP31)</f>
        <v>0</v>
      </c>
      <c r="AO31">
        <v>12.0178761669427</v>
      </c>
      <c r="AP31">
        <v>12.202013622291</v>
      </c>
      <c r="AQ31">
        <v>-3.63919470467388e-07</v>
      </c>
      <c r="AR31">
        <v>130.617200955769</v>
      </c>
      <c r="AS31">
        <v>3</v>
      </c>
      <c r="AT31">
        <v>1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489</v>
      </c>
      <c r="AY31">
        <v>5148.04</v>
      </c>
      <c r="AZ31">
        <v>711.448</v>
      </c>
      <c r="BA31">
        <v>2620.86</v>
      </c>
      <c r="BB31">
        <f>1-AZ31/BA31</f>
        <v>0</v>
      </c>
      <c r="BC31">
        <v>-0.574701265952971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3.21</v>
      </c>
      <c r="DM31">
        <v>0.5</v>
      </c>
      <c r="DN31" t="s">
        <v>439</v>
      </c>
      <c r="DO31">
        <v>2</v>
      </c>
      <c r="DP31" t="b">
        <v>1</v>
      </c>
      <c r="DQ31">
        <v>1760737946.5</v>
      </c>
      <c r="DR31">
        <v>420.295833333333</v>
      </c>
      <c r="DS31">
        <v>419.999833333333</v>
      </c>
      <c r="DT31">
        <v>12.2020833333333</v>
      </c>
      <c r="DU31">
        <v>12.0175333333333</v>
      </c>
      <c r="DV31">
        <v>418.7565</v>
      </c>
      <c r="DW31">
        <v>12.2132333333333</v>
      </c>
      <c r="DX31">
        <v>500.003666666667</v>
      </c>
      <c r="DY31">
        <v>89.5664166666667</v>
      </c>
      <c r="DZ31">
        <v>0.0332802166666667</v>
      </c>
      <c r="EA31">
        <v>18.8488333333333</v>
      </c>
      <c r="EB31">
        <v>17.9973</v>
      </c>
      <c r="EC31">
        <v>999.9</v>
      </c>
      <c r="ED31">
        <v>0</v>
      </c>
      <c r="EE31">
        <v>0</v>
      </c>
      <c r="EF31">
        <v>9996.87333333333</v>
      </c>
      <c r="EG31">
        <v>0</v>
      </c>
      <c r="EH31">
        <v>0.220656</v>
      </c>
      <c r="EI31">
        <v>0.296020333333333</v>
      </c>
      <c r="EJ31">
        <v>425.487833333333</v>
      </c>
      <c r="EK31">
        <v>425.108666666667</v>
      </c>
      <c r="EL31">
        <v>0.184581166666667</v>
      </c>
      <c r="EM31">
        <v>419.999833333333</v>
      </c>
      <c r="EN31">
        <v>12.0175333333333</v>
      </c>
      <c r="EO31">
        <v>1.09289666666667</v>
      </c>
      <c r="EP31">
        <v>1.076365</v>
      </c>
      <c r="EQ31">
        <v>8.21745</v>
      </c>
      <c r="ER31">
        <v>7.99323333333333</v>
      </c>
      <c r="ES31">
        <v>0.00500059</v>
      </c>
      <c r="ET31">
        <v>0</v>
      </c>
      <c r="EU31">
        <v>0</v>
      </c>
      <c r="EV31">
        <v>0</v>
      </c>
      <c r="EW31">
        <v>711.383333333334</v>
      </c>
      <c r="EX31">
        <v>0.00500059</v>
      </c>
      <c r="EY31">
        <v>-8.01666666666667</v>
      </c>
      <c r="EZ31">
        <v>-0.75</v>
      </c>
      <c r="FA31">
        <v>34.979</v>
      </c>
      <c r="FB31">
        <v>39.875</v>
      </c>
      <c r="FC31">
        <v>37.1456666666667</v>
      </c>
      <c r="FD31">
        <v>41.625</v>
      </c>
      <c r="FE31">
        <v>37.1456666666667</v>
      </c>
      <c r="FF31">
        <v>0</v>
      </c>
      <c r="FG31">
        <v>0</v>
      </c>
      <c r="FH31">
        <v>0</v>
      </c>
      <c r="FI31">
        <v>173</v>
      </c>
      <c r="FJ31">
        <v>0</v>
      </c>
      <c r="FK31">
        <v>711.448</v>
      </c>
      <c r="FL31">
        <v>-30.7230773304563</v>
      </c>
      <c r="FM31">
        <v>6.79230776202275</v>
      </c>
      <c r="FN31">
        <v>-11.584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0.28921195</v>
      </c>
      <c r="GD31">
        <v>0.175753037593985</v>
      </c>
      <c r="GE31">
        <v>0.0343184743024439</v>
      </c>
      <c r="GF31">
        <v>1</v>
      </c>
      <c r="GG31">
        <v>712.623529411765</v>
      </c>
      <c r="GH31">
        <v>-17.0328496225629</v>
      </c>
      <c r="GI31">
        <v>5.21316539403897</v>
      </c>
      <c r="GJ31">
        <v>-1</v>
      </c>
      <c r="GK31">
        <v>0.1840588</v>
      </c>
      <c r="GL31">
        <v>0.00209242105263172</v>
      </c>
      <c r="GM31">
        <v>0.000575152727542866</v>
      </c>
      <c r="GN31">
        <v>1</v>
      </c>
      <c r="GO31">
        <v>2</v>
      </c>
      <c r="GP31">
        <v>2</v>
      </c>
      <c r="GQ31" t="s">
        <v>441</v>
      </c>
      <c r="GR31">
        <v>3.13167</v>
      </c>
      <c r="GS31">
        <v>2.71137</v>
      </c>
      <c r="GT31">
        <v>0.0898662</v>
      </c>
      <c r="GU31">
        <v>0.0902083</v>
      </c>
      <c r="GV31">
        <v>0.062851</v>
      </c>
      <c r="GW31">
        <v>0.0624665</v>
      </c>
      <c r="GX31">
        <v>34664.6</v>
      </c>
      <c r="GY31">
        <v>37192.1</v>
      </c>
      <c r="GZ31">
        <v>34431.4</v>
      </c>
      <c r="HA31">
        <v>36984.5</v>
      </c>
      <c r="HB31">
        <v>45531.5</v>
      </c>
      <c r="HC31">
        <v>49755.4</v>
      </c>
      <c r="HD31">
        <v>53618.6</v>
      </c>
      <c r="HE31">
        <v>59042.8</v>
      </c>
      <c r="HF31">
        <v>2.02295</v>
      </c>
      <c r="HG31">
        <v>1.8267</v>
      </c>
      <c r="HH31">
        <v>0.00685453</v>
      </c>
      <c r="HI31">
        <v>0</v>
      </c>
      <c r="HJ31">
        <v>17.8779</v>
      </c>
      <c r="HK31">
        <v>999.9</v>
      </c>
      <c r="HL31">
        <v>29.795</v>
      </c>
      <c r="HM31">
        <v>30.726</v>
      </c>
      <c r="HN31">
        <v>14.7746</v>
      </c>
      <c r="HO31">
        <v>53.5217</v>
      </c>
      <c r="HP31">
        <v>48.5457</v>
      </c>
      <c r="HQ31">
        <v>1</v>
      </c>
      <c r="HR31">
        <v>-0.342409</v>
      </c>
      <c r="HS31">
        <v>2.21578</v>
      </c>
      <c r="HT31">
        <v>20.1181</v>
      </c>
      <c r="HU31">
        <v>5.20127</v>
      </c>
      <c r="HV31">
        <v>12.004</v>
      </c>
      <c r="HW31">
        <v>4.97575</v>
      </c>
      <c r="HX31">
        <v>3.29323</v>
      </c>
      <c r="HY31">
        <v>9999</v>
      </c>
      <c r="HZ31">
        <v>9999</v>
      </c>
      <c r="IA31">
        <v>999.9</v>
      </c>
      <c r="IB31">
        <v>9999</v>
      </c>
      <c r="IC31">
        <v>1.8634</v>
      </c>
      <c r="ID31">
        <v>1.86813</v>
      </c>
      <c r="IE31">
        <v>1.86785</v>
      </c>
      <c r="IF31">
        <v>1.86912</v>
      </c>
      <c r="IG31">
        <v>1.86993</v>
      </c>
      <c r="IH31">
        <v>1.86599</v>
      </c>
      <c r="II31">
        <v>1.86705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1.539</v>
      </c>
      <c r="IY31">
        <v>-0.0112</v>
      </c>
      <c r="IZ31">
        <v>0.282887266083375</v>
      </c>
      <c r="JA31">
        <v>0.00306585071625405</v>
      </c>
      <c r="JB31">
        <v>-2.0560773108561e-07</v>
      </c>
      <c r="JC31">
        <v>1.17266038970699e-10</v>
      </c>
      <c r="JD31">
        <v>-0.0828159689460901</v>
      </c>
      <c r="JE31">
        <v>-0.0292312028691274</v>
      </c>
      <c r="JF31">
        <v>0.00362507029369384</v>
      </c>
      <c r="JG31">
        <v>-6.15131582447985e-05</v>
      </c>
      <c r="JH31">
        <v>5</v>
      </c>
      <c r="JI31">
        <v>2200</v>
      </c>
      <c r="JJ31">
        <v>0</v>
      </c>
      <c r="JK31">
        <v>22</v>
      </c>
      <c r="JL31">
        <v>29345632.5</v>
      </c>
      <c r="JM31">
        <v>29345632.5</v>
      </c>
      <c r="JN31">
        <v>1.00586</v>
      </c>
      <c r="JO31">
        <v>2.6123</v>
      </c>
      <c r="JP31">
        <v>1.54785</v>
      </c>
      <c r="JQ31">
        <v>2.31689</v>
      </c>
      <c r="JR31">
        <v>1.64673</v>
      </c>
      <c r="JS31">
        <v>2.3291</v>
      </c>
      <c r="JT31">
        <v>34.3269</v>
      </c>
      <c r="JU31">
        <v>24.2101</v>
      </c>
      <c r="JV31">
        <v>18</v>
      </c>
      <c r="JW31">
        <v>499.522</v>
      </c>
      <c r="JX31">
        <v>380.999</v>
      </c>
      <c r="JY31">
        <v>15.2706</v>
      </c>
      <c r="JZ31">
        <v>22.8827</v>
      </c>
      <c r="KA31">
        <v>30.0001</v>
      </c>
      <c r="KB31">
        <v>22.8661</v>
      </c>
      <c r="KC31">
        <v>22.8272</v>
      </c>
      <c r="KD31">
        <v>20.1662</v>
      </c>
      <c r="KE31">
        <v>5.81702</v>
      </c>
      <c r="KF31">
        <v>11.3568</v>
      </c>
      <c r="KG31">
        <v>15.2751</v>
      </c>
      <c r="KH31">
        <v>420</v>
      </c>
      <c r="KI31">
        <v>12.0281</v>
      </c>
      <c r="KJ31">
        <v>97.5342</v>
      </c>
      <c r="KK31">
        <v>95.7039</v>
      </c>
    </row>
    <row r="32" spans="1:297">
      <c r="A32">
        <v>16</v>
      </c>
      <c r="B32">
        <v>1760738282</v>
      </c>
      <c r="C32">
        <v>3622</v>
      </c>
      <c r="D32" t="s">
        <v>490</v>
      </c>
      <c r="E32" t="s">
        <v>491</v>
      </c>
      <c r="F32">
        <v>5</v>
      </c>
      <c r="G32" t="s">
        <v>492</v>
      </c>
      <c r="H32" t="s">
        <v>436</v>
      </c>
      <c r="I32">
        <v>1760738279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425.086473082618</v>
      </c>
      <c r="AK32">
        <v>425.778066666667</v>
      </c>
      <c r="AL32">
        <v>0.000464180377419755</v>
      </c>
      <c r="AM32">
        <v>64.8111858132958</v>
      </c>
      <c r="AN32">
        <f>(AP32 - AO32 + DY32*1E3/(8.314*(EA32+273.15)) * AR32/DX32 * AQ32) * DX32/(100*DL32) * 1000/(1000 - AP32)</f>
        <v>0</v>
      </c>
      <c r="AO32">
        <v>11.82622653896</v>
      </c>
      <c r="AP32">
        <v>12.1761099071207</v>
      </c>
      <c r="AQ32">
        <v>7.31093497963607e-06</v>
      </c>
      <c r="AR32">
        <v>130.310478327212</v>
      </c>
      <c r="AS32">
        <v>2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493</v>
      </c>
      <c r="AY32">
        <v>5143.85</v>
      </c>
      <c r="AZ32">
        <v>689.448</v>
      </c>
      <c r="BA32">
        <v>2807.8</v>
      </c>
      <c r="BB32">
        <f>1-AZ32/BA32</f>
        <v>0</v>
      </c>
      <c r="BC32">
        <v>-1.06804630086652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3.21</v>
      </c>
      <c r="DM32">
        <v>0.5</v>
      </c>
      <c r="DN32" t="s">
        <v>439</v>
      </c>
      <c r="DO32">
        <v>2</v>
      </c>
      <c r="DP32" t="b">
        <v>1</v>
      </c>
      <c r="DQ32">
        <v>1760738279</v>
      </c>
      <c r="DR32">
        <v>420.561</v>
      </c>
      <c r="DS32">
        <v>420.0608</v>
      </c>
      <c r="DT32">
        <v>12.1756</v>
      </c>
      <c r="DU32">
        <v>11.82358</v>
      </c>
      <c r="DV32">
        <v>419.0208</v>
      </c>
      <c r="DW32">
        <v>12.18758</v>
      </c>
      <c r="DX32">
        <v>500.055</v>
      </c>
      <c r="DY32">
        <v>89.569</v>
      </c>
      <c r="DZ32">
        <v>0.03348342</v>
      </c>
      <c r="EA32">
        <v>18.79228</v>
      </c>
      <c r="EB32">
        <v>17.9529</v>
      </c>
      <c r="EC32">
        <v>999.9</v>
      </c>
      <c r="ED32">
        <v>0</v>
      </c>
      <c r="EE32">
        <v>0</v>
      </c>
      <c r="EF32">
        <v>9999.72</v>
      </c>
      <c r="EG32">
        <v>0</v>
      </c>
      <c r="EH32">
        <v>0.220656</v>
      </c>
      <c r="EI32">
        <v>0.500165</v>
      </c>
      <c r="EJ32">
        <v>425.7448</v>
      </c>
      <c r="EK32">
        <v>425.0868</v>
      </c>
      <c r="EL32">
        <v>0.3519932</v>
      </c>
      <c r="EM32">
        <v>420.0608</v>
      </c>
      <c r="EN32">
        <v>11.82358</v>
      </c>
      <c r="EO32">
        <v>1.090554</v>
      </c>
      <c r="EP32">
        <v>1.059028</v>
      </c>
      <c r="EQ32">
        <v>8.18588</v>
      </c>
      <c r="ER32">
        <v>7.75482</v>
      </c>
      <c r="ES32">
        <v>0.00500059</v>
      </c>
      <c r="ET32">
        <v>0</v>
      </c>
      <c r="EU32">
        <v>0</v>
      </c>
      <c r="EV32">
        <v>0</v>
      </c>
      <c r="EW32">
        <v>686.08</v>
      </c>
      <c r="EX32">
        <v>0.00500059</v>
      </c>
      <c r="EY32">
        <v>-11.62</v>
      </c>
      <c r="EZ32">
        <v>-0.52</v>
      </c>
      <c r="FA32">
        <v>34.437</v>
      </c>
      <c r="FB32">
        <v>38.875</v>
      </c>
      <c r="FC32">
        <v>36.5</v>
      </c>
      <c r="FD32">
        <v>39.6498</v>
      </c>
      <c r="FE32">
        <v>36.437</v>
      </c>
      <c r="FF32">
        <v>0</v>
      </c>
      <c r="FG32">
        <v>0</v>
      </c>
      <c r="FH32">
        <v>0</v>
      </c>
      <c r="FI32">
        <v>330.199999809265</v>
      </c>
      <c r="FJ32">
        <v>0</v>
      </c>
      <c r="FK32">
        <v>689.448</v>
      </c>
      <c r="FL32">
        <v>-29.1846157476967</v>
      </c>
      <c r="FM32">
        <v>4.76923123558125</v>
      </c>
      <c r="FN32">
        <v>-13.072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0.543066095238095</v>
      </c>
      <c r="GD32">
        <v>-0.238009558441558</v>
      </c>
      <c r="GE32">
        <v>0.0532541994775147</v>
      </c>
      <c r="GF32">
        <v>1</v>
      </c>
      <c r="GG32">
        <v>689.602941176471</v>
      </c>
      <c r="GH32">
        <v>3.32314728101258</v>
      </c>
      <c r="GI32">
        <v>5.1839960338423</v>
      </c>
      <c r="GJ32">
        <v>-1</v>
      </c>
      <c r="GK32">
        <v>0.350071285714286</v>
      </c>
      <c r="GL32">
        <v>-0.0225625714285709</v>
      </c>
      <c r="GM32">
        <v>0.00499459358318818</v>
      </c>
      <c r="GN32">
        <v>1</v>
      </c>
      <c r="GO32">
        <v>2</v>
      </c>
      <c r="GP32">
        <v>2</v>
      </c>
      <c r="GQ32" t="s">
        <v>441</v>
      </c>
      <c r="GR32">
        <v>3.1316</v>
      </c>
      <c r="GS32">
        <v>2.71132</v>
      </c>
      <c r="GT32">
        <v>0.0899128</v>
      </c>
      <c r="GU32">
        <v>0.0902032</v>
      </c>
      <c r="GV32">
        <v>0.0627509</v>
      </c>
      <c r="GW32">
        <v>0.0616762</v>
      </c>
      <c r="GX32">
        <v>34665.4</v>
      </c>
      <c r="GY32">
        <v>37195.5</v>
      </c>
      <c r="GZ32">
        <v>34433.9</v>
      </c>
      <c r="HA32">
        <v>36987.6</v>
      </c>
      <c r="HB32">
        <v>45539.6</v>
      </c>
      <c r="HC32">
        <v>49802.3</v>
      </c>
      <c r="HD32">
        <v>53622.3</v>
      </c>
      <c r="HE32">
        <v>59047.8</v>
      </c>
      <c r="HF32">
        <v>2.02378</v>
      </c>
      <c r="HG32">
        <v>1.82655</v>
      </c>
      <c r="HH32">
        <v>0.0148788</v>
      </c>
      <c r="HI32">
        <v>0</v>
      </c>
      <c r="HJ32">
        <v>17.7164</v>
      </c>
      <c r="HK32">
        <v>999.9</v>
      </c>
      <c r="HL32">
        <v>29.642</v>
      </c>
      <c r="HM32">
        <v>30.796</v>
      </c>
      <c r="HN32">
        <v>14.7574</v>
      </c>
      <c r="HO32">
        <v>53.9218</v>
      </c>
      <c r="HP32">
        <v>48.5337</v>
      </c>
      <c r="HQ32">
        <v>1</v>
      </c>
      <c r="HR32">
        <v>-0.345701</v>
      </c>
      <c r="HS32">
        <v>1.82095</v>
      </c>
      <c r="HT32">
        <v>20.1228</v>
      </c>
      <c r="HU32">
        <v>5.19977</v>
      </c>
      <c r="HV32">
        <v>12.004</v>
      </c>
      <c r="HW32">
        <v>4.97575</v>
      </c>
      <c r="HX32">
        <v>3.2931</v>
      </c>
      <c r="HY32">
        <v>9999</v>
      </c>
      <c r="HZ32">
        <v>9999</v>
      </c>
      <c r="IA32">
        <v>999.9</v>
      </c>
      <c r="IB32">
        <v>9999</v>
      </c>
      <c r="IC32">
        <v>1.86339</v>
      </c>
      <c r="ID32">
        <v>1.86813</v>
      </c>
      <c r="IE32">
        <v>1.86784</v>
      </c>
      <c r="IF32">
        <v>1.86908</v>
      </c>
      <c r="IG32">
        <v>1.86993</v>
      </c>
      <c r="IH32">
        <v>1.86598</v>
      </c>
      <c r="II32">
        <v>1.867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1.541</v>
      </c>
      <c r="IY32">
        <v>-0.012</v>
      </c>
      <c r="IZ32">
        <v>0.282887266083375</v>
      </c>
      <c r="JA32">
        <v>0.00306585071625405</v>
      </c>
      <c r="JB32">
        <v>-2.0560773108561e-07</v>
      </c>
      <c r="JC32">
        <v>1.17266038970699e-10</v>
      </c>
      <c r="JD32">
        <v>-0.0828159689460901</v>
      </c>
      <c r="JE32">
        <v>-0.0292312028691274</v>
      </c>
      <c r="JF32">
        <v>0.00362507029369384</v>
      </c>
      <c r="JG32">
        <v>-6.15131582447985e-05</v>
      </c>
      <c r="JH32">
        <v>5</v>
      </c>
      <c r="JI32">
        <v>2200</v>
      </c>
      <c r="JJ32">
        <v>0</v>
      </c>
      <c r="JK32">
        <v>22</v>
      </c>
      <c r="JL32">
        <v>29345638</v>
      </c>
      <c r="JM32">
        <v>29345638</v>
      </c>
      <c r="JN32">
        <v>1.00586</v>
      </c>
      <c r="JO32">
        <v>2.60986</v>
      </c>
      <c r="JP32">
        <v>1.54785</v>
      </c>
      <c r="JQ32">
        <v>2.31689</v>
      </c>
      <c r="JR32">
        <v>1.64551</v>
      </c>
      <c r="JS32">
        <v>2.38525</v>
      </c>
      <c r="JT32">
        <v>34.3042</v>
      </c>
      <c r="JU32">
        <v>24.2188</v>
      </c>
      <c r="JV32">
        <v>18</v>
      </c>
      <c r="JW32">
        <v>500.201</v>
      </c>
      <c r="JX32">
        <v>381.057</v>
      </c>
      <c r="JY32">
        <v>15.6139</v>
      </c>
      <c r="JZ32">
        <v>22.8658</v>
      </c>
      <c r="KA32">
        <v>29.9999</v>
      </c>
      <c r="KB32">
        <v>22.8819</v>
      </c>
      <c r="KC32">
        <v>22.8457</v>
      </c>
      <c r="KD32">
        <v>20.1659</v>
      </c>
      <c r="KE32">
        <v>7.8299</v>
      </c>
      <c r="KF32">
        <v>12.3088</v>
      </c>
      <c r="KG32">
        <v>15.6457</v>
      </c>
      <c r="KH32">
        <v>420</v>
      </c>
      <c r="KI32">
        <v>11.8805</v>
      </c>
      <c r="KJ32">
        <v>97.5411</v>
      </c>
      <c r="KK32">
        <v>95.7119</v>
      </c>
    </row>
    <row r="33" spans="1:297">
      <c r="A33">
        <v>17</v>
      </c>
      <c r="B33">
        <v>1760738495</v>
      </c>
      <c r="C33">
        <v>3835</v>
      </c>
      <c r="D33" t="s">
        <v>494</v>
      </c>
      <c r="E33" t="s">
        <v>495</v>
      </c>
      <c r="F33">
        <v>5</v>
      </c>
      <c r="G33" t="s">
        <v>492</v>
      </c>
      <c r="H33" t="s">
        <v>436</v>
      </c>
      <c r="I33">
        <v>1760738492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425.002971476974</v>
      </c>
      <c r="AK33">
        <v>425.70713939394</v>
      </c>
      <c r="AL33">
        <v>5.18863186385598e-05</v>
      </c>
      <c r="AM33">
        <v>64.8111858132958</v>
      </c>
      <c r="AN33">
        <f>(AP33 - AO33 + DY33*1E3/(8.314*(EA33+273.15)) * AR33/DX33 * AQ33) * DX33/(100*DL33) * 1000/(1000 - AP33)</f>
        <v>0</v>
      </c>
      <c r="AO33">
        <v>11.8133047326933</v>
      </c>
      <c r="AP33">
        <v>12.160750877193</v>
      </c>
      <c r="AQ33">
        <v>-3.20902295516286e-08</v>
      </c>
      <c r="AR33">
        <v>130.310478327212</v>
      </c>
      <c r="AS33">
        <v>2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496</v>
      </c>
      <c r="AY33">
        <v>5142.85</v>
      </c>
      <c r="AZ33">
        <v>710.868</v>
      </c>
      <c r="BA33">
        <v>2751.41</v>
      </c>
      <c r="BB33">
        <f>1-AZ33/BA33</f>
        <v>0</v>
      </c>
      <c r="BC33">
        <v>-1.08434299848901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3.21</v>
      </c>
      <c r="DM33">
        <v>0.5</v>
      </c>
      <c r="DN33" t="s">
        <v>439</v>
      </c>
      <c r="DO33">
        <v>2</v>
      </c>
      <c r="DP33" t="b">
        <v>1</v>
      </c>
      <c r="DQ33">
        <v>1760738492</v>
      </c>
      <c r="DR33">
        <v>420.5278</v>
      </c>
      <c r="DS33">
        <v>419.985</v>
      </c>
      <c r="DT33">
        <v>12.16016</v>
      </c>
      <c r="DU33">
        <v>11.81146</v>
      </c>
      <c r="DV33">
        <v>418.9878</v>
      </c>
      <c r="DW33">
        <v>12.17256</v>
      </c>
      <c r="DX33">
        <v>500.0376</v>
      </c>
      <c r="DY33">
        <v>89.5651</v>
      </c>
      <c r="DZ33">
        <v>0.03251334</v>
      </c>
      <c r="EA33">
        <v>18.8353</v>
      </c>
      <c r="EB33">
        <v>17.99944</v>
      </c>
      <c r="EC33">
        <v>999.9</v>
      </c>
      <c r="ED33">
        <v>0</v>
      </c>
      <c r="EE33">
        <v>0</v>
      </c>
      <c r="EF33">
        <v>10014.74</v>
      </c>
      <c r="EG33">
        <v>0</v>
      </c>
      <c r="EH33">
        <v>0.220656</v>
      </c>
      <c r="EI33">
        <v>0.5428956</v>
      </c>
      <c r="EJ33">
        <v>425.7042</v>
      </c>
      <c r="EK33">
        <v>425.0048</v>
      </c>
      <c r="EL33">
        <v>0.3486882</v>
      </c>
      <c r="EM33">
        <v>419.985</v>
      </c>
      <c r="EN33">
        <v>11.81146</v>
      </c>
      <c r="EO33">
        <v>1.089124</v>
      </c>
      <c r="EP33">
        <v>1.057896</v>
      </c>
      <c r="EQ33">
        <v>8.166544</v>
      </c>
      <c r="ER33">
        <v>7.739098</v>
      </c>
      <c r="ES33">
        <v>0.00500059</v>
      </c>
      <c r="ET33">
        <v>0</v>
      </c>
      <c r="EU33">
        <v>0</v>
      </c>
      <c r="EV33">
        <v>0</v>
      </c>
      <c r="EW33">
        <v>713.8</v>
      </c>
      <c r="EX33">
        <v>0.00500059</v>
      </c>
      <c r="EY33">
        <v>-18.14</v>
      </c>
      <c r="EZ33">
        <v>-1.46</v>
      </c>
      <c r="FA33">
        <v>34.7996</v>
      </c>
      <c r="FB33">
        <v>39.6622</v>
      </c>
      <c r="FC33">
        <v>36.9622</v>
      </c>
      <c r="FD33">
        <v>41.25</v>
      </c>
      <c r="FE33">
        <v>36.937</v>
      </c>
      <c r="FF33">
        <v>0</v>
      </c>
      <c r="FG33">
        <v>0</v>
      </c>
      <c r="FH33">
        <v>0</v>
      </c>
      <c r="FI33">
        <v>210.900000095367</v>
      </c>
      <c r="FJ33">
        <v>0</v>
      </c>
      <c r="FK33">
        <v>710.868</v>
      </c>
      <c r="FL33">
        <v>13.100000257064</v>
      </c>
      <c r="FM33">
        <v>-25.9538461649912</v>
      </c>
      <c r="FN33">
        <v>-11.644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0.532383476190476</v>
      </c>
      <c r="GD33">
        <v>0.107055038961039</v>
      </c>
      <c r="GE33">
        <v>0.021522081833315</v>
      </c>
      <c r="GF33">
        <v>1</v>
      </c>
      <c r="GG33">
        <v>712.794117647059</v>
      </c>
      <c r="GH33">
        <v>-21.5309396843151</v>
      </c>
      <c r="GI33">
        <v>6.66765419444857</v>
      </c>
      <c r="GJ33">
        <v>-1</v>
      </c>
      <c r="GK33">
        <v>0.348582523809524</v>
      </c>
      <c r="GL33">
        <v>-0.00272446753246771</v>
      </c>
      <c r="GM33">
        <v>0.00164675752455278</v>
      </c>
      <c r="GN33">
        <v>1</v>
      </c>
      <c r="GO33">
        <v>2</v>
      </c>
      <c r="GP33">
        <v>2</v>
      </c>
      <c r="GQ33" t="s">
        <v>441</v>
      </c>
      <c r="GR33">
        <v>3.13163</v>
      </c>
      <c r="GS33">
        <v>2.71028</v>
      </c>
      <c r="GT33">
        <v>0.0899098</v>
      </c>
      <c r="GU33">
        <v>0.0901992</v>
      </c>
      <c r="GV33">
        <v>0.0626902</v>
      </c>
      <c r="GW33">
        <v>0.0616395</v>
      </c>
      <c r="GX33">
        <v>34667.3</v>
      </c>
      <c r="GY33">
        <v>37199.1</v>
      </c>
      <c r="GZ33">
        <v>34435.4</v>
      </c>
      <c r="HA33">
        <v>36990.8</v>
      </c>
      <c r="HB33">
        <v>45544.2</v>
      </c>
      <c r="HC33">
        <v>49808.5</v>
      </c>
      <c r="HD33">
        <v>53624.2</v>
      </c>
      <c r="HE33">
        <v>59052.7</v>
      </c>
      <c r="HF33">
        <v>2.02437</v>
      </c>
      <c r="HG33">
        <v>1.82725</v>
      </c>
      <c r="HH33">
        <v>0.0154115</v>
      </c>
      <c r="HI33">
        <v>0</v>
      </c>
      <c r="HJ33">
        <v>17.7398</v>
      </c>
      <c r="HK33">
        <v>999.9</v>
      </c>
      <c r="HL33">
        <v>29.27</v>
      </c>
      <c r="HM33">
        <v>30.806</v>
      </c>
      <c r="HN33">
        <v>14.5821</v>
      </c>
      <c r="HO33">
        <v>54.1317</v>
      </c>
      <c r="HP33">
        <v>48.5857</v>
      </c>
      <c r="HQ33">
        <v>1</v>
      </c>
      <c r="HR33">
        <v>-0.348895</v>
      </c>
      <c r="HS33">
        <v>2.06038</v>
      </c>
      <c r="HT33">
        <v>20.1197</v>
      </c>
      <c r="HU33">
        <v>5.19902</v>
      </c>
      <c r="HV33">
        <v>12.004</v>
      </c>
      <c r="HW33">
        <v>4.9737</v>
      </c>
      <c r="HX33">
        <v>3.29305</v>
      </c>
      <c r="HY33">
        <v>9999</v>
      </c>
      <c r="HZ33">
        <v>9999</v>
      </c>
      <c r="IA33">
        <v>999.9</v>
      </c>
      <c r="IB33">
        <v>9999</v>
      </c>
      <c r="IC33">
        <v>1.86339</v>
      </c>
      <c r="ID33">
        <v>1.86813</v>
      </c>
      <c r="IE33">
        <v>1.86785</v>
      </c>
      <c r="IF33">
        <v>1.86907</v>
      </c>
      <c r="IG33">
        <v>1.86994</v>
      </c>
      <c r="IH33">
        <v>1.86598</v>
      </c>
      <c r="II33">
        <v>1.86703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1.54</v>
      </c>
      <c r="IY33">
        <v>-0.0124</v>
      </c>
      <c r="IZ33">
        <v>0.282887266083375</v>
      </c>
      <c r="JA33">
        <v>0.00306585071625405</v>
      </c>
      <c r="JB33">
        <v>-2.0560773108561e-07</v>
      </c>
      <c r="JC33">
        <v>1.17266038970699e-10</v>
      </c>
      <c r="JD33">
        <v>-0.0828159689460901</v>
      </c>
      <c r="JE33">
        <v>-0.0292312028691274</v>
      </c>
      <c r="JF33">
        <v>0.00362507029369384</v>
      </c>
      <c r="JG33">
        <v>-6.15131582447985e-05</v>
      </c>
      <c r="JH33">
        <v>5</v>
      </c>
      <c r="JI33">
        <v>2200</v>
      </c>
      <c r="JJ33">
        <v>0</v>
      </c>
      <c r="JK33">
        <v>22</v>
      </c>
      <c r="JL33">
        <v>29345641.6</v>
      </c>
      <c r="JM33">
        <v>29345641.6</v>
      </c>
      <c r="JN33">
        <v>1.00708</v>
      </c>
      <c r="JO33">
        <v>2.61597</v>
      </c>
      <c r="JP33">
        <v>1.54785</v>
      </c>
      <c r="JQ33">
        <v>2.31689</v>
      </c>
      <c r="JR33">
        <v>1.64551</v>
      </c>
      <c r="JS33">
        <v>2.32544</v>
      </c>
      <c r="JT33">
        <v>34.3042</v>
      </c>
      <c r="JU33">
        <v>24.2188</v>
      </c>
      <c r="JV33">
        <v>18</v>
      </c>
      <c r="JW33">
        <v>500.229</v>
      </c>
      <c r="JX33">
        <v>381.167</v>
      </c>
      <c r="JY33">
        <v>15.4882</v>
      </c>
      <c r="JZ33">
        <v>22.8192</v>
      </c>
      <c r="KA33">
        <v>30.0001</v>
      </c>
      <c r="KB33">
        <v>22.8456</v>
      </c>
      <c r="KC33">
        <v>22.8117</v>
      </c>
      <c r="KD33">
        <v>20.1715</v>
      </c>
      <c r="KE33">
        <v>3.65194</v>
      </c>
      <c r="KF33">
        <v>12.3088</v>
      </c>
      <c r="KG33">
        <v>15.4842</v>
      </c>
      <c r="KH33">
        <v>420</v>
      </c>
      <c r="KI33">
        <v>11.8805</v>
      </c>
      <c r="KJ33">
        <v>97.5448</v>
      </c>
      <c r="KK33">
        <v>95.72</v>
      </c>
    </row>
    <row r="34" spans="1:297">
      <c r="A34">
        <v>18</v>
      </c>
      <c r="B34">
        <v>1760738764</v>
      </c>
      <c r="C34">
        <v>4104</v>
      </c>
      <c r="D34" t="s">
        <v>497</v>
      </c>
      <c r="E34" t="s">
        <v>498</v>
      </c>
      <c r="F34">
        <v>5</v>
      </c>
      <c r="G34" t="s">
        <v>492</v>
      </c>
      <c r="H34" t="s">
        <v>436</v>
      </c>
      <c r="I34">
        <v>1760738760.5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425.015458345371</v>
      </c>
      <c r="AK34">
        <v>425.774775757576</v>
      </c>
      <c r="AL34">
        <v>0.000551155178355151</v>
      </c>
      <c r="AM34">
        <v>64.8111858132958</v>
      </c>
      <c r="AN34">
        <f>(AP34 - AO34 + DY34*1E3/(8.314*(EA34+273.15)) * AR34/DX34 * AQ34) * DX34/(100*DL34) * 1000/(1000 - AP34)</f>
        <v>0</v>
      </c>
      <c r="AO34">
        <v>11.8762120290918</v>
      </c>
      <c r="AP34">
        <v>12.1912867905057</v>
      </c>
      <c r="AQ34">
        <v>5.55058908418882e-06</v>
      </c>
      <c r="AR34">
        <v>130.310478327212</v>
      </c>
      <c r="AS34">
        <v>3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499</v>
      </c>
      <c r="AY34">
        <v>5141.89</v>
      </c>
      <c r="AZ34">
        <v>701.784615384615</v>
      </c>
      <c r="BA34">
        <v>2699.22</v>
      </c>
      <c r="BB34">
        <f>1-AZ34/BA34</f>
        <v>0</v>
      </c>
      <c r="BC34">
        <v>-1.17263073577922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3.21</v>
      </c>
      <c r="DM34">
        <v>0.5</v>
      </c>
      <c r="DN34" t="s">
        <v>439</v>
      </c>
      <c r="DO34">
        <v>2</v>
      </c>
      <c r="DP34" t="b">
        <v>1</v>
      </c>
      <c r="DQ34">
        <v>1760738760.5</v>
      </c>
      <c r="DR34">
        <v>420.562</v>
      </c>
      <c r="DS34">
        <v>419.974333333333</v>
      </c>
      <c r="DT34">
        <v>12.1914666666667</v>
      </c>
      <c r="DU34">
        <v>11.8738</v>
      </c>
      <c r="DV34">
        <v>419.022</v>
      </c>
      <c r="DW34">
        <v>12.2029666666667</v>
      </c>
      <c r="DX34">
        <v>499.948833333333</v>
      </c>
      <c r="DY34">
        <v>89.55855</v>
      </c>
      <c r="DZ34">
        <v>0.0333242333333333</v>
      </c>
      <c r="EA34">
        <v>18.8446833333333</v>
      </c>
      <c r="EB34">
        <v>18.0078166666667</v>
      </c>
      <c r="EC34">
        <v>999.9</v>
      </c>
      <c r="ED34">
        <v>0</v>
      </c>
      <c r="EE34">
        <v>0</v>
      </c>
      <c r="EF34">
        <v>10003.1333333333</v>
      </c>
      <c r="EG34">
        <v>0</v>
      </c>
      <c r="EH34">
        <v>0.220656</v>
      </c>
      <c r="EI34">
        <v>0.5877585</v>
      </c>
      <c r="EJ34">
        <v>425.752666666667</v>
      </c>
      <c r="EK34">
        <v>425.020833333333</v>
      </c>
      <c r="EL34">
        <v>0.317640333333333</v>
      </c>
      <c r="EM34">
        <v>419.974333333333</v>
      </c>
      <c r="EN34">
        <v>11.8738</v>
      </c>
      <c r="EO34">
        <v>1.09185</v>
      </c>
      <c r="EP34">
        <v>1.06340333333333</v>
      </c>
      <c r="EQ34">
        <v>8.20332166666667</v>
      </c>
      <c r="ER34">
        <v>7.81528166666667</v>
      </c>
      <c r="ES34">
        <v>0.00500059</v>
      </c>
      <c r="ET34">
        <v>0</v>
      </c>
      <c r="EU34">
        <v>0</v>
      </c>
      <c r="EV34">
        <v>0</v>
      </c>
      <c r="EW34">
        <v>698.516666666667</v>
      </c>
      <c r="EX34">
        <v>0.00500059</v>
      </c>
      <c r="EY34">
        <v>-9.45</v>
      </c>
      <c r="EZ34">
        <v>-0.45</v>
      </c>
      <c r="FA34">
        <v>35.1353333333333</v>
      </c>
      <c r="FB34">
        <v>40.062</v>
      </c>
      <c r="FC34">
        <v>37.375</v>
      </c>
      <c r="FD34">
        <v>41.9475</v>
      </c>
      <c r="FE34">
        <v>37.3225</v>
      </c>
      <c r="FF34">
        <v>0</v>
      </c>
      <c r="FG34">
        <v>0</v>
      </c>
      <c r="FH34">
        <v>0</v>
      </c>
      <c r="FI34">
        <v>267.199999809265</v>
      </c>
      <c r="FJ34">
        <v>0</v>
      </c>
      <c r="FK34">
        <v>701.784615384615</v>
      </c>
      <c r="FL34">
        <v>-16.0000002131826</v>
      </c>
      <c r="FM34">
        <v>11.8769225512005</v>
      </c>
      <c r="FN34">
        <v>-11.2230769230769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0.575317285714286</v>
      </c>
      <c r="GD34">
        <v>0.0460641038961046</v>
      </c>
      <c r="GE34">
        <v>0.022721983217733</v>
      </c>
      <c r="GF34">
        <v>1</v>
      </c>
      <c r="GG34">
        <v>700.979411764706</v>
      </c>
      <c r="GH34">
        <v>4.68296408515695</v>
      </c>
      <c r="GI34">
        <v>4.69792065466294</v>
      </c>
      <c r="GJ34">
        <v>-1</v>
      </c>
      <c r="GK34">
        <v>0.304661047619048</v>
      </c>
      <c r="GL34">
        <v>0.0802113506493505</v>
      </c>
      <c r="GM34">
        <v>0.00997047574198654</v>
      </c>
      <c r="GN34">
        <v>1</v>
      </c>
      <c r="GO34">
        <v>2</v>
      </c>
      <c r="GP34">
        <v>2</v>
      </c>
      <c r="GQ34" t="s">
        <v>441</v>
      </c>
      <c r="GR34">
        <v>3.13174</v>
      </c>
      <c r="GS34">
        <v>2.71135</v>
      </c>
      <c r="GT34">
        <v>0.0899254</v>
      </c>
      <c r="GU34">
        <v>0.090212</v>
      </c>
      <c r="GV34">
        <v>0.062812</v>
      </c>
      <c r="GW34">
        <v>0.0618846</v>
      </c>
      <c r="GX34">
        <v>34670.5</v>
      </c>
      <c r="GY34">
        <v>37203.3</v>
      </c>
      <c r="GZ34">
        <v>34438.8</v>
      </c>
      <c r="HA34">
        <v>36995.2</v>
      </c>
      <c r="HB34">
        <v>45541.9</v>
      </c>
      <c r="HC34">
        <v>49801.2</v>
      </c>
      <c r="HD34">
        <v>53628.5</v>
      </c>
      <c r="HE34">
        <v>59059.6</v>
      </c>
      <c r="HF34">
        <v>2.02457</v>
      </c>
      <c r="HG34">
        <v>1.82895</v>
      </c>
      <c r="HH34">
        <v>0.0184402</v>
      </c>
      <c r="HI34">
        <v>0</v>
      </c>
      <c r="HJ34">
        <v>17.6962</v>
      </c>
      <c r="HK34">
        <v>999.9</v>
      </c>
      <c r="HL34">
        <v>29.166</v>
      </c>
      <c r="HM34">
        <v>30.837</v>
      </c>
      <c r="HN34">
        <v>14.5555</v>
      </c>
      <c r="HO34">
        <v>54.2618</v>
      </c>
      <c r="HP34">
        <v>48.3093</v>
      </c>
      <c r="HQ34">
        <v>1</v>
      </c>
      <c r="HR34">
        <v>-0.352713</v>
      </c>
      <c r="HS34">
        <v>2.17374</v>
      </c>
      <c r="HT34">
        <v>20.1187</v>
      </c>
      <c r="HU34">
        <v>5.20097</v>
      </c>
      <c r="HV34">
        <v>12.004</v>
      </c>
      <c r="HW34">
        <v>4.9759</v>
      </c>
      <c r="HX34">
        <v>3.29338</v>
      </c>
      <c r="HY34">
        <v>9999</v>
      </c>
      <c r="HZ34">
        <v>9999</v>
      </c>
      <c r="IA34">
        <v>999.9</v>
      </c>
      <c r="IB34">
        <v>9999</v>
      </c>
      <c r="IC34">
        <v>1.86339</v>
      </c>
      <c r="ID34">
        <v>1.86813</v>
      </c>
      <c r="IE34">
        <v>1.86784</v>
      </c>
      <c r="IF34">
        <v>1.86908</v>
      </c>
      <c r="IG34">
        <v>1.8699</v>
      </c>
      <c r="IH34">
        <v>1.86598</v>
      </c>
      <c r="II34">
        <v>1.86703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1.54</v>
      </c>
      <c r="IY34">
        <v>-0.0115</v>
      </c>
      <c r="IZ34">
        <v>0.282887266083375</v>
      </c>
      <c r="JA34">
        <v>0.00306585071625405</v>
      </c>
      <c r="JB34">
        <v>-2.0560773108561e-07</v>
      </c>
      <c r="JC34">
        <v>1.17266038970699e-10</v>
      </c>
      <c r="JD34">
        <v>-0.0828159689460901</v>
      </c>
      <c r="JE34">
        <v>-0.0292312028691274</v>
      </c>
      <c r="JF34">
        <v>0.00362507029369384</v>
      </c>
      <c r="JG34">
        <v>-6.15131582447985e-05</v>
      </c>
      <c r="JH34">
        <v>5</v>
      </c>
      <c r="JI34">
        <v>2200</v>
      </c>
      <c r="JJ34">
        <v>0</v>
      </c>
      <c r="JK34">
        <v>22</v>
      </c>
      <c r="JL34">
        <v>29345646.1</v>
      </c>
      <c r="JM34">
        <v>29345646.1</v>
      </c>
      <c r="JN34">
        <v>1.00708</v>
      </c>
      <c r="JO34">
        <v>2.61719</v>
      </c>
      <c r="JP34">
        <v>1.54785</v>
      </c>
      <c r="JQ34">
        <v>2.31567</v>
      </c>
      <c r="JR34">
        <v>1.64673</v>
      </c>
      <c r="JS34">
        <v>2.32666</v>
      </c>
      <c r="JT34">
        <v>34.2814</v>
      </c>
      <c r="JU34">
        <v>24.2101</v>
      </c>
      <c r="JV34">
        <v>18</v>
      </c>
      <c r="JW34">
        <v>499.89</v>
      </c>
      <c r="JX34">
        <v>381.691</v>
      </c>
      <c r="JY34">
        <v>15.4166</v>
      </c>
      <c r="JZ34">
        <v>22.7661</v>
      </c>
      <c r="KA34">
        <v>30.0004</v>
      </c>
      <c r="KB34">
        <v>22.798</v>
      </c>
      <c r="KC34">
        <v>22.7644</v>
      </c>
      <c r="KD34">
        <v>20.1813</v>
      </c>
      <c r="KE34">
        <v>0.537842</v>
      </c>
      <c r="KF34">
        <v>13.806</v>
      </c>
      <c r="KG34">
        <v>15.3938</v>
      </c>
      <c r="KH34">
        <v>420</v>
      </c>
      <c r="KI34">
        <v>11.8962</v>
      </c>
      <c r="KJ34">
        <v>97.5535</v>
      </c>
      <c r="KK34">
        <v>95.7312</v>
      </c>
    </row>
    <row r="35" spans="1:297">
      <c r="A35">
        <v>19</v>
      </c>
      <c r="B35">
        <v>1760739136.1</v>
      </c>
      <c r="C35">
        <v>4476.09999990463</v>
      </c>
      <c r="D35" t="s">
        <v>500</v>
      </c>
      <c r="E35" t="s">
        <v>501</v>
      </c>
      <c r="F35">
        <v>5</v>
      </c>
      <c r="G35" t="s">
        <v>502</v>
      </c>
      <c r="H35" t="s">
        <v>436</v>
      </c>
      <c r="I35">
        <v>1760739132.6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425.161758763438</v>
      </c>
      <c r="AK35">
        <v>425.513006060606</v>
      </c>
      <c r="AL35">
        <v>0.000573324056482854</v>
      </c>
      <c r="AM35">
        <v>64.8017021556455</v>
      </c>
      <c r="AN35">
        <f>(AP35 - AO35 + DY35*1E3/(8.314*(EA35+273.15)) * AR35/DX35 * AQ35) * DX35/(100*DL35) * 1000/(1000 - AP35)</f>
        <v>0</v>
      </c>
      <c r="AO35">
        <v>12.0721454368854</v>
      </c>
      <c r="AP35">
        <v>12.2061054695562</v>
      </c>
      <c r="AQ35">
        <v>4.25561526165293e-05</v>
      </c>
      <c r="AR35">
        <v>130.502215227937</v>
      </c>
      <c r="AS35">
        <v>3</v>
      </c>
      <c r="AT35">
        <v>1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503</v>
      </c>
      <c r="AY35">
        <v>5133.25</v>
      </c>
      <c r="AZ35">
        <v>675.523076923077</v>
      </c>
      <c r="BA35">
        <v>2347.43</v>
      </c>
      <c r="BB35">
        <f>1-AZ35/BA35</f>
        <v>0</v>
      </c>
      <c r="BC35">
        <v>-0.544707424841761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3.21</v>
      </c>
      <c r="DM35">
        <v>0.5</v>
      </c>
      <c r="DN35" t="s">
        <v>439</v>
      </c>
      <c r="DO35">
        <v>2</v>
      </c>
      <c r="DP35" t="b">
        <v>1</v>
      </c>
      <c r="DQ35">
        <v>1760739132.6</v>
      </c>
      <c r="DR35">
        <v>420.298</v>
      </c>
      <c r="DS35">
        <v>420.025333333333</v>
      </c>
      <c r="DT35">
        <v>12.1962833333333</v>
      </c>
      <c r="DU35">
        <v>12.06985</v>
      </c>
      <c r="DV35">
        <v>418.758666666667</v>
      </c>
      <c r="DW35">
        <v>12.2076666666667</v>
      </c>
      <c r="DX35">
        <v>499.9805</v>
      </c>
      <c r="DY35">
        <v>89.5601833333333</v>
      </c>
      <c r="DZ35">
        <v>0.0333501666666667</v>
      </c>
      <c r="EA35">
        <v>18.8711666666667</v>
      </c>
      <c r="EB35">
        <v>17.9672166666667</v>
      </c>
      <c r="EC35">
        <v>999.9</v>
      </c>
      <c r="ED35">
        <v>0</v>
      </c>
      <c r="EE35">
        <v>0</v>
      </c>
      <c r="EF35">
        <v>9994.07166666666</v>
      </c>
      <c r="EG35">
        <v>0</v>
      </c>
      <c r="EH35">
        <v>0.220656</v>
      </c>
      <c r="EI35">
        <v>0.272811833333333</v>
      </c>
      <c r="EJ35">
        <v>425.4875</v>
      </c>
      <c r="EK35">
        <v>425.1565</v>
      </c>
      <c r="EL35">
        <v>0.126418166666667</v>
      </c>
      <c r="EM35">
        <v>420.025333333333</v>
      </c>
      <c r="EN35">
        <v>12.06985</v>
      </c>
      <c r="EO35">
        <v>1.09230333333333</v>
      </c>
      <c r="EP35">
        <v>1.08098</v>
      </c>
      <c r="EQ35">
        <v>8.20942666666667</v>
      </c>
      <c r="ER35">
        <v>8.05612333333333</v>
      </c>
      <c r="ES35">
        <v>0.00500059</v>
      </c>
      <c r="ET35">
        <v>0</v>
      </c>
      <c r="EU35">
        <v>0</v>
      </c>
      <c r="EV35">
        <v>0</v>
      </c>
      <c r="EW35">
        <v>672.316666666667</v>
      </c>
      <c r="EX35">
        <v>0.00500059</v>
      </c>
      <c r="EY35">
        <v>-12.1333333333333</v>
      </c>
      <c r="EZ35">
        <v>-1.18333333333333</v>
      </c>
      <c r="FA35">
        <v>34.7185</v>
      </c>
      <c r="FB35">
        <v>39.5413333333333</v>
      </c>
      <c r="FC35">
        <v>36.875</v>
      </c>
      <c r="FD35">
        <v>41.0516666666667</v>
      </c>
      <c r="FE35">
        <v>36.875</v>
      </c>
      <c r="FF35">
        <v>0</v>
      </c>
      <c r="FG35">
        <v>0</v>
      </c>
      <c r="FH35">
        <v>0</v>
      </c>
      <c r="FI35">
        <v>370.599999904633</v>
      </c>
      <c r="FJ35">
        <v>0</v>
      </c>
      <c r="FK35">
        <v>675.523076923077</v>
      </c>
      <c r="FL35">
        <v>-19.4666666387691</v>
      </c>
      <c r="FM35">
        <v>-13.0324785063207</v>
      </c>
      <c r="FN35">
        <v>-10.9923076923077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0.296232714285714</v>
      </c>
      <c r="GD35">
        <v>0.145476155844156</v>
      </c>
      <c r="GE35">
        <v>0.0538531242787736</v>
      </c>
      <c r="GF35">
        <v>1</v>
      </c>
      <c r="GG35">
        <v>676.085294117647</v>
      </c>
      <c r="GH35">
        <v>-1.89610368865693</v>
      </c>
      <c r="GI35">
        <v>5.67627323643527</v>
      </c>
      <c r="GJ35">
        <v>-1</v>
      </c>
      <c r="GK35">
        <v>0.135845904761905</v>
      </c>
      <c r="GL35">
        <v>-0.142476</v>
      </c>
      <c r="GM35">
        <v>0.0183524276580323</v>
      </c>
      <c r="GN35">
        <v>0</v>
      </c>
      <c r="GO35">
        <v>1</v>
      </c>
      <c r="GP35">
        <v>2</v>
      </c>
      <c r="GQ35" t="s">
        <v>504</v>
      </c>
      <c r="GR35">
        <v>3.13191</v>
      </c>
      <c r="GS35">
        <v>2.71123</v>
      </c>
      <c r="GT35">
        <v>0.0898973</v>
      </c>
      <c r="GU35">
        <v>0.090225</v>
      </c>
      <c r="GV35">
        <v>0.0628854</v>
      </c>
      <c r="GW35">
        <v>0.0626869</v>
      </c>
      <c r="GX35">
        <v>34677.5</v>
      </c>
      <c r="GY35">
        <v>37212.4</v>
      </c>
      <c r="GZ35">
        <v>34444.2</v>
      </c>
      <c r="HA35">
        <v>37004.2</v>
      </c>
      <c r="HB35">
        <v>45544.2</v>
      </c>
      <c r="HC35">
        <v>49769.4</v>
      </c>
      <c r="HD35">
        <v>53635.6</v>
      </c>
      <c r="HE35">
        <v>59073.1</v>
      </c>
      <c r="HF35">
        <v>2.02618</v>
      </c>
      <c r="HG35">
        <v>1.83102</v>
      </c>
      <c r="HH35">
        <v>0.0181571</v>
      </c>
      <c r="HI35">
        <v>0</v>
      </c>
      <c r="HJ35">
        <v>17.6682</v>
      </c>
      <c r="HK35">
        <v>999.9</v>
      </c>
      <c r="HL35">
        <v>29.545</v>
      </c>
      <c r="HM35">
        <v>30.806</v>
      </c>
      <c r="HN35">
        <v>14.7184</v>
      </c>
      <c r="HO35">
        <v>54.1281</v>
      </c>
      <c r="HP35">
        <v>48.2532</v>
      </c>
      <c r="HQ35">
        <v>1</v>
      </c>
      <c r="HR35">
        <v>-0.362231</v>
      </c>
      <c r="HS35">
        <v>1.60421</v>
      </c>
      <c r="HT35">
        <v>20.1252</v>
      </c>
      <c r="HU35">
        <v>5.19992</v>
      </c>
      <c r="HV35">
        <v>12.004</v>
      </c>
      <c r="HW35">
        <v>4.9757</v>
      </c>
      <c r="HX35">
        <v>3.29338</v>
      </c>
      <c r="HY35">
        <v>9999</v>
      </c>
      <c r="HZ35">
        <v>9999</v>
      </c>
      <c r="IA35">
        <v>999.9</v>
      </c>
      <c r="IB35">
        <v>9999</v>
      </c>
      <c r="IC35">
        <v>1.86339</v>
      </c>
      <c r="ID35">
        <v>1.86813</v>
      </c>
      <c r="IE35">
        <v>1.86783</v>
      </c>
      <c r="IF35">
        <v>1.86906</v>
      </c>
      <c r="IG35">
        <v>1.8699</v>
      </c>
      <c r="IH35">
        <v>1.86599</v>
      </c>
      <c r="II35">
        <v>1.86703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1.54</v>
      </c>
      <c r="IY35">
        <v>-0.011</v>
      </c>
      <c r="IZ35">
        <v>0.282887266083375</v>
      </c>
      <c r="JA35">
        <v>0.00306585071625405</v>
      </c>
      <c r="JB35">
        <v>-2.0560773108561e-07</v>
      </c>
      <c r="JC35">
        <v>1.17266038970699e-10</v>
      </c>
      <c r="JD35">
        <v>-0.0828159689460901</v>
      </c>
      <c r="JE35">
        <v>-0.0292312028691274</v>
      </c>
      <c r="JF35">
        <v>0.00362507029369384</v>
      </c>
      <c r="JG35">
        <v>-6.15131582447985e-05</v>
      </c>
      <c r="JH35">
        <v>5</v>
      </c>
      <c r="JI35">
        <v>2200</v>
      </c>
      <c r="JJ35">
        <v>0</v>
      </c>
      <c r="JK35">
        <v>22</v>
      </c>
      <c r="JL35">
        <v>29345652.3</v>
      </c>
      <c r="JM35">
        <v>29345652.3</v>
      </c>
      <c r="JN35">
        <v>1.00708</v>
      </c>
      <c r="JO35">
        <v>2.61353</v>
      </c>
      <c r="JP35">
        <v>1.54785</v>
      </c>
      <c r="JQ35">
        <v>2.31567</v>
      </c>
      <c r="JR35">
        <v>1.64551</v>
      </c>
      <c r="JS35">
        <v>2.36328</v>
      </c>
      <c r="JT35">
        <v>34.1452</v>
      </c>
      <c r="JU35">
        <v>24.2188</v>
      </c>
      <c r="JV35">
        <v>18</v>
      </c>
      <c r="JW35">
        <v>500.067</v>
      </c>
      <c r="JX35">
        <v>382.123</v>
      </c>
      <c r="JY35">
        <v>15.804</v>
      </c>
      <c r="JZ35">
        <v>22.6719</v>
      </c>
      <c r="KA35">
        <v>29.9999</v>
      </c>
      <c r="KB35">
        <v>22.7121</v>
      </c>
      <c r="KC35">
        <v>22.6783</v>
      </c>
      <c r="KD35">
        <v>20.188</v>
      </c>
      <c r="KE35">
        <v>0.860992</v>
      </c>
      <c r="KF35">
        <v>16.5791</v>
      </c>
      <c r="KG35">
        <v>15.8263</v>
      </c>
      <c r="KH35">
        <v>420</v>
      </c>
      <c r="KI35">
        <v>12.0767</v>
      </c>
      <c r="KJ35">
        <v>97.5672</v>
      </c>
      <c r="KK35">
        <v>95.7536</v>
      </c>
    </row>
    <row r="36" spans="1:297">
      <c r="A36">
        <v>20</v>
      </c>
      <c r="B36">
        <v>1760739294.1</v>
      </c>
      <c r="C36">
        <v>4634.09999990463</v>
      </c>
      <c r="D36" t="s">
        <v>505</v>
      </c>
      <c r="E36" t="s">
        <v>506</v>
      </c>
      <c r="F36">
        <v>5</v>
      </c>
      <c r="G36" t="s">
        <v>502</v>
      </c>
      <c r="H36" t="s">
        <v>436</v>
      </c>
      <c r="I36">
        <v>1760739290.6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425.109786094912</v>
      </c>
      <c r="AK36">
        <v>425.418260606061</v>
      </c>
      <c r="AL36">
        <v>-0.00018492763237046</v>
      </c>
      <c r="AM36">
        <v>64.8017021556455</v>
      </c>
      <c r="AN36">
        <f>(AP36 - AO36 + DY36*1E3/(8.314*(EA36+273.15)) * AR36/DX36 * AQ36) * DX36/(100*DL36) * 1000/(1000 - AP36)</f>
        <v>0</v>
      </c>
      <c r="AO36">
        <v>12.0914804333952</v>
      </c>
      <c r="AP36">
        <v>12.2391562435501</v>
      </c>
      <c r="AQ36">
        <v>2.61178664584384e-06</v>
      </c>
      <c r="AR36">
        <v>130.502215227937</v>
      </c>
      <c r="AS36">
        <v>3</v>
      </c>
      <c r="AT36">
        <v>1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507</v>
      </c>
      <c r="AY36">
        <v>5132.64</v>
      </c>
      <c r="AZ36">
        <v>722.461538461538</v>
      </c>
      <c r="BA36">
        <v>2322.25</v>
      </c>
      <c r="BB36">
        <f>1-AZ36/BA36</f>
        <v>0</v>
      </c>
      <c r="BC36">
        <v>-0.473330552270426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3.21</v>
      </c>
      <c r="DM36">
        <v>0.5</v>
      </c>
      <c r="DN36" t="s">
        <v>439</v>
      </c>
      <c r="DO36">
        <v>2</v>
      </c>
      <c r="DP36" t="b">
        <v>1</v>
      </c>
      <c r="DQ36">
        <v>1760739290.6</v>
      </c>
      <c r="DR36">
        <v>420.238666666667</v>
      </c>
      <c r="DS36">
        <v>419.973</v>
      </c>
      <c r="DT36">
        <v>12.2395333333333</v>
      </c>
      <c r="DU36">
        <v>12.0903333333333</v>
      </c>
      <c r="DV36">
        <v>418.699333333333</v>
      </c>
      <c r="DW36">
        <v>12.2495333333333</v>
      </c>
      <c r="DX36">
        <v>500.0105</v>
      </c>
      <c r="DY36">
        <v>89.5471666666667</v>
      </c>
      <c r="DZ36">
        <v>0.0331310166666667</v>
      </c>
      <c r="EA36">
        <v>18.9254833333333</v>
      </c>
      <c r="EB36">
        <v>18.0119166666667</v>
      </c>
      <c r="EC36">
        <v>999.9</v>
      </c>
      <c r="ED36">
        <v>0</v>
      </c>
      <c r="EE36">
        <v>0</v>
      </c>
      <c r="EF36">
        <v>9988.11666666667</v>
      </c>
      <c r="EG36">
        <v>0</v>
      </c>
      <c r="EH36">
        <v>0.220656</v>
      </c>
      <c r="EI36">
        <v>0.265284333333333</v>
      </c>
      <c r="EJ36">
        <v>425.445666666667</v>
      </c>
      <c r="EK36">
        <v>425.113</v>
      </c>
      <c r="EL36">
        <v>0.1492015</v>
      </c>
      <c r="EM36">
        <v>419.973</v>
      </c>
      <c r="EN36">
        <v>12.0903333333333</v>
      </c>
      <c r="EO36">
        <v>1.09601666666667</v>
      </c>
      <c r="EP36">
        <v>1.082655</v>
      </c>
      <c r="EQ36">
        <v>8.2594</v>
      </c>
      <c r="ER36">
        <v>8.07889166666667</v>
      </c>
      <c r="ES36">
        <v>0.00500059</v>
      </c>
      <c r="ET36">
        <v>0</v>
      </c>
      <c r="EU36">
        <v>0</v>
      </c>
      <c r="EV36">
        <v>0</v>
      </c>
      <c r="EW36">
        <v>721.85</v>
      </c>
      <c r="EX36">
        <v>0.00500059</v>
      </c>
      <c r="EY36">
        <v>-15.55</v>
      </c>
      <c r="EZ36">
        <v>-1.06666666666667</v>
      </c>
      <c r="FA36">
        <v>34.9895</v>
      </c>
      <c r="FB36">
        <v>39.812</v>
      </c>
      <c r="FC36">
        <v>37.125</v>
      </c>
      <c r="FD36">
        <v>41.656</v>
      </c>
      <c r="FE36">
        <v>37.1456666666667</v>
      </c>
      <c r="FF36">
        <v>0</v>
      </c>
      <c r="FG36">
        <v>0</v>
      </c>
      <c r="FH36">
        <v>0</v>
      </c>
      <c r="FI36">
        <v>156</v>
      </c>
      <c r="FJ36">
        <v>0</v>
      </c>
      <c r="FK36">
        <v>722.461538461538</v>
      </c>
      <c r="FL36">
        <v>-17.1623932298744</v>
      </c>
      <c r="FM36">
        <v>0.0136749669325727</v>
      </c>
      <c r="FN36">
        <v>-13.2461538461538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0.246317571428571</v>
      </c>
      <c r="GD36">
        <v>0.127130025974027</v>
      </c>
      <c r="GE36">
        <v>0.0305076129040284</v>
      </c>
      <c r="GF36">
        <v>1</v>
      </c>
      <c r="GG36">
        <v>724.041176470588</v>
      </c>
      <c r="GH36">
        <v>-16.8036669189381</v>
      </c>
      <c r="GI36">
        <v>6.14913277706983</v>
      </c>
      <c r="GJ36">
        <v>-1</v>
      </c>
      <c r="GK36">
        <v>0.140383857142857</v>
      </c>
      <c r="GL36">
        <v>0.0776654025974028</v>
      </c>
      <c r="GM36">
        <v>0.00810420735106868</v>
      </c>
      <c r="GN36">
        <v>1</v>
      </c>
      <c r="GO36">
        <v>2</v>
      </c>
      <c r="GP36">
        <v>2</v>
      </c>
      <c r="GQ36" t="s">
        <v>441</v>
      </c>
      <c r="GR36">
        <v>3.1318</v>
      </c>
      <c r="GS36">
        <v>2.7109</v>
      </c>
      <c r="GT36">
        <v>0.0898927</v>
      </c>
      <c r="GU36">
        <v>0.0902378</v>
      </c>
      <c r="GV36">
        <v>0.0630228</v>
      </c>
      <c r="GW36">
        <v>0.0627729</v>
      </c>
      <c r="GX36">
        <v>34681.8</v>
      </c>
      <c r="GY36">
        <v>37217.9</v>
      </c>
      <c r="GZ36">
        <v>34447.9</v>
      </c>
      <c r="HA36">
        <v>37009.8</v>
      </c>
      <c r="HB36">
        <v>45541.4</v>
      </c>
      <c r="HC36">
        <v>49771.6</v>
      </c>
      <c r="HD36">
        <v>53640.3</v>
      </c>
      <c r="HE36">
        <v>59081.1</v>
      </c>
      <c r="HF36">
        <v>2.02715</v>
      </c>
      <c r="HG36">
        <v>1.8324</v>
      </c>
      <c r="HH36">
        <v>0.0208467</v>
      </c>
      <c r="HI36">
        <v>0</v>
      </c>
      <c r="HJ36">
        <v>17.6619</v>
      </c>
      <c r="HK36">
        <v>999.9</v>
      </c>
      <c r="HL36">
        <v>29.642</v>
      </c>
      <c r="HM36">
        <v>30.806</v>
      </c>
      <c r="HN36">
        <v>14.7693</v>
      </c>
      <c r="HO36">
        <v>54.5581</v>
      </c>
      <c r="HP36">
        <v>48.3454</v>
      </c>
      <c r="HQ36">
        <v>1</v>
      </c>
      <c r="HR36">
        <v>-0.367675</v>
      </c>
      <c r="HS36">
        <v>1.74054</v>
      </c>
      <c r="HT36">
        <v>20.1233</v>
      </c>
      <c r="HU36">
        <v>5.19977</v>
      </c>
      <c r="HV36">
        <v>12.004</v>
      </c>
      <c r="HW36">
        <v>4.97555</v>
      </c>
      <c r="HX36">
        <v>3.2931</v>
      </c>
      <c r="HY36">
        <v>9999</v>
      </c>
      <c r="HZ36">
        <v>9999</v>
      </c>
      <c r="IA36">
        <v>999.9</v>
      </c>
      <c r="IB36">
        <v>9999</v>
      </c>
      <c r="IC36">
        <v>1.86332</v>
      </c>
      <c r="ID36">
        <v>1.86813</v>
      </c>
      <c r="IE36">
        <v>1.86786</v>
      </c>
      <c r="IF36">
        <v>1.86908</v>
      </c>
      <c r="IG36">
        <v>1.86987</v>
      </c>
      <c r="IH36">
        <v>1.86598</v>
      </c>
      <c r="II36">
        <v>1.86704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1.539</v>
      </c>
      <c r="IY36">
        <v>-0.01</v>
      </c>
      <c r="IZ36">
        <v>0.282887266083375</v>
      </c>
      <c r="JA36">
        <v>0.00306585071625405</v>
      </c>
      <c r="JB36">
        <v>-2.0560773108561e-07</v>
      </c>
      <c r="JC36">
        <v>1.17266038970699e-10</v>
      </c>
      <c r="JD36">
        <v>-0.0828159689460901</v>
      </c>
      <c r="JE36">
        <v>-0.0292312028691274</v>
      </c>
      <c r="JF36">
        <v>0.00362507029369384</v>
      </c>
      <c r="JG36">
        <v>-6.15131582447985e-05</v>
      </c>
      <c r="JH36">
        <v>5</v>
      </c>
      <c r="JI36">
        <v>2200</v>
      </c>
      <c r="JJ36">
        <v>0</v>
      </c>
      <c r="JK36">
        <v>22</v>
      </c>
      <c r="JL36">
        <v>29345654.9</v>
      </c>
      <c r="JM36">
        <v>29345654.9</v>
      </c>
      <c r="JN36">
        <v>1.0083</v>
      </c>
      <c r="JO36">
        <v>2.62329</v>
      </c>
      <c r="JP36">
        <v>1.54785</v>
      </c>
      <c r="JQ36">
        <v>2.31567</v>
      </c>
      <c r="JR36">
        <v>1.64673</v>
      </c>
      <c r="JS36">
        <v>2.27417</v>
      </c>
      <c r="JT36">
        <v>34.1225</v>
      </c>
      <c r="JU36">
        <v>24.2101</v>
      </c>
      <c r="JV36">
        <v>18</v>
      </c>
      <c r="JW36">
        <v>500.014</v>
      </c>
      <c r="JX36">
        <v>382.339</v>
      </c>
      <c r="JY36">
        <v>15.7696</v>
      </c>
      <c r="JZ36">
        <v>22.5928</v>
      </c>
      <c r="KA36">
        <v>29.9999</v>
      </c>
      <c r="KB36">
        <v>22.6436</v>
      </c>
      <c r="KC36">
        <v>22.6116</v>
      </c>
      <c r="KD36">
        <v>20.188</v>
      </c>
      <c r="KE36">
        <v>0.860992</v>
      </c>
      <c r="KF36">
        <v>17.3242</v>
      </c>
      <c r="KG36">
        <v>15.7575</v>
      </c>
      <c r="KH36">
        <v>420</v>
      </c>
      <c r="KI36">
        <v>12.0768</v>
      </c>
      <c r="KJ36">
        <v>97.5765</v>
      </c>
      <c r="KK36">
        <v>95.7671</v>
      </c>
    </row>
    <row r="37" spans="1:297">
      <c r="A37">
        <v>21</v>
      </c>
      <c r="B37">
        <v>1760739434.1</v>
      </c>
      <c r="C37">
        <v>4774.09999990463</v>
      </c>
      <c r="D37" t="s">
        <v>508</v>
      </c>
      <c r="E37" t="s">
        <v>509</v>
      </c>
      <c r="F37">
        <v>5</v>
      </c>
      <c r="G37" t="s">
        <v>502</v>
      </c>
      <c r="H37" t="s">
        <v>436</v>
      </c>
      <c r="I37">
        <v>1760739431.1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425.192229008298</v>
      </c>
      <c r="AK37">
        <v>425.469563636364</v>
      </c>
      <c r="AL37">
        <v>-3.16748491850125e-05</v>
      </c>
      <c r="AM37">
        <v>64.8017021556455</v>
      </c>
      <c r="AN37">
        <f>(AP37 - AO37 + DY37*1E3/(8.314*(EA37+273.15)) * AR37/DX37 * AQ37) * DX37/(100*DL37) * 1000/(1000 - AP37)</f>
        <v>0</v>
      </c>
      <c r="AO37">
        <v>12.1300491552434</v>
      </c>
      <c r="AP37">
        <v>12.2721895768834</v>
      </c>
      <c r="AQ37">
        <v>-4.73504317140677e-06</v>
      </c>
      <c r="AR37">
        <v>130.502215227937</v>
      </c>
      <c r="AS37">
        <v>3</v>
      </c>
      <c r="AT37">
        <v>1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510</v>
      </c>
      <c r="AY37">
        <v>5132.16</v>
      </c>
      <c r="AZ37">
        <v>722.928</v>
      </c>
      <c r="BA37">
        <v>2304.48</v>
      </c>
      <c r="BB37">
        <f>1-AZ37/BA37</f>
        <v>0</v>
      </c>
      <c r="BC37">
        <v>-0.426508724540689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3.21</v>
      </c>
      <c r="DM37">
        <v>0.5</v>
      </c>
      <c r="DN37" t="s">
        <v>439</v>
      </c>
      <c r="DO37">
        <v>2</v>
      </c>
      <c r="DP37" t="b">
        <v>1</v>
      </c>
      <c r="DQ37">
        <v>1760739431.1</v>
      </c>
      <c r="DR37">
        <v>420.2516</v>
      </c>
      <c r="DS37">
        <v>420.0314</v>
      </c>
      <c r="DT37">
        <v>12.27358</v>
      </c>
      <c r="DU37">
        <v>12.128</v>
      </c>
      <c r="DV37">
        <v>418.7124</v>
      </c>
      <c r="DW37">
        <v>12.28256</v>
      </c>
      <c r="DX37">
        <v>499.9946</v>
      </c>
      <c r="DY37">
        <v>89.54948</v>
      </c>
      <c r="DZ37">
        <v>0.03277904</v>
      </c>
      <c r="EA37">
        <v>18.92048</v>
      </c>
      <c r="EB37">
        <v>18.00864</v>
      </c>
      <c r="EC37">
        <v>999.9</v>
      </c>
      <c r="ED37">
        <v>0</v>
      </c>
      <c r="EE37">
        <v>0</v>
      </c>
      <c r="EF37">
        <v>9990.73</v>
      </c>
      <c r="EG37">
        <v>0</v>
      </c>
      <c r="EH37">
        <v>0.220656</v>
      </c>
      <c r="EI37">
        <v>0.2201904</v>
      </c>
      <c r="EJ37">
        <v>425.4738</v>
      </c>
      <c r="EK37">
        <v>425.1884</v>
      </c>
      <c r="EL37">
        <v>0.1456008</v>
      </c>
      <c r="EM37">
        <v>420.0314</v>
      </c>
      <c r="EN37">
        <v>12.128</v>
      </c>
      <c r="EO37">
        <v>1.099094</v>
      </c>
      <c r="EP37">
        <v>1.086054</v>
      </c>
      <c r="EQ37">
        <v>8.300722</v>
      </c>
      <c r="ER37">
        <v>8.125024</v>
      </c>
      <c r="ES37">
        <v>0.00500059</v>
      </c>
      <c r="ET37">
        <v>0</v>
      </c>
      <c r="EU37">
        <v>0</v>
      </c>
      <c r="EV37">
        <v>0</v>
      </c>
      <c r="EW37">
        <v>721.22</v>
      </c>
      <c r="EX37">
        <v>0.00500059</v>
      </c>
      <c r="EY37">
        <v>-11</v>
      </c>
      <c r="EZ37">
        <v>-0.72</v>
      </c>
      <c r="FA37">
        <v>35.187</v>
      </c>
      <c r="FB37">
        <v>40</v>
      </c>
      <c r="FC37">
        <v>37.312</v>
      </c>
      <c r="FD37">
        <v>41.9622</v>
      </c>
      <c r="FE37">
        <v>37.375</v>
      </c>
      <c r="FF37">
        <v>0</v>
      </c>
      <c r="FG37">
        <v>0</v>
      </c>
      <c r="FH37">
        <v>0</v>
      </c>
      <c r="FI37">
        <v>138.200000047684</v>
      </c>
      <c r="FJ37">
        <v>0</v>
      </c>
      <c r="FK37">
        <v>722.928</v>
      </c>
      <c r="FL37">
        <v>-25.7000003961398</v>
      </c>
      <c r="FM37">
        <v>-6.63076860476762</v>
      </c>
      <c r="FN37">
        <v>-13.064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0.233616428571429</v>
      </c>
      <c r="GD37">
        <v>-0.0320554285714286</v>
      </c>
      <c r="GE37">
        <v>0.0343802925782883</v>
      </c>
      <c r="GF37">
        <v>1</v>
      </c>
      <c r="GG37">
        <v>724.6</v>
      </c>
      <c r="GH37">
        <v>-18.8449199813682</v>
      </c>
      <c r="GI37">
        <v>5.82893391524003</v>
      </c>
      <c r="GJ37">
        <v>-1</v>
      </c>
      <c r="GK37">
        <v>0.144432095238095</v>
      </c>
      <c r="GL37">
        <v>0.0118818701298703</v>
      </c>
      <c r="GM37">
        <v>0.00152510639456375</v>
      </c>
      <c r="GN37">
        <v>1</v>
      </c>
      <c r="GO37">
        <v>2</v>
      </c>
      <c r="GP37">
        <v>2</v>
      </c>
      <c r="GQ37" t="s">
        <v>441</v>
      </c>
      <c r="GR37">
        <v>3.13179</v>
      </c>
      <c r="GS37">
        <v>2.71105</v>
      </c>
      <c r="GT37">
        <v>0.0899095</v>
      </c>
      <c r="GU37">
        <v>0.0902489</v>
      </c>
      <c r="GV37">
        <v>0.0631638</v>
      </c>
      <c r="GW37">
        <v>0.0629351</v>
      </c>
      <c r="GX37">
        <v>34683.7</v>
      </c>
      <c r="GY37">
        <v>37221</v>
      </c>
      <c r="GZ37">
        <v>34450.1</v>
      </c>
      <c r="HA37">
        <v>37013</v>
      </c>
      <c r="HB37">
        <v>45536.9</v>
      </c>
      <c r="HC37">
        <v>49767</v>
      </c>
      <c r="HD37">
        <v>53643.1</v>
      </c>
      <c r="HE37">
        <v>59085.9</v>
      </c>
      <c r="HF37">
        <v>2.02768</v>
      </c>
      <c r="HG37">
        <v>1.83347</v>
      </c>
      <c r="HH37">
        <v>0.0197627</v>
      </c>
      <c r="HI37">
        <v>0</v>
      </c>
      <c r="HJ37">
        <v>17.6821</v>
      </c>
      <c r="HK37">
        <v>999.9</v>
      </c>
      <c r="HL37">
        <v>29.74</v>
      </c>
      <c r="HM37">
        <v>30.796</v>
      </c>
      <c r="HN37">
        <v>14.8085</v>
      </c>
      <c r="HO37">
        <v>54.1781</v>
      </c>
      <c r="HP37">
        <v>48.2572</v>
      </c>
      <c r="HQ37">
        <v>1</v>
      </c>
      <c r="HR37">
        <v>-0.37107</v>
      </c>
      <c r="HS37">
        <v>1.83475</v>
      </c>
      <c r="HT37">
        <v>20.1223</v>
      </c>
      <c r="HU37">
        <v>5.19947</v>
      </c>
      <c r="HV37">
        <v>12.004</v>
      </c>
      <c r="HW37">
        <v>4.9758</v>
      </c>
      <c r="HX37">
        <v>3.2931</v>
      </c>
      <c r="HY37">
        <v>9999</v>
      </c>
      <c r="HZ37">
        <v>9999</v>
      </c>
      <c r="IA37">
        <v>999.9</v>
      </c>
      <c r="IB37">
        <v>9999</v>
      </c>
      <c r="IC37">
        <v>1.86336</v>
      </c>
      <c r="ID37">
        <v>1.86813</v>
      </c>
      <c r="IE37">
        <v>1.86787</v>
      </c>
      <c r="IF37">
        <v>1.86907</v>
      </c>
      <c r="IG37">
        <v>1.86989</v>
      </c>
      <c r="IH37">
        <v>1.86599</v>
      </c>
      <c r="II37">
        <v>1.86705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1.539</v>
      </c>
      <c r="IY37">
        <v>-0.009</v>
      </c>
      <c r="IZ37">
        <v>0.282887266083375</v>
      </c>
      <c r="JA37">
        <v>0.00306585071625405</v>
      </c>
      <c r="JB37">
        <v>-2.0560773108561e-07</v>
      </c>
      <c r="JC37">
        <v>1.17266038970699e-10</v>
      </c>
      <c r="JD37">
        <v>-0.0828159689460901</v>
      </c>
      <c r="JE37">
        <v>-0.0292312028691274</v>
      </c>
      <c r="JF37">
        <v>0.00362507029369384</v>
      </c>
      <c r="JG37">
        <v>-6.15131582447985e-05</v>
      </c>
      <c r="JH37">
        <v>5</v>
      </c>
      <c r="JI37">
        <v>2200</v>
      </c>
      <c r="JJ37">
        <v>0</v>
      </c>
      <c r="JK37">
        <v>22</v>
      </c>
      <c r="JL37">
        <v>29345657.2</v>
      </c>
      <c r="JM37">
        <v>29345657.2</v>
      </c>
      <c r="JN37">
        <v>1.0083</v>
      </c>
      <c r="JO37">
        <v>2.61719</v>
      </c>
      <c r="JP37">
        <v>1.54785</v>
      </c>
      <c r="JQ37">
        <v>2.31567</v>
      </c>
      <c r="JR37">
        <v>1.64673</v>
      </c>
      <c r="JS37">
        <v>2.34741</v>
      </c>
      <c r="JT37">
        <v>34.0998</v>
      </c>
      <c r="JU37">
        <v>24.2188</v>
      </c>
      <c r="JV37">
        <v>18</v>
      </c>
      <c r="JW37">
        <v>499.856</v>
      </c>
      <c r="JX37">
        <v>382.528</v>
      </c>
      <c r="JY37">
        <v>15.6466</v>
      </c>
      <c r="JZ37">
        <v>22.5425</v>
      </c>
      <c r="KA37">
        <v>30.0001</v>
      </c>
      <c r="KB37">
        <v>22.5935</v>
      </c>
      <c r="KC37">
        <v>22.5623</v>
      </c>
      <c r="KD37">
        <v>20.1883</v>
      </c>
      <c r="KE37">
        <v>0</v>
      </c>
      <c r="KF37">
        <v>18.0691</v>
      </c>
      <c r="KG37">
        <v>15.6396</v>
      </c>
      <c r="KH37">
        <v>420</v>
      </c>
      <c r="KI37">
        <v>12.1158</v>
      </c>
      <c r="KJ37">
        <v>97.5822</v>
      </c>
      <c r="KK37">
        <v>95.7751</v>
      </c>
    </row>
    <row r="38" spans="1:297">
      <c r="A38">
        <v>22</v>
      </c>
      <c r="B38">
        <v>1760739725.1</v>
      </c>
      <c r="C38">
        <v>5065.09999990463</v>
      </c>
      <c r="D38" t="s">
        <v>511</v>
      </c>
      <c r="E38" t="s">
        <v>512</v>
      </c>
      <c r="F38">
        <v>5</v>
      </c>
      <c r="G38" t="s">
        <v>513</v>
      </c>
      <c r="H38" t="s">
        <v>436</v>
      </c>
      <c r="I38">
        <v>1760739721.6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424.932989064806</v>
      </c>
      <c r="AK38">
        <v>425.350309090909</v>
      </c>
      <c r="AL38">
        <v>-0.000253418268722701</v>
      </c>
      <c r="AM38">
        <v>64.7803651514185</v>
      </c>
      <c r="AN38">
        <f>(AP38 - AO38 + DY38*1E3/(8.314*(EA38+273.15)) * AR38/DX38 * AQ38) * DX38/(100*DL38) * 1000/(1000 - AP38)</f>
        <v>0</v>
      </c>
      <c r="AO38">
        <v>11.5198328913378</v>
      </c>
      <c r="AP38">
        <v>12.1400170278638</v>
      </c>
      <c r="AQ38">
        <v>5.39009521444998e-05</v>
      </c>
      <c r="AR38">
        <v>130.947718578284</v>
      </c>
      <c r="AS38">
        <v>3</v>
      </c>
      <c r="AT38">
        <v>1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514</v>
      </c>
      <c r="AY38">
        <v>5137.55</v>
      </c>
      <c r="AZ38">
        <v>710.819230769231</v>
      </c>
      <c r="BA38">
        <v>2603.56</v>
      </c>
      <c r="BB38">
        <f>1-AZ38/BA38</f>
        <v>0</v>
      </c>
      <c r="BC38">
        <v>-0.640759672513225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3.21</v>
      </c>
      <c r="DM38">
        <v>0.5</v>
      </c>
      <c r="DN38" t="s">
        <v>439</v>
      </c>
      <c r="DO38">
        <v>2</v>
      </c>
      <c r="DP38" t="b">
        <v>1</v>
      </c>
      <c r="DQ38">
        <v>1760739721.6</v>
      </c>
      <c r="DR38">
        <v>420.218666666667</v>
      </c>
      <c r="DS38">
        <v>420.0285</v>
      </c>
      <c r="DT38">
        <v>12.1366333333333</v>
      </c>
      <c r="DU38">
        <v>11.5195166666667</v>
      </c>
      <c r="DV38">
        <v>418.6795</v>
      </c>
      <c r="DW38">
        <v>12.1498166666667</v>
      </c>
      <c r="DX38">
        <v>500.0635</v>
      </c>
      <c r="DY38">
        <v>89.5496666666667</v>
      </c>
      <c r="DZ38">
        <v>0.0323100666666667</v>
      </c>
      <c r="EA38">
        <v>18.7951</v>
      </c>
      <c r="EB38">
        <v>18.0129666666667</v>
      </c>
      <c r="EC38">
        <v>999.9</v>
      </c>
      <c r="ED38">
        <v>0</v>
      </c>
      <c r="EE38">
        <v>0</v>
      </c>
      <c r="EF38">
        <v>10019.9833333333</v>
      </c>
      <c r="EG38">
        <v>0</v>
      </c>
      <c r="EH38">
        <v>0.220656</v>
      </c>
      <c r="EI38">
        <v>0.190022666666667</v>
      </c>
      <c r="EJ38">
        <v>425.381333333333</v>
      </c>
      <c r="EK38">
        <v>424.923666666667</v>
      </c>
      <c r="EL38">
        <v>0.617116333333333</v>
      </c>
      <c r="EM38">
        <v>420.0285</v>
      </c>
      <c r="EN38">
        <v>11.5195166666667</v>
      </c>
      <c r="EO38">
        <v>1.08683166666667</v>
      </c>
      <c r="EP38">
        <v>1.03156833333333</v>
      </c>
      <c r="EQ38">
        <v>8.13552833333333</v>
      </c>
      <c r="ER38">
        <v>7.37005333333333</v>
      </c>
      <c r="ES38">
        <v>0.00500059</v>
      </c>
      <c r="ET38">
        <v>0</v>
      </c>
      <c r="EU38">
        <v>0</v>
      </c>
      <c r="EV38">
        <v>0</v>
      </c>
      <c r="EW38">
        <v>713.7</v>
      </c>
      <c r="EX38">
        <v>0.00500059</v>
      </c>
      <c r="EY38">
        <v>-16.3833333333333</v>
      </c>
      <c r="EZ38">
        <v>-1.5</v>
      </c>
      <c r="FA38">
        <v>34.562</v>
      </c>
      <c r="FB38">
        <v>39.25</v>
      </c>
      <c r="FC38">
        <v>36.729</v>
      </c>
      <c r="FD38">
        <v>40.5413333333333</v>
      </c>
      <c r="FE38">
        <v>36.687</v>
      </c>
      <c r="FF38">
        <v>0</v>
      </c>
      <c r="FG38">
        <v>0</v>
      </c>
      <c r="FH38">
        <v>0</v>
      </c>
      <c r="FI38">
        <v>289</v>
      </c>
      <c r="FJ38">
        <v>0</v>
      </c>
      <c r="FK38">
        <v>710.819230769231</v>
      </c>
      <c r="FL38">
        <v>2.7794873170267</v>
      </c>
      <c r="FM38">
        <v>0.417093770341995</v>
      </c>
      <c r="FN38">
        <v>-13.6769230769231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0.19546045</v>
      </c>
      <c r="GD38">
        <v>0.126095684210526</v>
      </c>
      <c r="GE38">
        <v>0.0341637150021408</v>
      </c>
      <c r="GF38">
        <v>1</v>
      </c>
      <c r="GG38">
        <v>710.832352941176</v>
      </c>
      <c r="GH38">
        <v>5.46218491834098</v>
      </c>
      <c r="GI38">
        <v>4.35334358235376</v>
      </c>
      <c r="GJ38">
        <v>-1</v>
      </c>
      <c r="GK38">
        <v>0.6066104</v>
      </c>
      <c r="GL38">
        <v>0.0573628872180453</v>
      </c>
      <c r="GM38">
        <v>0.00681993842640826</v>
      </c>
      <c r="GN38">
        <v>1</v>
      </c>
      <c r="GO38">
        <v>2</v>
      </c>
      <c r="GP38">
        <v>2</v>
      </c>
      <c r="GQ38" t="s">
        <v>441</v>
      </c>
      <c r="GR38">
        <v>3.13155</v>
      </c>
      <c r="GS38">
        <v>2.71041</v>
      </c>
      <c r="GT38">
        <v>0.0898981</v>
      </c>
      <c r="GU38">
        <v>0.0902505</v>
      </c>
      <c r="GV38">
        <v>0.0626475</v>
      </c>
      <c r="GW38">
        <v>0.0604851</v>
      </c>
      <c r="GX38">
        <v>34680.2</v>
      </c>
      <c r="GY38">
        <v>37216</v>
      </c>
      <c r="GZ38">
        <v>34446.4</v>
      </c>
      <c r="HA38">
        <v>37008.3</v>
      </c>
      <c r="HB38">
        <v>45558.1</v>
      </c>
      <c r="HC38">
        <v>49893.8</v>
      </c>
      <c r="HD38">
        <v>53637.8</v>
      </c>
      <c r="HE38">
        <v>59079.3</v>
      </c>
      <c r="HF38">
        <v>2.02778</v>
      </c>
      <c r="HG38">
        <v>1.83215</v>
      </c>
      <c r="HH38">
        <v>0.0165477</v>
      </c>
      <c r="HI38">
        <v>0</v>
      </c>
      <c r="HJ38">
        <v>17.7367</v>
      </c>
      <c r="HK38">
        <v>999.9</v>
      </c>
      <c r="HL38">
        <v>29.691</v>
      </c>
      <c r="HM38">
        <v>30.766</v>
      </c>
      <c r="HN38">
        <v>14.7596</v>
      </c>
      <c r="HO38">
        <v>54.4181</v>
      </c>
      <c r="HP38">
        <v>48.5337</v>
      </c>
      <c r="HQ38">
        <v>1</v>
      </c>
      <c r="HR38">
        <v>-0.366852</v>
      </c>
      <c r="HS38">
        <v>2.06697</v>
      </c>
      <c r="HT38">
        <v>20.1196</v>
      </c>
      <c r="HU38">
        <v>5.20291</v>
      </c>
      <c r="HV38">
        <v>12.004</v>
      </c>
      <c r="HW38">
        <v>4.9754</v>
      </c>
      <c r="HX38">
        <v>3.29318</v>
      </c>
      <c r="HY38">
        <v>9999</v>
      </c>
      <c r="HZ38">
        <v>9999</v>
      </c>
      <c r="IA38">
        <v>999.9</v>
      </c>
      <c r="IB38">
        <v>9999</v>
      </c>
      <c r="IC38">
        <v>1.86335</v>
      </c>
      <c r="ID38">
        <v>1.86813</v>
      </c>
      <c r="IE38">
        <v>1.86786</v>
      </c>
      <c r="IF38">
        <v>1.86906</v>
      </c>
      <c r="IG38">
        <v>1.86993</v>
      </c>
      <c r="IH38">
        <v>1.86598</v>
      </c>
      <c r="II38">
        <v>1.86703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1.539</v>
      </c>
      <c r="IY38">
        <v>-0.0131</v>
      </c>
      <c r="IZ38">
        <v>0.282887266083375</v>
      </c>
      <c r="JA38">
        <v>0.00306585071625405</v>
      </c>
      <c r="JB38">
        <v>-2.0560773108561e-07</v>
      </c>
      <c r="JC38">
        <v>1.17266038970699e-10</v>
      </c>
      <c r="JD38">
        <v>-0.0828159689460901</v>
      </c>
      <c r="JE38">
        <v>-0.0292312028691274</v>
      </c>
      <c r="JF38">
        <v>0.00362507029369384</v>
      </c>
      <c r="JG38">
        <v>-6.15131582447985e-05</v>
      </c>
      <c r="JH38">
        <v>5</v>
      </c>
      <c r="JI38">
        <v>2200</v>
      </c>
      <c r="JJ38">
        <v>0</v>
      </c>
      <c r="JK38">
        <v>22</v>
      </c>
      <c r="JL38">
        <v>29345662.1</v>
      </c>
      <c r="JM38">
        <v>29345662.1</v>
      </c>
      <c r="JN38">
        <v>1.00708</v>
      </c>
      <c r="JO38">
        <v>2.62695</v>
      </c>
      <c r="JP38">
        <v>1.54785</v>
      </c>
      <c r="JQ38">
        <v>2.31567</v>
      </c>
      <c r="JR38">
        <v>1.64673</v>
      </c>
      <c r="JS38">
        <v>2.24854</v>
      </c>
      <c r="JT38">
        <v>34.0092</v>
      </c>
      <c r="JU38">
        <v>24.2101</v>
      </c>
      <c r="JV38">
        <v>18</v>
      </c>
      <c r="JW38">
        <v>499.938</v>
      </c>
      <c r="JX38">
        <v>381.846</v>
      </c>
      <c r="JY38">
        <v>15.3521</v>
      </c>
      <c r="JZ38">
        <v>22.571</v>
      </c>
      <c r="KA38">
        <v>30.0001</v>
      </c>
      <c r="KB38">
        <v>22.5954</v>
      </c>
      <c r="KC38">
        <v>22.5613</v>
      </c>
      <c r="KD38">
        <v>20.1783</v>
      </c>
      <c r="KE38">
        <v>11.1749</v>
      </c>
      <c r="KF38">
        <v>18.4413</v>
      </c>
      <c r="KG38">
        <v>15.3458</v>
      </c>
      <c r="KH38">
        <v>420</v>
      </c>
      <c r="KI38">
        <v>11.5721</v>
      </c>
      <c r="KJ38">
        <v>97.5721</v>
      </c>
      <c r="KK38">
        <v>95.7639</v>
      </c>
    </row>
    <row r="39" spans="1:297">
      <c r="A39">
        <v>23</v>
      </c>
      <c r="B39">
        <v>1760739792.1</v>
      </c>
      <c r="C39">
        <v>5132.09999990463</v>
      </c>
      <c r="D39" t="s">
        <v>515</v>
      </c>
      <c r="E39" t="s">
        <v>516</v>
      </c>
      <c r="F39">
        <v>5</v>
      </c>
      <c r="G39" t="s">
        <v>513</v>
      </c>
      <c r="H39" t="s">
        <v>436</v>
      </c>
      <c r="I39">
        <v>1760739789.1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424.872276586269</v>
      </c>
      <c r="AK39">
        <v>425.31583030303</v>
      </c>
      <c r="AL39">
        <v>-0.00109424866718342</v>
      </c>
      <c r="AM39">
        <v>64.7803651514185</v>
      </c>
      <c r="AN39">
        <f>(AP39 - AO39 + DY39*1E3/(8.314*(EA39+273.15)) * AR39/DX39 * AQ39) * DX39/(100*DL39) * 1000/(1000 - AP39)</f>
        <v>0</v>
      </c>
      <c r="AO39">
        <v>11.5390323433762</v>
      </c>
      <c r="AP39">
        <v>12.1727962848297</v>
      </c>
      <c r="AQ39">
        <v>2.24665281407636e-08</v>
      </c>
      <c r="AR39">
        <v>130.947718578284</v>
      </c>
      <c r="AS39">
        <v>3</v>
      </c>
      <c r="AT39">
        <v>1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 t="s">
        <v>438</v>
      </c>
      <c r="AZ39">
        <v>0</v>
      </c>
      <c r="BA39">
        <v>0</v>
      </c>
      <c r="BB39">
        <f>1-AZ39/BA39</f>
        <v>0</v>
      </c>
      <c r="BC39">
        <v>0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3.21</v>
      </c>
      <c r="DM39">
        <v>0.5</v>
      </c>
      <c r="DN39" t="s">
        <v>439</v>
      </c>
      <c r="DO39">
        <v>2</v>
      </c>
      <c r="DP39" t="b">
        <v>1</v>
      </c>
      <c r="DQ39">
        <v>1760739789.1</v>
      </c>
      <c r="DR39">
        <v>420.1632</v>
      </c>
      <c r="DS39">
        <v>419.9714</v>
      </c>
      <c r="DT39">
        <v>12.17252</v>
      </c>
      <c r="DU39">
        <v>11.53936</v>
      </c>
      <c r="DV39">
        <v>418.6242</v>
      </c>
      <c r="DW39">
        <v>12.18462</v>
      </c>
      <c r="DX39">
        <v>500.0358</v>
      </c>
      <c r="DY39">
        <v>89.54724</v>
      </c>
      <c r="DZ39">
        <v>0.03296252</v>
      </c>
      <c r="EA39">
        <v>18.78086</v>
      </c>
      <c r="EB39">
        <v>17.97176</v>
      </c>
      <c r="EC39">
        <v>999.9</v>
      </c>
      <c r="ED39">
        <v>0</v>
      </c>
      <c r="EE39">
        <v>0</v>
      </c>
      <c r="EF39">
        <v>9998.24</v>
      </c>
      <c r="EG39">
        <v>0</v>
      </c>
      <c r="EH39">
        <v>0.220656</v>
      </c>
      <c r="EI39">
        <v>0.1920472</v>
      </c>
      <c r="EJ39">
        <v>425.3408</v>
      </c>
      <c r="EK39">
        <v>424.8742</v>
      </c>
      <c r="EL39">
        <v>0.6331694</v>
      </c>
      <c r="EM39">
        <v>419.9714</v>
      </c>
      <c r="EN39">
        <v>11.53936</v>
      </c>
      <c r="EO39">
        <v>1.090016</v>
      </c>
      <c r="EP39">
        <v>1.03332</v>
      </c>
      <c r="EQ39">
        <v>8.178588</v>
      </c>
      <c r="ER39">
        <v>7.394828</v>
      </c>
      <c r="ES39">
        <v>0.00500059</v>
      </c>
      <c r="ET39">
        <v>0</v>
      </c>
      <c r="EU39">
        <v>0</v>
      </c>
      <c r="EV39">
        <v>0</v>
      </c>
      <c r="EW39">
        <v>816.12</v>
      </c>
      <c r="EX39">
        <v>0.00500059</v>
      </c>
      <c r="EY39">
        <v>-15.38</v>
      </c>
      <c r="EZ39">
        <v>-1.52</v>
      </c>
      <c r="FA39">
        <v>34.7374</v>
      </c>
      <c r="FB39">
        <v>39.5</v>
      </c>
      <c r="FC39">
        <v>36.875</v>
      </c>
      <c r="FD39">
        <v>41.0124</v>
      </c>
      <c r="FE39">
        <v>36.8498</v>
      </c>
      <c r="FF39">
        <v>0</v>
      </c>
      <c r="FG39">
        <v>0</v>
      </c>
      <c r="FH39">
        <v>0</v>
      </c>
      <c r="FI39">
        <v>65.2000000476837</v>
      </c>
      <c r="FJ39">
        <v>0</v>
      </c>
      <c r="FK39">
        <v>825.076</v>
      </c>
      <c r="FL39">
        <v>-115.915384066061</v>
      </c>
      <c r="FM39">
        <v>1.65384559492626</v>
      </c>
      <c r="FN39">
        <v>-10.756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0.1631912</v>
      </c>
      <c r="GD39">
        <v>0.118197834586466</v>
      </c>
      <c r="GE39">
        <v>0.0338991198788405</v>
      </c>
      <c r="GF39">
        <v>1</v>
      </c>
      <c r="GG39">
        <v>831.961764705882</v>
      </c>
      <c r="GH39">
        <v>-129.275782915194</v>
      </c>
      <c r="GI39">
        <v>14.363884750342</v>
      </c>
      <c r="GJ39">
        <v>-1</v>
      </c>
      <c r="GK39">
        <v>0.6321418</v>
      </c>
      <c r="GL39">
        <v>0.0153242706766911</v>
      </c>
      <c r="GM39">
        <v>0.00179489970750457</v>
      </c>
      <c r="GN39">
        <v>1</v>
      </c>
      <c r="GO39">
        <v>2</v>
      </c>
      <c r="GP39">
        <v>2</v>
      </c>
      <c r="GQ39" t="s">
        <v>441</v>
      </c>
      <c r="GR39">
        <v>3.1317</v>
      </c>
      <c r="GS39">
        <v>2.71066</v>
      </c>
      <c r="GT39">
        <v>0.0898877</v>
      </c>
      <c r="GU39">
        <v>0.090235</v>
      </c>
      <c r="GV39">
        <v>0.0627723</v>
      </c>
      <c r="GW39">
        <v>0.0605675</v>
      </c>
      <c r="GX39">
        <v>34679</v>
      </c>
      <c r="GY39">
        <v>37214.3</v>
      </c>
      <c r="GZ39">
        <v>34444.9</v>
      </c>
      <c r="HA39">
        <v>37006.1</v>
      </c>
      <c r="HB39">
        <v>45550.2</v>
      </c>
      <c r="HC39">
        <v>49886.5</v>
      </c>
      <c r="HD39">
        <v>53635.9</v>
      </c>
      <c r="HE39">
        <v>59076</v>
      </c>
      <c r="HF39">
        <v>2.0275</v>
      </c>
      <c r="HG39">
        <v>1.83212</v>
      </c>
      <c r="HH39">
        <v>0.0136904</v>
      </c>
      <c r="HI39">
        <v>0</v>
      </c>
      <c r="HJ39">
        <v>17.7445</v>
      </c>
      <c r="HK39">
        <v>999.9</v>
      </c>
      <c r="HL39">
        <v>29.667</v>
      </c>
      <c r="HM39">
        <v>30.746</v>
      </c>
      <c r="HN39">
        <v>14.7327</v>
      </c>
      <c r="HO39">
        <v>54.1681</v>
      </c>
      <c r="HP39">
        <v>48.4215</v>
      </c>
      <c r="HQ39">
        <v>1</v>
      </c>
      <c r="HR39">
        <v>-0.365539</v>
      </c>
      <c r="HS39">
        <v>1.96379</v>
      </c>
      <c r="HT39">
        <v>20.1211</v>
      </c>
      <c r="HU39">
        <v>5.20291</v>
      </c>
      <c r="HV39">
        <v>12.004</v>
      </c>
      <c r="HW39">
        <v>4.97575</v>
      </c>
      <c r="HX39">
        <v>3.29315</v>
      </c>
      <c r="HY39">
        <v>9999</v>
      </c>
      <c r="HZ39">
        <v>9999</v>
      </c>
      <c r="IA39">
        <v>999.9</v>
      </c>
      <c r="IB39">
        <v>9999</v>
      </c>
      <c r="IC39">
        <v>1.86333</v>
      </c>
      <c r="ID39">
        <v>1.86813</v>
      </c>
      <c r="IE39">
        <v>1.86785</v>
      </c>
      <c r="IF39">
        <v>1.86906</v>
      </c>
      <c r="IG39">
        <v>1.86988</v>
      </c>
      <c r="IH39">
        <v>1.86597</v>
      </c>
      <c r="II39">
        <v>1.86706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1.539</v>
      </c>
      <c r="IY39">
        <v>-0.012</v>
      </c>
      <c r="IZ39">
        <v>0.282887266083375</v>
      </c>
      <c r="JA39">
        <v>0.00306585071625405</v>
      </c>
      <c r="JB39">
        <v>-2.0560773108561e-07</v>
      </c>
      <c r="JC39">
        <v>1.17266038970699e-10</v>
      </c>
      <c r="JD39">
        <v>-0.0828159689460901</v>
      </c>
      <c r="JE39">
        <v>-0.0292312028691274</v>
      </c>
      <c r="JF39">
        <v>0.00362507029369384</v>
      </c>
      <c r="JG39">
        <v>-6.15131582447985e-05</v>
      </c>
      <c r="JH39">
        <v>5</v>
      </c>
      <c r="JI39">
        <v>2200</v>
      </c>
      <c r="JJ39">
        <v>0</v>
      </c>
      <c r="JK39">
        <v>22</v>
      </c>
      <c r="JL39">
        <v>29345663.2</v>
      </c>
      <c r="JM39">
        <v>29345663.2</v>
      </c>
      <c r="JN39">
        <v>1.00708</v>
      </c>
      <c r="JO39">
        <v>2.62085</v>
      </c>
      <c r="JP39">
        <v>1.54785</v>
      </c>
      <c r="JQ39">
        <v>2.31567</v>
      </c>
      <c r="JR39">
        <v>1.64673</v>
      </c>
      <c r="JS39">
        <v>2.33398</v>
      </c>
      <c r="JT39">
        <v>34.0092</v>
      </c>
      <c r="JU39">
        <v>24.2188</v>
      </c>
      <c r="JV39">
        <v>18</v>
      </c>
      <c r="JW39">
        <v>499.875</v>
      </c>
      <c r="JX39">
        <v>381.915</v>
      </c>
      <c r="JY39">
        <v>15.3251</v>
      </c>
      <c r="JZ39">
        <v>22.5882</v>
      </c>
      <c r="KA39">
        <v>30.0002</v>
      </c>
      <c r="KB39">
        <v>22.6067</v>
      </c>
      <c r="KC39">
        <v>22.5726</v>
      </c>
      <c r="KD39">
        <v>20.1812</v>
      </c>
      <c r="KE39">
        <v>10.9009</v>
      </c>
      <c r="KF39">
        <v>18.4413</v>
      </c>
      <c r="KG39">
        <v>15.346</v>
      </c>
      <c r="KH39">
        <v>420</v>
      </c>
      <c r="KI39">
        <v>11.5721</v>
      </c>
      <c r="KJ39">
        <v>97.5683</v>
      </c>
      <c r="KK39">
        <v>95.7585</v>
      </c>
    </row>
    <row r="40" spans="1:297">
      <c r="A40">
        <v>24</v>
      </c>
      <c r="B40">
        <v>1760739950.1</v>
      </c>
      <c r="C40">
        <v>5290.09999990463</v>
      </c>
      <c r="D40" t="s">
        <v>517</v>
      </c>
      <c r="E40" t="s">
        <v>518</v>
      </c>
      <c r="F40">
        <v>5</v>
      </c>
      <c r="G40" t="s">
        <v>513</v>
      </c>
      <c r="H40" t="s">
        <v>436</v>
      </c>
      <c r="I40">
        <v>1760739946.6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424.868800927468</v>
      </c>
      <c r="AK40">
        <v>425.367818181818</v>
      </c>
      <c r="AL40">
        <v>-0.000377638616953188</v>
      </c>
      <c r="AM40">
        <v>64.7803651514185</v>
      </c>
      <c r="AN40">
        <f>(AP40 - AO40 + DY40*1E3/(8.314*(EA40+273.15)) * AR40/DX40 * AQ40) * DX40/(100*DL40) * 1000/(1000 - AP40)</f>
        <v>0</v>
      </c>
      <c r="AO40">
        <v>11.5384888523396</v>
      </c>
      <c r="AP40">
        <v>12.141469246646</v>
      </c>
      <c r="AQ40">
        <v>-2.54679307926463e-06</v>
      </c>
      <c r="AR40">
        <v>130.947718578284</v>
      </c>
      <c r="AS40">
        <v>3</v>
      </c>
      <c r="AT40">
        <v>1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519</v>
      </c>
      <c r="AY40">
        <v>5136.53</v>
      </c>
      <c r="AZ40">
        <v>727.96</v>
      </c>
      <c r="BA40">
        <v>2538.3</v>
      </c>
      <c r="BB40">
        <f>1-AZ40/BA40</f>
        <v>0</v>
      </c>
      <c r="BC40">
        <v>-0.765502655831079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3.21</v>
      </c>
      <c r="DM40">
        <v>0.5</v>
      </c>
      <c r="DN40" t="s">
        <v>439</v>
      </c>
      <c r="DO40">
        <v>2</v>
      </c>
      <c r="DP40" t="b">
        <v>1</v>
      </c>
      <c r="DQ40">
        <v>1760739946.6</v>
      </c>
      <c r="DR40">
        <v>420.235166666667</v>
      </c>
      <c r="DS40">
        <v>419.972833333333</v>
      </c>
      <c r="DT40">
        <v>12.1422666666667</v>
      </c>
      <c r="DU40">
        <v>11.5386166666667</v>
      </c>
      <c r="DV40">
        <v>418.696</v>
      </c>
      <c r="DW40">
        <v>12.1552666666667</v>
      </c>
      <c r="DX40">
        <v>499.977166666667</v>
      </c>
      <c r="DY40">
        <v>89.5458333333333</v>
      </c>
      <c r="DZ40">
        <v>0.0332535833333333</v>
      </c>
      <c r="EA40">
        <v>18.8189166666667</v>
      </c>
      <c r="EB40">
        <v>18.0095666666667</v>
      </c>
      <c r="EC40">
        <v>999.9</v>
      </c>
      <c r="ED40">
        <v>0</v>
      </c>
      <c r="EE40">
        <v>0</v>
      </c>
      <c r="EF40">
        <v>10007.2</v>
      </c>
      <c r="EG40">
        <v>0</v>
      </c>
      <c r="EH40">
        <v>0.220656</v>
      </c>
      <c r="EI40">
        <v>0.262547833333333</v>
      </c>
      <c r="EJ40">
        <v>425.400833333333</v>
      </c>
      <c r="EK40">
        <v>424.875333333333</v>
      </c>
      <c r="EL40">
        <v>0.6036545</v>
      </c>
      <c r="EM40">
        <v>419.972833333333</v>
      </c>
      <c r="EN40">
        <v>11.5386166666667</v>
      </c>
      <c r="EO40">
        <v>1.08729</v>
      </c>
      <c r="EP40">
        <v>1.033235</v>
      </c>
      <c r="EQ40">
        <v>8.141715</v>
      </c>
      <c r="ER40">
        <v>7.39363833333333</v>
      </c>
      <c r="ES40">
        <v>0.00500059</v>
      </c>
      <c r="ET40">
        <v>0</v>
      </c>
      <c r="EU40">
        <v>0</v>
      </c>
      <c r="EV40">
        <v>0</v>
      </c>
      <c r="EW40">
        <v>726.45</v>
      </c>
      <c r="EX40">
        <v>0.00500059</v>
      </c>
      <c r="EY40">
        <v>-8.85</v>
      </c>
      <c r="EZ40">
        <v>-0.65</v>
      </c>
      <c r="FA40">
        <v>34.937</v>
      </c>
      <c r="FB40">
        <v>39.875</v>
      </c>
      <c r="FC40">
        <v>37.1353333333333</v>
      </c>
      <c r="FD40">
        <v>41.687</v>
      </c>
      <c r="FE40">
        <v>37.125</v>
      </c>
      <c r="FF40">
        <v>0</v>
      </c>
      <c r="FG40">
        <v>0</v>
      </c>
      <c r="FH40">
        <v>0</v>
      </c>
      <c r="FI40">
        <v>223.600000143051</v>
      </c>
      <c r="FJ40">
        <v>0</v>
      </c>
      <c r="FK40">
        <v>727.96</v>
      </c>
      <c r="FL40">
        <v>-14.507692179593</v>
      </c>
      <c r="FM40">
        <v>16.1999998502242</v>
      </c>
      <c r="FN40">
        <v>-10.448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0.241768</v>
      </c>
      <c r="GD40">
        <v>0.031354466165413</v>
      </c>
      <c r="GE40">
        <v>0.0302291886196107</v>
      </c>
      <c r="GF40">
        <v>1</v>
      </c>
      <c r="GG40">
        <v>728.464705882353</v>
      </c>
      <c r="GH40">
        <v>-16.3819710037172</v>
      </c>
      <c r="GI40">
        <v>5.72635200336444</v>
      </c>
      <c r="GJ40">
        <v>-1</v>
      </c>
      <c r="GK40">
        <v>0.60546055</v>
      </c>
      <c r="GL40">
        <v>-0.0116018796992477</v>
      </c>
      <c r="GM40">
        <v>0.00133677714952791</v>
      </c>
      <c r="GN40">
        <v>1</v>
      </c>
      <c r="GO40">
        <v>2</v>
      </c>
      <c r="GP40">
        <v>2</v>
      </c>
      <c r="GQ40" t="s">
        <v>441</v>
      </c>
      <c r="GR40">
        <v>3.13165</v>
      </c>
      <c r="GS40">
        <v>2.71131</v>
      </c>
      <c r="GT40">
        <v>0.0898863</v>
      </c>
      <c r="GU40">
        <v>0.0902286</v>
      </c>
      <c r="GV40">
        <v>0.0626377</v>
      </c>
      <c r="GW40">
        <v>0.0605594</v>
      </c>
      <c r="GX40">
        <v>34675.2</v>
      </c>
      <c r="GY40">
        <v>37209.7</v>
      </c>
      <c r="GZ40">
        <v>34441.4</v>
      </c>
      <c r="HA40">
        <v>37001.6</v>
      </c>
      <c r="HB40">
        <v>45553.3</v>
      </c>
      <c r="HC40">
        <v>49881.1</v>
      </c>
      <c r="HD40">
        <v>53631.6</v>
      </c>
      <c r="HE40">
        <v>59069.2</v>
      </c>
      <c r="HF40">
        <v>2.0266</v>
      </c>
      <c r="HG40">
        <v>1.8313</v>
      </c>
      <c r="HH40">
        <v>0.0130199</v>
      </c>
      <c r="HI40">
        <v>0</v>
      </c>
      <c r="HJ40">
        <v>17.7835</v>
      </c>
      <c r="HK40">
        <v>999.9</v>
      </c>
      <c r="HL40">
        <v>29.667</v>
      </c>
      <c r="HM40">
        <v>30.736</v>
      </c>
      <c r="HN40">
        <v>14.7228</v>
      </c>
      <c r="HO40">
        <v>54.7181</v>
      </c>
      <c r="HP40">
        <v>48.4135</v>
      </c>
      <c r="HQ40">
        <v>1</v>
      </c>
      <c r="HR40">
        <v>-0.360051</v>
      </c>
      <c r="HS40">
        <v>2.18035</v>
      </c>
      <c r="HT40">
        <v>20.1184</v>
      </c>
      <c r="HU40">
        <v>5.19932</v>
      </c>
      <c r="HV40">
        <v>12.004</v>
      </c>
      <c r="HW40">
        <v>4.97595</v>
      </c>
      <c r="HX40">
        <v>3.29303</v>
      </c>
      <c r="HY40">
        <v>9999</v>
      </c>
      <c r="HZ40">
        <v>9999</v>
      </c>
      <c r="IA40">
        <v>999.9</v>
      </c>
      <c r="IB40">
        <v>9999</v>
      </c>
      <c r="IC40">
        <v>1.86338</v>
      </c>
      <c r="ID40">
        <v>1.86813</v>
      </c>
      <c r="IE40">
        <v>1.86789</v>
      </c>
      <c r="IF40">
        <v>1.86911</v>
      </c>
      <c r="IG40">
        <v>1.86992</v>
      </c>
      <c r="IH40">
        <v>1.866</v>
      </c>
      <c r="II40">
        <v>1.86705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1.539</v>
      </c>
      <c r="IY40">
        <v>-0.013</v>
      </c>
      <c r="IZ40">
        <v>0.282887266083375</v>
      </c>
      <c r="JA40">
        <v>0.00306585071625405</v>
      </c>
      <c r="JB40">
        <v>-2.0560773108561e-07</v>
      </c>
      <c r="JC40">
        <v>1.17266038970699e-10</v>
      </c>
      <c r="JD40">
        <v>-0.0828159689460901</v>
      </c>
      <c r="JE40">
        <v>-0.0292312028691274</v>
      </c>
      <c r="JF40">
        <v>0.00362507029369384</v>
      </c>
      <c r="JG40">
        <v>-6.15131582447985e-05</v>
      </c>
      <c r="JH40">
        <v>5</v>
      </c>
      <c r="JI40">
        <v>2200</v>
      </c>
      <c r="JJ40">
        <v>0</v>
      </c>
      <c r="JK40">
        <v>22</v>
      </c>
      <c r="JL40">
        <v>29345665.8</v>
      </c>
      <c r="JM40">
        <v>29345665.8</v>
      </c>
      <c r="JN40">
        <v>1.00708</v>
      </c>
      <c r="JO40">
        <v>2.61475</v>
      </c>
      <c r="JP40">
        <v>1.54785</v>
      </c>
      <c r="JQ40">
        <v>2.31567</v>
      </c>
      <c r="JR40">
        <v>1.64673</v>
      </c>
      <c r="JS40">
        <v>2.36938</v>
      </c>
      <c r="JT40">
        <v>34.0545</v>
      </c>
      <c r="JU40">
        <v>24.2188</v>
      </c>
      <c r="JV40">
        <v>18</v>
      </c>
      <c r="JW40">
        <v>499.748</v>
      </c>
      <c r="JX40">
        <v>381.814</v>
      </c>
      <c r="JY40">
        <v>15.3242</v>
      </c>
      <c r="JZ40">
        <v>22.6462</v>
      </c>
      <c r="KA40">
        <v>30.0003</v>
      </c>
      <c r="KB40">
        <v>22.6521</v>
      </c>
      <c r="KC40">
        <v>22.6165</v>
      </c>
      <c r="KD40">
        <v>20.1814</v>
      </c>
      <c r="KE40">
        <v>10.9009</v>
      </c>
      <c r="KF40">
        <v>18.4413</v>
      </c>
      <c r="KG40">
        <v>15.311</v>
      </c>
      <c r="KH40">
        <v>420</v>
      </c>
      <c r="KI40">
        <v>11.5721</v>
      </c>
      <c r="KJ40">
        <v>97.5598</v>
      </c>
      <c r="KK40">
        <v>95.7472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2025-10-17T17:26:40Z</dcterms:created>
  <dcterms:modified xsi:type="dcterms:W3CDTF">2025-10-17T17:26:40Z</dcterms:modified>
</cp:coreProperties>
</file>