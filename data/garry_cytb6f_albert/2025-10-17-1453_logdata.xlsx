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<sst xmlns="http://schemas.openxmlformats.org/spreadsheetml/2006/main" count="1369" uniqueCount="513">
  <si>
    <t>File opened</t>
  </si>
  <si>
    <t>2025-10-17 14:53:56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</si>
  <si>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</si>
  <si>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</si>
  <si>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</si>
  <si>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</si>
  <si>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</si>
  <si>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</si>
  <si>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</si>
  <si>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</si>
  <si>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</si>
  <si>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</si>
  <si>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</si>
  <si>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</si>
  <si>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</si>
  <si>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</si>
  <si>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</si>
  <si>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Thu Oct  2 09:48</t>
  </si>
  <si>
    <t>H2O rangematch</t>
  </si>
  <si>
    <t>Thu Oct  2 09:42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</si>
  <si>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</si>
  <si>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</si>
  <si>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</si>
  <si>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</si>
  <si>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</si>
  <si>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</si>
  <si>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</si>
  <si>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</si>
  <si>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</si>
  <si>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14:53:56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</si>
  <si>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</si>
  <si>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</si>
  <si>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</si>
  <si>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</si>
  <si>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</si>
  <si>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</si>
  <si>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</si>
  <si>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</si>
  <si>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</si>
  <si>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</si>
  <si>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</si>
  <si>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</si>
  <si>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</si>
  <si>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</si>
  <si>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</si>
  <si>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</si>
  <si>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</si>
  <si>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</si>
  <si>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</si>
  <si>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</si>
  <si>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</si>
  <si>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</si>
  <si>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</si>
  <si>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</si>
  <si>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</si>
  <si>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</si>
  <si>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</si>
  <si>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</si>
  <si>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</si>
  <si>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</si>
  <si>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</si>
  <si>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</si>
  <si>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</si>
  <si>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</si>
  <si>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</si>
  <si>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</si>
  <si>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</si>
  <si>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</si>
  <si>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</si>
  <si>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</si>
  <si>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</si>
  <si>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</si>
  <si>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</si>
  <si>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</si>
  <si>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</si>
  <si>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</si>
  <si>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</si>
  <si>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</si>
  <si>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</si>
  <si>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</si>
  <si>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</si>
  <si>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</si>
  <si>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3.34638 206.176 371.14 592.615 805.012 1011.78 1208.31 1371.26</t>
  </si>
  <si>
    <t>Fs_true</t>
  </si>
  <si>
    <t>1.29472 209.165 390.201 609.693 800.439 1004.43 1200.88 1401.26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</si>
  <si>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</si>
  <si>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</si>
  <si>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</si>
  <si>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</si>
  <si>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</si>
  <si>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</si>
  <si>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</si>
  <si>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</si>
  <si>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</si>
  <si>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</si>
  <si>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</si>
  <si>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</si>
  <si>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</si>
  <si>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</si>
  <si>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</si>
  <si>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</si>
  <si>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</si>
  <si>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</si>
  <si>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</si>
  <si>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</si>
  <si>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</si>
  <si>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</si>
  <si>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</si>
  <si>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</si>
  <si>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</si>
  <si>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</si>
  <si>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</si>
  <si>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</si>
  <si>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</si>
  <si>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</si>
  <si>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</si>
  <si>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</si>
  <si>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</si>
  <si>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</si>
  <si>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</si>
  <si>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</si>
  <si>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</si>
  <si>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</si>
  <si>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</si>
  <si>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</si>
  <si>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</si>
  <si>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</si>
  <si>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</si>
  <si>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</si>
  <si>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</si>
  <si>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</si>
  <si>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</si>
  <si>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</si>
  <si>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</si>
  <si>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</si>
  <si>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</si>
  <si>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</si>
  <si>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</si>
  <si>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</si>
  <si>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</si>
  <si>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</si>
  <si>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</si>
  <si>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</si>
  <si>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</si>
  <si>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</si>
  <si>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</si>
  <si>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</si>
  <si>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</si>
  <si>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</si>
  <si>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</si>
  <si>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</si>
  <si>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</si>
  <si>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</si>
  <si>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</si>
  <si>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</si>
  <si>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</si>
  <si>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</si>
  <si>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</si>
  <si>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</si>
  <si>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</si>
  <si>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</si>
  <si>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</si>
  <si>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</si>
  <si>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</si>
  <si>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</si>
  <si>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</si>
  <si>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</si>
  <si>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</si>
  <si>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</si>
  <si>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</si>
  <si>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</si>
  <si>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</si>
  <si>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</si>
  <si>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</si>
  <si>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</si>
  <si>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</si>
  <si>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</si>
  <si>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</si>
  <si>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</si>
  <si>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</si>
  <si>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</si>
  <si>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</si>
  <si>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</si>
  <si>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</si>
  <si>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</si>
  <si>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</si>
  <si>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</si>
  <si>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</si>
  <si>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</si>
  <si>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</si>
  <si>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</si>
  <si>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</si>
  <si>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</si>
  <si>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</si>
  <si>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</si>
  <si>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</si>
  <si>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</si>
  <si>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</si>
  <si>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</si>
  <si>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</si>
  <si>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</si>
  <si>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</si>
  <si>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</si>
  <si>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</si>
  <si>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</si>
  <si>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</si>
  <si>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</si>
  <si>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</si>
  <si>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</si>
  <si>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</si>
  <si>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</si>
  <si>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</si>
  <si>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</si>
  <si>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</si>
  <si>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</si>
  <si>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</si>
  <si>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</si>
  <si>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</si>
  <si>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</si>
  <si>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</si>
  <si>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</si>
  <si>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</si>
  <si>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</si>
  <si>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</si>
  <si>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</si>
  <si>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</si>
  <si>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</si>
  <si>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</si>
  <si>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</si>
  <si>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</si>
  <si>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</si>
  <si>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</si>
  <si>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</si>
  <si>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</si>
  <si>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</si>
  <si>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</si>
  <si>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</si>
  <si>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</si>
  <si>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</si>
  <si>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</si>
  <si>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</si>
  <si>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</si>
  <si>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</si>
  <si>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</si>
  <si>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</si>
  <si>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</si>
  <si>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</si>
  <si>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</si>
  <si>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</si>
  <si>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</si>
  <si>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</si>
  <si>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</si>
  <si>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</si>
  <si>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</si>
  <si>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</si>
  <si>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</si>
  <si>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</si>
  <si>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</si>
  <si>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</si>
  <si>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</si>
  <si>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</si>
  <si>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</si>
  <si>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</si>
  <si>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</si>
  <si>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</si>
  <si>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</si>
  <si>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</si>
  <si>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</si>
  <si>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</si>
  <si>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</si>
  <si>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</si>
  <si>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</si>
  <si>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</si>
  <si>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</si>
  <si>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</si>
  <si>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</si>
  <si>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</si>
  <si>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</si>
  <si>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</si>
  <si>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</si>
  <si>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</si>
  <si>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</si>
  <si>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</si>
  <si>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</si>
  <si>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</si>
  <si>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</si>
  <si>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</si>
  <si>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</si>
  <si>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</si>
  <si>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</si>
  <si>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</si>
  <si>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</si>
  <si>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</si>
  <si>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</si>
  <si>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</si>
  <si>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</si>
  <si>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</si>
  <si>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</si>
  <si>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</si>
  <si>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</si>
  <si>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</si>
  <si>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</si>
  <si>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</si>
  <si>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</si>
  <si>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</si>
  <si>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</si>
  <si>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</si>
  <si>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</si>
  <si>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</si>
  <si>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</si>
  <si>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</si>
  <si>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</si>
  <si>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</si>
  <si>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</si>
  <si>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</si>
  <si>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</si>
  <si>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</si>
  <si>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</si>
  <si>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</si>
  <si>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</si>
  <si>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</si>
  <si>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</si>
  <si>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</si>
  <si>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</si>
  <si>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</si>
  <si>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</si>
  <si>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</si>
  <si>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</si>
  <si>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</si>
  <si>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</si>
  <si>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</si>
  <si>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</si>
  <si>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</si>
  <si>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</si>
  <si>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</si>
  <si>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</si>
  <si>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</si>
  <si>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</si>
  <si>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</si>
  <si>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</si>
  <si>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</si>
  <si>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</si>
  <si>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</si>
  <si>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</si>
  <si>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</si>
  <si>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</si>
  <si>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</si>
  <si>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</si>
  <si>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</si>
  <si>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</si>
  <si>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</si>
  <si>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</si>
  <si>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</si>
  <si>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</si>
  <si>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</si>
  <si>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</si>
  <si>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</si>
  <si>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</si>
  <si>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</si>
  <si>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</si>
  <si>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</si>
  <si>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</si>
  <si>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</si>
  <si>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</si>
  <si>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</si>
  <si>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</si>
  <si>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</si>
  <si>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</si>
  <si>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</si>
  <si>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</si>
  <si>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</si>
  <si>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</si>
  <si>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</si>
  <si>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</si>
  <si>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</si>
  <si>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</si>
  <si>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</si>
  <si>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</si>
  <si>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</si>
  <si>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</si>
  <si>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</si>
  <si>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</si>
  <si>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</si>
  <si>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</si>
  <si>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</si>
  <si>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</si>
  <si>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</si>
  <si>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</si>
  <si>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</si>
  <si>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</si>
  <si>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</si>
  <si>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</si>
  <si>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</si>
  <si>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</si>
  <si>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</si>
  <si>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</si>
  <si>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</si>
  <si>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</si>
  <si>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</si>
  <si>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</si>
  <si>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</si>
  <si>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</si>
  <si>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</si>
  <si>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</si>
  <si>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</si>
  <si>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</si>
  <si>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</si>
  <si>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</si>
  <si>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</si>
  <si>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</si>
  <si>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</si>
  <si>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</si>
  <si>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</si>
  <si>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</si>
  <si>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</si>
  <si>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</si>
  <si>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</si>
  <si>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</si>
  <si>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</si>
  <si>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</si>
  <si>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</si>
  <si>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</si>
  <si>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</si>
  <si>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</si>
  <si>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</si>
  <si>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</si>
  <si>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</si>
  <si>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</si>
  <si>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</si>
  <si>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</si>
  <si>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</si>
  <si>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</si>
  <si>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</si>
  <si>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20251017 15:59:34</t>
  </si>
  <si>
    <t>15:59:34</t>
  </si>
  <si>
    <t>gg_30</t>
  </si>
  <si>
    <t>albert</t>
  </si>
  <si>
    <t>RECT-1-20251017-15_59_18</t>
  </si>
  <si>
    <t>-</t>
  </si>
  <si>
    <t>0: Broadleaf</t>
  </si>
  <si>
    <t>--:--:--</t>
  </si>
  <si>
    <t>2/3</t>
  </si>
  <si>
    <t>11111111</t>
  </si>
  <si>
    <t>oooooooo</t>
  </si>
  <si>
    <t>on</t>
  </si>
  <si>
    <t>20251017 16:02:53</t>
  </si>
  <si>
    <t>16:02:53</t>
  </si>
  <si>
    <t>RECT-2-20251017-16_02_36</t>
  </si>
  <si>
    <t>20251017 16:04:51</t>
  </si>
  <si>
    <t>16:04:51</t>
  </si>
  <si>
    <t>RECT-3-20251017-16_04_35</t>
  </si>
  <si>
    <t>1/3</t>
  </si>
  <si>
    <t>20251017 16:13:00</t>
  </si>
  <si>
    <t>16:13:00</t>
  </si>
  <si>
    <t>gg_8</t>
  </si>
  <si>
    <t>RECT-4-20251017-16_12_44</t>
  </si>
  <si>
    <t>3/3</t>
  </si>
  <si>
    <t>20251017 16:15:20</t>
  </si>
  <si>
    <t>16:15:20</t>
  </si>
  <si>
    <t>RECT-5-20251017-16_15_03</t>
  </si>
  <si>
    <t>20251017 16:17:19</t>
  </si>
  <si>
    <t>16:17:19</t>
  </si>
  <si>
    <t>RECT-6-20251017-16_17_02</t>
  </si>
  <si>
    <t>20251017 16:22:05</t>
  </si>
  <si>
    <t>16:22:05</t>
  </si>
  <si>
    <t>gg_18</t>
  </si>
  <si>
    <t>RECT-7-20251017-16_21_48</t>
  </si>
  <si>
    <t>20251017 16:23:50</t>
  </si>
  <si>
    <t>16:23:50</t>
  </si>
  <si>
    <t>RECT-8-20251017-16_23_34</t>
  </si>
  <si>
    <t>20251017 16:25:41</t>
  </si>
  <si>
    <t>16:25:41</t>
  </si>
  <si>
    <t>RECT-9-20251017-16_25_24</t>
  </si>
  <si>
    <t>20251017 16:33:48</t>
  </si>
  <si>
    <t>16:33:48</t>
  </si>
  <si>
    <t>gg_34</t>
  </si>
  <si>
    <t>RECT-10-20251017-16_33_31</t>
  </si>
  <si>
    <t>20251017 16:35:45</t>
  </si>
  <si>
    <t>16:35:45</t>
  </si>
  <si>
    <t>RECT-11-20251017-16_35_28</t>
  </si>
  <si>
    <t>20251017 16:38:58</t>
  </si>
  <si>
    <t>16:38:58</t>
  </si>
  <si>
    <t>RECT-12-20251017-16_38_41</t>
  </si>
  <si>
    <t>20251017 16:47:13</t>
  </si>
  <si>
    <t>16:47:13</t>
  </si>
  <si>
    <t>gg_14</t>
  </si>
  <si>
    <t>RECT-13-20251017-16_46_56</t>
  </si>
  <si>
    <t>20251017 16:50:38</t>
  </si>
  <si>
    <t>16:50:38</t>
  </si>
  <si>
    <t>RECT-14-20251017-16_50_22</t>
  </si>
  <si>
    <t>20251017 16:53:33</t>
  </si>
  <si>
    <t>16:53:33</t>
  </si>
  <si>
    <t>RECT-15-20251017-16_53_17</t>
  </si>
  <si>
    <t>20251017 16:59:31</t>
  </si>
  <si>
    <t>16:59:31</t>
  </si>
  <si>
    <t>gg_10</t>
  </si>
  <si>
    <t>RECT-16-20251017-16_59_15</t>
  </si>
  <si>
    <t>20251017 17:02:31</t>
  </si>
  <si>
    <t>17:02:31</t>
  </si>
  <si>
    <t>RECT-17-20251017-17_02_15</t>
  </si>
  <si>
    <t>20251017 17:07:02</t>
  </si>
  <si>
    <t>17:07:02</t>
  </si>
  <si>
    <t>RECT-18-20251017-17_06_45</t>
  </si>
  <si>
    <t>20251017 17:13:29</t>
  </si>
  <si>
    <t>17:13:29</t>
  </si>
  <si>
    <t>gg_28</t>
  </si>
  <si>
    <t>RECT-19-20251017-17_13_12</t>
  </si>
  <si>
    <t>20251017 17:15:57</t>
  </si>
  <si>
    <t>17:15:57</t>
  </si>
  <si>
    <t>RECT-20-20251017-17_15_40</t>
  </si>
  <si>
    <t>20251017 17:18:14</t>
  </si>
  <si>
    <t>17:18:14</t>
  </si>
  <si>
    <t>RECT-21-20251017-17_17_58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</si>
</sst>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37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1760734774.5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1760734766.5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425.0623716490612</v>
      </c>
      <c r="AK17">
        <v>425.6801272727274</v>
      </c>
      <c r="AL17">
        <v>-2.981230840991308E-05</v>
      </c>
      <c r="AM17">
        <v>65.27071588731451</v>
      </c>
      <c r="AN17">
        <f>(AP17 - AO17 + DY17*1E3/(8.314*(EA17+273.15)) * AR17/DX17 * AQ17) * DX17/(100*DL17) * 1000/(1000 - AP17)</f>
        <v>0</v>
      </c>
      <c r="AO17">
        <v>11.8645138430498</v>
      </c>
      <c r="AP17">
        <v>11.95658121212121</v>
      </c>
      <c r="AQ17">
        <v>7.629457350536401E-07</v>
      </c>
      <c r="AR17">
        <v>121.1432082967017</v>
      </c>
      <c r="AS17">
        <v>10</v>
      </c>
      <c r="AT17">
        <v>2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5038.11</v>
      </c>
      <c r="AZ17">
        <v>598.0615384615385</v>
      </c>
      <c r="BA17">
        <v>2408.54</v>
      </c>
      <c r="BB17">
        <f>1-AZ17/BA17</f>
        <v>0</v>
      </c>
      <c r="BC17">
        <v>-0.5085544442080419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1760734766.5</v>
      </c>
      <c r="DR17">
        <v>420.5965806451613</v>
      </c>
      <c r="DS17">
        <v>420</v>
      </c>
      <c r="DT17">
        <v>11.94995161290323</v>
      </c>
      <c r="DU17">
        <v>11.86853548387097</v>
      </c>
      <c r="DV17">
        <v>420.0632258064517</v>
      </c>
      <c r="DW17">
        <v>11.89333225806452</v>
      </c>
      <c r="DX17">
        <v>499.9868064516128</v>
      </c>
      <c r="DY17">
        <v>89.76122258064515</v>
      </c>
      <c r="DZ17">
        <v>0.03650320967741935</v>
      </c>
      <c r="EA17">
        <v>18.55559677419355</v>
      </c>
      <c r="EB17">
        <v>17.99873870967742</v>
      </c>
      <c r="EC17">
        <v>999.9000000000003</v>
      </c>
      <c r="ED17">
        <v>0</v>
      </c>
      <c r="EE17">
        <v>0</v>
      </c>
      <c r="EF17">
        <v>9991.209354838709</v>
      </c>
      <c r="EG17">
        <v>0</v>
      </c>
      <c r="EH17">
        <v>0.220656</v>
      </c>
      <c r="EI17">
        <v>0.5966826451612902</v>
      </c>
      <c r="EJ17">
        <v>425.6834838709677</v>
      </c>
      <c r="EK17">
        <v>425.0445161290322</v>
      </c>
      <c r="EL17">
        <v>0.08141554838709678</v>
      </c>
      <c r="EM17">
        <v>420</v>
      </c>
      <c r="EN17">
        <v>11.86853548387097</v>
      </c>
      <c r="EO17">
        <v>1.072641612903226</v>
      </c>
      <c r="EP17">
        <v>1.065334838709677</v>
      </c>
      <c r="EQ17">
        <v>7.942313225806452</v>
      </c>
      <c r="ER17">
        <v>7.841924838709678</v>
      </c>
      <c r="ES17">
        <v>0.005000559999999997</v>
      </c>
      <c r="ET17">
        <v>0</v>
      </c>
      <c r="EU17">
        <v>0</v>
      </c>
      <c r="EV17">
        <v>0</v>
      </c>
      <c r="EW17">
        <v>598.5129032258066</v>
      </c>
      <c r="EX17">
        <v>0.005000559999999997</v>
      </c>
      <c r="EY17">
        <v>-5.400000000000001</v>
      </c>
      <c r="EZ17">
        <v>-2.796774193548387</v>
      </c>
      <c r="FA17">
        <v>35.27187096774193</v>
      </c>
      <c r="FB17">
        <v>40.19106451612902</v>
      </c>
      <c r="FC17">
        <v>37.30212903225806</v>
      </c>
      <c r="FD17">
        <v>41.57648387096773</v>
      </c>
      <c r="FE17">
        <v>37.18725806451612</v>
      </c>
      <c r="FF17">
        <v>0</v>
      </c>
      <c r="FG17">
        <v>0</v>
      </c>
      <c r="FH17">
        <v>0</v>
      </c>
      <c r="FI17">
        <v>1760734799.6</v>
      </c>
      <c r="FJ17">
        <v>0</v>
      </c>
      <c r="FK17">
        <v>598.0615384615385</v>
      </c>
      <c r="FL17">
        <v>-12.39658115026712</v>
      </c>
      <c r="FM17">
        <v>22.5641025156142</v>
      </c>
      <c r="FN17">
        <v>-5.361538461538462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0.5945121463414633</v>
      </c>
      <c r="GD17">
        <v>0.1122400975609745</v>
      </c>
      <c r="GE17">
        <v>0.0316465483676868</v>
      </c>
      <c r="GF17">
        <v>1</v>
      </c>
      <c r="GG17">
        <v>598.5794117647058</v>
      </c>
      <c r="GH17">
        <v>-11.21313986247307</v>
      </c>
      <c r="GI17">
        <v>6.402471003299968</v>
      </c>
      <c r="GJ17">
        <v>0</v>
      </c>
      <c r="GK17">
        <v>0.08377501707317073</v>
      </c>
      <c r="GL17">
        <v>0.009224652961672587</v>
      </c>
      <c r="GM17">
        <v>0.009357231375914108</v>
      </c>
      <c r="GN17">
        <v>1</v>
      </c>
      <c r="GO17">
        <v>2</v>
      </c>
      <c r="GP17">
        <v>3</v>
      </c>
      <c r="GQ17" t="s">
        <v>441</v>
      </c>
      <c r="GR17">
        <v>3.13306</v>
      </c>
      <c r="GS17">
        <v>2.71409</v>
      </c>
      <c r="GT17">
        <v>0.08640589999999999</v>
      </c>
      <c r="GU17">
        <v>0.086842</v>
      </c>
      <c r="GV17">
        <v>0.065502</v>
      </c>
      <c r="GW17">
        <v>0.06551990000000001</v>
      </c>
      <c r="GX17">
        <v>27828.8</v>
      </c>
      <c r="GY17">
        <v>26971.6</v>
      </c>
      <c r="GZ17">
        <v>30978.5</v>
      </c>
      <c r="HA17">
        <v>29763</v>
      </c>
      <c r="HB17">
        <v>39906.7</v>
      </c>
      <c r="HC17">
        <v>36582.2</v>
      </c>
      <c r="HD17">
        <v>47319.7</v>
      </c>
      <c r="HE17">
        <v>44203.1</v>
      </c>
      <c r="HF17">
        <v>1.89315</v>
      </c>
      <c r="HG17">
        <v>1.90182</v>
      </c>
      <c r="HH17">
        <v>0.0286996</v>
      </c>
      <c r="HI17">
        <v>0</v>
      </c>
      <c r="HJ17">
        <v>17.527</v>
      </c>
      <c r="HK17">
        <v>999.9</v>
      </c>
      <c r="HL17">
        <v>32.5</v>
      </c>
      <c r="HM17">
        <v>30.7</v>
      </c>
      <c r="HN17">
        <v>16.0584</v>
      </c>
      <c r="HO17">
        <v>63.5107</v>
      </c>
      <c r="HP17">
        <v>20.3325</v>
      </c>
      <c r="HQ17">
        <v>1</v>
      </c>
      <c r="HR17">
        <v>-0.328902</v>
      </c>
      <c r="HS17">
        <v>1.50723</v>
      </c>
      <c r="HT17">
        <v>20.2112</v>
      </c>
      <c r="HU17">
        <v>5.23601</v>
      </c>
      <c r="HV17">
        <v>11.968</v>
      </c>
      <c r="HW17">
        <v>4.97355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4.97293</v>
      </c>
      <c r="ID17">
        <v>1.87735</v>
      </c>
      <c r="IE17">
        <v>1.87546</v>
      </c>
      <c r="IF17">
        <v>1.87824</v>
      </c>
      <c r="IG17">
        <v>1.875</v>
      </c>
      <c r="IH17">
        <v>1.87852</v>
      </c>
      <c r="II17">
        <v>1.87571</v>
      </c>
      <c r="IJ17">
        <v>1.87683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0.534</v>
      </c>
      <c r="IY17">
        <v>0.0568</v>
      </c>
      <c r="IZ17">
        <v>0.05962679757231274</v>
      </c>
      <c r="JA17">
        <v>0.001226855107158112</v>
      </c>
      <c r="JB17">
        <v>-3.035205684124237E-07</v>
      </c>
      <c r="JC17">
        <v>1.619134626827227E-10</v>
      </c>
      <c r="JD17">
        <v>-0.0304923956573813</v>
      </c>
      <c r="JE17">
        <v>-0.002736280719339335</v>
      </c>
      <c r="JF17">
        <v>0.0009903551140151546</v>
      </c>
      <c r="JG17">
        <v>-1.214181672830105E-05</v>
      </c>
      <c r="JH17">
        <v>0</v>
      </c>
      <c r="JI17">
        <v>2131</v>
      </c>
      <c r="JJ17">
        <v>1</v>
      </c>
      <c r="JK17">
        <v>22</v>
      </c>
      <c r="JL17">
        <v>29345579.6</v>
      </c>
      <c r="JM17">
        <v>29345579.6</v>
      </c>
      <c r="JN17">
        <v>1.10474</v>
      </c>
      <c r="JO17">
        <v>2.51953</v>
      </c>
      <c r="JP17">
        <v>1.39893</v>
      </c>
      <c r="JQ17">
        <v>2.33398</v>
      </c>
      <c r="JR17">
        <v>1.44897</v>
      </c>
      <c r="JS17">
        <v>2.45483</v>
      </c>
      <c r="JT17">
        <v>36.5287</v>
      </c>
      <c r="JU17">
        <v>24.0262</v>
      </c>
      <c r="JV17">
        <v>18</v>
      </c>
      <c r="JW17">
        <v>471.788</v>
      </c>
      <c r="JX17">
        <v>444.908</v>
      </c>
      <c r="JY17">
        <v>16.2076</v>
      </c>
      <c r="JZ17">
        <v>22.6433</v>
      </c>
      <c r="KA17">
        <v>30</v>
      </c>
      <c r="KB17">
        <v>22.3826</v>
      </c>
      <c r="KC17">
        <v>22.4554</v>
      </c>
      <c r="KD17">
        <v>22.153</v>
      </c>
      <c r="KE17">
        <v>23.839</v>
      </c>
      <c r="KF17">
        <v>7.9656</v>
      </c>
      <c r="KG17">
        <v>16.2075</v>
      </c>
      <c r="KH17">
        <v>420</v>
      </c>
      <c r="KI17">
        <v>11.9044</v>
      </c>
      <c r="KJ17">
        <v>102.321</v>
      </c>
      <c r="KK17">
        <v>101.696</v>
      </c>
    </row>
    <row r="18" spans="1:297">
      <c r="A18">
        <v>2</v>
      </c>
      <c r="B18">
        <v>1760734973</v>
      </c>
      <c r="C18">
        <v>198.5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1760734965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425.0366460268274</v>
      </c>
      <c r="AK18">
        <v>425.7205030303028</v>
      </c>
      <c r="AL18">
        <v>0.02309757114450326</v>
      </c>
      <c r="AM18">
        <v>65.27071588731451</v>
      </c>
      <c r="AN18">
        <f>(AP18 - AO18 + DY18*1E3/(8.314*(EA18+273.15)) * AR18/DX18 * AQ18) * DX18/(100*DL18) * 1000/(1000 - AP18)</f>
        <v>0</v>
      </c>
      <c r="AO18">
        <v>11.86065378189265</v>
      </c>
      <c r="AP18">
        <v>11.94916484848484</v>
      </c>
      <c r="AQ18">
        <v>1.20906405869588E-06</v>
      </c>
      <c r="AR18">
        <v>121.1432082967017</v>
      </c>
      <c r="AS18">
        <v>10</v>
      </c>
      <c r="AT18">
        <v>2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5037.87</v>
      </c>
      <c r="AZ18">
        <v>628.623076923077</v>
      </c>
      <c r="BA18">
        <v>2377.08</v>
      </c>
      <c r="BB18">
        <f>1-AZ18/BA18</f>
        <v>0</v>
      </c>
      <c r="BC18">
        <v>-0.6550585945918074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1760734965</v>
      </c>
      <c r="DR18">
        <v>420.5759677419355</v>
      </c>
      <c r="DS18">
        <v>419.9958709677419</v>
      </c>
      <c r="DT18">
        <v>11.94384838709677</v>
      </c>
      <c r="DU18">
        <v>11.85018064516129</v>
      </c>
      <c r="DV18">
        <v>420.0424838709678</v>
      </c>
      <c r="DW18">
        <v>11.88731935483871</v>
      </c>
      <c r="DX18">
        <v>500.0252903225805</v>
      </c>
      <c r="DY18">
        <v>89.76725806451613</v>
      </c>
      <c r="DZ18">
        <v>0.03628382580645161</v>
      </c>
      <c r="EA18">
        <v>18.55039032258065</v>
      </c>
      <c r="EB18">
        <v>17.99350322580645</v>
      </c>
      <c r="EC18">
        <v>999.9000000000003</v>
      </c>
      <c r="ED18">
        <v>0</v>
      </c>
      <c r="EE18">
        <v>0</v>
      </c>
      <c r="EF18">
        <v>9999.174193548388</v>
      </c>
      <c r="EG18">
        <v>0</v>
      </c>
      <c r="EH18">
        <v>0.220656</v>
      </c>
      <c r="EI18">
        <v>0.5800930000000001</v>
      </c>
      <c r="EJ18">
        <v>425.659806451613</v>
      </c>
      <c r="EK18">
        <v>425.0325806451614</v>
      </c>
      <c r="EL18">
        <v>0.09366762258064518</v>
      </c>
      <c r="EM18">
        <v>419.9958709677419</v>
      </c>
      <c r="EN18">
        <v>11.85018064516129</v>
      </c>
      <c r="EO18">
        <v>1.072166129032258</v>
      </c>
      <c r="EP18">
        <v>1.06375935483871</v>
      </c>
      <c r="EQ18">
        <v>7.935804193548387</v>
      </c>
      <c r="ER18">
        <v>7.820195483870966</v>
      </c>
      <c r="ES18">
        <v>0.005000559999999997</v>
      </c>
      <c r="ET18">
        <v>0</v>
      </c>
      <c r="EU18">
        <v>0</v>
      </c>
      <c r="EV18">
        <v>0</v>
      </c>
      <c r="EW18">
        <v>627.5096774193549</v>
      </c>
      <c r="EX18">
        <v>0.005000559999999997</v>
      </c>
      <c r="EY18">
        <v>-5.548387096774193</v>
      </c>
      <c r="EZ18">
        <v>-3.090322580645161</v>
      </c>
      <c r="FA18">
        <v>34.84251612903225</v>
      </c>
      <c r="FB18">
        <v>40.31612903225805</v>
      </c>
      <c r="FC18">
        <v>37.54406451612903</v>
      </c>
      <c r="FD18">
        <v>41.758</v>
      </c>
      <c r="FE18">
        <v>37.34845161290323</v>
      </c>
      <c r="FF18">
        <v>0</v>
      </c>
      <c r="FG18">
        <v>0</v>
      </c>
      <c r="FH18">
        <v>0</v>
      </c>
      <c r="FI18">
        <v>198</v>
      </c>
      <c r="FJ18">
        <v>0</v>
      </c>
      <c r="FK18">
        <v>628.623076923077</v>
      </c>
      <c r="FL18">
        <v>-16.73846173696993</v>
      </c>
      <c r="FM18">
        <v>8.779487278985849</v>
      </c>
      <c r="FN18">
        <v>-6.16923076923077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0.5737566341463415</v>
      </c>
      <c r="GD18">
        <v>0.06752241114982603</v>
      </c>
      <c r="GE18">
        <v>0.02294866385265705</v>
      </c>
      <c r="GF18">
        <v>1</v>
      </c>
      <c r="GG18">
        <v>628.2264705882353</v>
      </c>
      <c r="GH18">
        <v>-15.93735683992856</v>
      </c>
      <c r="GI18">
        <v>5.460085585599929</v>
      </c>
      <c r="GJ18">
        <v>0</v>
      </c>
      <c r="GK18">
        <v>0.09616458780487805</v>
      </c>
      <c r="GL18">
        <v>-0.07303345296167235</v>
      </c>
      <c r="GM18">
        <v>0.008834694031479035</v>
      </c>
      <c r="GN18">
        <v>1</v>
      </c>
      <c r="GO18">
        <v>2</v>
      </c>
      <c r="GP18">
        <v>3</v>
      </c>
      <c r="GQ18" t="s">
        <v>441</v>
      </c>
      <c r="GR18">
        <v>3.13295</v>
      </c>
      <c r="GS18">
        <v>2.71389</v>
      </c>
      <c r="GT18">
        <v>0.0864183</v>
      </c>
      <c r="GU18">
        <v>0.0868535</v>
      </c>
      <c r="GV18">
        <v>0.0654771</v>
      </c>
      <c r="GW18">
        <v>0.0655109</v>
      </c>
      <c r="GX18">
        <v>27829.1</v>
      </c>
      <c r="GY18">
        <v>26970.8</v>
      </c>
      <c r="GZ18">
        <v>30979.3</v>
      </c>
      <c r="HA18">
        <v>29762.6</v>
      </c>
      <c r="HB18">
        <v>39909.5</v>
      </c>
      <c r="HC18">
        <v>36582.1</v>
      </c>
      <c r="HD18">
        <v>47321.7</v>
      </c>
      <c r="HE18">
        <v>44202.6</v>
      </c>
      <c r="HF18">
        <v>1.89307</v>
      </c>
      <c r="HG18">
        <v>1.90145</v>
      </c>
      <c r="HH18">
        <v>0.0287481</v>
      </c>
      <c r="HI18">
        <v>0</v>
      </c>
      <c r="HJ18">
        <v>17.5146</v>
      </c>
      <c r="HK18">
        <v>999.9</v>
      </c>
      <c r="HL18">
        <v>31.9</v>
      </c>
      <c r="HM18">
        <v>30.8</v>
      </c>
      <c r="HN18">
        <v>15.8493</v>
      </c>
      <c r="HO18">
        <v>63.6207</v>
      </c>
      <c r="HP18">
        <v>20.5128</v>
      </c>
      <c r="HQ18">
        <v>1</v>
      </c>
      <c r="HR18">
        <v>-0.328824</v>
      </c>
      <c r="HS18">
        <v>1.5135</v>
      </c>
      <c r="HT18">
        <v>20.2108</v>
      </c>
      <c r="HU18">
        <v>5.2411</v>
      </c>
      <c r="HV18">
        <v>11.968</v>
      </c>
      <c r="HW18">
        <v>4.97355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4.97292</v>
      </c>
      <c r="ID18">
        <v>1.87741</v>
      </c>
      <c r="IE18">
        <v>1.87546</v>
      </c>
      <c r="IF18">
        <v>1.87822</v>
      </c>
      <c r="IG18">
        <v>1.875</v>
      </c>
      <c r="IH18">
        <v>1.87851</v>
      </c>
      <c r="II18">
        <v>1.87565</v>
      </c>
      <c r="IJ18">
        <v>1.87683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0.534</v>
      </c>
      <c r="IY18">
        <v>0.0567</v>
      </c>
      <c r="IZ18">
        <v>0.05962679757231274</v>
      </c>
      <c r="JA18">
        <v>0.001226855107158112</v>
      </c>
      <c r="JB18">
        <v>-3.035205684124237E-07</v>
      </c>
      <c r="JC18">
        <v>1.619134626827227E-10</v>
      </c>
      <c r="JD18">
        <v>-0.0304923956573813</v>
      </c>
      <c r="JE18">
        <v>-0.002736280719339335</v>
      </c>
      <c r="JF18">
        <v>0.0009903551140151546</v>
      </c>
      <c r="JG18">
        <v>-1.214181672830105E-05</v>
      </c>
      <c r="JH18">
        <v>0</v>
      </c>
      <c r="JI18">
        <v>2131</v>
      </c>
      <c r="JJ18">
        <v>1</v>
      </c>
      <c r="JK18">
        <v>22</v>
      </c>
      <c r="JL18">
        <v>29345582.9</v>
      </c>
      <c r="JM18">
        <v>29345582.9</v>
      </c>
      <c r="JN18">
        <v>1.10474</v>
      </c>
      <c r="JO18">
        <v>2.51709</v>
      </c>
      <c r="JP18">
        <v>1.39893</v>
      </c>
      <c r="JQ18">
        <v>2.33276</v>
      </c>
      <c r="JR18">
        <v>1.44897</v>
      </c>
      <c r="JS18">
        <v>2.44141</v>
      </c>
      <c r="JT18">
        <v>36.5996</v>
      </c>
      <c r="JU18">
        <v>24.0262</v>
      </c>
      <c r="JV18">
        <v>18</v>
      </c>
      <c r="JW18">
        <v>471.8</v>
      </c>
      <c r="JX18">
        <v>444.733</v>
      </c>
      <c r="JY18">
        <v>16.1608</v>
      </c>
      <c r="JZ18">
        <v>22.6472</v>
      </c>
      <c r="KA18">
        <v>29.9999</v>
      </c>
      <c r="KB18">
        <v>22.3896</v>
      </c>
      <c r="KC18">
        <v>22.4616</v>
      </c>
      <c r="KD18">
        <v>22.1611</v>
      </c>
      <c r="KE18">
        <v>22.4588</v>
      </c>
      <c r="KF18">
        <v>6.84749</v>
      </c>
      <c r="KG18">
        <v>16.1676</v>
      </c>
      <c r="KH18">
        <v>420</v>
      </c>
      <c r="KI18">
        <v>11.905</v>
      </c>
      <c r="KJ18">
        <v>102.325</v>
      </c>
      <c r="KK18">
        <v>101.695</v>
      </c>
    </row>
    <row r="19" spans="1:297">
      <c r="A19">
        <v>3</v>
      </c>
      <c r="B19">
        <v>1760735091.5</v>
      </c>
      <c r="C19">
        <v>317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1760735083.5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425.0393989544295</v>
      </c>
      <c r="AK19">
        <v>425.6348363636362</v>
      </c>
      <c r="AL19">
        <v>0.0004906400998431086</v>
      </c>
      <c r="AM19">
        <v>65.27071588731451</v>
      </c>
      <c r="AN19">
        <f>(AP19 - AO19 + DY19*1E3/(8.314*(EA19+273.15)) * AR19/DX19 * AQ19) * DX19/(100*DL19) * 1000/(1000 - AP19)</f>
        <v>0</v>
      </c>
      <c r="AO19">
        <v>11.89186143792194</v>
      </c>
      <c r="AP19">
        <v>11.95217454545454</v>
      </c>
      <c r="AQ19">
        <v>3.839944828371554E-06</v>
      </c>
      <c r="AR19">
        <v>121.1432082967017</v>
      </c>
      <c r="AS19">
        <v>10</v>
      </c>
      <c r="AT19">
        <v>2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5037.63</v>
      </c>
      <c r="AZ19">
        <v>645.2280000000001</v>
      </c>
      <c r="BA19">
        <v>2334.06</v>
      </c>
      <c r="BB19">
        <f>1-AZ19/BA19</f>
        <v>0</v>
      </c>
      <c r="BC19">
        <v>-0.4922861155045261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1760735083.5</v>
      </c>
      <c r="DR19">
        <v>420.5222258064516</v>
      </c>
      <c r="DS19">
        <v>419.9912903225807</v>
      </c>
      <c r="DT19">
        <v>11.94962903225806</v>
      </c>
      <c r="DU19">
        <v>11.85506451612903</v>
      </c>
      <c r="DV19">
        <v>419.9887741935485</v>
      </c>
      <c r="DW19">
        <v>11.89299677419355</v>
      </c>
      <c r="DX19">
        <v>500.0189999999999</v>
      </c>
      <c r="DY19">
        <v>89.76500322580647</v>
      </c>
      <c r="DZ19">
        <v>0.03654893870967742</v>
      </c>
      <c r="EA19">
        <v>18.5562935483871</v>
      </c>
      <c r="EB19">
        <v>17.99148064516129</v>
      </c>
      <c r="EC19">
        <v>999.9000000000003</v>
      </c>
      <c r="ED19">
        <v>0</v>
      </c>
      <c r="EE19">
        <v>0</v>
      </c>
      <c r="EF19">
        <v>10001.30387096774</v>
      </c>
      <c r="EG19">
        <v>0</v>
      </c>
      <c r="EH19">
        <v>0.220656</v>
      </c>
      <c r="EI19">
        <v>0.5308975483870968</v>
      </c>
      <c r="EJ19">
        <v>425.6080967741935</v>
      </c>
      <c r="EK19">
        <v>425.0300000000001</v>
      </c>
      <c r="EL19">
        <v>0.09455159677419354</v>
      </c>
      <c r="EM19">
        <v>419.9912903225807</v>
      </c>
      <c r="EN19">
        <v>11.85506451612903</v>
      </c>
      <c r="EO19">
        <v>1.072658387096774</v>
      </c>
      <c r="EP19">
        <v>1.064170322580645</v>
      </c>
      <c r="EQ19">
        <v>7.942532903225806</v>
      </c>
      <c r="ER19">
        <v>7.825870322580646</v>
      </c>
      <c r="ES19">
        <v>0.005000559999999997</v>
      </c>
      <c r="ET19">
        <v>0</v>
      </c>
      <c r="EU19">
        <v>0</v>
      </c>
      <c r="EV19">
        <v>0</v>
      </c>
      <c r="EW19">
        <v>645.6774193548387</v>
      </c>
      <c r="EX19">
        <v>0.005000559999999997</v>
      </c>
      <c r="EY19">
        <v>-4.180645161290323</v>
      </c>
      <c r="EZ19">
        <v>-3.006451612903225</v>
      </c>
      <c r="FA19">
        <v>34.84858064516128</v>
      </c>
      <c r="FB19">
        <v>40.379</v>
      </c>
      <c r="FC19">
        <v>37.63274193548387</v>
      </c>
      <c r="FD19">
        <v>41.84654838709677</v>
      </c>
      <c r="FE19">
        <v>37.46354838709677</v>
      </c>
      <c r="FF19">
        <v>0</v>
      </c>
      <c r="FG19">
        <v>0</v>
      </c>
      <c r="FH19">
        <v>0</v>
      </c>
      <c r="FI19">
        <v>118</v>
      </c>
      <c r="FJ19">
        <v>0</v>
      </c>
      <c r="FK19">
        <v>645.2280000000001</v>
      </c>
      <c r="FL19">
        <v>-43.51538428247083</v>
      </c>
      <c r="FM19">
        <v>1.507691618394569</v>
      </c>
      <c r="FN19">
        <v>-3.868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0.5329626829268291</v>
      </c>
      <c r="GD19">
        <v>0.0249004390243908</v>
      </c>
      <c r="GE19">
        <v>0.02068784373872736</v>
      </c>
      <c r="GF19">
        <v>1</v>
      </c>
      <c r="GG19">
        <v>646.7558823529411</v>
      </c>
      <c r="GH19">
        <v>-33.25744836839809</v>
      </c>
      <c r="GI19">
        <v>7.184631931154096</v>
      </c>
      <c r="GJ19">
        <v>0</v>
      </c>
      <c r="GK19">
        <v>0.09722072439024391</v>
      </c>
      <c r="GL19">
        <v>-0.129306526829268</v>
      </c>
      <c r="GM19">
        <v>0.01765810871821451</v>
      </c>
      <c r="GN19">
        <v>0</v>
      </c>
      <c r="GO19">
        <v>1</v>
      </c>
      <c r="GP19">
        <v>3</v>
      </c>
      <c r="GQ19" t="s">
        <v>451</v>
      </c>
      <c r="GR19">
        <v>3.13295</v>
      </c>
      <c r="GS19">
        <v>2.71398</v>
      </c>
      <c r="GT19">
        <v>0.0863989</v>
      </c>
      <c r="GU19">
        <v>0.0868507</v>
      </c>
      <c r="GV19">
        <v>0.0654952</v>
      </c>
      <c r="GW19">
        <v>0.06566279999999999</v>
      </c>
      <c r="GX19">
        <v>27830.3</v>
      </c>
      <c r="GY19">
        <v>26969.7</v>
      </c>
      <c r="GZ19">
        <v>30980</v>
      </c>
      <c r="HA19">
        <v>29761.2</v>
      </c>
      <c r="HB19">
        <v>39909.5</v>
      </c>
      <c r="HC19">
        <v>36574.6</v>
      </c>
      <c r="HD19">
        <v>47322.7</v>
      </c>
      <c r="HE19">
        <v>44200.8</v>
      </c>
      <c r="HF19">
        <v>1.89307</v>
      </c>
      <c r="HG19">
        <v>1.9013</v>
      </c>
      <c r="HH19">
        <v>0.0291765</v>
      </c>
      <c r="HI19">
        <v>0</v>
      </c>
      <c r="HJ19">
        <v>17.5085</v>
      </c>
      <c r="HK19">
        <v>999.9</v>
      </c>
      <c r="HL19">
        <v>31.6</v>
      </c>
      <c r="HM19">
        <v>30.9</v>
      </c>
      <c r="HN19">
        <v>15.7895</v>
      </c>
      <c r="HO19">
        <v>63.2807</v>
      </c>
      <c r="HP19">
        <v>20.4167</v>
      </c>
      <c r="HQ19">
        <v>1</v>
      </c>
      <c r="HR19">
        <v>-0.32903</v>
      </c>
      <c r="HS19">
        <v>1.48503</v>
      </c>
      <c r="HT19">
        <v>20.2108</v>
      </c>
      <c r="HU19">
        <v>5.2411</v>
      </c>
      <c r="HV19">
        <v>11.968</v>
      </c>
      <c r="HW19">
        <v>4.9737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4.97294</v>
      </c>
      <c r="ID19">
        <v>1.87743</v>
      </c>
      <c r="IE19">
        <v>1.87546</v>
      </c>
      <c r="IF19">
        <v>1.8783</v>
      </c>
      <c r="IG19">
        <v>1.87504</v>
      </c>
      <c r="IH19">
        <v>1.87859</v>
      </c>
      <c r="II19">
        <v>1.87573</v>
      </c>
      <c r="IJ19">
        <v>1.87687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0.534</v>
      </c>
      <c r="IY19">
        <v>0.0567</v>
      </c>
      <c r="IZ19">
        <v>0.05962679757231274</v>
      </c>
      <c r="JA19">
        <v>0.001226855107158112</v>
      </c>
      <c r="JB19">
        <v>-3.035205684124237E-07</v>
      </c>
      <c r="JC19">
        <v>1.619134626827227E-10</v>
      </c>
      <c r="JD19">
        <v>-0.0304923956573813</v>
      </c>
      <c r="JE19">
        <v>-0.002736280719339335</v>
      </c>
      <c r="JF19">
        <v>0.0009903551140151546</v>
      </c>
      <c r="JG19">
        <v>-1.214181672830105E-05</v>
      </c>
      <c r="JH19">
        <v>0</v>
      </c>
      <c r="JI19">
        <v>2131</v>
      </c>
      <c r="JJ19">
        <v>1</v>
      </c>
      <c r="JK19">
        <v>22</v>
      </c>
      <c r="JL19">
        <v>29345584.9</v>
      </c>
      <c r="JM19">
        <v>29345584.9</v>
      </c>
      <c r="JN19">
        <v>1.10596</v>
      </c>
      <c r="JO19">
        <v>2.52319</v>
      </c>
      <c r="JP19">
        <v>1.39893</v>
      </c>
      <c r="JQ19">
        <v>2.33276</v>
      </c>
      <c r="JR19">
        <v>1.44897</v>
      </c>
      <c r="JS19">
        <v>2.47925</v>
      </c>
      <c r="JT19">
        <v>36.6233</v>
      </c>
      <c r="JU19">
        <v>24.035</v>
      </c>
      <c r="JV19">
        <v>18</v>
      </c>
      <c r="JW19">
        <v>471.816</v>
      </c>
      <c r="JX19">
        <v>444.675</v>
      </c>
      <c r="JY19">
        <v>16.1655</v>
      </c>
      <c r="JZ19">
        <v>22.649</v>
      </c>
      <c r="KA19">
        <v>30</v>
      </c>
      <c r="KB19">
        <v>22.392</v>
      </c>
      <c r="KC19">
        <v>22.4653</v>
      </c>
      <c r="KD19">
        <v>22.1659</v>
      </c>
      <c r="KE19">
        <v>21.6077</v>
      </c>
      <c r="KF19">
        <v>6.102</v>
      </c>
      <c r="KG19">
        <v>16.1756</v>
      </c>
      <c r="KH19">
        <v>420</v>
      </c>
      <c r="KI19">
        <v>11.9096</v>
      </c>
      <c r="KJ19">
        <v>102.327</v>
      </c>
      <c r="KK19">
        <v>101.69</v>
      </c>
    </row>
    <row r="20" spans="1:297">
      <c r="A20">
        <v>4</v>
      </c>
      <c r="B20">
        <v>1760735580.5</v>
      </c>
      <c r="C20">
        <v>806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1760735572.75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424.6906877086473</v>
      </c>
      <c r="AK20">
        <v>425.1579272727274</v>
      </c>
      <c r="AL20">
        <v>-0.002601361759939846</v>
      </c>
      <c r="AM20">
        <v>65.32819072403946</v>
      </c>
      <c r="AN20">
        <f>(AP20 - AO20 + DY20*1E3/(8.314*(EA20+273.15)) * AR20/DX20 * AQ20) * DX20/(100*DL20) * 1000/(1000 - AP20)</f>
        <v>0</v>
      </c>
      <c r="AO20">
        <v>11.11725078212465</v>
      </c>
      <c r="AP20">
        <v>11.97307212121212</v>
      </c>
      <c r="AQ20">
        <v>-1.874383790958722E-06</v>
      </c>
      <c r="AR20">
        <v>119.0395000307702</v>
      </c>
      <c r="AS20">
        <v>10</v>
      </c>
      <c r="AT20">
        <v>2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5047.67</v>
      </c>
      <c r="AZ20">
        <v>646.7461538461539</v>
      </c>
      <c r="BA20">
        <v>2331.78</v>
      </c>
      <c r="BB20">
        <f>1-AZ20/BA20</f>
        <v>0</v>
      </c>
      <c r="BC20">
        <v>-0.3746885265170831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1760735572.75</v>
      </c>
      <c r="DR20">
        <v>420.0671</v>
      </c>
      <c r="DS20">
        <v>420.0057333333334</v>
      </c>
      <c r="DT20">
        <v>11.97338</v>
      </c>
      <c r="DU20">
        <v>11.11893333333333</v>
      </c>
      <c r="DV20">
        <v>419.5341333333334</v>
      </c>
      <c r="DW20">
        <v>11.91639333333334</v>
      </c>
      <c r="DX20">
        <v>500.0214333333333</v>
      </c>
      <c r="DY20">
        <v>89.76165666666667</v>
      </c>
      <c r="DZ20">
        <v>0.03628456999999999</v>
      </c>
      <c r="EA20">
        <v>18.59812</v>
      </c>
      <c r="EB20">
        <v>18.00971333333333</v>
      </c>
      <c r="EC20">
        <v>999.9000000000002</v>
      </c>
      <c r="ED20">
        <v>0</v>
      </c>
      <c r="EE20">
        <v>0</v>
      </c>
      <c r="EF20">
        <v>10010.952</v>
      </c>
      <c r="EG20">
        <v>0</v>
      </c>
      <c r="EH20">
        <v>0.2402853333333334</v>
      </c>
      <c r="EI20">
        <v>0.06126611200000001</v>
      </c>
      <c r="EJ20">
        <v>425.1577</v>
      </c>
      <c r="EK20">
        <v>424.7282666666667</v>
      </c>
      <c r="EL20">
        <v>0.8544476666666667</v>
      </c>
      <c r="EM20">
        <v>420.0057333333334</v>
      </c>
      <c r="EN20">
        <v>11.11893333333333</v>
      </c>
      <c r="EO20">
        <v>1.074750666666667</v>
      </c>
      <c r="EP20">
        <v>0.9980538666666665</v>
      </c>
      <c r="EQ20">
        <v>7.971166000000001</v>
      </c>
      <c r="ER20">
        <v>6.888000333333333</v>
      </c>
      <c r="ES20">
        <v>0.005000559999999998</v>
      </c>
      <c r="ET20">
        <v>0</v>
      </c>
      <c r="EU20">
        <v>0</v>
      </c>
      <c r="EV20">
        <v>0</v>
      </c>
      <c r="EW20">
        <v>646.9533333333333</v>
      </c>
      <c r="EX20">
        <v>0.005000559999999998</v>
      </c>
      <c r="EY20">
        <v>-7.463333333333334</v>
      </c>
      <c r="EZ20">
        <v>-1.853333333333333</v>
      </c>
      <c r="FA20">
        <v>34.108</v>
      </c>
      <c r="FB20">
        <v>39.16426666666666</v>
      </c>
      <c r="FC20">
        <v>36.71643333333332</v>
      </c>
      <c r="FD20">
        <v>39.49976666666665</v>
      </c>
      <c r="FE20">
        <v>36.44543333333333</v>
      </c>
      <c r="FF20">
        <v>0</v>
      </c>
      <c r="FG20">
        <v>0</v>
      </c>
      <c r="FH20">
        <v>0</v>
      </c>
      <c r="FI20">
        <v>488.2000000476837</v>
      </c>
      <c r="FJ20">
        <v>0</v>
      </c>
      <c r="FK20">
        <v>646.7461538461539</v>
      </c>
      <c r="FL20">
        <v>1.476922668409155</v>
      </c>
      <c r="FM20">
        <v>-10.93333328364664</v>
      </c>
      <c r="FN20">
        <v>-7.576923076923077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0.06976700499999999</v>
      </c>
      <c r="GD20">
        <v>-0.08332542664165107</v>
      </c>
      <c r="GE20">
        <v>0.03564783350761971</v>
      </c>
      <c r="GF20">
        <v>1</v>
      </c>
      <c r="GG20">
        <v>647.135294117647</v>
      </c>
      <c r="GH20">
        <v>-0.7853325275775932</v>
      </c>
      <c r="GI20">
        <v>6.165791889074516</v>
      </c>
      <c r="GJ20">
        <v>1</v>
      </c>
      <c r="GK20">
        <v>0.8513930750000001</v>
      </c>
      <c r="GL20">
        <v>0.05127054033770889</v>
      </c>
      <c r="GM20">
        <v>0.005337528535696553</v>
      </c>
      <c r="GN20">
        <v>1</v>
      </c>
      <c r="GO20">
        <v>3</v>
      </c>
      <c r="GP20">
        <v>3</v>
      </c>
      <c r="GQ20" t="s">
        <v>456</v>
      </c>
      <c r="GR20">
        <v>3.13326</v>
      </c>
      <c r="GS20">
        <v>2.71416</v>
      </c>
      <c r="GT20">
        <v>0.0863298</v>
      </c>
      <c r="GU20">
        <v>0.0868601</v>
      </c>
      <c r="GV20">
        <v>0.06556819999999999</v>
      </c>
      <c r="GW20">
        <v>0.0624276</v>
      </c>
      <c r="GX20">
        <v>27838.2</v>
      </c>
      <c r="GY20">
        <v>26972.6</v>
      </c>
      <c r="GZ20">
        <v>30986.2</v>
      </c>
      <c r="HA20">
        <v>29764.5</v>
      </c>
      <c r="HB20">
        <v>39914.3</v>
      </c>
      <c r="HC20">
        <v>36708.9</v>
      </c>
      <c r="HD20">
        <v>47332.1</v>
      </c>
      <c r="HE20">
        <v>44207.9</v>
      </c>
      <c r="HF20">
        <v>1.8946</v>
      </c>
      <c r="HG20">
        <v>1.89905</v>
      </c>
      <c r="HH20">
        <v>0.0331625</v>
      </c>
      <c r="HI20">
        <v>0</v>
      </c>
      <c r="HJ20">
        <v>17.4604</v>
      </c>
      <c r="HK20">
        <v>999.9</v>
      </c>
      <c r="HL20">
        <v>30.2</v>
      </c>
      <c r="HM20">
        <v>31.1</v>
      </c>
      <c r="HN20">
        <v>15.2669</v>
      </c>
      <c r="HO20">
        <v>62.7707</v>
      </c>
      <c r="HP20">
        <v>20.3566</v>
      </c>
      <c r="HQ20">
        <v>1</v>
      </c>
      <c r="HR20">
        <v>-0.333272</v>
      </c>
      <c r="HS20">
        <v>1.3649</v>
      </c>
      <c r="HT20">
        <v>20.2124</v>
      </c>
      <c r="HU20">
        <v>5.24065</v>
      </c>
      <c r="HV20">
        <v>11.968</v>
      </c>
      <c r="HW20">
        <v>4.97285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4.97291</v>
      </c>
      <c r="ID20">
        <v>1.87738</v>
      </c>
      <c r="IE20">
        <v>1.87545</v>
      </c>
      <c r="IF20">
        <v>1.87822</v>
      </c>
      <c r="IG20">
        <v>1.875</v>
      </c>
      <c r="IH20">
        <v>1.87851</v>
      </c>
      <c r="II20">
        <v>1.87566</v>
      </c>
      <c r="IJ20">
        <v>1.87683</v>
      </c>
      <c r="IK20">
        <v>0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0.533</v>
      </c>
      <c r="IY20">
        <v>0.0569</v>
      </c>
      <c r="IZ20">
        <v>0.05962679757231274</v>
      </c>
      <c r="JA20">
        <v>0.001226855107158112</v>
      </c>
      <c r="JB20">
        <v>-3.035205684124237E-07</v>
      </c>
      <c r="JC20">
        <v>1.619134626827227E-10</v>
      </c>
      <c r="JD20">
        <v>-0.0304923956573813</v>
      </c>
      <c r="JE20">
        <v>-0.002736280719339335</v>
      </c>
      <c r="JF20">
        <v>0.0009903551140151546</v>
      </c>
      <c r="JG20">
        <v>-1.214181672830105E-05</v>
      </c>
      <c r="JH20">
        <v>0</v>
      </c>
      <c r="JI20">
        <v>2131</v>
      </c>
      <c r="JJ20">
        <v>1</v>
      </c>
      <c r="JK20">
        <v>22</v>
      </c>
      <c r="JL20">
        <v>29345593</v>
      </c>
      <c r="JM20">
        <v>29345593</v>
      </c>
      <c r="JN20">
        <v>1.10596</v>
      </c>
      <c r="JO20">
        <v>2.51343</v>
      </c>
      <c r="JP20">
        <v>1.39893</v>
      </c>
      <c r="JQ20">
        <v>2.33398</v>
      </c>
      <c r="JR20">
        <v>1.44897</v>
      </c>
      <c r="JS20">
        <v>2.59521</v>
      </c>
      <c r="JT20">
        <v>36.7417</v>
      </c>
      <c r="JU20">
        <v>24.0437</v>
      </c>
      <c r="JV20">
        <v>18</v>
      </c>
      <c r="JW20">
        <v>472.43</v>
      </c>
      <c r="JX20">
        <v>443.126</v>
      </c>
      <c r="JY20">
        <v>16.4676</v>
      </c>
      <c r="JZ20">
        <v>22.605</v>
      </c>
      <c r="KA20">
        <v>30.0001</v>
      </c>
      <c r="KB20">
        <v>22.3674</v>
      </c>
      <c r="KC20">
        <v>22.4427</v>
      </c>
      <c r="KD20">
        <v>22.1639</v>
      </c>
      <c r="KE20">
        <v>23.6843</v>
      </c>
      <c r="KF20">
        <v>2.00623</v>
      </c>
      <c r="KG20">
        <v>16.4584</v>
      </c>
      <c r="KH20">
        <v>420</v>
      </c>
      <c r="KI20">
        <v>11.1578</v>
      </c>
      <c r="KJ20">
        <v>102.348</v>
      </c>
      <c r="KK20">
        <v>101.705</v>
      </c>
    </row>
    <row r="21" spans="1:297">
      <c r="A21">
        <v>5</v>
      </c>
      <c r="B21">
        <v>1760735720</v>
      </c>
      <c r="C21">
        <v>945.5</v>
      </c>
      <c r="D21" t="s">
        <v>457</v>
      </c>
      <c r="E21" t="s">
        <v>458</v>
      </c>
      <c r="F21">
        <v>5</v>
      </c>
      <c r="G21" t="s">
        <v>454</v>
      </c>
      <c r="H21" t="s">
        <v>436</v>
      </c>
      <c r="I21">
        <v>1760735712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424.7590906263965</v>
      </c>
      <c r="AK21">
        <v>425.1823636363634</v>
      </c>
      <c r="AL21">
        <v>1.320816757923695E-05</v>
      </c>
      <c r="AM21">
        <v>65.32819072403946</v>
      </c>
      <c r="AN21">
        <f>(AP21 - AO21 + DY21*1E3/(8.314*(EA21+273.15)) * AR21/DX21 * AQ21) * DX21/(100*DL21) * 1000/(1000 - AP21)</f>
        <v>0</v>
      </c>
      <c r="AO21">
        <v>11.23614833406737</v>
      </c>
      <c r="AP21">
        <v>11.98277090909091</v>
      </c>
      <c r="AQ21">
        <v>-2.021300176145308E-07</v>
      </c>
      <c r="AR21">
        <v>119.0395000307702</v>
      </c>
      <c r="AS21">
        <v>10</v>
      </c>
      <c r="AT21">
        <v>2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459</v>
      </c>
      <c r="AY21">
        <v>5047.22</v>
      </c>
      <c r="AZ21">
        <v>692.3153846153845</v>
      </c>
      <c r="BA21">
        <v>2299.78</v>
      </c>
      <c r="BB21">
        <f>1-AZ21/BA21</f>
        <v>0</v>
      </c>
      <c r="BC21">
        <v>-0.3488298171216816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1760735712</v>
      </c>
      <c r="DR21">
        <v>420.0786451612902</v>
      </c>
      <c r="DS21">
        <v>420.000935483871</v>
      </c>
      <c r="DT21">
        <v>11.98305483870968</v>
      </c>
      <c r="DU21">
        <v>11.23715806451613</v>
      </c>
      <c r="DV21">
        <v>419.5457741935483</v>
      </c>
      <c r="DW21">
        <v>11.92591935483871</v>
      </c>
      <c r="DX21">
        <v>500.019129032258</v>
      </c>
      <c r="DY21">
        <v>89.75467741935483</v>
      </c>
      <c r="DZ21">
        <v>0.03609032258064517</v>
      </c>
      <c r="EA21">
        <v>18.57642580645161</v>
      </c>
      <c r="EB21">
        <v>18.00481612903226</v>
      </c>
      <c r="EC21">
        <v>999.9000000000003</v>
      </c>
      <c r="ED21">
        <v>0</v>
      </c>
      <c r="EE21">
        <v>0</v>
      </c>
      <c r="EF21">
        <v>10000.61064516129</v>
      </c>
      <c r="EG21">
        <v>0</v>
      </c>
      <c r="EH21">
        <v>0.2345804516129033</v>
      </c>
      <c r="EI21">
        <v>0.07778436774193549</v>
      </c>
      <c r="EJ21">
        <v>425.1735806451613</v>
      </c>
      <c r="EK21">
        <v>424.774129032258</v>
      </c>
      <c r="EL21">
        <v>0.7459049032258066</v>
      </c>
      <c r="EM21">
        <v>420.000935483871</v>
      </c>
      <c r="EN21">
        <v>11.23715806451613</v>
      </c>
      <c r="EO21">
        <v>1.075535161290323</v>
      </c>
      <c r="EP21">
        <v>1.008585806451613</v>
      </c>
      <c r="EQ21">
        <v>7.981895806451612</v>
      </c>
      <c r="ER21">
        <v>7.041019677419355</v>
      </c>
      <c r="ES21">
        <v>0.005000559999999997</v>
      </c>
      <c r="ET21">
        <v>0</v>
      </c>
      <c r="EU21">
        <v>0</v>
      </c>
      <c r="EV21">
        <v>0</v>
      </c>
      <c r="EW21">
        <v>692.8419354838709</v>
      </c>
      <c r="EX21">
        <v>0.005000559999999997</v>
      </c>
      <c r="EY21">
        <v>-6.870967741935483</v>
      </c>
      <c r="EZ21">
        <v>-2.225806451612903</v>
      </c>
      <c r="FA21">
        <v>34.11661290322581</v>
      </c>
      <c r="FB21">
        <v>39.62093548387097</v>
      </c>
      <c r="FC21">
        <v>36.92722580645161</v>
      </c>
      <c r="FD21">
        <v>40.4796129032258</v>
      </c>
      <c r="FE21">
        <v>36.70935483870968</v>
      </c>
      <c r="FF21">
        <v>0</v>
      </c>
      <c r="FG21">
        <v>0</v>
      </c>
      <c r="FH21">
        <v>0</v>
      </c>
      <c r="FI21">
        <v>138.7999999523163</v>
      </c>
      <c r="FJ21">
        <v>0</v>
      </c>
      <c r="FK21">
        <v>692.3153846153845</v>
      </c>
      <c r="FL21">
        <v>-23.01538451995543</v>
      </c>
      <c r="FM21">
        <v>-22.68034179152082</v>
      </c>
      <c r="FN21">
        <v>-6.784615384615384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0.07545062195121952</v>
      </c>
      <c r="GD21">
        <v>0.0217058634146341</v>
      </c>
      <c r="GE21">
        <v>0.02416919638214697</v>
      </c>
      <c r="GF21">
        <v>1</v>
      </c>
      <c r="GG21">
        <v>694.770588235294</v>
      </c>
      <c r="GH21">
        <v>-37.8884644451071</v>
      </c>
      <c r="GI21">
        <v>6.555757658540201</v>
      </c>
      <c r="GJ21">
        <v>0</v>
      </c>
      <c r="GK21">
        <v>0.7448469756097561</v>
      </c>
      <c r="GL21">
        <v>0.01703684320557622</v>
      </c>
      <c r="GM21">
        <v>0.002028527791134523</v>
      </c>
      <c r="GN21">
        <v>1</v>
      </c>
      <c r="GO21">
        <v>2</v>
      </c>
      <c r="GP21">
        <v>3</v>
      </c>
      <c r="GQ21" t="s">
        <v>441</v>
      </c>
      <c r="GR21">
        <v>3.13316</v>
      </c>
      <c r="GS21">
        <v>2.7134</v>
      </c>
      <c r="GT21">
        <v>0.0863338</v>
      </c>
      <c r="GU21">
        <v>0.0868477</v>
      </c>
      <c r="GV21">
        <v>0.06561259999999999</v>
      </c>
      <c r="GW21">
        <v>0.0629291</v>
      </c>
      <c r="GX21">
        <v>27840.4</v>
      </c>
      <c r="GY21">
        <v>26973.3</v>
      </c>
      <c r="GZ21">
        <v>30988.6</v>
      </c>
      <c r="HA21">
        <v>29764.7</v>
      </c>
      <c r="HB21">
        <v>39916.1</v>
      </c>
      <c r="HC21">
        <v>36689.2</v>
      </c>
      <c r="HD21">
        <v>47336.5</v>
      </c>
      <c r="HE21">
        <v>44208.1</v>
      </c>
      <c r="HF21">
        <v>1.8948</v>
      </c>
      <c r="HG21">
        <v>1.8995</v>
      </c>
      <c r="HH21">
        <v>0.0308082</v>
      </c>
      <c r="HI21">
        <v>0</v>
      </c>
      <c r="HJ21">
        <v>17.4906</v>
      </c>
      <c r="HK21">
        <v>999.9</v>
      </c>
      <c r="HL21">
        <v>30</v>
      </c>
      <c r="HM21">
        <v>31.1</v>
      </c>
      <c r="HN21">
        <v>15.1655</v>
      </c>
      <c r="HO21">
        <v>63.6807</v>
      </c>
      <c r="HP21">
        <v>20.3245</v>
      </c>
      <c r="HQ21">
        <v>1</v>
      </c>
      <c r="HR21">
        <v>-0.334642</v>
      </c>
      <c r="HS21">
        <v>1.41562</v>
      </c>
      <c r="HT21">
        <v>20.2113</v>
      </c>
      <c r="HU21">
        <v>5.23286</v>
      </c>
      <c r="HV21">
        <v>11.968</v>
      </c>
      <c r="HW21">
        <v>4.9715</v>
      </c>
      <c r="HX21">
        <v>3.29033</v>
      </c>
      <c r="HY21">
        <v>9999</v>
      </c>
      <c r="HZ21">
        <v>9999</v>
      </c>
      <c r="IA21">
        <v>9999</v>
      </c>
      <c r="IB21">
        <v>999.9</v>
      </c>
      <c r="IC21">
        <v>4.97292</v>
      </c>
      <c r="ID21">
        <v>1.87731</v>
      </c>
      <c r="IE21">
        <v>1.87545</v>
      </c>
      <c r="IF21">
        <v>1.87821</v>
      </c>
      <c r="IG21">
        <v>1.875</v>
      </c>
      <c r="IH21">
        <v>1.87852</v>
      </c>
      <c r="II21">
        <v>1.87564</v>
      </c>
      <c r="IJ21">
        <v>1.87683</v>
      </c>
      <c r="IK21">
        <v>0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0.533</v>
      </c>
      <c r="IY21">
        <v>0.0571</v>
      </c>
      <c r="IZ21">
        <v>0.05962679757231274</v>
      </c>
      <c r="JA21">
        <v>0.001226855107158112</v>
      </c>
      <c r="JB21">
        <v>-3.035205684124237E-07</v>
      </c>
      <c r="JC21">
        <v>1.619134626827227E-10</v>
      </c>
      <c r="JD21">
        <v>-0.0304923956573813</v>
      </c>
      <c r="JE21">
        <v>-0.002736280719339335</v>
      </c>
      <c r="JF21">
        <v>0.0009903551140151546</v>
      </c>
      <c r="JG21">
        <v>-1.214181672830105E-05</v>
      </c>
      <c r="JH21">
        <v>0</v>
      </c>
      <c r="JI21">
        <v>2131</v>
      </c>
      <c r="JJ21">
        <v>1</v>
      </c>
      <c r="JK21">
        <v>22</v>
      </c>
      <c r="JL21">
        <v>29345595.3</v>
      </c>
      <c r="JM21">
        <v>29345595.3</v>
      </c>
      <c r="JN21">
        <v>1.10596</v>
      </c>
      <c r="JO21">
        <v>2.51831</v>
      </c>
      <c r="JP21">
        <v>1.39893</v>
      </c>
      <c r="JQ21">
        <v>2.33398</v>
      </c>
      <c r="JR21">
        <v>1.44897</v>
      </c>
      <c r="JS21">
        <v>2.58545</v>
      </c>
      <c r="JT21">
        <v>36.7892</v>
      </c>
      <c r="JU21">
        <v>24.035</v>
      </c>
      <c r="JV21">
        <v>18</v>
      </c>
      <c r="JW21">
        <v>472.375</v>
      </c>
      <c r="JX21">
        <v>443.221</v>
      </c>
      <c r="JY21">
        <v>16.3454</v>
      </c>
      <c r="JZ21">
        <v>22.5786</v>
      </c>
      <c r="KA21">
        <v>30</v>
      </c>
      <c r="KB21">
        <v>22.3453</v>
      </c>
      <c r="KC21">
        <v>22.4219</v>
      </c>
      <c r="KD21">
        <v>22.1713</v>
      </c>
      <c r="KE21">
        <v>22.5608</v>
      </c>
      <c r="KF21">
        <v>1.26093</v>
      </c>
      <c r="KG21">
        <v>16.3318</v>
      </c>
      <c r="KH21">
        <v>420</v>
      </c>
      <c r="KI21">
        <v>11.2537</v>
      </c>
      <c r="KJ21">
        <v>102.357</v>
      </c>
      <c r="KK21">
        <v>101.705</v>
      </c>
    </row>
    <row r="22" spans="1:297">
      <c r="A22">
        <v>6</v>
      </c>
      <c r="B22">
        <v>1760735839</v>
      </c>
      <c r="C22">
        <v>1064.5</v>
      </c>
      <c r="D22" t="s">
        <v>460</v>
      </c>
      <c r="E22" t="s">
        <v>461</v>
      </c>
      <c r="F22">
        <v>5</v>
      </c>
      <c r="G22" t="s">
        <v>454</v>
      </c>
      <c r="H22" t="s">
        <v>436</v>
      </c>
      <c r="I22">
        <v>1760735831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424.8004562262283</v>
      </c>
      <c r="AK22">
        <v>425.149321212121</v>
      </c>
      <c r="AL22">
        <v>-0.0001221118338567087</v>
      </c>
      <c r="AM22">
        <v>65.32819072403946</v>
      </c>
      <c r="AN22">
        <f>(AP22 - AO22 + DY22*1E3/(8.314*(EA22+273.15)) * AR22/DX22 * AQ22) * DX22/(100*DL22) * 1000/(1000 - AP22)</f>
        <v>0</v>
      </c>
      <c r="AO22">
        <v>11.27335336143236</v>
      </c>
      <c r="AP22">
        <v>11.94456303030303</v>
      </c>
      <c r="AQ22">
        <v>-6.490096736683745E-06</v>
      </c>
      <c r="AR22">
        <v>119.0395000307702</v>
      </c>
      <c r="AS22">
        <v>10</v>
      </c>
      <c r="AT22">
        <v>2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462</v>
      </c>
      <c r="AY22">
        <v>5046.88</v>
      </c>
      <c r="AZ22">
        <v>699.3115384615386</v>
      </c>
      <c r="BA22">
        <v>2271.7</v>
      </c>
      <c r="BB22">
        <f>1-AZ22/BA22</f>
        <v>0</v>
      </c>
      <c r="BC22">
        <v>-0.2869591367340368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1760735831</v>
      </c>
      <c r="DR22">
        <v>420.0721935483871</v>
      </c>
      <c r="DS22">
        <v>420.0013548387097</v>
      </c>
      <c r="DT22">
        <v>11.94751612903226</v>
      </c>
      <c r="DU22">
        <v>11.27246451612903</v>
      </c>
      <c r="DV22">
        <v>419.5392903225807</v>
      </c>
      <c r="DW22">
        <v>11.89092903225806</v>
      </c>
      <c r="DX22">
        <v>500.0033548387096</v>
      </c>
      <c r="DY22">
        <v>89.75019999999998</v>
      </c>
      <c r="DZ22">
        <v>0.03631241935483871</v>
      </c>
      <c r="EA22">
        <v>18.55919032258065</v>
      </c>
      <c r="EB22">
        <v>18.00276451612903</v>
      </c>
      <c r="EC22">
        <v>999.9000000000003</v>
      </c>
      <c r="ED22">
        <v>0</v>
      </c>
      <c r="EE22">
        <v>0</v>
      </c>
      <c r="EF22">
        <v>9995.644838709677</v>
      </c>
      <c r="EG22">
        <v>0</v>
      </c>
      <c r="EH22">
        <v>0.220656</v>
      </c>
      <c r="EI22">
        <v>0.07065807419354839</v>
      </c>
      <c r="EJ22">
        <v>425.1515806451612</v>
      </c>
      <c r="EK22">
        <v>424.7899032258065</v>
      </c>
      <c r="EL22">
        <v>0.6750383548387094</v>
      </c>
      <c r="EM22">
        <v>420.0013548387097</v>
      </c>
      <c r="EN22">
        <v>11.27246451612903</v>
      </c>
      <c r="EO22">
        <v>1.07229064516129</v>
      </c>
      <c r="EP22">
        <v>1.011706774193548</v>
      </c>
      <c r="EQ22">
        <v>7.937517741935485</v>
      </c>
      <c r="ER22">
        <v>7.086075161290323</v>
      </c>
      <c r="ES22">
        <v>0.005000559999999997</v>
      </c>
      <c r="ET22">
        <v>0</v>
      </c>
      <c r="EU22">
        <v>0</v>
      </c>
      <c r="EV22">
        <v>0</v>
      </c>
      <c r="EW22">
        <v>699.858064516129</v>
      </c>
      <c r="EX22">
        <v>0.005000559999999997</v>
      </c>
      <c r="EY22">
        <v>-5.05483870967742</v>
      </c>
      <c r="EZ22">
        <v>-2.154838709677419</v>
      </c>
      <c r="FA22">
        <v>34.15496774193548</v>
      </c>
      <c r="FB22">
        <v>39.82216129032257</v>
      </c>
      <c r="FC22">
        <v>37.04612903225806</v>
      </c>
      <c r="FD22">
        <v>40.92299999999999</v>
      </c>
      <c r="FE22">
        <v>36.8628064516129</v>
      </c>
      <c r="FF22">
        <v>0</v>
      </c>
      <c r="FG22">
        <v>0</v>
      </c>
      <c r="FH22">
        <v>0</v>
      </c>
      <c r="FI22">
        <v>118.5999999046326</v>
      </c>
      <c r="FJ22">
        <v>0</v>
      </c>
      <c r="FK22">
        <v>699.3115384615386</v>
      </c>
      <c r="FL22">
        <v>-33.35726453274203</v>
      </c>
      <c r="FM22">
        <v>-0.5538460340464246</v>
      </c>
      <c r="FN22">
        <v>-4.576923076923077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0.07339851487804878</v>
      </c>
      <c r="GD22">
        <v>-0.04531512543553996</v>
      </c>
      <c r="GE22">
        <v>0.03203647569653928</v>
      </c>
      <c r="GF22">
        <v>1</v>
      </c>
      <c r="GG22">
        <v>701.3441176470589</v>
      </c>
      <c r="GH22">
        <v>-28.39266591773891</v>
      </c>
      <c r="GI22">
        <v>7.074651983811046</v>
      </c>
      <c r="GJ22">
        <v>0</v>
      </c>
      <c r="GK22">
        <v>0.6767481463414634</v>
      </c>
      <c r="GL22">
        <v>-0.03482201393728201</v>
      </c>
      <c r="GM22">
        <v>0.003461313895188243</v>
      </c>
      <c r="GN22">
        <v>1</v>
      </c>
      <c r="GO22">
        <v>2</v>
      </c>
      <c r="GP22">
        <v>3</v>
      </c>
      <c r="GQ22" t="s">
        <v>441</v>
      </c>
      <c r="GR22">
        <v>3.13314</v>
      </c>
      <c r="GS22">
        <v>2.71396</v>
      </c>
      <c r="GT22">
        <v>0.0863241</v>
      </c>
      <c r="GU22">
        <v>0.08684210000000001</v>
      </c>
      <c r="GV22">
        <v>0.06545380000000001</v>
      </c>
      <c r="GW22">
        <v>0.0630868</v>
      </c>
      <c r="GX22">
        <v>27839.6</v>
      </c>
      <c r="GY22">
        <v>26972.4</v>
      </c>
      <c r="GZ22">
        <v>30987.4</v>
      </c>
      <c r="HA22">
        <v>29763.5</v>
      </c>
      <c r="HB22">
        <v>39921.4</v>
      </c>
      <c r="HC22">
        <v>36682.1</v>
      </c>
      <c r="HD22">
        <v>47334.6</v>
      </c>
      <c r="HE22">
        <v>44207.1</v>
      </c>
      <c r="HF22">
        <v>1.89452</v>
      </c>
      <c r="HG22">
        <v>1.8994</v>
      </c>
      <c r="HH22">
        <v>0.028573</v>
      </c>
      <c r="HI22">
        <v>0</v>
      </c>
      <c r="HJ22">
        <v>17.5238</v>
      </c>
      <c r="HK22">
        <v>999.9</v>
      </c>
      <c r="HL22">
        <v>30</v>
      </c>
      <c r="HM22">
        <v>31.2</v>
      </c>
      <c r="HN22">
        <v>15.2526</v>
      </c>
      <c r="HO22">
        <v>63.9607</v>
      </c>
      <c r="HP22">
        <v>20.4567</v>
      </c>
      <c r="HQ22">
        <v>1</v>
      </c>
      <c r="HR22">
        <v>-0.333969</v>
      </c>
      <c r="HS22">
        <v>1.49193</v>
      </c>
      <c r="HT22">
        <v>20.2112</v>
      </c>
      <c r="HU22">
        <v>5.23945</v>
      </c>
      <c r="HV22">
        <v>11.968</v>
      </c>
      <c r="HW22">
        <v>4.97295</v>
      </c>
      <c r="HX22">
        <v>3.291</v>
      </c>
      <c r="HY22">
        <v>9999</v>
      </c>
      <c r="HZ22">
        <v>9999</v>
      </c>
      <c r="IA22">
        <v>9999</v>
      </c>
      <c r="IB22">
        <v>999.9</v>
      </c>
      <c r="IC22">
        <v>4.97296</v>
      </c>
      <c r="ID22">
        <v>1.87744</v>
      </c>
      <c r="IE22">
        <v>1.87549</v>
      </c>
      <c r="IF22">
        <v>1.87836</v>
      </c>
      <c r="IG22">
        <v>1.87507</v>
      </c>
      <c r="IH22">
        <v>1.87861</v>
      </c>
      <c r="II22">
        <v>1.87576</v>
      </c>
      <c r="IJ22">
        <v>1.87692</v>
      </c>
      <c r="IK22">
        <v>0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0.533</v>
      </c>
      <c r="IY22">
        <v>0.0566</v>
      </c>
      <c r="IZ22">
        <v>0.05962679757231274</v>
      </c>
      <c r="JA22">
        <v>0.001226855107158112</v>
      </c>
      <c r="JB22">
        <v>-3.035205684124237E-07</v>
      </c>
      <c r="JC22">
        <v>1.619134626827227E-10</v>
      </c>
      <c r="JD22">
        <v>-0.0304923956573813</v>
      </c>
      <c r="JE22">
        <v>-0.002736280719339335</v>
      </c>
      <c r="JF22">
        <v>0.0009903551140151546</v>
      </c>
      <c r="JG22">
        <v>-1.214181672830105E-05</v>
      </c>
      <c r="JH22">
        <v>0</v>
      </c>
      <c r="JI22">
        <v>2131</v>
      </c>
      <c r="JJ22">
        <v>1</v>
      </c>
      <c r="JK22">
        <v>22</v>
      </c>
      <c r="JL22">
        <v>29345597.3</v>
      </c>
      <c r="JM22">
        <v>29345597.3</v>
      </c>
      <c r="JN22">
        <v>1.10596</v>
      </c>
      <c r="JO22">
        <v>2.52197</v>
      </c>
      <c r="JP22">
        <v>1.39893</v>
      </c>
      <c r="JQ22">
        <v>2.33276</v>
      </c>
      <c r="JR22">
        <v>1.44897</v>
      </c>
      <c r="JS22">
        <v>2.51221</v>
      </c>
      <c r="JT22">
        <v>36.8366</v>
      </c>
      <c r="JU22">
        <v>24.035</v>
      </c>
      <c r="JV22">
        <v>18</v>
      </c>
      <c r="JW22">
        <v>472.202</v>
      </c>
      <c r="JX22">
        <v>443.113</v>
      </c>
      <c r="JY22">
        <v>16.2343</v>
      </c>
      <c r="JZ22">
        <v>22.5806</v>
      </c>
      <c r="KA22">
        <v>30.0001</v>
      </c>
      <c r="KB22">
        <v>22.341</v>
      </c>
      <c r="KC22">
        <v>22.4163</v>
      </c>
      <c r="KD22">
        <v>22.1703</v>
      </c>
      <c r="KE22">
        <v>22.5608</v>
      </c>
      <c r="KF22">
        <v>0.512323</v>
      </c>
      <c r="KG22">
        <v>16.2306</v>
      </c>
      <c r="KH22">
        <v>420</v>
      </c>
      <c r="KI22">
        <v>11.2731</v>
      </c>
      <c r="KJ22">
        <v>102.353</v>
      </c>
      <c r="KK22">
        <v>101.702</v>
      </c>
    </row>
    <row r="23" spans="1:297">
      <c r="A23">
        <v>7</v>
      </c>
      <c r="B23">
        <v>1760736125.1</v>
      </c>
      <c r="C23">
        <v>1350.599999904633</v>
      </c>
      <c r="D23" t="s">
        <v>463</v>
      </c>
      <c r="E23" t="s">
        <v>464</v>
      </c>
      <c r="F23">
        <v>5</v>
      </c>
      <c r="G23" t="s">
        <v>465</v>
      </c>
      <c r="H23" t="s">
        <v>436</v>
      </c>
      <c r="I23">
        <v>1760736117.099999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424.7795027107356</v>
      </c>
      <c r="AK23">
        <v>425.396321212121</v>
      </c>
      <c r="AL23">
        <v>-0.0004967494009373411</v>
      </c>
      <c r="AM23">
        <v>65.34625010937631</v>
      </c>
      <c r="AN23">
        <f>(AP23 - AO23 + DY23*1E3/(8.314*(EA23+273.15)) * AR23/DX23 * AQ23) * DX23/(100*DL23) * 1000/(1000 - AP23)</f>
        <v>0</v>
      </c>
      <c r="AO23">
        <v>11.31789647159452</v>
      </c>
      <c r="AP23">
        <v>12.02492666666666</v>
      </c>
      <c r="AQ23">
        <v>-2.048778273861019E-06</v>
      </c>
      <c r="AR23">
        <v>118.5002469663111</v>
      </c>
      <c r="AS23">
        <v>10</v>
      </c>
      <c r="AT23">
        <v>2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466</v>
      </c>
      <c r="AY23">
        <v>5054.37</v>
      </c>
      <c r="AZ23">
        <v>686.7</v>
      </c>
      <c r="BA23">
        <v>2364.41</v>
      </c>
      <c r="BB23">
        <f>1-AZ23/BA23</f>
        <v>0</v>
      </c>
      <c r="BC23">
        <v>-0.5062384710420811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1760736117.099999</v>
      </c>
      <c r="DR23">
        <v>420.2949677419355</v>
      </c>
      <c r="DS23">
        <v>419.9974838709677</v>
      </c>
      <c r="DT23">
        <v>12.02472903225806</v>
      </c>
      <c r="DU23">
        <v>11.31636451612903</v>
      </c>
      <c r="DV23">
        <v>419.7618709677421</v>
      </c>
      <c r="DW23">
        <v>11.96694516129032</v>
      </c>
      <c r="DX23">
        <v>500.0186129032259</v>
      </c>
      <c r="DY23">
        <v>89.75199354838708</v>
      </c>
      <c r="DZ23">
        <v>0.03642193548387097</v>
      </c>
      <c r="EA23">
        <v>18.61625483870968</v>
      </c>
      <c r="EB23">
        <v>18.00908387096774</v>
      </c>
      <c r="EC23">
        <v>999.9000000000003</v>
      </c>
      <c r="ED23">
        <v>0</v>
      </c>
      <c r="EE23">
        <v>0</v>
      </c>
      <c r="EF23">
        <v>9996.368387096774</v>
      </c>
      <c r="EG23">
        <v>0</v>
      </c>
      <c r="EH23">
        <v>0.220656</v>
      </c>
      <c r="EI23">
        <v>0.2974745161290323</v>
      </c>
      <c r="EJ23">
        <v>425.4104193548387</v>
      </c>
      <c r="EK23">
        <v>424.8047096774195</v>
      </c>
      <c r="EL23">
        <v>0.7083631935483869</v>
      </c>
      <c r="EM23">
        <v>419.9974838709677</v>
      </c>
      <c r="EN23">
        <v>11.31636451612903</v>
      </c>
      <c r="EO23">
        <v>1.079243870967742</v>
      </c>
      <c r="EP23">
        <v>1.015665806451613</v>
      </c>
      <c r="EQ23">
        <v>8.032481290322583</v>
      </c>
      <c r="ER23">
        <v>7.143073870967741</v>
      </c>
      <c r="ES23">
        <v>0.005000559999999997</v>
      </c>
      <c r="ET23">
        <v>0</v>
      </c>
      <c r="EU23">
        <v>0</v>
      </c>
      <c r="EV23">
        <v>0</v>
      </c>
      <c r="EW23">
        <v>687.4322580645161</v>
      </c>
      <c r="EX23">
        <v>0.005000559999999997</v>
      </c>
      <c r="EY23">
        <v>-5.187096774193548</v>
      </c>
      <c r="EZ23">
        <v>-2.464516129032258</v>
      </c>
      <c r="FA23">
        <v>34.85051612903226</v>
      </c>
      <c r="FB23">
        <v>40.13099999999999</v>
      </c>
      <c r="FC23">
        <v>37.34029032258064</v>
      </c>
      <c r="FD23">
        <v>41.53806451612903</v>
      </c>
      <c r="FE23">
        <v>37.19722580645161</v>
      </c>
      <c r="FF23">
        <v>0</v>
      </c>
      <c r="FG23">
        <v>0</v>
      </c>
      <c r="FH23">
        <v>0</v>
      </c>
      <c r="FI23">
        <v>285.5999999046326</v>
      </c>
      <c r="FJ23">
        <v>0</v>
      </c>
      <c r="FK23">
        <v>686.7</v>
      </c>
      <c r="FL23">
        <v>-11.72307639465402</v>
      </c>
      <c r="FM23">
        <v>23.41538500790529</v>
      </c>
      <c r="FN23">
        <v>-4.564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0.300586675</v>
      </c>
      <c r="GD23">
        <v>0.1457117110694183</v>
      </c>
      <c r="GE23">
        <v>0.03918755437277727</v>
      </c>
      <c r="GF23">
        <v>1</v>
      </c>
      <c r="GG23">
        <v>688.735294117647</v>
      </c>
      <c r="GH23">
        <v>-21.03284939579897</v>
      </c>
      <c r="GI23">
        <v>5.887268534375488</v>
      </c>
      <c r="GJ23">
        <v>0</v>
      </c>
      <c r="GK23">
        <v>0.70847265</v>
      </c>
      <c r="GL23">
        <v>-0.002263272045029515</v>
      </c>
      <c r="GM23">
        <v>0.0005717920754085332</v>
      </c>
      <c r="GN23">
        <v>1</v>
      </c>
      <c r="GO23">
        <v>2</v>
      </c>
      <c r="GP23">
        <v>3</v>
      </c>
      <c r="GQ23" t="s">
        <v>441</v>
      </c>
      <c r="GR23">
        <v>3.13286</v>
      </c>
      <c r="GS23">
        <v>2.71395</v>
      </c>
      <c r="GT23">
        <v>0.08635</v>
      </c>
      <c r="GU23">
        <v>0.08683680000000001</v>
      </c>
      <c r="GV23">
        <v>0.065773</v>
      </c>
      <c r="GW23">
        <v>0.0632638</v>
      </c>
      <c r="GX23">
        <v>27834.5</v>
      </c>
      <c r="GY23">
        <v>26968.1</v>
      </c>
      <c r="GZ23">
        <v>30983</v>
      </c>
      <c r="HA23">
        <v>29758.9</v>
      </c>
      <c r="HB23">
        <v>39902.8</v>
      </c>
      <c r="HC23">
        <v>36669.6</v>
      </c>
      <c r="HD23">
        <v>47329</v>
      </c>
      <c r="HE23">
        <v>44200.6</v>
      </c>
      <c r="HF23">
        <v>1.89373</v>
      </c>
      <c r="HG23">
        <v>1.89793</v>
      </c>
      <c r="HH23">
        <v>0.0255145</v>
      </c>
      <c r="HI23">
        <v>0</v>
      </c>
      <c r="HJ23">
        <v>17.5839</v>
      </c>
      <c r="HK23">
        <v>999.9</v>
      </c>
      <c r="HL23">
        <v>29.9</v>
      </c>
      <c r="HM23">
        <v>31.3</v>
      </c>
      <c r="HN23">
        <v>15.2876</v>
      </c>
      <c r="HO23">
        <v>63.5498</v>
      </c>
      <c r="HP23">
        <v>20.5769</v>
      </c>
      <c r="HQ23">
        <v>1</v>
      </c>
      <c r="HR23">
        <v>-0.32877</v>
      </c>
      <c r="HS23">
        <v>1.61891</v>
      </c>
      <c r="HT23">
        <v>20.2097</v>
      </c>
      <c r="HU23">
        <v>5.23975</v>
      </c>
      <c r="HV23">
        <v>11.968</v>
      </c>
      <c r="HW23">
        <v>4.97305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4.97294</v>
      </c>
      <c r="ID23">
        <v>1.87744</v>
      </c>
      <c r="IE23">
        <v>1.8755</v>
      </c>
      <c r="IF23">
        <v>1.87835</v>
      </c>
      <c r="IG23">
        <v>1.87503</v>
      </c>
      <c r="IH23">
        <v>1.87863</v>
      </c>
      <c r="II23">
        <v>1.87574</v>
      </c>
      <c r="IJ23">
        <v>1.87686</v>
      </c>
      <c r="IK23">
        <v>0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0.534</v>
      </c>
      <c r="IY23">
        <v>0.0577</v>
      </c>
      <c r="IZ23">
        <v>0.05962679757231274</v>
      </c>
      <c r="JA23">
        <v>0.001226855107158112</v>
      </c>
      <c r="JB23">
        <v>-3.035205684124237E-07</v>
      </c>
      <c r="JC23">
        <v>1.619134626827227E-10</v>
      </c>
      <c r="JD23">
        <v>-0.0304923956573813</v>
      </c>
      <c r="JE23">
        <v>-0.002736280719339335</v>
      </c>
      <c r="JF23">
        <v>0.0009903551140151546</v>
      </c>
      <c r="JG23">
        <v>-1.214181672830105E-05</v>
      </c>
      <c r="JH23">
        <v>0</v>
      </c>
      <c r="JI23">
        <v>2131</v>
      </c>
      <c r="JJ23">
        <v>1</v>
      </c>
      <c r="JK23">
        <v>22</v>
      </c>
      <c r="JL23">
        <v>29345602.1</v>
      </c>
      <c r="JM23">
        <v>29345602.1</v>
      </c>
      <c r="JN23">
        <v>1.10596</v>
      </c>
      <c r="JO23">
        <v>2.52441</v>
      </c>
      <c r="JP23">
        <v>1.39893</v>
      </c>
      <c r="JQ23">
        <v>2.33276</v>
      </c>
      <c r="JR23">
        <v>1.44897</v>
      </c>
      <c r="JS23">
        <v>2.56714</v>
      </c>
      <c r="JT23">
        <v>36.9556</v>
      </c>
      <c r="JU23">
        <v>24.0262</v>
      </c>
      <c r="JV23">
        <v>18</v>
      </c>
      <c r="JW23">
        <v>472.071</v>
      </c>
      <c r="JX23">
        <v>442.544</v>
      </c>
      <c r="JY23">
        <v>16.1624</v>
      </c>
      <c r="JZ23">
        <v>22.6414</v>
      </c>
      <c r="KA23">
        <v>30.0001</v>
      </c>
      <c r="KB23">
        <v>22.3807</v>
      </c>
      <c r="KC23">
        <v>22.454</v>
      </c>
      <c r="KD23">
        <v>22.1701</v>
      </c>
      <c r="KE23">
        <v>22.7449</v>
      </c>
      <c r="KF23">
        <v>0</v>
      </c>
      <c r="KG23">
        <v>16.1588</v>
      </c>
      <c r="KH23">
        <v>420</v>
      </c>
      <c r="KI23">
        <v>11.2962</v>
      </c>
      <c r="KJ23">
        <v>102.339</v>
      </c>
      <c r="KK23">
        <v>101.687</v>
      </c>
    </row>
    <row r="24" spans="1:297">
      <c r="A24">
        <v>8</v>
      </c>
      <c r="B24">
        <v>1760736230.6</v>
      </c>
      <c r="C24">
        <v>1456.099999904633</v>
      </c>
      <c r="D24" t="s">
        <v>467</v>
      </c>
      <c r="E24" t="s">
        <v>468</v>
      </c>
      <c r="F24">
        <v>5</v>
      </c>
      <c r="G24" t="s">
        <v>465</v>
      </c>
      <c r="H24" t="s">
        <v>436</v>
      </c>
      <c r="I24">
        <v>1760736222.599999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424.8286871157339</v>
      </c>
      <c r="AK24">
        <v>425.3448363636362</v>
      </c>
      <c r="AL24">
        <v>8.965848348068534E-05</v>
      </c>
      <c r="AM24">
        <v>65.34625010937631</v>
      </c>
      <c r="AN24">
        <f>(AP24 - AO24 + DY24*1E3/(8.314*(EA24+273.15)) * AR24/DX24 * AQ24) * DX24/(100*DL24) * 1000/(1000 - AP24)</f>
        <v>0</v>
      </c>
      <c r="AO24">
        <v>11.33397098467251</v>
      </c>
      <c r="AP24">
        <v>12.03250727272727</v>
      </c>
      <c r="AQ24">
        <v>2.998647324803023E-06</v>
      </c>
      <c r="AR24">
        <v>118.5002469663111</v>
      </c>
      <c r="AS24">
        <v>10</v>
      </c>
      <c r="AT24">
        <v>2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469</v>
      </c>
      <c r="AY24">
        <v>5054.08</v>
      </c>
      <c r="AZ24">
        <v>744.924</v>
      </c>
      <c r="BA24">
        <v>2347.22</v>
      </c>
      <c r="BB24">
        <f>1-AZ24/BA24</f>
        <v>0</v>
      </c>
      <c r="BC24">
        <v>-0.4256283783181641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1760736222.599999</v>
      </c>
      <c r="DR24">
        <v>420.2224838709677</v>
      </c>
      <c r="DS24">
        <v>420.0123870967741</v>
      </c>
      <c r="DT24">
        <v>12.03221612903226</v>
      </c>
      <c r="DU24">
        <v>11.33357741935484</v>
      </c>
      <c r="DV24">
        <v>419.6894838709678</v>
      </c>
      <c r="DW24">
        <v>11.97431612903226</v>
      </c>
      <c r="DX24">
        <v>500.0254193548386</v>
      </c>
      <c r="DY24">
        <v>89.75337096774193</v>
      </c>
      <c r="DZ24">
        <v>0.03625800967741936</v>
      </c>
      <c r="EA24">
        <v>18.59188387096774</v>
      </c>
      <c r="EB24">
        <v>17.98946451612903</v>
      </c>
      <c r="EC24">
        <v>999.9000000000003</v>
      </c>
      <c r="ED24">
        <v>0</v>
      </c>
      <c r="EE24">
        <v>0</v>
      </c>
      <c r="EF24">
        <v>10002.67709677419</v>
      </c>
      <c r="EG24">
        <v>0</v>
      </c>
      <c r="EH24">
        <v>0.220656</v>
      </c>
      <c r="EI24">
        <v>0.2101450967741935</v>
      </c>
      <c r="EJ24">
        <v>425.3403225806451</v>
      </c>
      <c r="EK24">
        <v>424.8270967741935</v>
      </c>
      <c r="EL24">
        <v>0.6986445806451611</v>
      </c>
      <c r="EM24">
        <v>420.0123870967741</v>
      </c>
      <c r="EN24">
        <v>11.33357741935484</v>
      </c>
      <c r="EO24">
        <v>1.079932258064516</v>
      </c>
      <c r="EP24">
        <v>1.017225806451613</v>
      </c>
      <c r="EQ24">
        <v>8.041861612903226</v>
      </c>
      <c r="ER24">
        <v>7.165480000000001</v>
      </c>
      <c r="ES24">
        <v>0.005000559999999997</v>
      </c>
      <c r="ET24">
        <v>0</v>
      </c>
      <c r="EU24">
        <v>0</v>
      </c>
      <c r="EV24">
        <v>0</v>
      </c>
      <c r="EW24">
        <v>745.7354838709679</v>
      </c>
      <c r="EX24">
        <v>0.005000559999999997</v>
      </c>
      <c r="EY24">
        <v>-4.254838709677419</v>
      </c>
      <c r="EZ24">
        <v>-3.029032258064516</v>
      </c>
      <c r="FA24">
        <v>34.79809677419354</v>
      </c>
      <c r="FB24">
        <v>40.25</v>
      </c>
      <c r="FC24">
        <v>37.4876129032258</v>
      </c>
      <c r="FD24">
        <v>41.75183870967741</v>
      </c>
      <c r="FE24">
        <v>37.31829032258064</v>
      </c>
      <c r="FF24">
        <v>0</v>
      </c>
      <c r="FG24">
        <v>0</v>
      </c>
      <c r="FH24">
        <v>0</v>
      </c>
      <c r="FI24">
        <v>104.8000001907349</v>
      </c>
      <c r="FJ24">
        <v>0</v>
      </c>
      <c r="FK24">
        <v>744.924</v>
      </c>
      <c r="FL24">
        <v>-62.61538435613176</v>
      </c>
      <c r="FM24">
        <v>-10.17692286180557</v>
      </c>
      <c r="FN24">
        <v>-4.2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0.215362625</v>
      </c>
      <c r="GD24">
        <v>-0.1456817898686676</v>
      </c>
      <c r="GE24">
        <v>0.03501589816189748</v>
      </c>
      <c r="GF24">
        <v>1</v>
      </c>
      <c r="GG24">
        <v>748.6647058823529</v>
      </c>
      <c r="GH24">
        <v>-55.19327731986709</v>
      </c>
      <c r="GI24">
        <v>7.694225579383277</v>
      </c>
      <c r="GJ24">
        <v>0</v>
      </c>
      <c r="GK24">
        <v>0.69922565</v>
      </c>
      <c r="GL24">
        <v>-0.01026373733583657</v>
      </c>
      <c r="GM24">
        <v>0.001111822008012068</v>
      </c>
      <c r="GN24">
        <v>1</v>
      </c>
      <c r="GO24">
        <v>2</v>
      </c>
      <c r="GP24">
        <v>3</v>
      </c>
      <c r="GQ24" t="s">
        <v>441</v>
      </c>
      <c r="GR24">
        <v>3.13306</v>
      </c>
      <c r="GS24">
        <v>2.71368</v>
      </c>
      <c r="GT24">
        <v>0.08634799999999999</v>
      </c>
      <c r="GU24">
        <v>0.08684</v>
      </c>
      <c r="GV24">
        <v>0.0658063</v>
      </c>
      <c r="GW24">
        <v>0.063331</v>
      </c>
      <c r="GX24">
        <v>27835.8</v>
      </c>
      <c r="GY24">
        <v>26967.4</v>
      </c>
      <c r="GZ24">
        <v>30984.4</v>
      </c>
      <c r="HA24">
        <v>29758.3</v>
      </c>
      <c r="HB24">
        <v>39903.2</v>
      </c>
      <c r="HC24">
        <v>36666.2</v>
      </c>
      <c r="HD24">
        <v>47331.2</v>
      </c>
      <c r="HE24">
        <v>44199.7</v>
      </c>
      <c r="HF24">
        <v>1.8939</v>
      </c>
      <c r="HG24">
        <v>1.8969</v>
      </c>
      <c r="HH24">
        <v>0.0260547</v>
      </c>
      <c r="HI24">
        <v>0</v>
      </c>
      <c r="HJ24">
        <v>17.5626</v>
      </c>
      <c r="HK24">
        <v>999.9</v>
      </c>
      <c r="HL24">
        <v>29.8</v>
      </c>
      <c r="HM24">
        <v>31.4</v>
      </c>
      <c r="HN24">
        <v>15.3238</v>
      </c>
      <c r="HO24">
        <v>63.8498</v>
      </c>
      <c r="HP24">
        <v>20.4167</v>
      </c>
      <c r="HQ24">
        <v>1</v>
      </c>
      <c r="HR24">
        <v>-0.328496</v>
      </c>
      <c r="HS24">
        <v>1.48494</v>
      </c>
      <c r="HT24">
        <v>20.2108</v>
      </c>
      <c r="HU24">
        <v>5.23631</v>
      </c>
      <c r="HV24">
        <v>11.968</v>
      </c>
      <c r="HW24">
        <v>4.97295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4.97292</v>
      </c>
      <c r="ID24">
        <v>1.87745</v>
      </c>
      <c r="IE24">
        <v>1.87557</v>
      </c>
      <c r="IF24">
        <v>1.87836</v>
      </c>
      <c r="IG24">
        <v>1.8751</v>
      </c>
      <c r="IH24">
        <v>1.87865</v>
      </c>
      <c r="II24">
        <v>1.87576</v>
      </c>
      <c r="IJ24">
        <v>1.87691</v>
      </c>
      <c r="IK24">
        <v>0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0.533</v>
      </c>
      <c r="IY24">
        <v>0.0579</v>
      </c>
      <c r="IZ24">
        <v>0.05962679757231274</v>
      </c>
      <c r="JA24">
        <v>0.001226855107158112</v>
      </c>
      <c r="JB24">
        <v>-3.035205684124237E-07</v>
      </c>
      <c r="JC24">
        <v>1.619134626827227E-10</v>
      </c>
      <c r="JD24">
        <v>-0.0304923956573813</v>
      </c>
      <c r="JE24">
        <v>-0.002736280719339335</v>
      </c>
      <c r="JF24">
        <v>0.0009903551140151546</v>
      </c>
      <c r="JG24">
        <v>-1.214181672830105E-05</v>
      </c>
      <c r="JH24">
        <v>0</v>
      </c>
      <c r="JI24">
        <v>2131</v>
      </c>
      <c r="JJ24">
        <v>1</v>
      </c>
      <c r="JK24">
        <v>22</v>
      </c>
      <c r="JL24">
        <v>29345603.8</v>
      </c>
      <c r="JM24">
        <v>29345603.8</v>
      </c>
      <c r="JN24">
        <v>1.10596</v>
      </c>
      <c r="JO24">
        <v>2.52686</v>
      </c>
      <c r="JP24">
        <v>1.39893</v>
      </c>
      <c r="JQ24">
        <v>2.33276</v>
      </c>
      <c r="JR24">
        <v>1.44897</v>
      </c>
      <c r="JS24">
        <v>2.50366</v>
      </c>
      <c r="JT24">
        <v>37.0032</v>
      </c>
      <c r="JU24">
        <v>24.035</v>
      </c>
      <c r="JV24">
        <v>18</v>
      </c>
      <c r="JW24">
        <v>472.218</v>
      </c>
      <c r="JX24">
        <v>441.991</v>
      </c>
      <c r="JY24">
        <v>16.2108</v>
      </c>
      <c r="JZ24">
        <v>22.649</v>
      </c>
      <c r="KA24">
        <v>30.0001</v>
      </c>
      <c r="KB24">
        <v>22.3885</v>
      </c>
      <c r="KC24">
        <v>22.4616</v>
      </c>
      <c r="KD24">
        <v>22.1681</v>
      </c>
      <c r="KE24">
        <v>22.7449</v>
      </c>
      <c r="KF24">
        <v>0</v>
      </c>
      <c r="KG24">
        <v>16.2125</v>
      </c>
      <c r="KH24">
        <v>420</v>
      </c>
      <c r="KI24">
        <v>11.29</v>
      </c>
      <c r="KJ24">
        <v>102.344</v>
      </c>
      <c r="KK24">
        <v>101.685</v>
      </c>
    </row>
    <row r="25" spans="1:297">
      <c r="A25">
        <v>9</v>
      </c>
      <c r="B25">
        <v>1760736341.1</v>
      </c>
      <c r="C25">
        <v>1566.599999904633</v>
      </c>
      <c r="D25" t="s">
        <v>470</v>
      </c>
      <c r="E25" t="s">
        <v>471</v>
      </c>
      <c r="F25">
        <v>5</v>
      </c>
      <c r="G25" t="s">
        <v>465</v>
      </c>
      <c r="H25" t="s">
        <v>436</v>
      </c>
      <c r="I25">
        <v>1760736333.349999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424.8364825613231</v>
      </c>
      <c r="AK25">
        <v>425.3420484848485</v>
      </c>
      <c r="AL25">
        <v>7.800802035375693E-05</v>
      </c>
      <c r="AM25">
        <v>65.34625010937631</v>
      </c>
      <c r="AN25">
        <f>(AP25 - AO25 + DY25*1E3/(8.314*(EA25+273.15)) * AR25/DX25 * AQ25) * DX25/(100*DL25) * 1000/(1000 - AP25)</f>
        <v>0</v>
      </c>
      <c r="AO25">
        <v>11.32350842763583</v>
      </c>
      <c r="AP25">
        <v>11.99266787878787</v>
      </c>
      <c r="AQ25">
        <v>1.675769907200336E-06</v>
      </c>
      <c r="AR25">
        <v>118.5002469663111</v>
      </c>
      <c r="AS25">
        <v>10</v>
      </c>
      <c r="AT25">
        <v>2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472</v>
      </c>
      <c r="AY25">
        <v>5053.86</v>
      </c>
      <c r="AZ25">
        <v>738.2076923076922</v>
      </c>
      <c r="BA25">
        <v>2341.41</v>
      </c>
      <c r="BB25">
        <f>1-AZ25/BA25</f>
        <v>0</v>
      </c>
      <c r="BC25">
        <v>-0.4168706171171671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1760736333.349999</v>
      </c>
      <c r="DR25">
        <v>420.2322666666667</v>
      </c>
      <c r="DS25">
        <v>419.9996333333332</v>
      </c>
      <c r="DT25">
        <v>11.99395</v>
      </c>
      <c r="DU25">
        <v>11.32295333333333</v>
      </c>
      <c r="DV25">
        <v>419.6992333333333</v>
      </c>
      <c r="DW25">
        <v>11.93664666666667</v>
      </c>
      <c r="DX25">
        <v>500.0303666666667</v>
      </c>
      <c r="DY25">
        <v>89.74707666666669</v>
      </c>
      <c r="DZ25">
        <v>0.03634583</v>
      </c>
      <c r="EA25">
        <v>18.58812</v>
      </c>
      <c r="EB25">
        <v>18.00316</v>
      </c>
      <c r="EC25">
        <v>999.9000000000002</v>
      </c>
      <c r="ED25">
        <v>0</v>
      </c>
      <c r="EE25">
        <v>0</v>
      </c>
      <c r="EF25">
        <v>10001.95</v>
      </c>
      <c r="EG25">
        <v>0</v>
      </c>
      <c r="EH25">
        <v>0.220656</v>
      </c>
      <c r="EI25">
        <v>0.2325836333333333</v>
      </c>
      <c r="EJ25">
        <v>425.3336666666667</v>
      </c>
      <c r="EK25">
        <v>424.8097333333333</v>
      </c>
      <c r="EL25">
        <v>0.6709982666666668</v>
      </c>
      <c r="EM25">
        <v>419.9996333333332</v>
      </c>
      <c r="EN25">
        <v>11.32295333333333</v>
      </c>
      <c r="EO25">
        <v>1.076423333333333</v>
      </c>
      <c r="EP25">
        <v>1.016203333333334</v>
      </c>
      <c r="EQ25">
        <v>7.994012333333332</v>
      </c>
      <c r="ER25">
        <v>7.150774666666667</v>
      </c>
      <c r="ES25">
        <v>0.005000559999999998</v>
      </c>
      <c r="ET25">
        <v>0</v>
      </c>
      <c r="EU25">
        <v>0</v>
      </c>
      <c r="EV25">
        <v>0</v>
      </c>
      <c r="EW25">
        <v>738.6366666666668</v>
      </c>
      <c r="EX25">
        <v>0.005000559999999998</v>
      </c>
      <c r="EY25">
        <v>-2.99</v>
      </c>
      <c r="EZ25">
        <v>-2.56</v>
      </c>
      <c r="FA25">
        <v>34.73936666666667</v>
      </c>
      <c r="FB25">
        <v>40.33089999999999</v>
      </c>
      <c r="FC25">
        <v>37.60593333333333</v>
      </c>
      <c r="FD25">
        <v>41.90599999999998</v>
      </c>
      <c r="FE25">
        <v>37.46429999999999</v>
      </c>
      <c r="FF25">
        <v>0</v>
      </c>
      <c r="FG25">
        <v>0</v>
      </c>
      <c r="FH25">
        <v>0</v>
      </c>
      <c r="FI25">
        <v>110.2000000476837</v>
      </c>
      <c r="FJ25">
        <v>0</v>
      </c>
      <c r="FK25">
        <v>738.2076923076922</v>
      </c>
      <c r="FL25">
        <v>-47.67179462840781</v>
      </c>
      <c r="FM25">
        <v>11.84615341613307</v>
      </c>
      <c r="FN25">
        <v>-2.996153846153846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0.2292280243902438</v>
      </c>
      <c r="GD25">
        <v>-0.06748250174216014</v>
      </c>
      <c r="GE25">
        <v>0.03773788028899772</v>
      </c>
      <c r="GF25">
        <v>1</v>
      </c>
      <c r="GG25">
        <v>740.8235294117648</v>
      </c>
      <c r="GH25">
        <v>-55.64858655792625</v>
      </c>
      <c r="GI25">
        <v>9.101682417958244</v>
      </c>
      <c r="GJ25">
        <v>0</v>
      </c>
      <c r="GK25">
        <v>0.6725488780487805</v>
      </c>
      <c r="GL25">
        <v>-0.02631501742160283</v>
      </c>
      <c r="GM25">
        <v>0.002612326765829531</v>
      </c>
      <c r="GN25">
        <v>1</v>
      </c>
      <c r="GO25">
        <v>2</v>
      </c>
      <c r="GP25">
        <v>3</v>
      </c>
      <c r="GQ25" t="s">
        <v>441</v>
      </c>
      <c r="GR25">
        <v>3.1331</v>
      </c>
      <c r="GS25">
        <v>2.71374</v>
      </c>
      <c r="GT25">
        <v>0.0863347</v>
      </c>
      <c r="GU25">
        <v>0.0868318</v>
      </c>
      <c r="GV25">
        <v>0.065633</v>
      </c>
      <c r="GW25">
        <v>0.0632795</v>
      </c>
      <c r="GX25">
        <v>27834.9</v>
      </c>
      <c r="GY25">
        <v>26966.7</v>
      </c>
      <c r="GZ25">
        <v>30983</v>
      </c>
      <c r="HA25">
        <v>29757.3</v>
      </c>
      <c r="HB25">
        <v>39909.2</v>
      </c>
      <c r="HC25">
        <v>36667.5</v>
      </c>
      <c r="HD25">
        <v>47329.4</v>
      </c>
      <c r="HE25">
        <v>44198.7</v>
      </c>
      <c r="HF25">
        <v>1.89403</v>
      </c>
      <c r="HG25">
        <v>1.89638</v>
      </c>
      <c r="HH25">
        <v>0.0264309</v>
      </c>
      <c r="HI25">
        <v>0</v>
      </c>
      <c r="HJ25">
        <v>17.5673</v>
      </c>
      <c r="HK25">
        <v>999.9</v>
      </c>
      <c r="HL25">
        <v>29.8</v>
      </c>
      <c r="HM25">
        <v>31.5</v>
      </c>
      <c r="HN25">
        <v>15.413</v>
      </c>
      <c r="HO25">
        <v>63.2197</v>
      </c>
      <c r="HP25">
        <v>20.5889</v>
      </c>
      <c r="HQ25">
        <v>1</v>
      </c>
      <c r="HR25">
        <v>-0.327871</v>
      </c>
      <c r="HS25">
        <v>1.57956</v>
      </c>
      <c r="HT25">
        <v>20.2098</v>
      </c>
      <c r="HU25">
        <v>5.24125</v>
      </c>
      <c r="HV25">
        <v>11.968</v>
      </c>
      <c r="HW25">
        <v>4.9737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4.9729</v>
      </c>
      <c r="ID25">
        <v>1.87744</v>
      </c>
      <c r="IE25">
        <v>1.87549</v>
      </c>
      <c r="IF25">
        <v>1.87834</v>
      </c>
      <c r="IG25">
        <v>1.87502</v>
      </c>
      <c r="IH25">
        <v>1.8786</v>
      </c>
      <c r="II25">
        <v>1.87576</v>
      </c>
      <c r="IJ25">
        <v>1.87688</v>
      </c>
      <c r="IK25">
        <v>0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0.533</v>
      </c>
      <c r="IY25">
        <v>0.0573</v>
      </c>
      <c r="IZ25">
        <v>0.05962679757231274</v>
      </c>
      <c r="JA25">
        <v>0.001226855107158112</v>
      </c>
      <c r="JB25">
        <v>-3.035205684124237E-07</v>
      </c>
      <c r="JC25">
        <v>1.619134626827227E-10</v>
      </c>
      <c r="JD25">
        <v>-0.0304923956573813</v>
      </c>
      <c r="JE25">
        <v>-0.002736280719339335</v>
      </c>
      <c r="JF25">
        <v>0.0009903551140151546</v>
      </c>
      <c r="JG25">
        <v>-1.214181672830105E-05</v>
      </c>
      <c r="JH25">
        <v>0</v>
      </c>
      <c r="JI25">
        <v>2131</v>
      </c>
      <c r="JJ25">
        <v>1</v>
      </c>
      <c r="JK25">
        <v>22</v>
      </c>
      <c r="JL25">
        <v>29345605.7</v>
      </c>
      <c r="JM25">
        <v>29345605.7</v>
      </c>
      <c r="JN25">
        <v>1.10596</v>
      </c>
      <c r="JO25">
        <v>2.51831</v>
      </c>
      <c r="JP25">
        <v>1.39893</v>
      </c>
      <c r="JQ25">
        <v>2.33276</v>
      </c>
      <c r="JR25">
        <v>1.44897</v>
      </c>
      <c r="JS25">
        <v>2.60376</v>
      </c>
      <c r="JT25">
        <v>37.0747</v>
      </c>
      <c r="JU25">
        <v>24.0437</v>
      </c>
      <c r="JV25">
        <v>18</v>
      </c>
      <c r="JW25">
        <v>472.348</v>
      </c>
      <c r="JX25">
        <v>441.739</v>
      </c>
      <c r="JY25">
        <v>16.1372</v>
      </c>
      <c r="JZ25">
        <v>22.6586</v>
      </c>
      <c r="KA25">
        <v>30.0001</v>
      </c>
      <c r="KB25">
        <v>22.3977</v>
      </c>
      <c r="KC25">
        <v>22.4691</v>
      </c>
      <c r="KD25">
        <v>22.1657</v>
      </c>
      <c r="KE25">
        <v>23.0165</v>
      </c>
      <c r="KF25">
        <v>0</v>
      </c>
      <c r="KG25">
        <v>16.138</v>
      </c>
      <c r="KH25">
        <v>420</v>
      </c>
      <c r="KI25">
        <v>11.2786</v>
      </c>
      <c r="KJ25">
        <v>102.34</v>
      </c>
      <c r="KK25">
        <v>101.682</v>
      </c>
    </row>
    <row r="26" spans="1:297">
      <c r="A26">
        <v>10</v>
      </c>
      <c r="B26">
        <v>1760736828.1</v>
      </c>
      <c r="C26">
        <v>2053.599999904633</v>
      </c>
      <c r="D26" t="s">
        <v>473</v>
      </c>
      <c r="E26" t="s">
        <v>474</v>
      </c>
      <c r="F26">
        <v>5</v>
      </c>
      <c r="G26" t="s">
        <v>475</v>
      </c>
      <c r="H26" t="s">
        <v>436</v>
      </c>
      <c r="I26">
        <v>1760736820.099999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424.9477494163845</v>
      </c>
      <c r="AK26">
        <v>425.6738969696969</v>
      </c>
      <c r="AL26">
        <v>0.0008948071783824331</v>
      </c>
      <c r="AM26">
        <v>65.32948239888671</v>
      </c>
      <c r="AN26">
        <f>(AP26 - AO26 + DY26*1E3/(8.314*(EA26+273.15)) * AR26/DX26 * AQ26) * DX26/(100*DL26) * 1000/(1000 - AP26)</f>
        <v>0</v>
      </c>
      <c r="AO26">
        <v>11.59116822599596</v>
      </c>
      <c r="AP26">
        <v>12.14918484848485</v>
      </c>
      <c r="AQ26">
        <v>-1.3439791475441E-06</v>
      </c>
      <c r="AR26">
        <v>119.0647034624743</v>
      </c>
      <c r="AS26">
        <v>10</v>
      </c>
      <c r="AT26">
        <v>2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476</v>
      </c>
      <c r="AY26">
        <v>5054.33</v>
      </c>
      <c r="AZ26">
        <v>626.772</v>
      </c>
      <c r="BA26">
        <v>2304.97</v>
      </c>
      <c r="BB26">
        <f>1-AZ26/BA26</f>
        <v>0</v>
      </c>
      <c r="BC26">
        <v>-0.6016599197336233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1760736820.099999</v>
      </c>
      <c r="DR26">
        <v>420.5049677419354</v>
      </c>
      <c r="DS26">
        <v>420.0133870967742</v>
      </c>
      <c r="DT26">
        <v>12.14971612903226</v>
      </c>
      <c r="DU26">
        <v>11.59084193548387</v>
      </c>
      <c r="DV26">
        <v>419.9716129032258</v>
      </c>
      <c r="DW26">
        <v>12.09</v>
      </c>
      <c r="DX26">
        <v>499.9925806451614</v>
      </c>
      <c r="DY26">
        <v>89.7432774193548</v>
      </c>
      <c r="DZ26">
        <v>0.03649741290322581</v>
      </c>
      <c r="EA26">
        <v>18.86183225806452</v>
      </c>
      <c r="EB26">
        <v>17.99453870967742</v>
      </c>
      <c r="EC26">
        <v>999.9000000000003</v>
      </c>
      <c r="ED26">
        <v>0</v>
      </c>
      <c r="EE26">
        <v>0</v>
      </c>
      <c r="EF26">
        <v>9997.47451612903</v>
      </c>
      <c r="EG26">
        <v>0</v>
      </c>
      <c r="EH26">
        <v>0.2287971935483871</v>
      </c>
      <c r="EI26">
        <v>0.4915554838709678</v>
      </c>
      <c r="EJ26">
        <v>425.6768387096774</v>
      </c>
      <c r="EK26">
        <v>424.9388064516129</v>
      </c>
      <c r="EL26">
        <v>0.5588790967741936</v>
      </c>
      <c r="EM26">
        <v>420.0133870967742</v>
      </c>
      <c r="EN26">
        <v>11.59084193548387</v>
      </c>
      <c r="EO26">
        <v>1.090355483870968</v>
      </c>
      <c r="EP26">
        <v>1.040200322580645</v>
      </c>
      <c r="EQ26">
        <v>8.183169032258064</v>
      </c>
      <c r="ER26">
        <v>7.491954516129032</v>
      </c>
      <c r="ES26">
        <v>0.005000559999999997</v>
      </c>
      <c r="ET26">
        <v>0</v>
      </c>
      <c r="EU26">
        <v>0</v>
      </c>
      <c r="EV26">
        <v>0</v>
      </c>
      <c r="EW26">
        <v>625.9999999999998</v>
      </c>
      <c r="EX26">
        <v>0.005000559999999997</v>
      </c>
      <c r="EY26">
        <v>-8.338709677419354</v>
      </c>
      <c r="EZ26">
        <v>-2.803225806451613</v>
      </c>
      <c r="FA26">
        <v>34.41916129032258</v>
      </c>
      <c r="FB26">
        <v>39.99593548387097</v>
      </c>
      <c r="FC26">
        <v>37.18132258064517</v>
      </c>
      <c r="FD26">
        <v>41.14493548387095</v>
      </c>
      <c r="FE26">
        <v>36.96138709677418</v>
      </c>
      <c r="FF26">
        <v>0</v>
      </c>
      <c r="FG26">
        <v>0</v>
      </c>
      <c r="FH26">
        <v>0</v>
      </c>
      <c r="FI26">
        <v>486.2000000476837</v>
      </c>
      <c r="FJ26">
        <v>0</v>
      </c>
      <c r="FK26">
        <v>626.772</v>
      </c>
      <c r="FL26">
        <v>2.907692391773498</v>
      </c>
      <c r="FM26">
        <v>1.153846172656303</v>
      </c>
      <c r="FN26">
        <v>-8.460000000000001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0.4932129250000001</v>
      </c>
      <c r="GD26">
        <v>-0.1590093996247661</v>
      </c>
      <c r="GE26">
        <v>0.03371767830410888</v>
      </c>
      <c r="GF26">
        <v>1</v>
      </c>
      <c r="GG26">
        <v>627.4823529411764</v>
      </c>
      <c r="GH26">
        <v>-6.765469838744444</v>
      </c>
      <c r="GI26">
        <v>6.486205751585677</v>
      </c>
      <c r="GJ26">
        <v>0</v>
      </c>
      <c r="GK26">
        <v>0.5590474249999999</v>
      </c>
      <c r="GL26">
        <v>-0.002722232645404742</v>
      </c>
      <c r="GM26">
        <v>0.0004722745963684683</v>
      </c>
      <c r="GN26">
        <v>1</v>
      </c>
      <c r="GO26">
        <v>2</v>
      </c>
      <c r="GP26">
        <v>3</v>
      </c>
      <c r="GQ26" t="s">
        <v>441</v>
      </c>
      <c r="GR26">
        <v>3.13305</v>
      </c>
      <c r="GS26">
        <v>2.7143</v>
      </c>
      <c r="GT26">
        <v>0.0863728</v>
      </c>
      <c r="GU26">
        <v>0.0868256</v>
      </c>
      <c r="GV26">
        <v>0.0662626</v>
      </c>
      <c r="GW26">
        <v>0.0643875</v>
      </c>
      <c r="GX26">
        <v>27838.3</v>
      </c>
      <c r="GY26">
        <v>26967.7</v>
      </c>
      <c r="GZ26">
        <v>30988.1</v>
      </c>
      <c r="HA26">
        <v>29758.2</v>
      </c>
      <c r="HB26">
        <v>39888.8</v>
      </c>
      <c r="HC26">
        <v>36624.8</v>
      </c>
      <c r="HD26">
        <v>47337.5</v>
      </c>
      <c r="HE26">
        <v>44200.3</v>
      </c>
      <c r="HF26">
        <v>1.89365</v>
      </c>
      <c r="HG26">
        <v>1.89603</v>
      </c>
      <c r="HH26">
        <v>0.0301749</v>
      </c>
      <c r="HI26">
        <v>0</v>
      </c>
      <c r="HJ26">
        <v>17.4884</v>
      </c>
      <c r="HK26">
        <v>999.9</v>
      </c>
      <c r="HL26">
        <v>29.4</v>
      </c>
      <c r="HM26">
        <v>31.7</v>
      </c>
      <c r="HN26">
        <v>15.38</v>
      </c>
      <c r="HO26">
        <v>63.4797</v>
      </c>
      <c r="HP26">
        <v>20.613</v>
      </c>
      <c r="HQ26">
        <v>1</v>
      </c>
      <c r="HR26">
        <v>-0.331194</v>
      </c>
      <c r="HS26">
        <v>0.943472</v>
      </c>
      <c r="HT26">
        <v>20.2146</v>
      </c>
      <c r="HU26">
        <v>5.23975</v>
      </c>
      <c r="HV26">
        <v>11.968</v>
      </c>
      <c r="HW26">
        <v>4.9724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4.97295</v>
      </c>
      <c r="ID26">
        <v>1.87741</v>
      </c>
      <c r="IE26">
        <v>1.87546</v>
      </c>
      <c r="IF26">
        <v>1.87828</v>
      </c>
      <c r="IG26">
        <v>1.875</v>
      </c>
      <c r="IH26">
        <v>1.87855</v>
      </c>
      <c r="II26">
        <v>1.87572</v>
      </c>
      <c r="IJ26">
        <v>1.87684</v>
      </c>
      <c r="IK26">
        <v>0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0.533</v>
      </c>
      <c r="IY26">
        <v>0.0598</v>
      </c>
      <c r="IZ26">
        <v>0.05962679757231274</v>
      </c>
      <c r="JA26">
        <v>0.001226855107158112</v>
      </c>
      <c r="JB26">
        <v>-3.035205684124237E-07</v>
      </c>
      <c r="JC26">
        <v>1.619134626827227E-10</v>
      </c>
      <c r="JD26">
        <v>-0.0304923956573813</v>
      </c>
      <c r="JE26">
        <v>-0.002736280719339335</v>
      </c>
      <c r="JF26">
        <v>0.0009903551140151546</v>
      </c>
      <c r="JG26">
        <v>-1.214181672830105E-05</v>
      </c>
      <c r="JH26">
        <v>0</v>
      </c>
      <c r="JI26">
        <v>2131</v>
      </c>
      <c r="JJ26">
        <v>1</v>
      </c>
      <c r="JK26">
        <v>22</v>
      </c>
      <c r="JL26">
        <v>29345613.8</v>
      </c>
      <c r="JM26">
        <v>29345613.8</v>
      </c>
      <c r="JN26">
        <v>1.10596</v>
      </c>
      <c r="JO26">
        <v>2.51831</v>
      </c>
      <c r="JP26">
        <v>1.39893</v>
      </c>
      <c r="JQ26">
        <v>2.33276</v>
      </c>
      <c r="JR26">
        <v>1.44897</v>
      </c>
      <c r="JS26">
        <v>2.59521</v>
      </c>
      <c r="JT26">
        <v>37.3138</v>
      </c>
      <c r="JU26">
        <v>24.0437</v>
      </c>
      <c r="JV26">
        <v>18</v>
      </c>
      <c r="JW26">
        <v>472.249</v>
      </c>
      <c r="JX26">
        <v>441.661</v>
      </c>
      <c r="JY26">
        <v>17.0825</v>
      </c>
      <c r="JZ26">
        <v>22.6542</v>
      </c>
      <c r="KA26">
        <v>29.9998</v>
      </c>
      <c r="KB26">
        <v>22.4109</v>
      </c>
      <c r="KC26">
        <v>22.4848</v>
      </c>
      <c r="KD26">
        <v>22.1763</v>
      </c>
      <c r="KE26">
        <v>21.1029</v>
      </c>
      <c r="KF26">
        <v>0</v>
      </c>
      <c r="KG26">
        <v>17.083</v>
      </c>
      <c r="KH26">
        <v>420</v>
      </c>
      <c r="KI26">
        <v>11.5926</v>
      </c>
      <c r="KJ26">
        <v>102.357</v>
      </c>
      <c r="KK26">
        <v>101.686</v>
      </c>
    </row>
    <row r="27" spans="1:297">
      <c r="A27">
        <v>11</v>
      </c>
      <c r="B27">
        <v>1760736945.1</v>
      </c>
      <c r="C27">
        <v>2170.599999904633</v>
      </c>
      <c r="D27" t="s">
        <v>477</v>
      </c>
      <c r="E27" t="s">
        <v>478</v>
      </c>
      <c r="F27">
        <v>5</v>
      </c>
      <c r="G27" t="s">
        <v>475</v>
      </c>
      <c r="H27" t="s">
        <v>436</v>
      </c>
      <c r="I27">
        <v>1760736937.099999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424.943429337905</v>
      </c>
      <c r="AK27">
        <v>425.7008787878787</v>
      </c>
      <c r="AL27">
        <v>-0.0007125670884412642</v>
      </c>
      <c r="AM27">
        <v>65.32948239888671</v>
      </c>
      <c r="AN27">
        <f>(AP27 - AO27 + DY27*1E3/(8.314*(EA27+273.15)) * AR27/DX27 * AQ27) * DX27/(100*DL27) * 1000/(1000 - AP27)</f>
        <v>0</v>
      </c>
      <c r="AO27">
        <v>11.68391484082156</v>
      </c>
      <c r="AP27">
        <v>12.18889515151515</v>
      </c>
      <c r="AQ27">
        <v>-2.690308161954833E-06</v>
      </c>
      <c r="AR27">
        <v>119.0647034624743</v>
      </c>
      <c r="AS27">
        <v>10</v>
      </c>
      <c r="AT27">
        <v>2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479</v>
      </c>
      <c r="AY27">
        <v>5053.88</v>
      </c>
      <c r="AZ27">
        <v>685.9040000000001</v>
      </c>
      <c r="BA27">
        <v>2273.89</v>
      </c>
      <c r="BB27">
        <f>1-AZ27/BA27</f>
        <v>0</v>
      </c>
      <c r="BC27">
        <v>-0.620995403116904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1760736937.099999</v>
      </c>
      <c r="DR27">
        <v>420.526129032258</v>
      </c>
      <c r="DS27">
        <v>420.0026129032258</v>
      </c>
      <c r="DT27">
        <v>12.1917129032258</v>
      </c>
      <c r="DU27">
        <v>11.68310967741935</v>
      </c>
      <c r="DV27">
        <v>419.9925806451613</v>
      </c>
      <c r="DW27">
        <v>12.13132903225807</v>
      </c>
      <c r="DX27">
        <v>499.997129032258</v>
      </c>
      <c r="DY27">
        <v>89.7439322580645</v>
      </c>
      <c r="DZ27">
        <v>0.03611319677419355</v>
      </c>
      <c r="EA27">
        <v>18.86890322580645</v>
      </c>
      <c r="EB27">
        <v>18.02383870967742</v>
      </c>
      <c r="EC27">
        <v>999.9000000000003</v>
      </c>
      <c r="ED27">
        <v>0</v>
      </c>
      <c r="EE27">
        <v>0</v>
      </c>
      <c r="EF27">
        <v>9999.289677419354</v>
      </c>
      <c r="EG27">
        <v>0</v>
      </c>
      <c r="EH27">
        <v>0.2273290967741936</v>
      </c>
      <c r="EI27">
        <v>0.523422806451613</v>
      </c>
      <c r="EJ27">
        <v>425.7160322580646</v>
      </c>
      <c r="EK27">
        <v>424.9674838709678</v>
      </c>
      <c r="EL27">
        <v>0.5086020322580646</v>
      </c>
      <c r="EM27">
        <v>420.0026129032258</v>
      </c>
      <c r="EN27">
        <v>11.68310967741935</v>
      </c>
      <c r="EO27">
        <v>1.094133870967742</v>
      </c>
      <c r="EP27">
        <v>1.048487741935484</v>
      </c>
      <c r="EQ27">
        <v>8.234074838709676</v>
      </c>
      <c r="ER27">
        <v>7.608180322580647</v>
      </c>
      <c r="ES27">
        <v>0.005000559999999997</v>
      </c>
      <c r="ET27">
        <v>0</v>
      </c>
      <c r="EU27">
        <v>0</v>
      </c>
      <c r="EV27">
        <v>0</v>
      </c>
      <c r="EW27">
        <v>686.7290322580645</v>
      </c>
      <c r="EX27">
        <v>0.005000559999999997</v>
      </c>
      <c r="EY27">
        <v>-5.980645161290322</v>
      </c>
      <c r="EZ27">
        <v>-2.635483870967742</v>
      </c>
      <c r="FA27">
        <v>34.37274193548387</v>
      </c>
      <c r="FB27">
        <v>40.11687096774194</v>
      </c>
      <c r="FC27">
        <v>37.35664516129032</v>
      </c>
      <c r="FD27">
        <v>41.46551612903226</v>
      </c>
      <c r="FE27">
        <v>37.14087096774193</v>
      </c>
      <c r="FF27">
        <v>0</v>
      </c>
      <c r="FG27">
        <v>0</v>
      </c>
      <c r="FH27">
        <v>0</v>
      </c>
      <c r="FI27">
        <v>116.6000001430511</v>
      </c>
      <c r="FJ27">
        <v>0</v>
      </c>
      <c r="FK27">
        <v>685.9040000000001</v>
      </c>
      <c r="FL27">
        <v>-35.69999950359822</v>
      </c>
      <c r="FM27">
        <v>25.30769265309359</v>
      </c>
      <c r="FN27">
        <v>-6.612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0.5079703414634147</v>
      </c>
      <c r="GD27">
        <v>0.2641054285714285</v>
      </c>
      <c r="GE27">
        <v>0.04109002972273335</v>
      </c>
      <c r="GF27">
        <v>1</v>
      </c>
      <c r="GG27">
        <v>687.2823529411766</v>
      </c>
      <c r="GH27">
        <v>-29.20091669909447</v>
      </c>
      <c r="GI27">
        <v>8.143798455708319</v>
      </c>
      <c r="GJ27">
        <v>0</v>
      </c>
      <c r="GK27">
        <v>0.5101941707317073</v>
      </c>
      <c r="GL27">
        <v>-0.03514804181184612</v>
      </c>
      <c r="GM27">
        <v>0.00354042902114666</v>
      </c>
      <c r="GN27">
        <v>1</v>
      </c>
      <c r="GO27">
        <v>2</v>
      </c>
      <c r="GP27">
        <v>3</v>
      </c>
      <c r="GQ27" t="s">
        <v>441</v>
      </c>
      <c r="GR27">
        <v>3.13308</v>
      </c>
      <c r="GS27">
        <v>2.71382</v>
      </c>
      <c r="GT27">
        <v>0.0863857</v>
      </c>
      <c r="GU27">
        <v>0.086837</v>
      </c>
      <c r="GV27">
        <v>0.06643259999999999</v>
      </c>
      <c r="GW27">
        <v>0.064776</v>
      </c>
      <c r="GX27">
        <v>27843.3</v>
      </c>
      <c r="GY27">
        <v>26969.9</v>
      </c>
      <c r="GZ27">
        <v>30993.6</v>
      </c>
      <c r="HA27">
        <v>29760.7</v>
      </c>
      <c r="HB27">
        <v>39888.5</v>
      </c>
      <c r="HC27">
        <v>36612</v>
      </c>
      <c r="HD27">
        <v>47345.9</v>
      </c>
      <c r="HE27">
        <v>44203.4</v>
      </c>
      <c r="HF27">
        <v>1.89443</v>
      </c>
      <c r="HG27">
        <v>1.89685</v>
      </c>
      <c r="HH27">
        <v>0.0271387</v>
      </c>
      <c r="HI27">
        <v>0</v>
      </c>
      <c r="HJ27">
        <v>17.5698</v>
      </c>
      <c r="HK27">
        <v>999.9</v>
      </c>
      <c r="HL27">
        <v>29.3</v>
      </c>
      <c r="HM27">
        <v>31.7</v>
      </c>
      <c r="HN27">
        <v>15.3267</v>
      </c>
      <c r="HO27">
        <v>63.6297</v>
      </c>
      <c r="HP27">
        <v>20.5769</v>
      </c>
      <c r="HQ27">
        <v>1</v>
      </c>
      <c r="HR27">
        <v>-0.336489</v>
      </c>
      <c r="HS27">
        <v>1.29523</v>
      </c>
      <c r="HT27">
        <v>20.2116</v>
      </c>
      <c r="HU27">
        <v>5.2405</v>
      </c>
      <c r="HV27">
        <v>11.968</v>
      </c>
      <c r="HW27">
        <v>4.97335</v>
      </c>
      <c r="HX27">
        <v>3.291</v>
      </c>
      <c r="HY27">
        <v>9999</v>
      </c>
      <c r="HZ27">
        <v>9999</v>
      </c>
      <c r="IA27">
        <v>9999</v>
      </c>
      <c r="IB27">
        <v>999.9</v>
      </c>
      <c r="IC27">
        <v>4.97293</v>
      </c>
      <c r="ID27">
        <v>1.87743</v>
      </c>
      <c r="IE27">
        <v>1.87546</v>
      </c>
      <c r="IF27">
        <v>1.87829</v>
      </c>
      <c r="IG27">
        <v>1.87501</v>
      </c>
      <c r="IH27">
        <v>1.87854</v>
      </c>
      <c r="II27">
        <v>1.87572</v>
      </c>
      <c r="IJ27">
        <v>1.87683</v>
      </c>
      <c r="IK27">
        <v>0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0.534</v>
      </c>
      <c r="IY27">
        <v>0.0603</v>
      </c>
      <c r="IZ27">
        <v>0.05962679757231274</v>
      </c>
      <c r="JA27">
        <v>0.001226855107158112</v>
      </c>
      <c r="JB27">
        <v>-3.035205684124237E-07</v>
      </c>
      <c r="JC27">
        <v>1.619134626827227E-10</v>
      </c>
      <c r="JD27">
        <v>-0.0304923956573813</v>
      </c>
      <c r="JE27">
        <v>-0.002736280719339335</v>
      </c>
      <c r="JF27">
        <v>0.0009903551140151546</v>
      </c>
      <c r="JG27">
        <v>-1.214181672830105E-05</v>
      </c>
      <c r="JH27">
        <v>0</v>
      </c>
      <c r="JI27">
        <v>2131</v>
      </c>
      <c r="JJ27">
        <v>1</v>
      </c>
      <c r="JK27">
        <v>22</v>
      </c>
      <c r="JL27">
        <v>29345615.8</v>
      </c>
      <c r="JM27">
        <v>29345615.8</v>
      </c>
      <c r="JN27">
        <v>1.10596</v>
      </c>
      <c r="JO27">
        <v>2.51099</v>
      </c>
      <c r="JP27">
        <v>1.39893</v>
      </c>
      <c r="JQ27">
        <v>2.33276</v>
      </c>
      <c r="JR27">
        <v>1.44897</v>
      </c>
      <c r="JS27">
        <v>2.55737</v>
      </c>
      <c r="JT27">
        <v>37.3858</v>
      </c>
      <c r="JU27">
        <v>24.035</v>
      </c>
      <c r="JV27">
        <v>18</v>
      </c>
      <c r="JW27">
        <v>472.258</v>
      </c>
      <c r="JX27">
        <v>441.731</v>
      </c>
      <c r="JY27">
        <v>16.7935</v>
      </c>
      <c r="JZ27">
        <v>22.5762</v>
      </c>
      <c r="KA27">
        <v>30</v>
      </c>
      <c r="KB27">
        <v>22.3561</v>
      </c>
      <c r="KC27">
        <v>22.4342</v>
      </c>
      <c r="KD27">
        <v>22.179</v>
      </c>
      <c r="KE27">
        <v>20.5287</v>
      </c>
      <c r="KF27">
        <v>0</v>
      </c>
      <c r="KG27">
        <v>16.7709</v>
      </c>
      <c r="KH27">
        <v>420</v>
      </c>
      <c r="KI27">
        <v>11.7229</v>
      </c>
      <c r="KJ27">
        <v>102.375</v>
      </c>
      <c r="KK27">
        <v>101.693</v>
      </c>
    </row>
    <row r="28" spans="1:297">
      <c r="A28">
        <v>12</v>
      </c>
      <c r="B28">
        <v>1760737138.1</v>
      </c>
      <c r="C28">
        <v>2363.599999904633</v>
      </c>
      <c r="D28" t="s">
        <v>480</v>
      </c>
      <c r="E28" t="s">
        <v>481</v>
      </c>
      <c r="F28">
        <v>5</v>
      </c>
      <c r="G28" t="s">
        <v>475</v>
      </c>
      <c r="H28" t="s">
        <v>436</v>
      </c>
      <c r="I28">
        <v>1760737130.099999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424.9941497287409</v>
      </c>
      <c r="AK28">
        <v>425.7599878787876</v>
      </c>
      <c r="AL28">
        <v>-2.70889695868385E-05</v>
      </c>
      <c r="AM28">
        <v>65.32948239888671</v>
      </c>
      <c r="AN28">
        <f>(AP28 - AO28 + DY28*1E3/(8.314*(EA28+273.15)) * AR28/DX28 * AQ28) * DX28/(100*DL28) * 1000/(1000 - AP28)</f>
        <v>0</v>
      </c>
      <c r="AO28">
        <v>11.71421085423496</v>
      </c>
      <c r="AP28">
        <v>12.12736848484848</v>
      </c>
      <c r="AQ28">
        <v>-1.746453801185175E-06</v>
      </c>
      <c r="AR28">
        <v>119.0647034624743</v>
      </c>
      <c r="AS28">
        <v>10</v>
      </c>
      <c r="AT28">
        <v>2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5053.34</v>
      </c>
      <c r="AZ28">
        <v>656.6240000000001</v>
      </c>
      <c r="BA28">
        <v>2246.99</v>
      </c>
      <c r="BB28">
        <f>1-AZ28/BA28</f>
        <v>0</v>
      </c>
      <c r="BC28">
        <v>-0.6306248042890759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1760737130.099999</v>
      </c>
      <c r="DR28">
        <v>420.5801935483871</v>
      </c>
      <c r="DS28">
        <v>419.9994838709678</v>
      </c>
      <c r="DT28">
        <v>12.12954193548387</v>
      </c>
      <c r="DU28">
        <v>11.71308064516129</v>
      </c>
      <c r="DV28">
        <v>420.0468387096774</v>
      </c>
      <c r="DW28">
        <v>12.07011935483871</v>
      </c>
      <c r="DX28">
        <v>500.0074516129032</v>
      </c>
      <c r="DY28">
        <v>89.74533225806449</v>
      </c>
      <c r="DZ28">
        <v>0.03567347419354839</v>
      </c>
      <c r="EA28">
        <v>18.78188064516129</v>
      </c>
      <c r="EB28">
        <v>18.00493870967741</v>
      </c>
      <c r="EC28">
        <v>999.9000000000003</v>
      </c>
      <c r="ED28">
        <v>0</v>
      </c>
      <c r="EE28">
        <v>0</v>
      </c>
      <c r="EF28">
        <v>9998.499677419357</v>
      </c>
      <c r="EG28">
        <v>0</v>
      </c>
      <c r="EH28">
        <v>0.2310214838709677</v>
      </c>
      <c r="EI28">
        <v>0.5806757419354838</v>
      </c>
      <c r="EJ28">
        <v>425.7441935483872</v>
      </c>
      <c r="EK28">
        <v>424.9773548387096</v>
      </c>
      <c r="EL28">
        <v>0.4164512903225807</v>
      </c>
      <c r="EM28">
        <v>419.9994838709678</v>
      </c>
      <c r="EN28">
        <v>11.71308064516129</v>
      </c>
      <c r="EO28">
        <v>1.088569032258065</v>
      </c>
      <c r="EP28">
        <v>1.051195806451613</v>
      </c>
      <c r="EQ28">
        <v>8.159043225806451</v>
      </c>
      <c r="ER28">
        <v>7.64596</v>
      </c>
      <c r="ES28">
        <v>0.005000559999999997</v>
      </c>
      <c r="ET28">
        <v>0</v>
      </c>
      <c r="EU28">
        <v>0</v>
      </c>
      <c r="EV28">
        <v>0</v>
      </c>
      <c r="EW28">
        <v>657.1741935483871</v>
      </c>
      <c r="EX28">
        <v>0.005000559999999997</v>
      </c>
      <c r="EY28">
        <v>-7.061290322580644</v>
      </c>
      <c r="EZ28">
        <v>-3.048387096774194</v>
      </c>
      <c r="FA28">
        <v>34.51993548387097</v>
      </c>
      <c r="FB28">
        <v>40.31199999999998</v>
      </c>
      <c r="FC28">
        <v>37.50780645161289</v>
      </c>
      <c r="FD28">
        <v>41.79199999999997</v>
      </c>
      <c r="FE28">
        <v>37.33035483870966</v>
      </c>
      <c r="FF28">
        <v>0</v>
      </c>
      <c r="FG28">
        <v>0</v>
      </c>
      <c r="FH28">
        <v>0</v>
      </c>
      <c r="FI28">
        <v>192.5</v>
      </c>
      <c r="FJ28">
        <v>0</v>
      </c>
      <c r="FK28">
        <v>656.6240000000001</v>
      </c>
      <c r="FL28">
        <v>35.24615420025391</v>
      </c>
      <c r="FM28">
        <v>-5.561538624645942</v>
      </c>
      <c r="FN28">
        <v>-6.479999999999999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0.5650598292682927</v>
      </c>
      <c r="GD28">
        <v>0.1775039163763065</v>
      </c>
      <c r="GE28">
        <v>0.03717925202668195</v>
      </c>
      <c r="GF28">
        <v>1</v>
      </c>
      <c r="GG28">
        <v>656.885294117647</v>
      </c>
      <c r="GH28">
        <v>7.234530247277715</v>
      </c>
      <c r="GI28">
        <v>6.091417895065016</v>
      </c>
      <c r="GJ28">
        <v>0</v>
      </c>
      <c r="GK28">
        <v>0.4179336341463415</v>
      </c>
      <c r="GL28">
        <v>-0.02268579094076658</v>
      </c>
      <c r="GM28">
        <v>0.002433291034051412</v>
      </c>
      <c r="GN28">
        <v>1</v>
      </c>
      <c r="GO28">
        <v>2</v>
      </c>
      <c r="GP28">
        <v>3</v>
      </c>
      <c r="GQ28" t="s">
        <v>441</v>
      </c>
      <c r="GR28">
        <v>3.13307</v>
      </c>
      <c r="GS28">
        <v>2.713</v>
      </c>
      <c r="GT28">
        <v>0.0864099</v>
      </c>
      <c r="GU28">
        <v>0.08685370000000001</v>
      </c>
      <c r="GV28">
        <v>0.06619319999999999</v>
      </c>
      <c r="GW28">
        <v>0.0649079</v>
      </c>
      <c r="GX28">
        <v>27844.4</v>
      </c>
      <c r="GY28">
        <v>26968.8</v>
      </c>
      <c r="GZ28">
        <v>30995.5</v>
      </c>
      <c r="HA28">
        <v>29759.8</v>
      </c>
      <c r="HB28">
        <v>39901</v>
      </c>
      <c r="HC28">
        <v>36606.1</v>
      </c>
      <c r="HD28">
        <v>47348.5</v>
      </c>
      <c r="HE28">
        <v>44202.8</v>
      </c>
      <c r="HF28">
        <v>1.89457</v>
      </c>
      <c r="HG28">
        <v>1.89655</v>
      </c>
      <c r="HH28">
        <v>0.0169501</v>
      </c>
      <c r="HI28">
        <v>0</v>
      </c>
      <c r="HJ28">
        <v>17.7187</v>
      </c>
      <c r="HK28">
        <v>999.9</v>
      </c>
      <c r="HL28">
        <v>29.2</v>
      </c>
      <c r="HM28">
        <v>31.8</v>
      </c>
      <c r="HN28">
        <v>15.3632</v>
      </c>
      <c r="HO28">
        <v>63.7097</v>
      </c>
      <c r="HP28">
        <v>20.5329</v>
      </c>
      <c r="HQ28">
        <v>1</v>
      </c>
      <c r="HR28">
        <v>-0.337627</v>
      </c>
      <c r="HS28">
        <v>1.50437</v>
      </c>
      <c r="HT28">
        <v>20.2096</v>
      </c>
      <c r="HU28">
        <v>5.23316</v>
      </c>
      <c r="HV28">
        <v>11.968</v>
      </c>
      <c r="HW28">
        <v>4.97145</v>
      </c>
      <c r="HX28">
        <v>3.29025</v>
      </c>
      <c r="HY28">
        <v>9999</v>
      </c>
      <c r="HZ28">
        <v>9999</v>
      </c>
      <c r="IA28">
        <v>9999</v>
      </c>
      <c r="IB28">
        <v>999.9</v>
      </c>
      <c r="IC28">
        <v>4.97291</v>
      </c>
      <c r="ID28">
        <v>1.87744</v>
      </c>
      <c r="IE28">
        <v>1.87547</v>
      </c>
      <c r="IF28">
        <v>1.87836</v>
      </c>
      <c r="IG28">
        <v>1.875</v>
      </c>
      <c r="IH28">
        <v>1.8786</v>
      </c>
      <c r="II28">
        <v>1.87576</v>
      </c>
      <c r="IJ28">
        <v>1.87683</v>
      </c>
      <c r="IK28">
        <v>0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0.534</v>
      </c>
      <c r="IY28">
        <v>0.0594</v>
      </c>
      <c r="IZ28">
        <v>0.05962679757231274</v>
      </c>
      <c r="JA28">
        <v>0.001226855107158112</v>
      </c>
      <c r="JB28">
        <v>-3.035205684124237E-07</v>
      </c>
      <c r="JC28">
        <v>1.619134626827227E-10</v>
      </c>
      <c r="JD28">
        <v>-0.0304923956573813</v>
      </c>
      <c r="JE28">
        <v>-0.002736280719339335</v>
      </c>
      <c r="JF28">
        <v>0.0009903551140151546</v>
      </c>
      <c r="JG28">
        <v>-1.214181672830105E-05</v>
      </c>
      <c r="JH28">
        <v>0</v>
      </c>
      <c r="JI28">
        <v>2131</v>
      </c>
      <c r="JJ28">
        <v>1</v>
      </c>
      <c r="JK28">
        <v>22</v>
      </c>
      <c r="JL28">
        <v>29345619</v>
      </c>
      <c r="JM28">
        <v>29345619</v>
      </c>
      <c r="JN28">
        <v>1.10596</v>
      </c>
      <c r="JO28">
        <v>2.52441</v>
      </c>
      <c r="JP28">
        <v>1.39893</v>
      </c>
      <c r="JQ28">
        <v>2.33276</v>
      </c>
      <c r="JR28">
        <v>1.44897</v>
      </c>
      <c r="JS28">
        <v>2.59277</v>
      </c>
      <c r="JT28">
        <v>37.4578</v>
      </c>
      <c r="JU28">
        <v>24.035</v>
      </c>
      <c r="JV28">
        <v>18</v>
      </c>
      <c r="JW28">
        <v>472.066</v>
      </c>
      <c r="JX28">
        <v>441.241</v>
      </c>
      <c r="JY28">
        <v>16.4035</v>
      </c>
      <c r="JZ28">
        <v>22.5425</v>
      </c>
      <c r="KA28">
        <v>30.0001</v>
      </c>
      <c r="KB28">
        <v>22.3184</v>
      </c>
      <c r="KC28">
        <v>22.3975</v>
      </c>
      <c r="KD28">
        <v>22.1748</v>
      </c>
      <c r="KE28">
        <v>20.5287</v>
      </c>
      <c r="KF28">
        <v>0</v>
      </c>
      <c r="KG28">
        <v>16.4003</v>
      </c>
      <c r="KH28">
        <v>420</v>
      </c>
      <c r="KI28">
        <v>11.7557</v>
      </c>
      <c r="KJ28">
        <v>102.381</v>
      </c>
      <c r="KK28">
        <v>101.691</v>
      </c>
    </row>
    <row r="29" spans="1:297">
      <c r="A29">
        <v>13</v>
      </c>
      <c r="B29">
        <v>1760737633</v>
      </c>
      <c r="C29">
        <v>2858.5</v>
      </c>
      <c r="D29" t="s">
        <v>483</v>
      </c>
      <c r="E29" t="s">
        <v>484</v>
      </c>
      <c r="F29">
        <v>5</v>
      </c>
      <c r="G29" t="s">
        <v>485</v>
      </c>
      <c r="H29" t="s">
        <v>436</v>
      </c>
      <c r="I29">
        <v>1760737625.25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424.8656130538191</v>
      </c>
      <c r="AK29">
        <v>425.2877636363636</v>
      </c>
      <c r="AL29">
        <v>0.0005500203988866078</v>
      </c>
      <c r="AM29">
        <v>65.33437706450326</v>
      </c>
      <c r="AN29">
        <f>(AP29 - AO29 + DY29*1E3/(8.314*(EA29+273.15)) * AR29/DX29 * AQ29) * DX29/(100*DL29) * 1000/(1000 - AP29)</f>
        <v>0</v>
      </c>
      <c r="AO29">
        <v>11.58060816884201</v>
      </c>
      <c r="AP29">
        <v>12.01467939393939</v>
      </c>
      <c r="AQ29">
        <v>-7.704589486542958E-07</v>
      </c>
      <c r="AR29">
        <v>118.9046506551315</v>
      </c>
      <c r="AS29">
        <v>10</v>
      </c>
      <c r="AT29">
        <v>2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486</v>
      </c>
      <c r="AY29">
        <v>5048.98</v>
      </c>
      <c r="AZ29">
        <v>631.72</v>
      </c>
      <c r="BA29">
        <v>2303.24</v>
      </c>
      <c r="BB29">
        <f>1-AZ29/BA29</f>
        <v>0</v>
      </c>
      <c r="BC29">
        <v>-0.3499017968884156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1760737625.25</v>
      </c>
      <c r="DR29">
        <v>420.1750333333333</v>
      </c>
      <c r="DS29">
        <v>419.992</v>
      </c>
      <c r="DT29">
        <v>12.01712333333333</v>
      </c>
      <c r="DU29">
        <v>11.58254</v>
      </c>
      <c r="DV29">
        <v>419.6420333333334</v>
      </c>
      <c r="DW29">
        <v>11.95945666666667</v>
      </c>
      <c r="DX29">
        <v>499.9923333333333</v>
      </c>
      <c r="DY29">
        <v>89.73143999999999</v>
      </c>
      <c r="DZ29">
        <v>0.03571717666666666</v>
      </c>
      <c r="EA29">
        <v>18.64306</v>
      </c>
      <c r="EB29">
        <v>17.99595333333334</v>
      </c>
      <c r="EC29">
        <v>999.9000000000002</v>
      </c>
      <c r="ED29">
        <v>0</v>
      </c>
      <c r="EE29">
        <v>0</v>
      </c>
      <c r="EF29">
        <v>10001.466</v>
      </c>
      <c r="EG29">
        <v>0</v>
      </c>
      <c r="EH29">
        <v>0.220656</v>
      </c>
      <c r="EI29">
        <v>0.1830352466666667</v>
      </c>
      <c r="EJ29">
        <v>425.2857000000001</v>
      </c>
      <c r="EK29">
        <v>424.9136</v>
      </c>
      <c r="EL29">
        <v>0.4345785999999999</v>
      </c>
      <c r="EM29">
        <v>419.992</v>
      </c>
      <c r="EN29">
        <v>11.58254</v>
      </c>
      <c r="EO29">
        <v>1.078313</v>
      </c>
      <c r="EP29">
        <v>1.039317666666667</v>
      </c>
      <c r="EQ29">
        <v>8.019812</v>
      </c>
      <c r="ER29">
        <v>7.479542666666666</v>
      </c>
      <c r="ES29">
        <v>0.005000559999999998</v>
      </c>
      <c r="ET29">
        <v>0</v>
      </c>
      <c r="EU29">
        <v>0</v>
      </c>
      <c r="EV29">
        <v>0</v>
      </c>
      <c r="EW29">
        <v>632.6266666666667</v>
      </c>
      <c r="EX29">
        <v>0.005000559999999998</v>
      </c>
      <c r="EY29">
        <v>-5.579999999999999</v>
      </c>
      <c r="EZ29">
        <v>-2.376666666666666</v>
      </c>
      <c r="FA29">
        <v>34.09566666666667</v>
      </c>
      <c r="FB29">
        <v>39.94539999999999</v>
      </c>
      <c r="FC29">
        <v>37.07466666666666</v>
      </c>
      <c r="FD29">
        <v>41.0082</v>
      </c>
      <c r="FE29">
        <v>36.89146666666667</v>
      </c>
      <c r="FF29">
        <v>0</v>
      </c>
      <c r="FG29">
        <v>0</v>
      </c>
      <c r="FH29">
        <v>0</v>
      </c>
      <c r="FI29">
        <v>494.2000000476837</v>
      </c>
      <c r="FJ29">
        <v>0</v>
      </c>
      <c r="FK29">
        <v>631.72</v>
      </c>
      <c r="FL29">
        <v>28.03846186869631</v>
      </c>
      <c r="FM29">
        <v>-10.69230765896671</v>
      </c>
      <c r="FN29">
        <v>-5.476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0.1924333756097561</v>
      </c>
      <c r="GD29">
        <v>-0.08059260627177679</v>
      </c>
      <c r="GE29">
        <v>0.04016021810350831</v>
      </c>
      <c r="GF29">
        <v>1</v>
      </c>
      <c r="GG29">
        <v>632.4823529411765</v>
      </c>
      <c r="GH29">
        <v>3.312452388354822</v>
      </c>
      <c r="GI29">
        <v>6.859920707320653</v>
      </c>
      <c r="GJ29">
        <v>0</v>
      </c>
      <c r="GK29">
        <v>0.4345135853658537</v>
      </c>
      <c r="GL29">
        <v>-0.002612634146342146</v>
      </c>
      <c r="GM29">
        <v>0.001009652149121104</v>
      </c>
      <c r="GN29">
        <v>1</v>
      </c>
      <c r="GO29">
        <v>2</v>
      </c>
      <c r="GP29">
        <v>3</v>
      </c>
      <c r="GQ29" t="s">
        <v>441</v>
      </c>
      <c r="GR29">
        <v>3.13294</v>
      </c>
      <c r="GS29">
        <v>2.71368</v>
      </c>
      <c r="GT29">
        <v>0.0863285</v>
      </c>
      <c r="GU29">
        <v>0.08683490000000001</v>
      </c>
      <c r="GV29">
        <v>0.06572359999999999</v>
      </c>
      <c r="GW29">
        <v>0.06434140000000001</v>
      </c>
      <c r="GX29">
        <v>27844.2</v>
      </c>
      <c r="GY29">
        <v>26965.5</v>
      </c>
      <c r="GZ29">
        <v>30992.7</v>
      </c>
      <c r="HA29">
        <v>29755.7</v>
      </c>
      <c r="HB29">
        <v>39918.3</v>
      </c>
      <c r="HC29">
        <v>36623.7</v>
      </c>
      <c r="HD29">
        <v>47344.9</v>
      </c>
      <c r="HE29">
        <v>44196.8</v>
      </c>
      <c r="HF29">
        <v>1.89422</v>
      </c>
      <c r="HG29">
        <v>1.89447</v>
      </c>
      <c r="HH29">
        <v>0.0208989</v>
      </c>
      <c r="HI29">
        <v>0</v>
      </c>
      <c r="HJ29">
        <v>17.6479</v>
      </c>
      <c r="HK29">
        <v>999.9</v>
      </c>
      <c r="HL29">
        <v>28.8</v>
      </c>
      <c r="HM29">
        <v>32.1</v>
      </c>
      <c r="HN29">
        <v>15.414</v>
      </c>
      <c r="HO29">
        <v>63.2597</v>
      </c>
      <c r="HP29">
        <v>20.4407</v>
      </c>
      <c r="HQ29">
        <v>1</v>
      </c>
      <c r="HR29">
        <v>-0.335274</v>
      </c>
      <c r="HS29">
        <v>1.32534</v>
      </c>
      <c r="HT29">
        <v>20.2114</v>
      </c>
      <c r="HU29">
        <v>5.2396</v>
      </c>
      <c r="HV29">
        <v>11.968</v>
      </c>
      <c r="HW29">
        <v>4.9731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4.97291</v>
      </c>
      <c r="ID29">
        <v>1.87743</v>
      </c>
      <c r="IE29">
        <v>1.87547</v>
      </c>
      <c r="IF29">
        <v>1.87834</v>
      </c>
      <c r="IG29">
        <v>1.875</v>
      </c>
      <c r="IH29">
        <v>1.8786</v>
      </c>
      <c r="II29">
        <v>1.87575</v>
      </c>
      <c r="IJ29">
        <v>1.87685</v>
      </c>
      <c r="IK29">
        <v>0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0.533</v>
      </c>
      <c r="IY29">
        <v>0.0577</v>
      </c>
      <c r="IZ29">
        <v>0.05962679757231274</v>
      </c>
      <c r="JA29">
        <v>0.001226855107158112</v>
      </c>
      <c r="JB29">
        <v>-3.035205684124237E-07</v>
      </c>
      <c r="JC29">
        <v>1.619134626827227E-10</v>
      </c>
      <c r="JD29">
        <v>-0.0304923956573813</v>
      </c>
      <c r="JE29">
        <v>-0.002736280719339335</v>
      </c>
      <c r="JF29">
        <v>0.0009903551140151546</v>
      </c>
      <c r="JG29">
        <v>-1.214181672830105E-05</v>
      </c>
      <c r="JH29">
        <v>0</v>
      </c>
      <c r="JI29">
        <v>2131</v>
      </c>
      <c r="JJ29">
        <v>1</v>
      </c>
      <c r="JK29">
        <v>22</v>
      </c>
      <c r="JL29">
        <v>29345627.2</v>
      </c>
      <c r="JM29">
        <v>29345627.2</v>
      </c>
      <c r="JN29">
        <v>1.10596</v>
      </c>
      <c r="JO29">
        <v>2.53296</v>
      </c>
      <c r="JP29">
        <v>1.39893</v>
      </c>
      <c r="JQ29">
        <v>2.33276</v>
      </c>
      <c r="JR29">
        <v>1.44897</v>
      </c>
      <c r="JS29">
        <v>2.44385</v>
      </c>
      <c r="JT29">
        <v>37.6022</v>
      </c>
      <c r="JU29">
        <v>24.0262</v>
      </c>
      <c r="JV29">
        <v>18</v>
      </c>
      <c r="JW29">
        <v>471.966</v>
      </c>
      <c r="JX29">
        <v>440.06</v>
      </c>
      <c r="JY29">
        <v>16.3795</v>
      </c>
      <c r="JZ29">
        <v>22.5767</v>
      </c>
      <c r="KA29">
        <v>30</v>
      </c>
      <c r="KB29">
        <v>22.3297</v>
      </c>
      <c r="KC29">
        <v>22.405</v>
      </c>
      <c r="KD29">
        <v>22.1766</v>
      </c>
      <c r="KE29">
        <v>20.5612</v>
      </c>
      <c r="KF29">
        <v>0</v>
      </c>
      <c r="KG29">
        <v>16.3868</v>
      </c>
      <c r="KH29">
        <v>420</v>
      </c>
      <c r="KI29">
        <v>11.6327</v>
      </c>
      <c r="KJ29">
        <v>102.373</v>
      </c>
      <c r="KK29">
        <v>101.677</v>
      </c>
    </row>
    <row r="30" spans="1:297">
      <c r="A30">
        <v>14</v>
      </c>
      <c r="B30">
        <v>1760737838.5</v>
      </c>
      <c r="C30">
        <v>3064</v>
      </c>
      <c r="D30" t="s">
        <v>487</v>
      </c>
      <c r="E30" t="s">
        <v>488</v>
      </c>
      <c r="F30">
        <v>5</v>
      </c>
      <c r="G30" t="s">
        <v>485</v>
      </c>
      <c r="H30" t="s">
        <v>436</v>
      </c>
      <c r="I30">
        <v>1760737830.5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424.9378211788155</v>
      </c>
      <c r="AK30">
        <v>425.3215272727273</v>
      </c>
      <c r="AL30">
        <v>-0.000771553833710613</v>
      </c>
      <c r="AM30">
        <v>65.33437706450326</v>
      </c>
      <c r="AN30">
        <f>(AP30 - AO30 + DY30*1E3/(8.314*(EA30+273.15)) * AR30/DX30 * AQ30) * DX30/(100*DL30) * 1000/(1000 - AP30)</f>
        <v>0</v>
      </c>
      <c r="AO30">
        <v>11.64355401034213</v>
      </c>
      <c r="AP30">
        <v>12.00531515151515</v>
      </c>
      <c r="AQ30">
        <v>-3.177344166085813E-06</v>
      </c>
      <c r="AR30">
        <v>118.9046506551315</v>
      </c>
      <c r="AS30">
        <v>10</v>
      </c>
      <c r="AT30">
        <v>2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489</v>
      </c>
      <c r="AY30">
        <v>5048.35</v>
      </c>
      <c r="AZ30">
        <v>666.7884615384615</v>
      </c>
      <c r="BA30">
        <v>2254.77</v>
      </c>
      <c r="BB30">
        <f>1-AZ30/BA30</f>
        <v>0</v>
      </c>
      <c r="BC30">
        <v>-0.3129619690212325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1760737830.5</v>
      </c>
      <c r="DR30">
        <v>420.2506774193549</v>
      </c>
      <c r="DS30">
        <v>420.003870967742</v>
      </c>
      <c r="DT30">
        <v>12.01068387096774</v>
      </c>
      <c r="DU30">
        <v>11.64624516129032</v>
      </c>
      <c r="DV30">
        <v>419.7174838709677</v>
      </c>
      <c r="DW30">
        <v>11.95312258064516</v>
      </c>
      <c r="DX30">
        <v>500.0036774193548</v>
      </c>
      <c r="DY30">
        <v>89.73040645161292</v>
      </c>
      <c r="DZ30">
        <v>0.03604498387096775</v>
      </c>
      <c r="EA30">
        <v>18.62629677419355</v>
      </c>
      <c r="EB30">
        <v>18.00528064516129</v>
      </c>
      <c r="EC30">
        <v>999.9000000000003</v>
      </c>
      <c r="ED30">
        <v>0</v>
      </c>
      <c r="EE30">
        <v>0</v>
      </c>
      <c r="EF30">
        <v>9998.911935483871</v>
      </c>
      <c r="EG30">
        <v>0</v>
      </c>
      <c r="EH30">
        <v>0.220656</v>
      </c>
      <c r="EI30">
        <v>0.2466263225806452</v>
      </c>
      <c r="EJ30">
        <v>425.3594193548386</v>
      </c>
      <c r="EK30">
        <v>424.9530645161291</v>
      </c>
      <c r="EL30">
        <v>0.3644413548387097</v>
      </c>
      <c r="EM30">
        <v>420.003870967742</v>
      </c>
      <c r="EN30">
        <v>11.64624516129032</v>
      </c>
      <c r="EO30">
        <v>1.077722580645161</v>
      </c>
      <c r="EP30">
        <v>1.045022903225806</v>
      </c>
      <c r="EQ30">
        <v>8.011766129032258</v>
      </c>
      <c r="ER30">
        <v>7.559673870967742</v>
      </c>
      <c r="ES30">
        <v>0.005000559999999997</v>
      </c>
      <c r="ET30">
        <v>0</v>
      </c>
      <c r="EU30">
        <v>0</v>
      </c>
      <c r="EV30">
        <v>0</v>
      </c>
      <c r="EW30">
        <v>667.3032258064516</v>
      </c>
      <c r="EX30">
        <v>0.005000559999999997</v>
      </c>
      <c r="EY30">
        <v>-5.893548387096775</v>
      </c>
      <c r="EZ30">
        <v>-2.364516129032258</v>
      </c>
      <c r="FA30">
        <v>34.2941935483871</v>
      </c>
      <c r="FB30">
        <v>40.22967741935484</v>
      </c>
      <c r="FC30">
        <v>37.3626129032258</v>
      </c>
      <c r="FD30">
        <v>41.55812903225804</v>
      </c>
      <c r="FE30">
        <v>37.16499999999999</v>
      </c>
      <c r="FF30">
        <v>0</v>
      </c>
      <c r="FG30">
        <v>0</v>
      </c>
      <c r="FH30">
        <v>0</v>
      </c>
      <c r="FI30">
        <v>204.8000001907349</v>
      </c>
      <c r="FJ30">
        <v>0</v>
      </c>
      <c r="FK30">
        <v>666.7884615384615</v>
      </c>
      <c r="FL30">
        <v>-8.940170701490191</v>
      </c>
      <c r="FM30">
        <v>23.27521427404505</v>
      </c>
      <c r="FN30">
        <v>-5.299999999999999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0.2418421463414634</v>
      </c>
      <c r="GD30">
        <v>0.1036753170731712</v>
      </c>
      <c r="GE30">
        <v>0.01901092392458581</v>
      </c>
      <c r="GF30">
        <v>1</v>
      </c>
      <c r="GG30">
        <v>667.4970588235293</v>
      </c>
      <c r="GH30">
        <v>-8.316271878104494</v>
      </c>
      <c r="GI30">
        <v>5.535313652525382</v>
      </c>
      <c r="GJ30">
        <v>0</v>
      </c>
      <c r="GK30">
        <v>0.3650676097560976</v>
      </c>
      <c r="GL30">
        <v>-0.0134748501742155</v>
      </c>
      <c r="GM30">
        <v>0.001445245542106252</v>
      </c>
      <c r="GN30">
        <v>1</v>
      </c>
      <c r="GO30">
        <v>2</v>
      </c>
      <c r="GP30">
        <v>3</v>
      </c>
      <c r="GQ30" t="s">
        <v>441</v>
      </c>
      <c r="GR30">
        <v>3.13299</v>
      </c>
      <c r="GS30">
        <v>2.71364</v>
      </c>
      <c r="GT30">
        <v>0.0863331</v>
      </c>
      <c r="GU30">
        <v>0.0868299</v>
      </c>
      <c r="GV30">
        <v>0.0656851</v>
      </c>
      <c r="GW30">
        <v>0.0646018</v>
      </c>
      <c r="GX30">
        <v>27843.6</v>
      </c>
      <c r="GY30">
        <v>26963.9</v>
      </c>
      <c r="GZ30">
        <v>30992.1</v>
      </c>
      <c r="HA30">
        <v>29753.8</v>
      </c>
      <c r="HB30">
        <v>39919.8</v>
      </c>
      <c r="HC30">
        <v>36611.5</v>
      </c>
      <c r="HD30">
        <v>47344.6</v>
      </c>
      <c r="HE30">
        <v>44194.5</v>
      </c>
      <c r="HF30">
        <v>1.8938</v>
      </c>
      <c r="HG30">
        <v>1.8939</v>
      </c>
      <c r="HH30">
        <v>0.0212342</v>
      </c>
      <c r="HI30">
        <v>0</v>
      </c>
      <c r="HJ30">
        <v>17.6557</v>
      </c>
      <c r="HK30">
        <v>999.9</v>
      </c>
      <c r="HL30">
        <v>28.5</v>
      </c>
      <c r="HM30">
        <v>32.1</v>
      </c>
      <c r="HN30">
        <v>15.254</v>
      </c>
      <c r="HO30">
        <v>63.5797</v>
      </c>
      <c r="HP30">
        <v>20.649</v>
      </c>
      <c r="HQ30">
        <v>1</v>
      </c>
      <c r="HR30">
        <v>-0.333958</v>
      </c>
      <c r="HS30">
        <v>1.51221</v>
      </c>
      <c r="HT30">
        <v>20.21</v>
      </c>
      <c r="HU30">
        <v>5.23885</v>
      </c>
      <c r="HV30">
        <v>11.968</v>
      </c>
      <c r="HW30">
        <v>4.97325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4.97291</v>
      </c>
      <c r="ID30">
        <v>1.87744</v>
      </c>
      <c r="IE30">
        <v>1.87557</v>
      </c>
      <c r="IF30">
        <v>1.87836</v>
      </c>
      <c r="IG30">
        <v>1.87511</v>
      </c>
      <c r="IH30">
        <v>1.87866</v>
      </c>
      <c r="II30">
        <v>1.87576</v>
      </c>
      <c r="IJ30">
        <v>1.87693</v>
      </c>
      <c r="IK30">
        <v>0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0.533</v>
      </c>
      <c r="IY30">
        <v>0.0574</v>
      </c>
      <c r="IZ30">
        <v>0.05962679757231274</v>
      </c>
      <c r="JA30">
        <v>0.001226855107158112</v>
      </c>
      <c r="JB30">
        <v>-3.035205684124237E-07</v>
      </c>
      <c r="JC30">
        <v>1.619134626827227E-10</v>
      </c>
      <c r="JD30">
        <v>-0.0304923956573813</v>
      </c>
      <c r="JE30">
        <v>-0.002736280719339335</v>
      </c>
      <c r="JF30">
        <v>0.0009903551140151546</v>
      </c>
      <c r="JG30">
        <v>-1.214181672830105E-05</v>
      </c>
      <c r="JH30">
        <v>0</v>
      </c>
      <c r="JI30">
        <v>2131</v>
      </c>
      <c r="JJ30">
        <v>1</v>
      </c>
      <c r="JK30">
        <v>22</v>
      </c>
      <c r="JL30">
        <v>29345630.6</v>
      </c>
      <c r="JM30">
        <v>29345630.6</v>
      </c>
      <c r="JN30">
        <v>1.10596</v>
      </c>
      <c r="JO30">
        <v>2.51953</v>
      </c>
      <c r="JP30">
        <v>1.39893</v>
      </c>
      <c r="JQ30">
        <v>2.33276</v>
      </c>
      <c r="JR30">
        <v>1.44897</v>
      </c>
      <c r="JS30">
        <v>2.60132</v>
      </c>
      <c r="JT30">
        <v>37.6263</v>
      </c>
      <c r="JU30">
        <v>24.035</v>
      </c>
      <c r="JV30">
        <v>18</v>
      </c>
      <c r="JW30">
        <v>471.773</v>
      </c>
      <c r="JX30">
        <v>439.745</v>
      </c>
      <c r="JY30">
        <v>16.2584</v>
      </c>
      <c r="JZ30">
        <v>22.5806</v>
      </c>
      <c r="KA30">
        <v>30.0001</v>
      </c>
      <c r="KB30">
        <v>22.3335</v>
      </c>
      <c r="KC30">
        <v>22.4085</v>
      </c>
      <c r="KD30">
        <v>22.1777</v>
      </c>
      <c r="KE30">
        <v>19.7293</v>
      </c>
      <c r="KF30">
        <v>0</v>
      </c>
      <c r="KG30">
        <v>16.2485</v>
      </c>
      <c r="KH30">
        <v>420</v>
      </c>
      <c r="KI30">
        <v>11.702</v>
      </c>
      <c r="KJ30">
        <v>102.372</v>
      </c>
      <c r="KK30">
        <v>101.671</v>
      </c>
    </row>
    <row r="31" spans="1:297">
      <c r="A31">
        <v>15</v>
      </c>
      <c r="B31">
        <v>1760738013.5</v>
      </c>
      <c r="C31">
        <v>3239</v>
      </c>
      <c r="D31" t="s">
        <v>490</v>
      </c>
      <c r="E31" t="s">
        <v>491</v>
      </c>
      <c r="F31">
        <v>5</v>
      </c>
      <c r="G31" t="s">
        <v>485</v>
      </c>
      <c r="H31" t="s">
        <v>436</v>
      </c>
      <c r="I31">
        <v>1760738005.5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424.90297653649</v>
      </c>
      <c r="AK31">
        <v>425.3613272727271</v>
      </c>
      <c r="AL31">
        <v>0.0002412806258216582</v>
      </c>
      <c r="AM31">
        <v>65.33437706450326</v>
      </c>
      <c r="AN31">
        <f>(AP31 - AO31 + DY31*1E3/(8.314*(EA31+273.15)) * AR31/DX31 * AQ31) * DX31/(100*DL31) * 1000/(1000 - AP31)</f>
        <v>0</v>
      </c>
      <c r="AO31">
        <v>11.70138537518928</v>
      </c>
      <c r="AP31">
        <v>11.97075878787879</v>
      </c>
      <c r="AQ31">
        <v>6.237204877144138E-06</v>
      </c>
      <c r="AR31">
        <v>118.9046506551315</v>
      </c>
      <c r="AS31">
        <v>10</v>
      </c>
      <c r="AT31">
        <v>2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492</v>
      </c>
      <c r="AY31">
        <v>5047.93</v>
      </c>
      <c r="AZ31">
        <v>669.9653846153846</v>
      </c>
      <c r="BA31">
        <v>2219.98</v>
      </c>
      <c r="BB31">
        <f>1-AZ31/BA31</f>
        <v>0</v>
      </c>
      <c r="BC31">
        <v>-0.3784649979798396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1760738005.5</v>
      </c>
      <c r="DR31">
        <v>420.2667741935485</v>
      </c>
      <c r="DS31">
        <v>419.9863548387096</v>
      </c>
      <c r="DT31">
        <v>11.96128387096774</v>
      </c>
      <c r="DU31">
        <v>11.67571290322581</v>
      </c>
      <c r="DV31">
        <v>419.7336774193548</v>
      </c>
      <c r="DW31">
        <v>11.90448064516129</v>
      </c>
      <c r="DX31">
        <v>500.0068387096774</v>
      </c>
      <c r="DY31">
        <v>89.72967741935487</v>
      </c>
      <c r="DZ31">
        <v>0.03615352258064516</v>
      </c>
      <c r="EA31">
        <v>18.61095161290323</v>
      </c>
      <c r="EB31">
        <v>18.00104193548387</v>
      </c>
      <c r="EC31">
        <v>999.9000000000003</v>
      </c>
      <c r="ED31">
        <v>0</v>
      </c>
      <c r="EE31">
        <v>0</v>
      </c>
      <c r="EF31">
        <v>9993.947741935484</v>
      </c>
      <c r="EG31">
        <v>0</v>
      </c>
      <c r="EH31">
        <v>0.220656</v>
      </c>
      <c r="EI31">
        <v>0.2804073225806451</v>
      </c>
      <c r="EJ31">
        <v>425.3545806451613</v>
      </c>
      <c r="EK31">
        <v>424.9480322580645</v>
      </c>
      <c r="EL31">
        <v>0.2855674193548387</v>
      </c>
      <c r="EM31">
        <v>419.9863548387096</v>
      </c>
      <c r="EN31">
        <v>11.67571290322581</v>
      </c>
      <c r="EO31">
        <v>1.073282580645161</v>
      </c>
      <c r="EP31">
        <v>1.047658064516129</v>
      </c>
      <c r="EQ31">
        <v>7.951070322580645</v>
      </c>
      <c r="ER31">
        <v>7.596548709677419</v>
      </c>
      <c r="ES31">
        <v>0.005000559999999997</v>
      </c>
      <c r="ET31">
        <v>0</v>
      </c>
      <c r="EU31">
        <v>0</v>
      </c>
      <c r="EV31">
        <v>0</v>
      </c>
      <c r="EW31">
        <v>669.8387096774192</v>
      </c>
      <c r="EX31">
        <v>0.005000559999999997</v>
      </c>
      <c r="EY31">
        <v>-4.148387096774194</v>
      </c>
      <c r="EZ31">
        <v>-2.361290322580645</v>
      </c>
      <c r="FA31">
        <v>34.80016129032258</v>
      </c>
      <c r="FB31">
        <v>40.40299999999999</v>
      </c>
      <c r="FC31">
        <v>37.56638709677419</v>
      </c>
      <c r="FD31">
        <v>41.83638709677419</v>
      </c>
      <c r="FE31">
        <v>37.3688064516129</v>
      </c>
      <c r="FF31">
        <v>0</v>
      </c>
      <c r="FG31">
        <v>0</v>
      </c>
      <c r="FH31">
        <v>0</v>
      </c>
      <c r="FI31">
        <v>174.2000000476837</v>
      </c>
      <c r="FJ31">
        <v>0</v>
      </c>
      <c r="FK31">
        <v>669.9653846153846</v>
      </c>
      <c r="FL31">
        <v>-16.11965810153492</v>
      </c>
      <c r="FM31">
        <v>9.952136772533015</v>
      </c>
      <c r="FN31">
        <v>-4.634615384615385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0.265789825</v>
      </c>
      <c r="GD31">
        <v>0.362656424015009</v>
      </c>
      <c r="GE31">
        <v>0.05314643695201378</v>
      </c>
      <c r="GF31">
        <v>1</v>
      </c>
      <c r="GG31">
        <v>670.220588235294</v>
      </c>
      <c r="GH31">
        <v>-13.36440035219888</v>
      </c>
      <c r="GI31">
        <v>5.528151452113873</v>
      </c>
      <c r="GJ31">
        <v>0</v>
      </c>
      <c r="GK31">
        <v>0.29089035</v>
      </c>
      <c r="GL31">
        <v>-0.1628489606003761</v>
      </c>
      <c r="GM31">
        <v>0.01792058400492294</v>
      </c>
      <c r="GN31">
        <v>0</v>
      </c>
      <c r="GO31">
        <v>1</v>
      </c>
      <c r="GP31">
        <v>3</v>
      </c>
      <c r="GQ31" t="s">
        <v>451</v>
      </c>
      <c r="GR31">
        <v>3.13291</v>
      </c>
      <c r="GS31">
        <v>2.7142</v>
      </c>
      <c r="GT31">
        <v>0.086337</v>
      </c>
      <c r="GU31">
        <v>0.0868256</v>
      </c>
      <c r="GV31">
        <v>0.0655502</v>
      </c>
      <c r="GW31">
        <v>0.0648384</v>
      </c>
      <c r="GX31">
        <v>27842.2</v>
      </c>
      <c r="GY31">
        <v>26962.6</v>
      </c>
      <c r="GZ31">
        <v>30990.9</v>
      </c>
      <c r="HA31">
        <v>29752.3</v>
      </c>
      <c r="HB31">
        <v>39923.9</v>
      </c>
      <c r="HC31">
        <v>36600.3</v>
      </c>
      <c r="HD31">
        <v>47342.6</v>
      </c>
      <c r="HE31">
        <v>44192.4</v>
      </c>
      <c r="HF31">
        <v>1.89342</v>
      </c>
      <c r="HG31">
        <v>1.89363</v>
      </c>
      <c r="HH31">
        <v>0.0200048</v>
      </c>
      <c r="HI31">
        <v>0</v>
      </c>
      <c r="HJ31">
        <v>17.6682</v>
      </c>
      <c r="HK31">
        <v>999.9</v>
      </c>
      <c r="HL31">
        <v>28.3</v>
      </c>
      <c r="HM31">
        <v>32.2</v>
      </c>
      <c r="HN31">
        <v>15.2317</v>
      </c>
      <c r="HO31">
        <v>63.0297</v>
      </c>
      <c r="HP31">
        <v>20.3566</v>
      </c>
      <c r="HQ31">
        <v>1</v>
      </c>
      <c r="HR31">
        <v>-0.331857</v>
      </c>
      <c r="HS31">
        <v>1.50594</v>
      </c>
      <c r="HT31">
        <v>20.2099</v>
      </c>
      <c r="HU31">
        <v>5.24095</v>
      </c>
      <c r="HV31">
        <v>11.968</v>
      </c>
      <c r="HW31">
        <v>4.97345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4.97291</v>
      </c>
      <c r="ID31">
        <v>1.87744</v>
      </c>
      <c r="IE31">
        <v>1.87554</v>
      </c>
      <c r="IF31">
        <v>1.87836</v>
      </c>
      <c r="IG31">
        <v>1.87511</v>
      </c>
      <c r="IH31">
        <v>1.87865</v>
      </c>
      <c r="II31">
        <v>1.87576</v>
      </c>
      <c r="IJ31">
        <v>1.87693</v>
      </c>
      <c r="IK31">
        <v>0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0.533</v>
      </c>
      <c r="IY31">
        <v>0.057</v>
      </c>
      <c r="IZ31">
        <v>0.05962679757231274</v>
      </c>
      <c r="JA31">
        <v>0.001226855107158112</v>
      </c>
      <c r="JB31">
        <v>-3.035205684124237E-07</v>
      </c>
      <c r="JC31">
        <v>1.619134626827227E-10</v>
      </c>
      <c r="JD31">
        <v>-0.0304923956573813</v>
      </c>
      <c r="JE31">
        <v>-0.002736280719339335</v>
      </c>
      <c r="JF31">
        <v>0.0009903551140151546</v>
      </c>
      <c r="JG31">
        <v>-1.214181672830105E-05</v>
      </c>
      <c r="JH31">
        <v>0</v>
      </c>
      <c r="JI31">
        <v>2131</v>
      </c>
      <c r="JJ31">
        <v>1</v>
      </c>
      <c r="JK31">
        <v>22</v>
      </c>
      <c r="JL31">
        <v>29345633.6</v>
      </c>
      <c r="JM31">
        <v>29345633.6</v>
      </c>
      <c r="JN31">
        <v>1.10718</v>
      </c>
      <c r="JO31">
        <v>2.52563</v>
      </c>
      <c r="JP31">
        <v>1.39893</v>
      </c>
      <c r="JQ31">
        <v>2.33154</v>
      </c>
      <c r="JR31">
        <v>1.44897</v>
      </c>
      <c r="JS31">
        <v>2.57324</v>
      </c>
      <c r="JT31">
        <v>37.6745</v>
      </c>
      <c r="JU31">
        <v>24.0262</v>
      </c>
      <c r="JV31">
        <v>18</v>
      </c>
      <c r="JW31">
        <v>471.701</v>
      </c>
      <c r="JX31">
        <v>439.71</v>
      </c>
      <c r="JY31">
        <v>16.155</v>
      </c>
      <c r="JZ31">
        <v>22.6055</v>
      </c>
      <c r="KA31">
        <v>30.0002</v>
      </c>
      <c r="KB31">
        <v>22.3505</v>
      </c>
      <c r="KC31">
        <v>22.4239</v>
      </c>
      <c r="KD31">
        <v>22.1844</v>
      </c>
      <c r="KE31">
        <v>18.6073</v>
      </c>
      <c r="KF31">
        <v>0</v>
      </c>
      <c r="KG31">
        <v>16.1576</v>
      </c>
      <c r="KH31">
        <v>420</v>
      </c>
      <c r="KI31">
        <v>11.7199</v>
      </c>
      <c r="KJ31">
        <v>102.368</v>
      </c>
      <c r="KK31">
        <v>101.666</v>
      </c>
    </row>
    <row r="32" spans="1:297">
      <c r="A32">
        <v>16</v>
      </c>
      <c r="B32">
        <v>1760738371.5</v>
      </c>
      <c r="C32">
        <v>3597</v>
      </c>
      <c r="D32" t="s">
        <v>493</v>
      </c>
      <c r="E32" t="s">
        <v>494</v>
      </c>
      <c r="F32">
        <v>5</v>
      </c>
      <c r="G32" t="s">
        <v>495</v>
      </c>
      <c r="H32" t="s">
        <v>436</v>
      </c>
      <c r="I32">
        <v>1760738363.5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425.0574792341934</v>
      </c>
      <c r="AK32">
        <v>425.5468606060606</v>
      </c>
      <c r="AL32">
        <v>0.0007396420527014445</v>
      </c>
      <c r="AM32">
        <v>65.35393480694231</v>
      </c>
      <c r="AN32">
        <f>(AP32 - AO32 + DY32*1E3/(8.314*(EA32+273.15)) * AR32/DX32 * AQ32) * DX32/(100*DL32) * 1000/(1000 - AP32)</f>
        <v>0</v>
      </c>
      <c r="AO32">
        <v>11.8307776296955</v>
      </c>
      <c r="AP32">
        <v>11.95933454545454</v>
      </c>
      <c r="AQ32">
        <v>2.751656619655519E-06</v>
      </c>
      <c r="AR32">
        <v>118.3180827426583</v>
      </c>
      <c r="AS32">
        <v>10</v>
      </c>
      <c r="AT32">
        <v>2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496</v>
      </c>
      <c r="AY32">
        <v>5065.89</v>
      </c>
      <c r="AZ32">
        <v>614.4346153846153</v>
      </c>
      <c r="BA32">
        <v>2583.06</v>
      </c>
      <c r="BB32">
        <f>1-AZ32/BA32</f>
        <v>0</v>
      </c>
      <c r="BC32">
        <v>-0.4059437508930562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1760738363.5</v>
      </c>
      <c r="DR32">
        <v>420.4403870967742</v>
      </c>
      <c r="DS32">
        <v>420.0018709677419</v>
      </c>
      <c r="DT32">
        <v>11.95569677419355</v>
      </c>
      <c r="DU32">
        <v>11.83422580645161</v>
      </c>
      <c r="DV32">
        <v>419.9071612903226</v>
      </c>
      <c r="DW32">
        <v>11.89898064516129</v>
      </c>
      <c r="DX32">
        <v>500.0092258064516</v>
      </c>
      <c r="DY32">
        <v>89.73151612903226</v>
      </c>
      <c r="DZ32">
        <v>0.03639887096774194</v>
      </c>
      <c r="EA32">
        <v>18.63561290322581</v>
      </c>
      <c r="EB32">
        <v>17.99946451612903</v>
      </c>
      <c r="EC32">
        <v>999.9000000000003</v>
      </c>
      <c r="ED32">
        <v>0</v>
      </c>
      <c r="EE32">
        <v>0</v>
      </c>
      <c r="EF32">
        <v>10001.35677419355</v>
      </c>
      <c r="EG32">
        <v>0</v>
      </c>
      <c r="EH32">
        <v>0.220656</v>
      </c>
      <c r="EI32">
        <v>0.438576935483871</v>
      </c>
      <c r="EJ32">
        <v>425.5279677419354</v>
      </c>
      <c r="EK32">
        <v>425.0317419354839</v>
      </c>
      <c r="EL32">
        <v>0.1214799677419355</v>
      </c>
      <c r="EM32">
        <v>420.0018709677419</v>
      </c>
      <c r="EN32">
        <v>11.83422580645161</v>
      </c>
      <c r="EO32">
        <v>1.072802580645161</v>
      </c>
      <c r="EP32">
        <v>1.061902903225806</v>
      </c>
      <c r="EQ32">
        <v>7.94451935483871</v>
      </c>
      <c r="ER32">
        <v>7.794573548387097</v>
      </c>
      <c r="ES32">
        <v>0.005000559999999997</v>
      </c>
      <c r="ET32">
        <v>0</v>
      </c>
      <c r="EU32">
        <v>0</v>
      </c>
      <c r="EV32">
        <v>0</v>
      </c>
      <c r="EW32">
        <v>614.1000000000001</v>
      </c>
      <c r="EX32">
        <v>0.005000559999999997</v>
      </c>
      <c r="EY32">
        <v>-9.274193548387096</v>
      </c>
      <c r="EZ32">
        <v>-2.709677419354839</v>
      </c>
      <c r="FA32">
        <v>34.02596774193549</v>
      </c>
      <c r="FB32">
        <v>39.40293548387096</v>
      </c>
      <c r="FC32">
        <v>36.81619354838708</v>
      </c>
      <c r="FD32">
        <v>39.93316129032256</v>
      </c>
      <c r="FE32">
        <v>36.57412903225806</v>
      </c>
      <c r="FF32">
        <v>0</v>
      </c>
      <c r="FG32">
        <v>0</v>
      </c>
      <c r="FH32">
        <v>0</v>
      </c>
      <c r="FI32">
        <v>357.2000000476837</v>
      </c>
      <c r="FJ32">
        <v>0</v>
      </c>
      <c r="FK32">
        <v>614.4346153846153</v>
      </c>
      <c r="FL32">
        <v>12.49572665743297</v>
      </c>
      <c r="FM32">
        <v>-43.44957269106408</v>
      </c>
      <c r="FN32">
        <v>-9.273076923076923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0.4446388536585366</v>
      </c>
      <c r="GD32">
        <v>-0.03165890592334326</v>
      </c>
      <c r="GE32">
        <v>0.04070230196496111</v>
      </c>
      <c r="GF32">
        <v>1</v>
      </c>
      <c r="GG32">
        <v>614.5205882352942</v>
      </c>
      <c r="GH32">
        <v>-4.469060197895244</v>
      </c>
      <c r="GI32">
        <v>5.878964465226082</v>
      </c>
      <c r="GJ32">
        <v>0</v>
      </c>
      <c r="GK32">
        <v>0.120025756097561</v>
      </c>
      <c r="GL32">
        <v>0.04646747038327569</v>
      </c>
      <c r="GM32">
        <v>0.00615014083035458</v>
      </c>
      <c r="GN32">
        <v>1</v>
      </c>
      <c r="GO32">
        <v>2</v>
      </c>
      <c r="GP32">
        <v>3</v>
      </c>
      <c r="GQ32" t="s">
        <v>441</v>
      </c>
      <c r="GR32">
        <v>3.1329</v>
      </c>
      <c r="GS32">
        <v>2.71407</v>
      </c>
      <c r="GT32">
        <v>0.0863564</v>
      </c>
      <c r="GU32">
        <v>0.0868182</v>
      </c>
      <c r="GV32">
        <v>0.06549140000000001</v>
      </c>
      <c r="GW32">
        <v>0.06536</v>
      </c>
      <c r="GX32">
        <v>27838.3</v>
      </c>
      <c r="GY32">
        <v>26958.1</v>
      </c>
      <c r="GZ32">
        <v>30987.4</v>
      </c>
      <c r="HA32">
        <v>29747.5</v>
      </c>
      <c r="HB32">
        <v>39922.8</v>
      </c>
      <c r="HC32">
        <v>36574.1</v>
      </c>
      <c r="HD32">
        <v>47338.2</v>
      </c>
      <c r="HE32">
        <v>44185.7</v>
      </c>
      <c r="HF32">
        <v>1.89275</v>
      </c>
      <c r="HG32">
        <v>1.89335</v>
      </c>
      <c r="HH32">
        <v>0.0206567</v>
      </c>
      <c r="HI32">
        <v>0</v>
      </c>
      <c r="HJ32">
        <v>17.6459</v>
      </c>
      <c r="HK32">
        <v>999.9</v>
      </c>
      <c r="HL32">
        <v>27.7</v>
      </c>
      <c r="HM32">
        <v>32.3</v>
      </c>
      <c r="HN32">
        <v>14.9929</v>
      </c>
      <c r="HO32">
        <v>63.4097</v>
      </c>
      <c r="HP32">
        <v>20.3405</v>
      </c>
      <c r="HQ32">
        <v>1</v>
      </c>
      <c r="HR32">
        <v>-0.328094</v>
      </c>
      <c r="HS32">
        <v>1.42487</v>
      </c>
      <c r="HT32">
        <v>20.2108</v>
      </c>
      <c r="HU32">
        <v>5.23855</v>
      </c>
      <c r="HV32">
        <v>11.968</v>
      </c>
      <c r="HW32">
        <v>4.97325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4.97291</v>
      </c>
      <c r="ID32">
        <v>1.87745</v>
      </c>
      <c r="IE32">
        <v>1.87556</v>
      </c>
      <c r="IF32">
        <v>1.87836</v>
      </c>
      <c r="IG32">
        <v>1.8751</v>
      </c>
      <c r="IH32">
        <v>1.87866</v>
      </c>
      <c r="II32">
        <v>1.87576</v>
      </c>
      <c r="IJ32">
        <v>1.87697</v>
      </c>
      <c r="IK32">
        <v>0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0.533</v>
      </c>
      <c r="IY32">
        <v>0.0568</v>
      </c>
      <c r="IZ32">
        <v>0.05962679757231274</v>
      </c>
      <c r="JA32">
        <v>0.001226855107158112</v>
      </c>
      <c r="JB32">
        <v>-3.035205684124237E-07</v>
      </c>
      <c r="JC32">
        <v>1.619134626827227E-10</v>
      </c>
      <c r="JD32">
        <v>-0.0304923956573813</v>
      </c>
      <c r="JE32">
        <v>-0.002736280719339335</v>
      </c>
      <c r="JF32">
        <v>0.0009903551140151546</v>
      </c>
      <c r="JG32">
        <v>-1.214181672830105E-05</v>
      </c>
      <c r="JH32">
        <v>0</v>
      </c>
      <c r="JI32">
        <v>2131</v>
      </c>
      <c r="JJ32">
        <v>1</v>
      </c>
      <c r="JK32">
        <v>22</v>
      </c>
      <c r="JL32">
        <v>29345639.5</v>
      </c>
      <c r="JM32">
        <v>29345639.5</v>
      </c>
      <c r="JN32">
        <v>1.10718</v>
      </c>
      <c r="JO32">
        <v>2.52808</v>
      </c>
      <c r="JP32">
        <v>1.39893</v>
      </c>
      <c r="JQ32">
        <v>2.33154</v>
      </c>
      <c r="JR32">
        <v>1.44897</v>
      </c>
      <c r="JS32">
        <v>2.58911</v>
      </c>
      <c r="JT32">
        <v>37.6987</v>
      </c>
      <c r="JU32">
        <v>24.035</v>
      </c>
      <c r="JV32">
        <v>18</v>
      </c>
      <c r="JW32">
        <v>471.716</v>
      </c>
      <c r="JX32">
        <v>439.972</v>
      </c>
      <c r="JY32">
        <v>16.3703</v>
      </c>
      <c r="JZ32">
        <v>22.6624</v>
      </c>
      <c r="KA32">
        <v>29.9999</v>
      </c>
      <c r="KB32">
        <v>22.4015</v>
      </c>
      <c r="KC32">
        <v>22.4748</v>
      </c>
      <c r="KD32">
        <v>22.1952</v>
      </c>
      <c r="KE32">
        <v>15.4609</v>
      </c>
      <c r="KF32">
        <v>0</v>
      </c>
      <c r="KG32">
        <v>16.3743</v>
      </c>
      <c r="KH32">
        <v>420</v>
      </c>
      <c r="KI32">
        <v>11.8814</v>
      </c>
      <c r="KJ32">
        <v>102.357</v>
      </c>
      <c r="KK32">
        <v>101.651</v>
      </c>
    </row>
    <row r="33" spans="1:297">
      <c r="A33">
        <v>17</v>
      </c>
      <c r="B33">
        <v>1760738551.5</v>
      </c>
      <c r="C33">
        <v>3777</v>
      </c>
      <c r="D33" t="s">
        <v>497</v>
      </c>
      <c r="E33" t="s">
        <v>498</v>
      </c>
      <c r="F33">
        <v>5</v>
      </c>
      <c r="G33" t="s">
        <v>495</v>
      </c>
      <c r="H33" t="s">
        <v>436</v>
      </c>
      <c r="I33">
        <v>1760738543.5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425.0824465350907</v>
      </c>
      <c r="AK33">
        <v>425.5795878787878</v>
      </c>
      <c r="AL33">
        <v>-3.11917188968448E-05</v>
      </c>
      <c r="AM33">
        <v>65.35393480694231</v>
      </c>
      <c r="AN33">
        <f>(AP33 - AO33 + DY33*1E3/(8.314*(EA33+273.15)) * AR33/DX33 * AQ33) * DX33/(100*DL33) * 1000/(1000 - AP33)</f>
        <v>0</v>
      </c>
      <c r="AO33">
        <v>11.84280206304774</v>
      </c>
      <c r="AP33">
        <v>11.98007090909091</v>
      </c>
      <c r="AQ33">
        <v>-3.678368714491049E-06</v>
      </c>
      <c r="AR33">
        <v>118.3180827426583</v>
      </c>
      <c r="AS33">
        <v>10</v>
      </c>
      <c r="AT33">
        <v>2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499</v>
      </c>
      <c r="AY33">
        <v>5065.31</v>
      </c>
      <c r="AZ33">
        <v>657.7307692307693</v>
      </c>
      <c r="BA33">
        <v>2552.05</v>
      </c>
      <c r="BB33">
        <f>1-AZ33/BA33</f>
        <v>0</v>
      </c>
      <c r="BC33">
        <v>-0.4092262843694225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1760738543.5</v>
      </c>
      <c r="DR33">
        <v>420.4766451612903</v>
      </c>
      <c r="DS33">
        <v>420.0149999999999</v>
      </c>
      <c r="DT33">
        <v>11.98596451612903</v>
      </c>
      <c r="DU33">
        <v>11.84795806451613</v>
      </c>
      <c r="DV33">
        <v>419.9433548387097</v>
      </c>
      <c r="DW33">
        <v>11.92877096774193</v>
      </c>
      <c r="DX33">
        <v>499.9687741935483</v>
      </c>
      <c r="DY33">
        <v>89.72751935483869</v>
      </c>
      <c r="DZ33">
        <v>0.03628783225806451</v>
      </c>
      <c r="EA33">
        <v>18.63007419354839</v>
      </c>
      <c r="EB33">
        <v>17.99575483870968</v>
      </c>
      <c r="EC33">
        <v>999.9000000000003</v>
      </c>
      <c r="ED33">
        <v>0</v>
      </c>
      <c r="EE33">
        <v>0</v>
      </c>
      <c r="EF33">
        <v>9994.852258064515</v>
      </c>
      <c r="EG33">
        <v>0</v>
      </c>
      <c r="EH33">
        <v>0.220656</v>
      </c>
      <c r="EI33">
        <v>0.4616610645161289</v>
      </c>
      <c r="EJ33">
        <v>425.5776129032258</v>
      </c>
      <c r="EK33">
        <v>425.0508387096774</v>
      </c>
      <c r="EL33">
        <v>0.1380035161290323</v>
      </c>
      <c r="EM33">
        <v>420.0149999999999</v>
      </c>
      <c r="EN33">
        <v>11.84795806451613</v>
      </c>
      <c r="EO33">
        <v>1.075469677419355</v>
      </c>
      <c r="EP33">
        <v>1.063088064516129</v>
      </c>
      <c r="EQ33">
        <v>7.981006451612902</v>
      </c>
      <c r="ER33">
        <v>7.810943225806453</v>
      </c>
      <c r="ES33">
        <v>0.005000559999999997</v>
      </c>
      <c r="ET33">
        <v>0</v>
      </c>
      <c r="EU33">
        <v>0</v>
      </c>
      <c r="EV33">
        <v>0</v>
      </c>
      <c r="EW33">
        <v>657.7354838709675</v>
      </c>
      <c r="EX33">
        <v>0.005000559999999997</v>
      </c>
      <c r="EY33">
        <v>-4.851612903225806</v>
      </c>
      <c r="EZ33">
        <v>-2.693548387096774</v>
      </c>
      <c r="FA33">
        <v>34.42512903225806</v>
      </c>
      <c r="FB33">
        <v>39.98170967741935</v>
      </c>
      <c r="FC33">
        <v>37.17932258064517</v>
      </c>
      <c r="FD33">
        <v>41.11870967741934</v>
      </c>
      <c r="FE33">
        <v>36.94925806451612</v>
      </c>
      <c r="FF33">
        <v>0</v>
      </c>
      <c r="FG33">
        <v>0</v>
      </c>
      <c r="FH33">
        <v>0</v>
      </c>
      <c r="FI33">
        <v>179.6000001430511</v>
      </c>
      <c r="FJ33">
        <v>0</v>
      </c>
      <c r="FK33">
        <v>657.7307692307693</v>
      </c>
      <c r="FL33">
        <v>-2.557265213045998</v>
      </c>
      <c r="FM33">
        <v>-14.58803441608043</v>
      </c>
      <c r="FN33">
        <v>-5.58076923076923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0.4631481707317074</v>
      </c>
      <c r="GD33">
        <v>-0.07543156097561071</v>
      </c>
      <c r="GE33">
        <v>0.02699752016968067</v>
      </c>
      <c r="GF33">
        <v>1</v>
      </c>
      <c r="GG33">
        <v>658.7588235294116</v>
      </c>
      <c r="GH33">
        <v>-11.43162730620472</v>
      </c>
      <c r="GI33">
        <v>7.02692793921895</v>
      </c>
      <c r="GJ33">
        <v>0</v>
      </c>
      <c r="GK33">
        <v>0.1383825365853658</v>
      </c>
      <c r="GL33">
        <v>-0.009223547038327461</v>
      </c>
      <c r="GM33">
        <v>0.001354703659387937</v>
      </c>
      <c r="GN33">
        <v>1</v>
      </c>
      <c r="GO33">
        <v>2</v>
      </c>
      <c r="GP33">
        <v>3</v>
      </c>
      <c r="GQ33" t="s">
        <v>441</v>
      </c>
      <c r="GR33">
        <v>3.13294</v>
      </c>
      <c r="GS33">
        <v>2.71416</v>
      </c>
      <c r="GT33">
        <v>0.08635370000000001</v>
      </c>
      <c r="GU33">
        <v>0.0868154</v>
      </c>
      <c r="GV33">
        <v>0.0655702</v>
      </c>
      <c r="GW33">
        <v>0.0654018</v>
      </c>
      <c r="GX33">
        <v>27838.8</v>
      </c>
      <c r="GY33">
        <v>26958.8</v>
      </c>
      <c r="GZ33">
        <v>30987.9</v>
      </c>
      <c r="HA33">
        <v>29748.1</v>
      </c>
      <c r="HB33">
        <v>39919.9</v>
      </c>
      <c r="HC33">
        <v>36573.2</v>
      </c>
      <c r="HD33">
        <v>47338.9</v>
      </c>
      <c r="HE33">
        <v>44186.6</v>
      </c>
      <c r="HF33">
        <v>1.89282</v>
      </c>
      <c r="HG33">
        <v>1.89338</v>
      </c>
      <c r="HH33">
        <v>0.0215508</v>
      </c>
      <c r="HI33">
        <v>0</v>
      </c>
      <c r="HJ33">
        <v>17.6402</v>
      </c>
      <c r="HK33">
        <v>999.9</v>
      </c>
      <c r="HL33">
        <v>27.5</v>
      </c>
      <c r="HM33">
        <v>32.3</v>
      </c>
      <c r="HN33">
        <v>14.8834</v>
      </c>
      <c r="HO33">
        <v>63.4396</v>
      </c>
      <c r="HP33">
        <v>20.5489</v>
      </c>
      <c r="HQ33">
        <v>1</v>
      </c>
      <c r="HR33">
        <v>-0.329454</v>
      </c>
      <c r="HS33">
        <v>1.4355</v>
      </c>
      <c r="HT33">
        <v>20.2108</v>
      </c>
      <c r="HU33">
        <v>5.23661</v>
      </c>
      <c r="HV33">
        <v>11.968</v>
      </c>
      <c r="HW33">
        <v>4.972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4.97292</v>
      </c>
      <c r="ID33">
        <v>1.87744</v>
      </c>
      <c r="IE33">
        <v>1.87557</v>
      </c>
      <c r="IF33">
        <v>1.87836</v>
      </c>
      <c r="IG33">
        <v>1.87511</v>
      </c>
      <c r="IH33">
        <v>1.87866</v>
      </c>
      <c r="II33">
        <v>1.87576</v>
      </c>
      <c r="IJ33">
        <v>1.87694</v>
      </c>
      <c r="IK33">
        <v>0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0.534</v>
      </c>
      <c r="IY33">
        <v>0.0571</v>
      </c>
      <c r="IZ33">
        <v>0.05962679757231274</v>
      </c>
      <c r="JA33">
        <v>0.001226855107158112</v>
      </c>
      <c r="JB33">
        <v>-3.035205684124237E-07</v>
      </c>
      <c r="JC33">
        <v>1.619134626827227E-10</v>
      </c>
      <c r="JD33">
        <v>-0.0304923956573813</v>
      </c>
      <c r="JE33">
        <v>-0.002736280719339335</v>
      </c>
      <c r="JF33">
        <v>0.0009903551140151546</v>
      </c>
      <c r="JG33">
        <v>-1.214181672830105E-05</v>
      </c>
      <c r="JH33">
        <v>0</v>
      </c>
      <c r="JI33">
        <v>2131</v>
      </c>
      <c r="JJ33">
        <v>1</v>
      </c>
      <c r="JK33">
        <v>22</v>
      </c>
      <c r="JL33">
        <v>29345642.5</v>
      </c>
      <c r="JM33">
        <v>29345642.5</v>
      </c>
      <c r="JN33">
        <v>1.10718</v>
      </c>
      <c r="JO33">
        <v>2.5354</v>
      </c>
      <c r="JP33">
        <v>1.39893</v>
      </c>
      <c r="JQ33">
        <v>2.33276</v>
      </c>
      <c r="JR33">
        <v>1.44897</v>
      </c>
      <c r="JS33">
        <v>2.43286</v>
      </c>
      <c r="JT33">
        <v>37.7228</v>
      </c>
      <c r="JU33">
        <v>24.035</v>
      </c>
      <c r="JV33">
        <v>18</v>
      </c>
      <c r="JW33">
        <v>471.741</v>
      </c>
      <c r="JX33">
        <v>439.971</v>
      </c>
      <c r="JY33">
        <v>16.3574</v>
      </c>
      <c r="JZ33">
        <v>22.6507</v>
      </c>
      <c r="KA33">
        <v>30.0001</v>
      </c>
      <c r="KB33">
        <v>22.3996</v>
      </c>
      <c r="KC33">
        <v>22.4729</v>
      </c>
      <c r="KD33">
        <v>22.1991</v>
      </c>
      <c r="KE33">
        <v>13.7151</v>
      </c>
      <c r="KF33">
        <v>0</v>
      </c>
      <c r="KG33">
        <v>16.3568</v>
      </c>
      <c r="KH33">
        <v>420</v>
      </c>
      <c r="KI33">
        <v>11.8998</v>
      </c>
      <c r="KJ33">
        <v>102.359</v>
      </c>
      <c r="KK33">
        <v>101.653</v>
      </c>
    </row>
    <row r="34" spans="1:297">
      <c r="A34">
        <v>18</v>
      </c>
      <c r="B34">
        <v>1760738822</v>
      </c>
      <c r="C34">
        <v>4047.5</v>
      </c>
      <c r="D34" t="s">
        <v>500</v>
      </c>
      <c r="E34" t="s">
        <v>501</v>
      </c>
      <c r="F34">
        <v>5</v>
      </c>
      <c r="G34" t="s">
        <v>495</v>
      </c>
      <c r="H34" t="s">
        <v>436</v>
      </c>
      <c r="I34">
        <v>1760738814.25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425.0609060414925</v>
      </c>
      <c r="AK34">
        <v>425.573284848485</v>
      </c>
      <c r="AL34">
        <v>-0.000340506588364599</v>
      </c>
      <c r="AM34">
        <v>65.35393480694231</v>
      </c>
      <c r="AN34">
        <f>(AP34 - AO34 + DY34*1E3/(8.314*(EA34+273.15)) * AR34/DX34 * AQ34) * DX34/(100*DL34) * 1000/(1000 - AP34)</f>
        <v>0</v>
      </c>
      <c r="AO34">
        <v>11.88799465041893</v>
      </c>
      <c r="AP34">
        <v>11.98448303030302</v>
      </c>
      <c r="AQ34">
        <v>-7.875442936762298E-07</v>
      </c>
      <c r="AR34">
        <v>118.3180827426583</v>
      </c>
      <c r="AS34">
        <v>10</v>
      </c>
      <c r="AT34">
        <v>2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502</v>
      </c>
      <c r="AY34">
        <v>5064.65</v>
      </c>
      <c r="AZ34">
        <v>636.668</v>
      </c>
      <c r="BA34">
        <v>2512.52</v>
      </c>
      <c r="BB34">
        <f>1-AZ34/BA34</f>
        <v>0</v>
      </c>
      <c r="BC34">
        <v>-0.4205399250863141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1760738814.25</v>
      </c>
      <c r="DR34">
        <v>420.4930000000001</v>
      </c>
      <c r="DS34">
        <v>420.0095666666667</v>
      </c>
      <c r="DT34">
        <v>11.98427</v>
      </c>
      <c r="DU34">
        <v>11.88928</v>
      </c>
      <c r="DV34">
        <v>419.9597666666666</v>
      </c>
      <c r="DW34">
        <v>11.92712</v>
      </c>
      <c r="DX34">
        <v>499.9876666666667</v>
      </c>
      <c r="DY34">
        <v>89.72464666666666</v>
      </c>
      <c r="DZ34">
        <v>0.03609454</v>
      </c>
      <c r="EA34">
        <v>18.63005666666667</v>
      </c>
      <c r="EB34">
        <v>17.99723999999999</v>
      </c>
      <c r="EC34">
        <v>999.9000000000002</v>
      </c>
      <c r="ED34">
        <v>0</v>
      </c>
      <c r="EE34">
        <v>0</v>
      </c>
      <c r="EF34">
        <v>9991.908666666666</v>
      </c>
      <c r="EG34">
        <v>0</v>
      </c>
      <c r="EH34">
        <v>0.220656</v>
      </c>
      <c r="EI34">
        <v>0.4835225666666667</v>
      </c>
      <c r="EJ34">
        <v>425.5934333333333</v>
      </c>
      <c r="EK34">
        <v>425.0631</v>
      </c>
      <c r="EL34">
        <v>0.09499101000000001</v>
      </c>
      <c r="EM34">
        <v>420.0095666666667</v>
      </c>
      <c r="EN34">
        <v>11.88928</v>
      </c>
      <c r="EO34">
        <v>1.075283333333334</v>
      </c>
      <c r="EP34">
        <v>1.066761</v>
      </c>
      <c r="EQ34">
        <v>7.978465000000002</v>
      </c>
      <c r="ER34">
        <v>7.861579666666668</v>
      </c>
      <c r="ES34">
        <v>0.005000559999999998</v>
      </c>
      <c r="ET34">
        <v>0</v>
      </c>
      <c r="EU34">
        <v>0</v>
      </c>
      <c r="EV34">
        <v>0</v>
      </c>
      <c r="EW34">
        <v>636.9599999999999</v>
      </c>
      <c r="EX34">
        <v>0.005000559999999998</v>
      </c>
      <c r="EY34">
        <v>-3.313333333333334</v>
      </c>
      <c r="EZ34">
        <v>-2.266666666666667</v>
      </c>
      <c r="FA34">
        <v>34.48513333333334</v>
      </c>
      <c r="FB34">
        <v>40.3225</v>
      </c>
      <c r="FC34">
        <v>37.53933333333332</v>
      </c>
      <c r="FD34">
        <v>41.88113333333332</v>
      </c>
      <c r="FE34">
        <v>37.3373</v>
      </c>
      <c r="FF34">
        <v>0</v>
      </c>
      <c r="FG34">
        <v>0</v>
      </c>
      <c r="FH34">
        <v>0</v>
      </c>
      <c r="FI34">
        <v>270</v>
      </c>
      <c r="FJ34">
        <v>0</v>
      </c>
      <c r="FK34">
        <v>636.668</v>
      </c>
      <c r="FL34">
        <v>-24.73846149425714</v>
      </c>
      <c r="FM34">
        <v>39.83846166879235</v>
      </c>
      <c r="FN34">
        <v>-2.436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0.4824285609756099</v>
      </c>
      <c r="GD34">
        <v>0.03203234843205584</v>
      </c>
      <c r="GE34">
        <v>0.02209155619627353</v>
      </c>
      <c r="GF34">
        <v>1</v>
      </c>
      <c r="GG34">
        <v>636.4264705882351</v>
      </c>
      <c r="GH34">
        <v>2.174178868487533</v>
      </c>
      <c r="GI34">
        <v>5.476758853852571</v>
      </c>
      <c r="GJ34">
        <v>0</v>
      </c>
      <c r="GK34">
        <v>0.09712814146341464</v>
      </c>
      <c r="GL34">
        <v>-0.02926149616724747</v>
      </c>
      <c r="GM34">
        <v>0.004266220914201303</v>
      </c>
      <c r="GN34">
        <v>1</v>
      </c>
      <c r="GO34">
        <v>2</v>
      </c>
      <c r="GP34">
        <v>3</v>
      </c>
      <c r="GQ34" t="s">
        <v>441</v>
      </c>
      <c r="GR34">
        <v>3.13302</v>
      </c>
      <c r="GS34">
        <v>2.71373</v>
      </c>
      <c r="GT34">
        <v>0.0863549</v>
      </c>
      <c r="GU34">
        <v>0.08681759999999999</v>
      </c>
      <c r="GV34">
        <v>0.06558700000000001</v>
      </c>
      <c r="GW34">
        <v>0.06558650000000001</v>
      </c>
      <c r="GX34">
        <v>27840.6</v>
      </c>
      <c r="GY34">
        <v>26957.5</v>
      </c>
      <c r="GZ34">
        <v>30989.8</v>
      </c>
      <c r="HA34">
        <v>29746.6</v>
      </c>
      <c r="HB34">
        <v>39921.7</v>
      </c>
      <c r="HC34">
        <v>36564.3</v>
      </c>
      <c r="HD34">
        <v>47341.8</v>
      </c>
      <c r="HE34">
        <v>44184.6</v>
      </c>
      <c r="HF34">
        <v>1.893</v>
      </c>
      <c r="HG34">
        <v>1.89352</v>
      </c>
      <c r="HH34">
        <v>0.0219941</v>
      </c>
      <c r="HI34">
        <v>0</v>
      </c>
      <c r="HJ34">
        <v>17.6386</v>
      </c>
      <c r="HK34">
        <v>999.9</v>
      </c>
      <c r="HL34">
        <v>27</v>
      </c>
      <c r="HM34">
        <v>32.4</v>
      </c>
      <c r="HN34">
        <v>14.6979</v>
      </c>
      <c r="HO34">
        <v>63.7896</v>
      </c>
      <c r="HP34">
        <v>20.3966</v>
      </c>
      <c r="HQ34">
        <v>1</v>
      </c>
      <c r="HR34">
        <v>-0.329652</v>
      </c>
      <c r="HS34">
        <v>1.47168</v>
      </c>
      <c r="HT34">
        <v>20.2107</v>
      </c>
      <c r="HU34">
        <v>5.2387</v>
      </c>
      <c r="HV34">
        <v>11.968</v>
      </c>
      <c r="HW34">
        <v>4.97265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1.87746</v>
      </c>
      <c r="IE34">
        <v>1.8756</v>
      </c>
      <c r="IF34">
        <v>1.87838</v>
      </c>
      <c r="IG34">
        <v>1.87515</v>
      </c>
      <c r="IH34">
        <v>1.87866</v>
      </c>
      <c r="II34">
        <v>1.87578</v>
      </c>
      <c r="IJ34">
        <v>1.87697</v>
      </c>
      <c r="IK34">
        <v>0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0.534</v>
      </c>
      <c r="IY34">
        <v>0.0572</v>
      </c>
      <c r="IZ34">
        <v>0.05962679757231274</v>
      </c>
      <c r="JA34">
        <v>0.001226855107158112</v>
      </c>
      <c r="JB34">
        <v>-3.035205684124237E-07</v>
      </c>
      <c r="JC34">
        <v>1.619134626827227E-10</v>
      </c>
      <c r="JD34">
        <v>-0.0304923956573813</v>
      </c>
      <c r="JE34">
        <v>-0.002736280719339335</v>
      </c>
      <c r="JF34">
        <v>0.0009903551140151546</v>
      </c>
      <c r="JG34">
        <v>-1.214181672830105E-05</v>
      </c>
      <c r="JH34">
        <v>0</v>
      </c>
      <c r="JI34">
        <v>2131</v>
      </c>
      <c r="JJ34">
        <v>1</v>
      </c>
      <c r="JK34">
        <v>22</v>
      </c>
      <c r="JL34">
        <v>29345647</v>
      </c>
      <c r="JM34">
        <v>29345647</v>
      </c>
      <c r="JN34">
        <v>1.10718</v>
      </c>
      <c r="JO34">
        <v>2.53662</v>
      </c>
      <c r="JP34">
        <v>1.39893</v>
      </c>
      <c r="JQ34">
        <v>2.33154</v>
      </c>
      <c r="JR34">
        <v>1.44897</v>
      </c>
      <c r="JS34">
        <v>2.48657</v>
      </c>
      <c r="JT34">
        <v>37.7228</v>
      </c>
      <c r="JU34">
        <v>24.0262</v>
      </c>
      <c r="JV34">
        <v>18</v>
      </c>
      <c r="JW34">
        <v>471.791</v>
      </c>
      <c r="JX34">
        <v>440.029</v>
      </c>
      <c r="JY34">
        <v>16.2783</v>
      </c>
      <c r="JZ34">
        <v>22.6376</v>
      </c>
      <c r="KA34">
        <v>30.0002</v>
      </c>
      <c r="KB34">
        <v>22.3939</v>
      </c>
      <c r="KC34">
        <v>22.4691</v>
      </c>
      <c r="KD34">
        <v>22.2029</v>
      </c>
      <c r="KE34">
        <v>10.8418</v>
      </c>
      <c r="KF34">
        <v>0</v>
      </c>
      <c r="KG34">
        <v>16.28</v>
      </c>
      <c r="KH34">
        <v>420</v>
      </c>
      <c r="KI34">
        <v>11.9492</v>
      </c>
      <c r="KJ34">
        <v>102.365</v>
      </c>
      <c r="KK34">
        <v>101.648</v>
      </c>
    </row>
    <row r="35" spans="1:297">
      <c r="A35">
        <v>19</v>
      </c>
      <c r="B35">
        <v>1760739209</v>
      </c>
      <c r="C35">
        <v>4434.5</v>
      </c>
      <c r="D35" t="s">
        <v>503</v>
      </c>
      <c r="E35" t="s">
        <v>504</v>
      </c>
      <c r="F35">
        <v>5</v>
      </c>
      <c r="G35" t="s">
        <v>505</v>
      </c>
      <c r="H35" t="s">
        <v>436</v>
      </c>
      <c r="I35">
        <v>1760739201.25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424.8482288284799</v>
      </c>
      <c r="AK35">
        <v>425.4712727272725</v>
      </c>
      <c r="AL35">
        <v>7.945928184517055E-05</v>
      </c>
      <c r="AM35">
        <v>65.35216219200878</v>
      </c>
      <c r="AN35">
        <f>(AP35 - AO35 + DY35*1E3/(8.314*(EA35+273.15)) * AR35/DX35 * AQ35) * DX35/(100*DL35) * 1000/(1000 - AP35)</f>
        <v>0</v>
      </c>
      <c r="AO35">
        <v>11.40290458717085</v>
      </c>
      <c r="AP35">
        <v>11.95908181818182</v>
      </c>
      <c r="AQ35">
        <v>2.237921970096175E-06</v>
      </c>
      <c r="AR35">
        <v>118.3598745008909</v>
      </c>
      <c r="AS35">
        <v>10</v>
      </c>
      <c r="AT35">
        <v>2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506</v>
      </c>
      <c r="AY35">
        <v>5053.31</v>
      </c>
      <c r="AZ35">
        <v>609.9807692307693</v>
      </c>
      <c r="BA35">
        <v>2163.44</v>
      </c>
      <c r="BB35">
        <f>1-AZ35/BA35</f>
        <v>0</v>
      </c>
      <c r="BC35">
        <v>-0.513594698568097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1760739201.25</v>
      </c>
      <c r="DR35">
        <v>420.3834333333333</v>
      </c>
      <c r="DS35">
        <v>420.0044000000001</v>
      </c>
      <c r="DT35">
        <v>11.96186</v>
      </c>
      <c r="DU35">
        <v>11.39899333333334</v>
      </c>
      <c r="DV35">
        <v>419.8502</v>
      </c>
      <c r="DW35">
        <v>11.90506333333334</v>
      </c>
      <c r="DX35">
        <v>499.9935666666667</v>
      </c>
      <c r="DY35">
        <v>89.72844666666668</v>
      </c>
      <c r="DZ35">
        <v>0.03604451666666666</v>
      </c>
      <c r="EA35">
        <v>18.65442666666667</v>
      </c>
      <c r="EB35">
        <v>17.99901</v>
      </c>
      <c r="EC35">
        <v>999.9000000000002</v>
      </c>
      <c r="ED35">
        <v>0</v>
      </c>
      <c r="EE35">
        <v>0</v>
      </c>
      <c r="EF35">
        <v>9995.184333333333</v>
      </c>
      <c r="EG35">
        <v>0</v>
      </c>
      <c r="EH35">
        <v>0.220656</v>
      </c>
      <c r="EI35">
        <v>0.3790650666666667</v>
      </c>
      <c r="EJ35">
        <v>425.4728333333333</v>
      </c>
      <c r="EK35">
        <v>424.8472</v>
      </c>
      <c r="EL35">
        <v>0.5628769666666666</v>
      </c>
      <c r="EM35">
        <v>420.0044000000001</v>
      </c>
      <c r="EN35">
        <v>11.39899333333334</v>
      </c>
      <c r="EO35">
        <v>1.073320666666667</v>
      </c>
      <c r="EP35">
        <v>1.022814333333333</v>
      </c>
      <c r="EQ35">
        <v>7.951598666666666</v>
      </c>
      <c r="ER35">
        <v>7.245477</v>
      </c>
      <c r="ES35">
        <v>0.005000559999999998</v>
      </c>
      <c r="ET35">
        <v>0</v>
      </c>
      <c r="EU35">
        <v>0</v>
      </c>
      <c r="EV35">
        <v>0</v>
      </c>
      <c r="EW35">
        <v>609.3433333333335</v>
      </c>
      <c r="EX35">
        <v>0.005000559999999998</v>
      </c>
      <c r="EY35">
        <v>-7.55</v>
      </c>
      <c r="EZ35">
        <v>-2.643333333333333</v>
      </c>
      <c r="FA35">
        <v>34.31646666666666</v>
      </c>
      <c r="FB35">
        <v>39.64979999999999</v>
      </c>
      <c r="FC35">
        <v>36.95386666666666</v>
      </c>
      <c r="FD35">
        <v>40.56639999999999</v>
      </c>
      <c r="FE35">
        <v>36.729</v>
      </c>
      <c r="FF35">
        <v>0</v>
      </c>
      <c r="FG35">
        <v>0</v>
      </c>
      <c r="FH35">
        <v>0</v>
      </c>
      <c r="FI35">
        <v>386.2000000476837</v>
      </c>
      <c r="FJ35">
        <v>0</v>
      </c>
      <c r="FK35">
        <v>609.9807692307693</v>
      </c>
      <c r="FL35">
        <v>10.23931645417919</v>
      </c>
      <c r="FM35">
        <v>18.97777802884215</v>
      </c>
      <c r="FN35">
        <v>-8.042307692307691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0.378555</v>
      </c>
      <c r="GD35">
        <v>-0.04468463414634135</v>
      </c>
      <c r="GE35">
        <v>0.02435807474870324</v>
      </c>
      <c r="GF35">
        <v>1</v>
      </c>
      <c r="GG35">
        <v>608.7970588235295</v>
      </c>
      <c r="GH35">
        <v>20.79297188709685</v>
      </c>
      <c r="GI35">
        <v>7.096456667368153</v>
      </c>
      <c r="GJ35">
        <v>0</v>
      </c>
      <c r="GK35">
        <v>0.5647950243902439</v>
      </c>
      <c r="GL35">
        <v>-0.04472964459930278</v>
      </c>
      <c r="GM35">
        <v>0.004974356443178891</v>
      </c>
      <c r="GN35">
        <v>1</v>
      </c>
      <c r="GO35">
        <v>2</v>
      </c>
      <c r="GP35">
        <v>3</v>
      </c>
      <c r="GQ35" t="s">
        <v>441</v>
      </c>
      <c r="GR35">
        <v>3.1331</v>
      </c>
      <c r="GS35">
        <v>2.71387</v>
      </c>
      <c r="GT35">
        <v>0.086338</v>
      </c>
      <c r="GU35">
        <v>0.0868124</v>
      </c>
      <c r="GV35">
        <v>0.0654865</v>
      </c>
      <c r="GW35">
        <v>0.06358809999999999</v>
      </c>
      <c r="GX35">
        <v>27842.4</v>
      </c>
      <c r="GY35">
        <v>26956.4</v>
      </c>
      <c r="GZ35">
        <v>30991.4</v>
      </c>
      <c r="HA35">
        <v>29745.3</v>
      </c>
      <c r="HB35">
        <v>39928.6</v>
      </c>
      <c r="HC35">
        <v>36642.1</v>
      </c>
      <c r="HD35">
        <v>47344.9</v>
      </c>
      <c r="HE35">
        <v>44182.8</v>
      </c>
      <c r="HF35">
        <v>1.89398</v>
      </c>
      <c r="HG35">
        <v>1.89207</v>
      </c>
      <c r="HH35">
        <v>0.0240728</v>
      </c>
      <c r="HI35">
        <v>0</v>
      </c>
      <c r="HJ35">
        <v>17.6029</v>
      </c>
      <c r="HK35">
        <v>999.9</v>
      </c>
      <c r="HL35">
        <v>26.4</v>
      </c>
      <c r="HM35">
        <v>32.4</v>
      </c>
      <c r="HN35">
        <v>14.3705</v>
      </c>
      <c r="HO35">
        <v>63.5196</v>
      </c>
      <c r="HP35">
        <v>20.2925</v>
      </c>
      <c r="HQ35">
        <v>1</v>
      </c>
      <c r="HR35">
        <v>-0.329748</v>
      </c>
      <c r="HS35">
        <v>1.36154</v>
      </c>
      <c r="HT35">
        <v>20.2114</v>
      </c>
      <c r="HU35">
        <v>5.2396</v>
      </c>
      <c r="HV35">
        <v>11.968</v>
      </c>
      <c r="HW35">
        <v>4.9727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4.97291</v>
      </c>
      <c r="ID35">
        <v>1.87744</v>
      </c>
      <c r="IE35">
        <v>1.87552</v>
      </c>
      <c r="IF35">
        <v>1.87836</v>
      </c>
      <c r="IG35">
        <v>1.8751</v>
      </c>
      <c r="IH35">
        <v>1.87864</v>
      </c>
      <c r="II35">
        <v>1.87575</v>
      </c>
      <c r="IJ35">
        <v>1.87686</v>
      </c>
      <c r="IK35">
        <v>0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0.533</v>
      </c>
      <c r="IY35">
        <v>0.0567</v>
      </c>
      <c r="IZ35">
        <v>0.05962679757231274</v>
      </c>
      <c r="JA35">
        <v>0.001226855107158112</v>
      </c>
      <c r="JB35">
        <v>-3.035205684124237E-07</v>
      </c>
      <c r="JC35">
        <v>1.619134626827227E-10</v>
      </c>
      <c r="JD35">
        <v>-0.0304923956573813</v>
      </c>
      <c r="JE35">
        <v>-0.002736280719339335</v>
      </c>
      <c r="JF35">
        <v>0.0009903551140151546</v>
      </c>
      <c r="JG35">
        <v>-1.214181672830105E-05</v>
      </c>
      <c r="JH35">
        <v>0</v>
      </c>
      <c r="JI35">
        <v>2131</v>
      </c>
      <c r="JJ35">
        <v>1</v>
      </c>
      <c r="JK35">
        <v>22</v>
      </c>
      <c r="JL35">
        <v>29345653.5</v>
      </c>
      <c r="JM35">
        <v>29345653.5</v>
      </c>
      <c r="JN35">
        <v>1.10718</v>
      </c>
      <c r="JO35">
        <v>2.53052</v>
      </c>
      <c r="JP35">
        <v>1.39893</v>
      </c>
      <c r="JQ35">
        <v>2.33276</v>
      </c>
      <c r="JR35">
        <v>1.44897</v>
      </c>
      <c r="JS35">
        <v>2.58179</v>
      </c>
      <c r="JT35">
        <v>37.7228</v>
      </c>
      <c r="JU35">
        <v>24.035</v>
      </c>
      <c r="JV35">
        <v>18</v>
      </c>
      <c r="JW35">
        <v>472.336</v>
      </c>
      <c r="JX35">
        <v>439.208</v>
      </c>
      <c r="JY35">
        <v>16.5046</v>
      </c>
      <c r="JZ35">
        <v>22.6472</v>
      </c>
      <c r="KA35">
        <v>30</v>
      </c>
      <c r="KB35">
        <v>22.3996</v>
      </c>
      <c r="KC35">
        <v>22.4748</v>
      </c>
      <c r="KD35">
        <v>22.2002</v>
      </c>
      <c r="KE35">
        <v>12.2842</v>
      </c>
      <c r="KF35">
        <v>1.13393</v>
      </c>
      <c r="KG35">
        <v>16.5069</v>
      </c>
      <c r="KH35">
        <v>420</v>
      </c>
      <c r="KI35">
        <v>11.4711</v>
      </c>
      <c r="KJ35">
        <v>102.371</v>
      </c>
      <c r="KK35">
        <v>101.644</v>
      </c>
    </row>
    <row r="36" spans="1:297">
      <c r="A36">
        <v>20</v>
      </c>
      <c r="B36">
        <v>1760739357</v>
      </c>
      <c r="C36">
        <v>4582.5</v>
      </c>
      <c r="D36" t="s">
        <v>507</v>
      </c>
      <c r="E36" t="s">
        <v>508</v>
      </c>
      <c r="F36">
        <v>5</v>
      </c>
      <c r="G36" t="s">
        <v>505</v>
      </c>
      <c r="H36" t="s">
        <v>436</v>
      </c>
      <c r="I36">
        <v>1760739349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424.896368011608</v>
      </c>
      <c r="AK36">
        <v>425.4880666666667</v>
      </c>
      <c r="AL36">
        <v>-0.0001244964101760674</v>
      </c>
      <c r="AM36">
        <v>65.35216219200878</v>
      </c>
      <c r="AN36">
        <f>(AP36 - AO36 + DY36*1E3/(8.314*(EA36+273.15)) * AR36/DX36 * AQ36) * DX36/(100*DL36) * 1000/(1000 - AP36)</f>
        <v>0</v>
      </c>
      <c r="AO36">
        <v>11.48848790113604</v>
      </c>
      <c r="AP36">
        <v>12.00143151515151</v>
      </c>
      <c r="AQ36">
        <v>-3.88499099773368E-06</v>
      </c>
      <c r="AR36">
        <v>118.3598745008909</v>
      </c>
      <c r="AS36">
        <v>10</v>
      </c>
      <c r="AT36">
        <v>2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509</v>
      </c>
      <c r="AY36">
        <v>5052.81</v>
      </c>
      <c r="AZ36">
        <v>645.0846153846154</v>
      </c>
      <c r="BA36">
        <v>2127.03</v>
      </c>
      <c r="BB36">
        <f>1-AZ36/BA36</f>
        <v>0</v>
      </c>
      <c r="BC36">
        <v>-0.4868997156631392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1760739349</v>
      </c>
      <c r="DR36">
        <v>420.3778064516129</v>
      </c>
      <c r="DS36">
        <v>420.0008709677419</v>
      </c>
      <c r="DT36">
        <v>12.00497096774193</v>
      </c>
      <c r="DU36">
        <v>11.49212258064516</v>
      </c>
      <c r="DV36">
        <v>419.8446129032258</v>
      </c>
      <c r="DW36">
        <v>11.9475</v>
      </c>
      <c r="DX36">
        <v>499.9792580645161</v>
      </c>
      <c r="DY36">
        <v>89.71789677419356</v>
      </c>
      <c r="DZ36">
        <v>0.03629963548387097</v>
      </c>
      <c r="EA36">
        <v>18.64779354838709</v>
      </c>
      <c r="EB36">
        <v>18.00320967741935</v>
      </c>
      <c r="EC36">
        <v>999.9000000000003</v>
      </c>
      <c r="ED36">
        <v>0</v>
      </c>
      <c r="EE36">
        <v>0</v>
      </c>
      <c r="EF36">
        <v>9999.780322580644</v>
      </c>
      <c r="EG36">
        <v>0</v>
      </c>
      <c r="EH36">
        <v>0.220656</v>
      </c>
      <c r="EI36">
        <v>0.3768675161290322</v>
      </c>
      <c r="EJ36">
        <v>425.4856451612903</v>
      </c>
      <c r="EK36">
        <v>424.8837096774193</v>
      </c>
      <c r="EL36">
        <v>0.5128508064516129</v>
      </c>
      <c r="EM36">
        <v>420.0008709677419</v>
      </c>
      <c r="EN36">
        <v>11.49212258064516</v>
      </c>
      <c r="EO36">
        <v>1.07706</v>
      </c>
      <c r="EP36">
        <v>1.031048387096774</v>
      </c>
      <c r="EQ36">
        <v>8.002718064516127</v>
      </c>
      <c r="ER36">
        <v>7.362671935483871</v>
      </c>
      <c r="ES36">
        <v>0.005000559999999997</v>
      </c>
      <c r="ET36">
        <v>0</v>
      </c>
      <c r="EU36">
        <v>0</v>
      </c>
      <c r="EV36">
        <v>0</v>
      </c>
      <c r="EW36">
        <v>646.1451612903226</v>
      </c>
      <c r="EX36">
        <v>0.005000559999999997</v>
      </c>
      <c r="EY36">
        <v>-4.929032258064516</v>
      </c>
      <c r="EZ36">
        <v>-2.390322580645162</v>
      </c>
      <c r="FA36">
        <v>34.52606451612903</v>
      </c>
      <c r="FB36">
        <v>39.98983870967741</v>
      </c>
      <c r="FC36">
        <v>37.22554838709677</v>
      </c>
      <c r="FD36">
        <v>41.20332258064515</v>
      </c>
      <c r="FE36">
        <v>37.01193548387096</v>
      </c>
      <c r="FF36">
        <v>0</v>
      </c>
      <c r="FG36">
        <v>0</v>
      </c>
      <c r="FH36">
        <v>0</v>
      </c>
      <c r="FI36">
        <v>147.2000000476837</v>
      </c>
      <c r="FJ36">
        <v>0</v>
      </c>
      <c r="FK36">
        <v>645.0846153846154</v>
      </c>
      <c r="FL36">
        <v>-19.76068350558944</v>
      </c>
      <c r="FM36">
        <v>-20.02393177429898</v>
      </c>
      <c r="FN36">
        <v>-3.865384615384615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0.367935925</v>
      </c>
      <c r="GD36">
        <v>0.06341929080675368</v>
      </c>
      <c r="GE36">
        <v>0.03569825587853523</v>
      </c>
      <c r="GF36">
        <v>1</v>
      </c>
      <c r="GG36">
        <v>647.8529411764706</v>
      </c>
      <c r="GH36">
        <v>-32.66921293551918</v>
      </c>
      <c r="GI36">
        <v>7.035800690005424</v>
      </c>
      <c r="GJ36">
        <v>0</v>
      </c>
      <c r="GK36">
        <v>0.5118229000000001</v>
      </c>
      <c r="GL36">
        <v>0.01974932082551592</v>
      </c>
      <c r="GM36">
        <v>0.002256620391204518</v>
      </c>
      <c r="GN36">
        <v>1</v>
      </c>
      <c r="GO36">
        <v>2</v>
      </c>
      <c r="GP36">
        <v>3</v>
      </c>
      <c r="GQ36" t="s">
        <v>441</v>
      </c>
      <c r="GR36">
        <v>3.13313</v>
      </c>
      <c r="GS36">
        <v>2.71426</v>
      </c>
      <c r="GT36">
        <v>0.0863299</v>
      </c>
      <c r="GU36">
        <v>0.0868024</v>
      </c>
      <c r="GV36">
        <v>0.06565020000000001</v>
      </c>
      <c r="GW36">
        <v>0.0639361</v>
      </c>
      <c r="GX36">
        <v>27842.7</v>
      </c>
      <c r="GY36">
        <v>26957.2</v>
      </c>
      <c r="GZ36">
        <v>30991.4</v>
      </c>
      <c r="HA36">
        <v>29745.8</v>
      </c>
      <c r="HB36">
        <v>39921.6</v>
      </c>
      <c r="HC36">
        <v>36629.4</v>
      </c>
      <c r="HD36">
        <v>47344.9</v>
      </c>
      <c r="HE36">
        <v>44184.2</v>
      </c>
      <c r="HF36">
        <v>1.89375</v>
      </c>
      <c r="HG36">
        <v>1.8921</v>
      </c>
      <c r="HH36">
        <v>0.0238605</v>
      </c>
      <c r="HI36">
        <v>0</v>
      </c>
      <c r="HJ36">
        <v>17.6029</v>
      </c>
      <c r="HK36">
        <v>999.9</v>
      </c>
      <c r="HL36">
        <v>26.1</v>
      </c>
      <c r="HM36">
        <v>32.5</v>
      </c>
      <c r="HN36">
        <v>14.2897</v>
      </c>
      <c r="HO36">
        <v>63.4196</v>
      </c>
      <c r="HP36">
        <v>20.3846</v>
      </c>
      <c r="HQ36">
        <v>1</v>
      </c>
      <c r="HR36">
        <v>-0.329736</v>
      </c>
      <c r="HS36">
        <v>1.45228</v>
      </c>
      <c r="HT36">
        <v>20.2108</v>
      </c>
      <c r="HU36">
        <v>5.2396</v>
      </c>
      <c r="HV36">
        <v>11.968</v>
      </c>
      <c r="HW36">
        <v>4.97175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4.97293</v>
      </c>
      <c r="ID36">
        <v>1.87745</v>
      </c>
      <c r="IE36">
        <v>1.87552</v>
      </c>
      <c r="IF36">
        <v>1.87837</v>
      </c>
      <c r="IG36">
        <v>1.87507</v>
      </c>
      <c r="IH36">
        <v>1.87863</v>
      </c>
      <c r="II36">
        <v>1.87575</v>
      </c>
      <c r="IJ36">
        <v>1.87691</v>
      </c>
      <c r="IK36">
        <v>0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0.533</v>
      </c>
      <c r="IY36">
        <v>0.0574</v>
      </c>
      <c r="IZ36">
        <v>0.05962679757231274</v>
      </c>
      <c r="JA36">
        <v>0.001226855107158112</v>
      </c>
      <c r="JB36">
        <v>-3.035205684124237E-07</v>
      </c>
      <c r="JC36">
        <v>1.619134626827227E-10</v>
      </c>
      <c r="JD36">
        <v>-0.0304923956573813</v>
      </c>
      <c r="JE36">
        <v>-0.002736280719339335</v>
      </c>
      <c r="JF36">
        <v>0.0009903551140151546</v>
      </c>
      <c r="JG36">
        <v>-1.214181672830105E-05</v>
      </c>
      <c r="JH36">
        <v>0</v>
      </c>
      <c r="JI36">
        <v>2131</v>
      </c>
      <c r="JJ36">
        <v>1</v>
      </c>
      <c r="JK36">
        <v>22</v>
      </c>
      <c r="JL36">
        <v>29345655.9</v>
      </c>
      <c r="JM36">
        <v>29345655.9</v>
      </c>
      <c r="JN36">
        <v>1.10718</v>
      </c>
      <c r="JO36">
        <v>2.53418</v>
      </c>
      <c r="JP36">
        <v>1.39893</v>
      </c>
      <c r="JQ36">
        <v>2.33154</v>
      </c>
      <c r="JR36">
        <v>1.44897</v>
      </c>
      <c r="JS36">
        <v>2.53906</v>
      </c>
      <c r="JT36">
        <v>37.7228</v>
      </c>
      <c r="JU36">
        <v>24.0262</v>
      </c>
      <c r="JV36">
        <v>18</v>
      </c>
      <c r="JW36">
        <v>472.206</v>
      </c>
      <c r="JX36">
        <v>439.208</v>
      </c>
      <c r="JY36">
        <v>16.4049</v>
      </c>
      <c r="JZ36">
        <v>22.6452</v>
      </c>
      <c r="KA36">
        <v>30.0001</v>
      </c>
      <c r="KB36">
        <v>22.3977</v>
      </c>
      <c r="KC36">
        <v>22.4729</v>
      </c>
      <c r="KD36">
        <v>22.203</v>
      </c>
      <c r="KE36">
        <v>10.2898</v>
      </c>
      <c r="KF36">
        <v>1.50651</v>
      </c>
      <c r="KG36">
        <v>16.4001</v>
      </c>
      <c r="KH36">
        <v>420</v>
      </c>
      <c r="KI36">
        <v>11.5486</v>
      </c>
      <c r="KJ36">
        <v>102.371</v>
      </c>
      <c r="KK36">
        <v>101.646</v>
      </c>
    </row>
    <row r="37" spans="1:297">
      <c r="A37">
        <v>21</v>
      </c>
      <c r="B37">
        <v>1760739494.1</v>
      </c>
      <c r="C37">
        <v>4719.599999904633</v>
      </c>
      <c r="D37" t="s">
        <v>510</v>
      </c>
      <c r="E37" t="s">
        <v>511</v>
      </c>
      <c r="F37">
        <v>5</v>
      </c>
      <c r="G37" t="s">
        <v>505</v>
      </c>
      <c r="H37" t="s">
        <v>436</v>
      </c>
      <c r="I37">
        <v>1760739486.099999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424.8983774936088</v>
      </c>
      <c r="AK37">
        <v>425.4814727272729</v>
      </c>
      <c r="AL37">
        <v>-0.0002449495293159646</v>
      </c>
      <c r="AM37">
        <v>65.35216219200878</v>
      </c>
      <c r="AN37">
        <f>(AP37 - AO37 + DY37*1E3/(8.314*(EA37+273.15)) * AR37/DX37 * AQ37) * DX37/(100*DL37) * 1000/(1000 - AP37)</f>
        <v>0</v>
      </c>
      <c r="AO37">
        <v>11.52896951611134</v>
      </c>
      <c r="AP37">
        <v>11.96880909090909</v>
      </c>
      <c r="AQ37">
        <v>2.133915794543654E-06</v>
      </c>
      <c r="AR37">
        <v>118.3598745008909</v>
      </c>
      <c r="AS37">
        <v>10</v>
      </c>
      <c r="AT37">
        <v>2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512</v>
      </c>
      <c r="AY37">
        <v>5052.39</v>
      </c>
      <c r="AZ37">
        <v>646.0615384615384</v>
      </c>
      <c r="BA37">
        <v>2095.21</v>
      </c>
      <c r="BB37">
        <f>1-AZ37/BA37</f>
        <v>0</v>
      </c>
      <c r="BC37">
        <v>-0.4793727216376321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1760739486.099999</v>
      </c>
      <c r="DR37">
        <v>420.4151290322581</v>
      </c>
      <c r="DS37">
        <v>419.9892903225806</v>
      </c>
      <c r="DT37">
        <v>11.96857419354838</v>
      </c>
      <c r="DU37">
        <v>11.51782258064516</v>
      </c>
      <c r="DV37">
        <v>419.8819032258064</v>
      </c>
      <c r="DW37">
        <v>11.91166451612903</v>
      </c>
      <c r="DX37">
        <v>500.0333870967741</v>
      </c>
      <c r="DY37">
        <v>89.71948387096774</v>
      </c>
      <c r="DZ37">
        <v>0.03613093548387097</v>
      </c>
      <c r="EA37">
        <v>18.62816774193548</v>
      </c>
      <c r="EB37">
        <v>18.00503870967742</v>
      </c>
      <c r="EC37">
        <v>999.9000000000003</v>
      </c>
      <c r="ED37">
        <v>0</v>
      </c>
      <c r="EE37">
        <v>0</v>
      </c>
      <c r="EF37">
        <v>10001.83129032258</v>
      </c>
      <c r="EG37">
        <v>0</v>
      </c>
      <c r="EH37">
        <v>0.220656</v>
      </c>
      <c r="EI37">
        <v>0.4258679354838709</v>
      </c>
      <c r="EJ37">
        <v>425.5078709677419</v>
      </c>
      <c r="EK37">
        <v>424.8830322580646</v>
      </c>
      <c r="EL37">
        <v>0.4507449677419355</v>
      </c>
      <c r="EM37">
        <v>419.9892903225806</v>
      </c>
      <c r="EN37">
        <v>11.51782258064516</v>
      </c>
      <c r="EO37">
        <v>1.073813870967742</v>
      </c>
      <c r="EP37">
        <v>1.033372580645161</v>
      </c>
      <c r="EQ37">
        <v>7.958356774193549</v>
      </c>
      <c r="ER37">
        <v>7.395608387096774</v>
      </c>
      <c r="ES37">
        <v>0.005000559999999997</v>
      </c>
      <c r="ET37">
        <v>0</v>
      </c>
      <c r="EU37">
        <v>0</v>
      </c>
      <c r="EV37">
        <v>0</v>
      </c>
      <c r="EW37">
        <v>645.7451612903226</v>
      </c>
      <c r="EX37">
        <v>0.005000559999999997</v>
      </c>
      <c r="EY37">
        <v>-8.719354838709675</v>
      </c>
      <c r="EZ37">
        <v>-3.212903225806452</v>
      </c>
      <c r="FA37">
        <v>34.45729032258064</v>
      </c>
      <c r="FB37">
        <v>40.133</v>
      </c>
      <c r="FC37">
        <v>37.36274193548387</v>
      </c>
      <c r="FD37">
        <v>41.49187096774194</v>
      </c>
      <c r="FE37">
        <v>37.17316129032257</v>
      </c>
      <c r="FF37">
        <v>0</v>
      </c>
      <c r="FG37">
        <v>0</v>
      </c>
      <c r="FH37">
        <v>0</v>
      </c>
      <c r="FI37">
        <v>136.4000000953674</v>
      </c>
      <c r="FJ37">
        <v>0</v>
      </c>
      <c r="FK37">
        <v>646.0615384615384</v>
      </c>
      <c r="FL37">
        <v>-4.841025730573069</v>
      </c>
      <c r="FM37">
        <v>-5.815384656098145</v>
      </c>
      <c r="FN37">
        <v>-7.911538461538461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0.4138764390243903</v>
      </c>
      <c r="GD37">
        <v>0.1117643623693391</v>
      </c>
      <c r="GE37">
        <v>0.05210085322649918</v>
      </c>
      <c r="GF37">
        <v>1</v>
      </c>
      <c r="GG37">
        <v>647.1911764705883</v>
      </c>
      <c r="GH37">
        <v>-26.32085560870295</v>
      </c>
      <c r="GI37">
        <v>5.359014815466324</v>
      </c>
      <c r="GJ37">
        <v>0</v>
      </c>
      <c r="GK37">
        <v>0.4551008292682927</v>
      </c>
      <c r="GL37">
        <v>-0.07315812543553973</v>
      </c>
      <c r="GM37">
        <v>0.007637925548090119</v>
      </c>
      <c r="GN37">
        <v>1</v>
      </c>
      <c r="GO37">
        <v>2</v>
      </c>
      <c r="GP37">
        <v>3</v>
      </c>
      <c r="GQ37" t="s">
        <v>441</v>
      </c>
      <c r="GR37">
        <v>3.1331</v>
      </c>
      <c r="GS37">
        <v>2.7138</v>
      </c>
      <c r="GT37">
        <v>0.0863324</v>
      </c>
      <c r="GU37">
        <v>0.0868019</v>
      </c>
      <c r="GV37">
        <v>0.0655213</v>
      </c>
      <c r="GW37">
        <v>0.0641516</v>
      </c>
      <c r="GX37">
        <v>27842.5</v>
      </c>
      <c r="GY37">
        <v>26956.4</v>
      </c>
      <c r="GZ37">
        <v>30991.3</v>
      </c>
      <c r="HA37">
        <v>29744.9</v>
      </c>
      <c r="HB37">
        <v>39927.3</v>
      </c>
      <c r="HC37">
        <v>36619.6</v>
      </c>
      <c r="HD37">
        <v>47345.1</v>
      </c>
      <c r="HE37">
        <v>44182.8</v>
      </c>
      <c r="HF37">
        <v>1.89365</v>
      </c>
      <c r="HG37">
        <v>1.8926</v>
      </c>
      <c r="HH37">
        <v>0.0242144</v>
      </c>
      <c r="HI37">
        <v>0</v>
      </c>
      <c r="HJ37">
        <v>17.5967</v>
      </c>
      <c r="HK37">
        <v>999.9</v>
      </c>
      <c r="HL37">
        <v>26</v>
      </c>
      <c r="HM37">
        <v>32.5</v>
      </c>
      <c r="HN37">
        <v>14.2334</v>
      </c>
      <c r="HO37">
        <v>63.2005</v>
      </c>
      <c r="HP37">
        <v>20.5329</v>
      </c>
      <c r="HQ37">
        <v>1</v>
      </c>
      <c r="HR37">
        <v>-0.329685</v>
      </c>
      <c r="HS37">
        <v>1.51512</v>
      </c>
      <c r="HT37">
        <v>20.2104</v>
      </c>
      <c r="HU37">
        <v>5.24035</v>
      </c>
      <c r="HV37">
        <v>11.968</v>
      </c>
      <c r="HW37">
        <v>4.97335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1.87744</v>
      </c>
      <c r="IE37">
        <v>1.87553</v>
      </c>
      <c r="IF37">
        <v>1.87835</v>
      </c>
      <c r="IG37">
        <v>1.87502</v>
      </c>
      <c r="IH37">
        <v>1.87864</v>
      </c>
      <c r="II37">
        <v>1.87576</v>
      </c>
      <c r="IJ37">
        <v>1.87689</v>
      </c>
      <c r="IK37">
        <v>0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0.533</v>
      </c>
      <c r="IY37">
        <v>0.0569</v>
      </c>
      <c r="IZ37">
        <v>0.05962679757231274</v>
      </c>
      <c r="JA37">
        <v>0.001226855107158112</v>
      </c>
      <c r="JB37">
        <v>-3.035205684124237E-07</v>
      </c>
      <c r="JC37">
        <v>1.619134626827227E-10</v>
      </c>
      <c r="JD37">
        <v>-0.0304923956573813</v>
      </c>
      <c r="JE37">
        <v>-0.002736280719339335</v>
      </c>
      <c r="JF37">
        <v>0.0009903551140151546</v>
      </c>
      <c r="JG37">
        <v>-1.214181672830105E-05</v>
      </c>
      <c r="JH37">
        <v>0</v>
      </c>
      <c r="JI37">
        <v>2131</v>
      </c>
      <c r="JJ37">
        <v>1</v>
      </c>
      <c r="JK37">
        <v>22</v>
      </c>
      <c r="JL37">
        <v>29345658.2</v>
      </c>
      <c r="JM37">
        <v>29345658.2</v>
      </c>
      <c r="JN37">
        <v>1.10718</v>
      </c>
      <c r="JO37">
        <v>2.52441</v>
      </c>
      <c r="JP37">
        <v>1.39893</v>
      </c>
      <c r="JQ37">
        <v>2.33276</v>
      </c>
      <c r="JR37">
        <v>1.44897</v>
      </c>
      <c r="JS37">
        <v>2.60864</v>
      </c>
      <c r="JT37">
        <v>37.7228</v>
      </c>
      <c r="JU37">
        <v>24.035</v>
      </c>
      <c r="JV37">
        <v>18</v>
      </c>
      <c r="JW37">
        <v>472.154</v>
      </c>
      <c r="JX37">
        <v>439.507</v>
      </c>
      <c r="JY37">
        <v>16.301</v>
      </c>
      <c r="JZ37">
        <v>22.6452</v>
      </c>
      <c r="KA37">
        <v>30.0001</v>
      </c>
      <c r="KB37">
        <v>22.3977</v>
      </c>
      <c r="KC37">
        <v>22.4729</v>
      </c>
      <c r="KD37">
        <v>22.2086</v>
      </c>
      <c r="KE37">
        <v>8.629759999999999</v>
      </c>
      <c r="KF37">
        <v>1.87863</v>
      </c>
      <c r="KG37">
        <v>16.3004</v>
      </c>
      <c r="KH37">
        <v>420</v>
      </c>
      <c r="KI37">
        <v>11.6006</v>
      </c>
      <c r="KJ37">
        <v>102.371</v>
      </c>
      <c r="KK37">
        <v>101.643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2025-10-17T22:21:52Z</dcterms:created>
  <dcterms:modified xsi:type="dcterms:W3CDTF">2025-10-17T22:21:52Z</dcterms:modified>
</cp:coreProperties>
</file>